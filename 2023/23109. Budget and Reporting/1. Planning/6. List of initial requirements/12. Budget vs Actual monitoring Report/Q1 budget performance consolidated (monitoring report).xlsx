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filterPrivacy="1" hidePivotFieldList="1" defaultThemeVersion="124226"/>
  <xr:revisionPtr revIDLastSave="1" documentId="11_82E7D04DBE661162812B74FA35E7A9BAC4042B4B" xr6:coauthVersionLast="47" xr6:coauthVersionMax="47" xr10:uidLastSave="{0A9B7C0D-9B71-4665-AC1C-EA7F1C73ED9B}"/>
  <bookViews>
    <workbookView xWindow="-110" yWindow="-110" windowWidth="19420" windowHeight="10420" activeTab="2" xr2:uid="{00000000-000D-0000-FFFF-FFFF00000000}"/>
  </bookViews>
  <sheets>
    <sheet name="pivot opex" sheetId="4" r:id="rId1"/>
    <sheet name="Pivot capex" sheetId="5" r:id="rId2"/>
    <sheet name="opex" sheetId="1" r:id="rId3"/>
    <sheet name="capex" sheetId="2" r:id="rId4"/>
    <sheet name="justification - library opex" sheetId="3" r:id="rId5"/>
  </sheets>
  <definedNames>
    <definedName name="_xlnm._FilterDatabase" localSheetId="3" hidden="1">capex!$A$3:$S$51</definedName>
    <definedName name="_xlnm._FilterDatabase" localSheetId="2" hidden="1">opex!$A$3:$S$457</definedName>
  </definedNames>
  <calcPr calcId="191029"/>
  <pivotCaches>
    <pivotCache cacheId="2" r:id="rId6"/>
    <pivotCache cacheId="3" r:id="rId7"/>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28" i="1" l="1"/>
  <c r="Q70" i="1"/>
  <c r="Q69" i="1"/>
  <c r="Q68" i="1"/>
  <c r="Q67" i="1"/>
  <c r="Q66" i="1"/>
  <c r="Q65" i="1"/>
  <c r="Q64" i="1"/>
  <c r="Q63" i="1"/>
  <c r="Q62" i="1"/>
  <c r="Q61" i="1"/>
  <c r="Q60" i="1"/>
  <c r="Q59" i="1"/>
  <c r="Q58" i="1"/>
  <c r="Q57" i="1"/>
  <c r="Q56" i="1"/>
  <c r="Q252" i="1" l="1"/>
  <c r="Q191" i="1"/>
  <c r="Q137" i="1"/>
  <c r="Q447" i="1" l="1"/>
  <c r="Q448" i="1"/>
  <c r="Q449" i="1"/>
  <c r="Q450" i="1"/>
  <c r="Q451" i="1"/>
  <c r="Q452" i="1"/>
  <c r="Q453" i="1"/>
  <c r="Q454" i="1"/>
  <c r="Q455" i="1"/>
  <c r="Q456" i="1"/>
  <c r="Q457" i="1"/>
  <c r="Q51" i="2"/>
  <c r="Q50" i="2"/>
  <c r="Q49" i="2"/>
  <c r="Q48" i="2"/>
  <c r="Q47" i="2"/>
  <c r="Q46" i="2"/>
  <c r="Q45" i="2"/>
  <c r="Q446" i="1"/>
  <c r="Q445" i="1"/>
  <c r="Q444" i="1"/>
  <c r="Q443" i="1"/>
  <c r="Q442" i="1"/>
  <c r="Q441" i="1"/>
  <c r="Q440" i="1"/>
  <c r="Q439" i="1"/>
  <c r="Q438" i="1"/>
  <c r="Q437" i="1"/>
  <c r="Q436" i="1"/>
  <c r="Q435" i="1"/>
  <c r="Q434" i="1"/>
  <c r="Q433" i="1"/>
  <c r="Q432" i="1"/>
  <c r="Q431" i="1"/>
  <c r="Q430" i="1"/>
  <c r="Q429" i="1"/>
  <c r="Q428" i="1"/>
  <c r="Q427" i="1"/>
  <c r="Q426" i="1"/>
  <c r="Q425" i="1"/>
  <c r="Q424" i="1"/>
  <c r="Q423" i="1"/>
  <c r="Q422" i="1"/>
  <c r="Q421" i="1"/>
  <c r="Q420" i="1"/>
  <c r="Q419" i="1"/>
  <c r="Q418" i="1"/>
  <c r="Q417" i="1"/>
  <c r="Q416" i="1"/>
  <c r="Q415" i="1"/>
  <c r="Q414" i="1"/>
  <c r="Q413" i="1"/>
  <c r="Q412" i="1"/>
  <c r="Q411" i="1"/>
  <c r="Q410" i="1"/>
  <c r="Q403" i="1" l="1"/>
  <c r="Q404" i="1"/>
  <c r="Q405" i="1"/>
  <c r="Q406" i="1"/>
  <c r="Q407" i="1"/>
  <c r="Q408" i="1"/>
  <c r="Q409" i="1"/>
  <c r="Q44" i="2"/>
  <c r="Q43" i="2"/>
  <c r="Q402" i="1" l="1"/>
  <c r="Q401" i="1"/>
  <c r="Q400" i="1"/>
  <c r="Q399" i="1"/>
  <c r="Q398" i="1"/>
  <c r="Q397" i="1"/>
  <c r="Q396" i="1"/>
  <c r="Q395" i="1"/>
  <c r="Q394" i="1"/>
  <c r="Q393" i="1"/>
  <c r="Q392" i="1"/>
  <c r="Q391" i="1"/>
  <c r="Q42" i="2" l="1"/>
  <c r="Q390" i="1"/>
  <c r="Q389" i="1"/>
  <c r="Q388" i="1"/>
  <c r="Q387" i="1"/>
  <c r="Q386" i="1"/>
  <c r="Q385" i="1"/>
  <c r="Q384" i="1"/>
  <c r="Q41" i="2" l="1"/>
  <c r="Q40" i="2"/>
  <c r="Q39" i="2"/>
  <c r="Q38" i="2"/>
  <c r="Q37" i="2"/>
  <c r="Q36" i="2"/>
  <c r="Q35" i="2"/>
  <c r="Q34" i="2"/>
  <c r="Q33" i="2"/>
  <c r="Q383" i="1"/>
  <c r="Q382" i="1"/>
  <c r="Q381" i="1"/>
  <c r="Q380" i="1"/>
  <c r="Q379" i="1"/>
  <c r="Q378" i="1"/>
  <c r="Q377" i="1"/>
  <c r="Q376" i="1"/>
  <c r="Q375" i="1"/>
  <c r="Q374" i="1"/>
  <c r="Q373" i="1"/>
  <c r="Q372" i="1"/>
  <c r="Q371" i="1"/>
  <c r="Q370" i="1"/>
  <c r="Q369" i="1"/>
  <c r="Q368" i="1"/>
  <c r="Q367" i="1"/>
  <c r="Q366" i="1"/>
  <c r="Q365" i="1"/>
  <c r="Q364" i="1"/>
  <c r="Q363" i="1"/>
  <c r="Q362" i="1"/>
  <c r="Q361" i="1"/>
  <c r="Q360" i="1"/>
  <c r="Q359" i="1"/>
  <c r="Q358" i="1"/>
  <c r="Q357" i="1"/>
  <c r="Q356" i="1"/>
  <c r="Q355" i="1"/>
  <c r="Q354" i="1"/>
  <c r="Q353" i="1"/>
  <c r="Q352" i="1"/>
  <c r="Q351" i="1"/>
  <c r="Q350" i="1"/>
  <c r="Q349" i="1"/>
  <c r="Q348" i="1"/>
  <c r="Q347" i="1"/>
  <c r="Q346" i="1"/>
  <c r="Q345" i="1"/>
  <c r="Q344" i="1"/>
  <c r="Q343" i="1"/>
  <c r="Q342" i="1"/>
  <c r="Q341" i="1"/>
  <c r="Q340" i="1"/>
  <c r="Q339" i="1"/>
  <c r="Q32" i="2" l="1"/>
  <c r="Q31" i="2"/>
  <c r="Q30" i="2"/>
  <c r="Q29" i="2"/>
  <c r="Q28" i="2"/>
  <c r="Q27" i="2"/>
  <c r="Q26" i="2"/>
  <c r="Q25" i="2"/>
  <c r="Q24" i="2"/>
  <c r="Q23" i="2"/>
  <c r="Q338" i="1"/>
  <c r="Q337" i="1"/>
  <c r="Q336" i="1"/>
  <c r="Q335" i="1"/>
  <c r="Q334" i="1"/>
  <c r="Q333" i="1"/>
  <c r="Q332" i="1"/>
  <c r="Q331" i="1"/>
  <c r="Q330" i="1"/>
  <c r="Q329" i="1"/>
  <c r="Q328" i="1"/>
  <c r="Q327" i="1"/>
  <c r="Q326" i="1"/>
  <c r="Q325" i="1"/>
  <c r="Q324" i="1"/>
  <c r="Q323" i="1"/>
  <c r="Q322" i="1"/>
  <c r="Q321" i="1"/>
  <c r="Q320" i="1"/>
  <c r="Q319" i="1"/>
  <c r="Q318" i="1"/>
  <c r="Q317" i="1"/>
  <c r="Q316" i="1"/>
  <c r="Q315" i="1"/>
  <c r="Q314" i="1"/>
  <c r="Q313" i="1"/>
  <c r="Q312" i="1"/>
  <c r="Q311" i="1"/>
  <c r="Q310" i="1"/>
  <c r="Q309" i="1"/>
  <c r="Q308" i="1"/>
  <c r="Q307" i="1"/>
  <c r="Q306" i="1"/>
  <c r="Q305" i="1"/>
  <c r="Q304" i="1"/>
  <c r="Q303" i="1"/>
  <c r="Q302" i="1"/>
  <c r="Q301" i="1"/>
  <c r="Q300" i="1"/>
  <c r="Q299" i="1"/>
  <c r="Q298" i="1"/>
  <c r="Q297" i="1"/>
  <c r="Q296" i="1"/>
  <c r="Q295" i="1"/>
  <c r="Q294" i="1"/>
  <c r="Q293" i="1"/>
  <c r="Q292" i="1"/>
  <c r="Q291" i="1"/>
  <c r="Q290" i="1"/>
  <c r="Q289" i="1"/>
  <c r="Q288" i="1"/>
  <c r="Q287" i="1"/>
  <c r="Q286" i="1"/>
  <c r="Q285" i="1"/>
  <c r="Q284" i="1"/>
  <c r="Q283" i="1"/>
  <c r="Q282" i="1"/>
  <c r="Q281" i="1"/>
  <c r="Q280" i="1"/>
  <c r="Q279" i="1"/>
  <c r="Q278" i="1"/>
  <c r="Q277" i="1"/>
  <c r="Q276" i="1"/>
  <c r="Q275" i="1"/>
  <c r="Q274" i="1"/>
  <c r="Q273" i="1"/>
  <c r="Q272" i="1"/>
  <c r="Q271" i="1"/>
  <c r="Q270" i="1"/>
  <c r="Q269" i="1"/>
  <c r="Q268" i="1"/>
  <c r="Q267" i="1"/>
  <c r="Q266" i="1"/>
  <c r="Q265" i="1"/>
  <c r="Q264" i="1"/>
  <c r="Q263" i="1"/>
  <c r="Q262" i="1"/>
  <c r="Q261" i="1"/>
  <c r="Q260" i="1"/>
  <c r="Q259" i="1"/>
  <c r="Q258" i="1"/>
  <c r="Q257" i="1"/>
  <c r="Q256" i="1"/>
  <c r="Q255" i="1"/>
  <c r="Q254" i="1"/>
  <c r="Q253" i="1"/>
  <c r="Q251" i="1"/>
  <c r="Q250" i="1"/>
  <c r="Q249" i="1"/>
  <c r="Q248" i="1"/>
  <c r="Q247" i="1"/>
  <c r="Q246" i="1"/>
  <c r="Q245" i="1"/>
  <c r="Q244" i="1"/>
  <c r="Q243" i="1"/>
  <c r="Q242" i="1"/>
  <c r="Q241" i="1"/>
  <c r="Q240" i="1"/>
  <c r="Q239" i="1"/>
  <c r="Q238" i="1"/>
  <c r="Q237" i="1"/>
  <c r="Q236" i="1"/>
  <c r="Q235" i="1"/>
  <c r="Q234" i="1"/>
  <c r="Q233" i="1"/>
  <c r="Q232" i="1"/>
  <c r="Q231" i="1"/>
  <c r="Q230" i="1"/>
  <c r="Q229" i="1"/>
  <c r="Q228" i="1"/>
  <c r="Q227" i="1"/>
  <c r="Q226" i="1"/>
  <c r="Q225" i="1"/>
  <c r="Q224" i="1"/>
  <c r="Q223" i="1"/>
  <c r="Q222" i="1"/>
  <c r="Q221" i="1"/>
  <c r="Q220" i="1"/>
  <c r="Q219" i="1"/>
  <c r="Q22" i="2" l="1"/>
  <c r="Q21" i="2"/>
  <c r="Q20" i="2"/>
  <c r="Q19" i="2"/>
  <c r="Q18" i="2"/>
  <c r="Q17" i="2"/>
  <c r="Q218" i="1"/>
  <c r="Q217" i="1"/>
  <c r="Q216" i="1"/>
  <c r="Q215" i="1"/>
  <c r="Q214" i="1"/>
  <c r="Q213" i="1"/>
  <c r="Q212" i="1"/>
  <c r="Q211" i="1"/>
  <c r="Q210" i="1"/>
  <c r="Q209" i="1"/>
  <c r="Q208" i="1"/>
  <c r="Q207" i="1"/>
  <c r="Q206" i="1"/>
  <c r="Q205" i="1"/>
  <c r="Q204" i="1"/>
  <c r="Q203" i="1"/>
  <c r="Q202" i="1"/>
  <c r="Q201" i="1"/>
  <c r="Q200" i="1"/>
  <c r="Q199" i="1"/>
  <c r="Q198" i="1"/>
  <c r="Q197" i="1"/>
  <c r="Q196" i="1"/>
  <c r="Q195" i="1"/>
  <c r="Q194" i="1"/>
  <c r="Q193" i="1"/>
  <c r="Q192" i="1"/>
  <c r="Q190" i="1"/>
  <c r="Q189" i="1"/>
  <c r="Q188" i="1"/>
  <c r="Q187" i="1"/>
  <c r="Q186" i="1"/>
  <c r="Q185" i="1"/>
  <c r="Q184" i="1"/>
  <c r="Q183" i="1"/>
  <c r="Q182" i="1"/>
  <c r="Q181" i="1"/>
  <c r="Q180" i="1"/>
  <c r="Q179" i="1"/>
  <c r="Q178" i="1"/>
  <c r="Q177" i="1"/>
  <c r="Q176" i="1"/>
  <c r="Q175" i="1"/>
  <c r="Q174" i="1"/>
  <c r="Q173" i="1"/>
  <c r="Q172" i="1"/>
  <c r="Q171" i="1"/>
  <c r="Q170" i="1"/>
  <c r="Q169" i="1"/>
  <c r="Q168" i="1"/>
  <c r="Q167" i="1"/>
  <c r="Q166" i="1"/>
  <c r="Q165" i="1"/>
  <c r="Q164" i="1"/>
  <c r="Q163" i="1"/>
  <c r="Q162" i="1"/>
  <c r="Q161" i="1"/>
  <c r="Q160" i="1"/>
  <c r="Q159" i="1"/>
  <c r="Q158" i="1"/>
  <c r="Q157" i="1"/>
  <c r="Q156" i="1"/>
  <c r="Q155" i="1"/>
  <c r="Q154" i="1"/>
  <c r="Q153" i="1"/>
  <c r="Q152" i="1"/>
  <c r="Q151" i="1"/>
  <c r="Q150" i="1"/>
  <c r="Q149" i="1"/>
  <c r="Q148" i="1"/>
  <c r="Q147" i="1"/>
  <c r="Q146" i="1"/>
  <c r="Q145" i="1"/>
  <c r="Q144" i="1"/>
  <c r="Q143" i="1"/>
  <c r="Q142" i="1"/>
  <c r="Q141" i="1"/>
  <c r="Q140" i="1"/>
  <c r="Q139" i="1"/>
  <c r="Q138" i="1"/>
  <c r="Q16" i="2" l="1"/>
  <c r="C23" i="3" l="1"/>
  <c r="Q106" i="1"/>
  <c r="Q105" i="1"/>
  <c r="Q104" i="1"/>
  <c r="Q103" i="1"/>
  <c r="Q102" i="1"/>
  <c r="Q101" i="1"/>
  <c r="Q100" i="1"/>
  <c r="Q99" i="1"/>
  <c r="Q98" i="1"/>
  <c r="Q97" i="1"/>
  <c r="Q136" i="1"/>
  <c r="Q135" i="1"/>
  <c r="Q134" i="1"/>
  <c r="Q133" i="1"/>
  <c r="Q132" i="1"/>
  <c r="Q131" i="1"/>
  <c r="Q130" i="1"/>
  <c r="Q129" i="1"/>
  <c r="Q128" i="1"/>
  <c r="Q127" i="1"/>
  <c r="Q126" i="1"/>
  <c r="Q124" i="1"/>
  <c r="Q123" i="1"/>
  <c r="Q122" i="1"/>
  <c r="Q121" i="1"/>
  <c r="Q120" i="1"/>
  <c r="Q119" i="1"/>
  <c r="Q118" i="1"/>
  <c r="Q117" i="1"/>
  <c r="Q116" i="1"/>
  <c r="Q115" i="1"/>
  <c r="Q114" i="1"/>
  <c r="O113" i="1"/>
  <c r="Q113" i="1" s="1"/>
  <c r="O112" i="1"/>
  <c r="Q112" i="1" s="1"/>
  <c r="M111" i="1"/>
  <c r="Q111" i="1" s="1"/>
  <c r="O110" i="1"/>
  <c r="Q110" i="1" s="1"/>
  <c r="Q109" i="1"/>
  <c r="Q108" i="1"/>
  <c r="O107" i="1"/>
  <c r="Q107" i="1" s="1"/>
  <c r="Q96" i="1"/>
  <c r="Q95" i="1"/>
  <c r="Q94" i="1"/>
  <c r="Q93" i="1"/>
  <c r="Q92" i="1"/>
  <c r="Q91" i="1"/>
  <c r="Q90" i="1"/>
  <c r="Q89" i="1"/>
  <c r="Q88" i="1"/>
  <c r="Q87" i="1"/>
  <c r="Q86" i="1"/>
  <c r="Q85" i="1"/>
  <c r="Q84" i="1" l="1"/>
  <c r="Q83" i="1"/>
  <c r="N82" i="1"/>
  <c r="Q82" i="1" s="1"/>
  <c r="M81" i="1"/>
  <c r="Q81" i="1" s="1"/>
  <c r="M80" i="1"/>
  <c r="Q80" i="1" s="1"/>
  <c r="Q79" i="1"/>
  <c r="Q78" i="1"/>
  <c r="N77" i="1"/>
  <c r="M77" i="1"/>
  <c r="Q77" i="1" s="1"/>
  <c r="Q76" i="1" l="1"/>
  <c r="Q75" i="1"/>
  <c r="Q74" i="1"/>
  <c r="Q73" i="1"/>
  <c r="Q72" i="1"/>
  <c r="Q71" i="1"/>
  <c r="Q15" i="2" l="1"/>
  <c r="Q14" i="2" l="1"/>
  <c r="Q13" i="2"/>
  <c r="Q11" i="2"/>
  <c r="Q55" i="1"/>
  <c r="Q54" i="1"/>
  <c r="Q53" i="1"/>
  <c r="Q52" i="1"/>
  <c r="Q51" i="1"/>
  <c r="Q50" i="1"/>
  <c r="Q49" i="1"/>
  <c r="Q48" i="1"/>
  <c r="Q47" i="1"/>
  <c r="Q46" i="1"/>
  <c r="Q45" i="1"/>
  <c r="Q44" i="1"/>
  <c r="Q43" i="1"/>
  <c r="Q42" i="1"/>
  <c r="Q41" i="1"/>
  <c r="Q40" i="1"/>
  <c r="Q39" i="1"/>
  <c r="Q38" i="1"/>
  <c r="Q37" i="1"/>
  <c r="Q36" i="1"/>
  <c r="Q35" i="1"/>
  <c r="Q34" i="1"/>
  <c r="Q33" i="1"/>
  <c r="Q32" i="1"/>
  <c r="Q31" i="1"/>
  <c r="M30" i="1"/>
  <c r="Q30" i="1" s="1"/>
  <c r="Q29" i="1"/>
  <c r="Q28" i="1"/>
  <c r="Q10" i="2" l="1"/>
  <c r="Q27" i="1"/>
  <c r="Q26" i="1"/>
  <c r="Q25" i="1"/>
  <c r="Q24" i="1"/>
  <c r="Q23" i="1"/>
  <c r="Q22" i="1"/>
  <c r="Q21" i="1"/>
  <c r="Q20" i="1"/>
  <c r="Q19" i="1"/>
  <c r="Q18" i="1"/>
  <c r="Q17" i="1"/>
  <c r="Q16" i="1"/>
  <c r="Q9" i="2" l="1"/>
  <c r="Q8" i="2"/>
  <c r="Q7" i="2"/>
  <c r="Q6" i="2"/>
  <c r="Q5" i="2"/>
  <c r="Q4" i="2"/>
  <c r="M8" i="1" l="1"/>
  <c r="Q5" i="1" l="1"/>
  <c r="Q6" i="1"/>
  <c r="Q7" i="1"/>
  <c r="Q8" i="1"/>
  <c r="Q9" i="1"/>
  <c r="Q10" i="1"/>
  <c r="Q11" i="1"/>
  <c r="Q12" i="1"/>
  <c r="Q13" i="1"/>
  <c r="Q14" i="1"/>
  <c r="Q15" i="1"/>
  <c r="Q4" i="1"/>
</calcChain>
</file>

<file path=xl/sharedStrings.xml><?xml version="1.0" encoding="utf-8"?>
<sst xmlns="http://schemas.openxmlformats.org/spreadsheetml/2006/main" count="4322" uniqueCount="997">
  <si>
    <t/>
  </si>
  <si>
    <t xml:space="preserve">Budget Performance Quarter 01 - 2022 </t>
  </si>
  <si>
    <t>Chapter Name</t>
  </si>
  <si>
    <t>Cost Center Code</t>
  </si>
  <si>
    <t>Cost Center Description</t>
  </si>
  <si>
    <t>Account Code</t>
  </si>
  <si>
    <t>Account Description</t>
  </si>
  <si>
    <t>GL Account Combination</t>
  </si>
  <si>
    <t>Budget</t>
  </si>
  <si>
    <t>Actual Amount</t>
  </si>
  <si>
    <t>PR</t>
  </si>
  <si>
    <t>PO</t>
  </si>
  <si>
    <t>Fund Available</t>
  </si>
  <si>
    <t>Utilization Justification</t>
  </si>
  <si>
    <t>2 Other Operating Costs</t>
  </si>
  <si>
    <t>8470810</t>
  </si>
  <si>
    <t>KUST - Ankabut office</t>
  </si>
  <si>
    <t>420810</t>
  </si>
  <si>
    <t>IT Systems &amp; Support expenses</t>
  </si>
  <si>
    <t>847.8470810.1.420810.000000.847001.200179</t>
  </si>
  <si>
    <t>420811</t>
  </si>
  <si>
    <t>IT Systems &amp; Support expenses-Application/Systems Operation</t>
  </si>
  <si>
    <t>847.8470810.1.420811.000000.847001.200179</t>
  </si>
  <si>
    <t>421100</t>
  </si>
  <si>
    <t>Manpower supply "Other Than IT Related"</t>
  </si>
  <si>
    <t>847.8470810.1.421100.000000.847001.200179</t>
  </si>
  <si>
    <t>426610</t>
  </si>
  <si>
    <t>Computer software licenses-Software License Renewal</t>
  </si>
  <si>
    <t>847.8470810.1.426610.000000.847001.200179</t>
  </si>
  <si>
    <t>427810</t>
  </si>
  <si>
    <t>Telephone and telefax charges-Telecommunication, Satellite services</t>
  </si>
  <si>
    <t>847.8470810.1.427810.000000.847001.200179</t>
  </si>
  <si>
    <t>427850</t>
  </si>
  <si>
    <t>Data Transmission charges-Data Transmission charges</t>
  </si>
  <si>
    <t>847.8470810.1.427850.000000.847001.200179</t>
  </si>
  <si>
    <t>428090</t>
  </si>
  <si>
    <t>Business Travel - Combined expenses</t>
  </si>
  <si>
    <t>847.8470810.1.428090.000000.847001.200179</t>
  </si>
  <si>
    <t>430230</t>
  </si>
  <si>
    <t>Rental - Equipment</t>
  </si>
  <si>
    <t>847.8470810.1.430230.000000.847001.200179</t>
  </si>
  <si>
    <t>430250</t>
  </si>
  <si>
    <t>Rental - Computer hardware-Rental/Subscription - Computer hardware</t>
  </si>
  <si>
    <t>847.8470810.1.430250.000000.847001.200179</t>
  </si>
  <si>
    <t>432205</t>
  </si>
  <si>
    <t>Computers and peripherals-End user and Infrastructure components maintenance and support</t>
  </si>
  <si>
    <t>847.8470810.1.432205.000000.847001.200179</t>
  </si>
  <si>
    <t>432226</t>
  </si>
  <si>
    <t>Computers and peripherals-Printers maintenance and support</t>
  </si>
  <si>
    <t>847.8470810.1.432226.000000.847001.200179</t>
  </si>
  <si>
    <t>436110</t>
  </si>
  <si>
    <t>Printing supplies</t>
  </si>
  <si>
    <t>847.8470810.1.436110.000000.847001.200179</t>
  </si>
  <si>
    <t>3 Capital Payments</t>
  </si>
  <si>
    <t>492310</t>
  </si>
  <si>
    <t>Hardware &amp; peripherals</t>
  </si>
  <si>
    <t>847.8470810.1.492310.000000.847001.300180</t>
  </si>
  <si>
    <t>492352</t>
  </si>
  <si>
    <t>Hardware &amp; peripherals-Network Devices</t>
  </si>
  <si>
    <t>847.8470810.1.492352.000000.847001.300180</t>
  </si>
  <si>
    <t>492354</t>
  </si>
  <si>
    <t>Hardware &amp; peripherals-Peripherals &amp; Infrastructure Components</t>
  </si>
  <si>
    <t>847.8470810.1.492354.000000.847001.300180</t>
  </si>
  <si>
    <t>492356</t>
  </si>
  <si>
    <t>Hardware &amp; peripherals-Conferencing &amp; AV</t>
  </si>
  <si>
    <t>847.8470810.1.492356.000000.847001.300180</t>
  </si>
  <si>
    <t>495110</t>
  </si>
  <si>
    <t>Computer software</t>
  </si>
  <si>
    <t>847.8470810.1.495110.000000.847001.300180</t>
  </si>
  <si>
    <t>Computer software-Application, Platform</t>
  </si>
  <si>
    <t>847.8470810.1.495113.000000.847001.300180</t>
  </si>
  <si>
    <t>Grand Total</t>
  </si>
  <si>
    <t>Quarter 2 Utilization Plan</t>
  </si>
  <si>
    <t>Quarter 3 Utilization Plan</t>
  </si>
  <si>
    <t>Quarter 4 Utilization Plan</t>
  </si>
  <si>
    <t>Expected Budget Surplus Amount</t>
  </si>
  <si>
    <t>Expected Surplus Justification</t>
  </si>
  <si>
    <t>PR outstanding payment for CNS</t>
  </si>
  <si>
    <t>PRs in progress</t>
  </si>
  <si>
    <t>DU/Etisalat Invoices need to be processed by Finance</t>
  </si>
  <si>
    <t>PR Laptops in progress</t>
  </si>
  <si>
    <t>2022 DU/Etisalat Invoices needs to be processed by Finance</t>
  </si>
  <si>
    <t>SLA 2022 with Ankabut</t>
  </si>
  <si>
    <t>More PRs planned for Q2</t>
  </si>
  <si>
    <t>Additional fund required for outstanding bills 2018-2021 not processed previously by Finance</t>
  </si>
  <si>
    <t>Printing Invoices to be processed in Q2</t>
  </si>
  <si>
    <t>PR Time&amp;Attendance System procssed in Q2</t>
  </si>
  <si>
    <t>PR AV renovation in progress in Q2</t>
  </si>
  <si>
    <t>PR Network switches</t>
  </si>
  <si>
    <t>Transfer from Software Budget AC 495113</t>
  </si>
  <si>
    <t>Transfer 361566 to Hardware Capex budgets</t>
  </si>
  <si>
    <t>Feedback status</t>
  </si>
  <si>
    <t>yes</t>
  </si>
  <si>
    <t>8470130</t>
  </si>
  <si>
    <t>KUST - Institutional Research &amp; Planning</t>
  </si>
  <si>
    <t>421000</t>
  </si>
  <si>
    <t>Management consultancy</t>
  </si>
  <si>
    <t>847.8470130.1.421000.000000.847001.200179</t>
  </si>
  <si>
    <t>847.8470130.1.426610.000000.847001.200179</t>
  </si>
  <si>
    <t>847.8470130.1.428090.000000.847001.200179</t>
  </si>
  <si>
    <t>8470140</t>
  </si>
  <si>
    <t>KUST - Communication</t>
  </si>
  <si>
    <t>425100</t>
  </si>
  <si>
    <t>Advertising Services (General)</t>
  </si>
  <si>
    <t>847.8470140.1.425100.000000.847001.200179</t>
  </si>
  <si>
    <t>QS yearly agreement, THE yearly agreement , Nature Mgazine Yearly Agreemernt, TV commercial</t>
  </si>
  <si>
    <t>425510</t>
  </si>
  <si>
    <t>Conferences, seminars and exhibitions and other events: - Local Events</t>
  </si>
  <si>
    <t>847.8470140.1.425510.000000.847001.200179</t>
  </si>
  <si>
    <t>WETEX, NAJAH AUH, NAJAH DXB, ARAB HEALTH, WFES, SHJ EXPO, AUD BOOKFAIR, KU GRADUATION, ISNR</t>
  </si>
  <si>
    <t>425550</t>
  </si>
  <si>
    <t>Conferences, seminars and exhibitions and other events: - Overseas event</t>
  </si>
  <si>
    <t>847.8470140.1.425550.000000.847001.200179</t>
  </si>
  <si>
    <t>OMAN Fair, INTERNATIOINAL EVENT SPONSORSHIP</t>
  </si>
  <si>
    <t>425763</t>
  </si>
  <si>
    <t>Student Project Expenses</t>
  </si>
  <si>
    <t>847.8470140.1.425763.000000.847050.200179</t>
  </si>
  <si>
    <t>student project re fabrication for events and conferences</t>
  </si>
  <si>
    <t>427100</t>
  </si>
  <si>
    <t>Public relations</t>
  </si>
  <si>
    <t>847.8470140.1.427100.000000.847001.200179</t>
  </si>
  <si>
    <t xml:space="preserve">Content development agreement </t>
  </si>
  <si>
    <t>427200</t>
  </si>
  <si>
    <t>Printing and publishing</t>
  </si>
  <si>
    <t>847.8470140.1.427200.000000.847001.200179</t>
  </si>
  <si>
    <t>general printing</t>
  </si>
  <si>
    <t>428640</t>
  </si>
  <si>
    <t>Events - Awards, prizes &amp; gifts</t>
  </si>
  <si>
    <t>847.8470140.1.428640.000000.847001.200179</t>
  </si>
  <si>
    <t xml:space="preserve">KU Merchandise Store, KU conference gifts, </t>
  </si>
  <si>
    <t>435310</t>
  </si>
  <si>
    <t>Newspapers, magazines, journals, etc</t>
  </si>
  <si>
    <t>847.8470140.1.435310.000000.847001.200179</t>
  </si>
  <si>
    <t>435519</t>
  </si>
  <si>
    <t>Photography - Consumable materials /Tools</t>
  </si>
  <si>
    <t>847.8470140.1.435519.000000.847001.200179</t>
  </si>
  <si>
    <t>apple desktop</t>
  </si>
  <si>
    <t>Feedback Status</t>
  </si>
  <si>
    <t>847.8470140.1.492310.000000.847001.300180</t>
  </si>
  <si>
    <t>no</t>
  </si>
  <si>
    <t>8471305</t>
  </si>
  <si>
    <t>KUST - Dean Of Medicine</t>
  </si>
  <si>
    <t>420570</t>
  </si>
  <si>
    <t>Academic Collaborative Partnership Services</t>
  </si>
  <si>
    <t>847.8471305.1.420570.000000.847001.200179</t>
  </si>
  <si>
    <t xml:space="preserve">lack of invoice </t>
  </si>
  <si>
    <r>
      <rPr>
        <sz val="8"/>
        <color rgb="FFFF0000"/>
        <rFont val="Calibri"/>
        <family val="2"/>
      </rPr>
      <t xml:space="preserve">Acutal contract notes 25,770,240 required per the contract. Balance to be addressed per transfer.  </t>
    </r>
    <r>
      <rPr>
        <sz val="8"/>
        <color theme="1"/>
        <rFont val="Calibri"/>
        <family val="2"/>
      </rPr>
      <t xml:space="preserve">Awating Quarter 1 invoice.  Balance will be invoiced quarterly. </t>
    </r>
  </si>
  <si>
    <t>847.8471305.1.420810.000000.847001.200179</t>
  </si>
  <si>
    <t>847.8471305.1.420811.000000.847001.200179</t>
  </si>
  <si>
    <t>transfer request of funds to software completed to underpitn previous budget cut</t>
  </si>
  <si>
    <t>847.8471305.1.421000.000000.847001.200179</t>
  </si>
  <si>
    <t>Estimates based on current prices for travel etc</t>
  </si>
  <si>
    <t xml:space="preserve">LCME review scheduled in Q2 for June/July. Support to ensure we are advancing medical student education to meet UAE  evolving needs in healthcare and alginment with US standards  Approved by ALC and ELC. Other consulting under discusion. </t>
  </si>
  <si>
    <t>Standards Certification Services (e.g. ISO)</t>
  </si>
  <si>
    <t>847.8471305.1.421700.000000.847001.200179</t>
  </si>
  <si>
    <t xml:space="preserve">American Heart Association training center certification and Audio Visual certifications will be renewed as per contract dates. Funding need to be evaluated mid year. </t>
  </si>
  <si>
    <t>422100</t>
  </si>
  <si>
    <t>Waste management service</t>
  </si>
  <si>
    <t>847.8471305.1.422100.000000.847001.200179</t>
  </si>
  <si>
    <t xml:space="preserve">Cleaning anatomy laboratory and discard of medical or laboratory waste in research labs. To be expended 2nd and 3rd quarter. </t>
  </si>
  <si>
    <t>847.8471305.1.425510.000000.847001.200179</t>
  </si>
  <si>
    <t>Planning to initiate local CME program attendance.  Confences to be schedlud over the next three quarters by chairs and dean. FLC director to plan as well locally.</t>
  </si>
  <si>
    <t>847.8471305.1.425550.000000.847001.200179</t>
  </si>
  <si>
    <t xml:space="preserve">Planning for  international attenence to academic programs.  Also considering hosting coferences later in the year. To be expended the next 3 qarters.  </t>
  </si>
  <si>
    <t>425720</t>
  </si>
  <si>
    <t>Education-Outsourced training service</t>
  </si>
  <si>
    <t>847.8471305.1.425720.000000.847001.200179</t>
  </si>
  <si>
    <t>Consultants and adjunct factulty  fees will be ultilsed later during the 2022 school year for training services.  ASG training, approved.</t>
  </si>
  <si>
    <t>425742</t>
  </si>
  <si>
    <t>Enrollment expenses</t>
  </si>
  <si>
    <t>847.8471305.1.425742.000000.847001.200179</t>
  </si>
  <si>
    <t xml:space="preserve">Funding requried as 2022 enrollment commences quarter 3 for new  and returning students. </t>
  </si>
  <si>
    <t>425745</t>
  </si>
  <si>
    <t>Student relocation &amp; travel exps</t>
  </si>
  <si>
    <t>847.8471305.1.425745.000000.847001.200179</t>
  </si>
  <si>
    <t xml:space="preserve">will be expended before the end of Q3 </t>
  </si>
  <si>
    <t>425746</t>
  </si>
  <si>
    <t>Student Transport</t>
  </si>
  <si>
    <t>847.8471305.1.425746.000000.847001.200179</t>
  </si>
  <si>
    <t xml:space="preserve">will be expended as the 2022 - 2023 school year commences. </t>
  </si>
  <si>
    <t>425749</t>
  </si>
  <si>
    <t>Postgraduate Student Salaries</t>
  </si>
  <si>
    <t>847.8471305.1.425749.000000.847001.200179</t>
  </si>
  <si>
    <t>New student intake is estimated to be 30 - 50 . As the year progresses this  will be transferrerd to central Student Affairs Services.</t>
  </si>
  <si>
    <t>425750</t>
  </si>
  <si>
    <t>Skill assessment service</t>
  </si>
  <si>
    <t>847.8471305.1.425750.000000.847001.200179</t>
  </si>
  <si>
    <t xml:space="preserve"> Lecturio  - USMLE Prep, IFOM costs to underpin student success on standardized US testing program.</t>
  </si>
  <si>
    <t>425762</t>
  </si>
  <si>
    <t>Student Internship</t>
  </si>
  <si>
    <t>847.8471305.1.425762.000000.847001.200179</t>
  </si>
  <si>
    <t xml:space="preserve"> international  internship elective will be expended over the year. </t>
  </si>
  <si>
    <t>847.8471305.1.425763.000000.847001.200179</t>
  </si>
  <si>
    <t xml:space="preserve">Research funding as  requesed and approved for  all periods. </t>
  </si>
  <si>
    <t>425900</t>
  </si>
  <si>
    <t>Entertainment and hospitality</t>
  </si>
  <si>
    <t>847.8471305.1.425900.000000.847001.200179</t>
  </si>
  <si>
    <t>Hosting the PMB students prior to P1 acceptance. Interview lunches, HR recruitment, visiting faculty all departments</t>
  </si>
  <si>
    <t>426100</t>
  </si>
  <si>
    <t>Freight and shipping costs, not included elsewhere under purchase costs</t>
  </si>
  <si>
    <t>847.8471305.1.426100.000000.847001.200179</t>
  </si>
  <si>
    <t>Shipping posters, equipment, for conferencesetc.</t>
  </si>
  <si>
    <t>847.8471305.1.426610.000000.847001.200179</t>
  </si>
  <si>
    <t>Will be expensed over the next  3 months</t>
  </si>
  <si>
    <t>426900</t>
  </si>
  <si>
    <t>Postal, courier and other document delivery expenses</t>
  </si>
  <si>
    <t>847.8471305.1.426900.000000.847001.200179</t>
  </si>
  <si>
    <t>Will be expensed over the next  6 months</t>
  </si>
  <si>
    <t>847.8471305.1.427200.000000.847001.200179</t>
  </si>
  <si>
    <t xml:space="preserve">Will be expensed over the next  9 months, grant funding, publishing </t>
  </si>
  <si>
    <t>427710</t>
  </si>
  <si>
    <t>Subscriptions and membership fees: Trade organisations</t>
  </si>
  <si>
    <t>847.8471305.1.427710.000000.847001.200179</t>
  </si>
  <si>
    <t xml:space="preserve">fees are on a clycle according to the professional organization.  Memeberhsip fees for international alignment will be utlized in the calender year.  Which include memberships for Professional affiliations with Simulation and AMEE and AAHCI </t>
  </si>
  <si>
    <t>847.8471305.1.427810.000000.847001.200179</t>
  </si>
  <si>
    <t xml:space="preserve">Used over the calendar year for external communications.  </t>
  </si>
  <si>
    <t>847.8471305.1.428090.000000.847001.200179</t>
  </si>
  <si>
    <t>Sim and clinical skills members CPD, business mission ,  MCAT and international academic affliation site visits during 2022</t>
  </si>
  <si>
    <t>847.8471305.1.428640.000000.847001.200179</t>
  </si>
  <si>
    <t xml:space="preserve">FLC trophy, medals and other awards that are issued thoughout the calendar year.  Will be ultized before the end of 2022. </t>
  </si>
  <si>
    <t>847.8471305.1.432205.000000.847001.200179</t>
  </si>
  <si>
    <t xml:space="preserve">funding requested was  934,000 and only funded 26,000.  Will be utilized before the end ofQ3 for ongoing maintenance upgrades  (For Anatomy + OSCE) plus software programs. </t>
  </si>
  <si>
    <t>432209</t>
  </si>
  <si>
    <t>Laboratory equipment</t>
  </si>
  <si>
    <t>435330</t>
  </si>
  <si>
    <t>Library books</t>
  </si>
  <si>
    <t>435340</t>
  </si>
  <si>
    <t>Text books and library books</t>
  </si>
  <si>
    <t>435350</t>
  </si>
  <si>
    <t>Academic Publications</t>
  </si>
  <si>
    <t>435508</t>
  </si>
  <si>
    <t>Laboratory - Scientific</t>
  </si>
  <si>
    <t>435530</t>
  </si>
  <si>
    <t>School consumables, not specifically mentioned elsewhere</t>
  </si>
  <si>
    <t>847.8471305.1.436110.000000.847001.200179</t>
  </si>
  <si>
    <t xml:space="preserve">Transfered to fund for studet software learning needs for exam success. </t>
  </si>
  <si>
    <t>436120</t>
  </si>
  <si>
    <t>Stationery</t>
  </si>
  <si>
    <t>847.8471305.1.436120.000000.847001.200179</t>
  </si>
  <si>
    <t xml:space="preserve">Items to be ordered this quarter to meet the needs of CMHS. </t>
  </si>
  <si>
    <t>847.8471305.1.492310.000000.847001.300180</t>
  </si>
  <si>
    <t xml:space="preserve">Funds requested originally were cut by 99% and to mee the requirements the current funds showing were transferred to underpin the academic programs and student needs.  </t>
  </si>
  <si>
    <t>492316</t>
  </si>
  <si>
    <t>847.8471305.1.492316.000000.847001.300180</t>
  </si>
  <si>
    <t xml:space="preserve">Funds requested originally were cut by approximately 30%. The current funding reflected will be totally utilized before Q3.  </t>
  </si>
  <si>
    <t>492610</t>
  </si>
  <si>
    <t>Furniture &amp; Fixtures - Offices</t>
  </si>
  <si>
    <t>847.8471305.1.492610.000000.847001.300180</t>
  </si>
  <si>
    <t xml:space="preserve">Funds requested originally were cut by approximately 98% and the reming funds will be utilized before Q3 for phase 2 project completion. </t>
  </si>
  <si>
    <t>495140</t>
  </si>
  <si>
    <t>Copyrights, patents and licenses</t>
  </si>
  <si>
    <t>847.8471305.1.495140.000000.847001.300180</t>
  </si>
  <si>
    <t>8470230</t>
  </si>
  <si>
    <t>KUST - Graduate Studies</t>
  </si>
  <si>
    <t>420550</t>
  </si>
  <si>
    <t>Academic Advisory Service</t>
  </si>
  <si>
    <t>847.8470230.1.420550.000000.847001.200179</t>
  </si>
  <si>
    <t>Will be used for paying the external examiners of PhD defenses. This is usually done by end of Spring 2022, Summer 2022 and Fall 2022 and will depend on the number of students graduating in these semesters.</t>
  </si>
  <si>
    <t>847.8470230.1.425100.000000.847001.200179</t>
  </si>
  <si>
    <t>Will be used to advertise for Spring 2023 Admission graduate programs.</t>
  </si>
  <si>
    <t>847.8470230.1.425510.000000.847001.200179</t>
  </si>
  <si>
    <t>Will be used to cover the expenses of students attending local conferences and events.</t>
  </si>
  <si>
    <t>847.8470230.1.425550.000000.847001.200179</t>
  </si>
  <si>
    <t>Will be used to cover the expenses of students attending International conferences and events.</t>
  </si>
  <si>
    <t>425743</t>
  </si>
  <si>
    <t>Graduation rewards</t>
  </si>
  <si>
    <t>847.8470230.1.425743.000000.847001.200179</t>
  </si>
  <si>
    <t>To pay MI legacy students who are eligible for graduation award as per their contract.</t>
  </si>
  <si>
    <t>425744</t>
  </si>
  <si>
    <t>Student medical insurance</t>
  </si>
  <si>
    <t>847.8470230.1.425744.000000.847001.200179</t>
  </si>
  <si>
    <t>Will be used to pay students medical insurance.  The payment will be made mainly in Fall 2022 semester.  There is also a proposal to upgrade the insurance plan for graduate students.</t>
  </si>
  <si>
    <t>847.8470230.1.425745.000000.847001.200179</t>
  </si>
  <si>
    <t>The amount will be used for mobilization and demobilization of students, as well as annual travel allowance payments in April and November.</t>
  </si>
  <si>
    <t>847.8470230.1.425749.000000.847001.200179</t>
  </si>
  <si>
    <t>More than 25% of funds is already used during Q1 to pay student stipends. The remaining 75% will be divided in the other quarters (Q2, Q3, Q4).</t>
  </si>
  <si>
    <t>425761</t>
  </si>
  <si>
    <t>Student Field trips</t>
  </si>
  <si>
    <t>847.8470230.1.425761.000000.847001.200179</t>
  </si>
  <si>
    <t>To cover field trips for graduate students.</t>
  </si>
  <si>
    <t>847.8470230.1.425762.000000.847001.200179</t>
  </si>
  <si>
    <t>Will be used to cover the expenses of student internships. The internship program was launched recently.</t>
  </si>
  <si>
    <t>847.8470230.1.425900.000000.847001.200179</t>
  </si>
  <si>
    <t>Some social events will take place after Ramadan. The amount will be used to cover the expenses of these events.</t>
  </si>
  <si>
    <t>847.8470230.1.426610.000000.847001.200179</t>
  </si>
  <si>
    <t>For S/W licenses renewal.</t>
  </si>
  <si>
    <t>847.8470230.1.428090.000000.847001.200179</t>
  </si>
  <si>
    <t>Will be used to cover expenses related to events either locally or internationally.</t>
  </si>
  <si>
    <t>847.8470230.1.428640.000000.847001.200179</t>
  </si>
  <si>
    <t>Will be used for some initiatives related to graduate student recruitment, prizes for best thesis award, gifts for external examiners visiting KU in person.</t>
  </si>
  <si>
    <t>847.8470230.1.436110.000000.847001.200179</t>
  </si>
  <si>
    <t>Mainly for graduate catalog but can be used for other publication materials.</t>
  </si>
  <si>
    <t>847.8470230.1.492310.000000.847001.300180</t>
  </si>
  <si>
    <t>Was used to purchase laptops for graduate students.</t>
  </si>
  <si>
    <t>8471010</t>
  </si>
  <si>
    <t>KUST - Continuing Education Office</t>
  </si>
  <si>
    <t>847.8471010.1.425100.000000.847001.200179</t>
  </si>
  <si>
    <t>847.8471010.1.425510.000000.847001.200179</t>
  </si>
  <si>
    <t>847.8471010.1.425720.000000.847001.200179</t>
  </si>
  <si>
    <t>847.8471010.1.425900.000000.847001.200179</t>
  </si>
  <si>
    <t>847.8471010.1.436110.000000.847001.200179</t>
  </si>
  <si>
    <t>847.8471010.1.436120.000000.847001.200179</t>
  </si>
  <si>
    <t>8470620</t>
  </si>
  <si>
    <t>KUST - Finance Operations</t>
  </si>
  <si>
    <t>420130</t>
  </si>
  <si>
    <t>External Audit service</t>
  </si>
  <si>
    <t>847.8470620.1.420130.000000.847001.200179</t>
  </si>
  <si>
    <t xml:space="preserve">*full year audit 2021 invoice received AED 90,900.  will be paid once BOT approve FS.  Expected during Q2.
*mid year 2021 invoice received AED 35,350.  will be paid once the mid year report singed by BOT members.  Expected during Q2
*ICFR year 2021 not yet completed. as per the agreement AED 60,600. expected in Q2
*ICFR year 2022 not yet completed. as per the agreement AED 60,600. expected in Q3
</t>
  </si>
  <si>
    <t xml:space="preserve">
* the remaining balance will be used for the translation cost for audit reports full/mid &amp; ICFR.  Not clear how much Deloitte will charge us</t>
  </si>
  <si>
    <t>847.8470620.1.421100.000000.847001.200179</t>
  </si>
  <si>
    <t>422900</t>
  </si>
  <si>
    <t>Other specialised professional services, not mentioned elsewhere</t>
  </si>
  <si>
    <t>847.8470620.1.422900.000000.847001.200179</t>
  </si>
  <si>
    <t>425300</t>
  </si>
  <si>
    <t>Banking service charges / Fees</t>
  </si>
  <si>
    <t>847.8470620.1.425300.000000.847001.200179</t>
  </si>
  <si>
    <t>bank auto charges for the daily transaction</t>
  </si>
  <si>
    <t>425350</t>
  </si>
  <si>
    <t>Fees for processing e-payments-e-Payment operation</t>
  </si>
  <si>
    <t>847.8470620.1.425350.000000.847001.200179</t>
  </si>
  <si>
    <t>847.8470620.1.426610.000000.847001.200179</t>
  </si>
  <si>
    <t>renewal of SPAN tagging system</t>
  </si>
  <si>
    <t>847.8470620.1.436110.000000.847001.200179</t>
  </si>
  <si>
    <t>847.8470620.1.436120.000000.847001.200179</t>
  </si>
  <si>
    <t>8471210</t>
  </si>
  <si>
    <t>KUST - SVP/ Academic &amp; Student Services Office</t>
  </si>
  <si>
    <t>847.8471210.1.425900.000000.847001.200179</t>
  </si>
  <si>
    <t>847.8471210.1.428090.000000.847001.200179</t>
  </si>
  <si>
    <t>The amount is for SVP’s business travel which aim to identify detailed frameworks for cooperation and partnership with international universities to benchmark experiences and develop joint programs for student exchange and internships.</t>
  </si>
  <si>
    <t>847.8471210.1.428640.000000.847001.200179</t>
  </si>
  <si>
    <t>847.8471210.1.435530.000000.847001.200179</t>
  </si>
  <si>
    <t>8471220</t>
  </si>
  <si>
    <t>KUST - Registrar</t>
  </si>
  <si>
    <t>847.8471220.1.425510.000000.847001.200179</t>
  </si>
  <si>
    <t>425741</t>
  </si>
  <si>
    <t>Student stipend</t>
  </si>
  <si>
    <t>847.8471220.1.425741.000000.847001.200179</t>
  </si>
  <si>
    <t xml:space="preserve">Jan 2022                                           4,239,273.00 	14 Days only
Feb 2022	                                           9,090,534.00 	Full
Mar 2022	                                           8,953,733.33 	Full
	                                           22,283,540.33 	</t>
  </si>
  <si>
    <t>847.8471220.1.426900.000000.847001.200179</t>
  </si>
  <si>
    <t>847.8471220.1.435340.000000.847001.200179</t>
  </si>
  <si>
    <t>The  remaining amount is for Summer and Fall</t>
  </si>
  <si>
    <t>847.8471220.1.436110.000000.847001.200179</t>
  </si>
  <si>
    <t>847.8471220.1.436120.000000.847001.200179</t>
  </si>
  <si>
    <t>8471230</t>
  </si>
  <si>
    <t>KUST - Student Enrollment</t>
  </si>
  <si>
    <t>847.8471230.1.425742.000000.847001.200179</t>
  </si>
  <si>
    <t>We will be needing the remaining funds to cover events and activities for the department such as:
-	International trips to recruit students (ongoing) for both UG and PG.
-	Participating in Exhibition such as Najah, Sharjah Expo including virtual events.
-	KU Community Webinars
-	AlNokhba Program
-	Marketing Materials and Digital Campaigns
-	Abu Dhabi science Festival
-	In-campus School visits logistics 
-	Exams Licenses such as Aleks, Oxford Placement Test.
-	High school Summer Competition</t>
  </si>
  <si>
    <t>847.8471230.1.426610.000000.847001.200179</t>
  </si>
  <si>
    <t>we need the fund to help in the implementation of the new CRM system.</t>
  </si>
  <si>
    <t>8471240</t>
  </si>
  <si>
    <t>KUST - Student Success</t>
  </si>
  <si>
    <t>847.8471240.1.425510.000000.847001.200179</t>
  </si>
  <si>
    <t>We anticipate using the funds for our study abroad program</t>
  </si>
  <si>
    <t>We will be able to fully take abvantage of conference, seminars and exhibitions</t>
  </si>
  <si>
    <t>847.8471240.1.425720.000000.847001.200179</t>
  </si>
  <si>
    <t>We are planning to provide opportunities for internal and extenal educational opportunites</t>
  </si>
  <si>
    <t>Providing training for both staff and students</t>
  </si>
  <si>
    <t>847.8471240.1.425750.000000.847001.200179</t>
  </si>
  <si>
    <t>The encorporation of ILM certification</t>
  </si>
  <si>
    <t>We will certifiy our existing non-credit programs with ILM certification</t>
  </si>
  <si>
    <t>847.8471240.1.425761.000000.847001.200179</t>
  </si>
  <si>
    <t xml:space="preserve">Study abroad </t>
  </si>
  <si>
    <t>847.8471240.1.425900.000000.847001.200179</t>
  </si>
  <si>
    <t xml:space="preserve"> Catering for internal events</t>
  </si>
  <si>
    <t>We will provide refreshments for workshops and non-credit programs</t>
  </si>
  <si>
    <t>847.8471240.1.428090.000000.847001.200179</t>
  </si>
  <si>
    <t>Staff travel for training and official business</t>
  </si>
  <si>
    <t xml:space="preserve">Selected staff members will undergo training </t>
  </si>
  <si>
    <t>847.8471240.1.428640.000000.847001.200179</t>
  </si>
  <si>
    <t>Community Service awards</t>
  </si>
  <si>
    <t>Award students who have completed the most CS hours</t>
  </si>
  <si>
    <t>847.8471240.1.435330.000000.847001.200179</t>
  </si>
  <si>
    <t>Professional development</t>
  </si>
  <si>
    <t>Purchase books for professional development</t>
  </si>
  <si>
    <t>847.8471240.1.436110.000000.847001.200179</t>
  </si>
  <si>
    <t>Printing material for ceremonies and gifts</t>
  </si>
  <si>
    <t>Golden Key and study abroad material</t>
  </si>
  <si>
    <t>847.8471240.1.436120.000000.847001.200179</t>
  </si>
  <si>
    <t>Stationary for staff and guests</t>
  </si>
  <si>
    <t>Provide stationary to perform departmental tasks, and make them available for guests</t>
  </si>
  <si>
    <t>8471250</t>
  </si>
  <si>
    <t>KUST - Career Services</t>
  </si>
  <si>
    <t>847.8471250.1.425510.000000.847001.200179</t>
  </si>
  <si>
    <t>This amount will be used for upcoming events (Career Fair, Employer recognition ceremony and Majors Day)</t>
  </si>
  <si>
    <t>847.8471250.1.425720.000000.847001.200179</t>
  </si>
  <si>
    <t>To be used to cover the Employers event and Alumni Reunion event</t>
  </si>
  <si>
    <t>847.8471250.1.425762.000000.847001.200179</t>
  </si>
  <si>
    <t>To be used for student International Internship (to cover airfare, accommodation, travel insurance and admission fees if any)</t>
  </si>
  <si>
    <t>847.8471250.1.425900.000000.847001.200179</t>
  </si>
  <si>
    <t>To be used to cover events and other expenses</t>
  </si>
  <si>
    <t>847.8471250.1.426610.000000.847001.200179</t>
  </si>
  <si>
    <t>To pay the renewal fee for our Alumni Portal</t>
  </si>
  <si>
    <t>847.8471250.1.428640.000000.847001.200179</t>
  </si>
  <si>
    <t>847.8471250.1.436110.000000.847001.200179</t>
  </si>
  <si>
    <t>8471260</t>
  </si>
  <si>
    <t>KUST - Student Life</t>
  </si>
  <si>
    <t>847.8471260.1.421100.000000.847001.200179</t>
  </si>
  <si>
    <t xml:space="preserve">DOF did the budget transfer for the manpower from Chapter 2 (Opex) to Chapter 1 (Manpower). This amount is expected to remain surplus. </t>
  </si>
  <si>
    <t>847.8471260.1.425510.000000.847001.200179</t>
  </si>
  <si>
    <t xml:space="preserve">In Q3, we will have the Orientation Event, In Q4, we will have National Day Celebration  </t>
  </si>
  <si>
    <t>847.8471260.1.425746.000000.847001.200179</t>
  </si>
  <si>
    <t xml:space="preserve">Invoices for Transportation Services </t>
  </si>
  <si>
    <r>
      <t xml:space="preserve">Invoices for Q1 are still not payed. Outstanding amount is </t>
    </r>
    <r>
      <rPr>
        <b/>
        <sz val="8"/>
        <color rgb="FFFF0000"/>
        <rFont val="Calibri"/>
        <family val="2"/>
        <scheme val="minor"/>
      </rPr>
      <t>AED. 3,462,760.20</t>
    </r>
  </si>
  <si>
    <t>425747</t>
  </si>
  <si>
    <t>Student Accommodation</t>
  </si>
  <si>
    <t>847.8471260.1.425747.000000.847001.200179</t>
  </si>
  <si>
    <t xml:space="preserve">We may need to rent for PG female students in case of shortage in rooms in Fall 2022. </t>
  </si>
  <si>
    <t>425760</t>
  </si>
  <si>
    <t>Student activities &amp; field trip expenses</t>
  </si>
  <si>
    <t>847.8471260.1.425760.000000.847001.200179</t>
  </si>
  <si>
    <t xml:space="preserve">Club Day + Social Gathering in KU Residences + Summer Programs + Other Students-led events </t>
  </si>
  <si>
    <t>AED 70,000 will be transferred to Entertainment and hospitality. The remaining is expected to be surplus.</t>
  </si>
  <si>
    <t>847.8471260.1.425900.000000.847001.200179</t>
  </si>
  <si>
    <t xml:space="preserve">Catering for events and activities on-campus and in Residences. </t>
  </si>
  <si>
    <t xml:space="preserve">We will transfer for other account to this account to ensure having enough fund. </t>
  </si>
  <si>
    <t>847.8471260.1.428640.000000.847001.200179</t>
  </si>
  <si>
    <t xml:space="preserve">Awards and Gifts for students engagements </t>
  </si>
  <si>
    <t>847.8471260.1.435530.000000.847001.200179</t>
  </si>
  <si>
    <t xml:space="preserve">Sports uniforms/jersey/training suits for Sports Teams. Tools, Materials &amp; Equipment for Sports Activities </t>
  </si>
  <si>
    <t>847.8471260.1.436110.000000.847001.200179</t>
  </si>
  <si>
    <t xml:space="preserve">For events and activities </t>
  </si>
  <si>
    <t>8471270</t>
  </si>
  <si>
    <t>KUST - Libraries</t>
  </si>
  <si>
    <t>847.8471270.1.425900.000000.847001.200179</t>
  </si>
  <si>
    <t>The library will host open access campaigns, author workshops, and publication events.</t>
  </si>
  <si>
    <t>847.8471270.1.428090.000000.847001.200179</t>
  </si>
  <si>
    <t xml:space="preserve">The library team will attend courses and workshops during the summer and fall semesters. </t>
  </si>
  <si>
    <t>847.8471270.1.435330.000000.847001.200179</t>
  </si>
  <si>
    <t>To renew the existing subscription and pending PRs, extend open access Almo system ( please refer to the attached justification sheet)</t>
  </si>
  <si>
    <t xml:space="preserve">The library worked hard to negotiate with the publishers &amp; suppliers, so we were able to reduce the percentage of the annual increase. The strategy of the three-year agreement helped control the increased rate. The library reviews the usage statistics every year to evaluate the databases subscription. </t>
  </si>
  <si>
    <t>847.8471270.1.436110.000000.847001.200179</t>
  </si>
  <si>
    <t>8471280</t>
  </si>
  <si>
    <t>KUST - Center for Teaching &amp; Learning</t>
  </si>
  <si>
    <t>847.8471280.1.425100.000000.847001.200179</t>
  </si>
  <si>
    <t xml:space="preserve"> brochures, fliers</t>
  </si>
  <si>
    <t>847.8471280.1.425510.000000.847001.200179</t>
  </si>
  <si>
    <t>PD week guest speakers' honorarium</t>
  </si>
  <si>
    <t>847.8471280.1.425550.000000.847001.200179</t>
  </si>
  <si>
    <t>Conferences in the Fall 2022</t>
  </si>
  <si>
    <t>847.8471280.1.425760.000000.847001.200179</t>
  </si>
  <si>
    <t>Experiential Learning Symposium</t>
  </si>
  <si>
    <t>425770</t>
  </si>
  <si>
    <t>Academic Missions - Combined expenses</t>
  </si>
  <si>
    <t>847.8471280.1.425770.000000.847001.200179</t>
  </si>
  <si>
    <t>CTL Mini-grants</t>
  </si>
  <si>
    <t>847.8471280.1.426610.000000.847001.200179</t>
  </si>
  <si>
    <t>Vevox, Monday.com and grant submission tools.</t>
  </si>
  <si>
    <t>847.8471280.1.428640.000000.847001.200179</t>
  </si>
  <si>
    <t>PD week, tutoring and mentoring supports and activities collaboration with other student services department</t>
  </si>
  <si>
    <t>432170</t>
  </si>
  <si>
    <t>Bldg decoration &amp; minor improvements</t>
  </si>
  <si>
    <t>847.8471280.1.432170.000000.847001.200179</t>
  </si>
  <si>
    <t>FM will implement Phase 2</t>
  </si>
  <si>
    <t>847.8471280.1.435340.000000.847001.200179</t>
  </si>
  <si>
    <t>Purchase e-books for faculty and student development</t>
  </si>
  <si>
    <t>847.8471280.1.435530.000000.847001.200179</t>
  </si>
  <si>
    <t>Stationery not included in FM storeroom, staff offices' material requirements</t>
  </si>
  <si>
    <t>Fund 435330</t>
  </si>
  <si>
    <t>Budget to hold for pending payments and PRs</t>
  </si>
  <si>
    <t>#</t>
  </si>
  <si>
    <t>Database</t>
  </si>
  <si>
    <t>Price AED</t>
  </si>
  <si>
    <t>Quarter</t>
  </si>
  <si>
    <t>Note</t>
  </si>
  <si>
    <t xml:space="preserve">ACM 2021 payment </t>
  </si>
  <si>
    <t>Q3</t>
  </si>
  <si>
    <t>Pending payment from 2021 ( Depend on the procurement process)</t>
  </si>
  <si>
    <t>OCLC 2021 payment</t>
  </si>
  <si>
    <t>SciFinder Scholar</t>
  </si>
  <si>
    <t>Pending PR for 2022</t>
  </si>
  <si>
    <t>20 minutes mentor</t>
  </si>
  <si>
    <t>For CTL</t>
  </si>
  <si>
    <t>ALMA  Renewal subscription</t>
  </si>
  <si>
    <t>Subscription renewal 2022-23</t>
  </si>
  <si>
    <t xml:space="preserve">ORCID </t>
  </si>
  <si>
    <t>By ECM</t>
  </si>
  <si>
    <t>Ezproxy</t>
  </si>
  <si>
    <t xml:space="preserve">Working on a change in the interface </t>
  </si>
  <si>
    <t xml:space="preserve">ALMA pending </t>
  </si>
  <si>
    <t>stage 2 payment after project completion</t>
  </si>
  <si>
    <t xml:space="preserve">Integarte Digital repository </t>
  </si>
  <si>
    <t>Q4</t>
  </si>
  <si>
    <t>Integrate institution repository with the new library system</t>
  </si>
  <si>
    <t>Cocrine library</t>
  </si>
  <si>
    <t>New databse requested by medical school</t>
  </si>
  <si>
    <t>Sage online library</t>
  </si>
  <si>
    <t>New databse requested by academic departments</t>
  </si>
  <si>
    <t>OpticsInfoBase</t>
  </si>
  <si>
    <t xml:space="preserve">Petrolium Economist </t>
  </si>
  <si>
    <t>Harward Business Review</t>
  </si>
  <si>
    <t>Open access additional funding</t>
  </si>
  <si>
    <t>Expand the open access publication based on academic council recommendations</t>
  </si>
  <si>
    <t>Credit card payments</t>
  </si>
  <si>
    <t>To fullfil the faculty request using the document delivery services</t>
  </si>
  <si>
    <t xml:space="preserve">Total </t>
  </si>
  <si>
    <t xml:space="preserve">Available Budget </t>
  </si>
  <si>
    <t xml:space="preserve">Expected budget Surplus amount </t>
  </si>
  <si>
    <t>847.8471280.1.492316.000000.847001.300180</t>
  </si>
  <si>
    <t>8470405</t>
  </si>
  <si>
    <t>KUST - Dean Of Arts &amp; Science</t>
  </si>
  <si>
    <t>847.8470405.1.420550.000000.847001.200179</t>
  </si>
  <si>
    <t>421700</t>
  </si>
  <si>
    <t>847.8470405.1.421700.000000.847001.200179</t>
  </si>
  <si>
    <t>847.8470405.1.425510.000000.847001.200179</t>
  </si>
  <si>
    <t>847.8470405.1.425550.000000.847001.200179</t>
  </si>
  <si>
    <t>847.8470405.1.425770.000000.847001.200179</t>
  </si>
  <si>
    <t>847.8470405.1.427710.000000.847001.200179</t>
  </si>
  <si>
    <t>847.8470405.1.432209.000000.847001.200179</t>
  </si>
  <si>
    <t>847.8470405.1.435350.000000.847001.200179</t>
  </si>
  <si>
    <t>8470410</t>
  </si>
  <si>
    <t>KUST - Institute of International &amp; Civil Security</t>
  </si>
  <si>
    <t>847.8470410.1.425761.000000.847001.200179</t>
  </si>
  <si>
    <t>847.8470410.1.425770.000000.847001.200179</t>
  </si>
  <si>
    <t>847.8470410.1.426610.000000.847001.200179</t>
  </si>
  <si>
    <t>847.8470410.1.435310.000000.847001.200179</t>
  </si>
  <si>
    <t>847.8470410.1.435350.000000.847001.200179</t>
  </si>
  <si>
    <t>8470415</t>
  </si>
  <si>
    <t>KUST - Chemistry</t>
  </si>
  <si>
    <t>847.8470415.1.421700.000000.847001.200179</t>
  </si>
  <si>
    <t>847.8470415.1.425100.000000.847001.200179</t>
  </si>
  <si>
    <t>847.8470415.1.425760.000000.847001.200179</t>
  </si>
  <si>
    <t>847.8470415.1.425763.000000.847001.200179</t>
  </si>
  <si>
    <t>847.8470415.1.425770.000000.847001.200179</t>
  </si>
  <si>
    <t>847.8470415.1.425900.000000.847001.200179</t>
  </si>
  <si>
    <t>847.8470415.1.426610.000000.847001.200179</t>
  </si>
  <si>
    <t>847.8470415.1.428640.000000.847001.200179</t>
  </si>
  <si>
    <t>847.8470415.1.432209.000000.847001.200179</t>
  </si>
  <si>
    <t>847.8470415.1.435350.000000.847001.200179</t>
  </si>
  <si>
    <t>847.8470415.1.435508.000000.847001.200179</t>
  </si>
  <si>
    <t>847.8470415.1.435519.000000.847001.200179</t>
  </si>
  <si>
    <t>8470425</t>
  </si>
  <si>
    <t>KUST - Physics</t>
  </si>
  <si>
    <t>847.8470425.1.425510.000000.847001.200179</t>
  </si>
  <si>
    <t>847.8470425.1.425550.000000.847001.200179</t>
  </si>
  <si>
    <t>847.8470425.1.425770.000000.847001.200179</t>
  </si>
  <si>
    <t>847.8470425.1.425900.000000.847001.200179</t>
  </si>
  <si>
    <t>847.8470425.1.426610.000000.847001.200179</t>
  </si>
  <si>
    <t>847.8470425.1.428090.000000.847001.200179</t>
  </si>
  <si>
    <t>847.8470425.1.435350.000000.847001.200179</t>
  </si>
  <si>
    <t>847.8470425.1.435508.000000.847001.200179</t>
  </si>
  <si>
    <t>8470430</t>
  </si>
  <si>
    <t>KUST - Preparatory Program</t>
  </si>
  <si>
    <t>847.8470430.1.425761.000000.847001.200179</t>
  </si>
  <si>
    <t>847.8470430.1.425770.000000.847001.200179</t>
  </si>
  <si>
    <t>847.8470430.1.425900.000000.847001.200179</t>
  </si>
  <si>
    <t>847.8470430.1.426610.000000.847001.200179</t>
  </si>
  <si>
    <t>847.8470430.1.435508.000000.847001.200179</t>
  </si>
  <si>
    <t>8470435</t>
  </si>
  <si>
    <t>KUST - Department of English</t>
  </si>
  <si>
    <t>847.8470435.1.425770.000000.847001.200179</t>
  </si>
  <si>
    <t>847.8470435.1.426610.000000.847001.200179</t>
  </si>
  <si>
    <t>847.8470435.1.435340.000000.847001.200179</t>
  </si>
  <si>
    <t>436600</t>
  </si>
  <si>
    <t>Training/Teaching equipment and other educational aid</t>
  </si>
  <si>
    <t>847.8470435.1.436600.000000.847001.200179</t>
  </si>
  <si>
    <t>8470440</t>
  </si>
  <si>
    <t>KUST - Humanities &amp; Social Sciences</t>
  </si>
  <si>
    <t>847.8470440.1.420550.000000.847001.200179</t>
  </si>
  <si>
    <t>847.8470440.1.420570.000000.847001.200179</t>
  </si>
  <si>
    <t>847.8470440.1.421700.000000.847001.200179</t>
  </si>
  <si>
    <t>847.8470440.1.425100.000000.847001.200179</t>
  </si>
  <si>
    <t>847.8470440.1.425510.000000.847001.200179</t>
  </si>
  <si>
    <t>847.8470440.1.425550.000000.847001.200179</t>
  </si>
  <si>
    <t>847.8470440.1.425761.000000.847001.200179</t>
  </si>
  <si>
    <t>847.8470440.1.425770.000000.847001.200179</t>
  </si>
  <si>
    <t>847.8470440.1.425900.000000.847001.200179</t>
  </si>
  <si>
    <t>847.8470440.1.426610.000000.847001.200179</t>
  </si>
  <si>
    <t>847.8470440.1.427710.000000.847001.200179</t>
  </si>
  <si>
    <t>847.8470440.1.428090.000000.847001.200179</t>
  </si>
  <si>
    <t>847.8470440.1.428640.000000.847001.200179</t>
  </si>
  <si>
    <t>847.8470440.1.435340.000000.847001.200179</t>
  </si>
  <si>
    <t>847.8470440.1.435350.000000.847001.200179</t>
  </si>
  <si>
    <t>847.8470440.1.436600.000000.847001.200179</t>
  </si>
  <si>
    <t>8470445</t>
  </si>
  <si>
    <t>KUST - Mathematics</t>
  </si>
  <si>
    <t>847.8470445.1.425100.000000.847001.200179</t>
  </si>
  <si>
    <t>847.8470445.1.425720.000000.847001.200179</t>
  </si>
  <si>
    <t>847.8470445.1.425760.000000.847001.200179</t>
  </si>
  <si>
    <t>847.8470445.1.425763.000000.847001.200179</t>
  </si>
  <si>
    <t>847.8470445.1.425770.000000.847001.200179</t>
  </si>
  <si>
    <t>847.8470445.1.426610.000000.847001.200179</t>
  </si>
  <si>
    <t>847.8470445.1.435350.000000.847001.200179</t>
  </si>
  <si>
    <t>8470450</t>
  </si>
  <si>
    <t>KUST - Earth Science</t>
  </si>
  <si>
    <t>847.8470450.1.425761.000000.847001.200179</t>
  </si>
  <si>
    <t>847.8470450.1.425770.000000.847001.200179</t>
  </si>
  <si>
    <t>847.8470450.1.426610.000000.847001.200179</t>
  </si>
  <si>
    <t>847.8470450.1.428090.000000.847001.200179</t>
  </si>
  <si>
    <t>847.8470450.1.432209.000000.847001.200179</t>
  </si>
  <si>
    <t>847.8470450.1.435350.000000.847001.200179</t>
  </si>
  <si>
    <t>847.8470450.1.435508.000000.847001.200179</t>
  </si>
  <si>
    <t>8470455</t>
  </si>
  <si>
    <t>KUST – Biology</t>
  </si>
  <si>
    <t>847.8470455.1.425760.000000.847001.200179</t>
  </si>
  <si>
    <t>847.8470455.1.425770.000000.847001.200179</t>
  </si>
  <si>
    <t>847.8470455.1.425900.000000.847001.200179</t>
  </si>
  <si>
    <t>847.8470455.1.426610.000000.847001.200179</t>
  </si>
  <si>
    <t>847.8470455.1.428090.000000.847001.200179</t>
  </si>
  <si>
    <t>847.8470455.1.428640.000000.847001.200179</t>
  </si>
  <si>
    <t>847.8470455.1.432209.000000.847001.200179</t>
  </si>
  <si>
    <t>847.8470455.1.435350.000000.847001.200179</t>
  </si>
  <si>
    <t>847.8470455.1.435508.000000.847001.200179</t>
  </si>
  <si>
    <t>847.8470455.1.436110.000000.847001.200179</t>
  </si>
  <si>
    <t>847.8470415.1.492316.000000.847001.300180</t>
  </si>
  <si>
    <t>847.8470425.1.492310.000000.847001.300180</t>
  </si>
  <si>
    <t>847.8470425.1.492316.000000.847001.300180</t>
  </si>
  <si>
    <t>847.8470450.1.492310.000000.847001.300180</t>
  </si>
  <si>
    <t>847.8470450.1.492316.000000.847001.300180</t>
  </si>
  <si>
    <t>847.8470455.1.492316.000000.847001.300180</t>
  </si>
  <si>
    <t>8470305</t>
  </si>
  <si>
    <t>KUST - Dean Of Engineering</t>
  </si>
  <si>
    <t>847.8470305.1.420550.000000.847001.200179</t>
  </si>
  <si>
    <t>847.8470305.1.420570.000000.847001.200179</t>
  </si>
  <si>
    <t>847.8470305.1.421700.000000.847001.200179</t>
  </si>
  <si>
    <t>847.8470305.1.425510.000000.847001.200179</t>
  </si>
  <si>
    <t>847.8470305.1.425763.000000.847001.200179</t>
  </si>
  <si>
    <t>847.8470305.1.425770.000000.847001.200179</t>
  </si>
  <si>
    <t>847.8470305.1.425900.000000.847001.200179</t>
  </si>
  <si>
    <t>847.8470305.1.426610.000000.847001.200179</t>
  </si>
  <si>
    <t>847.8470305.1.428090.000000.847001.200179</t>
  </si>
  <si>
    <t>847.8470305.1.428640.000000.847001.200179</t>
  </si>
  <si>
    <t>847.8470305.1.432209.000000.847001.200179</t>
  </si>
  <si>
    <t>847.8470305.1.435350.000000.847001.200179</t>
  </si>
  <si>
    <t>847.8470305.1.435508.000000.847001.200179</t>
  </si>
  <si>
    <t>847.8470305.1.436600.000000.847001.200179</t>
  </si>
  <si>
    <t>8470310</t>
  </si>
  <si>
    <t>KUST - Aerospace Engineering</t>
  </si>
  <si>
    <t>847.8470310.1.420550.000000.847001.200179</t>
  </si>
  <si>
    <t>847.8470310.1.425510.000000.847001.200179</t>
  </si>
  <si>
    <t>847.8470310.1.425760.000000.847001.200179</t>
  </si>
  <si>
    <t>847.8470310.1.425763.000000.847001.200179</t>
  </si>
  <si>
    <t>847.8470310.1.425770.000000.847001.200179</t>
  </si>
  <si>
    <t>847.8470310.1.425900.000000.847001.200179</t>
  </si>
  <si>
    <t>847.8470310.1.426610.000000.847001.200179</t>
  </si>
  <si>
    <t>847.8470310.1.428090.000000.847001.200179</t>
  </si>
  <si>
    <t>847.8470310.1.432209.000000.847001.200179</t>
  </si>
  <si>
    <t>847.8470310.1.435350.000000.847001.200179</t>
  </si>
  <si>
    <t>847.8470310.1.435508.000000.847001.200179</t>
  </si>
  <si>
    <t>847.8470310.1.436110.000000.847001.200179</t>
  </si>
  <si>
    <t>847.8470310.1.436600.000000.847001.200179</t>
  </si>
  <si>
    <t>8470315</t>
  </si>
  <si>
    <t>KUST - Biomedical Engineering</t>
  </si>
  <si>
    <t>847.8470315.1.420550.000000.847001.200179</t>
  </si>
  <si>
    <t>847.8470315.1.425510.000000.847001.200179</t>
  </si>
  <si>
    <t>847.8470315.1.425760.000000.847001.200179</t>
  </si>
  <si>
    <t>847.8470315.1.425763.000000.847001.200179</t>
  </si>
  <si>
    <t>847.8470315.1.425770.000000.847001.200179</t>
  </si>
  <si>
    <t>847.8470315.1.425900.000000.847001.200179</t>
  </si>
  <si>
    <t>847.8470315.1.426610.000000.847001.200179</t>
  </si>
  <si>
    <t>847.8470315.1.428090.000000.847001.200179</t>
  </si>
  <si>
    <t>847.8470315.1.432209.000000.847001.200179</t>
  </si>
  <si>
    <t>847.8470315.1.435350.000000.847001.200179</t>
  </si>
  <si>
    <t>847.8470315.1.435508.000000.847001.200179</t>
  </si>
  <si>
    <t>847.8470315.1.436110.000000.847001.200179</t>
  </si>
  <si>
    <t>847.8470315.1.436600.000000.847001.200179</t>
  </si>
  <si>
    <t>8470320</t>
  </si>
  <si>
    <t>KUST - Chemical Engineering</t>
  </si>
  <si>
    <t>847.8470320.1.420550.000000.847001.200179</t>
  </si>
  <si>
    <t>847.8470320.1.425510.000000.847001.200179</t>
  </si>
  <si>
    <t>847.8470320.1.425760.000000.847001.200179</t>
  </si>
  <si>
    <t>847.8470320.1.425763.000000.847001.200179</t>
  </si>
  <si>
    <t>847.8470320.1.425770.000000.847001.200179</t>
  </si>
  <si>
    <t>847.8470320.1.425900.000000.847001.200179</t>
  </si>
  <si>
    <t>847.8470320.1.426610.000000.847001.200179</t>
  </si>
  <si>
    <t>847.8470320.1.428090.000000.847001.200179</t>
  </si>
  <si>
    <t>847.8470320.1.435350.000000.847001.200179</t>
  </si>
  <si>
    <t>847.8470320.1.435508.000000.847001.200179</t>
  </si>
  <si>
    <t>847.8470320.1.436110.000000.847001.200179</t>
  </si>
  <si>
    <t>847.8470320.1.436600.000000.847001.200179</t>
  </si>
  <si>
    <t>8470325</t>
  </si>
  <si>
    <t>KUST - Civil Engineering</t>
  </si>
  <si>
    <t>847.8470325.1.420550.000000.847001.200179</t>
  </si>
  <si>
    <t>847.8470325.1.425510.000000.847001.200179</t>
  </si>
  <si>
    <t>847.8470325.1.425760.000000.847001.200179</t>
  </si>
  <si>
    <t>847.8470325.1.425763.000000.847001.200179</t>
  </si>
  <si>
    <t>847.8470325.1.425770.000000.847001.200179</t>
  </si>
  <si>
    <t>847.8470325.1.426610.000000.847001.200179</t>
  </si>
  <si>
    <t>847.8470325.1.428090.000000.847001.200179</t>
  </si>
  <si>
    <t>847.8470325.1.432209.000000.847001.200179</t>
  </si>
  <si>
    <t>847.8470325.1.435350.000000.847001.200179</t>
  </si>
  <si>
    <t>847.8470325.1.435508.000000.847001.200179</t>
  </si>
  <si>
    <t>8470330</t>
  </si>
  <si>
    <t>KUST - Electrical &amp; Computer Engineering</t>
  </si>
  <si>
    <t>847.8470330.1.420550.000000.847001.200179</t>
  </si>
  <si>
    <t>847.8470330.1.425510.000000.847001.200179</t>
  </si>
  <si>
    <t>847.8470330.1.425760.000000.847001.200179</t>
  </si>
  <si>
    <t>847.8470330.1.425763.000000.847001.200179</t>
  </si>
  <si>
    <t>847.8470330.1.425770.000000.847001.200179</t>
  </si>
  <si>
    <t>847.8470330.1.425900.000000.847001.200179</t>
  </si>
  <si>
    <t>847.8470330.1.426610.000000.847001.200179</t>
  </si>
  <si>
    <t>847.8470330.1.428640.000000.847001.200179</t>
  </si>
  <si>
    <t>847.8470330.1.432209.000000.847001.200179</t>
  </si>
  <si>
    <t>847.8470330.1.435350.000000.847001.200179</t>
  </si>
  <si>
    <t>847.8470330.1.435508.000000.847001.200179</t>
  </si>
  <si>
    <t>847.8470330.1.436600.000000.847001.200179</t>
  </si>
  <si>
    <t>8470335</t>
  </si>
  <si>
    <t>KUST - Industrial &amp; Systems Engineering</t>
  </si>
  <si>
    <t>847.8470335.1.420550.000000.847001.200179</t>
  </si>
  <si>
    <t>847.8470335.1.425510.000000.847001.200179</t>
  </si>
  <si>
    <t>847.8470335.1.425760.000000.847001.200179</t>
  </si>
  <si>
    <t>847.8470335.1.425763.000000.847001.200179</t>
  </si>
  <si>
    <t>847.8470335.1.425770.000000.847001.200179</t>
  </si>
  <si>
    <t>847.8470335.1.425900.000000.847001.200179</t>
  </si>
  <si>
    <t>847.8470335.1.426610.000000.847001.200179</t>
  </si>
  <si>
    <t>847.8470335.1.428090.000000.847001.200179</t>
  </si>
  <si>
    <t>847.8470335.1.435350.000000.847001.200179</t>
  </si>
  <si>
    <t>847.8470335.1.435508.000000.847001.200179</t>
  </si>
  <si>
    <t>847.8470335.1.436110.000000.847001.200179</t>
  </si>
  <si>
    <t>847.8470335.1.436600.000000.847001.200179</t>
  </si>
  <si>
    <t>8470340</t>
  </si>
  <si>
    <t>KUST - Mechanical Engineering</t>
  </si>
  <si>
    <t>847.8470340.1.420550.000000.847001.200179</t>
  </si>
  <si>
    <t>847.8470340.1.425510.000000.847001.200179</t>
  </si>
  <si>
    <t>847.8470340.1.425720.000000.847001.200179</t>
  </si>
  <si>
    <t>847.8470340.1.425760.000000.847001.200179</t>
  </si>
  <si>
    <t>847.8470340.1.425763.000000.847001.200179</t>
  </si>
  <si>
    <t>847.8470340.1.425770.000000.847001.200179</t>
  </si>
  <si>
    <t>847.8470340.1.425900.000000.847001.200179</t>
  </si>
  <si>
    <t>847.8470340.1.426610.000000.847001.200179</t>
  </si>
  <si>
    <t>847.8470340.1.432209.000000.847001.200179</t>
  </si>
  <si>
    <t>847.8470340.1.435350.000000.847001.200179</t>
  </si>
  <si>
    <t>847.8470340.1.435508.000000.847001.200179</t>
  </si>
  <si>
    <t>8470345</t>
  </si>
  <si>
    <t>KUST - Nuclear Engineering</t>
  </si>
  <si>
    <t>847.8470345.1.420550.000000.847001.200179</t>
  </si>
  <si>
    <t>847.8470345.1.425510.000000.847001.200179</t>
  </si>
  <si>
    <t>847.8470345.1.425760.000000.847001.200179</t>
  </si>
  <si>
    <t>847.8470345.1.425770.000000.847001.200179</t>
  </si>
  <si>
    <t>847.8470345.1.425900.000000.847001.200179</t>
  </si>
  <si>
    <t>847.8470345.1.426610.000000.847001.200179</t>
  </si>
  <si>
    <t>847.8470345.1.428090.000000.847001.200179</t>
  </si>
  <si>
    <t>847.8470345.1.435350.000000.847001.200179</t>
  </si>
  <si>
    <t>847.8470345.1.435508.000000.847001.200179</t>
  </si>
  <si>
    <t>847.8470345.1.436110.000000.847001.200179</t>
  </si>
  <si>
    <t>847.8470345.1.436600.000000.847001.200179</t>
  </si>
  <si>
    <t>8470350</t>
  </si>
  <si>
    <t>KUST - Petroleum Engineering</t>
  </si>
  <si>
    <t>847.8470350.1.425510.000000.847001.200179</t>
  </si>
  <si>
    <t>847.8470350.1.425760.000000.847001.200179</t>
  </si>
  <si>
    <t>847.8470350.1.425763.000000.847001.200179</t>
  </si>
  <si>
    <t>847.8470350.1.425770.000000.847001.200179</t>
  </si>
  <si>
    <t>847.8470350.1.425900.000000.847001.200179</t>
  </si>
  <si>
    <t>847.8470350.1.426610.000000.847001.200179</t>
  </si>
  <si>
    <t>847.8470350.1.432209.000000.847001.200179</t>
  </si>
  <si>
    <t>847.8470350.1.435340.000000.847001.200179</t>
  </si>
  <si>
    <t>847.8470350.1.435350.000000.847001.200179</t>
  </si>
  <si>
    <t>847.8470350.1.435508.000000.847001.200179</t>
  </si>
  <si>
    <t>847.8470350.1.436110.000000.847001.200179</t>
  </si>
  <si>
    <t>847.8470350.1.436600.000000.847001.200179</t>
  </si>
  <si>
    <t>847.8470310.1.492316.000000.847001.300180</t>
  </si>
  <si>
    <t>847.8470315.1.492316.000000.847001.300180</t>
  </si>
  <si>
    <t>847.8470320.1.492316.000000.847001.300180</t>
  </si>
  <si>
    <t>847.8470320.1.495140.000000.847001.300180</t>
  </si>
  <si>
    <t>847.8470325.1.492316.000000.847001.300180</t>
  </si>
  <si>
    <t>847.8470330.1.492316.000000.847001.300180</t>
  </si>
  <si>
    <t>847.8470335.1.492316.000000.847001.300180</t>
  </si>
  <si>
    <t>847.8470340.1.492316.000000.847001.300180</t>
  </si>
  <si>
    <t>847.8470345.1.492316.000000.847001.300180</t>
  </si>
  <si>
    <t>847.8470350.1.492316.000000.847001.300180</t>
  </si>
  <si>
    <t>8470520</t>
  </si>
  <si>
    <t>KUST - Environment, Health &amp; Safety</t>
  </si>
  <si>
    <t>847.8470520.1.425510.000000.847001.200179</t>
  </si>
  <si>
    <t>847.8470520.1.426100.000000.847001.200179</t>
  </si>
  <si>
    <t>847.8470520.1.427710.000000.847001.200179</t>
  </si>
  <si>
    <t>428200</t>
  </si>
  <si>
    <t>Health,safety&amp;environment awareness</t>
  </si>
  <si>
    <t>847.8470520.1.428200.000000.847001.200179</t>
  </si>
  <si>
    <t>847.8470520.1.428200.000000.847951.200179</t>
  </si>
  <si>
    <t>8470530</t>
  </si>
  <si>
    <t>KUST - Facilities Management</t>
  </si>
  <si>
    <t>420310</t>
  </si>
  <si>
    <t>Cleaning Services: Business premises</t>
  </si>
  <si>
    <t>847.8470530.1.420310.000000.847010.200179</t>
  </si>
  <si>
    <t>847.8470530.1.420310.000000.847015.200179</t>
  </si>
  <si>
    <t>847.8470530.1.420310.000000.847020.200179</t>
  </si>
  <si>
    <t>847.8470530.1.421000.000000.847010.200179</t>
  </si>
  <si>
    <t>847.8470530.1.421100.000000.847010.200179</t>
  </si>
  <si>
    <t>421600</t>
  </si>
  <si>
    <t>Security service</t>
  </si>
  <si>
    <t>847.8470530.1.421600.000000.847010.200179</t>
  </si>
  <si>
    <t>847.8470530.1.421600.000000.847015.200179</t>
  </si>
  <si>
    <t>847.8470530.1.421600.000000.847020.200179</t>
  </si>
  <si>
    <t>847.8470530.1.421600.000000.847030.200179</t>
  </si>
  <si>
    <t>847.8470530.1.425510.000000.847010.200179</t>
  </si>
  <si>
    <t>847.8470530.1.425900.000000.847010.200179</t>
  </si>
  <si>
    <t>426220</t>
  </si>
  <si>
    <t>Insurance - Fire and allied perils</t>
  </si>
  <si>
    <t>847.8470530.1.426220.000000.847010.200179</t>
  </si>
  <si>
    <t>847.8470530.1.426220.000000.847030.200179</t>
  </si>
  <si>
    <t>426250</t>
  </si>
  <si>
    <t>Insurance - Motor vehicles</t>
  </si>
  <si>
    <t>847.8470530.1.426250.000000.847010.200179</t>
  </si>
  <si>
    <t>847.8470530.1.428090.000000.847001.200179</t>
  </si>
  <si>
    <t>432120</t>
  </si>
  <si>
    <t>Bldg maintenance-Business premises</t>
  </si>
  <si>
    <t>847.8470530.1.432120.000000.847010.200179</t>
  </si>
  <si>
    <t>847.8470530.1.432120.000000.847015.200179</t>
  </si>
  <si>
    <t>847.8470530.1.432120.000000.847020.200179</t>
  </si>
  <si>
    <t>847.8470530.1.432120.000000.847030.200179</t>
  </si>
  <si>
    <t>847.8470530.1.432170.000000.847010.200179</t>
  </si>
  <si>
    <t>432320</t>
  </si>
  <si>
    <t>Residential Furniture and fixtures</t>
  </si>
  <si>
    <t>847.8470530.1.432320.000000.847010.200179</t>
  </si>
  <si>
    <t>8470540</t>
  </si>
  <si>
    <t>KUST - Administration</t>
  </si>
  <si>
    <t>847.8470540.1.421100.000000.847010.200179</t>
  </si>
  <si>
    <t>426800</t>
  </si>
  <si>
    <t>Motor vehicle registration and inspection charges</t>
  </si>
  <si>
    <t>847.8470540.1.426800.000000.847010.200179</t>
  </si>
  <si>
    <t>847.8470540.1.426900.000000.847010.200179</t>
  </si>
  <si>
    <t>428111</t>
  </si>
  <si>
    <t>Electricity consumption charges</t>
  </si>
  <si>
    <t>847.8470540.1.428111.000000.847010.200179</t>
  </si>
  <si>
    <t>847.8470540.1.428111.000000.847015.200179</t>
  </si>
  <si>
    <t>847.8470540.1.428111.000000.847020.200179</t>
  </si>
  <si>
    <t>847.8470540.1.428111.000000.847030.200179</t>
  </si>
  <si>
    <t>428112</t>
  </si>
  <si>
    <t>Water consumption charges</t>
  </si>
  <si>
    <t>847.8470540.1.428112.000000.847010.200179</t>
  </si>
  <si>
    <t>847.8470540.1.428112.000000.847015.200179</t>
  </si>
  <si>
    <t>847.8470540.1.428112.000000.847020.200179</t>
  </si>
  <si>
    <t>847.8470540.1.428112.000000.847030.200179</t>
  </si>
  <si>
    <t>429900</t>
  </si>
  <si>
    <t>Other services, not specifically mentioned elsewhere</t>
  </si>
  <si>
    <t>847.8470540.1.429900.000000.847010.200179</t>
  </si>
  <si>
    <t>430330</t>
  </si>
  <si>
    <t>Rental - Motor vehicles</t>
  </si>
  <si>
    <t>847.8470540.1.430330.000000.847010.200179</t>
  </si>
  <si>
    <t>847.8470540.1.432120.000000.847010.200179</t>
  </si>
  <si>
    <t>847.8470540.1.432120.000000.847020.200179</t>
  </si>
  <si>
    <t>432540</t>
  </si>
  <si>
    <t>Motor vehicles (non-military)</t>
  </si>
  <si>
    <t>847.8470540.1.432540.000000.847010.200179</t>
  </si>
  <si>
    <t>435410</t>
  </si>
  <si>
    <t>Catering supplies: Offices</t>
  </si>
  <si>
    <t>847.8470540.1.435410.000000.847020.200179</t>
  </si>
  <si>
    <t>435740</t>
  </si>
  <si>
    <t>Fuel, oil and lubricants: Motor vehicles</t>
  </si>
  <si>
    <t>847.8470540.1.435740.000000.847010.200179</t>
  </si>
  <si>
    <t>847.8470540.1.436110.000000.847010.200179</t>
  </si>
  <si>
    <t>847.8470520.1.492316.000000.847001.300180</t>
  </si>
  <si>
    <t>492200</t>
  </si>
  <si>
    <t>Capital expense - Buildings</t>
  </si>
  <si>
    <t>847.8470530.1.492200.000000.847001.300180</t>
  </si>
  <si>
    <t>847.8470530.1.492200.000000.847010.300180</t>
  </si>
  <si>
    <t>847.8470530.1.492200.000000.847015.300180</t>
  </si>
  <si>
    <t>847.8470530.1.492200.000000.847020.300180</t>
  </si>
  <si>
    <t>847.8470530.1.492610.000000.847010.300180</t>
  </si>
  <si>
    <t>847.8470530.1.492610.000000.847015.300180</t>
  </si>
  <si>
    <t>847.8470530.1.492610.000000.847020.300180</t>
  </si>
  <si>
    <t>847.8470530.1.495140.000000.847010.300180</t>
  </si>
  <si>
    <t>8470730</t>
  </si>
  <si>
    <t>KUST - Human Resources</t>
  </si>
  <si>
    <t>847.8470730.1.421000.000000.847001.200179</t>
  </si>
  <si>
    <t>847.8470730.1.425510.000000.847001.200179</t>
  </si>
  <si>
    <t>847.8470730.1.425900.000000.847001.200179</t>
  </si>
  <si>
    <t>847.8470730.1.426610.000000.847001.200179</t>
  </si>
  <si>
    <t>427900</t>
  </si>
  <si>
    <t>Translation and interpretation service</t>
  </si>
  <si>
    <t>847.8470730.1.427900.000000.847001.200179</t>
  </si>
  <si>
    <t>847.8470730.1.428640.000000.847001.200179</t>
  </si>
  <si>
    <t>847.8470730.1.436110.000000.847001.200179</t>
  </si>
  <si>
    <t>847.8470730.1.492610.000000.847001.300180</t>
  </si>
  <si>
    <t>8470110</t>
  </si>
  <si>
    <t>KUST - Office of the President</t>
  </si>
  <si>
    <t>847.8470110.1.420550.000000.847001.200179</t>
  </si>
  <si>
    <t>847.8470110.1.420570.000000.847001.200179</t>
  </si>
  <si>
    <t>420900</t>
  </si>
  <si>
    <t>Legal services</t>
  </si>
  <si>
    <t>847.8470110.1.420900.000000.847001.200179</t>
  </si>
  <si>
    <t>847.8470110.1.421000.000000.847001.200179</t>
  </si>
  <si>
    <t>847.8470110.1.421700.000000.847001.200179</t>
  </si>
  <si>
    <t>847.8470110.1.425510.000000.847001.200179</t>
  </si>
  <si>
    <t>847.8470110.1.425550.000000.847001.200179</t>
  </si>
  <si>
    <t>847.8470110.1.425900.000000.847001.200179</t>
  </si>
  <si>
    <t>847.8470110.1.426610.000000.847001.200179</t>
  </si>
  <si>
    <t>847.8470110.1.428090.000000.847001.200179</t>
  </si>
  <si>
    <t>428400</t>
  </si>
  <si>
    <t>Sponsorship expenses/contributions</t>
  </si>
  <si>
    <t>847.8470110.1.428400.000000.847001.200179</t>
  </si>
  <si>
    <t>847.8470110.1.428640.000000.847001.200179</t>
  </si>
  <si>
    <t>8470220</t>
  </si>
  <si>
    <t>KUST - Office of the Provost</t>
  </si>
  <si>
    <t>847.8470220.1.420550.000000.847001.200179</t>
  </si>
  <si>
    <t>847.8470220.1.420570.000000.847001.200179</t>
  </si>
  <si>
    <t>847.8470220.1.421700.000000.847001.200179</t>
  </si>
  <si>
    <t>847.8470220.1.425510.000000.847001.200179</t>
  </si>
  <si>
    <t>847.8470220.1.425550.000000.847001.200179</t>
  </si>
  <si>
    <t>425740</t>
  </si>
  <si>
    <t>Scholarships &amp; other financial aid</t>
  </si>
  <si>
    <t>847.8470220.1.425740.000000.847001.200179</t>
  </si>
  <si>
    <t>847.8470220.1.425900.000000.847001.200179</t>
  </si>
  <si>
    <t>847.8470220.1.426610.000000.847001.200179</t>
  </si>
  <si>
    <t>847.8470220.1.428090.000000.847001.200179</t>
  </si>
  <si>
    <t>847.8470220.1.428640.000000.847001.200179</t>
  </si>
  <si>
    <t>847.8470220.1.432205.000000.847001.200179</t>
  </si>
  <si>
    <t>8470720</t>
  </si>
  <si>
    <t>KUST - Procurement and Contracts</t>
  </si>
  <si>
    <t>847.8470720.1.421700.000000.847001.200179</t>
  </si>
  <si>
    <t>847.8470720.1.426900.000000.847001.200179</t>
  </si>
  <si>
    <t>847.8470720.1.428200.000000.847001.200179</t>
  </si>
  <si>
    <t>847.8470720.1.432120.000000.847001.200179</t>
  </si>
  <si>
    <t>847.8470720.1.435410.000000.847001.200179</t>
  </si>
  <si>
    <t>847.8470720.1.436110.000000.847001.200179</t>
  </si>
  <si>
    <t>847.8470720.1.436120.000000.847001.200179</t>
  </si>
  <si>
    <t>847.8470720.1.495110.000000.847001.300180</t>
  </si>
  <si>
    <t>495113</t>
  </si>
  <si>
    <t>847.8470720.1.495113.000000.847001.300180</t>
  </si>
  <si>
    <t>8471110</t>
  </si>
  <si>
    <t>KUST - SVP/ Research &amp; Development Office</t>
  </si>
  <si>
    <t>847.8471110.1.425900.000000.847001.200179</t>
  </si>
  <si>
    <t>847.8471110.1.427710.000000.847001.200179</t>
  </si>
  <si>
    <t>847.8471110.1.428090.000000.847001.200179</t>
  </si>
  <si>
    <t>8471120</t>
  </si>
  <si>
    <t>KUST - Institute for Automation, Information Science &amp; Communication</t>
  </si>
  <si>
    <t>847.8471120.1.425900.000000.847001.200179</t>
  </si>
  <si>
    <t>847.8471120.1.428090.000000.847001.200179</t>
  </si>
  <si>
    <t>847.8471120.1.429900.000000.847001.200179</t>
  </si>
  <si>
    <t>435523</t>
  </si>
  <si>
    <t>Scientific</t>
  </si>
  <si>
    <t>847.8471120.1.435523.000000.847001.200179</t>
  </si>
  <si>
    <t>8471121</t>
  </si>
  <si>
    <t>KUST - Petroleum Institute</t>
  </si>
  <si>
    <t>847.8471121.1.425510.000000.847001.200179</t>
  </si>
  <si>
    <t>847.8471121.1.425900.000000.847001.200179</t>
  </si>
  <si>
    <t>847.8471121.1.428090.000000.847001.200179</t>
  </si>
  <si>
    <t>847.8471121.1.432170.000000.847001.200179</t>
  </si>
  <si>
    <t>847.8471121.1.435523.000000.847001.200179</t>
  </si>
  <si>
    <t>8471122</t>
  </si>
  <si>
    <t>KUST - Masdar Institute</t>
  </si>
  <si>
    <t>847.8471122.1.425900.000000.847001.200179</t>
  </si>
  <si>
    <t>847.8471122.1.428090.000000.847001.200179</t>
  </si>
  <si>
    <t>8471130</t>
  </si>
  <si>
    <t>KUST - Research Service</t>
  </si>
  <si>
    <t>847.8471130.1.420811.000000.847001.200179</t>
  </si>
  <si>
    <t>847.8471130.1.426610.000000.847001.200179</t>
  </si>
  <si>
    <t>847.8471130.1.427900.000000.847001.200179</t>
  </si>
  <si>
    <t>847.8471130.1.428090.000000.847001.200179</t>
  </si>
  <si>
    <t>847.8471130.1.435523.000000.847001.200179</t>
  </si>
  <si>
    <t>8471140</t>
  </si>
  <si>
    <t>KUST - University Sponsored Research</t>
  </si>
  <si>
    <t>847.8471140.1.420570.000000.847001.200179</t>
  </si>
  <si>
    <t>847.8471140.1.428090.000000.847001.200179</t>
  </si>
  <si>
    <t>847.8471140.1.435523.000000.847001.200179</t>
  </si>
  <si>
    <t>8471150</t>
  </si>
  <si>
    <t>KUST - Technology Management &amp; Innovation</t>
  </si>
  <si>
    <t>847.8471150.1.420900.000000.847001.200179</t>
  </si>
  <si>
    <t>847.8471150.1.425510.000000.847001.200179</t>
  </si>
  <si>
    <t>847.8471150.1.425550.000000.847001.200179</t>
  </si>
  <si>
    <t>847.8471150.1.426610.000000.847001.200179</t>
  </si>
  <si>
    <t>847.8471150.1.428090.000000.847001.200179</t>
  </si>
  <si>
    <t>8471160</t>
  </si>
  <si>
    <t>KUST - Research Laboratories</t>
  </si>
  <si>
    <t>847.8471160.1.420810.000000.847001.200179</t>
  </si>
  <si>
    <t>847.8471160.1.420811.000000.847001.200179</t>
  </si>
  <si>
    <t>847.8471160.1.426610.000000.847001.200179</t>
  </si>
  <si>
    <t>847.8471160.1.432209.000000.847001.200179</t>
  </si>
  <si>
    <t>847.8471160.1.435508.000000.847001.200179</t>
  </si>
  <si>
    <t>8471170</t>
  </si>
  <si>
    <t>KUST - Research Computing</t>
  </si>
  <si>
    <t>847.8471170.1.420810.000000.847001.200179</t>
  </si>
  <si>
    <t>847.8471170.1.420811.000000.847001.200179</t>
  </si>
  <si>
    <t>847.8471170.1.425900.000000.847001.200179</t>
  </si>
  <si>
    <t>847.8471170.1.426610.000000.847001.200179</t>
  </si>
  <si>
    <t>847.8471170.1.428090.000000.847001.200179</t>
  </si>
  <si>
    <t>847.8471110.1.492316.000000.847001.300180</t>
  </si>
  <si>
    <t>847.8471140.1.492316.000000.847001.300180</t>
  </si>
  <si>
    <t>847.8471160.1.492200.000000.847001.300180</t>
  </si>
  <si>
    <t>847.8471160.1.492316.000000.847001.300180</t>
  </si>
  <si>
    <t>847.8471170.1.492316.000000.847001.300180</t>
  </si>
  <si>
    <t>847.8471170.1.495110.000000.847001.300180</t>
  </si>
  <si>
    <t>847.8471170.1.495113.000000.847001.300180</t>
  </si>
  <si>
    <t>Row Labels</t>
  </si>
  <si>
    <t xml:space="preserve"> Expected Budget Surplus Amount</t>
  </si>
  <si>
    <t xml:space="preserve"> Budget</t>
  </si>
  <si>
    <t>cost center group</t>
  </si>
  <si>
    <t>Information Technology/ANKABUT</t>
  </si>
  <si>
    <t xml:space="preserve">President's Office </t>
  </si>
  <si>
    <t>College of Engineering</t>
  </si>
  <si>
    <t>College of Arts &amp; Science</t>
  </si>
  <si>
    <t>Administration, Facilities and EHS Office</t>
  </si>
  <si>
    <t>Finance &amp; Business Development Office</t>
  </si>
  <si>
    <t>Continuing Education</t>
  </si>
  <si>
    <t>Senior Vice President, Research Office</t>
  </si>
  <si>
    <t>Academic and Student Services Office</t>
  </si>
  <si>
    <t>College of Medicine &amp; Health Sciences</t>
  </si>
  <si>
    <t>Cost center group</t>
  </si>
  <si>
    <t>Provost's office</t>
  </si>
  <si>
    <t xml:space="preserve"> Actual Amount</t>
  </si>
  <si>
    <t xml:space="preserve"> Fund Available</t>
  </si>
  <si>
    <t xml:space="preserve"> PR</t>
  </si>
  <si>
    <t xml:space="preserve"> PO</t>
  </si>
  <si>
    <t xml:space="preserve"> Quarter 3 Utilization Plan</t>
  </si>
  <si>
    <t xml:space="preserve"> Quarter 2 Utilization Plan</t>
  </si>
  <si>
    <t>HR office</t>
  </si>
  <si>
    <t>Procurement office</t>
  </si>
  <si>
    <t xml:space="preserve"> Quarter 4 Utilization Plan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</si>
</sst>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12" x14ac:knownFonts="1">
    <font>
      <sz val="11"/>
      <color theme="1"/>
      <name val="Calibri"/>
    </font>
    <font>
      <sz val="11"/>
      <color theme="1"/>
      <name val="Calibri"/>
      <family val="2"/>
      <scheme val="minor"/>
    </font>
    <font>
      <b/>
      <sz val="12"/>
      <color theme="1"/>
      <name val="Calibri"/>
    </font>
    <font>
      <sz val="8"/>
      <color theme="1"/>
      <name val="Calibri"/>
    </font>
    <font>
      <sz val="11"/>
      <color theme="1"/>
      <name val="Calibri"/>
    </font>
    <font>
      <sz val="8"/>
      <color theme="1"/>
      <name val="Calibri"/>
      <family val="2"/>
    </font>
    <font>
      <sz val="8"/>
      <name val="Calibri"/>
      <family val="2"/>
    </font>
    <font>
      <sz val="8"/>
      <color rgb="FFFF0000"/>
      <name val="Calibri"/>
      <family val="2"/>
    </font>
    <font>
      <sz val="11"/>
      <color theme="1"/>
      <name val="Calibri"/>
      <family val="2"/>
    </font>
    <font>
      <sz val="8"/>
      <color theme="1"/>
      <name val="Calibri"/>
      <family val="2"/>
      <scheme val="minor"/>
    </font>
    <font>
      <b/>
      <sz val="8"/>
      <color rgb="FFFF0000"/>
      <name val="Calibri"/>
      <family val="2"/>
      <scheme val="minor"/>
    </font>
    <font>
      <sz val="10"/>
      <color theme="1"/>
      <name val="Calibri"/>
      <family val="2"/>
    </font>
  </fonts>
  <fills count="7">
    <fill>
      <patternFill patternType="none"/>
    </fill>
    <fill>
      <patternFill patternType="gray125"/>
    </fill>
    <fill>
      <patternFill patternType="solid">
        <fgColor rgb="FFF0F4FA"/>
      </patternFill>
    </fill>
    <fill>
      <patternFill patternType="solid">
        <fgColor rgb="FFFFFFFF"/>
      </patternFill>
    </fill>
    <fill>
      <patternFill patternType="solid">
        <fgColor theme="0"/>
        <bgColor indexed="64"/>
      </patternFill>
    </fill>
    <fill>
      <patternFill patternType="solid">
        <fgColor theme="9" tint="0.59999389629810485"/>
        <bgColor indexed="64"/>
      </patternFill>
    </fill>
    <fill>
      <patternFill patternType="solid">
        <fgColor theme="4" tint="0.59999389629810485"/>
        <bgColor indexed="64"/>
      </patternFill>
    </fill>
  </fills>
  <borders count="25">
    <border>
      <left/>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bottom/>
      <diagonal/>
    </border>
    <border>
      <left/>
      <right style="thin">
        <color rgb="FF000000"/>
      </right>
      <top/>
      <bottom/>
      <diagonal/>
    </border>
    <border>
      <left/>
      <right style="thin">
        <color rgb="FF000000"/>
      </right>
      <top style="thin">
        <color rgb="FF000000"/>
      </top>
      <bottom/>
      <diagonal/>
    </border>
    <border>
      <left style="thin">
        <color indexed="64"/>
      </left>
      <right style="thin">
        <color indexed="64"/>
      </right>
      <top/>
      <bottom/>
      <diagonal/>
    </border>
    <border>
      <left style="thin">
        <color indexed="64"/>
      </left>
      <right style="thin">
        <color rgb="FF000000"/>
      </right>
      <top style="thin">
        <color rgb="FF000000"/>
      </top>
      <bottom style="thin">
        <color rgb="FF000000"/>
      </bottom>
      <diagonal/>
    </border>
    <border>
      <left style="thin">
        <color indexed="64"/>
      </left>
      <right style="thin">
        <color rgb="FF000000"/>
      </right>
      <top/>
      <bottom style="thin">
        <color rgb="FF000000"/>
      </bottom>
      <diagonal/>
    </border>
    <border>
      <left style="thin">
        <color indexed="64"/>
      </left>
      <right style="thin">
        <color rgb="FF000000"/>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4">
    <xf numFmtId="0" fontId="0" fillId="0" borderId="0"/>
    <xf numFmtId="43" fontId="4" fillId="0" borderId="0" applyFont="0" applyFill="0" applyBorder="0" applyAlignment="0" applyProtection="0"/>
    <xf numFmtId="0" fontId="8" fillId="0" borderId="0"/>
    <xf numFmtId="0" fontId="1" fillId="0" borderId="0"/>
  </cellStyleXfs>
  <cellXfs count="193">
    <xf numFmtId="0" fontId="0" fillId="0" borderId="0" xfId="0"/>
    <xf numFmtId="0" fontId="0" fillId="0" borderId="0" xfId="0" applyAlignment="1">
      <alignment horizontal="left" vertical="center"/>
    </xf>
    <xf numFmtId="0" fontId="2" fillId="0" borderId="0" xfId="0" applyFont="1" applyAlignment="1">
      <alignment horizontal="left" vertical="center"/>
    </xf>
    <xf numFmtId="0" fontId="0" fillId="0" borderId="0" xfId="0" applyAlignment="1">
      <alignment vertical="center"/>
    </xf>
    <xf numFmtId="0" fontId="0" fillId="0" borderId="0" xfId="0" applyAlignment="1">
      <alignment horizontal="center" vertical="center" wrapText="1"/>
    </xf>
    <xf numFmtId="0" fontId="3" fillId="2" borderId="1" xfId="0" applyFont="1" applyFill="1" applyBorder="1" applyAlignment="1">
      <alignment horizontal="left" vertical="center" wrapText="1"/>
    </xf>
    <xf numFmtId="0" fontId="3" fillId="2" borderId="2" xfId="0" applyFont="1" applyFill="1" applyBorder="1" applyAlignment="1">
      <alignment horizontal="left" vertical="center" wrapText="1"/>
    </xf>
    <xf numFmtId="0" fontId="3" fillId="2" borderId="3" xfId="0" applyFont="1" applyFill="1" applyBorder="1" applyAlignment="1">
      <alignment horizontal="left" vertical="center" wrapText="1"/>
    </xf>
    <xf numFmtId="0" fontId="3" fillId="2" borderId="4" xfId="0" applyFont="1" applyFill="1" applyBorder="1" applyAlignment="1">
      <alignment horizontal="left" vertical="center" wrapText="1"/>
    </xf>
    <xf numFmtId="0" fontId="3" fillId="3" borderId="5" xfId="0" applyFont="1" applyFill="1" applyBorder="1" applyAlignment="1">
      <alignment horizontal="left" vertical="center" wrapText="1"/>
    </xf>
    <xf numFmtId="0" fontId="3" fillId="3" borderId="6" xfId="0" applyFont="1" applyFill="1" applyBorder="1" applyAlignment="1">
      <alignment horizontal="left" vertical="center" wrapText="1"/>
    </xf>
    <xf numFmtId="0" fontId="3" fillId="3" borderId="7" xfId="0" applyFont="1" applyFill="1" applyBorder="1" applyAlignment="1">
      <alignment horizontal="left" vertical="center" wrapText="1"/>
    </xf>
    <xf numFmtId="0" fontId="0" fillId="0" borderId="0" xfId="0" applyAlignment="1">
      <alignment horizontal="center" vertical="center"/>
    </xf>
    <xf numFmtId="0" fontId="3" fillId="2" borderId="3" xfId="0" applyFont="1" applyFill="1" applyBorder="1" applyAlignment="1">
      <alignment horizontal="center" vertical="center" wrapText="1"/>
    </xf>
    <xf numFmtId="3" fontId="5" fillId="3" borderId="7" xfId="0" applyNumberFormat="1" applyFont="1" applyFill="1" applyBorder="1" applyAlignment="1">
      <alignment horizontal="right" vertical="center" wrapText="1"/>
    </xf>
    <xf numFmtId="0" fontId="5" fillId="3" borderId="7" xfId="0" applyFont="1" applyFill="1" applyBorder="1" applyAlignment="1">
      <alignment horizontal="left" vertical="center" wrapText="1"/>
    </xf>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164" fontId="5" fillId="3" borderId="7" xfId="1" applyNumberFormat="1" applyFont="1" applyFill="1" applyBorder="1" applyAlignment="1">
      <alignment horizontal="left" vertical="center" wrapText="1"/>
    </xf>
    <xf numFmtId="164" fontId="6" fillId="3" borderId="7" xfId="1" applyNumberFormat="1" applyFont="1" applyFill="1" applyBorder="1" applyAlignment="1">
      <alignment horizontal="left" vertical="center" wrapText="1"/>
    </xf>
    <xf numFmtId="0" fontId="5" fillId="3" borderId="5" xfId="0" applyFont="1" applyFill="1" applyBorder="1" applyAlignment="1">
      <alignment horizontal="left" vertical="top" wrapText="1"/>
    </xf>
    <xf numFmtId="0" fontId="5" fillId="3" borderId="6" xfId="0" applyFont="1" applyFill="1" applyBorder="1" applyAlignment="1">
      <alignment horizontal="left" vertical="top" wrapText="1"/>
    </xf>
    <xf numFmtId="0" fontId="5" fillId="3" borderId="7" xfId="0" applyFont="1" applyFill="1" applyBorder="1" applyAlignment="1">
      <alignment horizontal="left" vertical="top" wrapText="1"/>
    </xf>
    <xf numFmtId="3" fontId="5" fillId="3" borderId="8" xfId="0" applyNumberFormat="1" applyFont="1" applyFill="1" applyBorder="1" applyAlignment="1">
      <alignment horizontal="right" vertical="top" wrapText="1"/>
    </xf>
    <xf numFmtId="0" fontId="0" fillId="3" borderId="5" xfId="0" applyFill="1" applyBorder="1" applyAlignment="1">
      <alignment horizontal="right" vertical="top" wrapText="1"/>
    </xf>
    <xf numFmtId="0" fontId="0" fillId="3" borderId="6" xfId="0" applyFill="1" applyBorder="1" applyAlignment="1">
      <alignment horizontal="right" vertical="top" wrapText="1"/>
    </xf>
    <xf numFmtId="0" fontId="0" fillId="3" borderId="8" xfId="0" applyFill="1" applyBorder="1" applyAlignment="1">
      <alignment horizontal="right" vertical="top" wrapText="1"/>
    </xf>
    <xf numFmtId="3" fontId="5" fillId="3" borderId="6" xfId="0" applyNumberFormat="1" applyFont="1" applyFill="1" applyBorder="1" applyAlignment="1">
      <alignment horizontal="right" vertical="top" wrapText="1"/>
    </xf>
    <xf numFmtId="0" fontId="0" fillId="3" borderId="7" xfId="0" applyFill="1" applyBorder="1" applyAlignment="1">
      <alignment horizontal="right" vertical="top" wrapText="1"/>
    </xf>
    <xf numFmtId="3" fontId="5" fillId="3" borderId="7" xfId="0" applyNumberFormat="1" applyFont="1" applyFill="1" applyBorder="1" applyAlignment="1">
      <alignment horizontal="right" vertical="top" wrapText="1"/>
    </xf>
    <xf numFmtId="0" fontId="5" fillId="0" borderId="5" xfId="0" applyFont="1" applyFill="1" applyBorder="1" applyAlignment="1">
      <alignment horizontal="left" vertical="top" wrapText="1"/>
    </xf>
    <xf numFmtId="0" fontId="5" fillId="0" borderId="6" xfId="0" applyFont="1" applyFill="1" applyBorder="1" applyAlignment="1">
      <alignment horizontal="left" vertical="top" wrapText="1"/>
    </xf>
    <xf numFmtId="0" fontId="5" fillId="0" borderId="7" xfId="0" applyFont="1" applyFill="1" applyBorder="1" applyAlignment="1">
      <alignment horizontal="left" vertical="top" wrapText="1"/>
    </xf>
    <xf numFmtId="3" fontId="5" fillId="0" borderId="8" xfId="0" applyNumberFormat="1" applyFont="1" applyFill="1" applyBorder="1" applyAlignment="1">
      <alignment horizontal="right" vertical="top" wrapText="1"/>
    </xf>
    <xf numFmtId="3" fontId="5" fillId="0" borderId="5" xfId="0" applyNumberFormat="1" applyFont="1" applyFill="1" applyBorder="1" applyAlignment="1">
      <alignment horizontal="right" vertical="top" wrapText="1"/>
    </xf>
    <xf numFmtId="1" fontId="5" fillId="0" borderId="6" xfId="0" applyNumberFormat="1" applyFont="1" applyFill="1" applyBorder="1" applyAlignment="1">
      <alignment horizontal="right" vertical="top" wrapText="1"/>
    </xf>
    <xf numFmtId="3" fontId="5" fillId="0" borderId="6" xfId="0" applyNumberFormat="1" applyFont="1" applyFill="1" applyBorder="1" applyAlignment="1">
      <alignment horizontal="right" vertical="top" wrapText="1"/>
    </xf>
    <xf numFmtId="0" fontId="0" fillId="0" borderId="5" xfId="0" applyFill="1" applyBorder="1" applyAlignment="1">
      <alignment horizontal="right" vertical="top" wrapText="1"/>
    </xf>
    <xf numFmtId="0" fontId="0" fillId="0" borderId="6" xfId="0" applyFill="1" applyBorder="1" applyAlignment="1">
      <alignment horizontal="right" vertical="top" wrapText="1"/>
    </xf>
    <xf numFmtId="0" fontId="0" fillId="0" borderId="8" xfId="0" applyFill="1" applyBorder="1" applyAlignment="1">
      <alignment horizontal="right" vertical="top" wrapText="1"/>
    </xf>
    <xf numFmtId="4" fontId="5" fillId="4" borderId="7" xfId="0" applyNumberFormat="1" applyFont="1" applyFill="1" applyBorder="1" applyAlignment="1">
      <alignment horizontal="right" vertical="top" wrapText="1"/>
    </xf>
    <xf numFmtId="3" fontId="5" fillId="4" borderId="7" xfId="0" applyNumberFormat="1" applyFont="1" applyFill="1" applyBorder="1" applyAlignment="1">
      <alignment horizontal="right" vertical="top" wrapText="1"/>
    </xf>
    <xf numFmtId="0" fontId="5" fillId="4" borderId="7" xfId="0" applyFont="1" applyFill="1" applyBorder="1" applyAlignment="1">
      <alignment horizontal="left" vertical="top" wrapText="1"/>
    </xf>
    <xf numFmtId="0" fontId="5" fillId="3" borderId="8" xfId="0" applyFont="1" applyFill="1" applyBorder="1" applyAlignment="1">
      <alignment horizontal="left" vertical="center" wrapText="1"/>
    </xf>
    <xf numFmtId="0" fontId="6" fillId="3" borderId="8" xfId="0" applyFont="1" applyFill="1" applyBorder="1" applyAlignment="1">
      <alignment horizontal="left" vertical="center" wrapText="1"/>
    </xf>
    <xf numFmtId="0" fontId="5" fillId="4" borderId="8" xfId="0" applyFont="1" applyFill="1" applyBorder="1" applyAlignment="1">
      <alignment horizontal="left" vertical="top" wrapText="1"/>
    </xf>
    <xf numFmtId="0" fontId="3" fillId="2" borderId="12" xfId="0" applyFont="1" applyFill="1" applyBorder="1" applyAlignment="1">
      <alignment horizontal="left" vertical="center" wrapText="1"/>
    </xf>
    <xf numFmtId="0" fontId="0" fillId="0" borderId="9" xfId="0" applyBorder="1" applyAlignment="1">
      <alignment vertical="center"/>
    </xf>
    <xf numFmtId="0" fontId="3" fillId="2" borderId="9" xfId="0" applyFont="1" applyFill="1" applyBorder="1" applyAlignment="1">
      <alignment horizontal="left" vertical="center" wrapText="1"/>
    </xf>
    <xf numFmtId="0" fontId="0" fillId="0" borderId="9" xfId="0" applyBorder="1"/>
    <xf numFmtId="4" fontId="0" fillId="3" borderId="7" xfId="0" applyNumberFormat="1" applyFill="1" applyBorder="1" applyAlignment="1">
      <alignment horizontal="right" vertical="top" wrapText="1"/>
    </xf>
    <xf numFmtId="0" fontId="5" fillId="3" borderId="7" xfId="0" applyFont="1" applyFill="1" applyBorder="1" applyAlignment="1">
      <alignment horizontal="right" vertical="top" wrapText="1"/>
    </xf>
    <xf numFmtId="1" fontId="5" fillId="3" borderId="6" xfId="0" applyNumberFormat="1" applyFont="1" applyFill="1" applyBorder="1" applyAlignment="1">
      <alignment horizontal="right" vertical="top" wrapText="1"/>
    </xf>
    <xf numFmtId="0" fontId="5" fillId="4" borderId="7" xfId="0" applyFont="1" applyFill="1" applyBorder="1" applyAlignment="1">
      <alignment horizontal="right" vertical="top" wrapText="1"/>
    </xf>
    <xf numFmtId="3" fontId="5" fillId="4" borderId="9" xfId="0" applyNumberFormat="1" applyFont="1" applyFill="1" applyBorder="1" applyAlignment="1">
      <alignment horizontal="left" vertical="top" wrapText="1"/>
    </xf>
    <xf numFmtId="49" fontId="9" fillId="4" borderId="9" xfId="0" applyNumberFormat="1" applyFont="1" applyFill="1" applyBorder="1" applyAlignment="1">
      <alignment vertical="center" wrapText="1"/>
    </xf>
    <xf numFmtId="0" fontId="5" fillId="4" borderId="8" xfId="0" applyFont="1" applyFill="1" applyBorder="1" applyAlignment="1">
      <alignment horizontal="left" wrapText="1"/>
    </xf>
    <xf numFmtId="0" fontId="5" fillId="3" borderId="8" xfId="0" applyFont="1" applyFill="1" applyBorder="1" applyAlignment="1">
      <alignment horizontal="left" vertical="top" wrapText="1"/>
    </xf>
    <xf numFmtId="0" fontId="0" fillId="0" borderId="9" xfId="0" applyFill="1" applyBorder="1"/>
    <xf numFmtId="0" fontId="3" fillId="3" borderId="5" xfId="0" applyFont="1" applyFill="1" applyBorder="1" applyAlignment="1">
      <alignment horizontal="left" vertical="top"/>
    </xf>
    <xf numFmtId="0" fontId="3" fillId="3" borderId="6" xfId="0" applyFont="1" applyFill="1" applyBorder="1" applyAlignment="1">
      <alignment horizontal="left" vertical="top"/>
    </xf>
    <xf numFmtId="0" fontId="3" fillId="3" borderId="7" xfId="0" applyFont="1" applyFill="1" applyBorder="1" applyAlignment="1">
      <alignment horizontal="left" vertical="top"/>
    </xf>
    <xf numFmtId="3" fontId="3" fillId="3" borderId="8" xfId="0" applyNumberFormat="1" applyFont="1" applyFill="1" applyBorder="1" applyAlignment="1">
      <alignment horizontal="right" vertical="top"/>
    </xf>
    <xf numFmtId="0" fontId="0" fillId="3" borderId="5" xfId="0" applyFill="1" applyBorder="1" applyAlignment="1">
      <alignment horizontal="right" vertical="top"/>
    </xf>
    <xf numFmtId="0" fontId="0" fillId="3" borderId="6" xfId="0" applyFill="1" applyBorder="1" applyAlignment="1">
      <alignment horizontal="right" vertical="top"/>
    </xf>
    <xf numFmtId="0" fontId="0" fillId="3" borderId="8" xfId="0" applyFill="1" applyBorder="1" applyAlignment="1">
      <alignment horizontal="right" vertical="top"/>
    </xf>
    <xf numFmtId="3" fontId="3" fillId="3" borderId="6" xfId="0" applyNumberFormat="1" applyFont="1" applyFill="1" applyBorder="1" applyAlignment="1">
      <alignment horizontal="right" vertical="top"/>
    </xf>
    <xf numFmtId="3" fontId="3" fillId="3" borderId="7" xfId="0" applyNumberFormat="1" applyFont="1" applyFill="1" applyBorder="1" applyAlignment="1">
      <alignment horizontal="right" vertical="top"/>
    </xf>
    <xf numFmtId="0" fontId="0" fillId="3" borderId="7" xfId="0" applyFill="1" applyBorder="1" applyAlignment="1">
      <alignment horizontal="right" vertical="top"/>
    </xf>
    <xf numFmtId="3" fontId="3" fillId="3" borderId="5" xfId="0" applyNumberFormat="1" applyFont="1" applyFill="1" applyBorder="1" applyAlignment="1">
      <alignment horizontal="right" vertical="top"/>
    </xf>
    <xf numFmtId="0" fontId="6" fillId="3" borderId="7" xfId="0" applyFont="1" applyFill="1" applyBorder="1" applyAlignment="1">
      <alignment horizontal="left" vertical="top" wrapText="1"/>
    </xf>
    <xf numFmtId="0" fontId="3" fillId="3" borderId="7" xfId="0" applyFont="1" applyFill="1" applyBorder="1" applyAlignment="1">
      <alignment horizontal="left" vertical="top" wrapText="1"/>
    </xf>
    <xf numFmtId="43" fontId="5" fillId="3" borderId="8" xfId="1" applyFont="1" applyFill="1" applyBorder="1" applyAlignment="1">
      <alignment horizontal="right" vertical="center" wrapText="1"/>
    </xf>
    <xf numFmtId="43" fontId="5" fillId="3" borderId="5" xfId="1" applyFont="1" applyFill="1" applyBorder="1" applyAlignment="1">
      <alignment horizontal="right" vertical="center" wrapText="1"/>
    </xf>
    <xf numFmtId="43" fontId="5" fillId="3" borderId="6" xfId="1" applyFont="1" applyFill="1" applyBorder="1" applyAlignment="1">
      <alignment horizontal="right" vertical="center" wrapText="1"/>
    </xf>
    <xf numFmtId="43" fontId="5" fillId="3" borderId="7" xfId="1" applyFont="1" applyFill="1" applyBorder="1" applyAlignment="1">
      <alignment horizontal="right" vertical="center" wrapText="1"/>
    </xf>
    <xf numFmtId="43" fontId="5" fillId="0" borderId="8" xfId="1" applyFont="1" applyFill="1" applyBorder="1" applyAlignment="1">
      <alignment horizontal="right" vertical="top" wrapText="1"/>
    </xf>
    <xf numFmtId="43" fontId="0" fillId="0" borderId="5" xfId="1" applyFont="1" applyFill="1" applyBorder="1" applyAlignment="1">
      <alignment horizontal="right" vertical="top" wrapText="1"/>
    </xf>
    <xf numFmtId="43" fontId="0" fillId="0" borderId="6" xfId="1" applyFont="1" applyFill="1" applyBorder="1" applyAlignment="1">
      <alignment horizontal="right" vertical="top" wrapText="1"/>
    </xf>
    <xf numFmtId="43" fontId="0" fillId="0" borderId="8" xfId="1" applyFont="1" applyFill="1" applyBorder="1" applyAlignment="1">
      <alignment horizontal="right" vertical="top" wrapText="1"/>
    </xf>
    <xf numFmtId="43" fontId="5" fillId="0" borderId="6" xfId="1" applyFont="1" applyFill="1" applyBorder="1" applyAlignment="1">
      <alignment horizontal="right" vertical="top" wrapText="1"/>
    </xf>
    <xf numFmtId="43" fontId="0" fillId="3" borderId="8" xfId="1" applyFont="1" applyFill="1" applyBorder="1" applyAlignment="1">
      <alignment horizontal="right" vertical="top" wrapText="1"/>
    </xf>
    <xf numFmtId="43" fontId="0" fillId="3" borderId="6" xfId="1" applyFont="1" applyFill="1" applyBorder="1" applyAlignment="1">
      <alignment horizontal="right" vertical="top" wrapText="1"/>
    </xf>
    <xf numFmtId="43" fontId="0" fillId="3" borderId="7" xfId="1" applyFont="1" applyFill="1" applyBorder="1" applyAlignment="1">
      <alignment horizontal="right" vertical="top" wrapText="1"/>
    </xf>
    <xf numFmtId="43" fontId="5" fillId="3" borderId="8" xfId="1" applyFont="1" applyFill="1" applyBorder="1" applyAlignment="1">
      <alignment horizontal="right" vertical="top" wrapText="1"/>
    </xf>
    <xf numFmtId="43" fontId="5" fillId="3" borderId="5" xfId="1" applyFont="1" applyFill="1" applyBorder="1" applyAlignment="1">
      <alignment horizontal="right" vertical="top" wrapText="1"/>
    </xf>
    <xf numFmtId="43" fontId="5" fillId="3" borderId="6" xfId="1" applyFont="1" applyFill="1" applyBorder="1" applyAlignment="1">
      <alignment horizontal="right" vertical="top" wrapText="1"/>
    </xf>
    <xf numFmtId="43" fontId="5" fillId="3" borderId="7" xfId="1" applyFont="1" applyFill="1" applyBorder="1" applyAlignment="1">
      <alignment horizontal="right" vertical="top" wrapText="1"/>
    </xf>
    <xf numFmtId="43" fontId="3" fillId="3" borderId="8" xfId="1" applyFont="1" applyFill="1" applyBorder="1" applyAlignment="1">
      <alignment horizontal="right" vertical="top"/>
    </xf>
    <xf numFmtId="43" fontId="0" fillId="3" borderId="5" xfId="1" applyFont="1" applyFill="1" applyBorder="1" applyAlignment="1">
      <alignment horizontal="right" vertical="top"/>
    </xf>
    <xf numFmtId="43" fontId="3" fillId="3" borderId="6" xfId="1" applyFont="1" applyFill="1" applyBorder="1" applyAlignment="1">
      <alignment horizontal="right" vertical="top"/>
    </xf>
    <xf numFmtId="43" fontId="0" fillId="3" borderId="8" xfId="1" applyFont="1" applyFill="1" applyBorder="1" applyAlignment="1">
      <alignment horizontal="right" vertical="top"/>
    </xf>
    <xf numFmtId="43" fontId="0" fillId="3" borderId="6" xfId="1" applyFont="1" applyFill="1" applyBorder="1" applyAlignment="1">
      <alignment horizontal="right" vertical="top"/>
    </xf>
    <xf numFmtId="43" fontId="0" fillId="3" borderId="7" xfId="1" applyFont="1" applyFill="1" applyBorder="1" applyAlignment="1">
      <alignment horizontal="right" vertical="top"/>
    </xf>
    <xf numFmtId="43" fontId="3" fillId="3" borderId="7" xfId="1" applyFont="1" applyFill="1" applyBorder="1" applyAlignment="1">
      <alignment horizontal="right" vertical="top"/>
    </xf>
    <xf numFmtId="43" fontId="6" fillId="3" borderId="8" xfId="1" applyFont="1" applyFill="1" applyBorder="1" applyAlignment="1">
      <alignment horizontal="right" vertical="center" wrapText="1"/>
    </xf>
    <xf numFmtId="43" fontId="6" fillId="3" borderId="6" xfId="1" applyFont="1" applyFill="1" applyBorder="1" applyAlignment="1">
      <alignment horizontal="right" vertical="center" wrapText="1"/>
    </xf>
    <xf numFmtId="43" fontId="6" fillId="3" borderId="7" xfId="1" applyFont="1" applyFill="1" applyBorder="1" applyAlignment="1">
      <alignment horizontal="right" vertical="center" wrapText="1"/>
    </xf>
    <xf numFmtId="43" fontId="5" fillId="3" borderId="0" xfId="1" applyFont="1" applyFill="1" applyBorder="1" applyAlignment="1">
      <alignment horizontal="right" vertical="center" wrapText="1"/>
    </xf>
    <xf numFmtId="43" fontId="5" fillId="3" borderId="10" xfId="1" applyFont="1" applyFill="1" applyBorder="1" applyAlignment="1">
      <alignment horizontal="right" vertical="center" wrapText="1"/>
    </xf>
    <xf numFmtId="43" fontId="5" fillId="3" borderId="11" xfId="1" applyFont="1" applyFill="1" applyBorder="1" applyAlignment="1">
      <alignment horizontal="right" vertical="center" wrapText="1"/>
    </xf>
    <xf numFmtId="43" fontId="0" fillId="3" borderId="5" xfId="1" applyFont="1" applyFill="1" applyBorder="1" applyAlignment="1">
      <alignment horizontal="right" vertical="top" wrapText="1"/>
    </xf>
    <xf numFmtId="43" fontId="5" fillId="0" borderId="5" xfId="1" applyFont="1" applyFill="1" applyBorder="1" applyAlignment="1">
      <alignment horizontal="right" vertical="top" wrapText="1"/>
    </xf>
    <xf numFmtId="43" fontId="5" fillId="4" borderId="8" xfId="1" applyFont="1" applyFill="1" applyBorder="1" applyAlignment="1">
      <alignment horizontal="right" vertical="top" wrapText="1"/>
    </xf>
    <xf numFmtId="43" fontId="5" fillId="4" borderId="6" xfId="1" applyFont="1" applyFill="1" applyBorder="1" applyAlignment="1">
      <alignment horizontal="right" vertical="top" wrapText="1"/>
    </xf>
    <xf numFmtId="43" fontId="5" fillId="4" borderId="7" xfId="1" applyFont="1" applyFill="1" applyBorder="1" applyAlignment="1">
      <alignment horizontal="right" vertical="top" wrapText="1"/>
    </xf>
    <xf numFmtId="0" fontId="3" fillId="3" borderId="5" xfId="0" applyFont="1" applyFill="1" applyBorder="1" applyAlignment="1">
      <alignment horizontal="left" vertical="top" wrapText="1"/>
    </xf>
    <xf numFmtId="0" fontId="3" fillId="3" borderId="6" xfId="0" applyFont="1" applyFill="1" applyBorder="1" applyAlignment="1">
      <alignment horizontal="left" vertical="top" wrapText="1"/>
    </xf>
    <xf numFmtId="3" fontId="3" fillId="3" borderId="8" xfId="0" applyNumberFormat="1" applyFont="1" applyFill="1" applyBorder="1" applyAlignment="1">
      <alignment horizontal="right" vertical="top" wrapText="1"/>
    </xf>
    <xf numFmtId="3" fontId="3" fillId="3" borderId="6" xfId="0" applyNumberFormat="1" applyFont="1" applyFill="1" applyBorder="1" applyAlignment="1">
      <alignment horizontal="right" vertical="top" wrapText="1"/>
    </xf>
    <xf numFmtId="3" fontId="3" fillId="3" borderId="7" xfId="0" applyNumberFormat="1" applyFont="1" applyFill="1" applyBorder="1" applyAlignment="1">
      <alignment horizontal="right" vertical="top" wrapText="1"/>
    </xf>
    <xf numFmtId="164" fontId="0" fillId="3" borderId="7" xfId="1" applyNumberFormat="1" applyFont="1" applyFill="1" applyBorder="1" applyAlignment="1">
      <alignment horizontal="right" vertical="top" wrapText="1"/>
    </xf>
    <xf numFmtId="3" fontId="3" fillId="3" borderId="5" xfId="0" applyNumberFormat="1" applyFont="1" applyFill="1" applyBorder="1" applyAlignment="1">
      <alignment horizontal="right" vertical="top" wrapText="1"/>
    </xf>
    <xf numFmtId="3" fontId="3" fillId="3" borderId="6" xfId="0" applyNumberFormat="1" applyFont="1" applyFill="1" applyBorder="1" applyAlignment="1">
      <alignment horizontal="left" vertical="center" wrapText="1"/>
    </xf>
    <xf numFmtId="1" fontId="3" fillId="3" borderId="6" xfId="0" applyNumberFormat="1" applyFont="1" applyFill="1" applyBorder="1" applyAlignment="1">
      <alignment horizontal="right" vertical="top" wrapText="1"/>
    </xf>
    <xf numFmtId="3" fontId="3" fillId="3" borderId="7" xfId="0" applyNumberFormat="1" applyFont="1" applyFill="1" applyBorder="1" applyAlignment="1">
      <alignment horizontal="left" vertical="center" wrapText="1"/>
    </xf>
    <xf numFmtId="0" fontId="0" fillId="3" borderId="8" xfId="0" applyFill="1" applyBorder="1" applyAlignment="1">
      <alignment horizontal="left" vertical="top" wrapText="1"/>
    </xf>
    <xf numFmtId="0" fontId="0" fillId="3" borderId="14" xfId="0" applyFill="1" applyBorder="1" applyAlignment="1">
      <alignment horizontal="right" vertical="top" wrapText="1"/>
    </xf>
    <xf numFmtId="0" fontId="0" fillId="3" borderId="7" xfId="0" applyFill="1" applyBorder="1" applyAlignment="1">
      <alignment horizontal="left" vertical="top" wrapText="1"/>
    </xf>
    <xf numFmtId="0" fontId="0" fillId="3" borderId="15" xfId="0" applyFill="1" applyBorder="1" applyAlignment="1">
      <alignment horizontal="right" vertical="top" wrapText="1"/>
    </xf>
    <xf numFmtId="0" fontId="0" fillId="0" borderId="8" xfId="0" applyFill="1" applyBorder="1" applyAlignment="1">
      <alignment horizontal="left" vertical="top" wrapText="1"/>
    </xf>
    <xf numFmtId="0" fontId="0" fillId="0" borderId="15" xfId="0" applyFill="1" applyBorder="1" applyAlignment="1">
      <alignment horizontal="right" vertical="top" wrapText="1"/>
    </xf>
    <xf numFmtId="0" fontId="0" fillId="0" borderId="7" xfId="0" applyFill="1" applyBorder="1" applyAlignment="1">
      <alignment horizontal="right" vertical="top" wrapText="1"/>
    </xf>
    <xf numFmtId="3" fontId="5" fillId="0" borderId="7" xfId="0" applyNumberFormat="1" applyFont="1" applyFill="1" applyBorder="1" applyAlignment="1">
      <alignment horizontal="right" vertical="top" wrapText="1"/>
    </xf>
    <xf numFmtId="0" fontId="5" fillId="0" borderId="7" xfId="2" applyFont="1" applyFill="1" applyBorder="1" applyAlignment="1">
      <alignment horizontal="left" vertical="top" wrapText="1"/>
    </xf>
    <xf numFmtId="0" fontId="5" fillId="0" borderId="8" xfId="2" applyFont="1" applyFill="1" applyBorder="1" applyAlignment="1">
      <alignment horizontal="left" vertical="top" wrapText="1"/>
    </xf>
    <xf numFmtId="0" fontId="0" fillId="0" borderId="11" xfId="0" applyFill="1" applyBorder="1" applyAlignment="1">
      <alignment horizontal="right" vertical="top" wrapText="1"/>
    </xf>
    <xf numFmtId="3" fontId="5" fillId="0" borderId="8" xfId="2" applyNumberFormat="1" applyFont="1" applyFill="1" applyBorder="1" applyAlignment="1">
      <alignment horizontal="left" vertical="top" wrapText="1"/>
    </xf>
    <xf numFmtId="3" fontId="5" fillId="0" borderId="7" xfId="2" applyNumberFormat="1" applyFont="1" applyFill="1" applyBorder="1" applyAlignment="1">
      <alignment horizontal="right" vertical="top" wrapText="1"/>
    </xf>
    <xf numFmtId="3" fontId="5" fillId="0" borderId="7" xfId="2" applyNumberFormat="1" applyFont="1" applyFill="1" applyBorder="1" applyAlignment="1">
      <alignment horizontal="left" vertical="top" wrapText="1"/>
    </xf>
    <xf numFmtId="0" fontId="5" fillId="0" borderId="6" xfId="0" applyFont="1" applyFill="1" applyBorder="1" applyAlignment="1">
      <alignment horizontal="right" vertical="top" wrapText="1"/>
    </xf>
    <xf numFmtId="0" fontId="5" fillId="0" borderId="8" xfId="0" applyFont="1" applyFill="1" applyBorder="1" applyAlignment="1">
      <alignment horizontal="right" vertical="top" wrapText="1"/>
    </xf>
    <xf numFmtId="0" fontId="5" fillId="0" borderId="0" xfId="2" applyFont="1" applyFill="1" applyBorder="1" applyAlignment="1">
      <alignment horizontal="right" vertical="center" wrapText="1"/>
    </xf>
    <xf numFmtId="0" fontId="5" fillId="0" borderId="16" xfId="2" applyFont="1" applyFill="1" applyBorder="1" applyAlignment="1">
      <alignment horizontal="right" vertical="center" wrapText="1"/>
    </xf>
    <xf numFmtId="0" fontId="5" fillId="0" borderId="11" xfId="2" applyFont="1" applyFill="1" applyBorder="1" applyAlignment="1">
      <alignment horizontal="right" vertical="center" wrapText="1"/>
    </xf>
    <xf numFmtId="3" fontId="5" fillId="0" borderId="11" xfId="2" applyNumberFormat="1" applyFont="1" applyFill="1" applyBorder="1" applyAlignment="1">
      <alignment horizontal="center" vertical="center" wrapText="1"/>
    </xf>
    <xf numFmtId="0" fontId="5" fillId="0" borderId="9" xfId="2" applyFont="1" applyFill="1" applyBorder="1" applyAlignment="1">
      <alignment horizontal="left" vertical="center" wrapText="1"/>
    </xf>
    <xf numFmtId="0" fontId="5" fillId="0" borderId="5" xfId="0" applyFont="1" applyFill="1" applyBorder="1" applyAlignment="1">
      <alignment horizontal="right" vertical="top" wrapText="1"/>
    </xf>
    <xf numFmtId="0" fontId="5" fillId="0" borderId="9" xfId="2" applyFont="1" applyFill="1" applyBorder="1" applyAlignment="1">
      <alignment horizontal="center" vertical="center" wrapText="1"/>
    </xf>
    <xf numFmtId="3" fontId="5" fillId="0" borderId="9" xfId="2" applyNumberFormat="1" applyFont="1" applyFill="1" applyBorder="1" applyAlignment="1">
      <alignment horizontal="center" vertical="center" wrapText="1"/>
    </xf>
    <xf numFmtId="0" fontId="5" fillId="0" borderId="9" xfId="2" applyFont="1" applyFill="1" applyBorder="1" applyAlignment="1">
      <alignment horizontal="right" vertical="center" wrapText="1"/>
    </xf>
    <xf numFmtId="3" fontId="5" fillId="0" borderId="7" xfId="2" applyNumberFormat="1" applyFont="1" applyFill="1" applyBorder="1" applyAlignment="1">
      <alignment horizontal="center" vertical="center" wrapText="1"/>
    </xf>
    <xf numFmtId="0" fontId="5" fillId="0" borderId="8" xfId="2" applyFont="1" applyFill="1" applyBorder="1" applyAlignment="1">
      <alignment horizontal="center" vertical="center" wrapText="1"/>
    </xf>
    <xf numFmtId="0" fontId="5" fillId="0" borderId="7" xfId="2" applyFont="1" applyFill="1" applyBorder="1" applyAlignment="1">
      <alignment horizontal="center" vertical="center" wrapText="1"/>
    </xf>
    <xf numFmtId="0" fontId="5" fillId="0" borderId="8" xfId="2" applyFont="1" applyFill="1" applyBorder="1" applyAlignment="1">
      <alignment horizontal="right" vertical="center" wrapText="1"/>
    </xf>
    <xf numFmtId="0" fontId="5" fillId="0" borderId="7" xfId="2" applyFont="1" applyFill="1" applyBorder="1" applyAlignment="1">
      <alignment horizontal="right" vertical="center" wrapText="1"/>
    </xf>
    <xf numFmtId="0" fontId="5" fillId="0" borderId="8" xfId="2" applyFont="1" applyFill="1" applyBorder="1" applyAlignment="1">
      <alignment horizontal="right" vertical="top" wrapText="1"/>
    </xf>
    <xf numFmtId="0" fontId="5" fillId="0" borderId="15" xfId="2" applyFont="1" applyFill="1" applyBorder="1" applyAlignment="1">
      <alignment horizontal="right" vertical="top" wrapText="1"/>
    </xf>
    <xf numFmtId="0" fontId="5" fillId="0" borderId="7" xfId="2" applyFont="1" applyFill="1" applyBorder="1" applyAlignment="1">
      <alignment horizontal="right" vertical="top" wrapText="1"/>
    </xf>
    <xf numFmtId="3" fontId="5" fillId="0" borderId="15" xfId="2" applyNumberFormat="1" applyFont="1" applyFill="1" applyBorder="1" applyAlignment="1">
      <alignment horizontal="right" vertical="top" wrapText="1"/>
    </xf>
    <xf numFmtId="0" fontId="5" fillId="0" borderId="11" xfId="2" applyFont="1" applyFill="1" applyBorder="1" applyAlignment="1">
      <alignment horizontal="right" vertical="top" wrapText="1"/>
    </xf>
    <xf numFmtId="3" fontId="5" fillId="0" borderId="8" xfId="2" applyNumberFormat="1" applyFont="1" applyFill="1" applyBorder="1" applyAlignment="1">
      <alignment horizontal="right" vertical="top" wrapText="1"/>
    </xf>
    <xf numFmtId="0" fontId="5" fillId="0" borderId="9" xfId="0" applyFont="1" applyFill="1" applyBorder="1" applyAlignment="1">
      <alignment wrapText="1"/>
    </xf>
    <xf numFmtId="0" fontId="0" fillId="0" borderId="0" xfId="0" applyFill="1" applyBorder="1" applyAlignment="1">
      <alignment horizontal="left" vertical="top" wrapText="1"/>
    </xf>
    <xf numFmtId="0" fontId="5" fillId="0" borderId="9" xfId="2" applyFont="1" applyFill="1" applyBorder="1" applyAlignment="1">
      <alignment horizontal="left" vertical="top" wrapText="1"/>
    </xf>
    <xf numFmtId="3" fontId="5" fillId="0" borderId="11" xfId="0" applyNumberFormat="1" applyFont="1" applyFill="1" applyBorder="1" applyAlignment="1">
      <alignment horizontal="right" vertical="top" wrapText="1"/>
    </xf>
    <xf numFmtId="0" fontId="0" fillId="0" borderId="17" xfId="0" applyFill="1" applyBorder="1"/>
    <xf numFmtId="3" fontId="5" fillId="0" borderId="9" xfId="0" applyNumberFormat="1" applyFont="1" applyFill="1" applyBorder="1" applyAlignment="1">
      <alignment horizontal="right" vertical="top" wrapText="1"/>
    </xf>
    <xf numFmtId="3" fontId="5" fillId="0" borderId="9" xfId="2" applyNumberFormat="1" applyFont="1" applyFill="1" applyBorder="1" applyAlignment="1">
      <alignment horizontal="right" vertical="top" wrapText="1"/>
    </xf>
    <xf numFmtId="0" fontId="1" fillId="0" borderId="0" xfId="3"/>
    <xf numFmtId="0" fontId="1" fillId="5" borderId="9" xfId="3" applyFill="1" applyBorder="1" applyAlignment="1">
      <alignment horizontal="right"/>
    </xf>
    <xf numFmtId="0" fontId="1" fillId="5" borderId="18" xfId="3" applyFill="1" applyBorder="1" applyAlignment="1">
      <alignment horizontal="center"/>
    </xf>
    <xf numFmtId="0" fontId="1" fillId="5" borderId="9" xfId="3" applyFill="1" applyBorder="1"/>
    <xf numFmtId="0" fontId="1" fillId="0" borderId="9" xfId="3" applyBorder="1"/>
    <xf numFmtId="0" fontId="1" fillId="0" borderId="9" xfId="3" applyBorder="1" applyAlignment="1">
      <alignment horizontal="left"/>
    </xf>
    <xf numFmtId="0" fontId="1" fillId="0" borderId="9" xfId="3" applyFill="1" applyBorder="1"/>
    <xf numFmtId="0" fontId="1" fillId="0" borderId="13" xfId="3" applyFill="1" applyBorder="1"/>
    <xf numFmtId="0" fontId="1" fillId="0" borderId="13" xfId="3" applyFill="1" applyBorder="1" applyAlignment="1">
      <alignment horizontal="left"/>
    </xf>
    <xf numFmtId="0" fontId="1" fillId="0" borderId="9" xfId="3" applyFill="1" applyBorder="1" applyAlignment="1">
      <alignment horizontal="left"/>
    </xf>
    <xf numFmtId="0" fontId="1" fillId="0" borderId="9" xfId="3" applyBorder="1" applyAlignment="1">
      <alignment wrapText="1"/>
    </xf>
    <xf numFmtId="0" fontId="1" fillId="0" borderId="19" xfId="3" applyBorder="1"/>
    <xf numFmtId="0" fontId="1" fillId="0" borderId="19" xfId="3" applyBorder="1" applyAlignment="1">
      <alignment horizontal="left"/>
    </xf>
    <xf numFmtId="0" fontId="1" fillId="6" borderId="20" xfId="3" applyFill="1" applyBorder="1"/>
    <xf numFmtId="0" fontId="1" fillId="6" borderId="21" xfId="3" applyFill="1" applyBorder="1"/>
    <xf numFmtId="0" fontId="1" fillId="6" borderId="21" xfId="3" applyFill="1" applyBorder="1" applyAlignment="1">
      <alignment horizontal="left"/>
    </xf>
    <xf numFmtId="0" fontId="1" fillId="6" borderId="22" xfId="3" applyFill="1" applyBorder="1"/>
    <xf numFmtId="0" fontId="1" fillId="4" borderId="0" xfId="3" applyFill="1"/>
    <xf numFmtId="0" fontId="1" fillId="0" borderId="17" xfId="3" applyBorder="1"/>
    <xf numFmtId="0" fontId="1" fillId="4" borderId="17" xfId="3" applyFill="1" applyBorder="1"/>
    <xf numFmtId="0" fontId="1" fillId="4" borderId="17" xfId="3" applyFill="1" applyBorder="1" applyAlignment="1">
      <alignment horizontal="left"/>
    </xf>
    <xf numFmtId="0" fontId="1" fillId="4" borderId="9" xfId="3" applyFill="1" applyBorder="1"/>
    <xf numFmtId="0" fontId="1" fillId="4" borderId="9" xfId="3" applyFill="1" applyBorder="1" applyAlignment="1">
      <alignment horizontal="left"/>
    </xf>
    <xf numFmtId="0" fontId="1" fillId="4" borderId="23" xfId="3" applyFill="1" applyBorder="1"/>
    <xf numFmtId="0" fontId="1" fillId="4" borderId="24" xfId="3" applyFill="1" applyBorder="1"/>
    <xf numFmtId="0" fontId="0" fillId="0" borderId="14" xfId="0" applyFill="1" applyBorder="1" applyAlignment="1">
      <alignment horizontal="right" vertical="top" wrapText="1"/>
    </xf>
    <xf numFmtId="0" fontId="0" fillId="0" borderId="0" xfId="0" pivotButton="1"/>
    <xf numFmtId="0" fontId="0" fillId="0" borderId="0" xfId="0" applyAlignment="1">
      <alignment horizontal="left"/>
    </xf>
    <xf numFmtId="0" fontId="0" fillId="0" borderId="0" xfId="0" applyNumberFormat="1"/>
    <xf numFmtId="43" fontId="0" fillId="0" borderId="0" xfId="1" applyFont="1"/>
    <xf numFmtId="0" fontId="11" fillId="0" borderId="9" xfId="0" applyFont="1" applyBorder="1"/>
    <xf numFmtId="0" fontId="11" fillId="0" borderId="9" xfId="0" applyFont="1" applyFill="1" applyBorder="1"/>
    <xf numFmtId="3" fontId="5" fillId="4" borderId="5" xfId="0" applyNumberFormat="1" applyFont="1" applyFill="1" applyBorder="1" applyAlignment="1">
      <alignment horizontal="right" vertical="top" wrapText="1"/>
    </xf>
    <xf numFmtId="3" fontId="0" fillId="0" borderId="0" xfId="0" applyNumberFormat="1"/>
  </cellXfs>
  <cellStyles count="4">
    <cellStyle name="Comma" xfId="1" builtinId="3"/>
    <cellStyle name="Normal" xfId="0" builtinId="0"/>
    <cellStyle name="Normal 2" xfId="2" xr:uid="{00000000-0005-0000-0000-000002000000}"/>
    <cellStyle name="Normal 3" xfId="3" xr:uid="{00000000-0005-0000-0000-000003000000}"/>
  </cellStyles>
  <dxfs count="1">
    <dxf>
      <font>
        <b/>
        <i val="0"/>
        <color rgb="FFC00000"/>
      </font>
      <fill>
        <patternFill>
          <bgColor theme="3" tint="0.7999816888943144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6350</xdr:rowOff>
    </xdr:from>
    <xdr:ext cx="2409825" cy="609600"/>
    <xdr:pic>
      <xdr:nvPicPr>
        <xdr:cNvPr id="2" name="image1.jpeg" descr="image1.jpeg">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4679.370985300928" createdVersion="6" refreshedVersion="6" minRefreshableVersion="3" recordCount="454" xr:uid="{00000000-000A-0000-FFFF-FFFF05000000}">
  <cacheSource type="worksheet">
    <worksheetSource ref="A3:S457" sheet="opex"/>
  </cacheSource>
  <cacheFields count="19">
    <cacheField name="Chapter Name" numFmtId="0">
      <sharedItems/>
    </cacheField>
    <cacheField name="cost center group" numFmtId="0">
      <sharedItems count="14">
        <s v="Information Technology/ANKABUT"/>
        <s v="President's Office "/>
        <s v="College of Medicine &amp; Health Sciences"/>
        <s v="Academic and Student Services Office"/>
        <s v="Continuing Education"/>
        <s v="Finance &amp; Business Development Office"/>
        <s v="College of Arts &amp; Science"/>
        <s v="College of Engineering"/>
        <s v="Administration, Facilities and EHS Office"/>
        <s v="HR office"/>
        <s v="Procurement office"/>
        <s v="Senior Vice President, Research Office"/>
        <s v="Provost's office"/>
        <s v="HR &amp; Procurement Office" u="1"/>
      </sharedItems>
    </cacheField>
    <cacheField name="Cost Center Code" numFmtId="0">
      <sharedItems/>
    </cacheField>
    <cacheField name="Cost Center Description" numFmtId="0">
      <sharedItems/>
    </cacheField>
    <cacheField name="Account Code" numFmtId="0">
      <sharedItems containsMixedTypes="1" containsNumber="1" containsInteger="1" minValue="421700" maxValue="421700"/>
    </cacheField>
    <cacheField name="Account Description" numFmtId="0">
      <sharedItems/>
    </cacheField>
    <cacheField name="GL Account Combination" numFmtId="0">
      <sharedItems/>
    </cacheField>
    <cacheField name="Budget" numFmtId="0">
      <sharedItems containsString="0" containsBlank="1" containsNumber="1" containsInteger="1" minValue="0" maxValue="110824684"/>
    </cacheField>
    <cacheField name="Actual Amount" numFmtId="0">
      <sharedItems containsString="0" containsBlank="1" containsNumber="1" minValue="-367211.82" maxValue="28096601.640000001"/>
    </cacheField>
    <cacheField name="PR" numFmtId="0">
      <sharedItems containsString="0" containsBlank="1" containsNumber="1" minValue="0" maxValue="9322733.0899999999"/>
    </cacheField>
    <cacheField name="PO" numFmtId="0">
      <sharedItems containsString="0" containsBlank="1" containsNumber="1" minValue="-1.45519152283669E-11" maxValue="9377366.6799999997"/>
    </cacheField>
    <cacheField name="Fund Available" numFmtId="0">
      <sharedItems containsString="0" containsBlank="1" containsNumber="1" minValue="0" maxValue="82728082.359999999"/>
    </cacheField>
    <cacheField name="Quarter 2 Utilization Plan" numFmtId="0">
      <sharedItems containsString="0" containsBlank="1" containsNumber="1" minValue="0" maxValue="27576000"/>
    </cacheField>
    <cacheField name="Quarter 3 Utilization Plan" numFmtId="0">
      <sharedItems containsString="0" containsBlank="1" containsNumber="1" minValue="0" maxValue="27576000"/>
    </cacheField>
    <cacheField name="Quarter 4 Utilization Plan" numFmtId="0">
      <sharedItems containsString="0" containsBlank="1" containsNumber="1" minValue="0" maxValue="35673720"/>
    </cacheField>
    <cacheField name="Utilization Justification" numFmtId="0">
      <sharedItems containsBlank="1" longText="1"/>
    </cacheField>
    <cacheField name="Expected Budget Surplus Amount" numFmtId="3">
      <sharedItems containsSemiMixedTypes="0" containsString="0" containsNumber="1" minValue="-2703602.0299999993" maxValue="78163114.420000002"/>
    </cacheField>
    <cacheField name="Expected Surplus Justification" numFmtId="0">
      <sharedItems containsBlank="1" containsMixedTypes="1" containsNumber="1" containsInteger="1" minValue="76120" maxValue="162500" longText="1"/>
    </cacheField>
    <cacheField name="Feedback Status" numFmtId="0">
      <sharedItems count="2">
        <s v="yes"/>
        <s v="no"/>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4679.375491087965" createdVersion="6" refreshedVersion="6" minRefreshableVersion="3" recordCount="48" xr:uid="{00000000-000A-0000-FFFF-FFFF09000000}">
  <cacheSource type="worksheet">
    <worksheetSource ref="A3:S51" sheet="capex"/>
  </cacheSource>
  <cacheFields count="19">
    <cacheField name="Chapter Name" numFmtId="0">
      <sharedItems/>
    </cacheField>
    <cacheField name="Cost center group" numFmtId="0">
      <sharedItems count="11">
        <s v="Information Technology/ANKABUT"/>
        <s v="President's Office "/>
        <s v="College of Medicine &amp; Health Sciences"/>
        <s v="Academic and Student Services Office"/>
        <s v="College of Arts &amp; Science"/>
        <s v="College of Engineering"/>
        <s v="Administration, Facilities and EHS Office"/>
        <s v="HR office"/>
        <s v="Procurement office"/>
        <s v="Senior Vice President, Research Office"/>
        <s v="HR &amp; Procurement Office" u="1"/>
      </sharedItems>
    </cacheField>
    <cacheField name="Cost Center Code" numFmtId="0">
      <sharedItems containsMixedTypes="1" containsNumber="1" containsInteger="1" minValue="8470810" maxValue="8470810"/>
    </cacheField>
    <cacheField name="Cost Center Description" numFmtId="0">
      <sharedItems/>
    </cacheField>
    <cacheField name="Account Code" numFmtId="0">
      <sharedItems containsMixedTypes="1" containsNumber="1" containsInteger="1" minValue="495113" maxValue="495113"/>
    </cacheField>
    <cacheField name="Account Description" numFmtId="0">
      <sharedItems/>
    </cacheField>
    <cacheField name="GL Account Combination" numFmtId="0">
      <sharedItems/>
    </cacheField>
    <cacheField name="Budget" numFmtId="0">
      <sharedItems containsSemiMixedTypes="0" containsString="0" containsNumber="1" containsInteger="1" minValue="0" maxValue="23038949"/>
    </cacheField>
    <cacheField name="Actual Amount" numFmtId="0">
      <sharedItems containsString="0" containsBlank="1" containsNumber="1" minValue="0" maxValue="1528851.5"/>
    </cacheField>
    <cacheField name="PR" numFmtId="0">
      <sharedItems containsString="0" containsBlank="1" containsNumber="1" minValue="0" maxValue="14730897"/>
    </cacheField>
    <cacheField name="PO" numFmtId="0">
      <sharedItems containsString="0" containsBlank="1" containsNumber="1" minValue="0" maxValue="12931705"/>
    </cacheField>
    <cacheField name="Fund Available" numFmtId="0">
      <sharedItems containsSemiMixedTypes="0" containsString="0" containsNumber="1" minValue="0" maxValue="13822417.5"/>
    </cacheField>
    <cacheField name="Quarter 2 Utilization Plan" numFmtId="0">
      <sharedItems containsString="0" containsBlank="1" containsNumber="1" containsInteger="1" minValue="100000" maxValue="2016048"/>
    </cacheField>
    <cacheField name="Quarter 3 Utilization Plan" numFmtId="0">
      <sharedItems containsString="0" containsBlank="1" containsNumber="1" containsInteger="1" minValue="5992" maxValue="47802"/>
    </cacheField>
    <cacheField name="Quarter 4 Utilization Plan" numFmtId="0">
      <sharedItems containsString="0" containsBlank="1" containsNumber="1" containsInteger="1" minValue="19606" maxValue="19606"/>
    </cacheField>
    <cacheField name="Utilization Justification" numFmtId="0">
      <sharedItems containsBlank="1"/>
    </cacheField>
    <cacheField name="Expected Budget Surplus Amount" numFmtId="0">
      <sharedItems containsSemiMixedTypes="0" containsString="0" containsNumber="1" minValue="-280246" maxValue="13822417.5"/>
    </cacheField>
    <cacheField name="Expected Surplus Justification" numFmtId="0">
      <sharedItems containsBlank="1"/>
    </cacheField>
    <cacheField name="Feedback status" numFmtId="0">
      <sharedItems containsBlank="1" count="3">
        <s v="yes"/>
        <s v="no"/>
        <m u="1"/>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454">
  <r>
    <s v="2 Other Operating Costs"/>
    <x v="0"/>
    <s v="8470810"/>
    <s v="KUST - Ankabut office"/>
    <s v="420810"/>
    <s v="IT Systems &amp; Support expenses"/>
    <s v="847.8470810.1.420810.000000.847001.200179"/>
    <n v="0"/>
    <m/>
    <m/>
    <m/>
    <m/>
    <m/>
    <m/>
    <m/>
    <m/>
    <n v="0"/>
    <m/>
    <x v="0"/>
  </r>
  <r>
    <s v="2 Other Operating Costs"/>
    <x v="0"/>
    <s v="8470810"/>
    <s v="KUST - Ankabut office"/>
    <s v="420811"/>
    <s v="IT Systems &amp; Support expenses-Application/Systems Operation"/>
    <s v="847.8470810.1.420811.000000.847001.200179"/>
    <n v="10351793"/>
    <m/>
    <m/>
    <m/>
    <n v="10351793"/>
    <n v="10351793"/>
    <m/>
    <m/>
    <s v="SLA 2022 with Ankabut"/>
    <n v="0"/>
    <m/>
    <x v="0"/>
  </r>
  <r>
    <s v="2 Other Operating Costs"/>
    <x v="0"/>
    <s v="8470810"/>
    <s v="KUST - Ankabut office"/>
    <s v="421100"/>
    <s v="Manpower supply &quot;Other Than IT Related&quot;"/>
    <s v="847.8470810.1.421100.000000.847001.200179"/>
    <n v="445192"/>
    <n v="-14232.46"/>
    <m/>
    <n v="395775.86"/>
    <n v="63648.6"/>
    <n v="63649"/>
    <m/>
    <m/>
    <s v="PR outstanding payment for CNS"/>
    <n v="-0.40000000000145519"/>
    <m/>
    <x v="0"/>
  </r>
  <r>
    <s v="2 Other Operating Costs"/>
    <x v="0"/>
    <s v="8470810"/>
    <s v="KUST - Ankabut office"/>
    <s v="426610"/>
    <s v="Computer software licenses-Software License Renewal"/>
    <s v="847.8470810.1.426610.000000.847001.200179"/>
    <n v="7632571"/>
    <n v="44863.35"/>
    <n v="2689331.8"/>
    <n v="1109716.42"/>
    <n v="3788659.43"/>
    <n v="3788659"/>
    <m/>
    <m/>
    <s v="More PRs planned for Q2"/>
    <n v="0.43000000016763806"/>
    <m/>
    <x v="0"/>
  </r>
  <r>
    <s v="2 Other Operating Costs"/>
    <x v="0"/>
    <s v="8470810"/>
    <s v="KUST - Ankabut office"/>
    <s v="427810"/>
    <s v="Telephone and telefax charges-Telecommunication, Satellite services"/>
    <s v="847.8470810.1.427810.000000.847001.200179"/>
    <n v="800000"/>
    <n v="642270.66"/>
    <m/>
    <m/>
    <n v="157729.34"/>
    <n v="1724043"/>
    <n v="200000"/>
    <n v="200000"/>
    <s v="2022 DU/Etisalat Invoices needs to be processed by Finance"/>
    <n v="-1966313.66"/>
    <s v="Additional fund required for outstanding bills 2018-2021 not processed previously by Finance"/>
    <x v="0"/>
  </r>
  <r>
    <s v="2 Other Operating Costs"/>
    <x v="0"/>
    <s v="8470810"/>
    <s v="KUST - Ankabut office"/>
    <s v="427850"/>
    <s v="Data Transmission charges-Data Transmission charges"/>
    <s v="847.8470810.1.427850.000000.847001.200179"/>
    <n v="2618028"/>
    <n v="302796"/>
    <m/>
    <m/>
    <n v="2315232"/>
    <n v="900000"/>
    <n v="800000"/>
    <n v="615232"/>
    <s v="DU/Etisalat Invoices need to be processed by Finance"/>
    <n v="0"/>
    <m/>
    <x v="0"/>
  </r>
  <r>
    <s v="2 Other Operating Costs"/>
    <x v="0"/>
    <s v="8470810"/>
    <s v="KUST - Ankabut office"/>
    <s v="428090"/>
    <s v="Business Travel - Combined expenses"/>
    <s v="847.8470810.1.428090.000000.847001.200179"/>
    <n v="11500"/>
    <n v="4400"/>
    <m/>
    <m/>
    <n v="7100"/>
    <n v="3000"/>
    <n v="2100"/>
    <n v="2000"/>
    <m/>
    <n v="0"/>
    <m/>
    <x v="0"/>
  </r>
  <r>
    <s v="2 Other Operating Costs"/>
    <x v="0"/>
    <s v="8470810"/>
    <s v="KUST - Ankabut office"/>
    <s v="430230"/>
    <s v="Rental - Equipment"/>
    <s v="847.8470810.1.430230.000000.847001.200179"/>
    <n v="0"/>
    <m/>
    <m/>
    <m/>
    <n v="0"/>
    <m/>
    <m/>
    <m/>
    <m/>
    <n v="0"/>
    <m/>
    <x v="0"/>
  </r>
  <r>
    <s v="2 Other Operating Costs"/>
    <x v="0"/>
    <s v="8470810"/>
    <s v="KUST - Ankabut office"/>
    <s v="430250"/>
    <s v="Rental - Computer hardware-Rental/Subscription - Computer hardware"/>
    <s v="847.8470810.1.430250.000000.847001.200179"/>
    <n v="1021317"/>
    <m/>
    <n v="754866.67"/>
    <m/>
    <n v="266450.33"/>
    <n v="266450"/>
    <m/>
    <m/>
    <s v="PR Laptops in progress"/>
    <n v="0.33000000001629815"/>
    <m/>
    <x v="0"/>
  </r>
  <r>
    <s v="2 Other Operating Costs"/>
    <x v="0"/>
    <s v="8470810"/>
    <s v="KUST - Ankabut office"/>
    <s v="432205"/>
    <s v="Computers and peripherals-End user and Infrastructure components maintenance and support"/>
    <s v="847.8470810.1.432205.000000.847001.200179"/>
    <n v="1475000"/>
    <n v="503273.14"/>
    <n v="582329"/>
    <n v="0"/>
    <n v="389397.86"/>
    <n v="314398"/>
    <n v="50000"/>
    <n v="25000"/>
    <s v="PRs in progress"/>
    <n v="-0.14000000001396984"/>
    <m/>
    <x v="0"/>
  </r>
  <r>
    <s v="2 Other Operating Costs"/>
    <x v="0"/>
    <s v="8470810"/>
    <s v="KUST - Ankabut office"/>
    <s v="432226"/>
    <s v="Computers and peripherals-Printers maintenance and support"/>
    <s v="847.8470810.1.432226.000000.847001.200179"/>
    <n v="360000"/>
    <m/>
    <m/>
    <m/>
    <n v="360000"/>
    <n v="180000"/>
    <n v="90000"/>
    <n v="90000"/>
    <s v="Printing Invoices to be processed in Q2"/>
    <n v="0"/>
    <m/>
    <x v="0"/>
  </r>
  <r>
    <s v="2 Other Operating Costs"/>
    <x v="0"/>
    <s v="8470810"/>
    <s v="KUST - Ankabut office"/>
    <s v="436110"/>
    <s v="Printing supplies"/>
    <s v="847.8470810.1.436110.000000.847001.200179"/>
    <n v="0"/>
    <m/>
    <m/>
    <m/>
    <n v="0"/>
    <m/>
    <m/>
    <m/>
    <m/>
    <n v="0"/>
    <m/>
    <x v="0"/>
  </r>
  <r>
    <s v="2 Other Operating Costs"/>
    <x v="1"/>
    <s v="8470130"/>
    <s v="KUST - Institutional Research &amp; Planning"/>
    <s v="421000"/>
    <s v="Management consultancy"/>
    <s v="847.8470130.1.421000.000000.847001.200179"/>
    <n v="720000"/>
    <m/>
    <m/>
    <m/>
    <n v="720000"/>
    <m/>
    <m/>
    <m/>
    <m/>
    <n v="720000"/>
    <m/>
    <x v="1"/>
  </r>
  <r>
    <s v="2 Other Operating Costs"/>
    <x v="1"/>
    <s v="8470130"/>
    <s v="KUST - Institutional Research &amp; Planning"/>
    <s v="426610"/>
    <s v="Computer software licenses-Software License Renewal"/>
    <s v="847.8470130.1.426610.000000.847001.200179"/>
    <n v="735000"/>
    <m/>
    <m/>
    <m/>
    <n v="735000"/>
    <m/>
    <m/>
    <m/>
    <m/>
    <n v="735000"/>
    <m/>
    <x v="1"/>
  </r>
  <r>
    <s v="2 Other Operating Costs"/>
    <x v="1"/>
    <s v="8470130"/>
    <s v="KUST - Institutional Research &amp; Planning"/>
    <s v="428090"/>
    <s v="Business Travel - Combined expenses"/>
    <s v="847.8470130.1.428090.000000.847001.200179"/>
    <n v="180000"/>
    <m/>
    <m/>
    <m/>
    <n v="180000"/>
    <m/>
    <m/>
    <m/>
    <m/>
    <n v="180000"/>
    <m/>
    <x v="1"/>
  </r>
  <r>
    <s v="2 Other Operating Costs"/>
    <x v="1"/>
    <s v="8470140"/>
    <s v="KUST - Communication"/>
    <s v="425100"/>
    <s v="Advertising Services (General)"/>
    <s v="847.8470140.1.425100.000000.847001.200179"/>
    <n v="4578464"/>
    <n v="117726.27"/>
    <n v="1860517"/>
    <n v="23750"/>
    <n v="2576470.73"/>
    <n v="2550000"/>
    <m/>
    <n v="25000"/>
    <m/>
    <n v="1470.7299999999814"/>
    <s v="QS yearly agreement, THE yearly agreement , Nature Mgazine Yearly Agreemernt, TV commercial"/>
    <x v="0"/>
  </r>
  <r>
    <s v="2 Other Operating Costs"/>
    <x v="1"/>
    <s v="8470140"/>
    <s v="KUST - Communication"/>
    <s v="425510"/>
    <s v="Conferences, seminars and exhibitions and other events: - Local Events"/>
    <s v="847.8470140.1.425510.000000.847001.200179"/>
    <n v="5025358"/>
    <n v="443086.96"/>
    <n v="191942.5"/>
    <n v="406402"/>
    <n v="3983926.54"/>
    <n v="2850000"/>
    <n v="400000"/>
    <n v="733900"/>
    <m/>
    <n v="26.540000000037253"/>
    <s v="WETEX, NAJAH AUH, NAJAH DXB, ARAB HEALTH, WFES, SHJ EXPO, AUD BOOKFAIR, KU GRADUATION, ISNR"/>
    <x v="0"/>
  </r>
  <r>
    <s v="2 Other Operating Costs"/>
    <x v="1"/>
    <s v="8470140"/>
    <s v="KUST - Communication"/>
    <s v="425550"/>
    <s v="Conferences, seminars and exhibitions and other events: - Overseas event"/>
    <s v="847.8470140.1.425550.000000.847001.200179"/>
    <n v="791955"/>
    <m/>
    <m/>
    <m/>
    <n v="791955"/>
    <n v="100000"/>
    <n v="300000"/>
    <n v="390000"/>
    <m/>
    <n v="1955"/>
    <s v="OMAN Fair, INTERNATIOINAL EVENT SPONSORSHIP"/>
    <x v="0"/>
  </r>
  <r>
    <s v="2 Other Operating Costs"/>
    <x v="1"/>
    <s v="8470140"/>
    <s v="KUST - Communication"/>
    <s v="425763"/>
    <s v="Student Project Expenses"/>
    <s v="847.8470140.1.425763.000000.847050.200179"/>
    <n v="400000"/>
    <m/>
    <n v="0"/>
    <n v="44020.6"/>
    <n v="355979.4"/>
    <m/>
    <n v="150000"/>
    <n v="205900"/>
    <m/>
    <n v="79.400000000023283"/>
    <s v="student project re fabrication for events and conferences"/>
    <x v="0"/>
  </r>
  <r>
    <s v="2 Other Operating Costs"/>
    <x v="1"/>
    <s v="8470140"/>
    <s v="KUST - Communication"/>
    <s v="427100"/>
    <s v="Public relations"/>
    <s v="847.8470140.1.427100.000000.847001.200179"/>
    <n v="1157850"/>
    <m/>
    <m/>
    <m/>
    <n v="1157850"/>
    <n v="57850"/>
    <n v="550000"/>
    <n v="550000"/>
    <m/>
    <n v="0"/>
    <s v="Content development agreement "/>
    <x v="0"/>
  </r>
  <r>
    <s v="2 Other Operating Costs"/>
    <x v="1"/>
    <s v="8470140"/>
    <s v="KUST - Communication"/>
    <s v="427200"/>
    <s v="Printing and publishing"/>
    <s v="847.8470140.1.427200.000000.847001.200179"/>
    <n v="750000"/>
    <m/>
    <m/>
    <m/>
    <n v="750000"/>
    <n v="100000"/>
    <n v="300000"/>
    <n v="350000"/>
    <m/>
    <n v="0"/>
    <s v="general printing"/>
    <x v="0"/>
  </r>
  <r>
    <s v="2 Other Operating Costs"/>
    <x v="1"/>
    <s v="8470140"/>
    <s v="KUST - Communication"/>
    <s v="428640"/>
    <s v="Events - Awards, prizes &amp; gifts"/>
    <s v="847.8470140.1.428640.000000.847001.200179"/>
    <n v="998000"/>
    <m/>
    <m/>
    <m/>
    <n v="998000"/>
    <n v="400000"/>
    <n v="300000"/>
    <n v="298000"/>
    <m/>
    <n v="0"/>
    <s v="KU Merchandise Store, KU conference gifts, "/>
    <x v="0"/>
  </r>
  <r>
    <s v="2 Other Operating Costs"/>
    <x v="1"/>
    <s v="8470140"/>
    <s v="KUST - Communication"/>
    <s v="435310"/>
    <s v="Newspapers, magazines, journals, etc"/>
    <s v="847.8470140.1.435310.000000.847001.200179"/>
    <n v="10000"/>
    <m/>
    <m/>
    <m/>
    <n v="10000"/>
    <m/>
    <m/>
    <n v="10000"/>
    <m/>
    <n v="0"/>
    <m/>
    <x v="0"/>
  </r>
  <r>
    <s v="2 Other Operating Costs"/>
    <x v="1"/>
    <s v="8470140"/>
    <s v="KUST - Communication"/>
    <s v="435519"/>
    <s v="Photography - Consumable materials /Tools"/>
    <s v="847.8470140.1.435519.000000.847001.200179"/>
    <n v="135000"/>
    <n v="4619"/>
    <n v="39193"/>
    <m/>
    <n v="91188"/>
    <m/>
    <n v="45000"/>
    <n v="46188"/>
    <m/>
    <n v="0"/>
    <s v="apple desktop"/>
    <x v="0"/>
  </r>
  <r>
    <s v="2 Other Operating Costs"/>
    <x v="2"/>
    <s v="8471305"/>
    <s v="KUST - Dean Of Medicine"/>
    <s v="420570"/>
    <s v="Academic Collaborative Partnership Services"/>
    <s v="847.8471305.1.420570.000000.847001.200179"/>
    <n v="21895944"/>
    <m/>
    <m/>
    <m/>
    <n v="21895944"/>
    <n v="6442560"/>
    <n v="6442560"/>
    <n v="9010824"/>
    <s v="lack of invoice "/>
    <n v="0"/>
    <s v="Acutal contract notes 25,770,240 required per the contract. Balance to be addressed per transfer.  Awating Quarter 1 invoice.  Balance will be invoiced quarterly. "/>
    <x v="0"/>
  </r>
  <r>
    <s v="2 Other Operating Costs"/>
    <x v="2"/>
    <s v="8471305"/>
    <s v="KUST - Dean Of Medicine"/>
    <s v="420810"/>
    <s v="IT Systems &amp; Support expenses"/>
    <s v="847.8471305.1.420810.000000.847001.200179"/>
    <n v="0"/>
    <m/>
    <m/>
    <m/>
    <n v="0"/>
    <m/>
    <m/>
    <m/>
    <m/>
    <n v="0"/>
    <m/>
    <x v="0"/>
  </r>
  <r>
    <s v="2 Other Operating Costs"/>
    <x v="2"/>
    <s v="8471305"/>
    <s v="KUST - Dean Of Medicine"/>
    <s v="420811"/>
    <s v="IT Systems &amp; Support expenses-Application/Systems Operation"/>
    <s v="847.8471305.1.420811.000000.847001.200179"/>
    <n v="263385"/>
    <m/>
    <m/>
    <m/>
    <n v="263385"/>
    <n v="263385"/>
    <m/>
    <m/>
    <m/>
    <n v="0"/>
    <s v="transfer request of funds to software completed to underpitn previous budget cut"/>
    <x v="0"/>
  </r>
  <r>
    <s v="2 Other Operating Costs"/>
    <x v="2"/>
    <s v="8471305"/>
    <s v="KUST - Dean Of Medicine"/>
    <s v="421000"/>
    <s v="Management consultancy"/>
    <s v="847.8471305.1.421000.000000.847001.200179"/>
    <n v="271000"/>
    <m/>
    <m/>
    <m/>
    <n v="271000"/>
    <n v="120000"/>
    <n v="100000"/>
    <n v="51000"/>
    <s v="Estimates based on current prices for travel etc"/>
    <n v="0"/>
    <s v="LCME review scheduled in Q2 for June/July. Support to ensure we are advancing medical student education to meet UAE  evolving needs in healthcare and alginment with US standards  Approved by ALC and ELC. Other consulting under discusion. "/>
    <x v="0"/>
  </r>
  <r>
    <s v="2 Other Operating Costs"/>
    <x v="2"/>
    <s v="8471305"/>
    <s v="KUST - Dean Of Medicine"/>
    <n v="421700"/>
    <s v="Standards Certification Services (e.g. ISO)"/>
    <s v="847.8471305.1.421700.000000.847001.200179"/>
    <n v="170000"/>
    <n v="43531.6"/>
    <m/>
    <m/>
    <n v="126468.4"/>
    <n v="30000"/>
    <n v="30000"/>
    <n v="66468"/>
    <m/>
    <n v="0.39999999999417923"/>
    <s v="American Heart Association training center certification and Audio Visual certifications will be renewed as per contract dates. Funding need to be evaluated mid year. "/>
    <x v="0"/>
  </r>
  <r>
    <s v="2 Other Operating Costs"/>
    <x v="2"/>
    <s v="8471305"/>
    <s v="KUST - Dean Of Medicine"/>
    <s v="422100"/>
    <s v="Waste management service"/>
    <s v="847.8471305.1.422100.000000.847001.200179"/>
    <n v="12000"/>
    <m/>
    <m/>
    <m/>
    <n v="12000"/>
    <m/>
    <n v="12000"/>
    <m/>
    <m/>
    <n v="0"/>
    <s v="Cleaning anatomy laboratory and discard of medical or laboratory waste in research labs. To be expended 2nd and 3rd quarter. "/>
    <x v="0"/>
  </r>
  <r>
    <s v="2 Other Operating Costs"/>
    <x v="2"/>
    <s v="8471305"/>
    <s v="KUST - Dean Of Medicine"/>
    <s v="425510"/>
    <s v="Conferences, seminars and exhibitions and other events: - Local Events"/>
    <s v="847.8471305.1.425510.000000.847001.200179"/>
    <n v="820000"/>
    <n v="30603.5"/>
    <n v="0"/>
    <n v="15500"/>
    <n v="773896.5"/>
    <n v="257965"/>
    <n v="257986"/>
    <n v="257945"/>
    <m/>
    <n v="0.5"/>
    <s v="Planning to initiate local CME program attendance.  Confences to be schedlud over the next three quarters by chairs and dean. FLC director to plan as well locally."/>
    <x v="0"/>
  </r>
  <r>
    <s v="2 Other Operating Costs"/>
    <x v="2"/>
    <s v="8471305"/>
    <s v="KUST - Dean Of Medicine"/>
    <s v="425550"/>
    <s v="Conferences, seminars and exhibitions and other events: - Overseas event"/>
    <s v="847.8471305.1.425550.000000.847001.200179"/>
    <n v="780000"/>
    <m/>
    <m/>
    <m/>
    <n v="780000"/>
    <n v="260000"/>
    <n v="260000"/>
    <n v="260000"/>
    <m/>
    <n v="0"/>
    <s v="Planning for  international attenence to academic programs.  Also considering hosting coferences later in the year. To be expended the next 3 qarters.  "/>
    <x v="0"/>
  </r>
  <r>
    <s v="2 Other Operating Costs"/>
    <x v="2"/>
    <s v="8471305"/>
    <s v="KUST - Dean Of Medicine"/>
    <s v="425720"/>
    <s v="Education-Outsourced training service"/>
    <s v="847.8471305.1.425720.000000.847001.200179"/>
    <n v="2494345"/>
    <n v="393100"/>
    <m/>
    <m/>
    <n v="2101245"/>
    <n v="700415"/>
    <n v="700415"/>
    <n v="700415"/>
    <m/>
    <n v="0"/>
    <s v="Consultants and adjunct factulty  fees will be ultilsed later during the 2022 school year for training services.  ASG training, approved."/>
    <x v="0"/>
  </r>
  <r>
    <s v="2 Other Operating Costs"/>
    <x v="2"/>
    <s v="8471305"/>
    <s v="KUST - Dean Of Medicine"/>
    <s v="425742"/>
    <s v="Enrollment expenses"/>
    <s v="847.8471305.1.425742.000000.847001.200179"/>
    <n v="180000"/>
    <n v="1747.46"/>
    <m/>
    <m/>
    <n v="178252.54"/>
    <m/>
    <m/>
    <n v="178252.54"/>
    <m/>
    <n v="0"/>
    <s v="Funding requried as 2022 enrollment commences quarter 3 for new  and returning students. "/>
    <x v="0"/>
  </r>
  <r>
    <s v="2 Other Operating Costs"/>
    <x v="2"/>
    <s v="8471305"/>
    <s v="KUST - Dean Of Medicine"/>
    <s v="425745"/>
    <s v="Student relocation &amp; travel exps"/>
    <s v="847.8471305.1.425745.000000.847001.200179"/>
    <n v="20000"/>
    <n v="19600"/>
    <m/>
    <m/>
    <n v="400"/>
    <m/>
    <m/>
    <n v="400"/>
    <m/>
    <n v="0"/>
    <s v="will be expended before the end of Q3 "/>
    <x v="0"/>
  </r>
  <r>
    <s v="2 Other Operating Costs"/>
    <x v="2"/>
    <s v="8471305"/>
    <s v="KUST - Dean Of Medicine"/>
    <s v="425746"/>
    <s v="Student Transport"/>
    <s v="847.8471305.1.425746.000000.847001.200179"/>
    <n v="292600"/>
    <m/>
    <m/>
    <m/>
    <n v="292600"/>
    <m/>
    <n v="146300"/>
    <n v="146300"/>
    <m/>
    <n v="0"/>
    <s v="will be expended as the 2022 - 2023 school year commences. "/>
    <x v="0"/>
  </r>
  <r>
    <s v="2 Other Operating Costs"/>
    <x v="2"/>
    <s v="8471305"/>
    <s v="KUST - Dean Of Medicine"/>
    <s v="425749"/>
    <s v="Postgraduate Student Salaries"/>
    <s v="847.8471305.1.425749.000000.847001.200179"/>
    <n v="24213178"/>
    <n v="4484666.68"/>
    <m/>
    <m/>
    <n v="19728511.32"/>
    <n v="6576171"/>
    <n v="6576171"/>
    <n v="6576169"/>
    <m/>
    <n v="0.32000000029802322"/>
    <s v="New student intake is estimated to be 30 - 50 . As the year progresses this  will be transferrerd to central Student Affairs Services."/>
    <x v="0"/>
  </r>
  <r>
    <s v="2 Other Operating Costs"/>
    <x v="2"/>
    <s v="8471305"/>
    <s v="KUST - Dean Of Medicine"/>
    <s v="425750"/>
    <s v="Skill assessment service"/>
    <s v="847.8471305.1.425750.000000.847001.200179"/>
    <n v="864069"/>
    <m/>
    <m/>
    <m/>
    <n v="864069"/>
    <n v="432034"/>
    <n v="163018"/>
    <n v="269017"/>
    <m/>
    <n v="0"/>
    <s v=" Lecturio  - USMLE Prep, IFOM costs to underpin student success on standardized US testing program."/>
    <x v="0"/>
  </r>
  <r>
    <s v="2 Other Operating Costs"/>
    <x v="2"/>
    <s v="8471305"/>
    <s v="KUST - Dean Of Medicine"/>
    <s v="425762"/>
    <s v="Student Internship"/>
    <s v="847.8471305.1.425762.000000.847001.200179"/>
    <n v="2759974"/>
    <m/>
    <m/>
    <m/>
    <n v="2759974"/>
    <n v="92000"/>
    <n v="287987"/>
    <n v="2379987"/>
    <m/>
    <n v="0"/>
    <s v=" international  internship elective will be expended over the year. "/>
    <x v="0"/>
  </r>
  <r>
    <s v="2 Other Operating Costs"/>
    <x v="2"/>
    <s v="8471305"/>
    <s v="KUST - Dean Of Medicine"/>
    <s v="425763"/>
    <s v="Student Project Expenses"/>
    <s v="847.8471305.1.425763.000000.847001.200179"/>
    <n v="200000"/>
    <n v="2940"/>
    <m/>
    <m/>
    <n v="197060"/>
    <n v="61560"/>
    <n v="70000"/>
    <n v="65500"/>
    <m/>
    <n v="0"/>
    <s v="Research funding as  requesed and approved for  all periods. "/>
    <x v="0"/>
  </r>
  <r>
    <s v="2 Other Operating Costs"/>
    <x v="2"/>
    <s v="8471305"/>
    <s v="KUST - Dean Of Medicine"/>
    <s v="425900"/>
    <s v="Entertainment and hospitality"/>
    <s v="847.8471305.1.425900.000000.847001.200179"/>
    <n v="185000"/>
    <n v="5459.4"/>
    <m/>
    <m/>
    <n v="179540.6"/>
    <n v="60000"/>
    <n v="70000"/>
    <n v="49541"/>
    <m/>
    <n v="-0.39999999999417923"/>
    <s v="Hosting the PMB students prior to P1 acceptance. Interview lunches, HR recruitment, visiting faculty all departments"/>
    <x v="0"/>
  </r>
  <r>
    <s v="2 Other Operating Costs"/>
    <x v="2"/>
    <s v="8471305"/>
    <s v="KUST - Dean Of Medicine"/>
    <s v="426100"/>
    <s v="Freight and shipping costs, not included elsewhere under purchase costs"/>
    <s v="847.8471305.1.426100.000000.847001.200179"/>
    <n v="90000"/>
    <m/>
    <m/>
    <m/>
    <n v="90000"/>
    <n v="15000"/>
    <n v="45000"/>
    <n v="30000"/>
    <m/>
    <n v="0"/>
    <s v="Shipping posters, equipment, for conferencesetc."/>
    <x v="0"/>
  </r>
  <r>
    <s v="2 Other Operating Costs"/>
    <x v="2"/>
    <s v="8471305"/>
    <s v="KUST - Dean Of Medicine"/>
    <s v="426610"/>
    <s v="Computer software licenses-Software License Renewal"/>
    <s v="847.8471305.1.426610.000000.847001.200179"/>
    <n v="777363"/>
    <n v="111178.38"/>
    <n v="468475"/>
    <n v="96666.01"/>
    <n v="101043.61"/>
    <n v="50000"/>
    <n v="35000"/>
    <n v="16044"/>
    <m/>
    <n v="-0.38999999999941792"/>
    <s v="Will be expensed over the next  3 months"/>
    <x v="0"/>
  </r>
  <r>
    <s v="2 Other Operating Costs"/>
    <x v="2"/>
    <s v="8471305"/>
    <s v="KUST - Dean Of Medicine"/>
    <s v="426900"/>
    <s v="Postal, courier and other document delivery expenses"/>
    <s v="847.8471305.1.426900.000000.847001.200179"/>
    <n v="21000"/>
    <m/>
    <m/>
    <m/>
    <n v="21000"/>
    <n v="5000"/>
    <n v="10000"/>
    <n v="6000"/>
    <m/>
    <n v="0"/>
    <s v="Will be expensed over the next  6 months"/>
    <x v="0"/>
  </r>
  <r>
    <s v="2 Other Operating Costs"/>
    <x v="2"/>
    <s v="8471305"/>
    <s v="KUST - Dean Of Medicine"/>
    <s v="427200"/>
    <s v="Printing and publishing"/>
    <s v="847.8471305.1.427200.000000.847001.200179"/>
    <n v="903674"/>
    <m/>
    <m/>
    <m/>
    <n v="903674"/>
    <n v="15000"/>
    <n v="350000"/>
    <n v="538674"/>
    <m/>
    <n v="0"/>
    <s v="Will be expensed over the next  9 months, grant funding, publishing "/>
    <x v="0"/>
  </r>
  <r>
    <s v="2 Other Operating Costs"/>
    <x v="2"/>
    <s v="8471305"/>
    <s v="KUST - Dean Of Medicine"/>
    <s v="427710"/>
    <s v="Subscriptions and membership fees: Trade organisations"/>
    <s v="847.8471305.1.427710.000000.847001.200179"/>
    <n v="153178"/>
    <n v="485"/>
    <n v="0"/>
    <n v="11520"/>
    <n v="141173"/>
    <n v="50000"/>
    <n v="50000"/>
    <n v="41173"/>
    <m/>
    <n v="0"/>
    <s v="fees are on a clycle according to the professional organization.  Memeberhsip fees for international alignment will be utlized in the calender year.  Which include memberships for Professional affiliations with Simulation and AMEE and AAHCI "/>
    <x v="0"/>
  </r>
  <r>
    <s v="2 Other Operating Costs"/>
    <x v="2"/>
    <s v="8471305"/>
    <s v="KUST - Dean Of Medicine"/>
    <s v="427810"/>
    <s v="Telephone and telefax charges-Telecommunication, Satellite services"/>
    <s v="847.8471305.1.427810.000000.847001.200179"/>
    <n v="10000"/>
    <m/>
    <m/>
    <m/>
    <n v="10000"/>
    <n v="3000"/>
    <n v="3000"/>
    <n v="4000"/>
    <m/>
    <n v="0"/>
    <s v="Used over the calendar year for external communications.  "/>
    <x v="0"/>
  </r>
  <r>
    <s v="2 Other Operating Costs"/>
    <x v="2"/>
    <s v="8471305"/>
    <s v="KUST - Dean Of Medicine"/>
    <s v="428090"/>
    <s v="Business Travel - Combined expenses"/>
    <s v="847.8471305.1.428090.000000.847001.200179"/>
    <n v="419000"/>
    <m/>
    <m/>
    <m/>
    <n v="419000"/>
    <n v="140000"/>
    <n v="140000"/>
    <n v="139000"/>
    <m/>
    <n v="0"/>
    <s v="Sim and clinical skills members CPD, business mission ,  MCAT and international academic affliation site visits during 2022"/>
    <x v="0"/>
  </r>
  <r>
    <s v="2 Other Operating Costs"/>
    <x v="2"/>
    <s v="8471305"/>
    <s v="KUST - Dean Of Medicine"/>
    <s v="428640"/>
    <s v="Events - Awards, prizes &amp; gifts"/>
    <s v="847.8471305.1.428640.000000.847001.200179"/>
    <n v="5000"/>
    <n v="709.75"/>
    <m/>
    <m/>
    <n v="4290.25"/>
    <n v="1000"/>
    <n v="2000"/>
    <n v="1290"/>
    <m/>
    <n v="0.25"/>
    <s v="FLC trophy, medals and other awards that are issued thoughout the calendar year.  Will be ultized before the end of 2022. "/>
    <x v="0"/>
  </r>
  <r>
    <s v="2 Other Operating Costs"/>
    <x v="2"/>
    <s v="8471305"/>
    <s v="KUST - Dean Of Medicine"/>
    <s v="432205"/>
    <s v="Computers and peripherals-End user and Infrastructure components maintenance and support"/>
    <s v="847.8471305.1.432205.000000.847001.200179"/>
    <n v="26000"/>
    <m/>
    <m/>
    <m/>
    <n v="26000"/>
    <m/>
    <m/>
    <n v="26000"/>
    <m/>
    <n v="0"/>
    <s v="funding requested was  934,000 and only funded 26,000.  Will be utilized before the end ofQ3 for ongoing maintenance upgrades  (For Anatomy + OSCE) plus software programs. "/>
    <x v="0"/>
  </r>
  <r>
    <s v="2 Other Operating Costs"/>
    <x v="2"/>
    <s v="8471305"/>
    <s v="KUST - Dean Of Medicine"/>
    <s v="436110"/>
    <s v="Printing supplies"/>
    <s v="847.8471305.1.436110.000000.847001.200179"/>
    <n v="200000"/>
    <m/>
    <m/>
    <m/>
    <n v="200000"/>
    <n v="200000"/>
    <m/>
    <m/>
    <m/>
    <n v="0"/>
    <s v="Transfered to fund for studet software learning needs for exam success. "/>
    <x v="0"/>
  </r>
  <r>
    <s v="2 Other Operating Costs"/>
    <x v="2"/>
    <s v="8471305"/>
    <s v="KUST - Dean Of Medicine"/>
    <s v="436120"/>
    <s v="Stationery"/>
    <s v="847.8471305.1.436120.000000.847001.200179"/>
    <n v="112000"/>
    <m/>
    <m/>
    <m/>
    <n v="112000"/>
    <n v="30000"/>
    <n v="50000"/>
    <n v="32000"/>
    <m/>
    <n v="0"/>
    <s v="Items to be ordered this quarter to meet the needs of CMHS. "/>
    <x v="0"/>
  </r>
  <r>
    <s v="2 Other Operating Costs"/>
    <x v="3"/>
    <s v="8470230"/>
    <s v="KUST - Graduate Studies"/>
    <s v="420550"/>
    <s v="Academic Advisory Service"/>
    <s v="847.8470230.1.420550.000000.847001.200179"/>
    <n v="1020620"/>
    <m/>
    <m/>
    <m/>
    <n v="1020620"/>
    <n v="340206"/>
    <n v="340206"/>
    <n v="340208"/>
    <s v="Will be used for paying the external examiners of PhD defenses. This is usually done by end of Spring 2022, Summer 2022 and Fall 2022 and will depend on the number of students graduating in these semesters."/>
    <n v="0"/>
    <m/>
    <x v="0"/>
  </r>
  <r>
    <s v="2 Other Operating Costs"/>
    <x v="3"/>
    <s v="8470230"/>
    <s v="KUST - Graduate Studies"/>
    <s v="425100"/>
    <s v="Advertising Services (General)"/>
    <s v="847.8470230.1.425100.000000.847001.200179"/>
    <n v="300000"/>
    <m/>
    <m/>
    <m/>
    <n v="300000"/>
    <n v="0"/>
    <n v="300000"/>
    <n v="0"/>
    <s v="Will be used to advertise for Spring 2023 Admission graduate programs."/>
    <n v="0"/>
    <m/>
    <x v="0"/>
  </r>
  <r>
    <s v="2 Other Operating Costs"/>
    <x v="3"/>
    <s v="8470230"/>
    <s v="KUST - Graduate Studies"/>
    <s v="425510"/>
    <s v="Conferences, seminars and exhibitions and other events: - Local Events"/>
    <s v="847.8470230.1.425510.000000.847001.200179"/>
    <n v="34000"/>
    <m/>
    <m/>
    <m/>
    <n v="34000"/>
    <n v="11000"/>
    <n v="11000"/>
    <n v="12000"/>
    <s v="Will be used to cover the expenses of students attending local conferences and events."/>
    <n v="0"/>
    <m/>
    <x v="0"/>
  </r>
  <r>
    <s v="2 Other Operating Costs"/>
    <x v="3"/>
    <s v="8470230"/>
    <s v="KUST - Graduate Studies"/>
    <s v="425550"/>
    <s v="Conferences, seminars and exhibitions and other events: - Overseas event"/>
    <s v="847.8470230.1.425550.000000.847001.200179"/>
    <n v="222000"/>
    <m/>
    <m/>
    <m/>
    <n v="222000"/>
    <n v="74000"/>
    <n v="74000"/>
    <n v="74000"/>
    <s v="Will be used to cover the expenses of students attending International conferences and events."/>
    <n v="0"/>
    <m/>
    <x v="0"/>
  </r>
  <r>
    <s v="2 Other Operating Costs"/>
    <x v="3"/>
    <s v="8470230"/>
    <s v="KUST - Graduate Studies"/>
    <s v="425743"/>
    <s v="Graduation rewards"/>
    <s v="847.8470230.1.425743.000000.847001.200179"/>
    <n v="240000"/>
    <m/>
    <m/>
    <m/>
    <n v="240000"/>
    <n v="0"/>
    <n v="240000"/>
    <n v="0"/>
    <s v="To pay MI legacy students who are eligible for graduation award as per their contract."/>
    <n v="0"/>
    <m/>
    <x v="0"/>
  </r>
  <r>
    <s v="2 Other Operating Costs"/>
    <x v="3"/>
    <s v="8470230"/>
    <s v="KUST - Graduate Studies"/>
    <s v="425744"/>
    <s v="Student medical insurance"/>
    <s v="847.8470230.1.425744.000000.847001.200179"/>
    <n v="4816800"/>
    <n v="588624.56999999995"/>
    <m/>
    <m/>
    <n v="4228175.43"/>
    <n v="500000"/>
    <n v="1000000"/>
    <n v="2728175"/>
    <s v="Will be used to pay students medical insurance.  The payment will be made mainly in Fall 2022 semester.  There is also a proposal to upgrade the insurance plan for graduate students."/>
    <n v="0.42999999970197678"/>
    <m/>
    <x v="0"/>
  </r>
  <r>
    <s v="2 Other Operating Costs"/>
    <x v="3"/>
    <s v="8470230"/>
    <s v="KUST - Graduate Studies"/>
    <s v="425745"/>
    <s v="Student relocation &amp; travel exps"/>
    <s v="847.8470230.1.425745.000000.847001.200179"/>
    <n v="1971263"/>
    <n v="148525"/>
    <m/>
    <m/>
    <n v="1822738"/>
    <n v="500000"/>
    <n v="520000"/>
    <n v="802738"/>
    <s v="The amount will be used for mobilization and demobilization of students, as well as annual travel allowance payments in April and November."/>
    <n v="0"/>
    <m/>
    <x v="0"/>
  </r>
  <r>
    <s v="2 Other Operating Costs"/>
    <x v="3"/>
    <s v="8470230"/>
    <s v="KUST - Graduate Studies"/>
    <s v="425749"/>
    <s v="Postgraduate Student Salaries"/>
    <s v="847.8470230.1.425749.000000.847001.200179"/>
    <n v="110824684"/>
    <n v="28096601.640000001"/>
    <m/>
    <m/>
    <n v="82728082.359999999"/>
    <n v="27576000"/>
    <n v="27576000"/>
    <n v="27576082"/>
    <s v="More than 25% of funds is already used during Q1 to pay student stipends. The remaining 75% will be divided in the other quarters (Q2, Q3, Q4)."/>
    <n v="0.35999999940395355"/>
    <m/>
    <x v="0"/>
  </r>
  <r>
    <s v="2 Other Operating Costs"/>
    <x v="3"/>
    <s v="8470230"/>
    <s v="KUST - Graduate Studies"/>
    <s v="425761"/>
    <s v="Student Field trips"/>
    <s v="847.8470230.1.425761.000000.847001.200179"/>
    <n v="150000"/>
    <m/>
    <m/>
    <m/>
    <n v="150000"/>
    <n v="50000"/>
    <n v="50000"/>
    <n v="50000"/>
    <s v="To cover field trips for graduate students."/>
    <n v="0"/>
    <m/>
    <x v="0"/>
  </r>
  <r>
    <s v="2 Other Operating Costs"/>
    <x v="3"/>
    <s v="8470230"/>
    <s v="KUST - Graduate Studies"/>
    <s v="425762"/>
    <s v="Student Internship"/>
    <s v="847.8470230.1.425762.000000.847001.200179"/>
    <n v="150000"/>
    <m/>
    <m/>
    <m/>
    <n v="150000"/>
    <n v="50000"/>
    <n v="50000"/>
    <n v="50000"/>
    <s v="Will be used to cover the expenses of student internships. The internship program was launched recently."/>
    <n v="0"/>
    <m/>
    <x v="0"/>
  </r>
  <r>
    <s v="2 Other Operating Costs"/>
    <x v="3"/>
    <s v="8470230"/>
    <s v="KUST - Graduate Studies"/>
    <s v="425900"/>
    <s v="Entertainment and hospitality"/>
    <s v="847.8470230.1.425900.000000.847001.200179"/>
    <n v="45648"/>
    <m/>
    <m/>
    <m/>
    <n v="45648"/>
    <n v="10000"/>
    <n v="20000"/>
    <n v="15648"/>
    <s v="Some social events will take place after Ramadan. The amount will be used to cover the expenses of these events."/>
    <n v="0"/>
    <m/>
    <x v="0"/>
  </r>
  <r>
    <s v="2 Other Operating Costs"/>
    <x v="3"/>
    <s v="8470230"/>
    <s v="KUST - Graduate Studies"/>
    <s v="426610"/>
    <s v="Computer software licenses-Software License Renewal"/>
    <s v="847.8470230.1.426610.000000.847001.200179"/>
    <n v="10000"/>
    <m/>
    <m/>
    <m/>
    <n v="10000"/>
    <n v="0"/>
    <n v="0"/>
    <n v="10000"/>
    <s v="For S/W licenses renewal."/>
    <n v="0"/>
    <m/>
    <x v="0"/>
  </r>
  <r>
    <s v="2 Other Operating Costs"/>
    <x v="3"/>
    <s v="8470230"/>
    <s v="KUST - Graduate Studies"/>
    <s v="428090"/>
    <s v="Business Travel - Combined expenses"/>
    <s v="847.8470230.1.428090.000000.847001.200179"/>
    <n v="97000"/>
    <m/>
    <m/>
    <m/>
    <n v="97000"/>
    <n v="30000"/>
    <n v="30000"/>
    <n v="37000"/>
    <s v="Will be used to cover expenses related to events either locally or internationally."/>
    <n v="0"/>
    <m/>
    <x v="0"/>
  </r>
  <r>
    <s v="2 Other Operating Costs"/>
    <x v="3"/>
    <s v="8470230"/>
    <s v="KUST - Graduate Studies"/>
    <s v="428640"/>
    <s v="Events - Awards, prizes &amp; gifts"/>
    <s v="847.8470230.1.428640.000000.847001.200179"/>
    <n v="80000"/>
    <m/>
    <m/>
    <m/>
    <n v="80000"/>
    <n v="10000"/>
    <n v="40000"/>
    <n v="30000"/>
    <s v="Will be used for some initiatives related to graduate student recruitment, prizes for best thesis award, gifts for external examiners visiting KU in person."/>
    <n v="0"/>
    <m/>
    <x v="0"/>
  </r>
  <r>
    <s v="2 Other Operating Costs"/>
    <x v="3"/>
    <s v="8470230"/>
    <s v="KUST - Graduate Studies"/>
    <s v="436110"/>
    <s v="Printing supplies"/>
    <s v="847.8470230.1.436110.000000.847001.200179"/>
    <n v="5000"/>
    <m/>
    <m/>
    <m/>
    <n v="5000"/>
    <n v="0"/>
    <n v="0"/>
    <n v="5000"/>
    <s v="Mainly for graduate catalog but can be used for other publication materials."/>
    <n v="0"/>
    <m/>
    <x v="0"/>
  </r>
  <r>
    <s v="2 Other Operating Costs"/>
    <x v="4"/>
    <s v="8471010"/>
    <s v="KUST - Continuing Education Office"/>
    <s v="425100"/>
    <s v="Advertising Services (General)"/>
    <s v="847.8471010.1.425100.000000.847001.200179"/>
    <n v="107500"/>
    <m/>
    <m/>
    <m/>
    <n v="107500"/>
    <m/>
    <n v="107500"/>
    <m/>
    <m/>
    <n v="0"/>
    <m/>
    <x v="0"/>
  </r>
  <r>
    <s v="2 Other Operating Costs"/>
    <x v="4"/>
    <s v="8471010"/>
    <s v="KUST - Continuing Education Office"/>
    <s v="425510"/>
    <s v="Conferences, seminars and exhibitions and other events: - Local Events"/>
    <s v="847.8471010.1.425510.000000.847001.200179"/>
    <n v="100000"/>
    <m/>
    <m/>
    <m/>
    <n v="100000"/>
    <m/>
    <m/>
    <m/>
    <m/>
    <n v="100000"/>
    <n v="100000"/>
    <x v="0"/>
  </r>
  <r>
    <s v="2 Other Operating Costs"/>
    <x v="4"/>
    <s v="8471010"/>
    <s v="KUST - Continuing Education Office"/>
    <s v="425720"/>
    <s v="Education-Outsourced training service"/>
    <s v="847.8471010.1.425720.000000.847001.200179"/>
    <n v="76120"/>
    <m/>
    <m/>
    <m/>
    <n v="76120"/>
    <m/>
    <m/>
    <m/>
    <m/>
    <n v="76120"/>
    <n v="76120"/>
    <x v="0"/>
  </r>
  <r>
    <s v="2 Other Operating Costs"/>
    <x v="4"/>
    <s v="8471010"/>
    <s v="KUST - Continuing Education Office"/>
    <s v="425900"/>
    <s v="Entertainment and hospitality"/>
    <s v="847.8471010.1.425900.000000.847001.200179"/>
    <n v="162500"/>
    <m/>
    <m/>
    <m/>
    <n v="162500"/>
    <m/>
    <m/>
    <m/>
    <m/>
    <n v="162500"/>
    <n v="162500"/>
    <x v="0"/>
  </r>
  <r>
    <s v="2 Other Operating Costs"/>
    <x v="4"/>
    <s v="8471010"/>
    <s v="KUST - Continuing Education Office"/>
    <s v="436110"/>
    <s v="Printing supplies"/>
    <s v="847.8471010.1.436110.000000.847001.200179"/>
    <n v="50625"/>
    <m/>
    <m/>
    <m/>
    <n v="50625"/>
    <m/>
    <n v="50625"/>
    <m/>
    <m/>
    <n v="0"/>
    <m/>
    <x v="0"/>
  </r>
  <r>
    <s v="2 Other Operating Costs"/>
    <x v="4"/>
    <s v="8471010"/>
    <s v="KUST - Continuing Education Office"/>
    <s v="436120"/>
    <s v="Stationery"/>
    <s v="847.8471010.1.436120.000000.847001.200179"/>
    <n v="5625"/>
    <m/>
    <m/>
    <m/>
    <n v="5625"/>
    <m/>
    <n v="5625"/>
    <m/>
    <m/>
    <n v="0"/>
    <m/>
    <x v="0"/>
  </r>
  <r>
    <s v="2 Other Operating Costs"/>
    <x v="5"/>
    <s v="8470620"/>
    <s v="KUST - Finance Operations"/>
    <s v="420130"/>
    <s v="External Audit service"/>
    <s v="847.8470620.1.420130.000000.847001.200179"/>
    <n v="295000"/>
    <n v="60000"/>
    <m/>
    <m/>
    <n v="235000"/>
    <n v="186850"/>
    <n v="35350"/>
    <m/>
    <s v="*full year audit 2021 invoice received AED 90,900.  will be paid once BOT approve FS.  Expected during Q2._x000a_*mid year 2021 invoice received AED 35,350.  will be paid once the mid year report singed by BOT members.  Expected during Q2_x000a_*ICFR year 2021 not yet completed. as per the agreement AED 60,600. expected in Q2_x000a_*ICFR year 2022 not yet completed. as per the agreement AED 60,600. expected in Q3_x000a_"/>
    <n v="12800"/>
    <s v="_x000a_* the remaining balance will be used for the translation cost for audit reports full/mid &amp; ICFR.  Not clear how much Deloitte will charge us"/>
    <x v="0"/>
  </r>
  <r>
    <s v="2 Other Operating Costs"/>
    <x v="5"/>
    <s v="8470620"/>
    <s v="KUST - Finance Operations"/>
    <s v="421100"/>
    <s v="Manpower supply &quot;Other Than IT Related&quot;"/>
    <s v="847.8470620.1.421100.000000.847001.200179"/>
    <n v="31160"/>
    <n v="31000"/>
    <m/>
    <m/>
    <n v="160"/>
    <m/>
    <m/>
    <m/>
    <m/>
    <n v="160"/>
    <m/>
    <x v="0"/>
  </r>
  <r>
    <s v="2 Other Operating Costs"/>
    <x v="5"/>
    <s v="8470620"/>
    <s v="KUST - Finance Operations"/>
    <s v="422900"/>
    <s v="Other specialised professional services, not mentioned elsewhere"/>
    <s v="847.8470620.1.422900.000000.847001.200179"/>
    <n v="416100"/>
    <m/>
    <n v="0"/>
    <n v="416100"/>
    <n v="0"/>
    <m/>
    <m/>
    <m/>
    <m/>
    <n v="0"/>
    <m/>
    <x v="0"/>
  </r>
  <r>
    <s v="2 Other Operating Costs"/>
    <x v="5"/>
    <s v="8470620"/>
    <s v="KUST - Finance Operations"/>
    <s v="425300"/>
    <s v="Banking service charges / Fees"/>
    <s v="847.8470620.1.425300.000000.847001.200179"/>
    <n v="3600"/>
    <n v="141.13999999999999"/>
    <m/>
    <m/>
    <n v="3458.86"/>
    <n v="1152.9533333333334"/>
    <n v="1152.9533333333334"/>
    <n v="1152.9533333333334"/>
    <s v="bank auto charges for the daily transaction"/>
    <n v="0"/>
    <m/>
    <x v="0"/>
  </r>
  <r>
    <s v="2 Other Operating Costs"/>
    <x v="5"/>
    <s v="8470620"/>
    <s v="KUST - Finance Operations"/>
    <s v="425350"/>
    <s v="Fees for processing e-payments-e-Payment operation"/>
    <s v="847.8470620.1.425350.000000.847001.200179"/>
    <n v="90000"/>
    <n v="37121.129999999997"/>
    <m/>
    <m/>
    <n v="52878.87"/>
    <n v="17626.29"/>
    <n v="17626.29"/>
    <n v="17626.29"/>
    <s v="bank auto charges for the daily transaction"/>
    <n v="0"/>
    <m/>
    <x v="0"/>
  </r>
  <r>
    <s v="2 Other Operating Costs"/>
    <x v="5"/>
    <s v="8470620"/>
    <s v="KUST - Finance Operations"/>
    <s v="426610"/>
    <s v="Computer software licenses-Software License Renewal"/>
    <s v="847.8470620.1.426610.000000.847001.200179"/>
    <n v="31680"/>
    <m/>
    <m/>
    <m/>
    <n v="31680"/>
    <m/>
    <n v="31680"/>
    <m/>
    <s v="renewal of SPAN tagging system"/>
    <n v="0"/>
    <m/>
    <x v="0"/>
  </r>
  <r>
    <s v="2 Other Operating Costs"/>
    <x v="5"/>
    <s v="8470620"/>
    <s v="KUST - Finance Operations"/>
    <s v="436110"/>
    <s v="Printing supplies"/>
    <s v="847.8470620.1.436110.000000.847001.200179"/>
    <m/>
    <n v="0"/>
    <m/>
    <m/>
    <n v="0"/>
    <m/>
    <m/>
    <m/>
    <m/>
    <n v="0"/>
    <m/>
    <x v="0"/>
  </r>
  <r>
    <s v="2 Other Operating Costs"/>
    <x v="5"/>
    <s v="8470620"/>
    <s v="KUST - Finance Operations"/>
    <s v="436120"/>
    <s v="Stationery"/>
    <s v="847.8470620.1.436120.000000.847001.200179"/>
    <n v="2500"/>
    <m/>
    <m/>
    <m/>
    <n v="2500"/>
    <m/>
    <m/>
    <m/>
    <m/>
    <n v="2500"/>
    <m/>
    <x v="0"/>
  </r>
  <r>
    <s v="2 Other Operating Costs"/>
    <x v="3"/>
    <s v="8471210"/>
    <s v="KUST - SVP/ Academic &amp; Student Services Office"/>
    <s v="425900"/>
    <s v="Entertainment and hospitality"/>
    <s v="847.8471210.1.425900.000000.847001.200179"/>
    <n v="15000"/>
    <m/>
    <n v="0"/>
    <n v="13190.4"/>
    <n v="1809.6"/>
    <m/>
    <m/>
    <m/>
    <m/>
    <n v="1809.6"/>
    <m/>
    <x v="0"/>
  </r>
  <r>
    <s v="2 Other Operating Costs"/>
    <x v="3"/>
    <s v="8471210"/>
    <s v="KUST - SVP/ Academic &amp; Student Services Office"/>
    <s v="428090"/>
    <s v="Business Travel - Combined expenses"/>
    <s v="847.8471210.1.428090.000000.847001.200179"/>
    <n v="100000"/>
    <m/>
    <m/>
    <m/>
    <n v="100000"/>
    <m/>
    <n v="100000"/>
    <m/>
    <m/>
    <n v="0"/>
    <s v="The amount is for SVP’s business travel which aim to identify detailed frameworks for cooperation and partnership with international universities to benchmark experiences and develop joint programs for student exchange and internships."/>
    <x v="0"/>
  </r>
  <r>
    <s v="2 Other Operating Costs"/>
    <x v="3"/>
    <s v="8471210"/>
    <s v="KUST - SVP/ Academic &amp; Student Services Office"/>
    <s v="428640"/>
    <s v="Events - Awards, prizes &amp; gifts"/>
    <s v="847.8471210.1.428640.000000.847001.200179"/>
    <n v="20000"/>
    <m/>
    <m/>
    <m/>
    <n v="20000"/>
    <m/>
    <m/>
    <m/>
    <m/>
    <n v="20000"/>
    <m/>
    <x v="0"/>
  </r>
  <r>
    <s v="2 Other Operating Costs"/>
    <x v="3"/>
    <s v="8471210"/>
    <s v="KUST - SVP/ Academic &amp; Student Services Office"/>
    <s v="435530"/>
    <s v="School consumables, not specifically mentioned elsewhere"/>
    <s v="847.8471210.1.435530.000000.847001.200179"/>
    <n v="20000"/>
    <m/>
    <m/>
    <m/>
    <n v="20000"/>
    <m/>
    <m/>
    <m/>
    <m/>
    <n v="20000"/>
    <m/>
    <x v="0"/>
  </r>
  <r>
    <s v="2 Other Operating Costs"/>
    <x v="3"/>
    <s v="8471220"/>
    <s v="KUST - Registrar"/>
    <s v="425510"/>
    <s v="Conferences, seminars and exhibitions and other events: - Local Events"/>
    <s v="847.8471220.1.425510.000000.847001.200179"/>
    <n v="2200"/>
    <m/>
    <m/>
    <m/>
    <n v="2200"/>
    <m/>
    <m/>
    <m/>
    <m/>
    <n v="2200"/>
    <m/>
    <x v="0"/>
  </r>
  <r>
    <s v="2 Other Operating Costs"/>
    <x v="3"/>
    <s v="8471220"/>
    <s v="KUST - Registrar"/>
    <s v="425741"/>
    <s v="Student stipend"/>
    <s v="847.8471220.1.425741.000000.847001.200179"/>
    <n v="80501600"/>
    <n v="22544339.32"/>
    <m/>
    <m/>
    <n v="57957260.68"/>
    <n v="22283540.329999998"/>
    <m/>
    <n v="35673720"/>
    <m/>
    <n v="0.35000000149011612"/>
    <s v="Jan 2022                                           4,239,273.00 _x0009_14 Days only_x000a_Feb 2022_x0009_                                           9,090,534.00 _x0009_Full_x000a_Mar 2022_x0009_                                           8,953,733.33 _x0009_Full_x000a__x0009_                                           22,283,540.33 _x0009_"/>
    <x v="0"/>
  </r>
  <r>
    <s v="2 Other Operating Costs"/>
    <x v="3"/>
    <s v="8471220"/>
    <s v="KUST - Registrar"/>
    <s v="426900"/>
    <s v="Postal, courier and other document delivery expenses"/>
    <s v="847.8471220.1.426900.000000.847001.200179"/>
    <n v="11000"/>
    <m/>
    <m/>
    <m/>
    <n v="11000"/>
    <m/>
    <m/>
    <m/>
    <m/>
    <n v="11000"/>
    <m/>
    <x v="0"/>
  </r>
  <r>
    <s v="2 Other Operating Costs"/>
    <x v="3"/>
    <s v="8471220"/>
    <s v="KUST - Registrar"/>
    <s v="435340"/>
    <s v="Text books and library books"/>
    <s v="847.8471220.1.435340.000000.847001.200179"/>
    <n v="9500000"/>
    <m/>
    <m/>
    <m/>
    <n v="9500000"/>
    <m/>
    <n v="9500000"/>
    <m/>
    <m/>
    <n v="0"/>
    <s v="The  remaining amount is for Summer and Fall"/>
    <x v="0"/>
  </r>
  <r>
    <s v="2 Other Operating Costs"/>
    <x v="3"/>
    <s v="8471220"/>
    <s v="KUST - Registrar"/>
    <s v="436110"/>
    <s v="Printing supplies"/>
    <s v="847.8471220.1.436110.000000.847001.200179"/>
    <n v="300000"/>
    <m/>
    <n v="63500"/>
    <n v="52000"/>
    <n v="184500"/>
    <m/>
    <m/>
    <m/>
    <m/>
    <n v="184500"/>
    <m/>
    <x v="0"/>
  </r>
  <r>
    <s v="2 Other Operating Costs"/>
    <x v="3"/>
    <s v="8471220"/>
    <s v="KUST - Registrar"/>
    <s v="436120"/>
    <s v="Stationery"/>
    <s v="847.8471220.1.436120.000000.847001.200179"/>
    <n v="6000"/>
    <m/>
    <m/>
    <m/>
    <n v="6000"/>
    <m/>
    <m/>
    <m/>
    <m/>
    <n v="6000"/>
    <m/>
    <x v="0"/>
  </r>
  <r>
    <s v="2 Other Operating Costs"/>
    <x v="3"/>
    <s v="8471230"/>
    <s v="KUST - Student Enrollment"/>
    <s v="425742"/>
    <s v="Enrollment expenses"/>
    <s v="847.8471230.1.425742.000000.847001.200179"/>
    <n v="2000000"/>
    <n v="174234.73"/>
    <n v="0"/>
    <n v="47600"/>
    <n v="1778165.27"/>
    <m/>
    <n v="1778165.27"/>
    <m/>
    <m/>
    <n v="0"/>
    <s v="We will be needing the remaining funds to cover events and activities for the department such as:_x000a_-_x0009_International trips to recruit students (ongoing) for both UG and PG._x000a_-_x0009_Participating in Exhibition such as Najah, Sharjah Expo including virtual events._x000a_-_x0009_KU Community Webinars_x000a_-_x0009_AlNokhba Program_x000a_-_x0009_Marketing Materials and Digital Campaigns_x000a_-_x0009_Abu Dhabi science Festival_x000a_-_x0009_In-campus School visits logistics _x000a_-_x0009_Exams Licenses such as Aleks, Oxford Placement Test._x000a_-_x0009_High school Summer Competition"/>
    <x v="0"/>
  </r>
  <r>
    <s v="2 Other Operating Costs"/>
    <x v="3"/>
    <s v="8471230"/>
    <s v="KUST - Student Enrollment"/>
    <s v="426610"/>
    <s v="Computer software licenses-Software License Renewal"/>
    <s v="847.8471230.1.426610.000000.847001.200179"/>
    <n v="120000"/>
    <m/>
    <m/>
    <m/>
    <n v="120000"/>
    <m/>
    <m/>
    <m/>
    <m/>
    <n v="120000"/>
    <s v="we need the fund to help in the implementation of the new CRM system."/>
    <x v="0"/>
  </r>
  <r>
    <s v="2 Other Operating Costs"/>
    <x v="3"/>
    <s v="8471240"/>
    <s v="KUST - Student Success"/>
    <s v="425510"/>
    <s v="Conferences, seminars and exhibitions and other events: - Local Events"/>
    <s v="847.8471240.1.425510.000000.847001.200179"/>
    <n v="220000"/>
    <n v="51401.25"/>
    <n v="0"/>
    <n v="0"/>
    <n v="168598.75"/>
    <m/>
    <n v="168598.75"/>
    <m/>
    <s v="We anticipate using the funds for our study abroad program"/>
    <n v="0"/>
    <s v="We will be able to fully take abvantage of conference, seminars and exhibitions"/>
    <x v="0"/>
  </r>
  <r>
    <s v="2 Other Operating Costs"/>
    <x v="3"/>
    <s v="8471240"/>
    <s v="KUST - Student Success"/>
    <s v="425720"/>
    <s v="Education-Outsourced training service"/>
    <s v="847.8471240.1.425720.000000.847001.200179"/>
    <n v="128000"/>
    <m/>
    <m/>
    <m/>
    <n v="128000"/>
    <m/>
    <n v="128000"/>
    <m/>
    <s v="We are planning to provide opportunities for internal and extenal educational opportunites"/>
    <n v="0"/>
    <s v="Providing training for both staff and students"/>
    <x v="0"/>
  </r>
  <r>
    <s v="2 Other Operating Costs"/>
    <x v="3"/>
    <s v="8471240"/>
    <s v="KUST - Student Success"/>
    <s v="425750"/>
    <s v="Skill assessment service"/>
    <s v="847.8471240.1.425750.000000.847001.200179"/>
    <n v="23000"/>
    <m/>
    <m/>
    <m/>
    <n v="23000"/>
    <m/>
    <n v="23000"/>
    <m/>
    <s v="The encorporation of ILM certification"/>
    <n v="0"/>
    <s v="We will certifiy our existing non-credit programs with ILM certification"/>
    <x v="0"/>
  </r>
  <r>
    <s v="2 Other Operating Costs"/>
    <x v="3"/>
    <s v="8471240"/>
    <s v="KUST - Student Success"/>
    <s v="425761"/>
    <s v="Student Field trips"/>
    <s v="847.8471240.1.425761.000000.847001.200179"/>
    <n v="800000"/>
    <n v="20000"/>
    <m/>
    <m/>
    <n v="780000"/>
    <m/>
    <n v="780000"/>
    <m/>
    <s v="Study abroad "/>
    <n v="0"/>
    <s v="We will be able to fully take abvantage of conference, seminars and exhibitions"/>
    <x v="0"/>
  </r>
  <r>
    <s v="2 Other Operating Costs"/>
    <x v="3"/>
    <s v="8471240"/>
    <s v="KUST - Student Success"/>
    <s v="425900"/>
    <s v="Entertainment and hospitality"/>
    <s v="847.8471240.1.425900.000000.847001.200179"/>
    <n v="24000"/>
    <m/>
    <m/>
    <m/>
    <n v="24000"/>
    <m/>
    <n v="24000"/>
    <m/>
    <s v=" Catering for internal events"/>
    <n v="0"/>
    <s v="We will provide refreshments for workshops and non-credit programs"/>
    <x v="0"/>
  </r>
  <r>
    <s v="2 Other Operating Costs"/>
    <x v="3"/>
    <s v="8471240"/>
    <s v="KUST - Student Success"/>
    <s v="428090"/>
    <s v="Business Travel - Combined expenses"/>
    <s v="847.8471240.1.428090.000000.847001.200179"/>
    <n v="60000"/>
    <m/>
    <m/>
    <m/>
    <n v="60000"/>
    <m/>
    <n v="60000"/>
    <m/>
    <s v="Staff travel for training and official business"/>
    <n v="0"/>
    <s v="Selected staff members will undergo training "/>
    <x v="0"/>
  </r>
  <r>
    <s v="2 Other Operating Costs"/>
    <x v="3"/>
    <s v="8471240"/>
    <s v="KUST - Student Success"/>
    <s v="428640"/>
    <s v="Events - Awards, prizes &amp; gifts"/>
    <s v="847.8471240.1.428640.000000.847001.200179"/>
    <n v="14000"/>
    <m/>
    <m/>
    <m/>
    <n v="14000"/>
    <m/>
    <n v="14000"/>
    <m/>
    <s v="Community Service awards"/>
    <n v="0"/>
    <s v="Award students who have completed the most CS hours"/>
    <x v="0"/>
  </r>
  <r>
    <s v="2 Other Operating Costs"/>
    <x v="3"/>
    <s v="8471240"/>
    <s v="KUST - Student Success"/>
    <s v="435330"/>
    <s v="Library books"/>
    <s v="847.8471240.1.435330.000000.847001.200179"/>
    <n v="4750"/>
    <m/>
    <m/>
    <m/>
    <n v="4750"/>
    <m/>
    <n v="4750"/>
    <m/>
    <s v="Professional development"/>
    <n v="0"/>
    <s v="Purchase books for professional development"/>
    <x v="0"/>
  </r>
  <r>
    <s v="2 Other Operating Costs"/>
    <x v="3"/>
    <s v="8471240"/>
    <s v="KUST - Student Success"/>
    <s v="436110"/>
    <s v="Printing supplies"/>
    <s v="847.8471240.1.436110.000000.847001.200179"/>
    <n v="42000"/>
    <m/>
    <m/>
    <m/>
    <n v="42000"/>
    <m/>
    <n v="42000"/>
    <m/>
    <s v="Printing material for ceremonies and gifts"/>
    <n v="0"/>
    <s v="Golden Key and study abroad material"/>
    <x v="0"/>
  </r>
  <r>
    <s v="2 Other Operating Costs"/>
    <x v="3"/>
    <s v="8471240"/>
    <s v="KUST - Student Success"/>
    <s v="436120"/>
    <s v="Stationery"/>
    <s v="847.8471240.1.436120.000000.847001.200179"/>
    <n v="35000"/>
    <m/>
    <m/>
    <m/>
    <n v="35000"/>
    <m/>
    <n v="35000"/>
    <m/>
    <s v="Stationary for staff and guests"/>
    <n v="0"/>
    <s v="Provide stationary to perform departmental tasks, and make them available for guests"/>
    <x v="0"/>
  </r>
  <r>
    <s v="2 Other Operating Costs"/>
    <x v="3"/>
    <s v="8471250"/>
    <s v="KUST - Career Services"/>
    <s v="425510"/>
    <s v="Conferences, seminars and exhibitions and other events: - Local Events"/>
    <s v="847.8471250.1.425510.000000.847001.200179"/>
    <n v="317500"/>
    <m/>
    <m/>
    <m/>
    <n v="317500"/>
    <m/>
    <m/>
    <n v="317500"/>
    <m/>
    <n v="0"/>
    <s v="This amount will be used for upcoming events (Career Fair, Employer recognition ceremony and Majors Day)"/>
    <x v="0"/>
  </r>
  <r>
    <s v="2 Other Operating Costs"/>
    <x v="3"/>
    <s v="8471250"/>
    <s v="KUST - Career Services"/>
    <s v="425720"/>
    <s v="Education-Outsourced training service"/>
    <s v="847.8471250.1.425720.000000.847001.200179"/>
    <n v="560000"/>
    <m/>
    <m/>
    <m/>
    <n v="560000"/>
    <m/>
    <n v="350000"/>
    <n v="210000"/>
    <m/>
    <n v="0"/>
    <s v="To be used to cover the Employers event and Alumni Reunion event"/>
    <x v="0"/>
  </r>
  <r>
    <s v="2 Other Operating Costs"/>
    <x v="3"/>
    <s v="8471250"/>
    <s v="KUST - Career Services"/>
    <s v="425762"/>
    <s v="Student Internship"/>
    <s v="847.8471250.1.425762.000000.847001.200179"/>
    <n v="520000"/>
    <m/>
    <m/>
    <m/>
    <n v="520000"/>
    <m/>
    <n v="520000"/>
    <m/>
    <m/>
    <n v="0"/>
    <s v="To be used for student International Internship (to cover airfare, accommodation, travel insurance and admission fees if any)"/>
    <x v="0"/>
  </r>
  <r>
    <s v="2 Other Operating Costs"/>
    <x v="3"/>
    <s v="8471250"/>
    <s v="KUST - Career Services"/>
    <s v="425900"/>
    <s v="Entertainment and hospitality"/>
    <s v="847.8471250.1.425900.000000.847001.200179"/>
    <n v="51000"/>
    <m/>
    <m/>
    <m/>
    <n v="51000"/>
    <m/>
    <m/>
    <n v="51000"/>
    <m/>
    <n v="0"/>
    <s v="To be used to cover events and other expenses"/>
    <x v="0"/>
  </r>
  <r>
    <s v="2 Other Operating Costs"/>
    <x v="3"/>
    <s v="8471250"/>
    <s v="KUST - Career Services"/>
    <s v="426610"/>
    <s v="Computer software licenses-Software License Renewal"/>
    <s v="847.8471250.1.426610.000000.847001.200179"/>
    <n v="60608"/>
    <m/>
    <m/>
    <m/>
    <n v="60608"/>
    <n v="60608"/>
    <m/>
    <m/>
    <m/>
    <n v="0"/>
    <s v="To pay the renewal fee for our Alumni Portal"/>
    <x v="0"/>
  </r>
  <r>
    <s v="2 Other Operating Costs"/>
    <x v="3"/>
    <s v="8471250"/>
    <s v="KUST - Career Services"/>
    <s v="428640"/>
    <s v="Events - Awards, prizes &amp; gifts"/>
    <s v="847.8471250.1.428640.000000.847001.200179"/>
    <n v="46500"/>
    <m/>
    <m/>
    <m/>
    <n v="46500"/>
    <m/>
    <m/>
    <n v="46500"/>
    <m/>
    <n v="0"/>
    <s v="To be used to cover events and other expenses"/>
    <x v="0"/>
  </r>
  <r>
    <s v="2 Other Operating Costs"/>
    <x v="3"/>
    <s v="8471250"/>
    <s v="KUST - Career Services"/>
    <s v="436110"/>
    <s v="Printing supplies"/>
    <s v="847.8471250.1.436110.000000.847001.200179"/>
    <n v="10000"/>
    <m/>
    <m/>
    <m/>
    <n v="10000"/>
    <m/>
    <m/>
    <n v="10000"/>
    <m/>
    <n v="0"/>
    <s v="To be used to cover events and other expenses"/>
    <x v="0"/>
  </r>
  <r>
    <s v="2 Other Operating Costs"/>
    <x v="3"/>
    <s v="8471260"/>
    <s v="KUST - Student Life"/>
    <s v="421100"/>
    <s v="Manpower supply &quot;Other Than IT Related&quot;"/>
    <s v="847.8471260.1.421100.000000.847001.200179"/>
    <n v="353000"/>
    <n v="352238.57"/>
    <m/>
    <m/>
    <n v="761.42999999993503"/>
    <m/>
    <m/>
    <m/>
    <m/>
    <n v="761.42999999993503"/>
    <s v="DOF did the budget transfer for the manpower from Chapter 2 (Opex) to Chapter 1 (Manpower). This amount is expected to remain surplus. "/>
    <x v="0"/>
  </r>
  <r>
    <s v="2 Other Operating Costs"/>
    <x v="3"/>
    <s v="8471260"/>
    <s v="KUST - Student Life"/>
    <s v="425510"/>
    <s v="Conferences, seminars and exhibitions and other events: - Local Events"/>
    <s v="847.8471260.1.425510.000000.847001.200179"/>
    <n v="205000"/>
    <m/>
    <m/>
    <m/>
    <n v="205000"/>
    <m/>
    <n v="85000"/>
    <n v="120000"/>
    <s v="In Q3, we will have the Orientation Event, In Q4, we will have National Day Celebration  "/>
    <n v="0"/>
    <m/>
    <x v="0"/>
  </r>
  <r>
    <s v="2 Other Operating Costs"/>
    <x v="3"/>
    <s v="8471260"/>
    <s v="KUST - Student Life"/>
    <s v="425746"/>
    <s v="Student Transport"/>
    <s v="847.8471260.1.425746.000000.847001.200179"/>
    <n v="9349361"/>
    <n v="39412.07"/>
    <m/>
    <n v="563550.96"/>
    <n v="8746397.9700000007"/>
    <n v="3850000"/>
    <n v="3800000"/>
    <n v="3800000"/>
    <s v="Invoices for Transportation Services "/>
    <n v="-2703602.0299999993"/>
    <s v="Invoices for Q1 are still not payed. Outstanding amount is AED. 3,462,760.20"/>
    <x v="0"/>
  </r>
  <r>
    <s v="2 Other Operating Costs"/>
    <x v="3"/>
    <s v="8471260"/>
    <s v="KUST - Student Life"/>
    <s v="425747"/>
    <s v="Student Accommodation"/>
    <s v="847.8471260.1.425747.000000.847001.200179"/>
    <n v="225000"/>
    <m/>
    <m/>
    <m/>
    <n v="225000"/>
    <m/>
    <n v="225000"/>
    <m/>
    <s v="We may need to rent for PG female students in case of shortage in rooms in Fall 2022. "/>
    <n v="0"/>
    <m/>
    <x v="0"/>
  </r>
  <r>
    <s v="2 Other Operating Costs"/>
    <x v="3"/>
    <s v="8471260"/>
    <s v="KUST - Student Life"/>
    <s v="425760"/>
    <s v="Student activities &amp; field trip expenses"/>
    <s v="847.8471260.1.425760.000000.847001.200179"/>
    <n v="936870"/>
    <n v="86420"/>
    <n v="18375"/>
    <n v="77200"/>
    <n v="754875"/>
    <n v="100000"/>
    <n v="100000"/>
    <n v="100000"/>
    <s v="Club Day + Social Gathering in KU Residences + Summer Programs + Other Students-led events "/>
    <n v="454875"/>
    <s v="AED 70,000 will be transferred to Entertainment and hospitality. The remaining is expected to be surplus."/>
    <x v="0"/>
  </r>
  <r>
    <s v="2 Other Operating Costs"/>
    <x v="3"/>
    <s v="8471260"/>
    <s v="KUST - Student Life"/>
    <s v="425900"/>
    <s v="Entertainment and hospitality"/>
    <s v="847.8471260.1.425900.000000.847001.200179"/>
    <n v="70800"/>
    <n v="35883.75"/>
    <m/>
    <m/>
    <n v="34916.25"/>
    <m/>
    <n v="20000"/>
    <n v="70000"/>
    <s v="Catering for events and activities on-campus and in Residences. "/>
    <n v="-55083.75"/>
    <s v="We will transfer for other account to this account to ensure having enough fund. "/>
    <x v="0"/>
  </r>
  <r>
    <s v="2 Other Operating Costs"/>
    <x v="3"/>
    <s v="8471260"/>
    <s v="KUST - Student Life"/>
    <s v="428640"/>
    <s v="Events - Awards, prizes &amp; gifts"/>
    <s v="847.8471260.1.428640.000000.847001.200179"/>
    <n v="32500"/>
    <m/>
    <m/>
    <m/>
    <n v="32500"/>
    <m/>
    <n v="15000"/>
    <n v="17500"/>
    <s v="Awards and Gifts for students engagements "/>
    <n v="0"/>
    <m/>
    <x v="0"/>
  </r>
  <r>
    <s v="2 Other Operating Costs"/>
    <x v="3"/>
    <s v="8471260"/>
    <s v="KUST - Student Life"/>
    <s v="435530"/>
    <s v="School consumables, not specifically mentioned elsewhere"/>
    <s v="847.8471260.1.435530.000000.847001.200179"/>
    <n v="12000"/>
    <m/>
    <m/>
    <m/>
    <n v="12000"/>
    <m/>
    <n v="12000"/>
    <m/>
    <s v="Sports uniforms/jersey/training suits for Sports Teams. Tools, Materials &amp; Equipment for Sports Activities "/>
    <n v="0"/>
    <m/>
    <x v="0"/>
  </r>
  <r>
    <s v="2 Other Operating Costs"/>
    <x v="3"/>
    <s v="8471260"/>
    <s v="KUST - Student Life"/>
    <s v="436110"/>
    <s v="Printing supplies"/>
    <s v="847.8471260.1.436110.000000.847001.200179"/>
    <n v="13500"/>
    <m/>
    <m/>
    <m/>
    <n v="13500"/>
    <m/>
    <n v="7000"/>
    <n v="6500"/>
    <s v="For events and activities "/>
    <n v="0"/>
    <m/>
    <x v="0"/>
  </r>
  <r>
    <s v="2 Other Operating Costs"/>
    <x v="3"/>
    <s v="8471270"/>
    <s v="KUST - Libraries"/>
    <s v="425900"/>
    <s v="Entertainment and hospitality"/>
    <s v="847.8471270.1.425900.000000.847001.200179"/>
    <n v="50000"/>
    <m/>
    <m/>
    <m/>
    <n v="50000"/>
    <m/>
    <m/>
    <n v="20000"/>
    <s v="The library will host open access campaigns, author workshops, and publication events."/>
    <n v="30000"/>
    <m/>
    <x v="0"/>
  </r>
  <r>
    <s v="2 Other Operating Costs"/>
    <x v="3"/>
    <s v="8471270"/>
    <s v="KUST - Libraries"/>
    <s v="428090"/>
    <s v="Business Travel - Combined expenses"/>
    <s v="847.8471270.1.428090.000000.847001.200179"/>
    <n v="300000"/>
    <m/>
    <m/>
    <m/>
    <n v="300000"/>
    <m/>
    <n v="100000"/>
    <n v="100000"/>
    <s v="The library team will attend courses and workshops during the summer and fall semesters. "/>
    <n v="100000"/>
    <m/>
    <x v="0"/>
  </r>
  <r>
    <s v="2 Other Operating Costs"/>
    <x v="3"/>
    <s v="8471270"/>
    <s v="KUST - Libraries"/>
    <s v="435330"/>
    <s v="Library books"/>
    <s v="847.8471270.1.435330.000000.847001.200179"/>
    <n v="15199430"/>
    <n v="962594.78"/>
    <n v="9322733.0899999999"/>
    <n v="2786261.82"/>
    <n v="2127840.31"/>
    <m/>
    <n v="669307"/>
    <n v="640000"/>
    <s v="To renew the existing subscription and pending PRs, extend open access Almo system ( please refer to the attached justification sheet)"/>
    <n v="818533"/>
    <s v="The library worked hard to negotiate with the publishers &amp; suppliers, so we were able to reduce the percentage of the annual increase. The strategy of the three-year agreement helped control the increased rate. The library reviews the usage statistics every year to evaluate the databases subscription. "/>
    <x v="0"/>
  </r>
  <r>
    <s v="2 Other Operating Costs"/>
    <x v="3"/>
    <s v="8471270"/>
    <s v="KUST - Libraries"/>
    <s v="436110"/>
    <s v="Printing supplies"/>
    <s v="847.8471270.1.436110.000000.847001.200179"/>
    <n v="50000"/>
    <m/>
    <m/>
    <m/>
    <n v="50000"/>
    <m/>
    <m/>
    <m/>
    <m/>
    <n v="50000"/>
    <m/>
    <x v="0"/>
  </r>
  <r>
    <s v="2 Other Operating Costs"/>
    <x v="3"/>
    <s v="8471280"/>
    <s v="KUST - Center for Teaching &amp; Learning"/>
    <s v="425100"/>
    <s v="Advertising Services (General)"/>
    <s v="847.8471280.1.425100.000000.847001.200179"/>
    <n v="2500"/>
    <m/>
    <m/>
    <m/>
    <n v="2500"/>
    <m/>
    <n v="2500"/>
    <m/>
    <m/>
    <n v="0"/>
    <s v=" brochures, fliers"/>
    <x v="0"/>
  </r>
  <r>
    <s v="2 Other Operating Costs"/>
    <x v="3"/>
    <s v="8471280"/>
    <s v="KUST - Center for Teaching &amp; Learning"/>
    <s v="425510"/>
    <s v="Conferences, seminars and exhibitions and other events: - Local Events"/>
    <s v="847.8471280.1.425510.000000.847001.200179"/>
    <n v="30000"/>
    <n v="882"/>
    <m/>
    <m/>
    <n v="29118"/>
    <m/>
    <n v="29118"/>
    <m/>
    <m/>
    <n v="0"/>
    <s v="PD week guest speakers' honorarium"/>
    <x v="0"/>
  </r>
  <r>
    <s v="2 Other Operating Costs"/>
    <x v="3"/>
    <s v="8471280"/>
    <s v="KUST - Center for Teaching &amp; Learning"/>
    <s v="425550"/>
    <s v="Conferences, seminars and exhibitions and other events: - Overseas event"/>
    <s v="847.8471280.1.425550.000000.847001.200179"/>
    <n v="60000"/>
    <n v="3630.61"/>
    <m/>
    <m/>
    <n v="56369.39"/>
    <m/>
    <n v="56369.39"/>
    <m/>
    <m/>
    <n v="0"/>
    <s v="Conferences in the Fall 2022"/>
    <x v="0"/>
  </r>
  <r>
    <s v="2 Other Operating Costs"/>
    <x v="3"/>
    <s v="8471280"/>
    <s v="KUST - Center for Teaching &amp; Learning"/>
    <s v="425760"/>
    <s v="Student activities &amp; field trip expenses"/>
    <s v="847.8471280.1.425760.000000.847001.200179"/>
    <n v="30000"/>
    <m/>
    <m/>
    <m/>
    <n v="30000"/>
    <m/>
    <n v="30000"/>
    <m/>
    <m/>
    <n v="0"/>
    <s v="Experiential Learning Symposium"/>
    <x v="0"/>
  </r>
  <r>
    <s v="2 Other Operating Costs"/>
    <x v="3"/>
    <s v="8471280"/>
    <s v="KUST - Center for Teaching &amp; Learning"/>
    <s v="425770"/>
    <s v="Academic Missions - Combined expenses"/>
    <s v="847.8471280.1.425770.000000.847001.200179"/>
    <n v="500000"/>
    <m/>
    <m/>
    <m/>
    <n v="500000"/>
    <m/>
    <n v="500000"/>
    <m/>
    <m/>
    <n v="0"/>
    <s v="CTL Mini-grants"/>
    <x v="0"/>
  </r>
  <r>
    <s v="2 Other Operating Costs"/>
    <x v="3"/>
    <s v="8471280"/>
    <s v="KUST - Center for Teaching &amp; Learning"/>
    <s v="426610"/>
    <s v="Computer software licenses-Software License Renewal"/>
    <s v="847.8471280.1.426610.000000.847001.200179"/>
    <n v="321000"/>
    <n v="78657.3"/>
    <n v="13773.75"/>
    <n v="30541"/>
    <n v="198027.95"/>
    <m/>
    <n v="198027.95"/>
    <m/>
    <m/>
    <n v="0"/>
    <s v="Vevox, Monday.com and grant submission tools."/>
    <x v="0"/>
  </r>
  <r>
    <s v="2 Other Operating Costs"/>
    <x v="3"/>
    <s v="8471280"/>
    <s v="KUST - Center for Teaching &amp; Learning"/>
    <s v="428640"/>
    <s v="Events - Awards, prizes &amp; gifts"/>
    <s v="847.8471280.1.428640.000000.847001.200179"/>
    <n v="15000"/>
    <m/>
    <m/>
    <m/>
    <n v="15000"/>
    <m/>
    <n v="15000"/>
    <m/>
    <m/>
    <n v="0"/>
    <s v="PD week, tutoring and mentoring supports and activities collaboration with other student services department"/>
    <x v="0"/>
  </r>
  <r>
    <s v="2 Other Operating Costs"/>
    <x v="3"/>
    <s v="8471280"/>
    <s v="KUST - Center for Teaching &amp; Learning"/>
    <s v="432170"/>
    <s v="Bldg decoration &amp; minor improvements"/>
    <s v="847.8471280.1.432170.000000.847001.200179"/>
    <n v="200000"/>
    <m/>
    <m/>
    <m/>
    <n v="200000"/>
    <m/>
    <n v="200000"/>
    <m/>
    <m/>
    <n v="0"/>
    <s v="FM will implement Phase 2"/>
    <x v="0"/>
  </r>
  <r>
    <s v="2 Other Operating Costs"/>
    <x v="3"/>
    <s v="8471280"/>
    <s v="KUST - Center for Teaching &amp; Learning"/>
    <s v="435340"/>
    <s v="Text books and library books"/>
    <s v="847.8471280.1.435340.000000.847001.200179"/>
    <n v="10000"/>
    <m/>
    <m/>
    <m/>
    <n v="10000"/>
    <m/>
    <n v="10000"/>
    <m/>
    <m/>
    <n v="0"/>
    <s v="Purchase e-books for faculty and student development"/>
    <x v="0"/>
  </r>
  <r>
    <s v="2 Other Operating Costs"/>
    <x v="3"/>
    <s v="8471280"/>
    <s v="KUST - Center for Teaching &amp; Learning"/>
    <s v="435530"/>
    <s v="School consumables, not specifically mentioned elsewhere"/>
    <s v="847.8471280.1.435530.000000.847001.200179"/>
    <n v="5000"/>
    <m/>
    <m/>
    <m/>
    <n v="5000"/>
    <m/>
    <n v="5000"/>
    <m/>
    <m/>
    <n v="0"/>
    <s v="Stationery not included in FM storeroom, staff offices' material requirements"/>
    <x v="0"/>
  </r>
  <r>
    <s v="2 Other Operating Costs"/>
    <x v="6"/>
    <s v="8470405"/>
    <s v="KUST - Dean Of Arts &amp; Science"/>
    <s v="420550"/>
    <s v="Academic Advisory Service"/>
    <s v="847.8470405.1.420550.000000.847001.200179"/>
    <n v="59692"/>
    <n v="44159.45"/>
    <m/>
    <m/>
    <n v="15532.55"/>
    <m/>
    <m/>
    <m/>
    <m/>
    <n v="15532.55"/>
    <m/>
    <x v="1"/>
  </r>
  <r>
    <s v="2 Other Operating Costs"/>
    <x v="6"/>
    <s v="8470405"/>
    <s v="KUST - Dean Of Arts &amp; Science"/>
    <s v="421700"/>
    <s v="Standards Certification Services (e.g. ISO)"/>
    <s v="847.8470405.1.421700.000000.847001.200179"/>
    <n v="500308"/>
    <n v="35000"/>
    <m/>
    <m/>
    <n v="465308"/>
    <m/>
    <m/>
    <m/>
    <m/>
    <n v="465308"/>
    <m/>
    <x v="1"/>
  </r>
  <r>
    <s v="2 Other Operating Costs"/>
    <x v="6"/>
    <s v="8470405"/>
    <s v="KUST - Dean Of Arts &amp; Science"/>
    <s v="425510"/>
    <s v="Conferences, seminars and exhibitions and other events: - Local Events"/>
    <s v="847.8470405.1.425510.000000.847001.200179"/>
    <n v="15000"/>
    <n v="4400"/>
    <m/>
    <m/>
    <n v="10600"/>
    <m/>
    <m/>
    <m/>
    <m/>
    <n v="10600"/>
    <m/>
    <x v="1"/>
  </r>
  <r>
    <s v="2 Other Operating Costs"/>
    <x v="6"/>
    <s v="8470405"/>
    <s v="KUST - Dean Of Arts &amp; Science"/>
    <s v="425550"/>
    <s v="Conferences, seminars and exhibitions and other events: - Overseas event"/>
    <s v="847.8470405.1.425550.000000.847001.200179"/>
    <n v="15000"/>
    <m/>
    <m/>
    <m/>
    <n v="15000"/>
    <m/>
    <m/>
    <m/>
    <m/>
    <n v="15000"/>
    <m/>
    <x v="1"/>
  </r>
  <r>
    <s v="2 Other Operating Costs"/>
    <x v="6"/>
    <s v="8470405"/>
    <s v="KUST - Dean Of Arts &amp; Science"/>
    <s v="425770"/>
    <s v="Academic Missions - Combined expenses"/>
    <s v="847.8470405.1.425770.000000.847001.200179"/>
    <n v="41825"/>
    <m/>
    <m/>
    <m/>
    <n v="41825"/>
    <m/>
    <m/>
    <m/>
    <m/>
    <n v="41825"/>
    <m/>
    <x v="1"/>
  </r>
  <r>
    <s v="2 Other Operating Costs"/>
    <x v="6"/>
    <s v="8470405"/>
    <s v="KUST - Dean Of Arts &amp; Science"/>
    <s v="427710"/>
    <s v="Subscriptions and membership fees: Trade organisations"/>
    <s v="847.8470405.1.427710.000000.847001.200179"/>
    <n v="20175"/>
    <n v="20174.88"/>
    <m/>
    <m/>
    <n v="0.11999999999898101"/>
    <m/>
    <m/>
    <m/>
    <m/>
    <n v="0.11999999999898101"/>
    <m/>
    <x v="1"/>
  </r>
  <r>
    <s v="2 Other Operating Costs"/>
    <x v="6"/>
    <s v="8470405"/>
    <s v="KUST - Dean Of Arts &amp; Science"/>
    <s v="432209"/>
    <s v="Laboratory equipment"/>
    <s v="847.8470405.1.432209.000000.847001.200179"/>
    <n v="200000"/>
    <m/>
    <m/>
    <m/>
    <n v="200000"/>
    <m/>
    <m/>
    <m/>
    <m/>
    <n v="200000"/>
    <m/>
    <x v="1"/>
  </r>
  <r>
    <s v="2 Other Operating Costs"/>
    <x v="6"/>
    <s v="8470405"/>
    <s v="KUST - Dean Of Arts &amp; Science"/>
    <s v="435350"/>
    <s v="Academic Publications"/>
    <s v="847.8470405.1.435350.000000.847001.200179"/>
    <n v="30000"/>
    <n v="16452.93"/>
    <m/>
    <m/>
    <n v="13547.07"/>
    <m/>
    <m/>
    <m/>
    <m/>
    <n v="13547.07"/>
    <m/>
    <x v="1"/>
  </r>
  <r>
    <s v="2 Other Operating Costs"/>
    <x v="6"/>
    <s v="8470410"/>
    <s v="KUST - Institute of International &amp; Civil Security"/>
    <s v="425761"/>
    <s v="Student Field trips"/>
    <s v="847.8470410.1.425761.000000.847001.200179"/>
    <n v="162000"/>
    <m/>
    <m/>
    <m/>
    <n v="162000"/>
    <m/>
    <m/>
    <m/>
    <m/>
    <n v="162000"/>
    <m/>
    <x v="1"/>
  </r>
  <r>
    <s v="2 Other Operating Costs"/>
    <x v="6"/>
    <s v="8470410"/>
    <s v="KUST - Institute of International &amp; Civil Security"/>
    <s v="425770"/>
    <s v="Academic Missions - Combined expenses"/>
    <s v="847.8470410.1.425770.000000.847001.200179"/>
    <n v="120000"/>
    <m/>
    <m/>
    <m/>
    <n v="120000"/>
    <m/>
    <m/>
    <m/>
    <m/>
    <n v="120000"/>
    <m/>
    <x v="1"/>
  </r>
  <r>
    <s v="2 Other Operating Costs"/>
    <x v="6"/>
    <s v="8470410"/>
    <s v="KUST - Institute of International &amp; Civil Security"/>
    <s v="426610"/>
    <s v="Computer software licenses-Software License Renewal"/>
    <s v="847.8470410.1.426610.000000.847001.200179"/>
    <n v="5600"/>
    <m/>
    <m/>
    <m/>
    <n v="5600"/>
    <m/>
    <m/>
    <m/>
    <m/>
    <n v="5600"/>
    <m/>
    <x v="1"/>
  </r>
  <r>
    <s v="2 Other Operating Costs"/>
    <x v="6"/>
    <s v="8470410"/>
    <s v="KUST - Institute of International &amp; Civil Security"/>
    <s v="435310"/>
    <s v="Newspapers, magazines, journals, etc"/>
    <s v="847.8470410.1.435310.000000.847001.200179"/>
    <n v="85229"/>
    <m/>
    <m/>
    <m/>
    <n v="85229"/>
    <m/>
    <m/>
    <m/>
    <m/>
    <n v="85229"/>
    <m/>
    <x v="1"/>
  </r>
  <r>
    <s v="2 Other Operating Costs"/>
    <x v="6"/>
    <s v="8470410"/>
    <s v="KUST - Institute of International &amp; Civil Security"/>
    <s v="435350"/>
    <s v="Academic Publications"/>
    <s v="847.8470410.1.435350.000000.847001.200179"/>
    <n v="17900"/>
    <n v="1500"/>
    <m/>
    <m/>
    <n v="16400"/>
    <m/>
    <m/>
    <m/>
    <m/>
    <n v="16400"/>
    <m/>
    <x v="1"/>
  </r>
  <r>
    <s v="2 Other Operating Costs"/>
    <x v="6"/>
    <s v="8470415"/>
    <s v="KUST - Chemistry"/>
    <s v="421700"/>
    <s v="Standards Certification Services (e.g. ISO)"/>
    <s v="847.8470415.1.421700.000000.847001.200179"/>
    <n v="150000"/>
    <m/>
    <m/>
    <m/>
    <n v="150000"/>
    <m/>
    <m/>
    <m/>
    <m/>
    <n v="150000"/>
    <m/>
    <x v="1"/>
  </r>
  <r>
    <s v="2 Other Operating Costs"/>
    <x v="6"/>
    <s v="8470415"/>
    <s v="KUST - Chemistry"/>
    <s v="425100"/>
    <s v="Advertising Services (General)"/>
    <s v="847.8470415.1.425100.000000.847001.200179"/>
    <n v="50000"/>
    <m/>
    <m/>
    <m/>
    <n v="50000"/>
    <m/>
    <m/>
    <m/>
    <m/>
    <n v="50000"/>
    <m/>
    <x v="1"/>
  </r>
  <r>
    <s v="2 Other Operating Costs"/>
    <x v="6"/>
    <s v="8470415"/>
    <s v="KUST - Chemistry"/>
    <s v="425760"/>
    <s v="Student activities &amp; field trip expenses"/>
    <s v="847.8470415.1.425760.000000.847001.200179"/>
    <n v="5000"/>
    <m/>
    <m/>
    <m/>
    <n v="5000"/>
    <m/>
    <m/>
    <m/>
    <m/>
    <n v="5000"/>
    <m/>
    <x v="1"/>
  </r>
  <r>
    <s v="2 Other Operating Costs"/>
    <x v="6"/>
    <s v="8470415"/>
    <s v="KUST - Chemistry"/>
    <s v="425763"/>
    <s v="Student Project Expenses"/>
    <s v="847.8470415.1.425763.000000.847001.200179"/>
    <n v="80000"/>
    <m/>
    <m/>
    <m/>
    <n v="80000"/>
    <m/>
    <m/>
    <m/>
    <m/>
    <n v="80000"/>
    <m/>
    <x v="1"/>
  </r>
  <r>
    <s v="2 Other Operating Costs"/>
    <x v="6"/>
    <s v="8470415"/>
    <s v="KUST - Chemistry"/>
    <s v="425770"/>
    <s v="Academic Missions - Combined expenses"/>
    <s v="847.8470415.1.425770.000000.847001.200179"/>
    <n v="285000"/>
    <n v="3433.96"/>
    <m/>
    <m/>
    <n v="281566.03999999998"/>
    <m/>
    <m/>
    <m/>
    <m/>
    <n v="281566.03999999998"/>
    <m/>
    <x v="1"/>
  </r>
  <r>
    <s v="2 Other Operating Costs"/>
    <x v="6"/>
    <s v="8470415"/>
    <s v="KUST - Chemistry"/>
    <s v="425900"/>
    <s v="Entertainment and hospitality"/>
    <s v="847.8470415.1.425900.000000.847001.200179"/>
    <n v="140000"/>
    <m/>
    <m/>
    <m/>
    <n v="140000"/>
    <m/>
    <m/>
    <m/>
    <m/>
    <n v="140000"/>
    <m/>
    <x v="1"/>
  </r>
  <r>
    <s v="2 Other Operating Costs"/>
    <x v="6"/>
    <s v="8470415"/>
    <s v="KUST - Chemistry"/>
    <s v="426610"/>
    <s v="Computer software licenses-Software License Renewal"/>
    <s v="847.8470415.1.426610.000000.847001.200179"/>
    <n v="229511"/>
    <m/>
    <n v="0"/>
    <n v="30447.87"/>
    <n v="199063.13"/>
    <m/>
    <m/>
    <m/>
    <m/>
    <n v="199063.13"/>
    <m/>
    <x v="1"/>
  </r>
  <r>
    <s v="2 Other Operating Costs"/>
    <x v="6"/>
    <s v="8470415"/>
    <s v="KUST - Chemistry"/>
    <s v="428640"/>
    <s v="Events - Awards, prizes &amp; gifts"/>
    <s v="847.8470415.1.428640.000000.847001.200179"/>
    <n v="15000"/>
    <m/>
    <m/>
    <m/>
    <n v="15000"/>
    <m/>
    <m/>
    <m/>
    <m/>
    <n v="15000"/>
    <m/>
    <x v="1"/>
  </r>
  <r>
    <s v="2 Other Operating Costs"/>
    <x v="6"/>
    <s v="8470415"/>
    <s v="KUST - Chemistry"/>
    <s v="432209"/>
    <s v="Laboratory equipment"/>
    <s v="847.8470415.1.432209.000000.847001.200179"/>
    <n v="301000"/>
    <n v="3500"/>
    <n v="14175"/>
    <n v="33000"/>
    <n v="250325"/>
    <m/>
    <m/>
    <m/>
    <m/>
    <n v="250325"/>
    <m/>
    <x v="1"/>
  </r>
  <r>
    <s v="2 Other Operating Costs"/>
    <x v="6"/>
    <s v="8470415"/>
    <s v="KUST - Chemistry"/>
    <s v="435350"/>
    <s v="Academic Publications"/>
    <s v="847.8470415.1.435350.000000.847001.200179"/>
    <n v="70000"/>
    <n v="5138"/>
    <m/>
    <m/>
    <n v="64862"/>
    <m/>
    <m/>
    <m/>
    <m/>
    <n v="64862"/>
    <m/>
    <x v="1"/>
  </r>
  <r>
    <s v="2 Other Operating Costs"/>
    <x v="6"/>
    <s v="8470415"/>
    <s v="KUST - Chemistry"/>
    <s v="435508"/>
    <s v="Laboratory - Scientific"/>
    <s v="847.8470415.1.435508.000000.847001.200179"/>
    <n v="525000"/>
    <n v="64223.01"/>
    <n v="34552.5"/>
    <n v="15000"/>
    <n v="411224.49"/>
    <m/>
    <m/>
    <m/>
    <m/>
    <n v="411224.49"/>
    <m/>
    <x v="1"/>
  </r>
  <r>
    <s v="2 Other Operating Costs"/>
    <x v="6"/>
    <s v="8470415"/>
    <s v="KUST - Chemistry"/>
    <s v="435519"/>
    <s v="Photography - Consumable materials /Tools"/>
    <s v="847.8470415.1.435519.000000.847001.200179"/>
    <n v="20000"/>
    <m/>
    <m/>
    <m/>
    <n v="20000"/>
    <m/>
    <m/>
    <m/>
    <m/>
    <n v="20000"/>
    <m/>
    <x v="1"/>
  </r>
  <r>
    <s v="2 Other Operating Costs"/>
    <x v="6"/>
    <s v="8470425"/>
    <s v="KUST - Physics"/>
    <s v="425510"/>
    <s v="Conferences, seminars and exhibitions and other events: - Local Events"/>
    <s v="847.8470425.1.425510.000000.847001.200179"/>
    <n v="45000"/>
    <m/>
    <m/>
    <m/>
    <n v="45000"/>
    <m/>
    <m/>
    <m/>
    <m/>
    <n v="45000"/>
    <m/>
    <x v="1"/>
  </r>
  <r>
    <s v="2 Other Operating Costs"/>
    <x v="6"/>
    <s v="8470425"/>
    <s v="KUST - Physics"/>
    <s v="425550"/>
    <s v="Conferences, seminars and exhibitions and other events: - Overseas event"/>
    <s v="847.8470425.1.425550.000000.847001.200179"/>
    <n v="225000"/>
    <m/>
    <m/>
    <m/>
    <n v="225000"/>
    <m/>
    <m/>
    <m/>
    <m/>
    <n v="225000"/>
    <m/>
    <x v="1"/>
  </r>
  <r>
    <s v="2 Other Operating Costs"/>
    <x v="6"/>
    <s v="8470425"/>
    <s v="KUST - Physics"/>
    <s v="425770"/>
    <s v="Academic Missions - Combined expenses"/>
    <s v="847.8470425.1.425770.000000.847001.200179"/>
    <n v="60000"/>
    <m/>
    <m/>
    <m/>
    <n v="60000"/>
    <m/>
    <m/>
    <m/>
    <m/>
    <n v="60000"/>
    <m/>
    <x v="1"/>
  </r>
  <r>
    <s v="2 Other Operating Costs"/>
    <x v="6"/>
    <s v="8470425"/>
    <s v="KUST - Physics"/>
    <s v="425900"/>
    <s v="Entertainment and hospitality"/>
    <s v="847.8470425.1.425900.000000.847001.200179"/>
    <n v="10116"/>
    <m/>
    <m/>
    <m/>
    <n v="10116"/>
    <m/>
    <m/>
    <m/>
    <m/>
    <n v="10116"/>
    <m/>
    <x v="1"/>
  </r>
  <r>
    <s v="2 Other Operating Costs"/>
    <x v="6"/>
    <s v="8470425"/>
    <s v="KUST - Physics"/>
    <s v="426610"/>
    <s v="Computer software licenses-Software License Renewal"/>
    <s v="847.8470425.1.426610.000000.847001.200179"/>
    <n v="212000"/>
    <m/>
    <m/>
    <m/>
    <n v="212000"/>
    <m/>
    <m/>
    <m/>
    <m/>
    <n v="212000"/>
    <m/>
    <x v="1"/>
  </r>
  <r>
    <s v="2 Other Operating Costs"/>
    <x v="6"/>
    <s v="8470425"/>
    <s v="KUST - Physics"/>
    <s v="428090"/>
    <s v="Business Travel - Combined expenses"/>
    <s v="847.8470425.1.428090.000000.847001.200179"/>
    <n v="128000"/>
    <m/>
    <m/>
    <m/>
    <n v="128000"/>
    <m/>
    <m/>
    <m/>
    <m/>
    <n v="128000"/>
    <m/>
    <x v="1"/>
  </r>
  <r>
    <s v="2 Other Operating Costs"/>
    <x v="6"/>
    <s v="8470425"/>
    <s v="KUST - Physics"/>
    <s v="435350"/>
    <s v="Academic Publications"/>
    <s v="847.8470425.1.435350.000000.847001.200179"/>
    <n v="120000"/>
    <n v="21287.77"/>
    <m/>
    <m/>
    <n v="98712.23"/>
    <m/>
    <m/>
    <m/>
    <m/>
    <n v="98712.23"/>
    <m/>
    <x v="1"/>
  </r>
  <r>
    <s v="2 Other Operating Costs"/>
    <x v="6"/>
    <s v="8470425"/>
    <s v="KUST - Physics"/>
    <s v="435508"/>
    <s v="Laboratory - Scientific"/>
    <s v="847.8470425.1.435508.000000.847001.200179"/>
    <n v="551566"/>
    <m/>
    <m/>
    <m/>
    <n v="551566"/>
    <m/>
    <m/>
    <m/>
    <m/>
    <n v="551566"/>
    <m/>
    <x v="1"/>
  </r>
  <r>
    <s v="2 Other Operating Costs"/>
    <x v="6"/>
    <s v="8470430"/>
    <s v="KUST - Preparatory Program"/>
    <s v="425761"/>
    <s v="Student Field trips"/>
    <s v="847.8470430.1.425761.000000.847001.200179"/>
    <n v="8500"/>
    <m/>
    <m/>
    <m/>
    <n v="8500"/>
    <m/>
    <m/>
    <m/>
    <m/>
    <n v="8500"/>
    <m/>
    <x v="1"/>
  </r>
  <r>
    <s v="2 Other Operating Costs"/>
    <x v="6"/>
    <s v="8470430"/>
    <s v="KUST - Preparatory Program"/>
    <s v="425770"/>
    <s v="Academic Missions - Combined expenses"/>
    <s v="847.8470430.1.425770.000000.847001.200179"/>
    <n v="375000"/>
    <m/>
    <m/>
    <m/>
    <n v="375000"/>
    <m/>
    <m/>
    <m/>
    <m/>
    <n v="375000"/>
    <m/>
    <x v="1"/>
  </r>
  <r>
    <s v="2 Other Operating Costs"/>
    <x v="6"/>
    <s v="8470430"/>
    <s v="KUST - Preparatory Program"/>
    <s v="425900"/>
    <s v="Entertainment and hospitality"/>
    <s v="847.8470430.1.425900.000000.847001.200179"/>
    <n v="12000"/>
    <m/>
    <m/>
    <m/>
    <n v="12000"/>
    <m/>
    <m/>
    <m/>
    <m/>
    <n v="12000"/>
    <m/>
    <x v="1"/>
  </r>
  <r>
    <s v="2 Other Operating Costs"/>
    <x v="6"/>
    <s v="8470430"/>
    <s v="KUST - Preparatory Program"/>
    <s v="426610"/>
    <s v="Computer software licenses-Software License Renewal"/>
    <s v="847.8470430.1.426610.000000.847001.200179"/>
    <n v="26152"/>
    <m/>
    <n v="0"/>
    <n v="6482.85"/>
    <n v="19669.150000000001"/>
    <m/>
    <m/>
    <m/>
    <m/>
    <n v="19669.150000000001"/>
    <m/>
    <x v="1"/>
  </r>
  <r>
    <s v="2 Other Operating Costs"/>
    <x v="6"/>
    <s v="8470430"/>
    <s v="KUST - Preparatory Program"/>
    <s v="435508"/>
    <s v="Laboratory - Scientific"/>
    <s v="847.8470430.1.435508.000000.847001.200179"/>
    <n v="84600"/>
    <m/>
    <m/>
    <m/>
    <n v="84600"/>
    <m/>
    <m/>
    <m/>
    <m/>
    <n v="84600"/>
    <m/>
    <x v="1"/>
  </r>
  <r>
    <s v="2 Other Operating Costs"/>
    <x v="6"/>
    <s v="8470435"/>
    <s v="KUST - Department of English"/>
    <s v="425770"/>
    <s v="Academic Missions - Combined expenses"/>
    <s v="847.8470435.1.425770.000000.847001.200179"/>
    <n v="100000"/>
    <n v="1101.9000000000001"/>
    <m/>
    <m/>
    <n v="98898.1"/>
    <m/>
    <m/>
    <m/>
    <m/>
    <n v="98898.1"/>
    <m/>
    <x v="1"/>
  </r>
  <r>
    <s v="2 Other Operating Costs"/>
    <x v="6"/>
    <s v="8470435"/>
    <s v="KUST - Department of English"/>
    <s v="426610"/>
    <s v="Computer software licenses-Software License Renewal"/>
    <s v="847.8470435.1.426610.000000.847001.200179"/>
    <n v="30000"/>
    <m/>
    <m/>
    <m/>
    <n v="30000"/>
    <m/>
    <m/>
    <m/>
    <m/>
    <n v="30000"/>
    <m/>
    <x v="1"/>
  </r>
  <r>
    <s v="2 Other Operating Costs"/>
    <x v="6"/>
    <s v="8470435"/>
    <s v="KUST - Department of English"/>
    <s v="435340"/>
    <s v="Text books and library books"/>
    <s v="847.8470435.1.435340.000000.847001.200179"/>
    <n v="35000"/>
    <m/>
    <m/>
    <m/>
    <n v="35000"/>
    <m/>
    <m/>
    <m/>
    <m/>
    <n v="35000"/>
    <m/>
    <x v="1"/>
  </r>
  <r>
    <s v="2 Other Operating Costs"/>
    <x v="6"/>
    <s v="8470435"/>
    <s v="KUST - Department of English"/>
    <s v="436600"/>
    <s v="Training/Teaching equipment and other educational aid"/>
    <s v="847.8470435.1.436600.000000.847001.200179"/>
    <n v="30000"/>
    <m/>
    <m/>
    <m/>
    <n v="30000"/>
    <m/>
    <m/>
    <m/>
    <m/>
    <n v="30000"/>
    <m/>
    <x v="1"/>
  </r>
  <r>
    <s v="2 Other Operating Costs"/>
    <x v="6"/>
    <s v="8470440"/>
    <s v="KUST - Humanities &amp; Social Sciences"/>
    <s v="420550"/>
    <s v="Academic Advisory Service"/>
    <s v="847.8470440.1.420550.000000.847001.200179"/>
    <n v="560000"/>
    <m/>
    <m/>
    <m/>
    <n v="560000"/>
    <m/>
    <m/>
    <m/>
    <m/>
    <n v="560000"/>
    <m/>
    <x v="1"/>
  </r>
  <r>
    <s v="2 Other Operating Costs"/>
    <x v="6"/>
    <s v="8470440"/>
    <s v="KUST - Humanities &amp; Social Sciences"/>
    <s v="420570"/>
    <s v="Academic Collaborative Partnership Services"/>
    <s v="847.8470440.1.420570.000000.847001.200179"/>
    <n v="150000"/>
    <m/>
    <m/>
    <m/>
    <n v="150000"/>
    <m/>
    <m/>
    <m/>
    <m/>
    <n v="150000"/>
    <m/>
    <x v="1"/>
  </r>
  <r>
    <s v="2 Other Operating Costs"/>
    <x v="6"/>
    <s v="8470440"/>
    <s v="KUST - Humanities &amp; Social Sciences"/>
    <s v="421700"/>
    <s v="Standards Certification Services (e.g. ISO)"/>
    <s v="847.8470440.1.421700.000000.847001.200179"/>
    <n v="280000"/>
    <m/>
    <m/>
    <m/>
    <n v="280000"/>
    <m/>
    <m/>
    <m/>
    <m/>
    <n v="280000"/>
    <m/>
    <x v="1"/>
  </r>
  <r>
    <s v="2 Other Operating Costs"/>
    <x v="6"/>
    <s v="8470440"/>
    <s v="KUST - Humanities &amp; Social Sciences"/>
    <s v="425100"/>
    <s v="Advertising Services (General)"/>
    <s v="847.8470440.1.425100.000000.847001.200179"/>
    <n v="10000"/>
    <m/>
    <m/>
    <m/>
    <n v="10000"/>
    <m/>
    <m/>
    <m/>
    <m/>
    <n v="10000"/>
    <m/>
    <x v="1"/>
  </r>
  <r>
    <s v="2 Other Operating Costs"/>
    <x v="6"/>
    <s v="8470440"/>
    <s v="KUST - Humanities &amp; Social Sciences"/>
    <s v="425510"/>
    <s v="Conferences, seminars and exhibitions and other events: - Local Events"/>
    <s v="847.8470440.1.425510.000000.847001.200179"/>
    <n v="225000"/>
    <m/>
    <m/>
    <m/>
    <n v="225000"/>
    <m/>
    <m/>
    <m/>
    <m/>
    <n v="225000"/>
    <m/>
    <x v="1"/>
  </r>
  <r>
    <s v="2 Other Operating Costs"/>
    <x v="6"/>
    <s v="8470440"/>
    <s v="KUST - Humanities &amp; Social Sciences"/>
    <s v="425550"/>
    <s v="Conferences, seminars and exhibitions and other events: - Overseas event"/>
    <s v="847.8470440.1.425550.000000.847001.200179"/>
    <n v="225000"/>
    <m/>
    <m/>
    <m/>
    <n v="225000"/>
    <m/>
    <m/>
    <m/>
    <m/>
    <n v="225000"/>
    <m/>
    <x v="1"/>
  </r>
  <r>
    <s v="2 Other Operating Costs"/>
    <x v="6"/>
    <s v="8470440"/>
    <s v="KUST - Humanities &amp; Social Sciences"/>
    <s v="425761"/>
    <s v="Student Field trips"/>
    <s v="847.8470440.1.425761.000000.847001.200179"/>
    <n v="750000"/>
    <m/>
    <m/>
    <m/>
    <n v="750000"/>
    <m/>
    <m/>
    <m/>
    <m/>
    <n v="750000"/>
    <m/>
    <x v="1"/>
  </r>
  <r>
    <s v="2 Other Operating Costs"/>
    <x v="6"/>
    <s v="8470440"/>
    <s v="KUST - Humanities &amp; Social Sciences"/>
    <s v="425770"/>
    <s v="Academic Missions - Combined expenses"/>
    <s v="847.8470440.1.425770.000000.847001.200179"/>
    <n v="300000"/>
    <n v="5318.25"/>
    <m/>
    <m/>
    <n v="294681.75"/>
    <m/>
    <m/>
    <m/>
    <m/>
    <n v="294681.75"/>
    <m/>
    <x v="1"/>
  </r>
  <r>
    <s v="2 Other Operating Costs"/>
    <x v="6"/>
    <s v="8470440"/>
    <s v="KUST - Humanities &amp; Social Sciences"/>
    <s v="425900"/>
    <s v="Entertainment and hospitality"/>
    <s v="847.8470440.1.425900.000000.847001.200179"/>
    <n v="24000"/>
    <m/>
    <m/>
    <m/>
    <n v="24000"/>
    <m/>
    <m/>
    <m/>
    <m/>
    <n v="24000"/>
    <m/>
    <x v="1"/>
  </r>
  <r>
    <s v="2 Other Operating Costs"/>
    <x v="6"/>
    <s v="8470440"/>
    <s v="KUST - Humanities &amp; Social Sciences"/>
    <s v="426610"/>
    <s v="Computer software licenses-Software License Renewal"/>
    <s v="847.8470440.1.426610.000000.847001.200179"/>
    <n v="120000"/>
    <m/>
    <m/>
    <m/>
    <n v="120000"/>
    <m/>
    <m/>
    <m/>
    <m/>
    <n v="120000"/>
    <m/>
    <x v="1"/>
  </r>
  <r>
    <s v="2 Other Operating Costs"/>
    <x v="6"/>
    <s v="8470440"/>
    <s v="KUST - Humanities &amp; Social Sciences"/>
    <s v="427710"/>
    <s v="Subscriptions and membership fees: Trade organisations"/>
    <s v="847.8470440.1.427710.000000.847001.200179"/>
    <n v="15000"/>
    <m/>
    <m/>
    <m/>
    <n v="15000"/>
    <m/>
    <m/>
    <m/>
    <m/>
    <n v="15000"/>
    <m/>
    <x v="1"/>
  </r>
  <r>
    <s v="2 Other Operating Costs"/>
    <x v="6"/>
    <s v="8470440"/>
    <s v="KUST - Humanities &amp; Social Sciences"/>
    <s v="428090"/>
    <s v="Business Travel - Combined expenses"/>
    <s v="847.8470440.1.428090.000000.847001.200179"/>
    <n v="225000"/>
    <m/>
    <m/>
    <m/>
    <n v="225000"/>
    <m/>
    <m/>
    <m/>
    <m/>
    <n v="225000"/>
    <m/>
    <x v="1"/>
  </r>
  <r>
    <s v="2 Other Operating Costs"/>
    <x v="6"/>
    <s v="8470440"/>
    <s v="KUST - Humanities &amp; Social Sciences"/>
    <s v="428640"/>
    <s v="Events - Awards, prizes &amp; gifts"/>
    <s v="847.8470440.1.428640.000000.847001.200179"/>
    <n v="100000"/>
    <m/>
    <m/>
    <m/>
    <n v="100000"/>
    <m/>
    <m/>
    <m/>
    <m/>
    <n v="100000"/>
    <m/>
    <x v="1"/>
  </r>
  <r>
    <s v="2 Other Operating Costs"/>
    <x v="6"/>
    <s v="8470440"/>
    <s v="KUST - Humanities &amp; Social Sciences"/>
    <s v="435340"/>
    <s v="Text books and library books"/>
    <s v="847.8470440.1.435340.000000.847001.200179"/>
    <n v="120000"/>
    <m/>
    <m/>
    <m/>
    <n v="120000"/>
    <m/>
    <m/>
    <m/>
    <m/>
    <n v="120000"/>
    <m/>
    <x v="1"/>
  </r>
  <r>
    <s v="2 Other Operating Costs"/>
    <x v="6"/>
    <s v="8470440"/>
    <s v="KUST - Humanities &amp; Social Sciences"/>
    <s v="435350"/>
    <s v="Academic Publications"/>
    <s v="847.8470440.1.435350.000000.847001.200179"/>
    <n v="40000"/>
    <m/>
    <m/>
    <m/>
    <n v="40000"/>
    <m/>
    <m/>
    <m/>
    <m/>
    <n v="40000"/>
    <m/>
    <x v="1"/>
  </r>
  <r>
    <s v="2 Other Operating Costs"/>
    <x v="6"/>
    <s v="8470440"/>
    <s v="KUST - Humanities &amp; Social Sciences"/>
    <s v="436600"/>
    <s v="Training/Teaching equipment and other educational aid"/>
    <s v="847.8470440.1.436600.000000.847001.200179"/>
    <n v="22500"/>
    <m/>
    <m/>
    <m/>
    <n v="22500"/>
    <m/>
    <m/>
    <m/>
    <m/>
    <n v="22500"/>
    <m/>
    <x v="1"/>
  </r>
  <r>
    <s v="2 Other Operating Costs"/>
    <x v="6"/>
    <s v="8470445"/>
    <s v="KUST - Mathematics"/>
    <s v="425100"/>
    <s v="Advertising Services (General)"/>
    <s v="847.8470445.1.425100.000000.847001.200179"/>
    <n v="150000"/>
    <m/>
    <m/>
    <m/>
    <n v="150000"/>
    <m/>
    <m/>
    <m/>
    <m/>
    <n v="150000"/>
    <m/>
    <x v="1"/>
  </r>
  <r>
    <s v="2 Other Operating Costs"/>
    <x v="6"/>
    <s v="8470445"/>
    <s v="KUST - Mathematics"/>
    <s v="425720"/>
    <s v="Education-Outsourced training service"/>
    <s v="847.8470445.1.425720.000000.847001.200179"/>
    <n v="18350"/>
    <n v="825"/>
    <m/>
    <m/>
    <n v="17525"/>
    <m/>
    <m/>
    <m/>
    <m/>
    <n v="17525"/>
    <m/>
    <x v="1"/>
  </r>
  <r>
    <s v="2 Other Operating Costs"/>
    <x v="6"/>
    <s v="8470445"/>
    <s v="KUST - Mathematics"/>
    <s v="425760"/>
    <s v="Student activities &amp; field trip expenses"/>
    <s v="847.8470445.1.425760.000000.847001.200179"/>
    <n v="36630"/>
    <m/>
    <m/>
    <m/>
    <n v="36630"/>
    <m/>
    <m/>
    <m/>
    <m/>
    <n v="36630"/>
    <m/>
    <x v="1"/>
  </r>
  <r>
    <s v="2 Other Operating Costs"/>
    <x v="6"/>
    <s v="8470445"/>
    <s v="KUST - Mathematics"/>
    <s v="425763"/>
    <s v="Student Project Expenses"/>
    <s v="847.8470445.1.425763.000000.847001.200179"/>
    <n v="7590"/>
    <m/>
    <m/>
    <m/>
    <n v="7590"/>
    <m/>
    <m/>
    <m/>
    <m/>
    <n v="7590"/>
    <m/>
    <x v="1"/>
  </r>
  <r>
    <s v="2 Other Operating Costs"/>
    <x v="6"/>
    <s v="8470445"/>
    <s v="KUST - Mathematics"/>
    <s v="425770"/>
    <s v="Academic Missions - Combined expenses"/>
    <s v="847.8470445.1.425770.000000.847001.200179"/>
    <n v="570000"/>
    <m/>
    <m/>
    <m/>
    <n v="570000"/>
    <m/>
    <m/>
    <m/>
    <m/>
    <n v="570000"/>
    <m/>
    <x v="1"/>
  </r>
  <r>
    <s v="2 Other Operating Costs"/>
    <x v="6"/>
    <s v="8470445"/>
    <s v="KUST - Mathematics"/>
    <s v="426610"/>
    <s v="Computer software licenses-Software License Renewal"/>
    <s v="847.8470445.1.426610.000000.847001.200179"/>
    <n v="37650"/>
    <m/>
    <m/>
    <m/>
    <n v="37650"/>
    <m/>
    <m/>
    <m/>
    <m/>
    <n v="37650"/>
    <m/>
    <x v="1"/>
  </r>
  <r>
    <s v="2 Other Operating Costs"/>
    <x v="6"/>
    <s v="8470445"/>
    <s v="KUST - Mathematics"/>
    <s v="435350"/>
    <s v="Academic Publications"/>
    <s v="847.8470445.1.435350.000000.847001.200179"/>
    <n v="600000"/>
    <m/>
    <m/>
    <m/>
    <n v="600000"/>
    <m/>
    <m/>
    <m/>
    <m/>
    <n v="600000"/>
    <m/>
    <x v="1"/>
  </r>
  <r>
    <s v="2 Other Operating Costs"/>
    <x v="6"/>
    <s v="8470450"/>
    <s v="KUST - Earth Science"/>
    <s v="425761"/>
    <s v="Student Field trips"/>
    <s v="847.8470450.1.425761.000000.847001.200179"/>
    <n v="500000"/>
    <n v="26103.81"/>
    <m/>
    <m/>
    <n v="473896.19"/>
    <m/>
    <m/>
    <m/>
    <m/>
    <n v="473896.19"/>
    <m/>
    <x v="1"/>
  </r>
  <r>
    <s v="2 Other Operating Costs"/>
    <x v="6"/>
    <s v="8470450"/>
    <s v="KUST - Earth Science"/>
    <s v="425770"/>
    <s v="Academic Missions - Combined expenses"/>
    <s v="847.8470450.1.425770.000000.847001.200179"/>
    <n v="180000"/>
    <n v="17610"/>
    <m/>
    <m/>
    <n v="162390"/>
    <m/>
    <m/>
    <m/>
    <m/>
    <n v="162390"/>
    <m/>
    <x v="1"/>
  </r>
  <r>
    <s v="2 Other Operating Costs"/>
    <x v="6"/>
    <s v="8470450"/>
    <s v="KUST - Earth Science"/>
    <s v="426610"/>
    <s v="Computer software licenses-Software License Renewal"/>
    <s v="847.8470450.1.426610.000000.847001.200179"/>
    <n v="313605"/>
    <m/>
    <m/>
    <m/>
    <n v="313605"/>
    <m/>
    <m/>
    <m/>
    <m/>
    <n v="313605"/>
    <m/>
    <x v="1"/>
  </r>
  <r>
    <s v="2 Other Operating Costs"/>
    <x v="6"/>
    <s v="8470450"/>
    <s v="KUST - Earth Science"/>
    <s v="428090"/>
    <s v="Business Travel - Combined expenses"/>
    <s v="847.8470450.1.428090.000000.847001.200179"/>
    <n v="30000"/>
    <n v="2200"/>
    <m/>
    <m/>
    <n v="27800"/>
    <m/>
    <m/>
    <m/>
    <m/>
    <n v="27800"/>
    <m/>
    <x v="1"/>
  </r>
  <r>
    <s v="2 Other Operating Costs"/>
    <x v="6"/>
    <s v="8470450"/>
    <s v="KUST - Earth Science"/>
    <s v="432209"/>
    <s v="Laboratory equipment"/>
    <s v="847.8470450.1.432209.000000.847001.200179"/>
    <n v="118157"/>
    <n v="2550"/>
    <m/>
    <n v="21900"/>
    <n v="93707"/>
    <m/>
    <m/>
    <m/>
    <m/>
    <n v="93707"/>
    <m/>
    <x v="1"/>
  </r>
  <r>
    <s v="2 Other Operating Costs"/>
    <x v="6"/>
    <s v="8470450"/>
    <s v="KUST - Earth Science"/>
    <s v="435350"/>
    <s v="Academic Publications"/>
    <s v="847.8470450.1.435350.000000.847001.200179"/>
    <n v="40000"/>
    <m/>
    <m/>
    <m/>
    <n v="40000"/>
    <m/>
    <m/>
    <m/>
    <m/>
    <n v="40000"/>
    <m/>
    <x v="1"/>
  </r>
  <r>
    <s v="2 Other Operating Costs"/>
    <x v="6"/>
    <s v="8470450"/>
    <s v="KUST - Earth Science"/>
    <s v="435508"/>
    <s v="Laboratory - Scientific"/>
    <s v="847.8470450.1.435508.000000.847001.200179"/>
    <n v="6500"/>
    <m/>
    <m/>
    <m/>
    <n v="6500"/>
    <m/>
    <m/>
    <m/>
    <m/>
    <n v="6500"/>
    <m/>
    <x v="1"/>
  </r>
  <r>
    <s v="2 Other Operating Costs"/>
    <x v="6"/>
    <s v="8470455"/>
    <s v="KUST – Biology"/>
    <s v="425760"/>
    <s v="Student activities &amp; field trip expenses"/>
    <s v="847.8470455.1.425760.000000.847001.200179"/>
    <n v="10000"/>
    <m/>
    <m/>
    <m/>
    <n v="10000"/>
    <m/>
    <m/>
    <m/>
    <m/>
    <n v="10000"/>
    <m/>
    <x v="1"/>
  </r>
  <r>
    <s v="2 Other Operating Costs"/>
    <x v="6"/>
    <s v="8470455"/>
    <s v="KUST – Biology"/>
    <s v="425770"/>
    <s v="Academic Missions - Combined expenses"/>
    <s v="847.8470455.1.425770.000000.847001.200179"/>
    <n v="80000"/>
    <m/>
    <m/>
    <m/>
    <n v="80000"/>
    <m/>
    <m/>
    <m/>
    <m/>
    <n v="80000"/>
    <m/>
    <x v="1"/>
  </r>
  <r>
    <s v="2 Other Operating Costs"/>
    <x v="6"/>
    <s v="8470455"/>
    <s v="KUST – Biology"/>
    <s v="425900"/>
    <s v="Entertainment and hospitality"/>
    <s v="847.8470455.1.425900.000000.847001.200179"/>
    <n v="15000"/>
    <m/>
    <m/>
    <m/>
    <n v="15000"/>
    <m/>
    <m/>
    <m/>
    <m/>
    <n v="15000"/>
    <m/>
    <x v="1"/>
  </r>
  <r>
    <s v="2 Other Operating Costs"/>
    <x v="6"/>
    <s v="8470455"/>
    <s v="KUST – Biology"/>
    <s v="426610"/>
    <s v="Computer software licenses-Software License Renewal"/>
    <s v="847.8470455.1.426610.000000.847001.200179"/>
    <n v="50000"/>
    <m/>
    <m/>
    <m/>
    <n v="50000"/>
    <m/>
    <m/>
    <m/>
    <m/>
    <n v="50000"/>
    <m/>
    <x v="1"/>
  </r>
  <r>
    <s v="2 Other Operating Costs"/>
    <x v="6"/>
    <s v="8470455"/>
    <s v="KUST – Biology"/>
    <s v="428090"/>
    <s v="Business Travel - Combined expenses"/>
    <s v="847.8470455.1.428090.000000.847001.200179"/>
    <n v="50000"/>
    <m/>
    <m/>
    <m/>
    <n v="50000"/>
    <m/>
    <m/>
    <m/>
    <m/>
    <n v="50000"/>
    <m/>
    <x v="1"/>
  </r>
  <r>
    <s v="2 Other Operating Costs"/>
    <x v="6"/>
    <s v="8470455"/>
    <s v="KUST – Biology"/>
    <s v="428640"/>
    <s v="Events - Awards, prizes &amp; gifts"/>
    <s v="847.8470455.1.428640.000000.847001.200179"/>
    <n v="5000"/>
    <m/>
    <m/>
    <m/>
    <n v="5000"/>
    <m/>
    <m/>
    <m/>
    <m/>
    <n v="5000"/>
    <m/>
    <x v="1"/>
  </r>
  <r>
    <s v="2 Other Operating Costs"/>
    <x v="6"/>
    <s v="8470455"/>
    <s v="KUST – Biology"/>
    <s v="432209"/>
    <s v="Laboratory equipment"/>
    <s v="847.8470455.1.432209.000000.847001.200179"/>
    <n v="300000"/>
    <m/>
    <m/>
    <m/>
    <n v="300000"/>
    <m/>
    <m/>
    <m/>
    <m/>
    <n v="300000"/>
    <m/>
    <x v="1"/>
  </r>
  <r>
    <s v="2 Other Operating Costs"/>
    <x v="6"/>
    <s v="8470455"/>
    <s v="KUST – Biology"/>
    <s v="435350"/>
    <s v="Academic Publications"/>
    <s v="847.8470455.1.435350.000000.847001.200179"/>
    <n v="80000"/>
    <m/>
    <m/>
    <m/>
    <n v="80000"/>
    <m/>
    <m/>
    <m/>
    <m/>
    <n v="80000"/>
    <m/>
    <x v="1"/>
  </r>
  <r>
    <s v="2 Other Operating Costs"/>
    <x v="6"/>
    <s v="8470455"/>
    <s v="KUST – Biology"/>
    <s v="435508"/>
    <s v="Laboratory - Scientific"/>
    <s v="847.8470455.1.435508.000000.847001.200179"/>
    <n v="675000"/>
    <m/>
    <m/>
    <m/>
    <n v="675000"/>
    <m/>
    <m/>
    <m/>
    <m/>
    <n v="675000"/>
    <m/>
    <x v="1"/>
  </r>
  <r>
    <s v="2 Other Operating Costs"/>
    <x v="6"/>
    <s v="8470455"/>
    <s v="KUST – Biology"/>
    <s v="436110"/>
    <s v="Printing supplies"/>
    <s v="847.8470455.1.436110.000000.847001.200179"/>
    <n v="5000"/>
    <m/>
    <m/>
    <m/>
    <n v="5000"/>
    <m/>
    <m/>
    <m/>
    <m/>
    <n v="5000"/>
    <m/>
    <x v="1"/>
  </r>
  <r>
    <s v="2 Other Operating Costs"/>
    <x v="7"/>
    <s v="8470305"/>
    <s v="KUST - Dean Of Engineering"/>
    <s v="420550"/>
    <s v="Academic Advisory Service"/>
    <s v="847.8470305.1.420550.000000.847001.200179"/>
    <n v="100000"/>
    <n v="19108.66"/>
    <m/>
    <m/>
    <n v="80891.34"/>
    <m/>
    <m/>
    <m/>
    <m/>
    <n v="80891.34"/>
    <m/>
    <x v="1"/>
  </r>
  <r>
    <s v="2 Other Operating Costs"/>
    <x v="7"/>
    <s v="8470305"/>
    <s v="KUST - Dean Of Engineering"/>
    <s v="420570"/>
    <s v="Academic Collaborative Partnership Services"/>
    <s v="847.8470305.1.420570.000000.847001.200179"/>
    <n v="10000"/>
    <m/>
    <m/>
    <m/>
    <n v="10000"/>
    <m/>
    <m/>
    <m/>
    <m/>
    <n v="10000"/>
    <m/>
    <x v="1"/>
  </r>
  <r>
    <s v="2 Other Operating Costs"/>
    <x v="7"/>
    <s v="8470305"/>
    <s v="KUST - Dean Of Engineering"/>
    <s v="421700"/>
    <s v="Standards Certification Services (e.g. ISO)"/>
    <s v="847.8470305.1.421700.000000.847001.200179"/>
    <n v="506004"/>
    <n v="32000"/>
    <m/>
    <m/>
    <n v="474004"/>
    <m/>
    <m/>
    <m/>
    <m/>
    <n v="474004"/>
    <m/>
    <x v="1"/>
  </r>
  <r>
    <s v="2 Other Operating Costs"/>
    <x v="7"/>
    <s v="8470305"/>
    <s v="KUST - Dean Of Engineering"/>
    <s v="425510"/>
    <s v="Conferences, seminars and exhibitions and other events: - Local Events"/>
    <s v="847.8470305.1.425510.000000.847001.200179"/>
    <n v="20000"/>
    <n v="5286"/>
    <m/>
    <m/>
    <n v="14714"/>
    <m/>
    <m/>
    <m/>
    <m/>
    <n v="14714"/>
    <m/>
    <x v="1"/>
  </r>
  <r>
    <s v="2 Other Operating Costs"/>
    <x v="7"/>
    <s v="8470305"/>
    <s v="KUST - Dean Of Engineering"/>
    <s v="425763"/>
    <s v="Student Project Expenses"/>
    <s v="847.8470305.1.425763.000000.847001.200179"/>
    <n v="100000"/>
    <n v="20000"/>
    <m/>
    <m/>
    <n v="80000"/>
    <m/>
    <m/>
    <m/>
    <m/>
    <n v="80000"/>
    <m/>
    <x v="1"/>
  </r>
  <r>
    <s v="2 Other Operating Costs"/>
    <x v="7"/>
    <s v="8470305"/>
    <s v="KUST - Dean Of Engineering"/>
    <s v="425770"/>
    <s v="Academic Missions - Combined expenses"/>
    <s v="847.8470305.1.425770.000000.847001.200179"/>
    <n v="614499"/>
    <n v="6600"/>
    <m/>
    <m/>
    <n v="607899"/>
    <m/>
    <m/>
    <m/>
    <m/>
    <n v="607899"/>
    <m/>
    <x v="1"/>
  </r>
  <r>
    <s v="2 Other Operating Costs"/>
    <x v="7"/>
    <s v="8470305"/>
    <s v="KUST - Dean Of Engineering"/>
    <s v="425900"/>
    <s v="Entertainment and hospitality"/>
    <s v="847.8470305.1.425900.000000.847001.200179"/>
    <n v="18000"/>
    <m/>
    <m/>
    <m/>
    <n v="18000"/>
    <m/>
    <m/>
    <m/>
    <m/>
    <n v="18000"/>
    <m/>
    <x v="1"/>
  </r>
  <r>
    <s v="2 Other Operating Costs"/>
    <x v="7"/>
    <s v="8470305"/>
    <s v="KUST - Dean Of Engineering"/>
    <s v="426610"/>
    <s v="Computer software licenses-Software License Renewal"/>
    <s v="847.8470305.1.426610.000000.847001.200179"/>
    <n v="100000"/>
    <m/>
    <n v="39668.400000000001"/>
    <m/>
    <n v="60331.6"/>
    <m/>
    <m/>
    <m/>
    <m/>
    <n v="60331.6"/>
    <m/>
    <x v="1"/>
  </r>
  <r>
    <s v="2 Other Operating Costs"/>
    <x v="7"/>
    <s v="8470305"/>
    <s v="KUST - Dean Of Engineering"/>
    <s v="428090"/>
    <s v="Business Travel - Combined expenses"/>
    <s v="847.8470305.1.428090.000000.847001.200179"/>
    <n v="35000"/>
    <m/>
    <m/>
    <m/>
    <n v="35000"/>
    <m/>
    <m/>
    <m/>
    <m/>
    <n v="35000"/>
    <m/>
    <x v="1"/>
  </r>
  <r>
    <s v="2 Other Operating Costs"/>
    <x v="7"/>
    <s v="8470305"/>
    <s v="KUST - Dean Of Engineering"/>
    <s v="428640"/>
    <s v="Events - Awards, prizes &amp; gifts"/>
    <s v="847.8470305.1.428640.000000.847001.200179"/>
    <n v="45000"/>
    <m/>
    <m/>
    <m/>
    <n v="45000"/>
    <m/>
    <m/>
    <m/>
    <m/>
    <n v="45000"/>
    <m/>
    <x v="1"/>
  </r>
  <r>
    <s v="2 Other Operating Costs"/>
    <x v="7"/>
    <s v="8470305"/>
    <s v="KUST - Dean Of Engineering"/>
    <s v="432209"/>
    <s v="Laboratory equipment"/>
    <s v="847.8470305.1.432209.000000.847001.200179"/>
    <n v="45292"/>
    <n v="28092"/>
    <m/>
    <n v="16000"/>
    <n v="1200"/>
    <m/>
    <m/>
    <m/>
    <m/>
    <n v="1200"/>
    <m/>
    <x v="1"/>
  </r>
  <r>
    <s v="2 Other Operating Costs"/>
    <x v="7"/>
    <s v="8470305"/>
    <s v="KUST - Dean Of Engineering"/>
    <s v="435350"/>
    <s v="Academic Publications"/>
    <s v="847.8470305.1.435350.000000.847001.200179"/>
    <n v="260000"/>
    <n v="13222.8"/>
    <m/>
    <m/>
    <n v="246777.2"/>
    <m/>
    <m/>
    <m/>
    <m/>
    <n v="246777.2"/>
    <m/>
    <x v="1"/>
  </r>
  <r>
    <s v="2 Other Operating Costs"/>
    <x v="7"/>
    <s v="8470305"/>
    <s v="KUST - Dean Of Engineering"/>
    <s v="435508"/>
    <s v="Laboratory - Scientific"/>
    <s v="847.8470305.1.435508.000000.847001.200179"/>
    <n v="100000"/>
    <n v="20000"/>
    <m/>
    <m/>
    <n v="80000"/>
    <m/>
    <m/>
    <m/>
    <m/>
    <n v="80000"/>
    <m/>
    <x v="1"/>
  </r>
  <r>
    <s v="2 Other Operating Costs"/>
    <x v="7"/>
    <s v="8470305"/>
    <s v="KUST - Dean Of Engineering"/>
    <s v="436600"/>
    <s v="Training/Teaching equipment and other educational aid"/>
    <s v="847.8470305.1.436600.000000.847001.200179"/>
    <n v="25000"/>
    <m/>
    <m/>
    <m/>
    <n v="25000"/>
    <m/>
    <m/>
    <m/>
    <m/>
    <n v="25000"/>
    <m/>
    <x v="1"/>
  </r>
  <r>
    <s v="2 Other Operating Costs"/>
    <x v="7"/>
    <s v="8470310"/>
    <s v="KUST - Aerospace Engineering"/>
    <s v="420550"/>
    <s v="Academic Advisory Service"/>
    <s v="847.8470310.1.420550.000000.847001.200179"/>
    <n v="20000"/>
    <m/>
    <m/>
    <m/>
    <n v="20000"/>
    <m/>
    <m/>
    <m/>
    <m/>
    <n v="20000"/>
    <m/>
    <x v="1"/>
  </r>
  <r>
    <s v="2 Other Operating Costs"/>
    <x v="7"/>
    <s v="8470310"/>
    <s v="KUST - Aerospace Engineering"/>
    <s v="425510"/>
    <s v="Conferences, seminars and exhibitions and other events: - Local Events"/>
    <s v="847.8470310.1.425510.000000.847001.200179"/>
    <n v="15000"/>
    <n v="2600"/>
    <m/>
    <m/>
    <n v="12400"/>
    <m/>
    <m/>
    <m/>
    <m/>
    <n v="12400"/>
    <m/>
    <x v="1"/>
  </r>
  <r>
    <s v="2 Other Operating Costs"/>
    <x v="7"/>
    <s v="8470310"/>
    <s v="KUST - Aerospace Engineering"/>
    <s v="425760"/>
    <s v="Student activities &amp; field trip expenses"/>
    <s v="847.8470310.1.425760.000000.847001.200179"/>
    <n v="150000"/>
    <m/>
    <m/>
    <m/>
    <n v="150000"/>
    <m/>
    <m/>
    <m/>
    <m/>
    <n v="150000"/>
    <m/>
    <x v="1"/>
  </r>
  <r>
    <s v="2 Other Operating Costs"/>
    <x v="7"/>
    <s v="8470310"/>
    <s v="KUST - Aerospace Engineering"/>
    <s v="425763"/>
    <s v="Student Project Expenses"/>
    <s v="847.8470310.1.425763.000000.847001.200179"/>
    <n v="350000"/>
    <m/>
    <m/>
    <m/>
    <n v="350000"/>
    <m/>
    <m/>
    <m/>
    <m/>
    <n v="350000"/>
    <m/>
    <x v="1"/>
  </r>
  <r>
    <s v="2 Other Operating Costs"/>
    <x v="7"/>
    <s v="8470310"/>
    <s v="KUST - Aerospace Engineering"/>
    <s v="425770"/>
    <s v="Academic Missions - Combined expenses"/>
    <s v="847.8470310.1.425770.000000.847001.200179"/>
    <n v="210000"/>
    <m/>
    <m/>
    <m/>
    <n v="210000"/>
    <m/>
    <m/>
    <m/>
    <m/>
    <n v="210000"/>
    <m/>
    <x v="1"/>
  </r>
  <r>
    <s v="2 Other Operating Costs"/>
    <x v="7"/>
    <s v="8470310"/>
    <s v="KUST - Aerospace Engineering"/>
    <s v="425900"/>
    <s v="Entertainment and hospitality"/>
    <s v="847.8470310.1.425900.000000.847001.200179"/>
    <n v="8500"/>
    <m/>
    <m/>
    <m/>
    <n v="8500"/>
    <m/>
    <m/>
    <m/>
    <m/>
    <n v="8500"/>
    <m/>
    <x v="1"/>
  </r>
  <r>
    <s v="2 Other Operating Costs"/>
    <x v="7"/>
    <s v="8470310"/>
    <s v="KUST - Aerospace Engineering"/>
    <s v="426610"/>
    <s v="Computer software licenses-Software License Renewal"/>
    <s v="847.8470310.1.426610.000000.847001.200179"/>
    <n v="9114"/>
    <m/>
    <m/>
    <m/>
    <n v="9114"/>
    <m/>
    <m/>
    <m/>
    <m/>
    <n v="9114"/>
    <m/>
    <x v="1"/>
  </r>
  <r>
    <s v="2 Other Operating Costs"/>
    <x v="7"/>
    <s v="8470310"/>
    <s v="KUST - Aerospace Engineering"/>
    <s v="428090"/>
    <s v="Business Travel - Combined expenses"/>
    <s v="847.8470310.1.428090.000000.847001.200179"/>
    <n v="40000"/>
    <m/>
    <m/>
    <m/>
    <n v="40000"/>
    <m/>
    <m/>
    <m/>
    <m/>
    <n v="40000"/>
    <m/>
    <x v="1"/>
  </r>
  <r>
    <s v="2 Other Operating Costs"/>
    <x v="7"/>
    <s v="8470310"/>
    <s v="KUST - Aerospace Engineering"/>
    <s v="432209"/>
    <s v="Laboratory equipment"/>
    <s v="847.8470310.1.432209.000000.847001.200179"/>
    <n v="80000"/>
    <m/>
    <m/>
    <m/>
    <n v="80000"/>
    <m/>
    <m/>
    <m/>
    <m/>
    <n v="80000"/>
    <m/>
    <x v="1"/>
  </r>
  <r>
    <s v="2 Other Operating Costs"/>
    <x v="7"/>
    <s v="8470310"/>
    <s v="KUST - Aerospace Engineering"/>
    <s v="435350"/>
    <s v="Academic Publications"/>
    <s v="847.8470310.1.435350.000000.847001.200179"/>
    <n v="182000"/>
    <n v="12802.18"/>
    <m/>
    <m/>
    <n v="169197.82"/>
    <m/>
    <m/>
    <m/>
    <m/>
    <n v="169197.82"/>
    <m/>
    <x v="1"/>
  </r>
  <r>
    <s v="2 Other Operating Costs"/>
    <x v="7"/>
    <s v="8470310"/>
    <s v="KUST - Aerospace Engineering"/>
    <s v="435508"/>
    <s v="Laboratory - Scientific"/>
    <s v="847.8470310.1.435508.000000.847001.200179"/>
    <n v="80000"/>
    <m/>
    <m/>
    <m/>
    <n v="80000"/>
    <m/>
    <m/>
    <m/>
    <m/>
    <n v="80000"/>
    <m/>
    <x v="1"/>
  </r>
  <r>
    <s v="2 Other Operating Costs"/>
    <x v="7"/>
    <s v="8470310"/>
    <s v="KUST - Aerospace Engineering"/>
    <s v="436110"/>
    <s v="Printing supplies"/>
    <s v="847.8470310.1.436110.000000.847001.200179"/>
    <n v="4000"/>
    <m/>
    <m/>
    <m/>
    <n v="4000"/>
    <m/>
    <m/>
    <m/>
    <m/>
    <n v="4000"/>
    <m/>
    <x v="1"/>
  </r>
  <r>
    <s v="2 Other Operating Costs"/>
    <x v="7"/>
    <s v="8470310"/>
    <s v="KUST - Aerospace Engineering"/>
    <s v="436600"/>
    <s v="Training/Teaching equipment and other educational aid"/>
    <s v="847.8470310.1.436600.000000.847001.200179"/>
    <n v="5000"/>
    <m/>
    <m/>
    <m/>
    <n v="5000"/>
    <m/>
    <m/>
    <m/>
    <m/>
    <n v="5000"/>
    <m/>
    <x v="1"/>
  </r>
  <r>
    <s v="2 Other Operating Costs"/>
    <x v="7"/>
    <s v="8470315"/>
    <s v="KUST - Biomedical Engineering"/>
    <s v="420550"/>
    <s v="Academic Advisory Service"/>
    <s v="847.8470315.1.420550.000000.847001.200179"/>
    <n v="1000"/>
    <m/>
    <m/>
    <m/>
    <n v="1000"/>
    <m/>
    <m/>
    <m/>
    <m/>
    <n v="1000"/>
    <m/>
    <x v="1"/>
  </r>
  <r>
    <s v="2 Other Operating Costs"/>
    <x v="7"/>
    <s v="8470315"/>
    <s v="KUST - Biomedical Engineering"/>
    <s v="425510"/>
    <s v="Conferences, seminars and exhibitions and other events: - Local Events"/>
    <s v="847.8470315.1.425510.000000.847001.200179"/>
    <n v="4000"/>
    <m/>
    <m/>
    <m/>
    <n v="4000"/>
    <m/>
    <m/>
    <m/>
    <m/>
    <n v="4000"/>
    <m/>
    <x v="1"/>
  </r>
  <r>
    <s v="2 Other Operating Costs"/>
    <x v="7"/>
    <s v="8470315"/>
    <s v="KUST - Biomedical Engineering"/>
    <s v="425760"/>
    <s v="Student activities &amp; field trip expenses"/>
    <s v="847.8470315.1.425760.000000.847001.200179"/>
    <n v="20000"/>
    <n v="1496.04"/>
    <m/>
    <m/>
    <n v="18503.96"/>
    <m/>
    <m/>
    <m/>
    <m/>
    <n v="18503.96"/>
    <m/>
    <x v="1"/>
  </r>
  <r>
    <s v="2 Other Operating Costs"/>
    <x v="7"/>
    <s v="8470315"/>
    <s v="KUST - Biomedical Engineering"/>
    <s v="425763"/>
    <s v="Student Project Expenses"/>
    <s v="847.8470315.1.425763.000000.847001.200179"/>
    <n v="180000"/>
    <n v="40000"/>
    <m/>
    <m/>
    <n v="140000"/>
    <m/>
    <m/>
    <m/>
    <m/>
    <n v="140000"/>
    <m/>
    <x v="1"/>
  </r>
  <r>
    <s v="2 Other Operating Costs"/>
    <x v="7"/>
    <s v="8470315"/>
    <s v="KUST - Biomedical Engineering"/>
    <s v="425770"/>
    <s v="Academic Missions - Combined expenses"/>
    <s v="847.8470315.1.425770.000000.847001.200179"/>
    <n v="180000"/>
    <m/>
    <m/>
    <m/>
    <n v="180000"/>
    <m/>
    <m/>
    <m/>
    <m/>
    <n v="180000"/>
    <m/>
    <x v="1"/>
  </r>
  <r>
    <s v="2 Other Operating Costs"/>
    <x v="7"/>
    <s v="8470315"/>
    <s v="KUST - Biomedical Engineering"/>
    <s v="425900"/>
    <s v="Entertainment and hospitality"/>
    <s v="847.8470315.1.425900.000000.847001.200179"/>
    <n v="10000"/>
    <n v="8004"/>
    <m/>
    <m/>
    <n v="1996"/>
    <m/>
    <m/>
    <m/>
    <m/>
    <n v="1996"/>
    <m/>
    <x v="1"/>
  </r>
  <r>
    <s v="2 Other Operating Costs"/>
    <x v="7"/>
    <s v="8470315"/>
    <s v="KUST - Biomedical Engineering"/>
    <s v="426610"/>
    <s v="Computer software licenses-Software License Renewal"/>
    <s v="847.8470315.1.426610.000000.847001.200179"/>
    <n v="99576"/>
    <n v="3526.08"/>
    <n v="2727.2"/>
    <m/>
    <n v="93322.72"/>
    <m/>
    <m/>
    <m/>
    <m/>
    <n v="93322.72"/>
    <m/>
    <x v="1"/>
  </r>
  <r>
    <s v="2 Other Operating Costs"/>
    <x v="7"/>
    <s v="8470315"/>
    <s v="KUST - Biomedical Engineering"/>
    <s v="428090"/>
    <s v="Business Travel - Combined expenses"/>
    <s v="847.8470315.1.428090.000000.847001.200179"/>
    <n v="10000"/>
    <m/>
    <m/>
    <m/>
    <n v="10000"/>
    <m/>
    <m/>
    <m/>
    <m/>
    <n v="10000"/>
    <m/>
    <x v="1"/>
  </r>
  <r>
    <s v="2 Other Operating Costs"/>
    <x v="7"/>
    <s v="8470315"/>
    <s v="KUST - Biomedical Engineering"/>
    <s v="432209"/>
    <s v="Laboratory equipment"/>
    <s v="847.8470315.1.432209.000000.847001.200179"/>
    <n v="90250"/>
    <m/>
    <n v="0"/>
    <n v="71500"/>
    <n v="18750"/>
    <m/>
    <m/>
    <m/>
    <m/>
    <n v="18750"/>
    <m/>
    <x v="1"/>
  </r>
  <r>
    <s v="2 Other Operating Costs"/>
    <x v="7"/>
    <s v="8470315"/>
    <s v="KUST - Biomedical Engineering"/>
    <s v="435350"/>
    <s v="Academic Publications"/>
    <s v="847.8470315.1.435350.000000.847001.200179"/>
    <n v="38400"/>
    <n v="8228.89"/>
    <m/>
    <m/>
    <n v="30171.11"/>
    <m/>
    <m/>
    <m/>
    <m/>
    <n v="30171.11"/>
    <m/>
    <x v="1"/>
  </r>
  <r>
    <s v="2 Other Operating Costs"/>
    <x v="7"/>
    <s v="8470315"/>
    <s v="KUST - Biomedical Engineering"/>
    <s v="435508"/>
    <s v="Laboratory - Scientific"/>
    <s v="847.8470315.1.435508.000000.847001.200179"/>
    <n v="150000"/>
    <n v="91895.2"/>
    <n v="14970"/>
    <n v="19627.560000000001"/>
    <n v="23507.24"/>
    <m/>
    <m/>
    <m/>
    <m/>
    <n v="23507.24"/>
    <m/>
    <x v="1"/>
  </r>
  <r>
    <s v="2 Other Operating Costs"/>
    <x v="7"/>
    <s v="8470315"/>
    <s v="KUST - Biomedical Engineering"/>
    <s v="436110"/>
    <s v="Printing supplies"/>
    <s v="847.8470315.1.436110.000000.847001.200179"/>
    <n v="2000"/>
    <m/>
    <m/>
    <m/>
    <n v="2000"/>
    <m/>
    <m/>
    <m/>
    <m/>
    <n v="2000"/>
    <m/>
    <x v="1"/>
  </r>
  <r>
    <s v="2 Other Operating Costs"/>
    <x v="7"/>
    <s v="8470315"/>
    <s v="KUST - Biomedical Engineering"/>
    <s v="436600"/>
    <s v="Training/Teaching equipment and other educational aid"/>
    <s v="847.8470315.1.436600.000000.847001.200179"/>
    <n v="3000"/>
    <m/>
    <m/>
    <m/>
    <n v="3000"/>
    <m/>
    <m/>
    <m/>
    <m/>
    <n v="3000"/>
    <m/>
    <x v="1"/>
  </r>
  <r>
    <s v="2 Other Operating Costs"/>
    <x v="7"/>
    <s v="8470320"/>
    <s v="KUST - Chemical Engineering"/>
    <s v="420550"/>
    <s v="Academic Advisory Service"/>
    <s v="847.8470320.1.420550.000000.847001.200179"/>
    <n v="20000"/>
    <m/>
    <m/>
    <m/>
    <n v="20000"/>
    <m/>
    <m/>
    <m/>
    <m/>
    <n v="20000"/>
    <m/>
    <x v="1"/>
  </r>
  <r>
    <s v="2 Other Operating Costs"/>
    <x v="7"/>
    <s v="8470320"/>
    <s v="KUST - Chemical Engineering"/>
    <s v="425510"/>
    <s v="Conferences, seminars and exhibitions and other events: - Local Events"/>
    <s v="847.8470320.1.425510.000000.847001.200179"/>
    <n v="30000"/>
    <m/>
    <m/>
    <m/>
    <n v="30000"/>
    <m/>
    <m/>
    <m/>
    <m/>
    <n v="30000"/>
    <m/>
    <x v="1"/>
  </r>
  <r>
    <s v="2 Other Operating Costs"/>
    <x v="7"/>
    <s v="8470320"/>
    <s v="KUST - Chemical Engineering"/>
    <s v="425760"/>
    <s v="Student activities &amp; field trip expenses"/>
    <s v="847.8470320.1.425760.000000.847001.200179"/>
    <n v="25000"/>
    <m/>
    <m/>
    <m/>
    <n v="25000"/>
    <m/>
    <m/>
    <m/>
    <m/>
    <n v="25000"/>
    <m/>
    <x v="1"/>
  </r>
  <r>
    <s v="2 Other Operating Costs"/>
    <x v="7"/>
    <s v="8470320"/>
    <s v="KUST - Chemical Engineering"/>
    <s v="425763"/>
    <s v="Student Project Expenses"/>
    <s v="847.8470320.1.425763.000000.847001.200179"/>
    <n v="100000"/>
    <n v="65000"/>
    <m/>
    <m/>
    <n v="35000"/>
    <m/>
    <m/>
    <m/>
    <m/>
    <n v="35000"/>
    <m/>
    <x v="1"/>
  </r>
  <r>
    <s v="2 Other Operating Costs"/>
    <x v="7"/>
    <s v="8470320"/>
    <s v="KUST - Chemical Engineering"/>
    <s v="425770"/>
    <s v="Academic Missions - Combined expenses"/>
    <s v="847.8470320.1.425770.000000.847001.200179"/>
    <n v="450000"/>
    <m/>
    <m/>
    <m/>
    <n v="450000"/>
    <m/>
    <m/>
    <m/>
    <m/>
    <n v="450000"/>
    <m/>
    <x v="1"/>
  </r>
  <r>
    <s v="2 Other Operating Costs"/>
    <x v="7"/>
    <s v="8470320"/>
    <s v="KUST - Chemical Engineering"/>
    <s v="425900"/>
    <s v="Entertainment and hospitality"/>
    <s v="847.8470320.1.425900.000000.847001.200179"/>
    <n v="20000"/>
    <m/>
    <m/>
    <m/>
    <n v="20000"/>
    <m/>
    <m/>
    <m/>
    <m/>
    <n v="20000"/>
    <m/>
    <x v="1"/>
  </r>
  <r>
    <s v="2 Other Operating Costs"/>
    <x v="7"/>
    <s v="8470320"/>
    <s v="KUST - Chemical Engineering"/>
    <s v="426610"/>
    <s v="Computer software licenses-Software License Renewal"/>
    <s v="847.8470320.1.426610.000000.847001.200179"/>
    <n v="75000"/>
    <m/>
    <n v="36730"/>
    <n v="17736.919999999998"/>
    <n v="20533.080000000002"/>
    <m/>
    <m/>
    <m/>
    <m/>
    <n v="20533.080000000002"/>
    <m/>
    <x v="1"/>
  </r>
  <r>
    <s v="2 Other Operating Costs"/>
    <x v="7"/>
    <s v="8470320"/>
    <s v="KUST - Chemical Engineering"/>
    <s v="428090"/>
    <s v="Business Travel - Combined expenses"/>
    <s v="847.8470320.1.428090.000000.847001.200179"/>
    <n v="35000"/>
    <m/>
    <m/>
    <m/>
    <n v="35000"/>
    <m/>
    <m/>
    <m/>
    <m/>
    <n v="35000"/>
    <m/>
    <x v="1"/>
  </r>
  <r>
    <s v="2 Other Operating Costs"/>
    <x v="7"/>
    <s v="8470320"/>
    <s v="KUST - Chemical Engineering"/>
    <s v="435350"/>
    <s v="Academic Publications"/>
    <s v="847.8470320.1.435350.000000.847001.200179"/>
    <n v="50000"/>
    <n v="4724.72"/>
    <m/>
    <m/>
    <n v="45275.28"/>
    <m/>
    <m/>
    <m/>
    <m/>
    <n v="45275.28"/>
    <m/>
    <x v="1"/>
  </r>
  <r>
    <s v="2 Other Operating Costs"/>
    <x v="7"/>
    <s v="8470320"/>
    <s v="KUST - Chemical Engineering"/>
    <s v="435508"/>
    <s v="Laboratory - Scientific"/>
    <s v="847.8470320.1.435508.000000.847001.200179"/>
    <n v="200000"/>
    <m/>
    <m/>
    <m/>
    <n v="200000"/>
    <m/>
    <m/>
    <m/>
    <m/>
    <n v="200000"/>
    <m/>
    <x v="1"/>
  </r>
  <r>
    <s v="2 Other Operating Costs"/>
    <x v="7"/>
    <s v="8470320"/>
    <s v="KUST - Chemical Engineering"/>
    <s v="436110"/>
    <s v="Printing supplies"/>
    <s v="847.8470320.1.436110.000000.847001.200179"/>
    <n v="35000"/>
    <m/>
    <m/>
    <m/>
    <n v="35000"/>
    <m/>
    <m/>
    <m/>
    <m/>
    <n v="35000"/>
    <m/>
    <x v="1"/>
  </r>
  <r>
    <s v="2 Other Operating Costs"/>
    <x v="7"/>
    <s v="8470320"/>
    <s v="KUST - Chemical Engineering"/>
    <s v="436600"/>
    <s v="Training/Teaching equipment and other educational aid"/>
    <s v="847.8470320.1.436600.000000.847001.200179"/>
    <n v="45000"/>
    <n v="12485"/>
    <m/>
    <m/>
    <n v="32515"/>
    <m/>
    <m/>
    <m/>
    <m/>
    <n v="32515"/>
    <m/>
    <x v="1"/>
  </r>
  <r>
    <s v="2 Other Operating Costs"/>
    <x v="7"/>
    <s v="8470325"/>
    <s v="KUST - Civil Engineering"/>
    <s v="420550"/>
    <s v="Academic Advisory Service"/>
    <s v="847.8470325.1.420550.000000.847001.200179"/>
    <n v="4000"/>
    <m/>
    <m/>
    <m/>
    <n v="4000"/>
    <m/>
    <m/>
    <m/>
    <m/>
    <n v="4000"/>
    <m/>
    <x v="1"/>
  </r>
  <r>
    <s v="2 Other Operating Costs"/>
    <x v="7"/>
    <s v="8470325"/>
    <s v="KUST - Civil Engineering"/>
    <s v="425510"/>
    <s v="Conferences, seminars and exhibitions and other events: - Local Events"/>
    <s v="847.8470325.1.425510.000000.847001.200179"/>
    <n v="6600"/>
    <m/>
    <m/>
    <m/>
    <n v="6600"/>
    <m/>
    <m/>
    <m/>
    <m/>
    <n v="6600"/>
    <m/>
    <x v="1"/>
  </r>
  <r>
    <s v="2 Other Operating Costs"/>
    <x v="7"/>
    <s v="8470325"/>
    <s v="KUST - Civil Engineering"/>
    <s v="425760"/>
    <s v="Student activities &amp; field trip expenses"/>
    <s v="847.8470325.1.425760.000000.847001.200179"/>
    <n v="5000"/>
    <m/>
    <m/>
    <m/>
    <n v="5000"/>
    <m/>
    <m/>
    <m/>
    <m/>
    <n v="5000"/>
    <m/>
    <x v="1"/>
  </r>
  <r>
    <s v="2 Other Operating Costs"/>
    <x v="7"/>
    <s v="8470325"/>
    <s v="KUST - Civil Engineering"/>
    <s v="425763"/>
    <s v="Student Project Expenses"/>
    <s v="847.8470325.1.425763.000000.847001.200179"/>
    <n v="370000"/>
    <n v="126866.64"/>
    <m/>
    <m/>
    <n v="243133.36"/>
    <m/>
    <m/>
    <m/>
    <m/>
    <n v="243133.36"/>
    <m/>
    <x v="1"/>
  </r>
  <r>
    <s v="2 Other Operating Costs"/>
    <x v="7"/>
    <s v="8470325"/>
    <s v="KUST - Civil Engineering"/>
    <s v="425770"/>
    <s v="Academic Missions - Combined expenses"/>
    <s v="847.8470325.1.425770.000000.847001.200179"/>
    <n v="165000"/>
    <n v="11251"/>
    <m/>
    <m/>
    <n v="153749"/>
    <m/>
    <m/>
    <m/>
    <m/>
    <n v="153749"/>
    <m/>
    <x v="1"/>
  </r>
  <r>
    <s v="2 Other Operating Costs"/>
    <x v="7"/>
    <s v="8470325"/>
    <s v="KUST - Civil Engineering"/>
    <s v="426610"/>
    <s v="Computer software licenses-Software License Renewal"/>
    <s v="847.8470325.1.426610.000000.847001.200179"/>
    <n v="34910"/>
    <m/>
    <n v="11753.6"/>
    <m/>
    <n v="23156.400000000001"/>
    <m/>
    <m/>
    <m/>
    <m/>
    <n v="23156.400000000001"/>
    <m/>
    <x v="1"/>
  </r>
  <r>
    <s v="2 Other Operating Costs"/>
    <x v="7"/>
    <s v="8470325"/>
    <s v="KUST - Civil Engineering"/>
    <s v="428090"/>
    <s v="Business Travel - Combined expenses"/>
    <s v="847.8470325.1.428090.000000.847001.200179"/>
    <n v="0"/>
    <m/>
    <m/>
    <m/>
    <n v="0"/>
    <m/>
    <m/>
    <m/>
    <m/>
    <n v="0"/>
    <m/>
    <x v="1"/>
  </r>
  <r>
    <s v="2 Other Operating Costs"/>
    <x v="7"/>
    <s v="8470325"/>
    <s v="KUST - Civil Engineering"/>
    <s v="432209"/>
    <s v="Laboratory equipment"/>
    <s v="847.8470325.1.432209.000000.847001.200179"/>
    <n v="201550"/>
    <n v="4500"/>
    <n v="7583.0999999999904"/>
    <n v="161950"/>
    <n v="27516.9"/>
    <m/>
    <m/>
    <m/>
    <m/>
    <n v="27516.9"/>
    <m/>
    <x v="1"/>
  </r>
  <r>
    <s v="2 Other Operating Costs"/>
    <x v="7"/>
    <s v="8470325"/>
    <s v="KUST - Civil Engineering"/>
    <s v="435350"/>
    <s v="Academic Publications"/>
    <s v="847.8470325.1.435350.000000.847001.200179"/>
    <n v="80000"/>
    <m/>
    <m/>
    <m/>
    <n v="80000"/>
    <m/>
    <m/>
    <m/>
    <m/>
    <n v="80000"/>
    <m/>
    <x v="1"/>
  </r>
  <r>
    <s v="2 Other Operating Costs"/>
    <x v="7"/>
    <s v="8470325"/>
    <s v="KUST - Civil Engineering"/>
    <s v="435508"/>
    <s v="Laboratory - Scientific"/>
    <s v="847.8470325.1.435508.000000.847001.200179"/>
    <n v="92573"/>
    <m/>
    <n v="0"/>
    <n v="250.48"/>
    <n v="92322.52"/>
    <m/>
    <m/>
    <m/>
    <m/>
    <n v="92322.52"/>
    <m/>
    <x v="1"/>
  </r>
  <r>
    <s v="2 Other Operating Costs"/>
    <x v="7"/>
    <s v="8470330"/>
    <s v="KUST - Electrical &amp; Computer Engineering"/>
    <s v="420550"/>
    <s v="Academic Advisory Service"/>
    <s v="847.8470330.1.420550.000000.847001.200179"/>
    <n v="3000"/>
    <m/>
    <m/>
    <m/>
    <n v="3000"/>
    <m/>
    <m/>
    <m/>
    <m/>
    <n v="3000"/>
    <m/>
    <x v="1"/>
  </r>
  <r>
    <s v="2 Other Operating Costs"/>
    <x v="7"/>
    <s v="8470330"/>
    <s v="KUST - Electrical &amp; Computer Engineering"/>
    <s v="425510"/>
    <s v="Conferences, seminars and exhibitions and other events: - Local Events"/>
    <s v="847.8470330.1.425510.000000.847001.200179"/>
    <n v="42000"/>
    <n v="4400"/>
    <m/>
    <m/>
    <n v="37600"/>
    <m/>
    <m/>
    <m/>
    <m/>
    <n v="37600"/>
    <m/>
    <x v="1"/>
  </r>
  <r>
    <s v="2 Other Operating Costs"/>
    <x v="7"/>
    <s v="8470330"/>
    <s v="KUST - Electrical &amp; Computer Engineering"/>
    <s v="425760"/>
    <s v="Student activities &amp; field trip expenses"/>
    <s v="847.8470330.1.425760.000000.847001.200179"/>
    <n v="72000"/>
    <m/>
    <m/>
    <m/>
    <n v="72000"/>
    <m/>
    <m/>
    <m/>
    <m/>
    <n v="72000"/>
    <m/>
    <x v="1"/>
  </r>
  <r>
    <s v="2 Other Operating Costs"/>
    <x v="7"/>
    <s v="8470330"/>
    <s v="KUST - Electrical &amp; Computer Engineering"/>
    <s v="425763"/>
    <s v="Student Project Expenses"/>
    <s v="847.8470330.1.425763.000000.847001.200179"/>
    <n v="405000"/>
    <n v="50000"/>
    <m/>
    <m/>
    <n v="355000"/>
    <m/>
    <m/>
    <m/>
    <m/>
    <n v="355000"/>
    <m/>
    <x v="1"/>
  </r>
  <r>
    <s v="2 Other Operating Costs"/>
    <x v="7"/>
    <s v="8470330"/>
    <s v="KUST - Electrical &amp; Computer Engineering"/>
    <s v="425770"/>
    <s v="Academic Missions - Combined expenses"/>
    <s v="847.8470330.1.425770.000000.847001.200179"/>
    <n v="650000"/>
    <m/>
    <m/>
    <m/>
    <n v="650000"/>
    <m/>
    <m/>
    <m/>
    <m/>
    <n v="650000"/>
    <m/>
    <x v="1"/>
  </r>
  <r>
    <s v="2 Other Operating Costs"/>
    <x v="7"/>
    <s v="8470330"/>
    <s v="KUST - Electrical &amp; Computer Engineering"/>
    <s v="425900"/>
    <s v="Entertainment and hospitality"/>
    <s v="847.8470330.1.425900.000000.847001.200179"/>
    <n v="16000"/>
    <m/>
    <m/>
    <m/>
    <n v="16000"/>
    <m/>
    <m/>
    <m/>
    <m/>
    <n v="16000"/>
    <m/>
    <x v="1"/>
  </r>
  <r>
    <s v="2 Other Operating Costs"/>
    <x v="7"/>
    <s v="8470330"/>
    <s v="KUST - Electrical &amp; Computer Engineering"/>
    <s v="426610"/>
    <s v="Computer software licenses-Software License Renewal"/>
    <s v="847.8470330.1.426610.000000.847001.200179"/>
    <n v="720500"/>
    <m/>
    <n v="0"/>
    <n v="13887.72"/>
    <n v="706612.28"/>
    <m/>
    <m/>
    <m/>
    <m/>
    <n v="706612.28"/>
    <m/>
    <x v="1"/>
  </r>
  <r>
    <s v="2 Other Operating Costs"/>
    <x v="7"/>
    <s v="8470330"/>
    <s v="KUST - Electrical &amp; Computer Engineering"/>
    <s v="428640"/>
    <s v="Events - Awards, prizes &amp; gifts"/>
    <s v="847.8470330.1.428640.000000.847001.200179"/>
    <n v="302000"/>
    <m/>
    <m/>
    <m/>
    <n v="302000"/>
    <m/>
    <m/>
    <m/>
    <m/>
    <n v="302000"/>
    <m/>
    <x v="1"/>
  </r>
  <r>
    <s v="2 Other Operating Costs"/>
    <x v="7"/>
    <s v="8470330"/>
    <s v="KUST - Electrical &amp; Computer Engineering"/>
    <s v="432209"/>
    <s v="Laboratory equipment"/>
    <s v="847.8470330.1.432209.000000.847001.200179"/>
    <n v="67400"/>
    <m/>
    <m/>
    <m/>
    <n v="67400"/>
    <m/>
    <m/>
    <m/>
    <m/>
    <n v="67400"/>
    <m/>
    <x v="1"/>
  </r>
  <r>
    <s v="2 Other Operating Costs"/>
    <x v="7"/>
    <s v="8470330"/>
    <s v="KUST - Electrical &amp; Computer Engineering"/>
    <s v="435350"/>
    <s v="Academic Publications"/>
    <s v="847.8470330.1.435350.000000.847001.200179"/>
    <n v="420000"/>
    <n v="27479.64"/>
    <m/>
    <m/>
    <n v="392520.36"/>
    <m/>
    <m/>
    <m/>
    <m/>
    <n v="392520.36"/>
    <m/>
    <x v="1"/>
  </r>
  <r>
    <s v="2 Other Operating Costs"/>
    <x v="7"/>
    <s v="8470330"/>
    <s v="KUST - Electrical &amp; Computer Engineering"/>
    <s v="435508"/>
    <s v="Laboratory - Scientific"/>
    <s v="847.8470330.1.435508.000000.847001.200179"/>
    <n v="20000"/>
    <m/>
    <m/>
    <m/>
    <n v="20000"/>
    <m/>
    <m/>
    <m/>
    <m/>
    <n v="20000"/>
    <m/>
    <x v="1"/>
  </r>
  <r>
    <s v="2 Other Operating Costs"/>
    <x v="7"/>
    <s v="8470330"/>
    <s v="KUST - Electrical &amp; Computer Engineering"/>
    <s v="436600"/>
    <s v="Training/Teaching equipment and other educational aid"/>
    <s v="847.8470330.1.436600.000000.847001.200179"/>
    <n v="60000"/>
    <m/>
    <m/>
    <n v="15740"/>
    <n v="44260"/>
    <m/>
    <m/>
    <m/>
    <m/>
    <n v="44260"/>
    <m/>
    <x v="1"/>
  </r>
  <r>
    <s v="2 Other Operating Costs"/>
    <x v="7"/>
    <s v="8470335"/>
    <s v="KUST - Industrial &amp; Systems Engineering"/>
    <s v="420550"/>
    <s v="Academic Advisory Service"/>
    <s v="847.8470335.1.420550.000000.847001.200179"/>
    <n v="10000"/>
    <m/>
    <m/>
    <m/>
    <n v="10000"/>
    <m/>
    <m/>
    <m/>
    <m/>
    <n v="10000"/>
    <m/>
    <x v="1"/>
  </r>
  <r>
    <s v="2 Other Operating Costs"/>
    <x v="7"/>
    <s v="8470335"/>
    <s v="KUST - Industrial &amp; Systems Engineering"/>
    <s v="425510"/>
    <s v="Conferences, seminars and exhibitions and other events: - Local Events"/>
    <s v="847.8470335.1.425510.000000.847001.200179"/>
    <n v="20000"/>
    <m/>
    <m/>
    <m/>
    <n v="20000"/>
    <m/>
    <m/>
    <m/>
    <m/>
    <n v="20000"/>
    <m/>
    <x v="1"/>
  </r>
  <r>
    <s v="2 Other Operating Costs"/>
    <x v="7"/>
    <s v="8470335"/>
    <s v="KUST - Industrial &amp; Systems Engineering"/>
    <s v="425760"/>
    <s v="Student activities &amp; field trip expenses"/>
    <s v="847.8470335.1.425760.000000.847001.200179"/>
    <n v="10000"/>
    <m/>
    <m/>
    <m/>
    <n v="10000"/>
    <m/>
    <m/>
    <m/>
    <m/>
    <n v="10000"/>
    <m/>
    <x v="1"/>
  </r>
  <r>
    <s v="2 Other Operating Costs"/>
    <x v="7"/>
    <s v="8470335"/>
    <s v="KUST - Industrial &amp; Systems Engineering"/>
    <s v="425763"/>
    <s v="Student Project Expenses"/>
    <s v="847.8470335.1.425763.000000.847001.200179"/>
    <n v="50000"/>
    <n v="30000"/>
    <m/>
    <m/>
    <n v="20000"/>
    <m/>
    <m/>
    <m/>
    <m/>
    <n v="20000"/>
    <m/>
    <x v="1"/>
  </r>
  <r>
    <s v="2 Other Operating Costs"/>
    <x v="7"/>
    <s v="8470335"/>
    <s v="KUST - Industrial &amp; Systems Engineering"/>
    <s v="425770"/>
    <s v="Academic Missions - Combined expenses"/>
    <s v="847.8470335.1.425770.000000.847001.200179"/>
    <n v="270000"/>
    <m/>
    <m/>
    <m/>
    <n v="270000"/>
    <m/>
    <m/>
    <m/>
    <m/>
    <n v="270000"/>
    <m/>
    <x v="1"/>
  </r>
  <r>
    <s v="2 Other Operating Costs"/>
    <x v="7"/>
    <s v="8470335"/>
    <s v="KUST - Industrial &amp; Systems Engineering"/>
    <s v="425900"/>
    <s v="Entertainment and hospitality"/>
    <s v="847.8470335.1.425900.000000.847001.200179"/>
    <n v="20000"/>
    <m/>
    <m/>
    <m/>
    <n v="20000"/>
    <m/>
    <m/>
    <m/>
    <m/>
    <n v="20000"/>
    <m/>
    <x v="1"/>
  </r>
  <r>
    <s v="2 Other Operating Costs"/>
    <x v="7"/>
    <s v="8470335"/>
    <s v="KUST - Industrial &amp; Systems Engineering"/>
    <s v="426610"/>
    <s v="Computer software licenses-Software License Renewal"/>
    <s v="847.8470335.1.426610.000000.847001.200179"/>
    <n v="150257"/>
    <n v="70"/>
    <n v="13104"/>
    <m/>
    <n v="137083"/>
    <m/>
    <m/>
    <m/>
    <m/>
    <n v="137083"/>
    <m/>
    <x v="1"/>
  </r>
  <r>
    <s v="2 Other Operating Costs"/>
    <x v="7"/>
    <s v="8470335"/>
    <s v="KUST - Industrial &amp; Systems Engineering"/>
    <s v="428090"/>
    <s v="Business Travel - Combined expenses"/>
    <s v="847.8470335.1.428090.000000.847001.200179"/>
    <n v="40000"/>
    <m/>
    <m/>
    <m/>
    <n v="40000"/>
    <m/>
    <m/>
    <m/>
    <m/>
    <n v="40000"/>
    <m/>
    <x v="1"/>
  </r>
  <r>
    <s v="2 Other Operating Costs"/>
    <x v="7"/>
    <s v="8470335"/>
    <s v="KUST - Industrial &amp; Systems Engineering"/>
    <s v="435350"/>
    <s v="Academic Publications"/>
    <s v="847.8470335.1.435350.000000.847001.200179"/>
    <n v="51520"/>
    <n v="5617.51"/>
    <m/>
    <m/>
    <n v="45902.49"/>
    <m/>
    <m/>
    <m/>
    <m/>
    <n v="45902.49"/>
    <m/>
    <x v="1"/>
  </r>
  <r>
    <s v="2 Other Operating Costs"/>
    <x v="7"/>
    <s v="8470335"/>
    <s v="KUST - Industrial &amp; Systems Engineering"/>
    <s v="435508"/>
    <s v="Laboratory - Scientific"/>
    <s v="847.8470335.1.435508.000000.847001.200179"/>
    <n v="139000"/>
    <n v="46388.34"/>
    <n v="35037.370000000003"/>
    <n v="0"/>
    <n v="57574.29"/>
    <m/>
    <m/>
    <m/>
    <m/>
    <n v="57574.29"/>
    <m/>
    <x v="1"/>
  </r>
  <r>
    <s v="2 Other Operating Costs"/>
    <x v="7"/>
    <s v="8470335"/>
    <s v="KUST - Industrial &amp; Systems Engineering"/>
    <s v="436110"/>
    <s v="Printing supplies"/>
    <s v="847.8470335.1.436110.000000.847001.200179"/>
    <n v="4000"/>
    <m/>
    <m/>
    <m/>
    <n v="4000"/>
    <m/>
    <m/>
    <m/>
    <m/>
    <n v="4000"/>
    <m/>
    <x v="1"/>
  </r>
  <r>
    <s v="2 Other Operating Costs"/>
    <x v="7"/>
    <s v="8470335"/>
    <s v="KUST - Industrial &amp; Systems Engineering"/>
    <s v="436600"/>
    <s v="Training/Teaching equipment and other educational aid"/>
    <s v="847.8470335.1.436600.000000.847001.200179"/>
    <n v="12000"/>
    <n v="11500"/>
    <n v="0"/>
    <n v="0"/>
    <n v="500"/>
    <m/>
    <m/>
    <m/>
    <m/>
    <n v="500"/>
    <m/>
    <x v="1"/>
  </r>
  <r>
    <s v="2 Other Operating Costs"/>
    <x v="7"/>
    <s v="8470340"/>
    <s v="KUST - Mechanical Engineering"/>
    <s v="420550"/>
    <s v="Academic Advisory Service"/>
    <s v="847.8470340.1.420550.000000.847001.200179"/>
    <n v="3000"/>
    <m/>
    <m/>
    <m/>
    <n v="3000"/>
    <m/>
    <m/>
    <m/>
    <m/>
    <n v="3000"/>
    <m/>
    <x v="1"/>
  </r>
  <r>
    <s v="2 Other Operating Costs"/>
    <x v="7"/>
    <s v="8470340"/>
    <s v="KUST - Mechanical Engineering"/>
    <s v="425510"/>
    <s v="Conferences, seminars and exhibitions and other events: - Local Events"/>
    <s v="847.8470340.1.425510.000000.847001.200179"/>
    <n v="10000"/>
    <m/>
    <m/>
    <m/>
    <n v="10000"/>
    <m/>
    <m/>
    <m/>
    <m/>
    <n v="10000"/>
    <m/>
    <x v="1"/>
  </r>
  <r>
    <s v="2 Other Operating Costs"/>
    <x v="7"/>
    <s v="8470340"/>
    <s v="KUST - Mechanical Engineering"/>
    <s v="425720"/>
    <s v="Education-Outsourced training service"/>
    <s v="847.8470340.1.425720.000000.847001.200179"/>
    <n v="30000"/>
    <m/>
    <m/>
    <m/>
    <n v="30000"/>
    <m/>
    <m/>
    <m/>
    <m/>
    <n v="30000"/>
    <m/>
    <x v="1"/>
  </r>
  <r>
    <s v="2 Other Operating Costs"/>
    <x v="7"/>
    <s v="8470340"/>
    <s v="KUST - Mechanical Engineering"/>
    <s v="425760"/>
    <s v="Student activities &amp; field trip expenses"/>
    <s v="847.8470340.1.425760.000000.847001.200179"/>
    <n v="12000"/>
    <m/>
    <m/>
    <m/>
    <n v="12000"/>
    <m/>
    <m/>
    <m/>
    <m/>
    <n v="12000"/>
    <m/>
    <x v="1"/>
  </r>
  <r>
    <s v="2 Other Operating Costs"/>
    <x v="7"/>
    <s v="8470340"/>
    <s v="KUST - Mechanical Engineering"/>
    <s v="425763"/>
    <s v="Student Project Expenses"/>
    <s v="847.8470340.1.425763.000000.847001.200179"/>
    <n v="480000"/>
    <n v="150000"/>
    <m/>
    <m/>
    <n v="330000"/>
    <m/>
    <m/>
    <m/>
    <m/>
    <n v="330000"/>
    <m/>
    <x v="1"/>
  </r>
  <r>
    <s v="2 Other Operating Costs"/>
    <x v="7"/>
    <s v="8470340"/>
    <s v="KUST - Mechanical Engineering"/>
    <s v="425770"/>
    <s v="Academic Missions - Combined expenses"/>
    <s v="847.8470340.1.425770.000000.847001.200179"/>
    <n v="630000"/>
    <n v="7870"/>
    <m/>
    <m/>
    <n v="622130"/>
    <m/>
    <m/>
    <m/>
    <m/>
    <n v="622130"/>
    <m/>
    <x v="1"/>
  </r>
  <r>
    <s v="2 Other Operating Costs"/>
    <x v="7"/>
    <s v="8470340"/>
    <s v="KUST - Mechanical Engineering"/>
    <s v="425900"/>
    <s v="Entertainment and hospitality"/>
    <s v="847.8470340.1.425900.000000.847001.200179"/>
    <n v="54000"/>
    <m/>
    <n v="8800"/>
    <m/>
    <n v="45200"/>
    <m/>
    <m/>
    <m/>
    <m/>
    <n v="45200"/>
    <m/>
    <x v="1"/>
  </r>
  <r>
    <s v="2 Other Operating Costs"/>
    <x v="7"/>
    <s v="8470340"/>
    <s v="KUST - Mechanical Engineering"/>
    <s v="426610"/>
    <s v="Computer software licenses-Software License Renewal"/>
    <s v="847.8470340.1.426610.000000.847001.200179"/>
    <n v="210000"/>
    <n v="1836.5"/>
    <n v="96659.58"/>
    <n v="38510.65"/>
    <n v="72993.27"/>
    <m/>
    <m/>
    <m/>
    <m/>
    <n v="72993.27"/>
    <m/>
    <x v="1"/>
  </r>
  <r>
    <s v="2 Other Operating Costs"/>
    <x v="7"/>
    <s v="8470340"/>
    <s v="KUST - Mechanical Engineering"/>
    <s v="432209"/>
    <s v="Laboratory equipment"/>
    <s v="847.8470340.1.432209.000000.847001.200179"/>
    <n v="80000"/>
    <m/>
    <m/>
    <n v="20000"/>
    <n v="60000"/>
    <m/>
    <m/>
    <m/>
    <m/>
    <n v="60000"/>
    <m/>
    <x v="1"/>
  </r>
  <r>
    <s v="2 Other Operating Costs"/>
    <x v="7"/>
    <s v="8470340"/>
    <s v="KUST - Mechanical Engineering"/>
    <s v="435350"/>
    <s v="Academic Publications"/>
    <s v="847.8470340.1.435350.000000.847001.200179"/>
    <n v="336000"/>
    <n v="31077.05"/>
    <m/>
    <m/>
    <n v="304922.95"/>
    <m/>
    <m/>
    <m/>
    <m/>
    <n v="304922.95"/>
    <m/>
    <x v="1"/>
  </r>
  <r>
    <s v="2 Other Operating Costs"/>
    <x v="7"/>
    <s v="8470340"/>
    <s v="KUST - Mechanical Engineering"/>
    <s v="435508"/>
    <s v="Laboratory - Scientific"/>
    <s v="847.8470340.1.435508.000000.847001.200179"/>
    <n v="264000"/>
    <n v="81044"/>
    <n v="2017.16"/>
    <n v="13600.83"/>
    <n v="167338.01"/>
    <m/>
    <m/>
    <m/>
    <m/>
    <n v="167338.01"/>
    <m/>
    <x v="1"/>
  </r>
  <r>
    <s v="2 Other Operating Costs"/>
    <x v="7"/>
    <s v="8470345"/>
    <s v="KUST - Nuclear Engineering"/>
    <s v="420550"/>
    <s v="Academic Advisory Service"/>
    <s v="847.8470345.1.420550.000000.847001.200179"/>
    <n v="20000"/>
    <m/>
    <m/>
    <m/>
    <n v="20000"/>
    <m/>
    <m/>
    <m/>
    <m/>
    <n v="20000"/>
    <m/>
    <x v="1"/>
  </r>
  <r>
    <s v="2 Other Operating Costs"/>
    <x v="7"/>
    <s v="8470345"/>
    <s v="KUST - Nuclear Engineering"/>
    <s v="425510"/>
    <s v="Conferences, seminars and exhibitions and other events: - Local Events"/>
    <s v="847.8470345.1.425510.000000.847001.200179"/>
    <n v="30000"/>
    <m/>
    <m/>
    <m/>
    <n v="30000"/>
    <m/>
    <m/>
    <m/>
    <m/>
    <n v="30000"/>
    <m/>
    <x v="1"/>
  </r>
  <r>
    <s v="2 Other Operating Costs"/>
    <x v="7"/>
    <s v="8470345"/>
    <s v="KUST - Nuclear Engineering"/>
    <s v="425760"/>
    <s v="Student activities &amp; field trip expenses"/>
    <s v="847.8470345.1.425760.000000.847001.200179"/>
    <n v="120000"/>
    <m/>
    <m/>
    <m/>
    <n v="120000"/>
    <m/>
    <m/>
    <m/>
    <m/>
    <n v="120000"/>
    <m/>
    <x v="1"/>
  </r>
  <r>
    <s v="2 Other Operating Costs"/>
    <x v="7"/>
    <s v="8470345"/>
    <s v="KUST - Nuclear Engineering"/>
    <s v="425770"/>
    <s v="Academic Missions - Combined expenses"/>
    <s v="847.8470345.1.425770.000000.847001.200179"/>
    <n v="105000"/>
    <n v="1122.77"/>
    <m/>
    <m/>
    <n v="103877.23"/>
    <m/>
    <m/>
    <m/>
    <m/>
    <n v="103877.23"/>
    <m/>
    <x v="1"/>
  </r>
  <r>
    <s v="2 Other Operating Costs"/>
    <x v="7"/>
    <s v="8470345"/>
    <s v="KUST - Nuclear Engineering"/>
    <s v="425900"/>
    <s v="Entertainment and hospitality"/>
    <s v="847.8470345.1.425900.000000.847001.200179"/>
    <n v="3000"/>
    <m/>
    <m/>
    <m/>
    <n v="3000"/>
    <m/>
    <m/>
    <m/>
    <m/>
    <n v="3000"/>
    <m/>
    <x v="1"/>
  </r>
  <r>
    <s v="2 Other Operating Costs"/>
    <x v="7"/>
    <s v="8470345"/>
    <s v="KUST - Nuclear Engineering"/>
    <s v="426610"/>
    <s v="Computer software licenses-Software License Renewal"/>
    <s v="847.8470345.1.426610.000000.847001.200179"/>
    <n v="146983"/>
    <m/>
    <n v="25723.59"/>
    <m/>
    <n v="121259.41"/>
    <m/>
    <m/>
    <m/>
    <m/>
    <n v="121259.41"/>
    <m/>
    <x v="1"/>
  </r>
  <r>
    <s v="2 Other Operating Costs"/>
    <x v="7"/>
    <s v="8470345"/>
    <s v="KUST - Nuclear Engineering"/>
    <s v="428090"/>
    <s v="Business Travel - Combined expenses"/>
    <s v="847.8470345.1.428090.000000.847001.200179"/>
    <n v="44592"/>
    <n v="642.62"/>
    <m/>
    <m/>
    <n v="43949.38"/>
    <m/>
    <m/>
    <m/>
    <m/>
    <n v="43949.38"/>
    <m/>
    <x v="1"/>
  </r>
  <r>
    <s v="2 Other Operating Costs"/>
    <x v="7"/>
    <s v="8470345"/>
    <s v="KUST - Nuclear Engineering"/>
    <s v="435350"/>
    <s v="Academic Publications"/>
    <s v="847.8470345.1.435350.000000.847001.200179"/>
    <n v="70000"/>
    <m/>
    <m/>
    <m/>
    <n v="70000"/>
    <m/>
    <m/>
    <m/>
    <m/>
    <n v="70000"/>
    <m/>
    <x v="1"/>
  </r>
  <r>
    <s v="2 Other Operating Costs"/>
    <x v="7"/>
    <s v="8470345"/>
    <s v="KUST - Nuclear Engineering"/>
    <s v="435508"/>
    <s v="Laboratory - Scientific"/>
    <s v="847.8470345.1.435508.000000.847001.200179"/>
    <n v="197477"/>
    <m/>
    <n v="0"/>
    <n v="2200"/>
    <n v="195277"/>
    <m/>
    <m/>
    <m/>
    <m/>
    <n v="195277"/>
    <m/>
    <x v="1"/>
  </r>
  <r>
    <s v="2 Other Operating Costs"/>
    <x v="7"/>
    <s v="8470345"/>
    <s v="KUST - Nuclear Engineering"/>
    <s v="436110"/>
    <s v="Printing supplies"/>
    <s v="847.8470345.1.436110.000000.847001.200179"/>
    <n v="5742"/>
    <m/>
    <n v="3300"/>
    <m/>
    <n v="2442"/>
    <m/>
    <m/>
    <m/>
    <m/>
    <n v="2442"/>
    <m/>
    <x v="1"/>
  </r>
  <r>
    <s v="2 Other Operating Costs"/>
    <x v="7"/>
    <s v="8470345"/>
    <s v="KUST - Nuclear Engineering"/>
    <s v="436600"/>
    <s v="Training/Teaching equipment and other educational aid"/>
    <s v="847.8470345.1.436600.000000.847001.200179"/>
    <n v="9640"/>
    <m/>
    <m/>
    <m/>
    <n v="9640"/>
    <m/>
    <m/>
    <m/>
    <m/>
    <n v="9640"/>
    <m/>
    <x v="1"/>
  </r>
  <r>
    <s v="2 Other Operating Costs"/>
    <x v="7"/>
    <s v="8470350"/>
    <s v="KUST - Petroleum Engineering"/>
    <s v="425510"/>
    <s v="Conferences, seminars and exhibitions and other events: - Local Events"/>
    <s v="847.8470350.1.425510.000000.847001.200179"/>
    <n v="16000"/>
    <m/>
    <m/>
    <m/>
    <n v="16000"/>
    <m/>
    <m/>
    <m/>
    <m/>
    <n v="16000"/>
    <m/>
    <x v="1"/>
  </r>
  <r>
    <s v="2 Other Operating Costs"/>
    <x v="7"/>
    <s v="8470350"/>
    <s v="KUST - Petroleum Engineering"/>
    <s v="425760"/>
    <s v="Student activities &amp; field trip expenses"/>
    <s v="847.8470350.1.425760.000000.847001.200179"/>
    <n v="25000"/>
    <n v="682"/>
    <m/>
    <m/>
    <n v="24318"/>
    <m/>
    <m/>
    <m/>
    <m/>
    <n v="24318"/>
    <m/>
    <x v="1"/>
  </r>
  <r>
    <s v="2 Other Operating Costs"/>
    <x v="7"/>
    <s v="8470350"/>
    <s v="KUST - Petroleum Engineering"/>
    <s v="425763"/>
    <s v="Student Project Expenses"/>
    <s v="847.8470350.1.425763.000000.847001.200179"/>
    <n v="30000"/>
    <m/>
    <m/>
    <m/>
    <n v="30000"/>
    <m/>
    <m/>
    <m/>
    <m/>
    <n v="30000"/>
    <m/>
    <x v="1"/>
  </r>
  <r>
    <s v="2 Other Operating Costs"/>
    <x v="7"/>
    <s v="8470350"/>
    <s v="KUST - Petroleum Engineering"/>
    <s v="425770"/>
    <s v="Academic Missions - Combined expenses"/>
    <s v="847.8470350.1.425770.000000.847001.200179"/>
    <n v="150000"/>
    <n v="3387.72"/>
    <m/>
    <m/>
    <n v="146612.28"/>
    <m/>
    <m/>
    <m/>
    <m/>
    <n v="146612.28"/>
    <m/>
    <x v="1"/>
  </r>
  <r>
    <s v="2 Other Operating Costs"/>
    <x v="7"/>
    <s v="8470350"/>
    <s v="KUST - Petroleum Engineering"/>
    <s v="425900"/>
    <s v="Entertainment and hospitality"/>
    <s v="847.8470350.1.425900.000000.847001.200179"/>
    <n v="8500"/>
    <n v="1373"/>
    <m/>
    <m/>
    <n v="7127"/>
    <m/>
    <m/>
    <m/>
    <m/>
    <n v="7127"/>
    <m/>
    <x v="1"/>
  </r>
  <r>
    <s v="2 Other Operating Costs"/>
    <x v="7"/>
    <s v="8470350"/>
    <s v="KUST - Petroleum Engineering"/>
    <s v="426610"/>
    <s v="Computer software licenses-Software License Renewal"/>
    <s v="847.8470350.1.426610.000000.847001.200179"/>
    <n v="210200"/>
    <n v="1190.21"/>
    <m/>
    <m/>
    <n v="209009.79"/>
    <m/>
    <m/>
    <m/>
    <m/>
    <n v="209009.79"/>
    <m/>
    <x v="1"/>
  </r>
  <r>
    <s v="2 Other Operating Costs"/>
    <x v="7"/>
    <s v="8470350"/>
    <s v="KUST - Petroleum Engineering"/>
    <s v="432209"/>
    <s v="Laboratory equipment"/>
    <s v="847.8470350.1.432209.000000.847001.200179"/>
    <n v="305000"/>
    <m/>
    <n v="73532.850000000006"/>
    <n v="8476"/>
    <n v="222991.15"/>
    <m/>
    <m/>
    <m/>
    <m/>
    <n v="222991.15"/>
    <m/>
    <x v="1"/>
  </r>
  <r>
    <s v="2 Other Operating Costs"/>
    <x v="7"/>
    <s v="8470350"/>
    <s v="KUST - Petroleum Engineering"/>
    <s v="435340"/>
    <s v="Text books and library books"/>
    <s v="847.8470350.1.435340.000000.847001.200179"/>
    <n v="10000"/>
    <m/>
    <m/>
    <m/>
    <n v="10000"/>
    <m/>
    <m/>
    <m/>
    <m/>
    <n v="10000"/>
    <m/>
    <x v="1"/>
  </r>
  <r>
    <s v="2 Other Operating Costs"/>
    <x v="7"/>
    <s v="8470350"/>
    <s v="KUST - Petroleum Engineering"/>
    <s v="435350"/>
    <s v="Academic Publications"/>
    <s v="847.8470350.1.435350.000000.847001.200179"/>
    <n v="50000"/>
    <m/>
    <m/>
    <m/>
    <n v="50000"/>
    <m/>
    <m/>
    <m/>
    <m/>
    <n v="50000"/>
    <m/>
    <x v="1"/>
  </r>
  <r>
    <s v="2 Other Operating Costs"/>
    <x v="7"/>
    <s v="8470350"/>
    <s v="KUST - Petroleum Engineering"/>
    <s v="435508"/>
    <s v="Laboratory - Scientific"/>
    <s v="847.8470350.1.435508.000000.847001.200179"/>
    <n v="100000"/>
    <n v="1880"/>
    <n v="12242.11"/>
    <m/>
    <n v="85877.89"/>
    <m/>
    <m/>
    <m/>
    <m/>
    <n v="85877.89"/>
    <m/>
    <x v="1"/>
  </r>
  <r>
    <s v="2 Other Operating Costs"/>
    <x v="7"/>
    <s v="8470350"/>
    <s v="KUST - Petroleum Engineering"/>
    <s v="436110"/>
    <s v="Printing supplies"/>
    <s v="847.8470350.1.436110.000000.847001.200179"/>
    <n v="7500"/>
    <m/>
    <m/>
    <m/>
    <n v="7500"/>
    <m/>
    <m/>
    <m/>
    <m/>
    <n v="7500"/>
    <m/>
    <x v="1"/>
  </r>
  <r>
    <s v="2 Other Operating Costs"/>
    <x v="7"/>
    <s v="8470350"/>
    <s v="KUST - Petroleum Engineering"/>
    <s v="436600"/>
    <s v="Training/Teaching equipment and other educational aid"/>
    <s v="847.8470350.1.436600.000000.847001.200179"/>
    <n v="60000"/>
    <m/>
    <m/>
    <m/>
    <n v="60000"/>
    <m/>
    <m/>
    <m/>
    <m/>
    <n v="60000"/>
    <m/>
    <x v="1"/>
  </r>
  <r>
    <s v="2 Other Operating Costs"/>
    <x v="8"/>
    <s v="8470520"/>
    <s v="KUST - Environment, Health &amp; Safety"/>
    <s v="425510"/>
    <s v="Conferences, seminars and exhibitions and other events: - Local Events"/>
    <s v="847.8470520.1.425510.000000.847001.200179"/>
    <n v="29519"/>
    <n v="3329.25"/>
    <m/>
    <m/>
    <n v="26189.75"/>
    <m/>
    <m/>
    <m/>
    <m/>
    <n v="26189.75"/>
    <m/>
    <x v="1"/>
  </r>
  <r>
    <s v="2 Other Operating Costs"/>
    <x v="8"/>
    <s v="8470520"/>
    <s v="KUST - Environment, Health &amp; Safety"/>
    <s v="426100"/>
    <s v="Freight and shipping costs, not included elsewhere under purchase costs"/>
    <s v="847.8470520.1.426100.000000.847001.200179"/>
    <n v="20000"/>
    <m/>
    <m/>
    <m/>
    <n v="20000"/>
    <m/>
    <m/>
    <m/>
    <m/>
    <n v="20000"/>
    <m/>
    <x v="1"/>
  </r>
  <r>
    <s v="2 Other Operating Costs"/>
    <x v="8"/>
    <s v="8470520"/>
    <s v="KUST - Environment, Health &amp; Safety"/>
    <s v="427710"/>
    <s v="Subscriptions and membership fees: Trade organisations"/>
    <s v="847.8470520.1.427710.000000.847001.200179"/>
    <n v="42000"/>
    <m/>
    <m/>
    <m/>
    <n v="42000"/>
    <m/>
    <m/>
    <m/>
    <m/>
    <n v="42000"/>
    <m/>
    <x v="1"/>
  </r>
  <r>
    <s v="2 Other Operating Costs"/>
    <x v="8"/>
    <s v="8470520"/>
    <s v="KUST - Environment, Health &amp; Safety"/>
    <s v="428200"/>
    <s v="Health,safety&amp;environment awareness"/>
    <s v="847.8470520.1.428200.000000.847001.200179"/>
    <n v="616900"/>
    <n v="50811.65"/>
    <n v="5152.7"/>
    <n v="127915"/>
    <n v="433020.65"/>
    <m/>
    <m/>
    <m/>
    <m/>
    <n v="433020.65"/>
    <m/>
    <x v="1"/>
  </r>
  <r>
    <s v="2 Other Operating Costs"/>
    <x v="8"/>
    <s v="8470520"/>
    <s v="KUST - Environment, Health &amp; Safety"/>
    <s v="428200"/>
    <s v="Health,safety&amp;environment awareness"/>
    <s v="847.8470520.1.428200.000000.847951.200179"/>
    <n v="23100"/>
    <m/>
    <m/>
    <n v="23100"/>
    <n v="0"/>
    <m/>
    <m/>
    <m/>
    <m/>
    <n v="0"/>
    <m/>
    <x v="1"/>
  </r>
  <r>
    <s v="2 Other Operating Costs"/>
    <x v="8"/>
    <s v="8470530"/>
    <s v="KUST - Facilities Management"/>
    <s v="420310"/>
    <s v="Cleaning Services: Business premises"/>
    <s v="847.8470530.1.420310.000000.847010.200179"/>
    <n v="4056439"/>
    <n v="-51023.91"/>
    <n v="0"/>
    <n v="4107462.42"/>
    <n v="0.49000000022351697"/>
    <m/>
    <m/>
    <m/>
    <m/>
    <n v="0.49000000022351697"/>
    <m/>
    <x v="1"/>
  </r>
  <r>
    <s v="2 Other Operating Costs"/>
    <x v="8"/>
    <s v="8470530"/>
    <s v="KUST - Facilities Management"/>
    <s v="420310"/>
    <s v="Cleaning Services: Business premises"/>
    <s v="847.8470530.1.420310.000000.847015.200179"/>
    <n v="747242"/>
    <m/>
    <n v="0"/>
    <n v="747242"/>
    <n v="0"/>
    <m/>
    <m/>
    <m/>
    <m/>
    <n v="0"/>
    <m/>
    <x v="1"/>
  </r>
  <r>
    <s v="2 Other Operating Costs"/>
    <x v="8"/>
    <s v="8470530"/>
    <s v="KUST - Facilities Management"/>
    <s v="420310"/>
    <s v="Cleaning Services: Business premises"/>
    <s v="847.8470530.1.420310.000000.847020.200179"/>
    <n v="4118107"/>
    <n v="109095.7"/>
    <n v="0"/>
    <n v="3988550.02"/>
    <n v="20461.279999999799"/>
    <m/>
    <m/>
    <m/>
    <m/>
    <n v="20461.279999999799"/>
    <m/>
    <x v="1"/>
  </r>
  <r>
    <s v="2 Other Operating Costs"/>
    <x v="8"/>
    <s v="8470530"/>
    <s v="KUST - Facilities Management"/>
    <s v="421000"/>
    <s v="Management consultancy"/>
    <s v="847.8470530.1.421000.000000.847010.200179"/>
    <n v="850000"/>
    <m/>
    <n v="850000"/>
    <m/>
    <n v="0"/>
    <m/>
    <m/>
    <m/>
    <m/>
    <n v="0"/>
    <m/>
    <x v="1"/>
  </r>
  <r>
    <s v="2 Other Operating Costs"/>
    <x v="8"/>
    <s v="8470530"/>
    <s v="KUST - Facilities Management"/>
    <s v="421100"/>
    <s v="Manpower supply &quot;Other Than IT Related&quot;"/>
    <s v="847.8470530.1.421100.000000.847010.200179"/>
    <m/>
    <n v="-14016"/>
    <m/>
    <m/>
    <n v="14016"/>
    <m/>
    <m/>
    <m/>
    <m/>
    <n v="14016"/>
    <m/>
    <x v="1"/>
  </r>
  <r>
    <s v="2 Other Operating Costs"/>
    <x v="8"/>
    <s v="8470530"/>
    <s v="KUST - Facilities Management"/>
    <s v="421600"/>
    <s v="Security service"/>
    <s v="847.8470530.1.421600.000000.847010.200179"/>
    <n v="3768261"/>
    <n v="25669.59"/>
    <n v="0"/>
    <n v="600051.51"/>
    <n v="3142539.9"/>
    <m/>
    <m/>
    <m/>
    <m/>
    <n v="3142539.9"/>
    <m/>
    <x v="1"/>
  </r>
  <r>
    <s v="2 Other Operating Costs"/>
    <x v="8"/>
    <s v="8470530"/>
    <s v="KUST - Facilities Management"/>
    <s v="421600"/>
    <s v="Security service"/>
    <s v="847.8470530.1.421600.000000.847015.200179"/>
    <n v="2649480"/>
    <m/>
    <n v="0"/>
    <n v="400563.78"/>
    <n v="2248916.2200000002"/>
    <m/>
    <m/>
    <m/>
    <m/>
    <n v="2248916.2200000002"/>
    <m/>
    <x v="1"/>
  </r>
  <r>
    <s v="2 Other Operating Costs"/>
    <x v="8"/>
    <s v="8470530"/>
    <s v="KUST - Facilities Management"/>
    <s v="421600"/>
    <s v="Security service"/>
    <s v="847.8470530.1.421600.000000.847020.200179"/>
    <n v="2601720"/>
    <m/>
    <n v="0"/>
    <n v="297566.74"/>
    <n v="2304153.2599999998"/>
    <m/>
    <m/>
    <m/>
    <m/>
    <n v="2304153.2599999998"/>
    <m/>
    <x v="1"/>
  </r>
  <r>
    <s v="2 Other Operating Costs"/>
    <x v="8"/>
    <s v="8470530"/>
    <s v="KUST - Facilities Management"/>
    <s v="421600"/>
    <s v="Security service"/>
    <s v="847.8470530.1.421600.000000.847030.200179"/>
    <n v="369219"/>
    <n v="369218.08"/>
    <m/>
    <m/>
    <n v="0.91999999998370197"/>
    <m/>
    <m/>
    <m/>
    <m/>
    <n v="0.91999999998370197"/>
    <m/>
    <x v="1"/>
  </r>
  <r>
    <s v="2 Other Operating Costs"/>
    <x v="8"/>
    <s v="8470530"/>
    <s v="KUST - Facilities Management"/>
    <s v="425510"/>
    <s v="Conferences, seminars and exhibitions and other events: - Local Events"/>
    <s v="847.8470530.1.425510.000000.847010.200179"/>
    <n v="20000"/>
    <m/>
    <m/>
    <m/>
    <n v="20000"/>
    <m/>
    <m/>
    <m/>
    <m/>
    <n v="20000"/>
    <m/>
    <x v="1"/>
  </r>
  <r>
    <s v="2 Other Operating Costs"/>
    <x v="8"/>
    <s v="8470530"/>
    <s v="KUST - Facilities Management"/>
    <s v="425900"/>
    <s v="Entertainment and hospitality"/>
    <s v="847.8470530.1.425900.000000.847010.200179"/>
    <n v="30000"/>
    <m/>
    <m/>
    <m/>
    <n v="30000"/>
    <m/>
    <m/>
    <m/>
    <m/>
    <n v="30000"/>
    <m/>
    <x v="1"/>
  </r>
  <r>
    <s v="2 Other Operating Costs"/>
    <x v="8"/>
    <s v="8470530"/>
    <s v="KUST - Facilities Management"/>
    <s v="426220"/>
    <s v="Insurance - Fire and allied perils"/>
    <s v="847.8470530.1.426220.000000.847010.200179"/>
    <n v="960437"/>
    <n v="1250"/>
    <m/>
    <m/>
    <n v="959187"/>
    <m/>
    <m/>
    <m/>
    <m/>
    <n v="959187"/>
    <m/>
    <x v="1"/>
  </r>
  <r>
    <s v="2 Other Operating Costs"/>
    <x v="8"/>
    <s v="8470530"/>
    <s v="KUST - Facilities Management"/>
    <s v="426220"/>
    <s v="Insurance - Fire and allied perils"/>
    <s v="847.8470530.1.426220.000000.847030.200179"/>
    <n v="23714"/>
    <m/>
    <m/>
    <m/>
    <n v="23714"/>
    <m/>
    <m/>
    <m/>
    <m/>
    <n v="23714"/>
    <m/>
    <x v="1"/>
  </r>
  <r>
    <s v="2 Other Operating Costs"/>
    <x v="8"/>
    <s v="8470530"/>
    <s v="KUST - Facilities Management"/>
    <s v="426250"/>
    <s v="Insurance - Motor vehicles"/>
    <s v="847.8470530.1.426250.000000.847010.200179"/>
    <n v="50000"/>
    <n v="14718"/>
    <m/>
    <m/>
    <n v="35282"/>
    <m/>
    <m/>
    <m/>
    <m/>
    <n v="35282"/>
    <m/>
    <x v="1"/>
  </r>
  <r>
    <s v="2 Other Operating Costs"/>
    <x v="8"/>
    <s v="8470530"/>
    <s v="KUST - Facilities Management"/>
    <s v="428090"/>
    <s v="Business Travel - Combined expenses"/>
    <s v="847.8470530.1.428090.000000.847001.200179"/>
    <n v="50000"/>
    <m/>
    <m/>
    <m/>
    <n v="50000"/>
    <m/>
    <m/>
    <m/>
    <m/>
    <n v="50000"/>
    <m/>
    <x v="1"/>
  </r>
  <r>
    <s v="2 Other Operating Costs"/>
    <x v="8"/>
    <s v="8470530"/>
    <s v="KUST - Facilities Management"/>
    <s v="432120"/>
    <s v="Bldg maintenance-Business premises"/>
    <s v="847.8470530.1.432120.000000.847010.200179"/>
    <n v="11446037"/>
    <n v="1000778.55"/>
    <n v="955030"/>
    <n v="9377366.6799999997"/>
    <n v="112861.77"/>
    <m/>
    <m/>
    <m/>
    <m/>
    <n v="112861.77"/>
    <m/>
    <x v="1"/>
  </r>
  <r>
    <s v="2 Other Operating Costs"/>
    <x v="8"/>
    <s v="8470530"/>
    <s v="KUST - Facilities Management"/>
    <s v="432120"/>
    <s v="Bldg maintenance-Business premises"/>
    <s v="847.8470530.1.432120.000000.847015.200179"/>
    <n v="5071140"/>
    <n v="-1834.43"/>
    <n v="0"/>
    <n v="5020533.1100000003"/>
    <n v="52441.320000000298"/>
    <m/>
    <m/>
    <m/>
    <m/>
    <n v="52441.320000000298"/>
    <m/>
    <x v="1"/>
  </r>
  <r>
    <s v="2 Other Operating Costs"/>
    <x v="8"/>
    <s v="8470530"/>
    <s v="KUST - Facilities Management"/>
    <s v="432120"/>
    <s v="Bldg maintenance-Business premises"/>
    <s v="847.8470530.1.432120.000000.847020.200179"/>
    <n v="5446416"/>
    <n v="187731.44"/>
    <n v="1542820.35"/>
    <n v="3142995.58"/>
    <n v="572868.62999999896"/>
    <m/>
    <m/>
    <m/>
    <m/>
    <n v="572868.62999999896"/>
    <m/>
    <x v="1"/>
  </r>
  <r>
    <s v="2 Other Operating Costs"/>
    <x v="8"/>
    <s v="8470530"/>
    <s v="KUST - Facilities Management"/>
    <s v="432120"/>
    <s v="Bldg maintenance-Business premises"/>
    <s v="847.8470530.1.432120.000000.847030.200179"/>
    <n v="1207678"/>
    <n v="141420.34"/>
    <n v="0"/>
    <n v="95200"/>
    <n v="971057.66"/>
    <m/>
    <m/>
    <m/>
    <m/>
    <n v="971057.66"/>
    <m/>
    <x v="1"/>
  </r>
  <r>
    <s v="2 Other Operating Costs"/>
    <x v="8"/>
    <s v="8470530"/>
    <s v="KUST - Facilities Management"/>
    <s v="432170"/>
    <s v="Bldg decoration &amp; minor improvements"/>
    <s v="847.8470530.1.432170.000000.847010.200179"/>
    <n v="30000"/>
    <n v="4800"/>
    <n v="0"/>
    <n v="0"/>
    <n v="25200"/>
    <m/>
    <m/>
    <m/>
    <m/>
    <n v="25200"/>
    <m/>
    <x v="1"/>
  </r>
  <r>
    <s v="2 Other Operating Costs"/>
    <x v="8"/>
    <s v="8470530"/>
    <s v="KUST - Facilities Management"/>
    <s v="432320"/>
    <s v="Residential Furniture and fixtures"/>
    <s v="847.8470530.1.432320.000000.847010.200179"/>
    <n v="26000"/>
    <n v="5024"/>
    <m/>
    <m/>
    <n v="20976"/>
    <m/>
    <m/>
    <m/>
    <m/>
    <n v="20976"/>
    <m/>
    <x v="1"/>
  </r>
  <r>
    <s v="2 Other Operating Costs"/>
    <x v="8"/>
    <s v="8470540"/>
    <s v="KUST - Administration"/>
    <s v="421100"/>
    <s v="Manpower supply &quot;Other Than IT Related&quot;"/>
    <s v="847.8470540.1.421100.000000.847010.200179"/>
    <n v="589128"/>
    <n v="106307.53"/>
    <n v="1"/>
    <n v="405084.4"/>
    <n v="77735.070000000094"/>
    <m/>
    <m/>
    <m/>
    <m/>
    <n v="77735.070000000094"/>
    <m/>
    <x v="1"/>
  </r>
  <r>
    <s v="2 Other Operating Costs"/>
    <x v="8"/>
    <s v="8470540"/>
    <s v="KUST - Administration"/>
    <s v="426800"/>
    <s v="Motor vehicle registration and inspection charges"/>
    <s v="847.8470540.1.426800.000000.847010.200179"/>
    <n v="10000"/>
    <n v="480"/>
    <m/>
    <m/>
    <n v="9520"/>
    <m/>
    <m/>
    <m/>
    <m/>
    <n v="9520"/>
    <m/>
    <x v="1"/>
  </r>
  <r>
    <s v="2 Other Operating Costs"/>
    <x v="8"/>
    <s v="8470540"/>
    <s v="KUST - Administration"/>
    <s v="426900"/>
    <s v="Postal, courier and other document delivery expenses"/>
    <s v="847.8470540.1.426900.000000.847010.200179"/>
    <n v="30000"/>
    <m/>
    <m/>
    <m/>
    <n v="30000"/>
    <m/>
    <m/>
    <m/>
    <m/>
    <n v="30000"/>
    <m/>
    <x v="1"/>
  </r>
  <r>
    <s v="2 Other Operating Costs"/>
    <x v="8"/>
    <s v="8470540"/>
    <s v="KUST - Administration"/>
    <s v="428111"/>
    <s v="Electricity consumption charges"/>
    <s v="847.8470540.1.428111.000000.847010.200179"/>
    <n v="7349560"/>
    <n v="37217"/>
    <m/>
    <m/>
    <n v="7312343"/>
    <m/>
    <m/>
    <m/>
    <m/>
    <n v="7312343"/>
    <m/>
    <x v="1"/>
  </r>
  <r>
    <s v="2 Other Operating Costs"/>
    <x v="8"/>
    <s v="8470540"/>
    <s v="KUST - Administration"/>
    <s v="428111"/>
    <s v="Electricity consumption charges"/>
    <s v="847.8470540.1.428111.000000.847015.200179"/>
    <n v="4615084"/>
    <m/>
    <m/>
    <m/>
    <n v="4615084"/>
    <m/>
    <m/>
    <m/>
    <m/>
    <n v="4615084"/>
    <m/>
    <x v="1"/>
  </r>
  <r>
    <s v="2 Other Operating Costs"/>
    <x v="8"/>
    <s v="8470540"/>
    <s v="KUST - Administration"/>
    <s v="428111"/>
    <s v="Electricity consumption charges"/>
    <s v="847.8470540.1.428111.000000.847020.200179"/>
    <n v="3058446"/>
    <n v="123105"/>
    <m/>
    <m/>
    <n v="2935341"/>
    <m/>
    <m/>
    <m/>
    <m/>
    <n v="2935341"/>
    <m/>
    <x v="1"/>
  </r>
  <r>
    <s v="2 Other Operating Costs"/>
    <x v="8"/>
    <s v="8470540"/>
    <s v="KUST - Administration"/>
    <s v="428111"/>
    <s v="Electricity consumption charges"/>
    <s v="847.8470540.1.428111.000000.847030.200179"/>
    <n v="442627"/>
    <m/>
    <m/>
    <m/>
    <n v="442627"/>
    <m/>
    <m/>
    <m/>
    <m/>
    <n v="442627"/>
    <m/>
    <x v="1"/>
  </r>
  <r>
    <s v="2 Other Operating Costs"/>
    <x v="8"/>
    <s v="8470540"/>
    <s v="KUST - Administration"/>
    <s v="428112"/>
    <s v="Water consumption charges"/>
    <s v="847.8470540.1.428112.000000.847010.200179"/>
    <n v="1153128"/>
    <m/>
    <m/>
    <m/>
    <n v="1153128"/>
    <m/>
    <m/>
    <m/>
    <m/>
    <n v="1153128"/>
    <m/>
    <x v="1"/>
  </r>
  <r>
    <s v="2 Other Operating Costs"/>
    <x v="8"/>
    <s v="8470540"/>
    <s v="KUST - Administration"/>
    <s v="428112"/>
    <s v="Water consumption charges"/>
    <s v="847.8470540.1.428112.000000.847015.200179"/>
    <n v="1681399"/>
    <m/>
    <m/>
    <m/>
    <n v="1681399"/>
    <m/>
    <m/>
    <m/>
    <m/>
    <n v="1681399"/>
    <m/>
    <x v="1"/>
  </r>
  <r>
    <s v="2 Other Operating Costs"/>
    <x v="8"/>
    <s v="8470540"/>
    <s v="KUST - Administration"/>
    <s v="428112"/>
    <s v="Water consumption charges"/>
    <s v="847.8470540.1.428112.000000.847020.200179"/>
    <n v="1703132"/>
    <m/>
    <m/>
    <m/>
    <n v="1703132"/>
    <m/>
    <m/>
    <m/>
    <m/>
    <n v="1703132"/>
    <m/>
    <x v="1"/>
  </r>
  <r>
    <s v="2 Other Operating Costs"/>
    <x v="8"/>
    <s v="8470540"/>
    <s v="KUST - Administration"/>
    <s v="428112"/>
    <s v="Water consumption charges"/>
    <s v="847.8470540.1.428112.000000.847030.200179"/>
    <n v="153570"/>
    <m/>
    <m/>
    <m/>
    <n v="153570"/>
    <m/>
    <m/>
    <m/>
    <m/>
    <n v="153570"/>
    <m/>
    <x v="1"/>
  </r>
  <r>
    <s v="2 Other Operating Costs"/>
    <x v="8"/>
    <s v="8470540"/>
    <s v="KUST - Administration"/>
    <s v="429900"/>
    <s v="Other services, not specifically mentioned elsewhere"/>
    <s v="847.8470540.1.429900.000000.847010.200179"/>
    <n v="44000"/>
    <n v="41250"/>
    <m/>
    <m/>
    <n v="2750"/>
    <m/>
    <m/>
    <m/>
    <m/>
    <n v="2750"/>
    <m/>
    <x v="1"/>
  </r>
  <r>
    <s v="2 Other Operating Costs"/>
    <x v="8"/>
    <s v="8470540"/>
    <s v="KUST - Administration"/>
    <s v="430330"/>
    <s v="Rental - Motor vehicles"/>
    <s v="847.8470540.1.430330.000000.847010.200179"/>
    <n v="967680"/>
    <m/>
    <m/>
    <m/>
    <n v="967680"/>
    <m/>
    <m/>
    <m/>
    <m/>
    <n v="967680"/>
    <m/>
    <x v="1"/>
  </r>
  <r>
    <s v="2 Other Operating Costs"/>
    <x v="8"/>
    <s v="8470540"/>
    <s v="KUST - Administration"/>
    <s v="432120"/>
    <s v="Bldg maintenance-Business premises"/>
    <s v="847.8470540.1.432120.000000.847010.200179"/>
    <m/>
    <n v="-367211.82"/>
    <m/>
    <n v="367211.82"/>
    <n v="0"/>
    <m/>
    <m/>
    <m/>
    <m/>
    <n v="0"/>
    <m/>
    <x v="1"/>
  </r>
  <r>
    <s v="2 Other Operating Costs"/>
    <x v="8"/>
    <s v="8470540"/>
    <s v="KUST - Administration"/>
    <s v="432120"/>
    <s v="Bldg maintenance-Business premises"/>
    <s v="847.8470540.1.432120.000000.847020.200179"/>
    <n v="21118"/>
    <n v="-242103.6"/>
    <m/>
    <n v="263220.71999999997"/>
    <n v="0.87999999994644895"/>
    <m/>
    <m/>
    <m/>
    <m/>
    <n v="0.87999999994644895"/>
    <m/>
    <x v="1"/>
  </r>
  <r>
    <s v="2 Other Operating Costs"/>
    <x v="8"/>
    <s v="8470540"/>
    <s v="KUST - Administration"/>
    <s v="432540"/>
    <s v="Motor vehicles (non-military)"/>
    <s v="847.8470540.1.432540.000000.847010.200179"/>
    <n v="140000"/>
    <n v="15336.84"/>
    <n v="4"/>
    <m/>
    <n v="124659.16"/>
    <m/>
    <m/>
    <m/>
    <m/>
    <n v="124659.16"/>
    <m/>
    <x v="1"/>
  </r>
  <r>
    <s v="2 Other Operating Costs"/>
    <x v="8"/>
    <s v="8470540"/>
    <s v="KUST - Administration"/>
    <s v="435410"/>
    <s v="Catering supplies: Offices"/>
    <s v="847.8470540.1.435410.000000.847020.200179"/>
    <n v="675690"/>
    <n v="1082"/>
    <n v="0"/>
    <n v="185164.05"/>
    <n v="489443.95"/>
    <m/>
    <m/>
    <m/>
    <m/>
    <n v="489443.95"/>
    <m/>
    <x v="1"/>
  </r>
  <r>
    <s v="2 Other Operating Costs"/>
    <x v="8"/>
    <s v="8470540"/>
    <s v="KUST - Administration"/>
    <s v="435740"/>
    <s v="Fuel, oil and lubricants: Motor vehicles"/>
    <s v="847.8470540.1.435740.000000.847010.200179"/>
    <n v="336000"/>
    <n v="6"/>
    <m/>
    <m/>
    <n v="335994"/>
    <m/>
    <m/>
    <m/>
    <m/>
    <n v="335994"/>
    <m/>
    <x v="1"/>
  </r>
  <r>
    <s v="2 Other Operating Costs"/>
    <x v="8"/>
    <s v="8470540"/>
    <s v="KUST - Administration"/>
    <s v="436110"/>
    <s v="Printing supplies"/>
    <s v="847.8470540.1.436110.000000.847010.200179"/>
    <n v="193910"/>
    <n v="36618.78"/>
    <n v="131100"/>
    <m/>
    <n v="26191.22"/>
    <m/>
    <m/>
    <m/>
    <m/>
    <n v="26191.22"/>
    <m/>
    <x v="1"/>
  </r>
  <r>
    <s v="2 Other Operating Costs"/>
    <x v="9"/>
    <s v="8470730"/>
    <s v="KUST - Human Resources"/>
    <s v="421000"/>
    <s v="Management consultancy"/>
    <s v="847.8470730.1.421000.000000.847001.200179"/>
    <n v="300000"/>
    <n v="2000"/>
    <n v="0"/>
    <m/>
    <n v="298000"/>
    <m/>
    <m/>
    <m/>
    <m/>
    <n v="298000"/>
    <m/>
    <x v="1"/>
  </r>
  <r>
    <s v="2 Other Operating Costs"/>
    <x v="9"/>
    <s v="8470730"/>
    <s v="KUST - Human Resources"/>
    <s v="425510"/>
    <s v="Conferences, seminars and exhibitions and other events: - Local Events"/>
    <s v="847.8470730.1.425510.000000.847001.200179"/>
    <n v="50000"/>
    <n v="4610"/>
    <m/>
    <m/>
    <n v="45390"/>
    <m/>
    <m/>
    <m/>
    <m/>
    <n v="45390"/>
    <m/>
    <x v="1"/>
  </r>
  <r>
    <s v="2 Other Operating Costs"/>
    <x v="9"/>
    <s v="8470730"/>
    <s v="KUST - Human Resources"/>
    <s v="425900"/>
    <s v="Entertainment and hospitality"/>
    <s v="847.8470730.1.425900.000000.847001.200179"/>
    <n v="250000"/>
    <n v="650"/>
    <m/>
    <m/>
    <n v="249350"/>
    <m/>
    <m/>
    <m/>
    <m/>
    <n v="249350"/>
    <m/>
    <x v="1"/>
  </r>
  <r>
    <s v="2 Other Operating Costs"/>
    <x v="9"/>
    <s v="8470730"/>
    <s v="KUST - Human Resources"/>
    <s v="426610"/>
    <s v="Computer software licenses-Software License Renewal"/>
    <s v="847.8470730.1.426610.000000.847001.200179"/>
    <n v="600000"/>
    <m/>
    <m/>
    <m/>
    <n v="600000"/>
    <m/>
    <m/>
    <m/>
    <m/>
    <n v="600000"/>
    <m/>
    <x v="1"/>
  </r>
  <r>
    <s v="2 Other Operating Costs"/>
    <x v="9"/>
    <s v="8470730"/>
    <s v="KUST - Human Resources"/>
    <s v="427900"/>
    <s v="Translation and interpretation service"/>
    <s v="847.8470730.1.427900.000000.847001.200179"/>
    <n v="10000"/>
    <m/>
    <m/>
    <m/>
    <n v="10000"/>
    <m/>
    <m/>
    <m/>
    <m/>
    <n v="10000"/>
    <m/>
    <x v="1"/>
  </r>
  <r>
    <s v="2 Other Operating Costs"/>
    <x v="9"/>
    <s v="8470730"/>
    <s v="KUST - Human Resources"/>
    <s v="428640"/>
    <s v="Events - Awards, prizes &amp; gifts"/>
    <s v="847.8470730.1.428640.000000.847001.200179"/>
    <n v="250000"/>
    <m/>
    <m/>
    <m/>
    <n v="250000"/>
    <m/>
    <m/>
    <m/>
    <m/>
    <n v="250000"/>
    <m/>
    <x v="1"/>
  </r>
  <r>
    <s v="2 Other Operating Costs"/>
    <x v="9"/>
    <s v="8470730"/>
    <s v="KUST - Human Resources"/>
    <s v="436110"/>
    <s v="Printing supplies"/>
    <s v="847.8470730.1.436110.000000.847001.200179"/>
    <n v="50000"/>
    <m/>
    <m/>
    <m/>
    <n v="50000"/>
    <m/>
    <m/>
    <m/>
    <m/>
    <n v="50000"/>
    <m/>
    <x v="1"/>
  </r>
  <r>
    <s v="2 Other Operating Costs"/>
    <x v="1"/>
    <s v="8470110"/>
    <s v="KUST - Office of the President"/>
    <s v="420550"/>
    <s v="Academic Advisory Service"/>
    <s v="847.8470110.1.420550.000000.847001.200179"/>
    <n v="30000"/>
    <m/>
    <m/>
    <m/>
    <n v="30000"/>
    <m/>
    <m/>
    <m/>
    <m/>
    <n v="30000"/>
    <m/>
    <x v="1"/>
  </r>
  <r>
    <s v="2 Other Operating Costs"/>
    <x v="1"/>
    <s v="8470110"/>
    <s v="KUST - Office of the President"/>
    <s v="420570"/>
    <s v="Academic Collaborative Partnership Services"/>
    <s v="847.8470110.1.420570.000000.847001.200179"/>
    <n v="3705121"/>
    <m/>
    <m/>
    <m/>
    <n v="3705121"/>
    <m/>
    <m/>
    <m/>
    <m/>
    <n v="3705121"/>
    <m/>
    <x v="1"/>
  </r>
  <r>
    <s v="2 Other Operating Costs"/>
    <x v="1"/>
    <s v="8470110"/>
    <s v="KUST - Office of the President"/>
    <s v="420900"/>
    <s v="Legal services"/>
    <s v="847.8470110.1.420900.000000.847001.200179"/>
    <n v="1500"/>
    <m/>
    <m/>
    <m/>
    <n v="1500"/>
    <m/>
    <m/>
    <m/>
    <m/>
    <n v="1500"/>
    <m/>
    <x v="1"/>
  </r>
  <r>
    <s v="2 Other Operating Costs"/>
    <x v="1"/>
    <s v="8470110"/>
    <s v="KUST - Office of the President"/>
    <s v="421000"/>
    <s v="Management consultancy"/>
    <s v="847.8470110.1.421000.000000.847001.200179"/>
    <n v="200000"/>
    <m/>
    <m/>
    <m/>
    <n v="200000"/>
    <m/>
    <m/>
    <m/>
    <m/>
    <n v="200000"/>
    <m/>
    <x v="1"/>
  </r>
  <r>
    <s v="2 Other Operating Costs"/>
    <x v="1"/>
    <s v="8470110"/>
    <s v="KUST - Office of the President"/>
    <s v="421700"/>
    <s v="Standards Certification Services (e.g. ISO)"/>
    <s v="847.8470110.1.421700.000000.847001.200179"/>
    <n v="25000"/>
    <m/>
    <m/>
    <m/>
    <n v="25000"/>
    <m/>
    <m/>
    <m/>
    <m/>
    <n v="25000"/>
    <m/>
    <x v="1"/>
  </r>
  <r>
    <s v="2 Other Operating Costs"/>
    <x v="1"/>
    <s v="8470110"/>
    <s v="KUST - Office of the President"/>
    <s v="425510"/>
    <s v="Conferences, seminars and exhibitions and other events: - Local Events"/>
    <s v="847.8470110.1.425510.000000.847001.200179"/>
    <n v="300000"/>
    <m/>
    <m/>
    <m/>
    <n v="300000"/>
    <m/>
    <m/>
    <m/>
    <m/>
    <n v="300000"/>
    <m/>
    <x v="1"/>
  </r>
  <r>
    <s v="2 Other Operating Costs"/>
    <x v="1"/>
    <s v="8470110"/>
    <s v="KUST - Office of the President"/>
    <s v="425550"/>
    <s v="Conferences, seminars and exhibitions and other events: - Overseas event"/>
    <s v="847.8470110.1.425550.000000.847001.200179"/>
    <n v="300000"/>
    <m/>
    <m/>
    <m/>
    <n v="300000"/>
    <m/>
    <m/>
    <m/>
    <m/>
    <n v="300000"/>
    <m/>
    <x v="1"/>
  </r>
  <r>
    <s v="2 Other Operating Costs"/>
    <x v="1"/>
    <s v="8470110"/>
    <s v="KUST - Office of the President"/>
    <s v="425900"/>
    <s v="Entertainment and hospitality"/>
    <s v="847.8470110.1.425900.000000.847001.200179"/>
    <n v="10000"/>
    <m/>
    <m/>
    <m/>
    <n v="10000"/>
    <m/>
    <m/>
    <m/>
    <m/>
    <n v="10000"/>
    <m/>
    <x v="1"/>
  </r>
  <r>
    <s v="2 Other Operating Costs"/>
    <x v="1"/>
    <s v="8470110"/>
    <s v="KUST - Office of the President"/>
    <s v="426610"/>
    <s v="Computer software licenses-Software License Renewal"/>
    <s v="847.8470110.1.426610.000000.847001.200179"/>
    <n v="518388"/>
    <m/>
    <m/>
    <m/>
    <n v="518388"/>
    <m/>
    <m/>
    <m/>
    <m/>
    <n v="518388"/>
    <m/>
    <x v="1"/>
  </r>
  <r>
    <s v="2 Other Operating Costs"/>
    <x v="1"/>
    <s v="8470110"/>
    <s v="KUST - Office of the President"/>
    <s v="428090"/>
    <s v="Business Travel - Combined expenses"/>
    <s v="847.8470110.1.428090.000000.847001.200179"/>
    <n v="1000000"/>
    <n v="5500"/>
    <m/>
    <m/>
    <n v="994500"/>
    <m/>
    <m/>
    <m/>
    <m/>
    <n v="994500"/>
    <m/>
    <x v="1"/>
  </r>
  <r>
    <s v="2 Other Operating Costs"/>
    <x v="1"/>
    <s v="8470110"/>
    <s v="KUST - Office of the President"/>
    <s v="428400"/>
    <s v="Sponsorship expenses/contributions"/>
    <s v="847.8470110.1.428400.000000.847001.200179"/>
    <n v="50000"/>
    <m/>
    <m/>
    <m/>
    <n v="50000"/>
    <m/>
    <m/>
    <m/>
    <m/>
    <n v="50000"/>
    <m/>
    <x v="1"/>
  </r>
  <r>
    <s v="2 Other Operating Costs"/>
    <x v="1"/>
    <s v="8470110"/>
    <s v="KUST - Office of the President"/>
    <s v="428640"/>
    <s v="Events - Awards, prizes &amp; gifts"/>
    <s v="847.8470110.1.428640.000000.847001.200179"/>
    <n v="100000"/>
    <m/>
    <m/>
    <m/>
    <n v="100000"/>
    <m/>
    <m/>
    <m/>
    <m/>
    <n v="100000"/>
    <m/>
    <x v="1"/>
  </r>
  <r>
    <s v="2 Other Operating Costs"/>
    <x v="10"/>
    <s v="8470720"/>
    <s v="KUST - Procurement and Contracts"/>
    <s v="421700"/>
    <s v="Standards Certification Services (e.g. ISO)"/>
    <s v="847.8470720.1.421700.000000.847001.200179"/>
    <n v="2000"/>
    <m/>
    <m/>
    <m/>
    <n v="2000"/>
    <m/>
    <m/>
    <m/>
    <m/>
    <n v="2000"/>
    <m/>
    <x v="1"/>
  </r>
  <r>
    <s v="2 Other Operating Costs"/>
    <x v="10"/>
    <s v="8470720"/>
    <s v="KUST - Procurement and Contracts"/>
    <s v="426900"/>
    <s v="Postal, courier and other document delivery expenses"/>
    <s v="847.8470720.1.426900.000000.847001.200179"/>
    <n v="10000"/>
    <n v="118.74"/>
    <m/>
    <m/>
    <n v="9881.26"/>
    <m/>
    <m/>
    <m/>
    <m/>
    <n v="9881.26"/>
    <m/>
    <x v="1"/>
  </r>
  <r>
    <s v="2 Other Operating Costs"/>
    <x v="10"/>
    <s v="8470720"/>
    <s v="KUST - Procurement and Contracts"/>
    <s v="428200"/>
    <s v="Health,safety&amp;environment awareness"/>
    <s v="847.8470720.1.428200.000000.847001.200179"/>
    <n v="250000"/>
    <n v="48719"/>
    <n v="48420"/>
    <n v="3226"/>
    <n v="149635"/>
    <m/>
    <m/>
    <m/>
    <m/>
    <n v="149635"/>
    <m/>
    <x v="1"/>
  </r>
  <r>
    <s v="2 Other Operating Costs"/>
    <x v="10"/>
    <s v="8470720"/>
    <s v="KUST - Procurement and Contracts"/>
    <s v="432120"/>
    <s v="Bldg maintenance-Business premises"/>
    <s v="847.8470720.1.432120.000000.847001.200179"/>
    <n v="236400"/>
    <m/>
    <m/>
    <m/>
    <n v="236400"/>
    <m/>
    <m/>
    <m/>
    <m/>
    <n v="236400"/>
    <m/>
    <x v="1"/>
  </r>
  <r>
    <s v="2 Other Operating Costs"/>
    <x v="10"/>
    <s v="8470720"/>
    <s v="KUST - Procurement and Contracts"/>
    <s v="435410"/>
    <s v="Catering supplies: Offices"/>
    <s v="847.8470720.1.435410.000000.847001.200179"/>
    <n v="164310"/>
    <n v="163340.39000000001"/>
    <n v="0"/>
    <n v="450"/>
    <n v="519.60999999998603"/>
    <m/>
    <m/>
    <m/>
    <m/>
    <n v="519.60999999998603"/>
    <m/>
    <x v="1"/>
  </r>
  <r>
    <s v="2 Other Operating Costs"/>
    <x v="10"/>
    <s v="8470720"/>
    <s v="KUST - Procurement and Contracts"/>
    <s v="436110"/>
    <s v="Printing supplies"/>
    <s v="847.8470720.1.436110.000000.847001.200179"/>
    <n v="50000"/>
    <m/>
    <m/>
    <m/>
    <n v="50000"/>
    <m/>
    <m/>
    <m/>
    <m/>
    <n v="50000"/>
    <m/>
    <x v="1"/>
  </r>
  <r>
    <s v="2 Other Operating Costs"/>
    <x v="10"/>
    <s v="8470720"/>
    <s v="KUST - Procurement and Contracts"/>
    <s v="436120"/>
    <s v="Stationery"/>
    <s v="847.8470720.1.436120.000000.847001.200179"/>
    <n v="120000"/>
    <n v="86263.08"/>
    <n v="1"/>
    <n v="-1.45519152283669E-11"/>
    <n v="33735.919999999998"/>
    <m/>
    <m/>
    <m/>
    <m/>
    <n v="33735.919999999998"/>
    <m/>
    <x v="1"/>
  </r>
  <r>
    <s v="2 Other Operating Costs"/>
    <x v="11"/>
    <s v="8471110"/>
    <s v="KUST - SVP/ Research &amp; Development Office"/>
    <s v="425900"/>
    <s v="Entertainment and hospitality"/>
    <s v="847.8471110.1.425900.000000.847001.200179"/>
    <n v="30000"/>
    <m/>
    <m/>
    <m/>
    <n v="30000"/>
    <m/>
    <m/>
    <m/>
    <m/>
    <n v="30000"/>
    <m/>
    <x v="1"/>
  </r>
  <r>
    <s v="2 Other Operating Costs"/>
    <x v="11"/>
    <s v="8471110"/>
    <s v="KUST - SVP/ Research &amp; Development Office"/>
    <s v="427710"/>
    <s v="Subscriptions and membership fees: Trade organisations"/>
    <s v="847.8471110.1.427710.000000.847001.200179"/>
    <n v="428951"/>
    <m/>
    <n v="332272.18"/>
    <m/>
    <n v="96678.82"/>
    <m/>
    <m/>
    <m/>
    <m/>
    <n v="96678.82"/>
    <m/>
    <x v="1"/>
  </r>
  <r>
    <s v="2 Other Operating Costs"/>
    <x v="11"/>
    <s v="8471110"/>
    <s v="KUST - SVP/ Research &amp; Development Office"/>
    <s v="428090"/>
    <s v="Business Travel - Combined expenses"/>
    <s v="847.8471110.1.428090.000000.847001.200179"/>
    <n v="100000"/>
    <m/>
    <m/>
    <m/>
    <n v="100000"/>
    <m/>
    <m/>
    <m/>
    <m/>
    <n v="100000"/>
    <m/>
    <x v="1"/>
  </r>
  <r>
    <s v="2 Other Operating Costs"/>
    <x v="11"/>
    <s v="8471120"/>
    <s v="KUST - Institute for Automation, Information Science &amp; Communication"/>
    <s v="425900"/>
    <s v="Entertainment and hospitality"/>
    <s v="847.8471120.1.425900.000000.847001.200179"/>
    <n v="110000"/>
    <m/>
    <m/>
    <m/>
    <n v="110000"/>
    <m/>
    <m/>
    <m/>
    <m/>
    <n v="110000"/>
    <m/>
    <x v="1"/>
  </r>
  <r>
    <s v="2 Other Operating Costs"/>
    <x v="11"/>
    <s v="8471120"/>
    <s v="KUST - Institute for Automation, Information Science &amp; Communication"/>
    <s v="428090"/>
    <s v="Business Travel - Combined expenses"/>
    <s v="847.8471120.1.428090.000000.847001.200179"/>
    <n v="220000"/>
    <m/>
    <m/>
    <m/>
    <n v="220000"/>
    <m/>
    <m/>
    <m/>
    <m/>
    <n v="220000"/>
    <m/>
    <x v="1"/>
  </r>
  <r>
    <s v="2 Other Operating Costs"/>
    <x v="11"/>
    <s v="8471120"/>
    <s v="KUST - Institute for Automation, Information Science &amp; Communication"/>
    <s v="429900"/>
    <s v="Other services, not specifically mentioned elsewhere"/>
    <s v="847.8471120.1.429900.000000.847001.200179"/>
    <n v="55510"/>
    <m/>
    <m/>
    <m/>
    <n v="55510"/>
    <m/>
    <m/>
    <m/>
    <m/>
    <n v="55510"/>
    <m/>
    <x v="1"/>
  </r>
  <r>
    <s v="2 Other Operating Costs"/>
    <x v="11"/>
    <s v="8471120"/>
    <s v="KUST - Institute for Automation, Information Science &amp; Communication"/>
    <s v="435523"/>
    <s v="Scientific"/>
    <s v="847.8471120.1.435523.000000.847001.200179"/>
    <n v="0"/>
    <m/>
    <m/>
    <m/>
    <n v="0"/>
    <m/>
    <m/>
    <m/>
    <m/>
    <n v="0"/>
    <m/>
    <x v="1"/>
  </r>
  <r>
    <s v="2 Other Operating Costs"/>
    <x v="11"/>
    <s v="8471121"/>
    <s v="KUST - Petroleum Institute"/>
    <s v="425510"/>
    <s v="Conferences, seminars and exhibitions and other events: - Local Events"/>
    <s v="847.8471121.1.425510.000000.847001.200179"/>
    <n v="50000"/>
    <m/>
    <m/>
    <m/>
    <n v="50000"/>
    <m/>
    <m/>
    <m/>
    <m/>
    <n v="50000"/>
    <m/>
    <x v="1"/>
  </r>
  <r>
    <s v="2 Other Operating Costs"/>
    <x v="11"/>
    <s v="8471121"/>
    <s v="KUST - Petroleum Institute"/>
    <s v="425900"/>
    <s v="Entertainment and hospitality"/>
    <s v="847.8471121.1.425900.000000.847001.200179"/>
    <n v="15000"/>
    <m/>
    <m/>
    <m/>
    <n v="15000"/>
    <m/>
    <m/>
    <m/>
    <m/>
    <n v="15000"/>
    <m/>
    <x v="1"/>
  </r>
  <r>
    <s v="2 Other Operating Costs"/>
    <x v="11"/>
    <s v="8471121"/>
    <s v="KUST - Petroleum Institute"/>
    <s v="428090"/>
    <s v="Business Travel - Combined expenses"/>
    <s v="847.8471121.1.428090.000000.847001.200179"/>
    <n v="50000"/>
    <m/>
    <m/>
    <m/>
    <n v="50000"/>
    <m/>
    <m/>
    <m/>
    <m/>
    <n v="50000"/>
    <m/>
    <x v="1"/>
  </r>
  <r>
    <s v="2 Other Operating Costs"/>
    <x v="11"/>
    <s v="8471121"/>
    <s v="KUST - Petroleum Institute"/>
    <s v="432170"/>
    <s v="Bldg decoration &amp; minor improvements"/>
    <s v="847.8471121.1.432170.000000.847001.200179"/>
    <n v="0"/>
    <m/>
    <m/>
    <m/>
    <n v="0"/>
    <m/>
    <m/>
    <m/>
    <m/>
    <n v="0"/>
    <m/>
    <x v="1"/>
  </r>
  <r>
    <s v="2 Other Operating Costs"/>
    <x v="11"/>
    <s v="8471121"/>
    <s v="KUST - Petroleum Institute"/>
    <s v="435523"/>
    <s v="Scientific"/>
    <s v="847.8471121.1.435523.000000.847001.200179"/>
    <n v="826280"/>
    <m/>
    <m/>
    <m/>
    <n v="826280"/>
    <m/>
    <m/>
    <m/>
    <m/>
    <n v="826280"/>
    <m/>
    <x v="1"/>
  </r>
  <r>
    <s v="2 Other Operating Costs"/>
    <x v="11"/>
    <s v="8471122"/>
    <s v="KUST - Masdar Institute"/>
    <s v="425900"/>
    <s v="Entertainment and hospitality"/>
    <s v="847.8471122.1.425900.000000.847001.200179"/>
    <n v="50000"/>
    <m/>
    <m/>
    <m/>
    <n v="50000"/>
    <m/>
    <m/>
    <m/>
    <m/>
    <n v="50000"/>
    <m/>
    <x v="1"/>
  </r>
  <r>
    <s v="2 Other Operating Costs"/>
    <x v="11"/>
    <s v="8471122"/>
    <s v="KUST - Masdar Institute"/>
    <s v="428090"/>
    <s v="Business Travel - Combined expenses"/>
    <s v="847.8471122.1.428090.000000.847001.200179"/>
    <n v="50000"/>
    <m/>
    <m/>
    <m/>
    <n v="50000"/>
    <m/>
    <m/>
    <m/>
    <m/>
    <n v="50000"/>
    <m/>
    <x v="1"/>
  </r>
  <r>
    <s v="2 Other Operating Costs"/>
    <x v="11"/>
    <s v="8471130"/>
    <s v="KUST - Research Service"/>
    <s v="420811"/>
    <s v="IT Systems &amp; Support expenses-Application/Systems Operation"/>
    <s v="847.8471130.1.420811.000000.847001.200179"/>
    <n v="300000"/>
    <m/>
    <m/>
    <m/>
    <n v="300000"/>
    <m/>
    <m/>
    <m/>
    <m/>
    <n v="300000"/>
    <m/>
    <x v="1"/>
  </r>
  <r>
    <s v="2 Other Operating Costs"/>
    <x v="11"/>
    <s v="8471130"/>
    <s v="KUST - Research Service"/>
    <s v="426610"/>
    <s v="Computer software licenses-Software License Renewal"/>
    <s v="847.8471130.1.426610.000000.847001.200179"/>
    <n v="171900"/>
    <m/>
    <m/>
    <m/>
    <n v="171900"/>
    <m/>
    <m/>
    <m/>
    <m/>
    <n v="171900"/>
    <m/>
    <x v="1"/>
  </r>
  <r>
    <s v="2 Other Operating Costs"/>
    <x v="11"/>
    <s v="8471130"/>
    <s v="KUST - Research Service"/>
    <s v="427900"/>
    <s v="Translation and interpretation service"/>
    <s v="847.8471130.1.427900.000000.847001.200179"/>
    <n v="5000"/>
    <m/>
    <m/>
    <m/>
    <n v="5000"/>
    <m/>
    <m/>
    <m/>
    <m/>
    <n v="5000"/>
    <m/>
    <x v="1"/>
  </r>
  <r>
    <s v="2 Other Operating Costs"/>
    <x v="11"/>
    <s v="8471130"/>
    <s v="KUST - Research Service"/>
    <s v="428090"/>
    <s v="Business Travel - Combined expenses"/>
    <s v="847.8471130.1.428090.000000.847001.200179"/>
    <n v="70000"/>
    <m/>
    <m/>
    <m/>
    <n v="70000"/>
    <m/>
    <m/>
    <m/>
    <m/>
    <n v="70000"/>
    <m/>
    <x v="1"/>
  </r>
  <r>
    <s v="2 Other Operating Costs"/>
    <x v="11"/>
    <s v="8471130"/>
    <s v="KUST - Research Service"/>
    <s v="435523"/>
    <s v="Scientific"/>
    <s v="847.8471130.1.435523.000000.847001.200179"/>
    <n v="205962"/>
    <n v="14624.51"/>
    <m/>
    <n v="40609.089999999997"/>
    <n v="150728.4"/>
    <m/>
    <m/>
    <m/>
    <m/>
    <n v="150728.4"/>
    <m/>
    <x v="1"/>
  </r>
  <r>
    <s v="2 Other Operating Costs"/>
    <x v="11"/>
    <s v="8471140"/>
    <s v="KUST - University Sponsored Research"/>
    <s v="420570"/>
    <s v="Academic Collaborative Partnership Services"/>
    <s v="847.8471140.1.420570.000000.847001.200179"/>
    <n v="231840"/>
    <n v="59563.01"/>
    <m/>
    <m/>
    <n v="172276.99"/>
    <m/>
    <m/>
    <m/>
    <m/>
    <n v="172276.99"/>
    <m/>
    <x v="1"/>
  </r>
  <r>
    <s v="2 Other Operating Costs"/>
    <x v="11"/>
    <s v="8471140"/>
    <s v="KUST - University Sponsored Research"/>
    <s v="428090"/>
    <s v="Business Travel - Combined expenses"/>
    <s v="847.8471140.1.428090.000000.847001.200179"/>
    <n v="80000"/>
    <n v="2605.5"/>
    <m/>
    <m/>
    <n v="77394.5"/>
    <m/>
    <m/>
    <m/>
    <m/>
    <n v="77394.5"/>
    <m/>
    <x v="1"/>
  </r>
  <r>
    <s v="2 Other Operating Costs"/>
    <x v="11"/>
    <s v="8471140"/>
    <s v="KUST - University Sponsored Research"/>
    <s v="435523"/>
    <s v="Scientific"/>
    <s v="847.8471140.1.435523.000000.847001.200179"/>
    <n v="99885358"/>
    <n v="17829633.859999999"/>
    <n v="1089096.8700000001"/>
    <n v="2803512.85"/>
    <n v="78163114.420000002"/>
    <m/>
    <m/>
    <m/>
    <m/>
    <n v="78163114.420000002"/>
    <m/>
    <x v="1"/>
  </r>
  <r>
    <s v="2 Other Operating Costs"/>
    <x v="11"/>
    <s v="8471150"/>
    <s v="KUST - Technology Management &amp; Innovation"/>
    <s v="420900"/>
    <s v="Legal services"/>
    <s v="847.8471150.1.420900.000000.847001.200179"/>
    <n v="3332844"/>
    <m/>
    <n v="682356.76"/>
    <m/>
    <n v="2650487.2400000002"/>
    <m/>
    <m/>
    <m/>
    <m/>
    <n v="2650487.2400000002"/>
    <m/>
    <x v="1"/>
  </r>
  <r>
    <s v="2 Other Operating Costs"/>
    <x v="11"/>
    <s v="8471150"/>
    <s v="KUST - Technology Management &amp; Innovation"/>
    <s v="425510"/>
    <s v="Conferences, seminars and exhibitions and other events: - Local Events"/>
    <s v="847.8471150.1.425510.000000.847001.200179"/>
    <n v="100002"/>
    <m/>
    <m/>
    <m/>
    <n v="100002"/>
    <m/>
    <m/>
    <m/>
    <m/>
    <n v="100002"/>
    <m/>
    <x v="1"/>
  </r>
  <r>
    <s v="2 Other Operating Costs"/>
    <x v="11"/>
    <s v="8471150"/>
    <s v="KUST - Technology Management &amp; Innovation"/>
    <s v="425550"/>
    <s v="Conferences, seminars and exhibitions and other events: - Overseas event"/>
    <s v="847.8471150.1.425550.000000.847001.200179"/>
    <n v="100002"/>
    <m/>
    <m/>
    <m/>
    <n v="100002"/>
    <m/>
    <m/>
    <m/>
    <m/>
    <n v="100002"/>
    <m/>
    <x v="1"/>
  </r>
  <r>
    <s v="2 Other Operating Costs"/>
    <x v="11"/>
    <s v="8471150"/>
    <s v="KUST - Technology Management &amp; Innovation"/>
    <s v="426610"/>
    <s v="Computer software licenses-Software License Renewal"/>
    <s v="847.8471150.1.426610.000000.847001.200179"/>
    <n v="120000"/>
    <m/>
    <n v="76940.17"/>
    <m/>
    <n v="43059.83"/>
    <m/>
    <m/>
    <m/>
    <m/>
    <n v="43059.83"/>
    <m/>
    <x v="1"/>
  </r>
  <r>
    <s v="2 Other Operating Costs"/>
    <x v="11"/>
    <s v="8471150"/>
    <s v="KUST - Technology Management &amp; Innovation"/>
    <s v="428090"/>
    <s v="Business Travel - Combined expenses"/>
    <s v="847.8471150.1.428090.000000.847001.200179"/>
    <n v="50001"/>
    <m/>
    <m/>
    <m/>
    <n v="50001"/>
    <m/>
    <m/>
    <m/>
    <m/>
    <n v="50001"/>
    <m/>
    <x v="1"/>
  </r>
  <r>
    <s v="2 Other Operating Costs"/>
    <x v="11"/>
    <s v="8471160"/>
    <s v="KUST - Research Laboratories"/>
    <s v="420810"/>
    <s v="IT Systems &amp; Support expenses"/>
    <s v="847.8471160.1.420810.000000.847001.200179"/>
    <n v="0"/>
    <m/>
    <m/>
    <m/>
    <n v="0"/>
    <m/>
    <m/>
    <m/>
    <m/>
    <n v="0"/>
    <m/>
    <x v="1"/>
  </r>
  <r>
    <s v="2 Other Operating Costs"/>
    <x v="11"/>
    <s v="8471160"/>
    <s v="KUST - Research Laboratories"/>
    <s v="420811"/>
    <s v="IT Systems &amp; Support expenses-Application/Systems Operation"/>
    <s v="847.8471160.1.420811.000000.847001.200179"/>
    <n v="588000"/>
    <m/>
    <m/>
    <m/>
    <n v="588000"/>
    <m/>
    <m/>
    <m/>
    <m/>
    <n v="588000"/>
    <m/>
    <x v="1"/>
  </r>
  <r>
    <s v="2 Other Operating Costs"/>
    <x v="11"/>
    <s v="8471160"/>
    <s v="KUST - Research Laboratories"/>
    <s v="426610"/>
    <s v="Computer software licenses-Software License Renewal"/>
    <s v="847.8471160.1.426610.000000.847001.200179"/>
    <n v="161375"/>
    <m/>
    <m/>
    <n v="68000"/>
    <n v="93375"/>
    <m/>
    <m/>
    <m/>
    <m/>
    <n v="93375"/>
    <m/>
    <x v="1"/>
  </r>
  <r>
    <s v="2 Other Operating Costs"/>
    <x v="11"/>
    <s v="8471160"/>
    <s v="KUST - Research Laboratories"/>
    <s v="432209"/>
    <s v="Laboratory equipment"/>
    <s v="847.8471160.1.432209.000000.847001.200179"/>
    <n v="15319303"/>
    <n v="601640.93999999994"/>
    <n v="2974633.52"/>
    <n v="4159072.78"/>
    <n v="7583955.7599999998"/>
    <m/>
    <m/>
    <m/>
    <m/>
    <n v="7583955.7599999998"/>
    <m/>
    <x v="1"/>
  </r>
  <r>
    <s v="2 Other Operating Costs"/>
    <x v="11"/>
    <s v="8471160"/>
    <s v="KUST - Research Laboratories"/>
    <s v="435508"/>
    <s v="Laboratory - Scientific"/>
    <s v="847.8471160.1.435508.000000.847001.200179"/>
    <n v="2753398"/>
    <n v="11784.54"/>
    <n v="7703"/>
    <n v="0"/>
    <n v="2733910.46"/>
    <m/>
    <m/>
    <m/>
    <m/>
    <n v="2733910.46"/>
    <m/>
    <x v="1"/>
  </r>
  <r>
    <s v="2 Other Operating Costs"/>
    <x v="11"/>
    <s v="8471170"/>
    <s v="KUST - Research Computing"/>
    <s v="420810"/>
    <s v="IT Systems &amp; Support expenses"/>
    <s v="847.8471170.1.420810.000000.847001.200179"/>
    <n v="0"/>
    <m/>
    <m/>
    <m/>
    <n v="0"/>
    <m/>
    <m/>
    <m/>
    <m/>
    <n v="0"/>
    <m/>
    <x v="1"/>
  </r>
  <r>
    <s v="2 Other Operating Costs"/>
    <x v="11"/>
    <s v="8471170"/>
    <s v="KUST - Research Computing"/>
    <s v="420811"/>
    <s v="IT Systems &amp; Support expenses-Application/Systems Operation"/>
    <s v="847.8471170.1.420811.000000.847001.200179"/>
    <n v="1709607"/>
    <m/>
    <m/>
    <m/>
    <n v="1709607"/>
    <m/>
    <m/>
    <m/>
    <m/>
    <n v="1709607"/>
    <m/>
    <x v="1"/>
  </r>
  <r>
    <s v="2 Other Operating Costs"/>
    <x v="11"/>
    <s v="8471170"/>
    <s v="KUST - Research Computing"/>
    <s v="425900"/>
    <s v="Entertainment and hospitality"/>
    <s v="847.8471170.1.425900.000000.847001.200179"/>
    <n v="10000"/>
    <m/>
    <m/>
    <m/>
    <n v="10000"/>
    <m/>
    <m/>
    <m/>
    <m/>
    <n v="10000"/>
    <m/>
    <x v="1"/>
  </r>
  <r>
    <s v="2 Other Operating Costs"/>
    <x v="11"/>
    <s v="8471170"/>
    <s v="KUST - Research Computing"/>
    <s v="426610"/>
    <s v="Computer software licenses-Software License Renewal"/>
    <s v="847.8471170.1.426610.000000.847001.200179"/>
    <n v="2618576"/>
    <m/>
    <n v="91089.09"/>
    <n v="0"/>
    <n v="2527486.91"/>
    <m/>
    <m/>
    <m/>
    <m/>
    <n v="2527486.91"/>
    <m/>
    <x v="1"/>
  </r>
  <r>
    <s v="2 Other Operating Costs"/>
    <x v="11"/>
    <s v="8471170"/>
    <s v="KUST - Research Computing"/>
    <s v="428090"/>
    <s v="Business Travel - Combined expenses"/>
    <s v="847.8471170.1.428090.000000.847001.200179"/>
    <n v="45000"/>
    <m/>
    <m/>
    <m/>
    <n v="45000"/>
    <m/>
    <m/>
    <m/>
    <m/>
    <n v="45000"/>
    <m/>
    <x v="1"/>
  </r>
  <r>
    <s v="2 Other Operating Costs"/>
    <x v="12"/>
    <s v="8470220"/>
    <s v="KUST - Office of the Provost"/>
    <s v="420550"/>
    <s v="Academic Advisory Service"/>
    <s v="847.8470220.1.420550.000000.847001.200179"/>
    <n v="60000"/>
    <m/>
    <m/>
    <m/>
    <n v="60000"/>
    <m/>
    <m/>
    <m/>
    <m/>
    <n v="60000"/>
    <m/>
    <x v="1"/>
  </r>
  <r>
    <s v="2 Other Operating Costs"/>
    <x v="12"/>
    <s v="8470220"/>
    <s v="KUST - Office of the Provost"/>
    <s v="420570"/>
    <s v="Academic Collaborative Partnership Services"/>
    <s v="847.8470220.1.420570.000000.847001.200179"/>
    <n v="392387"/>
    <m/>
    <m/>
    <m/>
    <n v="392387"/>
    <m/>
    <m/>
    <m/>
    <m/>
    <n v="392387"/>
    <m/>
    <x v="1"/>
  </r>
  <r>
    <s v="2 Other Operating Costs"/>
    <x v="12"/>
    <s v="8470220"/>
    <s v="KUST - Office of the Provost"/>
    <s v="421700"/>
    <s v="Standards Certification Services (e.g. ISO)"/>
    <s v="847.8470220.1.421700.000000.847001.200179"/>
    <n v="375000"/>
    <m/>
    <m/>
    <m/>
    <n v="375000"/>
    <m/>
    <m/>
    <m/>
    <m/>
    <n v="375000"/>
    <m/>
    <x v="1"/>
  </r>
  <r>
    <s v="2 Other Operating Costs"/>
    <x v="12"/>
    <s v="8470220"/>
    <s v="KUST - Office of the Provost"/>
    <s v="425510"/>
    <s v="Conferences, seminars and exhibitions and other events: - Local Events"/>
    <s v="847.8470220.1.425510.000000.847001.200179"/>
    <n v="10000"/>
    <m/>
    <m/>
    <m/>
    <n v="10000"/>
    <m/>
    <m/>
    <m/>
    <m/>
    <n v="10000"/>
    <m/>
    <x v="1"/>
  </r>
  <r>
    <s v="2 Other Operating Costs"/>
    <x v="12"/>
    <s v="8470220"/>
    <s v="KUST - Office of the Provost"/>
    <s v="425550"/>
    <s v="Conferences, seminars and exhibitions and other events: - Overseas event"/>
    <s v="847.8470220.1.425550.000000.847001.200179"/>
    <n v="25000"/>
    <m/>
    <m/>
    <m/>
    <n v="25000"/>
    <m/>
    <m/>
    <m/>
    <m/>
    <n v="25000"/>
    <m/>
    <x v="1"/>
  </r>
  <r>
    <s v="2 Other Operating Costs"/>
    <x v="12"/>
    <s v="8470220"/>
    <s v="KUST - Office of the Provost"/>
    <s v="425740"/>
    <s v="Scholarships &amp; other financial aid"/>
    <s v="847.8470220.1.425740.000000.847001.200179"/>
    <n v="694710"/>
    <m/>
    <m/>
    <m/>
    <n v="694710"/>
    <m/>
    <m/>
    <m/>
    <m/>
    <n v="694710"/>
    <m/>
    <x v="1"/>
  </r>
  <r>
    <s v="2 Other Operating Costs"/>
    <x v="12"/>
    <s v="8470220"/>
    <s v="KUST - Office of the Provost"/>
    <s v="425900"/>
    <s v="Entertainment and hospitality"/>
    <s v="847.8470220.1.425900.000000.847001.200179"/>
    <n v="12000"/>
    <m/>
    <m/>
    <m/>
    <n v="12000"/>
    <m/>
    <m/>
    <m/>
    <m/>
    <n v="12000"/>
    <m/>
    <x v="1"/>
  </r>
  <r>
    <s v="2 Other Operating Costs"/>
    <x v="12"/>
    <s v="8470220"/>
    <s v="KUST - Office of the Provost"/>
    <s v="426610"/>
    <s v="Computer software licenses-Software License Renewal"/>
    <s v="847.8470220.1.426610.000000.847001.200179"/>
    <n v="50000"/>
    <m/>
    <m/>
    <m/>
    <n v="50000"/>
    <m/>
    <m/>
    <m/>
    <m/>
    <n v="50000"/>
    <m/>
    <x v="1"/>
  </r>
  <r>
    <s v="2 Other Operating Costs"/>
    <x v="12"/>
    <s v="8470220"/>
    <s v="KUST - Office of the Provost"/>
    <s v="428090"/>
    <s v="Business Travel - Combined expenses"/>
    <s v="847.8470220.1.428090.000000.847001.200179"/>
    <n v="165500"/>
    <m/>
    <m/>
    <m/>
    <n v="165500"/>
    <m/>
    <m/>
    <m/>
    <m/>
    <n v="165500"/>
    <m/>
    <x v="1"/>
  </r>
  <r>
    <s v="2 Other Operating Costs"/>
    <x v="12"/>
    <s v="8470220"/>
    <s v="KUST - Office of the Provost"/>
    <s v="428640"/>
    <s v="Events - Awards, prizes &amp; gifts"/>
    <s v="847.8470220.1.428640.000000.847001.200179"/>
    <n v="20000"/>
    <m/>
    <n v="6320"/>
    <m/>
    <n v="13680"/>
    <m/>
    <m/>
    <m/>
    <m/>
    <n v="13680"/>
    <m/>
    <x v="1"/>
  </r>
  <r>
    <s v="2 Other Operating Costs"/>
    <x v="12"/>
    <s v="8470220"/>
    <s v="KUST - Office of the Provost"/>
    <s v="432205"/>
    <s v="Computers and peripherals-End user and Infrastructure components maintenance and support"/>
    <s v="847.8470220.1.432205.000000.847001.200179"/>
    <n v="10000"/>
    <m/>
    <m/>
    <m/>
    <n v="10000"/>
    <m/>
    <m/>
    <m/>
    <m/>
    <n v="10000"/>
    <m/>
    <x v="1"/>
  </r>
</pivotCacheRecords>
</file>

<file path=xl/pivotCache/pivotCacheRecords2.xml><?xml version="1.0" encoding="utf-8"?>
<pivotCacheRecords xmlns="http://schemas.openxmlformats.org/spreadsheetml/2006/main" xmlns:r="http://schemas.openxmlformats.org/officeDocument/2006/relationships" count="48">
  <r>
    <s v="3 Capital Payments"/>
    <x v="0"/>
    <s v="8470810"/>
    <s v="KUST - Ankabut office"/>
    <s v="492310"/>
    <s v="Hardware &amp; peripherals"/>
    <s v="847.8470810.1.492310.000000.847001.300180"/>
    <n v="175000"/>
    <m/>
    <n v="169008"/>
    <m/>
    <n v="5992"/>
    <m/>
    <n v="5992"/>
    <m/>
    <m/>
    <n v="0"/>
    <m/>
    <x v="0"/>
  </r>
  <r>
    <s v="3 Capital Payments"/>
    <x v="0"/>
    <s v="8470810"/>
    <s v="KUST - Ankabut office"/>
    <s v="492352"/>
    <s v="Hardware &amp; peripherals-Network Devices"/>
    <s v="847.8470810.1.492352.000000.847001.300180"/>
    <n v="1735802"/>
    <m/>
    <m/>
    <m/>
    <n v="1735802"/>
    <n v="2016048"/>
    <m/>
    <m/>
    <s v="PR Network switches"/>
    <n v="-280246"/>
    <s v="Transfer from Software Budget AC 495113"/>
    <x v="0"/>
  </r>
  <r>
    <s v="3 Capital Payments"/>
    <x v="0"/>
    <s v="8470810"/>
    <s v="KUST - Ankabut office"/>
    <s v="492354"/>
    <s v="Hardware &amp; peripherals-Peripherals &amp; Infrastructure Components"/>
    <s v="847.8470810.1.492354.000000.847001.300180"/>
    <n v="240000"/>
    <m/>
    <m/>
    <m/>
    <n v="240000"/>
    <n v="321320"/>
    <m/>
    <m/>
    <m/>
    <n v="-81320"/>
    <s v="Transfer from Software Budget AC 495113"/>
    <x v="0"/>
  </r>
  <r>
    <s v="3 Capital Payments"/>
    <x v="0"/>
    <s v="8470810"/>
    <s v="KUST - Ankabut office"/>
    <s v="492356"/>
    <s v="Hardware &amp; peripherals-Conferencing &amp; AV"/>
    <s v="847.8470810.1.492356.000000.847001.300180"/>
    <n v="650000"/>
    <m/>
    <n v="546977"/>
    <m/>
    <n v="103023"/>
    <n v="103023"/>
    <m/>
    <m/>
    <s v="PR AV renovation in progress in Q2"/>
    <n v="0"/>
    <m/>
    <x v="0"/>
  </r>
  <r>
    <s v="3 Capital Payments"/>
    <x v="0"/>
    <s v="8470810"/>
    <s v="KUST - Ankabut office"/>
    <s v="495110"/>
    <s v="Computer software"/>
    <s v="847.8470810.1.495110.000000.847001.300180"/>
    <n v="0"/>
    <m/>
    <m/>
    <m/>
    <n v="0"/>
    <m/>
    <m/>
    <m/>
    <m/>
    <n v="0"/>
    <m/>
    <x v="0"/>
  </r>
  <r>
    <s v="3 Capital Payments"/>
    <x v="0"/>
    <n v="8470810"/>
    <s v="KUST - Ankabut office"/>
    <n v="495113"/>
    <s v="Computer software-Application, Platform"/>
    <s v="847.8470810.1.495113.000000.847001.300180"/>
    <n v="590670"/>
    <m/>
    <m/>
    <m/>
    <n v="590670"/>
    <n v="229104"/>
    <m/>
    <m/>
    <s v="PR Time&amp;Attendance System procssed in Q2"/>
    <n v="361566"/>
    <s v="Transfer 361566 to Hardware Capex budgets"/>
    <x v="0"/>
  </r>
  <r>
    <s v="3 Capital Payments"/>
    <x v="1"/>
    <s v="8470140"/>
    <s v="KUST - Communication"/>
    <s v="492310"/>
    <s v="Hardware &amp; peripherals"/>
    <s v="847.8470140.1.492310.000000.847001.300180"/>
    <n v="137589"/>
    <m/>
    <m/>
    <m/>
    <n v="137589"/>
    <m/>
    <m/>
    <m/>
    <m/>
    <n v="137589"/>
    <m/>
    <x v="1"/>
  </r>
  <r>
    <s v="3 Capital Payments"/>
    <x v="2"/>
    <s v="8471305"/>
    <s v="KUST - Dean Of Medicine"/>
    <s v="492310"/>
    <s v="Hardware &amp; peripherals"/>
    <s v="847.8471305.1.492310.000000.847001.300180"/>
    <n v="638656"/>
    <n v="356960"/>
    <m/>
    <n v="56762"/>
    <n v="224934"/>
    <n v="224934"/>
    <m/>
    <m/>
    <m/>
    <n v="0"/>
    <s v="Funds requested originally were cut by 99% and to mee the requirements the current funds showing were transferred to underpin the academic programs and student needs.  "/>
    <x v="0"/>
  </r>
  <r>
    <s v="3 Capital Payments"/>
    <x v="2"/>
    <s v="8471305"/>
    <s v="KUST - Dean Of Medicine"/>
    <s v="492316"/>
    <s v="Laboratory equipment"/>
    <s v="847.8471305.1.492316.000000.847001.300180"/>
    <n v="17788291"/>
    <n v="69432.100000000006"/>
    <n v="14730897"/>
    <n v="2840160"/>
    <n v="147801.899999999"/>
    <n v="100000"/>
    <n v="47802"/>
    <m/>
    <m/>
    <n v="0"/>
    <s v="Funds requested originally were cut by approximately 30%. The current funding reflected will be totally utilized before Q3.  "/>
    <x v="0"/>
  </r>
  <r>
    <s v="3 Capital Payments"/>
    <x v="2"/>
    <s v="8471305"/>
    <s v="KUST - Dean Of Medicine"/>
    <s v="492610"/>
    <s v="Furniture &amp; Fixtures - Offices"/>
    <s v="847.8471305.1.492610.000000.847001.300180"/>
    <n v="19606"/>
    <m/>
    <m/>
    <m/>
    <n v="19606"/>
    <m/>
    <m/>
    <n v="19606"/>
    <m/>
    <n v="0"/>
    <s v="Funds requested originally were cut by approximately 98% and the reming funds will be utilized before Q3 for phase 2 project completion. "/>
    <x v="0"/>
  </r>
  <r>
    <s v="3 Capital Payments"/>
    <x v="2"/>
    <s v="8471305"/>
    <s v="KUST - Dean Of Medicine"/>
    <s v="495140"/>
    <s v="Copyrights, patents and licenses"/>
    <s v="847.8471305.1.495140.000000.847001.300180"/>
    <n v="0"/>
    <m/>
    <m/>
    <m/>
    <n v="0"/>
    <m/>
    <m/>
    <m/>
    <m/>
    <n v="0"/>
    <m/>
    <x v="0"/>
  </r>
  <r>
    <s v="3 Capital Payments"/>
    <x v="3"/>
    <s v="8470230"/>
    <s v="KUST - Graduate Studies"/>
    <s v="492310"/>
    <s v="Hardware &amp; peripherals"/>
    <s v="847.8470230.1.492310.000000.847001.300180"/>
    <n v="1380709"/>
    <m/>
    <n v="1378620"/>
    <m/>
    <n v="2089"/>
    <m/>
    <m/>
    <m/>
    <s v="Was used to purchase laptops for graduate students."/>
    <n v="2089"/>
    <m/>
    <x v="0"/>
  </r>
  <r>
    <s v="3 Capital Payments"/>
    <x v="3"/>
    <s v="8471280"/>
    <s v="KUST - Center for Teaching &amp; Learning"/>
    <s v="492316"/>
    <s v="Laboratory equipment"/>
    <s v="847.8471280.1.492316.000000.847001.300180"/>
    <n v="6879"/>
    <m/>
    <m/>
    <m/>
    <n v="6879"/>
    <m/>
    <m/>
    <m/>
    <m/>
    <n v="6879"/>
    <m/>
    <x v="0"/>
  </r>
  <r>
    <s v="3 Capital Payments"/>
    <x v="4"/>
    <s v="8470415"/>
    <s v="KUST - Chemistry"/>
    <s v="492316"/>
    <s v="Laboratory equipment"/>
    <s v="847.8470415.1.492316.000000.847001.300180"/>
    <n v="1891417"/>
    <m/>
    <m/>
    <m/>
    <n v="1891417"/>
    <m/>
    <m/>
    <m/>
    <m/>
    <n v="1891417"/>
    <m/>
    <x v="1"/>
  </r>
  <r>
    <s v="3 Capital Payments"/>
    <x v="4"/>
    <s v="8470425"/>
    <s v="KUST - Physics"/>
    <s v="492310"/>
    <s v="Hardware &amp; peripherals"/>
    <s v="847.8470425.1.492310.000000.847001.300180"/>
    <n v="151348"/>
    <m/>
    <m/>
    <m/>
    <n v="151348"/>
    <m/>
    <m/>
    <m/>
    <m/>
    <n v="151348"/>
    <m/>
    <x v="1"/>
  </r>
  <r>
    <s v="3 Capital Payments"/>
    <x v="4"/>
    <s v="8470425"/>
    <s v="KUST - Physics"/>
    <s v="492316"/>
    <s v="Laboratory equipment"/>
    <s v="847.8470425.1.492316.000000.847001.300180"/>
    <n v="1551340"/>
    <n v="242437.3"/>
    <n v="936000"/>
    <n v="0"/>
    <n v="372902.7"/>
    <m/>
    <m/>
    <m/>
    <m/>
    <n v="372902.7"/>
    <m/>
    <x v="1"/>
  </r>
  <r>
    <s v="3 Capital Payments"/>
    <x v="4"/>
    <s v="8470450"/>
    <s v="KUST - Earth Science"/>
    <s v="492310"/>
    <s v="Hardware &amp; peripherals"/>
    <s v="847.8470450.1.492310.000000.847001.300180"/>
    <n v="126346"/>
    <m/>
    <m/>
    <m/>
    <n v="126346"/>
    <m/>
    <m/>
    <m/>
    <m/>
    <n v="126346"/>
    <m/>
    <x v="1"/>
  </r>
  <r>
    <s v="3 Capital Payments"/>
    <x v="4"/>
    <s v="8470450"/>
    <s v="KUST - Earth Science"/>
    <s v="492316"/>
    <s v="Laboratory equipment"/>
    <s v="847.8470450.1.492316.000000.847001.300180"/>
    <n v="146498"/>
    <m/>
    <m/>
    <m/>
    <n v="146498"/>
    <m/>
    <m/>
    <m/>
    <m/>
    <n v="146498"/>
    <m/>
    <x v="1"/>
  </r>
  <r>
    <s v="3 Capital Payments"/>
    <x v="4"/>
    <s v="8470455"/>
    <s v="KUST – Biology"/>
    <s v="492316"/>
    <s v="Laboratory equipment"/>
    <s v="847.8470455.1.492316.000000.847001.300180"/>
    <n v="1754263"/>
    <m/>
    <m/>
    <m/>
    <n v="1754263"/>
    <m/>
    <m/>
    <m/>
    <m/>
    <n v="1754263"/>
    <m/>
    <x v="1"/>
  </r>
  <r>
    <s v="3 Capital Payments"/>
    <x v="5"/>
    <s v="8470310"/>
    <s v="KUST - Aerospace Engineering"/>
    <s v="492316"/>
    <s v="Laboratory equipment"/>
    <s v="847.8470310.1.492316.000000.847001.300180"/>
    <n v="1174460"/>
    <n v="125984.7"/>
    <n v="126500"/>
    <n v="28059"/>
    <n v="893916.3"/>
    <m/>
    <m/>
    <m/>
    <m/>
    <n v="893916.3"/>
    <m/>
    <x v="1"/>
  </r>
  <r>
    <s v="3 Capital Payments"/>
    <x v="5"/>
    <s v="8470315"/>
    <s v="KUST - Biomedical Engineering"/>
    <s v="492316"/>
    <s v="Laboratory equipment"/>
    <s v="847.8470315.1.492316.000000.847001.300180"/>
    <n v="700693"/>
    <m/>
    <n v="660276.91"/>
    <n v="30370"/>
    <n v="10046.0900000001"/>
    <m/>
    <m/>
    <m/>
    <m/>
    <n v="10046.0900000001"/>
    <m/>
    <x v="1"/>
  </r>
  <r>
    <s v="3 Capital Payments"/>
    <x v="5"/>
    <s v="8470320"/>
    <s v="KUST - Chemical Engineering"/>
    <s v="492316"/>
    <s v="Laboratory equipment"/>
    <s v="847.8470320.1.492316.000000.847001.300180"/>
    <n v="1813427"/>
    <m/>
    <m/>
    <m/>
    <n v="1813427"/>
    <m/>
    <m/>
    <m/>
    <m/>
    <n v="1813427"/>
    <m/>
    <x v="1"/>
  </r>
  <r>
    <s v="3 Capital Payments"/>
    <x v="5"/>
    <s v="8470320"/>
    <s v="KUST - Chemical Engineering"/>
    <s v="495140"/>
    <s v="Copyrights, patents and licenses"/>
    <s v="847.8470320.1.495140.000000.847001.300180"/>
    <n v="16097"/>
    <m/>
    <m/>
    <m/>
    <n v="16097"/>
    <m/>
    <m/>
    <m/>
    <m/>
    <n v="16097"/>
    <m/>
    <x v="1"/>
  </r>
  <r>
    <s v="3 Capital Payments"/>
    <x v="5"/>
    <s v="8470325"/>
    <s v="KUST - Civil Engineering"/>
    <s v="492316"/>
    <s v="Laboratory equipment"/>
    <s v="847.8470325.1.492316.000000.847001.300180"/>
    <n v="611783"/>
    <m/>
    <n v="470188"/>
    <n v="22973"/>
    <n v="118622"/>
    <m/>
    <m/>
    <m/>
    <m/>
    <n v="118622"/>
    <m/>
    <x v="1"/>
  </r>
  <r>
    <s v="3 Capital Payments"/>
    <x v="5"/>
    <s v="8470330"/>
    <s v="KUST - Electrical &amp; Computer Engineering"/>
    <s v="492316"/>
    <s v="Laboratory equipment"/>
    <s v="847.8470330.1.492316.000000.847001.300180"/>
    <n v="456796"/>
    <m/>
    <m/>
    <m/>
    <n v="456796"/>
    <m/>
    <m/>
    <m/>
    <m/>
    <n v="456796"/>
    <m/>
    <x v="1"/>
  </r>
  <r>
    <s v="3 Capital Payments"/>
    <x v="5"/>
    <s v="8470335"/>
    <s v="KUST - Industrial &amp; Systems Engineering"/>
    <s v="492316"/>
    <s v="Laboratory equipment"/>
    <s v="847.8470335.1.492316.000000.847001.300180"/>
    <n v="234334"/>
    <m/>
    <n v="11026.05"/>
    <n v="46277"/>
    <n v="177030.95"/>
    <m/>
    <m/>
    <m/>
    <m/>
    <n v="177030.95"/>
    <m/>
    <x v="1"/>
  </r>
  <r>
    <s v="3 Capital Payments"/>
    <x v="5"/>
    <s v="8470340"/>
    <s v="KUST - Mechanical Engineering"/>
    <s v="492316"/>
    <s v="Laboratory equipment"/>
    <s v="847.8470340.1.492316.000000.847001.300180"/>
    <n v="533159"/>
    <m/>
    <n v="533000"/>
    <m/>
    <n v="159"/>
    <m/>
    <m/>
    <m/>
    <m/>
    <n v="159"/>
    <m/>
    <x v="1"/>
  </r>
  <r>
    <s v="3 Capital Payments"/>
    <x v="5"/>
    <s v="8470345"/>
    <s v="KUST - Nuclear Engineering"/>
    <s v="492316"/>
    <s v="Laboratory equipment"/>
    <s v="847.8470345.1.492316.000000.847001.300180"/>
    <n v="551330"/>
    <m/>
    <m/>
    <n v="62000"/>
    <n v="489330"/>
    <m/>
    <m/>
    <m/>
    <m/>
    <n v="489330"/>
    <m/>
    <x v="1"/>
  </r>
  <r>
    <s v="3 Capital Payments"/>
    <x v="5"/>
    <s v="8470350"/>
    <s v="KUST - Petroleum Engineering"/>
    <s v="492316"/>
    <s v="Laboratory equipment"/>
    <s v="847.8470350.1.492316.000000.847001.300180"/>
    <n v="1446520"/>
    <n v="765453.2"/>
    <n v="144662.1"/>
    <m/>
    <n v="536404.69999999995"/>
    <m/>
    <m/>
    <m/>
    <m/>
    <n v="536404.69999999995"/>
    <m/>
    <x v="1"/>
  </r>
  <r>
    <s v="3 Capital Payments"/>
    <x v="6"/>
    <s v="8470520"/>
    <s v="KUST - Environment, Health &amp; Safety"/>
    <s v="492316"/>
    <s v="Laboratory equipment"/>
    <s v="847.8470520.1.492316.000000.847001.300180"/>
    <n v="171987"/>
    <m/>
    <m/>
    <m/>
    <n v="171987"/>
    <m/>
    <m/>
    <m/>
    <m/>
    <n v="171987"/>
    <m/>
    <x v="1"/>
  </r>
  <r>
    <s v="3 Capital Payments"/>
    <x v="6"/>
    <s v="8470530"/>
    <s v="KUST - Facilities Management"/>
    <s v="492200"/>
    <s v="Capital expense - Buildings"/>
    <s v="847.8470530.1.492200.000000.847001.300180"/>
    <n v="2910350"/>
    <m/>
    <m/>
    <m/>
    <n v="2910350"/>
    <m/>
    <m/>
    <m/>
    <m/>
    <n v="2910350"/>
    <m/>
    <x v="1"/>
  </r>
  <r>
    <s v="3 Capital Payments"/>
    <x v="6"/>
    <s v="8470530"/>
    <s v="KUST - Facilities Management"/>
    <s v="492200"/>
    <s v="Capital expense - Buildings"/>
    <s v="847.8470530.1.492200.000000.847010.300180"/>
    <n v="18425319"/>
    <n v="1191090"/>
    <n v="1150000"/>
    <n v="8786435.4000000004"/>
    <n v="7297793.5999999996"/>
    <m/>
    <m/>
    <m/>
    <m/>
    <n v="7297793.5999999996"/>
    <m/>
    <x v="1"/>
  </r>
  <r>
    <s v="3 Capital Payments"/>
    <x v="6"/>
    <s v="8470530"/>
    <s v="KUST - Facilities Management"/>
    <s v="492200"/>
    <s v="Capital expense - Buildings"/>
    <s v="847.8470530.1.492200.000000.847015.300180"/>
    <n v="0"/>
    <m/>
    <m/>
    <m/>
    <n v="0"/>
    <m/>
    <m/>
    <m/>
    <m/>
    <n v="0"/>
    <m/>
    <x v="1"/>
  </r>
  <r>
    <s v="3 Capital Payments"/>
    <x v="6"/>
    <s v="8470530"/>
    <s v="KUST - Facilities Management"/>
    <s v="492200"/>
    <s v="Capital expense - Buildings"/>
    <s v="847.8470530.1.492200.000000.847020.300180"/>
    <n v="23038949"/>
    <n v="741300"/>
    <n v="7477591"/>
    <n v="12931705"/>
    <n v="1888353"/>
    <m/>
    <m/>
    <m/>
    <m/>
    <n v="1888353"/>
    <m/>
    <x v="1"/>
  </r>
  <r>
    <s v="3 Capital Payments"/>
    <x v="6"/>
    <s v="8470530"/>
    <s v="KUST - Facilities Management"/>
    <s v="492610"/>
    <s v="Furniture &amp; Fixtures - Offices"/>
    <s v="847.8470530.1.492610.000000.847010.300180"/>
    <n v="2271162"/>
    <n v="0"/>
    <n v="0"/>
    <n v="53100"/>
    <n v="2218062"/>
    <m/>
    <m/>
    <m/>
    <m/>
    <n v="2218062"/>
    <m/>
    <x v="1"/>
  </r>
  <r>
    <s v="3 Capital Payments"/>
    <x v="6"/>
    <s v="8470530"/>
    <s v="KUST - Facilities Management"/>
    <s v="492610"/>
    <s v="Furniture &amp; Fixtures - Offices"/>
    <s v="847.8470530.1.492610.000000.847015.300180"/>
    <n v="32800"/>
    <n v="31488"/>
    <m/>
    <n v="0"/>
    <n v="1312"/>
    <m/>
    <m/>
    <m/>
    <m/>
    <n v="1312"/>
    <m/>
    <x v="1"/>
  </r>
  <r>
    <s v="3 Capital Payments"/>
    <x v="6"/>
    <s v="8470530"/>
    <s v="KUST - Facilities Management"/>
    <s v="492610"/>
    <s v="Furniture &amp; Fixtures - Offices"/>
    <s v="847.8470530.1.492610.000000.847020.300180"/>
    <n v="1375893"/>
    <m/>
    <m/>
    <m/>
    <n v="1375893"/>
    <m/>
    <m/>
    <m/>
    <m/>
    <n v="1375893"/>
    <m/>
    <x v="1"/>
  </r>
  <r>
    <s v="3 Capital Payments"/>
    <x v="6"/>
    <s v="8470530"/>
    <s v="KUST - Facilities Management"/>
    <s v="495140"/>
    <s v="Copyrights, patents and licenses"/>
    <s v="847.8470530.1.495140.000000.847010.300180"/>
    <n v="30312"/>
    <m/>
    <m/>
    <n v="30302.25"/>
    <n v="9.75"/>
    <m/>
    <m/>
    <m/>
    <m/>
    <n v="9.75"/>
    <m/>
    <x v="1"/>
  </r>
  <r>
    <s v="3 Capital Payments"/>
    <x v="7"/>
    <s v="8470730"/>
    <s v="KUST - Human Resources"/>
    <s v="492610"/>
    <s v="Furniture &amp; Fixtures - Offices"/>
    <s v="847.8470730.1.492610.000000.847001.300180"/>
    <n v="0"/>
    <m/>
    <m/>
    <m/>
    <n v="0"/>
    <m/>
    <m/>
    <m/>
    <m/>
    <n v="0"/>
    <m/>
    <x v="1"/>
  </r>
  <r>
    <s v="3 Capital Payments"/>
    <x v="8"/>
    <s v="8470720"/>
    <s v="KUST - Procurement and Contracts"/>
    <s v="495110"/>
    <s v="Computer software"/>
    <s v="847.8470720.1.495110.000000.847001.300180"/>
    <n v="0"/>
    <m/>
    <m/>
    <m/>
    <n v="0"/>
    <m/>
    <m/>
    <m/>
    <m/>
    <n v="0"/>
    <m/>
    <x v="1"/>
  </r>
  <r>
    <s v="3 Capital Payments"/>
    <x v="8"/>
    <s v="8470720"/>
    <s v="KUST - Procurement and Contracts"/>
    <s v="495113"/>
    <s v="Computer software-Application, Platform"/>
    <s v="847.8470720.1.495113.000000.847001.300180"/>
    <n v="69286"/>
    <m/>
    <m/>
    <m/>
    <n v="69286"/>
    <m/>
    <m/>
    <m/>
    <m/>
    <n v="69286"/>
    <m/>
    <x v="1"/>
  </r>
  <r>
    <s v="3 Capital Payments"/>
    <x v="9"/>
    <s v="8471110"/>
    <s v="KUST - SVP/ Research &amp; Development Office"/>
    <s v="492316"/>
    <s v="Laboratory equipment"/>
    <s v="847.8471110.1.492316.000000.847001.300180"/>
    <n v="2998678"/>
    <m/>
    <m/>
    <n v="2994928.09"/>
    <n v="3749.9100000001499"/>
    <m/>
    <m/>
    <m/>
    <m/>
    <n v="3749.9100000001499"/>
    <m/>
    <x v="1"/>
  </r>
  <r>
    <s v="3 Capital Payments"/>
    <x v="9"/>
    <s v="8471140"/>
    <s v="KUST - University Sponsored Research"/>
    <s v="492316"/>
    <s v="Laboratory equipment"/>
    <s v="847.8471140.1.492316.000000.847001.300180"/>
    <n v="358538"/>
    <n v="255042.5"/>
    <n v="0"/>
    <n v="81037"/>
    <n v="22458.5"/>
    <m/>
    <m/>
    <m/>
    <m/>
    <n v="22458.5"/>
    <m/>
    <x v="1"/>
  </r>
  <r>
    <s v="3 Capital Payments"/>
    <x v="9"/>
    <s v="8471160"/>
    <s v="KUST - Research Laboratories"/>
    <s v="492200"/>
    <s v="Capital expense - Buildings"/>
    <s v="847.8471160.1.492200.000000.847001.300180"/>
    <n v="1304891"/>
    <m/>
    <m/>
    <n v="1304890.5"/>
    <n v="0.5"/>
    <m/>
    <m/>
    <m/>
    <m/>
    <n v="0.5"/>
    <m/>
    <x v="1"/>
  </r>
  <r>
    <s v="3 Capital Payments"/>
    <x v="9"/>
    <s v="8471160"/>
    <s v="KUST - Research Laboratories"/>
    <s v="492316"/>
    <s v="Laboratory equipment"/>
    <s v="847.8471160.1.492316.000000.847001.300180"/>
    <n v="15928069"/>
    <n v="1528851.5"/>
    <m/>
    <n v="576800"/>
    <n v="13822417.5"/>
    <m/>
    <m/>
    <m/>
    <m/>
    <n v="13822417.5"/>
    <m/>
    <x v="1"/>
  </r>
  <r>
    <s v="3 Capital Payments"/>
    <x v="9"/>
    <s v="8471170"/>
    <s v="KUST - Research Computing"/>
    <s v="492316"/>
    <s v="Laboratory equipment"/>
    <s v="847.8471170.1.492316.000000.847001.300180"/>
    <n v="3308433"/>
    <m/>
    <m/>
    <m/>
    <n v="3308433"/>
    <m/>
    <m/>
    <m/>
    <m/>
    <n v="3308433"/>
    <m/>
    <x v="1"/>
  </r>
  <r>
    <s v="3 Capital Payments"/>
    <x v="9"/>
    <s v="8471170"/>
    <s v="KUST - Research Computing"/>
    <s v="495110"/>
    <s v="Computer software"/>
    <s v="847.8471170.1.495110.000000.847001.300180"/>
    <n v="0"/>
    <n v="0"/>
    <m/>
    <n v="0"/>
    <n v="0"/>
    <m/>
    <m/>
    <m/>
    <m/>
    <n v="0"/>
    <m/>
    <x v="1"/>
  </r>
  <r>
    <s v="3 Capital Payments"/>
    <x v="9"/>
    <s v="8471170"/>
    <s v="KUST - Research Computing"/>
    <s v="495113"/>
    <s v="Computer software-Application, Platform"/>
    <s v="847.8471170.1.495113.000000.847001.300180"/>
    <n v="277018"/>
    <n v="138508.82999999999"/>
    <m/>
    <m/>
    <n v="138509.17000000001"/>
    <m/>
    <m/>
    <m/>
    <m/>
    <n v="138509.17000000001"/>
    <m/>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J10" firstHeaderRow="0" firstDataRow="1" firstDataCol="1" rowPageCount="1" colPageCount="1"/>
  <pivotFields count="19">
    <pivotField showAll="0"/>
    <pivotField axis="axisRow" showAll="0" defaultSubtotal="0">
      <items count="14">
        <item x="3"/>
        <item x="8"/>
        <item x="6"/>
        <item x="7"/>
        <item x="2"/>
        <item x="4"/>
        <item x="5"/>
        <item m="1" x="13"/>
        <item x="0"/>
        <item x="1"/>
        <item x="12"/>
        <item x="11"/>
        <item x="9"/>
        <item x="10"/>
      </items>
    </pivotField>
    <pivotField showAll="0"/>
    <pivotField showAll="0"/>
    <pivotField showAll="0"/>
    <pivotField showAll="0"/>
    <pivotField showAll="0"/>
    <pivotField dataField="1" showAll="0"/>
    <pivotField dataField="1" showAll="0"/>
    <pivotField dataField="1" showAll="0"/>
    <pivotField dataField="1" showAll="0"/>
    <pivotField dataField="1" showAll="0"/>
    <pivotField dataField="1" showAll="0"/>
    <pivotField dataField="1" showAll="0"/>
    <pivotField dataField="1" showAll="0"/>
    <pivotField showAll="0"/>
    <pivotField dataField="1" numFmtId="3" showAll="0"/>
    <pivotField showAll="0"/>
    <pivotField axis="axisPage" multipleItemSelectionAllowed="1" showAll="0">
      <items count="3">
        <item h="1" x="1"/>
        <item x="0"/>
        <item t="default"/>
      </items>
    </pivotField>
  </pivotFields>
  <rowFields count="1">
    <field x="1"/>
  </rowFields>
  <rowItems count="7">
    <i>
      <x/>
    </i>
    <i>
      <x v="4"/>
    </i>
    <i>
      <x v="5"/>
    </i>
    <i>
      <x v="6"/>
    </i>
    <i>
      <x v="8"/>
    </i>
    <i>
      <x v="9"/>
    </i>
    <i t="grand">
      <x/>
    </i>
  </rowItems>
  <colFields count="1">
    <field x="-2"/>
  </colFields>
  <colItems count="9">
    <i>
      <x/>
    </i>
    <i i="1">
      <x v="1"/>
    </i>
    <i i="2">
      <x v="2"/>
    </i>
    <i i="3">
      <x v="3"/>
    </i>
    <i i="4">
      <x v="4"/>
    </i>
    <i i="5">
      <x v="5"/>
    </i>
    <i i="6">
      <x v="6"/>
    </i>
    <i i="7">
      <x v="7"/>
    </i>
    <i i="8">
      <x v="8"/>
    </i>
  </colItems>
  <pageFields count="1">
    <pageField fld="18" hier="-1"/>
  </pageFields>
  <dataFields count="9">
    <dataField name=" Expected Budget Surplus Amount" fld="16" baseField="1" baseItem="5" numFmtId="3"/>
    <dataField name=" Budget" fld="7" baseField="1" baseItem="5" numFmtId="3"/>
    <dataField name=" Actual Amount" fld="8" baseField="1" baseItem="5" numFmtId="3"/>
    <dataField name=" PR" fld="9" baseField="1" baseItem="5" numFmtId="3"/>
    <dataField name=" PO" fld="10" baseField="1" baseItem="5" numFmtId="3"/>
    <dataField name=" Quarter 2 Utilization Plan" fld="12" baseField="1" baseItem="5" numFmtId="3"/>
    <dataField name=" Quarter 3 Utilization Plan" fld="13" baseField="1" baseItem="5" numFmtId="3"/>
    <dataField name=" Quarter 4 Utilization Plan" fld="14" baseField="1" baseItem="5" numFmtId="3"/>
    <dataField name=" Fund Available" fld="11" baseField="1" baseItem="8"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PivotTable4"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19:J28" firstHeaderRow="0" firstDataRow="1" firstDataCol="1" rowPageCount="1" colPageCount="1"/>
  <pivotFields count="19">
    <pivotField showAll="0"/>
    <pivotField axis="axisRow" showAll="0" defaultSubtotal="0">
      <items count="14">
        <item x="3"/>
        <item x="8"/>
        <item x="6"/>
        <item x="7"/>
        <item x="2"/>
        <item x="4"/>
        <item x="5"/>
        <item m="1" x="13"/>
        <item x="0"/>
        <item x="1"/>
        <item x="12"/>
        <item x="11"/>
        <item x="9"/>
        <item x="10"/>
      </items>
    </pivotField>
    <pivotField showAll="0"/>
    <pivotField showAll="0"/>
    <pivotField showAll="0"/>
    <pivotField showAll="0"/>
    <pivotField showAll="0"/>
    <pivotField dataField="1" showAll="0"/>
    <pivotField dataField="1" showAll="0"/>
    <pivotField dataField="1" showAll="0"/>
    <pivotField dataField="1" showAll="0"/>
    <pivotField dataField="1" showAll="0"/>
    <pivotField dataField="1" showAll="0"/>
    <pivotField dataField="1" showAll="0"/>
    <pivotField dataField="1" showAll="0"/>
    <pivotField showAll="0"/>
    <pivotField dataField="1" numFmtId="3" showAll="0"/>
    <pivotField showAll="0"/>
    <pivotField axis="axisPage" multipleItemSelectionAllowed="1" showAll="0">
      <items count="3">
        <item x="1"/>
        <item h="1" x="0"/>
        <item t="default"/>
      </items>
    </pivotField>
  </pivotFields>
  <rowFields count="1">
    <field x="1"/>
  </rowFields>
  <rowItems count="9">
    <i>
      <x v="1"/>
    </i>
    <i>
      <x v="2"/>
    </i>
    <i>
      <x v="3"/>
    </i>
    <i>
      <x v="9"/>
    </i>
    <i>
      <x v="10"/>
    </i>
    <i>
      <x v="11"/>
    </i>
    <i>
      <x v="12"/>
    </i>
    <i>
      <x v="13"/>
    </i>
    <i t="grand">
      <x/>
    </i>
  </rowItems>
  <colFields count="1">
    <field x="-2"/>
  </colFields>
  <colItems count="9">
    <i>
      <x/>
    </i>
    <i i="1">
      <x v="1"/>
    </i>
    <i i="2">
      <x v="2"/>
    </i>
    <i i="3">
      <x v="3"/>
    </i>
    <i i="4">
      <x v="4"/>
    </i>
    <i i="5">
      <x v="5"/>
    </i>
    <i i="6">
      <x v="6"/>
    </i>
    <i i="7">
      <x v="7"/>
    </i>
    <i i="8">
      <x v="8"/>
    </i>
  </colItems>
  <pageFields count="1">
    <pageField fld="18" hier="-1"/>
  </pageFields>
  <dataFields count="9">
    <dataField name=" Expected Budget Surplus Amount" fld="16" baseField="1" baseItem="10" numFmtId="3"/>
    <dataField name=" Budget" fld="7" baseField="1" baseItem="10" numFmtId="3"/>
    <dataField name=" Actual Amount" fld="8" baseField="1" baseItem="10" numFmtId="3"/>
    <dataField name=" PR" fld="9" baseField="1" baseItem="10" numFmtId="3"/>
    <dataField name=" PO" fld="10" baseField="1" baseItem="10" numFmtId="3"/>
    <dataField name=" Quarter 2 Utilization Plan" fld="12" baseField="0" baseItem="0"/>
    <dataField name=" Quarter 3 Utilization Plan" fld="13" baseField="0" baseItem="0"/>
    <dataField name=" Quarter 4 Utilization Plan" fld="14" baseField="0" baseItem="0"/>
    <dataField name=" Fund Available" fld="11" baseField="1" baseItem="1"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PivotTable3"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16:J24" firstHeaderRow="0" firstDataRow="1" firstDataCol="1" rowPageCount="1" colPageCount="1"/>
  <pivotFields count="19">
    <pivotField showAll="0"/>
    <pivotField axis="axisRow" showAll="0">
      <items count="12">
        <item x="3"/>
        <item x="6"/>
        <item x="5"/>
        <item x="2"/>
        <item m="1" x="10"/>
        <item x="0"/>
        <item x="1"/>
        <item x="9"/>
        <item x="4"/>
        <item x="7"/>
        <item x="8"/>
        <item t="default"/>
      </items>
    </pivotField>
    <pivotField showAll="0"/>
    <pivotField showAll="0"/>
    <pivotField showAll="0"/>
    <pivotField showAll="0"/>
    <pivotField showAll="0"/>
    <pivotField dataField="1" showAll="0"/>
    <pivotField dataField="1" showAll="0"/>
    <pivotField dataField="1" showAll="0"/>
    <pivotField dataField="1" showAll="0"/>
    <pivotField dataField="1" showAll="0"/>
    <pivotField dataField="1" showAll="0"/>
    <pivotField dataField="1" showAll="0"/>
    <pivotField dataField="1" showAll="0"/>
    <pivotField showAll="0"/>
    <pivotField dataField="1" showAll="0"/>
    <pivotField showAll="0"/>
    <pivotField axis="axisPage" multipleItemSelectionAllowed="1" showAll="0">
      <items count="4">
        <item x="1"/>
        <item h="1" x="0"/>
        <item h="1" m="1" x="2"/>
        <item t="default"/>
      </items>
    </pivotField>
  </pivotFields>
  <rowFields count="1">
    <field x="1"/>
  </rowFields>
  <rowItems count="8">
    <i>
      <x v="1"/>
    </i>
    <i>
      <x v="2"/>
    </i>
    <i>
      <x v="6"/>
    </i>
    <i>
      <x v="7"/>
    </i>
    <i>
      <x v="8"/>
    </i>
    <i>
      <x v="9"/>
    </i>
    <i>
      <x v="10"/>
    </i>
    <i t="grand">
      <x/>
    </i>
  </rowItems>
  <colFields count="1">
    <field x="-2"/>
  </colFields>
  <colItems count="9">
    <i>
      <x/>
    </i>
    <i i="1">
      <x v="1"/>
    </i>
    <i i="2">
      <x v="2"/>
    </i>
    <i i="3">
      <x v="3"/>
    </i>
    <i i="4">
      <x v="4"/>
    </i>
    <i i="5">
      <x v="5"/>
    </i>
    <i i="6">
      <x v="6"/>
    </i>
    <i i="7">
      <x v="7"/>
    </i>
    <i i="8">
      <x v="8"/>
    </i>
  </colItems>
  <pageFields count="1">
    <pageField fld="18" hier="-1"/>
  </pageFields>
  <dataFields count="9">
    <dataField name=" Expected Budget Surplus Amount" fld="16" baseField="1" baseItem="6" numFmtId="3"/>
    <dataField name=" Budget" fld="7" baseField="1" baseItem="6" numFmtId="3"/>
    <dataField name=" Actual Amount" fld="8" baseField="1" baseItem="6" numFmtId="3"/>
    <dataField name=" PR" fld="9" baseField="1" baseItem="6" numFmtId="3"/>
    <dataField name=" PO" fld="10" baseField="1" baseItem="6" numFmtId="3"/>
    <dataField name=" Quarter 2 Utilization Plan" fld="12" baseField="0" baseItem="0"/>
    <dataField name=" Quarter 3 Utilization Plan" fld="13" baseField="0" baseItem="0"/>
    <dataField name=" Quarter 4 Utilization Plan" fld="14" baseField="0" baseItem="0"/>
    <dataField name=" Fund Available" fld="11" baseField="1" baseItem="6"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2"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J7" firstHeaderRow="0" firstDataRow="1" firstDataCol="1" rowPageCount="1" colPageCount="1"/>
  <pivotFields count="19">
    <pivotField showAll="0"/>
    <pivotField axis="axisRow" showAll="0">
      <items count="12">
        <item x="3"/>
        <item x="6"/>
        <item x="5"/>
        <item x="2"/>
        <item m="1" x="10"/>
        <item x="0"/>
        <item x="1"/>
        <item x="9"/>
        <item x="4"/>
        <item x="7"/>
        <item x="8"/>
        <item t="default"/>
      </items>
    </pivotField>
    <pivotField showAll="0"/>
    <pivotField showAll="0"/>
    <pivotField showAll="0"/>
    <pivotField showAll="0"/>
    <pivotField showAll="0"/>
    <pivotField dataField="1" showAll="0"/>
    <pivotField dataField="1" showAll="0"/>
    <pivotField dataField="1" showAll="0"/>
    <pivotField dataField="1" showAll="0"/>
    <pivotField dataField="1" showAll="0"/>
    <pivotField dataField="1" showAll="0"/>
    <pivotField dataField="1" showAll="0"/>
    <pivotField dataField="1" showAll="0"/>
    <pivotField showAll="0"/>
    <pivotField dataField="1" showAll="0"/>
    <pivotField showAll="0"/>
    <pivotField axis="axisPage" multipleItemSelectionAllowed="1" showAll="0">
      <items count="4">
        <item h="1" x="1"/>
        <item x="0"/>
        <item h="1" m="1" x="2"/>
        <item t="default"/>
      </items>
    </pivotField>
  </pivotFields>
  <rowFields count="1">
    <field x="1"/>
  </rowFields>
  <rowItems count="4">
    <i>
      <x/>
    </i>
    <i>
      <x v="3"/>
    </i>
    <i>
      <x v="5"/>
    </i>
    <i t="grand">
      <x/>
    </i>
  </rowItems>
  <colFields count="1">
    <field x="-2"/>
  </colFields>
  <colItems count="9">
    <i>
      <x/>
    </i>
    <i i="1">
      <x v="1"/>
    </i>
    <i i="2">
      <x v="2"/>
    </i>
    <i i="3">
      <x v="3"/>
    </i>
    <i i="4">
      <x v="4"/>
    </i>
    <i i="5">
      <x v="5"/>
    </i>
    <i i="6">
      <x v="6"/>
    </i>
    <i i="7">
      <x v="7"/>
    </i>
    <i i="8">
      <x v="8"/>
    </i>
  </colItems>
  <pageFields count="1">
    <pageField fld="18" hier="-1"/>
  </pageFields>
  <dataFields count="9">
    <dataField name=" Expected Budget Surplus Amount" fld="16" baseField="1" baseItem="3" numFmtId="3"/>
    <dataField name=" Budget" fld="7" baseField="1" baseItem="3" numFmtId="3"/>
    <dataField name=" Actual Amount" fld="8" baseField="1" baseItem="3" numFmtId="3"/>
    <dataField name=" PR" fld="9" baseField="1" baseItem="3" numFmtId="3"/>
    <dataField name=" PO" fld="10" baseField="1" baseItem="3" numFmtId="3"/>
    <dataField name=" Quarter 2 Utilization Plan" fld="12" baseField="1" baseItem="3" numFmtId="3"/>
    <dataField name=" Quarter 3 Utilization Plan" fld="13" baseField="1" baseItem="3" numFmtId="3"/>
    <dataField name=" Quarter 4 Utilization Plan" fld="14" baseField="1" baseItem="3" numFmtId="3"/>
    <dataField name=" Fund Available" fld="11" baseField="1" baseItem="3"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8"/>
  <sheetViews>
    <sheetView workbookViewId="0">
      <selection activeCell="A34" sqref="A34"/>
    </sheetView>
  </sheetViews>
  <sheetFormatPr defaultRowHeight="14.5" x14ac:dyDescent="0.35"/>
  <cols>
    <col min="1" max="1" width="37.26953125" customWidth="1"/>
    <col min="2" max="2" width="31.54296875" style="188" customWidth="1"/>
    <col min="3" max="3" width="11.1796875" style="188" customWidth="1"/>
    <col min="4" max="4" width="14.7265625" style="188" customWidth="1"/>
    <col min="5" max="5" width="10.1796875" style="188" bestFit="1" customWidth="1"/>
    <col min="6" max="6" width="10.1796875" style="188" customWidth="1"/>
    <col min="7" max="8" width="24.1796875" style="188" customWidth="1"/>
    <col min="9" max="9" width="24.1796875" style="188" bestFit="1" customWidth="1"/>
    <col min="10" max="10" width="14.7265625" style="188" hidden="1" customWidth="1"/>
  </cols>
  <sheetData>
    <row r="1" spans="1:10" x14ac:dyDescent="0.35">
      <c r="A1" s="185" t="s">
        <v>137</v>
      </c>
      <c r="B1" t="s">
        <v>92</v>
      </c>
    </row>
    <row r="3" spans="1:10" x14ac:dyDescent="0.35">
      <c r="A3" s="185" t="s">
        <v>972</v>
      </c>
      <c r="B3" t="s">
        <v>973</v>
      </c>
      <c r="C3" t="s">
        <v>974</v>
      </c>
      <c r="D3" t="s">
        <v>988</v>
      </c>
      <c r="E3" t="s">
        <v>990</v>
      </c>
      <c r="F3" t="s">
        <v>991</v>
      </c>
      <c r="G3" t="s">
        <v>993</v>
      </c>
      <c r="H3" t="s">
        <v>992</v>
      </c>
      <c r="I3" t="s">
        <v>996</v>
      </c>
      <c r="J3" t="s">
        <v>989</v>
      </c>
    </row>
    <row r="4" spans="1:10" x14ac:dyDescent="0.35">
      <c r="A4" s="186" t="s">
        <v>984</v>
      </c>
      <c r="B4" s="192">
        <v>-939005.60999999894</v>
      </c>
      <c r="C4" s="192">
        <v>243450134</v>
      </c>
      <c r="D4" s="192">
        <v>53183445.589999996</v>
      </c>
      <c r="E4" s="192">
        <v>9418381.8399999999</v>
      </c>
      <c r="F4" s="192">
        <v>3570344.1799999997</v>
      </c>
      <c r="G4" s="192">
        <v>55445354.329999998</v>
      </c>
      <c r="H4" s="192">
        <v>49858042.360000007</v>
      </c>
      <c r="I4" s="192">
        <v>72913571</v>
      </c>
      <c r="J4" s="192">
        <v>177277962.38999999</v>
      </c>
    </row>
    <row r="5" spans="1:10" x14ac:dyDescent="0.35">
      <c r="A5" s="186" t="s">
        <v>985</v>
      </c>
      <c r="B5" s="192">
        <v>0.6800000002986053</v>
      </c>
      <c r="C5" s="192">
        <v>58138710</v>
      </c>
      <c r="D5" s="192">
        <v>5094021.7699999996</v>
      </c>
      <c r="E5" s="192">
        <v>468475</v>
      </c>
      <c r="F5" s="192">
        <v>123686.01</v>
      </c>
      <c r="G5" s="192">
        <v>15805090</v>
      </c>
      <c r="H5" s="192">
        <v>15801437</v>
      </c>
      <c r="I5" s="192">
        <v>20845999.539999999</v>
      </c>
      <c r="J5" s="192">
        <v>52452527.219999999</v>
      </c>
    </row>
    <row r="6" spans="1:10" x14ac:dyDescent="0.35">
      <c r="A6" s="186" t="s">
        <v>982</v>
      </c>
      <c r="B6" s="192">
        <v>338620</v>
      </c>
      <c r="C6" s="192">
        <v>502370</v>
      </c>
      <c r="D6" s="192"/>
      <c r="E6" s="192"/>
      <c r="F6" s="192"/>
      <c r="G6" s="192"/>
      <c r="H6" s="192">
        <v>163750</v>
      </c>
      <c r="I6" s="192"/>
      <c r="J6" s="192">
        <v>502370</v>
      </c>
    </row>
    <row r="7" spans="1:10" x14ac:dyDescent="0.35">
      <c r="A7" s="186" t="s">
        <v>981</v>
      </c>
      <c r="B7" s="192">
        <v>15460</v>
      </c>
      <c r="C7" s="192">
        <v>870040</v>
      </c>
      <c r="D7" s="192">
        <v>128262.26999999999</v>
      </c>
      <c r="E7" s="192">
        <v>0</v>
      </c>
      <c r="F7" s="192">
        <v>416100</v>
      </c>
      <c r="G7" s="192">
        <v>205629.24333333335</v>
      </c>
      <c r="H7" s="192">
        <v>85809.243333333332</v>
      </c>
      <c r="I7" s="192">
        <v>18779.243333333336</v>
      </c>
      <c r="J7" s="192">
        <v>325677.73</v>
      </c>
    </row>
    <row r="8" spans="1:10" x14ac:dyDescent="0.35">
      <c r="A8" s="186" t="s">
        <v>976</v>
      </c>
      <c r="B8" s="192">
        <v>-1966313.4399999995</v>
      </c>
      <c r="C8" s="192">
        <v>24715401</v>
      </c>
      <c r="D8" s="192">
        <v>1483370.69</v>
      </c>
      <c r="E8" s="192">
        <v>4026527.4699999997</v>
      </c>
      <c r="F8" s="192">
        <v>1505492.2799999998</v>
      </c>
      <c r="G8" s="192">
        <v>17591992</v>
      </c>
      <c r="H8" s="192">
        <v>1142100</v>
      </c>
      <c r="I8" s="192">
        <v>932232</v>
      </c>
      <c r="J8" s="192">
        <v>17700010.559999999</v>
      </c>
    </row>
    <row r="9" spans="1:10" x14ac:dyDescent="0.35">
      <c r="A9" s="186" t="s">
        <v>977</v>
      </c>
      <c r="B9" s="192">
        <v>3531.6700000000419</v>
      </c>
      <c r="C9" s="192">
        <v>13846627</v>
      </c>
      <c r="D9" s="192">
        <v>565432.23</v>
      </c>
      <c r="E9" s="192">
        <v>2091652.5</v>
      </c>
      <c r="F9" s="192">
        <v>474172.6</v>
      </c>
      <c r="G9" s="192">
        <v>6057850</v>
      </c>
      <c r="H9" s="192">
        <v>2045000</v>
      </c>
      <c r="I9" s="192">
        <v>2608988</v>
      </c>
      <c r="J9" s="192">
        <v>10715369.67</v>
      </c>
    </row>
    <row r="10" spans="1:10" x14ac:dyDescent="0.35">
      <c r="A10" s="186" t="s">
        <v>71</v>
      </c>
      <c r="B10" s="192">
        <v>-2547706.6999999983</v>
      </c>
      <c r="C10" s="192">
        <v>341523282</v>
      </c>
      <c r="D10" s="192">
        <v>60454532.549999997</v>
      </c>
      <c r="E10" s="192">
        <v>16005036.809999999</v>
      </c>
      <c r="F10" s="192">
        <v>6089795.0699999984</v>
      </c>
      <c r="G10" s="192">
        <v>95105915.573333338</v>
      </c>
      <c r="H10" s="192">
        <v>69096138.603333339</v>
      </c>
      <c r="I10" s="192">
        <v>97319569.783333331</v>
      </c>
      <c r="J10" s="192">
        <v>258973917.56999996</v>
      </c>
    </row>
    <row r="17" spans="1:10" x14ac:dyDescent="0.35">
      <c r="A17" s="185" t="s">
        <v>137</v>
      </c>
      <c r="B17" t="s">
        <v>139</v>
      </c>
    </row>
    <row r="19" spans="1:10" x14ac:dyDescent="0.35">
      <c r="A19" s="185" t="s">
        <v>972</v>
      </c>
      <c r="B19" t="s">
        <v>973</v>
      </c>
      <c r="C19" t="s">
        <v>974</v>
      </c>
      <c r="D19" t="s">
        <v>988</v>
      </c>
      <c r="E19" t="s">
        <v>990</v>
      </c>
      <c r="F19" t="s">
        <v>991</v>
      </c>
      <c r="G19" t="s">
        <v>993</v>
      </c>
      <c r="H19" t="s">
        <v>992</v>
      </c>
      <c r="I19" t="s">
        <v>996</v>
      </c>
      <c r="J19" t="s">
        <v>989</v>
      </c>
    </row>
    <row r="20" spans="1:10" x14ac:dyDescent="0.35">
      <c r="A20" s="186" t="s">
        <v>980</v>
      </c>
      <c r="B20" s="192">
        <v>33185485.130000003</v>
      </c>
      <c r="C20" s="192">
        <v>67417881</v>
      </c>
      <c r="D20" s="192">
        <v>1599059.99</v>
      </c>
      <c r="E20" s="192">
        <v>3484108.0500000003</v>
      </c>
      <c r="F20" s="192">
        <v>29149227.829999998</v>
      </c>
      <c r="G20" s="187"/>
      <c r="H20" s="187"/>
      <c r="I20" s="187"/>
      <c r="J20" s="192">
        <v>33185485.130000003</v>
      </c>
    </row>
    <row r="21" spans="1:10" x14ac:dyDescent="0.35">
      <c r="A21" s="186" t="s">
        <v>979</v>
      </c>
      <c r="B21" s="192">
        <v>11810618.82</v>
      </c>
      <c r="C21" s="192">
        <v>12241156</v>
      </c>
      <c r="D21" s="192">
        <v>274978.96000000002</v>
      </c>
      <c r="E21" s="192">
        <v>48727.5</v>
      </c>
      <c r="F21" s="192">
        <v>106830.72</v>
      </c>
      <c r="G21" s="187"/>
      <c r="H21" s="187"/>
      <c r="I21" s="187"/>
      <c r="J21" s="192">
        <v>11810618.82</v>
      </c>
    </row>
    <row r="22" spans="1:10" x14ac:dyDescent="0.35">
      <c r="A22" s="186" t="s">
        <v>978</v>
      </c>
      <c r="B22" s="192">
        <v>11574999.310000001</v>
      </c>
      <c r="C22" s="192">
        <v>13353579</v>
      </c>
      <c r="D22" s="192">
        <v>995250.57</v>
      </c>
      <c r="E22" s="192">
        <v>383848.95999999996</v>
      </c>
      <c r="F22" s="192">
        <v>399480.16</v>
      </c>
      <c r="G22" s="187"/>
      <c r="H22" s="187"/>
      <c r="I22" s="187"/>
      <c r="J22" s="192">
        <v>11574999.310000001</v>
      </c>
    </row>
    <row r="23" spans="1:10" x14ac:dyDescent="0.35">
      <c r="A23" s="186" t="s">
        <v>977</v>
      </c>
      <c r="B23" s="192">
        <v>7869509</v>
      </c>
      <c r="C23" s="192">
        <v>7875009</v>
      </c>
      <c r="D23" s="192">
        <v>5500</v>
      </c>
      <c r="E23" s="192"/>
      <c r="F23" s="192"/>
      <c r="G23" s="187"/>
      <c r="H23" s="187"/>
      <c r="I23" s="187"/>
      <c r="J23" s="192">
        <v>7869509</v>
      </c>
    </row>
    <row r="24" spans="1:10" x14ac:dyDescent="0.35">
      <c r="A24" s="186" t="s">
        <v>987</v>
      </c>
      <c r="B24" s="192">
        <v>1808277</v>
      </c>
      <c r="C24" s="192">
        <v>1814597</v>
      </c>
      <c r="D24" s="192"/>
      <c r="E24" s="192">
        <v>6320</v>
      </c>
      <c r="F24" s="192"/>
      <c r="G24" s="187"/>
      <c r="H24" s="187"/>
      <c r="I24" s="187"/>
      <c r="J24" s="192">
        <v>1808277</v>
      </c>
    </row>
    <row r="25" spans="1:10" x14ac:dyDescent="0.35">
      <c r="A25" s="186" t="s">
        <v>983</v>
      </c>
      <c r="B25" s="192">
        <v>98998770.329999998</v>
      </c>
      <c r="C25" s="192">
        <v>129843909</v>
      </c>
      <c r="D25" s="192">
        <v>18519852.360000003</v>
      </c>
      <c r="E25" s="192">
        <v>5254091.59</v>
      </c>
      <c r="F25" s="192">
        <v>7071194.7199999988</v>
      </c>
      <c r="G25" s="187"/>
      <c r="H25" s="187"/>
      <c r="I25" s="187"/>
      <c r="J25" s="192">
        <v>98998770.329999998</v>
      </c>
    </row>
    <row r="26" spans="1:10" x14ac:dyDescent="0.35">
      <c r="A26" s="186" t="s">
        <v>994</v>
      </c>
      <c r="B26" s="192">
        <v>1502740</v>
      </c>
      <c r="C26" s="192">
        <v>1510000</v>
      </c>
      <c r="D26" s="192">
        <v>7260</v>
      </c>
      <c r="E26" s="192">
        <v>0</v>
      </c>
      <c r="F26" s="192"/>
      <c r="G26" s="187"/>
      <c r="H26" s="187"/>
      <c r="I26" s="187"/>
      <c r="J26" s="192">
        <v>1502740</v>
      </c>
    </row>
    <row r="27" spans="1:10" x14ac:dyDescent="0.35">
      <c r="A27" s="186" t="s">
        <v>995</v>
      </c>
      <c r="B27" s="192">
        <v>482171.79</v>
      </c>
      <c r="C27" s="192">
        <v>832710</v>
      </c>
      <c r="D27" s="192">
        <v>298441.21000000002</v>
      </c>
      <c r="E27" s="192">
        <v>48421</v>
      </c>
      <c r="F27" s="192">
        <v>3675.9999999999854</v>
      </c>
      <c r="G27" s="187"/>
      <c r="H27" s="187"/>
      <c r="I27" s="187"/>
      <c r="J27" s="192">
        <v>482171.79</v>
      </c>
    </row>
    <row r="28" spans="1:10" x14ac:dyDescent="0.35">
      <c r="A28" s="186" t="s">
        <v>71</v>
      </c>
      <c r="B28" s="192">
        <v>167232571.38</v>
      </c>
      <c r="C28" s="192">
        <v>234888841</v>
      </c>
      <c r="D28" s="192">
        <v>21700343.090000004</v>
      </c>
      <c r="E28" s="192">
        <v>9225517.0999999996</v>
      </c>
      <c r="F28" s="192">
        <v>36730409.429999992</v>
      </c>
      <c r="G28" s="187"/>
      <c r="H28" s="187"/>
      <c r="I28" s="187"/>
      <c r="J28" s="192">
        <v>167232571.38</v>
      </c>
    </row>
  </sheetData>
  <pageMargins left="0.7" right="0.7" top="0.75" bottom="0.75" header="0.3" footer="0.3"/>
  <pageSetup orientation="portrait" horizontalDpi="1200" verticalDpi="1200"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79998168889431442"/>
  </sheetPr>
  <dimension ref="A1:J24"/>
  <sheetViews>
    <sheetView workbookViewId="0">
      <selection activeCell="G30" sqref="G30"/>
    </sheetView>
  </sheetViews>
  <sheetFormatPr defaultRowHeight="14.5" x14ac:dyDescent="0.35"/>
  <cols>
    <col min="1" max="1" width="37.26953125" customWidth="1"/>
    <col min="2" max="2" width="31.54296875" style="188" customWidth="1"/>
    <col min="3" max="3" width="10.1796875" style="188" customWidth="1"/>
    <col min="4" max="4" width="14.7265625" style="188" customWidth="1"/>
    <col min="5" max="6" width="10.1796875" style="188" customWidth="1"/>
    <col min="7" max="9" width="24.1796875" style="188" bestFit="1" customWidth="1"/>
    <col min="10" max="10" width="14.7265625" style="188" hidden="1" customWidth="1"/>
  </cols>
  <sheetData>
    <row r="1" spans="1:10" x14ac:dyDescent="0.35">
      <c r="A1" s="185" t="s">
        <v>91</v>
      </c>
      <c r="B1" t="s">
        <v>92</v>
      </c>
    </row>
    <row r="3" spans="1:10" x14ac:dyDescent="0.35">
      <c r="A3" s="185" t="s">
        <v>972</v>
      </c>
      <c r="B3" t="s">
        <v>973</v>
      </c>
      <c r="C3" t="s">
        <v>974</v>
      </c>
      <c r="D3" t="s">
        <v>988</v>
      </c>
      <c r="E3" t="s">
        <v>990</v>
      </c>
      <c r="F3" t="s">
        <v>991</v>
      </c>
      <c r="G3" t="s">
        <v>993</v>
      </c>
      <c r="H3" t="s">
        <v>992</v>
      </c>
      <c r="I3" t="s">
        <v>996</v>
      </c>
      <c r="J3" t="s">
        <v>989</v>
      </c>
    </row>
    <row r="4" spans="1:10" x14ac:dyDescent="0.35">
      <c r="A4" s="186" t="s">
        <v>984</v>
      </c>
      <c r="B4" s="192">
        <v>8968</v>
      </c>
      <c r="C4" s="192">
        <v>1387588</v>
      </c>
      <c r="D4" s="192"/>
      <c r="E4" s="192">
        <v>1378620</v>
      </c>
      <c r="F4" s="192"/>
      <c r="G4" s="192"/>
      <c r="H4" s="192"/>
      <c r="I4" s="192"/>
      <c r="J4" s="192">
        <v>8968</v>
      </c>
    </row>
    <row r="5" spans="1:10" x14ac:dyDescent="0.35">
      <c r="A5" s="186" t="s">
        <v>985</v>
      </c>
      <c r="B5" s="192">
        <v>0</v>
      </c>
      <c r="C5" s="192">
        <v>18446553</v>
      </c>
      <c r="D5" s="192">
        <v>426392.1</v>
      </c>
      <c r="E5" s="192">
        <v>14730897</v>
      </c>
      <c r="F5" s="192">
        <v>2896922</v>
      </c>
      <c r="G5" s="192">
        <v>324934</v>
      </c>
      <c r="H5" s="192">
        <v>47802</v>
      </c>
      <c r="I5" s="192">
        <v>19606</v>
      </c>
      <c r="J5" s="192">
        <v>392341.89999999898</v>
      </c>
    </row>
    <row r="6" spans="1:10" x14ac:dyDescent="0.35">
      <c r="A6" s="186" t="s">
        <v>976</v>
      </c>
      <c r="B6" s="192">
        <v>0</v>
      </c>
      <c r="C6" s="192">
        <v>3391472</v>
      </c>
      <c r="D6" s="192"/>
      <c r="E6" s="192">
        <v>715985</v>
      </c>
      <c r="F6" s="192"/>
      <c r="G6" s="192">
        <v>2669495</v>
      </c>
      <c r="H6" s="192">
        <v>5992</v>
      </c>
      <c r="I6" s="192"/>
      <c r="J6" s="192">
        <v>2675487</v>
      </c>
    </row>
    <row r="7" spans="1:10" x14ac:dyDescent="0.35">
      <c r="A7" s="186" t="s">
        <v>71</v>
      </c>
      <c r="B7" s="192">
        <v>8968</v>
      </c>
      <c r="C7" s="192">
        <v>23225613</v>
      </c>
      <c r="D7" s="192">
        <v>426392.1</v>
      </c>
      <c r="E7" s="192">
        <v>16825502</v>
      </c>
      <c r="F7" s="192">
        <v>2896922</v>
      </c>
      <c r="G7" s="192">
        <v>2994429</v>
      </c>
      <c r="H7" s="192">
        <v>53794</v>
      </c>
      <c r="I7" s="192">
        <v>19606</v>
      </c>
      <c r="J7" s="192">
        <v>3076796.899999999</v>
      </c>
    </row>
    <row r="14" spans="1:10" x14ac:dyDescent="0.35">
      <c r="A14" s="185" t="s">
        <v>91</v>
      </c>
      <c r="B14" t="s">
        <v>139</v>
      </c>
    </row>
    <row r="16" spans="1:10" x14ac:dyDescent="0.35">
      <c r="A16" s="185" t="s">
        <v>972</v>
      </c>
      <c r="B16" t="s">
        <v>973</v>
      </c>
      <c r="C16" t="s">
        <v>974</v>
      </c>
      <c r="D16" t="s">
        <v>988</v>
      </c>
      <c r="E16" t="s">
        <v>990</v>
      </c>
      <c r="F16" t="s">
        <v>991</v>
      </c>
      <c r="G16" t="s">
        <v>993</v>
      </c>
      <c r="H16" t="s">
        <v>992</v>
      </c>
      <c r="I16" t="s">
        <v>996</v>
      </c>
      <c r="J16" t="s">
        <v>989</v>
      </c>
    </row>
    <row r="17" spans="1:10" x14ac:dyDescent="0.35">
      <c r="A17" s="186" t="s">
        <v>980</v>
      </c>
      <c r="B17" s="192">
        <v>15863760.35</v>
      </c>
      <c r="C17" s="192">
        <v>48256772</v>
      </c>
      <c r="D17" s="192">
        <v>1963878</v>
      </c>
      <c r="E17" s="192">
        <v>8627591</v>
      </c>
      <c r="F17" s="192">
        <v>21801542.649999999</v>
      </c>
      <c r="G17" s="187"/>
      <c r="H17" s="187"/>
      <c r="I17" s="187"/>
      <c r="J17" s="192">
        <v>15863760.35</v>
      </c>
    </row>
    <row r="18" spans="1:10" x14ac:dyDescent="0.35">
      <c r="A18" s="186" t="s">
        <v>978</v>
      </c>
      <c r="B18" s="192">
        <v>4511829.04</v>
      </c>
      <c r="C18" s="192">
        <v>7538599</v>
      </c>
      <c r="D18" s="192">
        <v>891437.89999999991</v>
      </c>
      <c r="E18" s="192">
        <v>1945653.0600000003</v>
      </c>
      <c r="F18" s="192">
        <v>189679</v>
      </c>
      <c r="G18" s="187"/>
      <c r="H18" s="187"/>
      <c r="I18" s="187"/>
      <c r="J18" s="192">
        <v>4511829.04</v>
      </c>
    </row>
    <row r="19" spans="1:10" x14ac:dyDescent="0.35">
      <c r="A19" s="186" t="s">
        <v>977</v>
      </c>
      <c r="B19" s="192">
        <v>137589</v>
      </c>
      <c r="C19" s="192">
        <v>137589</v>
      </c>
      <c r="D19" s="192"/>
      <c r="E19" s="192"/>
      <c r="F19" s="192"/>
      <c r="G19" s="187"/>
      <c r="H19" s="187"/>
      <c r="I19" s="187"/>
      <c r="J19" s="192">
        <v>137589</v>
      </c>
    </row>
    <row r="20" spans="1:10" x14ac:dyDescent="0.35">
      <c r="A20" s="186" t="s">
        <v>983</v>
      </c>
      <c r="B20" s="192">
        <v>17295568.580000002</v>
      </c>
      <c r="C20" s="192">
        <v>24175627</v>
      </c>
      <c r="D20" s="192">
        <v>1922402.83</v>
      </c>
      <c r="E20" s="192">
        <v>0</v>
      </c>
      <c r="F20" s="192">
        <v>4957655.59</v>
      </c>
      <c r="G20" s="187"/>
      <c r="H20" s="187"/>
      <c r="I20" s="187"/>
      <c r="J20" s="192">
        <v>17295568.580000002</v>
      </c>
    </row>
    <row r="21" spans="1:10" x14ac:dyDescent="0.35">
      <c r="A21" s="186" t="s">
        <v>979</v>
      </c>
      <c r="B21" s="192">
        <v>4442774.7</v>
      </c>
      <c r="C21" s="192">
        <v>5621212</v>
      </c>
      <c r="D21" s="192">
        <v>242437.3</v>
      </c>
      <c r="E21" s="192">
        <v>936000</v>
      </c>
      <c r="F21" s="192">
        <v>0</v>
      </c>
      <c r="G21" s="187"/>
      <c r="H21" s="187"/>
      <c r="I21" s="187"/>
      <c r="J21" s="192">
        <v>4442774.7</v>
      </c>
    </row>
    <row r="22" spans="1:10" x14ac:dyDescent="0.35">
      <c r="A22" s="186" t="s">
        <v>994</v>
      </c>
      <c r="B22" s="192">
        <v>0</v>
      </c>
      <c r="C22" s="192">
        <v>0</v>
      </c>
      <c r="D22" s="192"/>
      <c r="E22" s="192"/>
      <c r="F22" s="192"/>
      <c r="G22" s="187"/>
      <c r="H22" s="187"/>
      <c r="I22" s="187"/>
      <c r="J22" s="192">
        <v>0</v>
      </c>
    </row>
    <row r="23" spans="1:10" x14ac:dyDescent="0.35">
      <c r="A23" s="186" t="s">
        <v>995</v>
      </c>
      <c r="B23" s="192">
        <v>69286</v>
      </c>
      <c r="C23" s="192">
        <v>69286</v>
      </c>
      <c r="D23" s="192"/>
      <c r="E23" s="192"/>
      <c r="F23" s="192"/>
      <c r="G23" s="187"/>
      <c r="H23" s="187"/>
      <c r="I23" s="187"/>
      <c r="J23" s="192">
        <v>69286</v>
      </c>
    </row>
    <row r="24" spans="1:10" x14ac:dyDescent="0.35">
      <c r="A24" s="186" t="s">
        <v>71</v>
      </c>
      <c r="B24" s="192">
        <v>42320807.670000002</v>
      </c>
      <c r="C24" s="192">
        <v>85799085</v>
      </c>
      <c r="D24" s="192">
        <v>5020156.03</v>
      </c>
      <c r="E24" s="192">
        <v>11509244.060000001</v>
      </c>
      <c r="F24" s="192">
        <v>26948877.239999998</v>
      </c>
      <c r="G24" s="187"/>
      <c r="H24" s="187"/>
      <c r="I24" s="187"/>
      <c r="J24" s="192">
        <v>42320807.670000002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tint="0.79998168889431442"/>
  </sheetPr>
  <dimension ref="A1:S457"/>
  <sheetViews>
    <sheetView showGridLines="0" tabSelected="1" zoomScale="120" zoomScaleNormal="120" workbookViewId="0">
      <pane ySplit="3" topLeftCell="A4" activePane="bottomLeft" state="frozen"/>
      <selection activeCell="B409" sqref="B409"/>
      <selection pane="bottomLeft" activeCell="A3" sqref="A3"/>
    </sheetView>
  </sheetViews>
  <sheetFormatPr defaultColWidth="9.1796875" defaultRowHeight="14.5" x14ac:dyDescent="0.35"/>
  <cols>
    <col min="1" max="2" width="19.453125" style="3" customWidth="1"/>
    <col min="3" max="3" width="9.1796875" style="3" customWidth="1"/>
    <col min="4" max="4" width="17.26953125" style="3" bestFit="1" customWidth="1"/>
    <col min="5" max="5" width="6.81640625" style="3" customWidth="1"/>
    <col min="6" max="6" width="32.1796875" style="3" customWidth="1"/>
    <col min="7" max="7" width="33.54296875" style="3" customWidth="1"/>
    <col min="8" max="8" width="12.54296875" style="3" bestFit="1" customWidth="1"/>
    <col min="9" max="9" width="11.7265625" style="3" bestFit="1" customWidth="1"/>
    <col min="10" max="11" width="10.54296875" style="3" bestFit="1" customWidth="1"/>
    <col min="12" max="12" width="11.7265625" style="3" bestFit="1" customWidth="1"/>
    <col min="13" max="13" width="13.54296875" style="3" customWidth="1"/>
    <col min="14" max="14" width="11.7265625" style="3" customWidth="1"/>
    <col min="15" max="15" width="11.1796875" style="3" customWidth="1"/>
    <col min="16" max="16" width="32.7265625" style="12" customWidth="1"/>
    <col min="17" max="17" width="13.1796875" style="3" customWidth="1"/>
    <col min="18" max="18" width="30.1796875" style="1" customWidth="1"/>
    <col min="19" max="19" width="12.81640625" style="3" customWidth="1"/>
    <col min="20" max="16384" width="9.1796875" style="3"/>
  </cols>
  <sheetData>
    <row r="1" spans="1:19" ht="48" customHeight="1" x14ac:dyDescent="0.35">
      <c r="A1" s="1" t="s">
        <v>0</v>
      </c>
      <c r="B1" s="1"/>
      <c r="C1" s="2" t="s">
        <v>1</v>
      </c>
    </row>
    <row r="2" spans="1:19" x14ac:dyDescent="0.35">
      <c r="A2" s="4" t="s">
        <v>0</v>
      </c>
      <c r="B2" s="4"/>
    </row>
    <row r="3" spans="1:19" ht="21" x14ac:dyDescent="0.35">
      <c r="A3" s="5" t="s">
        <v>2</v>
      </c>
      <c r="B3" s="5" t="s">
        <v>975</v>
      </c>
      <c r="C3" s="5" t="s">
        <v>3</v>
      </c>
      <c r="D3" s="6" t="s">
        <v>4</v>
      </c>
      <c r="E3" s="7" t="s">
        <v>5</v>
      </c>
      <c r="F3" s="8" t="s">
        <v>6</v>
      </c>
      <c r="G3" s="5" t="s">
        <v>7</v>
      </c>
      <c r="H3" s="5" t="s">
        <v>8</v>
      </c>
      <c r="I3" s="16" t="s">
        <v>9</v>
      </c>
      <c r="J3" s="16" t="s">
        <v>10</v>
      </c>
      <c r="K3" s="16" t="s">
        <v>11</v>
      </c>
      <c r="L3" s="17" t="s">
        <v>12</v>
      </c>
      <c r="M3" s="7" t="s">
        <v>72</v>
      </c>
      <c r="N3" s="7" t="s">
        <v>73</v>
      </c>
      <c r="O3" s="7" t="s">
        <v>74</v>
      </c>
      <c r="P3" s="13" t="s">
        <v>13</v>
      </c>
      <c r="Q3" s="7" t="s">
        <v>75</v>
      </c>
      <c r="R3" s="7" t="s">
        <v>76</v>
      </c>
      <c r="S3" s="46" t="s">
        <v>137</v>
      </c>
    </row>
    <row r="4" spans="1:19" ht="21" x14ac:dyDescent="0.35">
      <c r="A4" s="9" t="s">
        <v>14</v>
      </c>
      <c r="B4" s="10" t="s">
        <v>976</v>
      </c>
      <c r="C4" s="10" t="s">
        <v>15</v>
      </c>
      <c r="D4" s="11" t="s">
        <v>16</v>
      </c>
      <c r="E4" s="11" t="s">
        <v>17</v>
      </c>
      <c r="F4" s="11" t="s">
        <v>18</v>
      </c>
      <c r="G4" s="11" t="s">
        <v>19</v>
      </c>
      <c r="H4" s="72">
        <v>0</v>
      </c>
      <c r="I4" s="73"/>
      <c r="J4" s="74"/>
      <c r="K4" s="72"/>
      <c r="L4" s="74"/>
      <c r="M4" s="72"/>
      <c r="N4" s="74"/>
      <c r="O4" s="75"/>
      <c r="P4" s="18"/>
      <c r="Q4" s="14">
        <f>L4-M4-N4-O4</f>
        <v>0</v>
      </c>
      <c r="R4" s="43"/>
      <c r="S4" s="47" t="s">
        <v>92</v>
      </c>
    </row>
    <row r="5" spans="1:19" ht="21" x14ac:dyDescent="0.35">
      <c r="A5" s="9" t="s">
        <v>14</v>
      </c>
      <c r="B5" s="10" t="s">
        <v>976</v>
      </c>
      <c r="C5" s="10" t="s">
        <v>15</v>
      </c>
      <c r="D5" s="11" t="s">
        <v>16</v>
      </c>
      <c r="E5" s="11" t="s">
        <v>20</v>
      </c>
      <c r="F5" s="11" t="s">
        <v>21</v>
      </c>
      <c r="G5" s="11" t="s">
        <v>22</v>
      </c>
      <c r="H5" s="72">
        <v>10351793</v>
      </c>
      <c r="I5" s="73"/>
      <c r="J5" s="74"/>
      <c r="K5" s="72"/>
      <c r="L5" s="74">
        <v>10351793</v>
      </c>
      <c r="M5" s="72">
        <v>10351793</v>
      </c>
      <c r="N5" s="74"/>
      <c r="O5" s="75"/>
      <c r="P5" s="15" t="s">
        <v>82</v>
      </c>
      <c r="Q5" s="14">
        <f t="shared" ref="Q5:Q15" si="0">L5-M5-N5-O5</f>
        <v>0</v>
      </c>
      <c r="R5" s="43"/>
      <c r="S5" s="47" t="s">
        <v>92</v>
      </c>
    </row>
    <row r="6" spans="1:19" ht="21" x14ac:dyDescent="0.35">
      <c r="A6" s="9" t="s">
        <v>14</v>
      </c>
      <c r="B6" s="10" t="s">
        <v>976</v>
      </c>
      <c r="C6" s="10" t="s">
        <v>15</v>
      </c>
      <c r="D6" s="11" t="s">
        <v>16</v>
      </c>
      <c r="E6" s="11" t="s">
        <v>23</v>
      </c>
      <c r="F6" s="11" t="s">
        <v>24</v>
      </c>
      <c r="G6" s="11" t="s">
        <v>25</v>
      </c>
      <c r="H6" s="72">
        <v>445192</v>
      </c>
      <c r="I6" s="73">
        <v>-14232.46</v>
      </c>
      <c r="J6" s="74"/>
      <c r="K6" s="72">
        <v>395775.86</v>
      </c>
      <c r="L6" s="74">
        <v>63648.6</v>
      </c>
      <c r="M6" s="72">
        <v>63649</v>
      </c>
      <c r="N6" s="74"/>
      <c r="O6" s="75"/>
      <c r="P6" s="18" t="s">
        <v>77</v>
      </c>
      <c r="Q6" s="14">
        <f t="shared" si="0"/>
        <v>-0.40000000000145519</v>
      </c>
      <c r="R6" s="43"/>
      <c r="S6" s="47" t="s">
        <v>92</v>
      </c>
    </row>
    <row r="7" spans="1:19" ht="21" x14ac:dyDescent="0.35">
      <c r="A7" s="9" t="s">
        <v>14</v>
      </c>
      <c r="B7" s="10" t="s">
        <v>976</v>
      </c>
      <c r="C7" s="10" t="s">
        <v>15</v>
      </c>
      <c r="D7" s="11" t="s">
        <v>16</v>
      </c>
      <c r="E7" s="11" t="s">
        <v>26</v>
      </c>
      <c r="F7" s="11" t="s">
        <v>27</v>
      </c>
      <c r="G7" s="11" t="s">
        <v>28</v>
      </c>
      <c r="H7" s="72">
        <v>7632571</v>
      </c>
      <c r="I7" s="73">
        <v>44863.35</v>
      </c>
      <c r="J7" s="74">
        <v>2689331.8</v>
      </c>
      <c r="K7" s="72">
        <v>1109716.42</v>
      </c>
      <c r="L7" s="74">
        <v>3788659.43</v>
      </c>
      <c r="M7" s="95">
        <v>3788659</v>
      </c>
      <c r="N7" s="96"/>
      <c r="O7" s="97"/>
      <c r="P7" s="19" t="s">
        <v>83</v>
      </c>
      <c r="Q7" s="14">
        <f t="shared" si="0"/>
        <v>0.43000000016763806</v>
      </c>
      <c r="R7" s="43"/>
      <c r="S7" s="47" t="s">
        <v>92</v>
      </c>
    </row>
    <row r="8" spans="1:19" ht="21" x14ac:dyDescent="0.35">
      <c r="A8" s="9" t="s">
        <v>14</v>
      </c>
      <c r="B8" s="10" t="s">
        <v>976</v>
      </c>
      <c r="C8" s="10" t="s">
        <v>15</v>
      </c>
      <c r="D8" s="11" t="s">
        <v>16</v>
      </c>
      <c r="E8" s="11" t="s">
        <v>29</v>
      </c>
      <c r="F8" s="11" t="s">
        <v>30</v>
      </c>
      <c r="G8" s="11" t="s">
        <v>31</v>
      </c>
      <c r="H8" s="72">
        <v>800000</v>
      </c>
      <c r="I8" s="73">
        <v>642270.66</v>
      </c>
      <c r="J8" s="74"/>
      <c r="K8" s="72"/>
      <c r="L8" s="74">
        <v>157729.34</v>
      </c>
      <c r="M8" s="72">
        <f>200000+1524043</f>
        <v>1724043</v>
      </c>
      <c r="N8" s="74">
        <v>200000</v>
      </c>
      <c r="O8" s="75">
        <v>200000</v>
      </c>
      <c r="P8" s="15" t="s">
        <v>81</v>
      </c>
      <c r="Q8" s="14">
        <f t="shared" si="0"/>
        <v>-1966313.66</v>
      </c>
      <c r="R8" s="44" t="s">
        <v>84</v>
      </c>
      <c r="S8" s="47" t="s">
        <v>92</v>
      </c>
    </row>
    <row r="9" spans="1:19" ht="21" x14ac:dyDescent="0.35">
      <c r="A9" s="9" t="s">
        <v>14</v>
      </c>
      <c r="B9" s="10" t="s">
        <v>976</v>
      </c>
      <c r="C9" s="10" t="s">
        <v>15</v>
      </c>
      <c r="D9" s="11" t="s">
        <v>16</v>
      </c>
      <c r="E9" s="11" t="s">
        <v>32</v>
      </c>
      <c r="F9" s="11" t="s">
        <v>33</v>
      </c>
      <c r="G9" s="11" t="s">
        <v>34</v>
      </c>
      <c r="H9" s="72">
        <v>2618028</v>
      </c>
      <c r="I9" s="73">
        <v>302796</v>
      </c>
      <c r="J9" s="74"/>
      <c r="K9" s="72"/>
      <c r="L9" s="74">
        <v>2315232</v>
      </c>
      <c r="M9" s="72">
        <v>900000</v>
      </c>
      <c r="N9" s="74">
        <v>800000</v>
      </c>
      <c r="O9" s="75">
        <v>615232</v>
      </c>
      <c r="P9" s="15" t="s">
        <v>79</v>
      </c>
      <c r="Q9" s="14">
        <f t="shared" si="0"/>
        <v>0</v>
      </c>
      <c r="R9" s="43"/>
      <c r="S9" s="47" t="s">
        <v>92</v>
      </c>
    </row>
    <row r="10" spans="1:19" ht="21" x14ac:dyDescent="0.35">
      <c r="A10" s="9" t="s">
        <v>14</v>
      </c>
      <c r="B10" s="10" t="s">
        <v>976</v>
      </c>
      <c r="C10" s="10" t="s">
        <v>15</v>
      </c>
      <c r="D10" s="11" t="s">
        <v>16</v>
      </c>
      <c r="E10" s="11" t="s">
        <v>35</v>
      </c>
      <c r="F10" s="11" t="s">
        <v>36</v>
      </c>
      <c r="G10" s="11" t="s">
        <v>37</v>
      </c>
      <c r="H10" s="72">
        <v>11500</v>
      </c>
      <c r="I10" s="73">
        <v>4400</v>
      </c>
      <c r="J10" s="74"/>
      <c r="K10" s="72"/>
      <c r="L10" s="74">
        <v>7100</v>
      </c>
      <c r="M10" s="72">
        <v>3000</v>
      </c>
      <c r="N10" s="74">
        <v>2100</v>
      </c>
      <c r="O10" s="75">
        <v>2000</v>
      </c>
      <c r="P10" s="18"/>
      <c r="Q10" s="14">
        <f t="shared" si="0"/>
        <v>0</v>
      </c>
      <c r="R10" s="43"/>
      <c r="S10" s="47" t="s">
        <v>92</v>
      </c>
    </row>
    <row r="11" spans="1:19" ht="21" x14ac:dyDescent="0.35">
      <c r="A11" s="9" t="s">
        <v>14</v>
      </c>
      <c r="B11" s="10" t="s">
        <v>976</v>
      </c>
      <c r="C11" s="10" t="s">
        <v>15</v>
      </c>
      <c r="D11" s="11" t="s">
        <v>16</v>
      </c>
      <c r="E11" s="11" t="s">
        <v>38</v>
      </c>
      <c r="F11" s="11" t="s">
        <v>39</v>
      </c>
      <c r="G11" s="11" t="s">
        <v>40</v>
      </c>
      <c r="H11" s="72">
        <v>0</v>
      </c>
      <c r="I11" s="73"/>
      <c r="J11" s="74"/>
      <c r="K11" s="72"/>
      <c r="L11" s="74">
        <v>0</v>
      </c>
      <c r="M11" s="72"/>
      <c r="N11" s="74"/>
      <c r="O11" s="75"/>
      <c r="P11" s="18"/>
      <c r="Q11" s="14">
        <f t="shared" si="0"/>
        <v>0</v>
      </c>
      <c r="R11" s="43"/>
      <c r="S11" s="47" t="s">
        <v>92</v>
      </c>
    </row>
    <row r="12" spans="1:19" ht="21" x14ac:dyDescent="0.35">
      <c r="A12" s="9" t="s">
        <v>14</v>
      </c>
      <c r="B12" s="10" t="s">
        <v>976</v>
      </c>
      <c r="C12" s="10" t="s">
        <v>15</v>
      </c>
      <c r="D12" s="11" t="s">
        <v>16</v>
      </c>
      <c r="E12" s="11" t="s">
        <v>41</v>
      </c>
      <c r="F12" s="11" t="s">
        <v>42</v>
      </c>
      <c r="G12" s="11" t="s">
        <v>43</v>
      </c>
      <c r="H12" s="72">
        <v>1021317</v>
      </c>
      <c r="I12" s="73"/>
      <c r="J12" s="74">
        <v>754866.67</v>
      </c>
      <c r="K12" s="72"/>
      <c r="L12" s="74">
        <v>266450.33</v>
      </c>
      <c r="M12" s="72">
        <v>266450</v>
      </c>
      <c r="N12" s="74"/>
      <c r="O12" s="75"/>
      <c r="P12" s="19" t="s">
        <v>80</v>
      </c>
      <c r="Q12" s="14">
        <f t="shared" si="0"/>
        <v>0.33000000001629815</v>
      </c>
      <c r="R12" s="43"/>
      <c r="S12" s="47" t="s">
        <v>92</v>
      </c>
    </row>
    <row r="13" spans="1:19" ht="21" x14ac:dyDescent="0.35">
      <c r="A13" s="9" t="s">
        <v>14</v>
      </c>
      <c r="B13" s="10" t="s">
        <v>976</v>
      </c>
      <c r="C13" s="10" t="s">
        <v>15</v>
      </c>
      <c r="D13" s="11" t="s">
        <v>16</v>
      </c>
      <c r="E13" s="11" t="s">
        <v>44</v>
      </c>
      <c r="F13" s="11" t="s">
        <v>45</v>
      </c>
      <c r="G13" s="11" t="s">
        <v>46</v>
      </c>
      <c r="H13" s="72">
        <v>1475000</v>
      </c>
      <c r="I13" s="73">
        <v>503273.14</v>
      </c>
      <c r="J13" s="74">
        <v>582329</v>
      </c>
      <c r="K13" s="72">
        <v>0</v>
      </c>
      <c r="L13" s="74">
        <v>389397.86</v>
      </c>
      <c r="M13" s="72">
        <v>314398</v>
      </c>
      <c r="N13" s="74">
        <v>50000</v>
      </c>
      <c r="O13" s="75">
        <v>25000</v>
      </c>
      <c r="P13" s="18" t="s">
        <v>78</v>
      </c>
      <c r="Q13" s="14">
        <f t="shared" si="0"/>
        <v>-0.14000000001396984</v>
      </c>
      <c r="R13" s="43"/>
      <c r="S13" s="47" t="s">
        <v>92</v>
      </c>
    </row>
    <row r="14" spans="1:19" ht="21" x14ac:dyDescent="0.35">
      <c r="A14" s="9" t="s">
        <v>14</v>
      </c>
      <c r="B14" s="10" t="s">
        <v>976</v>
      </c>
      <c r="C14" s="10" t="s">
        <v>15</v>
      </c>
      <c r="D14" s="11" t="s">
        <v>16</v>
      </c>
      <c r="E14" s="11" t="s">
        <v>47</v>
      </c>
      <c r="F14" s="11" t="s">
        <v>48</v>
      </c>
      <c r="G14" s="11" t="s">
        <v>49</v>
      </c>
      <c r="H14" s="72">
        <v>360000</v>
      </c>
      <c r="I14" s="73"/>
      <c r="J14" s="74"/>
      <c r="K14" s="72"/>
      <c r="L14" s="74">
        <v>360000</v>
      </c>
      <c r="M14" s="72">
        <v>180000</v>
      </c>
      <c r="N14" s="74">
        <v>90000</v>
      </c>
      <c r="O14" s="75">
        <v>90000</v>
      </c>
      <c r="P14" s="18" t="s">
        <v>85</v>
      </c>
      <c r="Q14" s="14">
        <f t="shared" si="0"/>
        <v>0</v>
      </c>
      <c r="R14" s="43"/>
      <c r="S14" s="47" t="s">
        <v>92</v>
      </c>
    </row>
    <row r="15" spans="1:19" ht="21" x14ac:dyDescent="0.35">
      <c r="A15" s="9" t="s">
        <v>14</v>
      </c>
      <c r="B15" s="10" t="s">
        <v>976</v>
      </c>
      <c r="C15" s="10" t="s">
        <v>15</v>
      </c>
      <c r="D15" s="11" t="s">
        <v>16</v>
      </c>
      <c r="E15" s="11" t="s">
        <v>50</v>
      </c>
      <c r="F15" s="11" t="s">
        <v>51</v>
      </c>
      <c r="G15" s="11" t="s">
        <v>52</v>
      </c>
      <c r="H15" s="72">
        <v>0</v>
      </c>
      <c r="I15" s="73"/>
      <c r="J15" s="74"/>
      <c r="K15" s="72"/>
      <c r="L15" s="74">
        <v>0</v>
      </c>
      <c r="M15" s="98"/>
      <c r="N15" s="99"/>
      <c r="O15" s="100"/>
      <c r="P15" s="18"/>
      <c r="Q15" s="14">
        <f t="shared" si="0"/>
        <v>0</v>
      </c>
      <c r="R15" s="43"/>
      <c r="S15" s="47" t="s">
        <v>92</v>
      </c>
    </row>
    <row r="16" spans="1:19" ht="21" x14ac:dyDescent="0.3">
      <c r="A16" s="20" t="s">
        <v>14</v>
      </c>
      <c r="B16" s="189" t="s">
        <v>977</v>
      </c>
      <c r="C16" s="21" t="s">
        <v>93</v>
      </c>
      <c r="D16" s="22" t="s">
        <v>94</v>
      </c>
      <c r="E16" s="22" t="s">
        <v>95</v>
      </c>
      <c r="F16" s="22" t="s">
        <v>96</v>
      </c>
      <c r="G16" s="22" t="s">
        <v>97</v>
      </c>
      <c r="H16" s="84">
        <v>720000</v>
      </c>
      <c r="I16" s="101"/>
      <c r="J16" s="82"/>
      <c r="K16" s="81"/>
      <c r="L16" s="86">
        <v>720000</v>
      </c>
      <c r="M16" s="81"/>
      <c r="N16" s="82"/>
      <c r="O16" s="83"/>
      <c r="P16" s="28"/>
      <c r="Q16" s="29">
        <f>L16-M16-N16-O16</f>
        <v>720000</v>
      </c>
      <c r="R16" s="26"/>
      <c r="S16" s="47" t="s">
        <v>139</v>
      </c>
    </row>
    <row r="17" spans="1:19" ht="21" x14ac:dyDescent="0.3">
      <c r="A17" s="20" t="s">
        <v>14</v>
      </c>
      <c r="B17" s="189" t="s">
        <v>977</v>
      </c>
      <c r="C17" s="21" t="s">
        <v>93</v>
      </c>
      <c r="D17" s="22" t="s">
        <v>94</v>
      </c>
      <c r="E17" s="22" t="s">
        <v>26</v>
      </c>
      <c r="F17" s="22" t="s">
        <v>27</v>
      </c>
      <c r="G17" s="22" t="s">
        <v>98</v>
      </c>
      <c r="H17" s="84">
        <v>735000</v>
      </c>
      <c r="I17" s="101"/>
      <c r="J17" s="82"/>
      <c r="K17" s="81"/>
      <c r="L17" s="86">
        <v>735000</v>
      </c>
      <c r="M17" s="81"/>
      <c r="N17" s="82"/>
      <c r="O17" s="83"/>
      <c r="P17" s="28"/>
      <c r="Q17" s="29">
        <f t="shared" ref="Q17:Q27" si="1">L17-M17-N17-O17</f>
        <v>735000</v>
      </c>
      <c r="R17" s="26"/>
      <c r="S17" s="47" t="s">
        <v>139</v>
      </c>
    </row>
    <row r="18" spans="1:19" ht="21" x14ac:dyDescent="0.3">
      <c r="A18" s="20" t="s">
        <v>14</v>
      </c>
      <c r="B18" s="189" t="s">
        <v>977</v>
      </c>
      <c r="C18" s="21" t="s">
        <v>93</v>
      </c>
      <c r="D18" s="22" t="s">
        <v>94</v>
      </c>
      <c r="E18" s="22" t="s">
        <v>35</v>
      </c>
      <c r="F18" s="22" t="s">
        <v>36</v>
      </c>
      <c r="G18" s="22" t="s">
        <v>99</v>
      </c>
      <c r="H18" s="84">
        <v>180000</v>
      </c>
      <c r="I18" s="101"/>
      <c r="J18" s="82"/>
      <c r="K18" s="81"/>
      <c r="L18" s="86">
        <v>180000</v>
      </c>
      <c r="M18" s="81"/>
      <c r="N18" s="82"/>
      <c r="O18" s="83"/>
      <c r="P18" s="28"/>
      <c r="Q18" s="29">
        <f t="shared" si="1"/>
        <v>180000</v>
      </c>
      <c r="R18" s="26"/>
      <c r="S18" s="47" t="s">
        <v>139</v>
      </c>
    </row>
    <row r="19" spans="1:19" ht="31.5" x14ac:dyDescent="0.3">
      <c r="A19" s="30" t="s">
        <v>14</v>
      </c>
      <c r="B19" s="189" t="s">
        <v>977</v>
      </c>
      <c r="C19" s="31" t="s">
        <v>100</v>
      </c>
      <c r="D19" s="32" t="s">
        <v>101</v>
      </c>
      <c r="E19" s="32" t="s">
        <v>102</v>
      </c>
      <c r="F19" s="32" t="s">
        <v>103</v>
      </c>
      <c r="G19" s="32" t="s">
        <v>104</v>
      </c>
      <c r="H19" s="76">
        <v>4578464</v>
      </c>
      <c r="I19" s="102">
        <v>117726.27</v>
      </c>
      <c r="J19" s="80">
        <v>1860517</v>
      </c>
      <c r="K19" s="76">
        <v>23750</v>
      </c>
      <c r="L19" s="80">
        <v>2576470.73</v>
      </c>
      <c r="M19" s="103">
        <v>2550000</v>
      </c>
      <c r="N19" s="104"/>
      <c r="O19" s="105">
        <v>25000</v>
      </c>
      <c r="P19" s="40"/>
      <c r="Q19" s="41">
        <f t="shared" si="1"/>
        <v>1470.7299999999814</v>
      </c>
      <c r="R19" s="45" t="s">
        <v>105</v>
      </c>
      <c r="S19" s="47" t="s">
        <v>92</v>
      </c>
    </row>
    <row r="20" spans="1:19" ht="31.5" x14ac:dyDescent="0.3">
      <c r="A20" s="30" t="s">
        <v>14</v>
      </c>
      <c r="B20" s="189" t="s">
        <v>977</v>
      </c>
      <c r="C20" s="31" t="s">
        <v>100</v>
      </c>
      <c r="D20" s="32" t="s">
        <v>101</v>
      </c>
      <c r="E20" s="32" t="s">
        <v>106</v>
      </c>
      <c r="F20" s="32" t="s">
        <v>107</v>
      </c>
      <c r="G20" s="32" t="s">
        <v>108</v>
      </c>
      <c r="H20" s="76">
        <v>5025358</v>
      </c>
      <c r="I20" s="102">
        <v>443086.96</v>
      </c>
      <c r="J20" s="80">
        <v>191942.5</v>
      </c>
      <c r="K20" s="76">
        <v>406402</v>
      </c>
      <c r="L20" s="80">
        <v>3983926.54</v>
      </c>
      <c r="M20" s="103">
        <v>2850000</v>
      </c>
      <c r="N20" s="104">
        <v>400000</v>
      </c>
      <c r="O20" s="105">
        <v>733900</v>
      </c>
      <c r="P20" s="40"/>
      <c r="Q20" s="41">
        <f t="shared" si="1"/>
        <v>26.540000000037253</v>
      </c>
      <c r="R20" s="45" t="s">
        <v>109</v>
      </c>
      <c r="S20" s="47" t="s">
        <v>92</v>
      </c>
    </row>
    <row r="21" spans="1:19" ht="21" x14ac:dyDescent="0.3">
      <c r="A21" s="30" t="s">
        <v>14</v>
      </c>
      <c r="B21" s="189" t="s">
        <v>977</v>
      </c>
      <c r="C21" s="31" t="s">
        <v>100</v>
      </c>
      <c r="D21" s="32" t="s">
        <v>101</v>
      </c>
      <c r="E21" s="32" t="s">
        <v>110</v>
      </c>
      <c r="F21" s="32" t="s">
        <v>111</v>
      </c>
      <c r="G21" s="32" t="s">
        <v>112</v>
      </c>
      <c r="H21" s="76">
        <v>791955</v>
      </c>
      <c r="I21" s="77"/>
      <c r="J21" s="78"/>
      <c r="K21" s="79"/>
      <c r="L21" s="80">
        <v>791955</v>
      </c>
      <c r="M21" s="103">
        <v>100000</v>
      </c>
      <c r="N21" s="104">
        <v>300000</v>
      </c>
      <c r="O21" s="105">
        <v>390000</v>
      </c>
      <c r="P21" s="40"/>
      <c r="Q21" s="41">
        <f t="shared" si="1"/>
        <v>1955</v>
      </c>
      <c r="R21" s="45" t="s">
        <v>113</v>
      </c>
      <c r="S21" s="47" t="s">
        <v>92</v>
      </c>
    </row>
    <row r="22" spans="1:19" ht="21" x14ac:dyDescent="0.3">
      <c r="A22" s="30" t="s">
        <v>14</v>
      </c>
      <c r="B22" s="189" t="s">
        <v>977</v>
      </c>
      <c r="C22" s="31" t="s">
        <v>100</v>
      </c>
      <c r="D22" s="32" t="s">
        <v>101</v>
      </c>
      <c r="E22" s="32" t="s">
        <v>114</v>
      </c>
      <c r="F22" s="32" t="s">
        <v>115</v>
      </c>
      <c r="G22" s="32" t="s">
        <v>116</v>
      </c>
      <c r="H22" s="76">
        <v>400000</v>
      </c>
      <c r="I22" s="77"/>
      <c r="J22" s="80">
        <v>0</v>
      </c>
      <c r="K22" s="76">
        <v>44020.6</v>
      </c>
      <c r="L22" s="80">
        <v>355979.4</v>
      </c>
      <c r="M22" s="103"/>
      <c r="N22" s="104">
        <v>150000</v>
      </c>
      <c r="O22" s="105">
        <v>205900</v>
      </c>
      <c r="P22" s="40"/>
      <c r="Q22" s="41">
        <f t="shared" si="1"/>
        <v>79.400000000023283</v>
      </c>
      <c r="R22" s="45" t="s">
        <v>117</v>
      </c>
      <c r="S22" s="47" t="s">
        <v>92</v>
      </c>
    </row>
    <row r="23" spans="1:19" x14ac:dyDescent="0.3">
      <c r="A23" s="30" t="s">
        <v>14</v>
      </c>
      <c r="B23" s="189" t="s">
        <v>977</v>
      </c>
      <c r="C23" s="31" t="s">
        <v>100</v>
      </c>
      <c r="D23" s="32" t="s">
        <v>101</v>
      </c>
      <c r="E23" s="32" t="s">
        <v>118</v>
      </c>
      <c r="F23" s="32" t="s">
        <v>119</v>
      </c>
      <c r="G23" s="32" t="s">
        <v>120</v>
      </c>
      <c r="H23" s="76">
        <v>1157850</v>
      </c>
      <c r="I23" s="77"/>
      <c r="J23" s="78"/>
      <c r="K23" s="79"/>
      <c r="L23" s="80">
        <v>1157850</v>
      </c>
      <c r="M23" s="103">
        <v>57850</v>
      </c>
      <c r="N23" s="104">
        <v>550000</v>
      </c>
      <c r="O23" s="105">
        <v>550000</v>
      </c>
      <c r="P23" s="40"/>
      <c r="Q23" s="41">
        <f t="shared" si="1"/>
        <v>0</v>
      </c>
      <c r="R23" s="45" t="s">
        <v>121</v>
      </c>
      <c r="S23" s="47" t="s">
        <v>92</v>
      </c>
    </row>
    <row r="24" spans="1:19" x14ac:dyDescent="0.3">
      <c r="A24" s="30" t="s">
        <v>14</v>
      </c>
      <c r="B24" s="189" t="s">
        <v>977</v>
      </c>
      <c r="C24" s="31" t="s">
        <v>100</v>
      </c>
      <c r="D24" s="32" t="s">
        <v>101</v>
      </c>
      <c r="E24" s="32" t="s">
        <v>122</v>
      </c>
      <c r="F24" s="32" t="s">
        <v>123</v>
      </c>
      <c r="G24" s="32" t="s">
        <v>124</v>
      </c>
      <c r="H24" s="76">
        <v>750000</v>
      </c>
      <c r="I24" s="77"/>
      <c r="J24" s="78"/>
      <c r="K24" s="79"/>
      <c r="L24" s="80">
        <v>750000</v>
      </c>
      <c r="M24" s="103">
        <v>100000</v>
      </c>
      <c r="N24" s="104">
        <v>300000</v>
      </c>
      <c r="O24" s="105">
        <v>350000</v>
      </c>
      <c r="P24" s="40"/>
      <c r="Q24" s="41">
        <f t="shared" si="1"/>
        <v>0</v>
      </c>
      <c r="R24" s="45" t="s">
        <v>125</v>
      </c>
      <c r="S24" s="47" t="s">
        <v>92</v>
      </c>
    </row>
    <row r="25" spans="1:19" x14ac:dyDescent="0.3">
      <c r="A25" s="30" t="s">
        <v>14</v>
      </c>
      <c r="B25" s="189" t="s">
        <v>977</v>
      </c>
      <c r="C25" s="31" t="s">
        <v>100</v>
      </c>
      <c r="D25" s="32" t="s">
        <v>101</v>
      </c>
      <c r="E25" s="32" t="s">
        <v>126</v>
      </c>
      <c r="F25" s="32" t="s">
        <v>127</v>
      </c>
      <c r="G25" s="32" t="s">
        <v>128</v>
      </c>
      <c r="H25" s="76">
        <v>998000</v>
      </c>
      <c r="I25" s="77"/>
      <c r="J25" s="78"/>
      <c r="K25" s="79"/>
      <c r="L25" s="80">
        <v>998000</v>
      </c>
      <c r="M25" s="103">
        <v>400000</v>
      </c>
      <c r="N25" s="104">
        <v>300000</v>
      </c>
      <c r="O25" s="105">
        <v>298000</v>
      </c>
      <c r="P25" s="40"/>
      <c r="Q25" s="41">
        <f t="shared" si="1"/>
        <v>0</v>
      </c>
      <c r="R25" s="45" t="s">
        <v>129</v>
      </c>
      <c r="S25" s="47" t="s">
        <v>92</v>
      </c>
    </row>
    <row r="26" spans="1:19" x14ac:dyDescent="0.3">
      <c r="A26" s="30" t="s">
        <v>14</v>
      </c>
      <c r="B26" s="189" t="s">
        <v>977</v>
      </c>
      <c r="C26" s="31" t="s">
        <v>100</v>
      </c>
      <c r="D26" s="32" t="s">
        <v>101</v>
      </c>
      <c r="E26" s="32" t="s">
        <v>130</v>
      </c>
      <c r="F26" s="32" t="s">
        <v>131</v>
      </c>
      <c r="G26" s="32" t="s">
        <v>132</v>
      </c>
      <c r="H26" s="76">
        <v>10000</v>
      </c>
      <c r="I26" s="77"/>
      <c r="J26" s="78"/>
      <c r="K26" s="79"/>
      <c r="L26" s="80">
        <v>10000</v>
      </c>
      <c r="M26" s="103"/>
      <c r="N26" s="104"/>
      <c r="O26" s="105">
        <v>10000</v>
      </c>
      <c r="P26" s="40"/>
      <c r="Q26" s="41">
        <f t="shared" si="1"/>
        <v>0</v>
      </c>
      <c r="R26" s="45"/>
      <c r="S26" s="47" t="s">
        <v>92</v>
      </c>
    </row>
    <row r="27" spans="1:19" x14ac:dyDescent="0.3">
      <c r="A27" s="30" t="s">
        <v>14</v>
      </c>
      <c r="B27" s="189" t="s">
        <v>977</v>
      </c>
      <c r="C27" s="31" t="s">
        <v>100</v>
      </c>
      <c r="D27" s="32" t="s">
        <v>101</v>
      </c>
      <c r="E27" s="32" t="s">
        <v>133</v>
      </c>
      <c r="F27" s="32" t="s">
        <v>134</v>
      </c>
      <c r="G27" s="32" t="s">
        <v>135</v>
      </c>
      <c r="H27" s="76">
        <v>135000</v>
      </c>
      <c r="I27" s="102">
        <v>4619</v>
      </c>
      <c r="J27" s="80">
        <v>39193</v>
      </c>
      <c r="K27" s="79"/>
      <c r="L27" s="80">
        <v>91188</v>
      </c>
      <c r="M27" s="103"/>
      <c r="N27" s="104">
        <v>45000</v>
      </c>
      <c r="O27" s="105">
        <v>46188</v>
      </c>
      <c r="P27" s="40"/>
      <c r="Q27" s="41">
        <f t="shared" si="1"/>
        <v>0</v>
      </c>
      <c r="R27" s="45" t="s">
        <v>136</v>
      </c>
      <c r="S27" s="47" t="s">
        <v>92</v>
      </c>
    </row>
    <row r="28" spans="1:19" ht="42" x14ac:dyDescent="0.3">
      <c r="A28" s="20" t="s">
        <v>14</v>
      </c>
      <c r="B28" s="189" t="s">
        <v>985</v>
      </c>
      <c r="C28" s="21" t="s">
        <v>140</v>
      </c>
      <c r="D28" s="22" t="s">
        <v>141</v>
      </c>
      <c r="E28" s="22" t="s">
        <v>142</v>
      </c>
      <c r="F28" s="22" t="s">
        <v>143</v>
      </c>
      <c r="G28" s="22" t="s">
        <v>144</v>
      </c>
      <c r="H28" s="84">
        <v>21895944</v>
      </c>
      <c r="I28" s="85"/>
      <c r="J28" s="86"/>
      <c r="K28" s="84"/>
      <c r="L28" s="86">
        <v>21895944</v>
      </c>
      <c r="M28" s="84">
        <v>6442560</v>
      </c>
      <c r="N28" s="86">
        <v>6442560</v>
      </c>
      <c r="O28" s="86">
        <f>6442560+2568264</f>
        <v>9010824</v>
      </c>
      <c r="P28" s="22" t="s">
        <v>145</v>
      </c>
      <c r="Q28" s="29">
        <f>L28-M28-N28-O28</f>
        <v>0</v>
      </c>
      <c r="R28" s="42" t="s">
        <v>146</v>
      </c>
      <c r="S28" s="47" t="s">
        <v>92</v>
      </c>
    </row>
    <row r="29" spans="1:19" x14ac:dyDescent="0.3">
      <c r="A29" s="20" t="s">
        <v>14</v>
      </c>
      <c r="B29" s="189" t="s">
        <v>985</v>
      </c>
      <c r="C29" s="21" t="s">
        <v>140</v>
      </c>
      <c r="D29" s="22" t="s">
        <v>141</v>
      </c>
      <c r="E29" s="22" t="s">
        <v>17</v>
      </c>
      <c r="F29" s="22" t="s">
        <v>18</v>
      </c>
      <c r="G29" s="22" t="s">
        <v>147</v>
      </c>
      <c r="H29" s="84">
        <v>0</v>
      </c>
      <c r="I29" s="85"/>
      <c r="J29" s="86"/>
      <c r="K29" s="84"/>
      <c r="L29" s="86">
        <v>0</v>
      </c>
      <c r="M29" s="84"/>
      <c r="N29" s="86"/>
      <c r="O29" s="87"/>
      <c r="P29" s="51"/>
      <c r="Q29" s="29">
        <f t="shared" ref="Q29:Q55" si="2">L29-M29-N29-O29</f>
        <v>0</v>
      </c>
      <c r="R29" s="53"/>
      <c r="S29" s="47" t="s">
        <v>92</v>
      </c>
    </row>
    <row r="30" spans="1:19" ht="21" x14ac:dyDescent="0.3">
      <c r="A30" s="20" t="s">
        <v>14</v>
      </c>
      <c r="B30" s="189" t="s">
        <v>985</v>
      </c>
      <c r="C30" s="21" t="s">
        <v>140</v>
      </c>
      <c r="D30" s="22" t="s">
        <v>141</v>
      </c>
      <c r="E30" s="22" t="s">
        <v>20</v>
      </c>
      <c r="F30" s="22" t="s">
        <v>21</v>
      </c>
      <c r="G30" s="22" t="s">
        <v>148</v>
      </c>
      <c r="H30" s="84">
        <v>263385</v>
      </c>
      <c r="I30" s="85"/>
      <c r="J30" s="86"/>
      <c r="K30" s="84"/>
      <c r="L30" s="86">
        <v>263385</v>
      </c>
      <c r="M30" s="87">
        <f t="shared" ref="M30" si="3">H30-I30-J30-K30</f>
        <v>263385</v>
      </c>
      <c r="N30" s="86"/>
      <c r="O30" s="87"/>
      <c r="P30" s="51"/>
      <c r="Q30" s="29">
        <f t="shared" si="2"/>
        <v>0</v>
      </c>
      <c r="R30" s="42" t="s">
        <v>149</v>
      </c>
      <c r="S30" s="47" t="s">
        <v>92</v>
      </c>
    </row>
    <row r="31" spans="1:19" ht="63" x14ac:dyDescent="0.3">
      <c r="A31" s="20" t="s">
        <v>14</v>
      </c>
      <c r="B31" s="189" t="s">
        <v>985</v>
      </c>
      <c r="C31" s="21" t="s">
        <v>140</v>
      </c>
      <c r="D31" s="22" t="s">
        <v>141</v>
      </c>
      <c r="E31" s="22" t="s">
        <v>95</v>
      </c>
      <c r="F31" s="22" t="s">
        <v>96</v>
      </c>
      <c r="G31" s="22" t="s">
        <v>150</v>
      </c>
      <c r="H31" s="84">
        <v>271000</v>
      </c>
      <c r="I31" s="85"/>
      <c r="J31" s="86"/>
      <c r="K31" s="84"/>
      <c r="L31" s="86">
        <v>271000</v>
      </c>
      <c r="M31" s="84">
        <v>120000</v>
      </c>
      <c r="N31" s="86">
        <v>100000</v>
      </c>
      <c r="O31" s="87">
        <v>51000</v>
      </c>
      <c r="P31" s="22" t="s">
        <v>151</v>
      </c>
      <c r="Q31" s="29">
        <f t="shared" si="2"/>
        <v>0</v>
      </c>
      <c r="R31" s="42" t="s">
        <v>152</v>
      </c>
      <c r="S31" s="47" t="s">
        <v>92</v>
      </c>
    </row>
    <row r="32" spans="1:19" ht="42" x14ac:dyDescent="0.3">
      <c r="A32" s="20" t="s">
        <v>14</v>
      </c>
      <c r="B32" s="189" t="s">
        <v>985</v>
      </c>
      <c r="C32" s="21" t="s">
        <v>140</v>
      </c>
      <c r="D32" s="22" t="s">
        <v>141</v>
      </c>
      <c r="E32" s="22">
        <v>421700</v>
      </c>
      <c r="F32" s="22" t="s">
        <v>153</v>
      </c>
      <c r="G32" s="22" t="s">
        <v>154</v>
      </c>
      <c r="H32" s="84">
        <v>170000</v>
      </c>
      <c r="I32" s="85">
        <v>43531.6</v>
      </c>
      <c r="J32" s="86"/>
      <c r="K32" s="84"/>
      <c r="L32" s="86">
        <v>126468.4</v>
      </c>
      <c r="M32" s="84">
        <v>30000</v>
      </c>
      <c r="N32" s="86">
        <v>30000</v>
      </c>
      <c r="O32" s="87">
        <v>66468</v>
      </c>
      <c r="P32" s="51"/>
      <c r="Q32" s="29">
        <f t="shared" si="2"/>
        <v>0.39999999999417923</v>
      </c>
      <c r="R32" s="42" t="s">
        <v>155</v>
      </c>
      <c r="S32" s="47" t="s">
        <v>92</v>
      </c>
    </row>
    <row r="33" spans="1:19" ht="31.5" x14ac:dyDescent="0.3">
      <c r="A33" s="20" t="s">
        <v>14</v>
      </c>
      <c r="B33" s="189" t="s">
        <v>985</v>
      </c>
      <c r="C33" s="21" t="s">
        <v>140</v>
      </c>
      <c r="D33" s="22" t="s">
        <v>141</v>
      </c>
      <c r="E33" s="22" t="s">
        <v>156</v>
      </c>
      <c r="F33" s="22" t="s">
        <v>157</v>
      </c>
      <c r="G33" s="22" t="s">
        <v>158</v>
      </c>
      <c r="H33" s="84">
        <v>12000</v>
      </c>
      <c r="I33" s="85"/>
      <c r="J33" s="86"/>
      <c r="K33" s="84"/>
      <c r="L33" s="86">
        <v>12000</v>
      </c>
      <c r="M33" s="84"/>
      <c r="N33" s="86">
        <v>12000</v>
      </c>
      <c r="O33" s="87"/>
      <c r="P33" s="51"/>
      <c r="Q33" s="29">
        <f t="shared" si="2"/>
        <v>0</v>
      </c>
      <c r="R33" s="42" t="s">
        <v>159</v>
      </c>
      <c r="S33" s="47" t="s">
        <v>92</v>
      </c>
    </row>
    <row r="34" spans="1:19" ht="42" x14ac:dyDescent="0.3">
      <c r="A34" s="20" t="s">
        <v>14</v>
      </c>
      <c r="B34" s="189" t="s">
        <v>985</v>
      </c>
      <c r="C34" s="21" t="s">
        <v>140</v>
      </c>
      <c r="D34" s="22" t="s">
        <v>141</v>
      </c>
      <c r="E34" s="22" t="s">
        <v>106</v>
      </c>
      <c r="F34" s="22" t="s">
        <v>107</v>
      </c>
      <c r="G34" s="22" t="s">
        <v>160</v>
      </c>
      <c r="H34" s="84">
        <v>820000</v>
      </c>
      <c r="I34" s="85">
        <v>30603.5</v>
      </c>
      <c r="J34" s="86">
        <v>0</v>
      </c>
      <c r="K34" s="84">
        <v>15500</v>
      </c>
      <c r="L34" s="86">
        <v>773896.5</v>
      </c>
      <c r="M34" s="84">
        <v>257965</v>
      </c>
      <c r="N34" s="86">
        <v>257986</v>
      </c>
      <c r="O34" s="87">
        <v>257945</v>
      </c>
      <c r="P34" s="51"/>
      <c r="Q34" s="29">
        <f t="shared" si="2"/>
        <v>0.5</v>
      </c>
      <c r="R34" s="42" t="s">
        <v>161</v>
      </c>
      <c r="S34" s="47" t="s">
        <v>92</v>
      </c>
    </row>
    <row r="35" spans="1:19" ht="42" x14ac:dyDescent="0.3">
      <c r="A35" s="20" t="s">
        <v>14</v>
      </c>
      <c r="B35" s="189" t="s">
        <v>985</v>
      </c>
      <c r="C35" s="21" t="s">
        <v>140</v>
      </c>
      <c r="D35" s="22" t="s">
        <v>141</v>
      </c>
      <c r="E35" s="22" t="s">
        <v>110</v>
      </c>
      <c r="F35" s="22" t="s">
        <v>111</v>
      </c>
      <c r="G35" s="22" t="s">
        <v>162</v>
      </c>
      <c r="H35" s="84">
        <v>780000</v>
      </c>
      <c r="I35" s="85"/>
      <c r="J35" s="86"/>
      <c r="K35" s="84"/>
      <c r="L35" s="86">
        <v>780000</v>
      </c>
      <c r="M35" s="84">
        <v>260000</v>
      </c>
      <c r="N35" s="86">
        <v>260000</v>
      </c>
      <c r="O35" s="87">
        <v>260000</v>
      </c>
      <c r="P35" s="51"/>
      <c r="Q35" s="29">
        <f t="shared" si="2"/>
        <v>0</v>
      </c>
      <c r="R35" s="42" t="s">
        <v>163</v>
      </c>
      <c r="S35" s="47" t="s">
        <v>92</v>
      </c>
    </row>
    <row r="36" spans="1:19" ht="31.5" x14ac:dyDescent="0.3">
      <c r="A36" s="20" t="s">
        <v>14</v>
      </c>
      <c r="B36" s="189" t="s">
        <v>985</v>
      </c>
      <c r="C36" s="21" t="s">
        <v>140</v>
      </c>
      <c r="D36" s="22" t="s">
        <v>141</v>
      </c>
      <c r="E36" s="22" t="s">
        <v>164</v>
      </c>
      <c r="F36" s="22" t="s">
        <v>165</v>
      </c>
      <c r="G36" s="22" t="s">
        <v>166</v>
      </c>
      <c r="H36" s="84">
        <v>2494345</v>
      </c>
      <c r="I36" s="85">
        <v>393100</v>
      </c>
      <c r="J36" s="86"/>
      <c r="K36" s="84"/>
      <c r="L36" s="86">
        <v>2101245</v>
      </c>
      <c r="M36" s="84">
        <v>700415</v>
      </c>
      <c r="N36" s="86">
        <v>700415</v>
      </c>
      <c r="O36" s="87">
        <v>700415</v>
      </c>
      <c r="P36" s="51"/>
      <c r="Q36" s="29">
        <f t="shared" si="2"/>
        <v>0</v>
      </c>
      <c r="R36" s="42" t="s">
        <v>167</v>
      </c>
      <c r="S36" s="47" t="s">
        <v>92</v>
      </c>
    </row>
    <row r="37" spans="1:19" ht="21" x14ac:dyDescent="0.3">
      <c r="A37" s="20" t="s">
        <v>14</v>
      </c>
      <c r="B37" s="189" t="s">
        <v>985</v>
      </c>
      <c r="C37" s="21" t="s">
        <v>140</v>
      </c>
      <c r="D37" s="22" t="s">
        <v>141</v>
      </c>
      <c r="E37" s="22" t="s">
        <v>168</v>
      </c>
      <c r="F37" s="22" t="s">
        <v>169</v>
      </c>
      <c r="G37" s="22" t="s">
        <v>170</v>
      </c>
      <c r="H37" s="84">
        <v>180000</v>
      </c>
      <c r="I37" s="85">
        <v>1747.46</v>
      </c>
      <c r="J37" s="86"/>
      <c r="K37" s="84"/>
      <c r="L37" s="86">
        <v>178252.54</v>
      </c>
      <c r="M37" s="84"/>
      <c r="N37" s="86"/>
      <c r="O37" s="86">
        <v>178252.54</v>
      </c>
      <c r="P37" s="51"/>
      <c r="Q37" s="29">
        <f t="shared" si="2"/>
        <v>0</v>
      </c>
      <c r="R37" s="42" t="s">
        <v>171</v>
      </c>
      <c r="S37" s="47" t="s">
        <v>92</v>
      </c>
    </row>
    <row r="38" spans="1:19" x14ac:dyDescent="0.3">
      <c r="A38" s="20" t="s">
        <v>14</v>
      </c>
      <c r="B38" s="189" t="s">
        <v>985</v>
      </c>
      <c r="C38" s="21" t="s">
        <v>140</v>
      </c>
      <c r="D38" s="22" t="s">
        <v>141</v>
      </c>
      <c r="E38" s="22" t="s">
        <v>172</v>
      </c>
      <c r="F38" s="22" t="s">
        <v>173</v>
      </c>
      <c r="G38" s="22" t="s">
        <v>174</v>
      </c>
      <c r="H38" s="84">
        <v>20000</v>
      </c>
      <c r="I38" s="85">
        <v>19600</v>
      </c>
      <c r="J38" s="86"/>
      <c r="K38" s="84"/>
      <c r="L38" s="86">
        <v>400</v>
      </c>
      <c r="M38" s="84"/>
      <c r="N38" s="86"/>
      <c r="O38" s="86">
        <v>400</v>
      </c>
      <c r="P38" s="51"/>
      <c r="Q38" s="29">
        <f t="shared" si="2"/>
        <v>0</v>
      </c>
      <c r="R38" s="42" t="s">
        <v>175</v>
      </c>
      <c r="S38" s="47" t="s">
        <v>92</v>
      </c>
    </row>
    <row r="39" spans="1:19" ht="21" x14ac:dyDescent="0.3">
      <c r="A39" s="20" t="s">
        <v>14</v>
      </c>
      <c r="B39" s="189" t="s">
        <v>985</v>
      </c>
      <c r="C39" s="21" t="s">
        <v>140</v>
      </c>
      <c r="D39" s="22" t="s">
        <v>141</v>
      </c>
      <c r="E39" s="22" t="s">
        <v>176</v>
      </c>
      <c r="F39" s="22" t="s">
        <v>177</v>
      </c>
      <c r="G39" s="22" t="s">
        <v>178</v>
      </c>
      <c r="H39" s="84">
        <v>292600</v>
      </c>
      <c r="I39" s="85"/>
      <c r="J39" s="86"/>
      <c r="K39" s="84"/>
      <c r="L39" s="86">
        <v>292600</v>
      </c>
      <c r="M39" s="84"/>
      <c r="N39" s="86">
        <v>146300</v>
      </c>
      <c r="O39" s="87">
        <v>146300</v>
      </c>
      <c r="P39" s="51"/>
      <c r="Q39" s="29">
        <f t="shared" si="2"/>
        <v>0</v>
      </c>
      <c r="R39" s="42" t="s">
        <v>179</v>
      </c>
      <c r="S39" s="47" t="s">
        <v>92</v>
      </c>
    </row>
    <row r="40" spans="1:19" ht="31.5" x14ac:dyDescent="0.3">
      <c r="A40" s="20" t="s">
        <v>14</v>
      </c>
      <c r="B40" s="189" t="s">
        <v>985</v>
      </c>
      <c r="C40" s="21" t="s">
        <v>140</v>
      </c>
      <c r="D40" s="22" t="s">
        <v>141</v>
      </c>
      <c r="E40" s="22" t="s">
        <v>180</v>
      </c>
      <c r="F40" s="22" t="s">
        <v>181</v>
      </c>
      <c r="G40" s="22" t="s">
        <v>182</v>
      </c>
      <c r="H40" s="84">
        <v>24213178</v>
      </c>
      <c r="I40" s="85">
        <v>4484666.68</v>
      </c>
      <c r="J40" s="86"/>
      <c r="K40" s="84"/>
      <c r="L40" s="86">
        <v>19728511.32</v>
      </c>
      <c r="M40" s="84">
        <v>6576171</v>
      </c>
      <c r="N40" s="86">
        <v>6576171</v>
      </c>
      <c r="O40" s="87">
        <v>6576169</v>
      </c>
      <c r="P40" s="51"/>
      <c r="Q40" s="29">
        <f t="shared" si="2"/>
        <v>0.32000000029802322</v>
      </c>
      <c r="R40" s="42" t="s">
        <v>183</v>
      </c>
      <c r="S40" s="47" t="s">
        <v>92</v>
      </c>
    </row>
    <row r="41" spans="1:19" ht="31.5" x14ac:dyDescent="0.3">
      <c r="A41" s="20" t="s">
        <v>14</v>
      </c>
      <c r="B41" s="189" t="s">
        <v>985</v>
      </c>
      <c r="C41" s="21" t="s">
        <v>140</v>
      </c>
      <c r="D41" s="22" t="s">
        <v>141</v>
      </c>
      <c r="E41" s="22" t="s">
        <v>184</v>
      </c>
      <c r="F41" s="22" t="s">
        <v>185</v>
      </c>
      <c r="G41" s="22" t="s">
        <v>186</v>
      </c>
      <c r="H41" s="84">
        <v>864069</v>
      </c>
      <c r="I41" s="85"/>
      <c r="J41" s="86"/>
      <c r="K41" s="84"/>
      <c r="L41" s="86">
        <v>864069</v>
      </c>
      <c r="M41" s="84">
        <v>432034</v>
      </c>
      <c r="N41" s="86">
        <v>163018</v>
      </c>
      <c r="O41" s="86">
        <v>269017</v>
      </c>
      <c r="P41" s="51"/>
      <c r="Q41" s="29">
        <f t="shared" si="2"/>
        <v>0</v>
      </c>
      <c r="R41" s="54" t="s">
        <v>187</v>
      </c>
      <c r="S41" s="47" t="s">
        <v>92</v>
      </c>
    </row>
    <row r="42" spans="1:19" ht="21" x14ac:dyDescent="0.3">
      <c r="A42" s="20" t="s">
        <v>14</v>
      </c>
      <c r="B42" s="189" t="s">
        <v>985</v>
      </c>
      <c r="C42" s="21" t="s">
        <v>140</v>
      </c>
      <c r="D42" s="22" t="s">
        <v>141</v>
      </c>
      <c r="E42" s="22" t="s">
        <v>188</v>
      </c>
      <c r="F42" s="22" t="s">
        <v>189</v>
      </c>
      <c r="G42" s="22" t="s">
        <v>190</v>
      </c>
      <c r="H42" s="84">
        <v>2759974</v>
      </c>
      <c r="I42" s="85"/>
      <c r="J42" s="86"/>
      <c r="K42" s="84"/>
      <c r="L42" s="86">
        <v>2759974</v>
      </c>
      <c r="M42" s="84">
        <v>92000</v>
      </c>
      <c r="N42" s="86">
        <v>287987</v>
      </c>
      <c r="O42" s="87">
        <v>2379987</v>
      </c>
      <c r="P42" s="51"/>
      <c r="Q42" s="29">
        <f t="shared" si="2"/>
        <v>0</v>
      </c>
      <c r="R42" s="42" t="s">
        <v>191</v>
      </c>
      <c r="S42" s="47" t="s">
        <v>92</v>
      </c>
    </row>
    <row r="43" spans="1:19" ht="21" x14ac:dyDescent="0.3">
      <c r="A43" s="20" t="s">
        <v>14</v>
      </c>
      <c r="B43" s="189" t="s">
        <v>985</v>
      </c>
      <c r="C43" s="21" t="s">
        <v>140</v>
      </c>
      <c r="D43" s="22" t="s">
        <v>141</v>
      </c>
      <c r="E43" s="22" t="s">
        <v>114</v>
      </c>
      <c r="F43" s="22" t="s">
        <v>115</v>
      </c>
      <c r="G43" s="22" t="s">
        <v>192</v>
      </c>
      <c r="H43" s="84">
        <v>200000</v>
      </c>
      <c r="I43" s="85">
        <v>2940</v>
      </c>
      <c r="J43" s="86"/>
      <c r="K43" s="84"/>
      <c r="L43" s="86">
        <v>197060</v>
      </c>
      <c r="M43" s="84">
        <v>61560</v>
      </c>
      <c r="N43" s="86">
        <v>70000</v>
      </c>
      <c r="O43" s="87">
        <v>65500</v>
      </c>
      <c r="P43" s="51"/>
      <c r="Q43" s="29">
        <f t="shared" si="2"/>
        <v>0</v>
      </c>
      <c r="R43" s="42" t="s">
        <v>193</v>
      </c>
      <c r="S43" s="47" t="s">
        <v>92</v>
      </c>
    </row>
    <row r="44" spans="1:19" ht="31.5" x14ac:dyDescent="0.3">
      <c r="A44" s="20" t="s">
        <v>14</v>
      </c>
      <c r="B44" s="189" t="s">
        <v>985</v>
      </c>
      <c r="C44" s="21" t="s">
        <v>140</v>
      </c>
      <c r="D44" s="22" t="s">
        <v>141</v>
      </c>
      <c r="E44" s="22" t="s">
        <v>194</v>
      </c>
      <c r="F44" s="22" t="s">
        <v>195</v>
      </c>
      <c r="G44" s="22" t="s">
        <v>196</v>
      </c>
      <c r="H44" s="84">
        <v>185000</v>
      </c>
      <c r="I44" s="85">
        <v>5459.4</v>
      </c>
      <c r="J44" s="86"/>
      <c r="K44" s="84"/>
      <c r="L44" s="86">
        <v>179540.6</v>
      </c>
      <c r="M44" s="84">
        <v>60000</v>
      </c>
      <c r="N44" s="86">
        <v>70000</v>
      </c>
      <c r="O44" s="87">
        <v>49541</v>
      </c>
      <c r="P44" s="51"/>
      <c r="Q44" s="29">
        <f t="shared" si="2"/>
        <v>-0.39999999999417923</v>
      </c>
      <c r="R44" s="42" t="s">
        <v>197</v>
      </c>
      <c r="S44" s="47" t="s">
        <v>92</v>
      </c>
    </row>
    <row r="45" spans="1:19" ht="21" x14ac:dyDescent="0.3">
      <c r="A45" s="20" t="s">
        <v>14</v>
      </c>
      <c r="B45" s="189" t="s">
        <v>985</v>
      </c>
      <c r="C45" s="21" t="s">
        <v>140</v>
      </c>
      <c r="D45" s="22" t="s">
        <v>141</v>
      </c>
      <c r="E45" s="22" t="s">
        <v>198</v>
      </c>
      <c r="F45" s="22" t="s">
        <v>199</v>
      </c>
      <c r="G45" s="22" t="s">
        <v>200</v>
      </c>
      <c r="H45" s="84">
        <v>90000</v>
      </c>
      <c r="I45" s="85"/>
      <c r="J45" s="86"/>
      <c r="K45" s="84"/>
      <c r="L45" s="86">
        <v>90000</v>
      </c>
      <c r="M45" s="84">
        <v>15000</v>
      </c>
      <c r="N45" s="86">
        <v>45000</v>
      </c>
      <c r="O45" s="87">
        <v>30000</v>
      </c>
      <c r="P45" s="51"/>
      <c r="Q45" s="29">
        <f t="shared" si="2"/>
        <v>0</v>
      </c>
      <c r="R45" s="42" t="s">
        <v>201</v>
      </c>
      <c r="S45" s="47" t="s">
        <v>92</v>
      </c>
    </row>
    <row r="46" spans="1:19" ht="21" x14ac:dyDescent="0.3">
      <c r="A46" s="20" t="s">
        <v>14</v>
      </c>
      <c r="B46" s="189" t="s">
        <v>985</v>
      </c>
      <c r="C46" s="21" t="s">
        <v>140</v>
      </c>
      <c r="D46" s="22" t="s">
        <v>141</v>
      </c>
      <c r="E46" s="22" t="s">
        <v>26</v>
      </c>
      <c r="F46" s="22" t="s">
        <v>27</v>
      </c>
      <c r="G46" s="22" t="s">
        <v>202</v>
      </c>
      <c r="H46" s="84">
        <v>777363</v>
      </c>
      <c r="I46" s="85">
        <v>111178.38</v>
      </c>
      <c r="J46" s="86">
        <v>468475</v>
      </c>
      <c r="K46" s="84">
        <v>96666.01</v>
      </c>
      <c r="L46" s="86">
        <v>101043.61</v>
      </c>
      <c r="M46" s="84">
        <v>50000</v>
      </c>
      <c r="N46" s="86">
        <v>35000</v>
      </c>
      <c r="O46" s="87">
        <v>16044</v>
      </c>
      <c r="P46" s="51"/>
      <c r="Q46" s="29">
        <f t="shared" si="2"/>
        <v>-0.38999999999941792</v>
      </c>
      <c r="R46" s="42" t="s">
        <v>203</v>
      </c>
      <c r="S46" s="47" t="s">
        <v>92</v>
      </c>
    </row>
    <row r="47" spans="1:19" ht="21" x14ac:dyDescent="0.3">
      <c r="A47" s="20" t="s">
        <v>14</v>
      </c>
      <c r="B47" s="189" t="s">
        <v>985</v>
      </c>
      <c r="C47" s="21" t="s">
        <v>140</v>
      </c>
      <c r="D47" s="22" t="s">
        <v>141</v>
      </c>
      <c r="E47" s="22" t="s">
        <v>204</v>
      </c>
      <c r="F47" s="22" t="s">
        <v>205</v>
      </c>
      <c r="G47" s="22" t="s">
        <v>206</v>
      </c>
      <c r="H47" s="84">
        <v>21000</v>
      </c>
      <c r="I47" s="85"/>
      <c r="J47" s="86"/>
      <c r="K47" s="84"/>
      <c r="L47" s="86">
        <v>21000</v>
      </c>
      <c r="M47" s="84">
        <v>5000</v>
      </c>
      <c r="N47" s="86">
        <v>10000</v>
      </c>
      <c r="O47" s="87">
        <v>6000</v>
      </c>
      <c r="P47" s="51"/>
      <c r="Q47" s="29">
        <f t="shared" si="2"/>
        <v>0</v>
      </c>
      <c r="R47" s="42" t="s">
        <v>207</v>
      </c>
      <c r="S47" s="47" t="s">
        <v>92</v>
      </c>
    </row>
    <row r="48" spans="1:19" ht="21" x14ac:dyDescent="0.3">
      <c r="A48" s="20" t="s">
        <v>14</v>
      </c>
      <c r="B48" s="189" t="s">
        <v>985</v>
      </c>
      <c r="C48" s="21" t="s">
        <v>140</v>
      </c>
      <c r="D48" s="22" t="s">
        <v>141</v>
      </c>
      <c r="E48" s="22" t="s">
        <v>122</v>
      </c>
      <c r="F48" s="22" t="s">
        <v>123</v>
      </c>
      <c r="G48" s="22" t="s">
        <v>208</v>
      </c>
      <c r="H48" s="84">
        <v>903674</v>
      </c>
      <c r="I48" s="85"/>
      <c r="J48" s="86"/>
      <c r="K48" s="84"/>
      <c r="L48" s="86">
        <v>903674</v>
      </c>
      <c r="M48" s="84">
        <v>15000</v>
      </c>
      <c r="N48" s="86">
        <v>350000</v>
      </c>
      <c r="O48" s="87">
        <v>538674</v>
      </c>
      <c r="P48" s="51"/>
      <c r="Q48" s="29">
        <f t="shared" si="2"/>
        <v>0</v>
      </c>
      <c r="R48" s="42" t="s">
        <v>209</v>
      </c>
      <c r="S48" s="47" t="s">
        <v>92</v>
      </c>
    </row>
    <row r="49" spans="1:19" ht="63" x14ac:dyDescent="0.3">
      <c r="A49" s="20" t="s">
        <v>14</v>
      </c>
      <c r="B49" s="189" t="s">
        <v>985</v>
      </c>
      <c r="C49" s="21" t="s">
        <v>140</v>
      </c>
      <c r="D49" s="22" t="s">
        <v>141</v>
      </c>
      <c r="E49" s="22" t="s">
        <v>210</v>
      </c>
      <c r="F49" s="22" t="s">
        <v>211</v>
      </c>
      <c r="G49" s="22" t="s">
        <v>212</v>
      </c>
      <c r="H49" s="84">
        <v>153178</v>
      </c>
      <c r="I49" s="85">
        <v>485</v>
      </c>
      <c r="J49" s="86">
        <v>0</v>
      </c>
      <c r="K49" s="84">
        <v>11520</v>
      </c>
      <c r="L49" s="86">
        <v>141173</v>
      </c>
      <c r="M49" s="84">
        <v>50000</v>
      </c>
      <c r="N49" s="86">
        <v>50000</v>
      </c>
      <c r="O49" s="87">
        <v>41173</v>
      </c>
      <c r="P49" s="51"/>
      <c r="Q49" s="29">
        <f t="shared" si="2"/>
        <v>0</v>
      </c>
      <c r="R49" s="42" t="s">
        <v>213</v>
      </c>
      <c r="S49" s="47" t="s">
        <v>92</v>
      </c>
    </row>
    <row r="50" spans="1:19" ht="21" x14ac:dyDescent="0.3">
      <c r="A50" s="20" t="s">
        <v>14</v>
      </c>
      <c r="B50" s="189" t="s">
        <v>985</v>
      </c>
      <c r="C50" s="21" t="s">
        <v>140</v>
      </c>
      <c r="D50" s="22" t="s">
        <v>141</v>
      </c>
      <c r="E50" s="22" t="s">
        <v>29</v>
      </c>
      <c r="F50" s="22" t="s">
        <v>30</v>
      </c>
      <c r="G50" s="22" t="s">
        <v>214</v>
      </c>
      <c r="H50" s="84">
        <v>10000</v>
      </c>
      <c r="I50" s="85"/>
      <c r="J50" s="86"/>
      <c r="K50" s="84"/>
      <c r="L50" s="86">
        <v>10000</v>
      </c>
      <c r="M50" s="86">
        <v>3000</v>
      </c>
      <c r="N50" s="86">
        <v>3000</v>
      </c>
      <c r="O50" s="86">
        <v>4000</v>
      </c>
      <c r="P50" s="51"/>
      <c r="Q50" s="29">
        <f t="shared" si="2"/>
        <v>0</v>
      </c>
      <c r="R50" s="42" t="s">
        <v>215</v>
      </c>
      <c r="S50" s="47" t="s">
        <v>92</v>
      </c>
    </row>
    <row r="51" spans="1:19" ht="31.5" x14ac:dyDescent="0.3">
      <c r="A51" s="20" t="s">
        <v>14</v>
      </c>
      <c r="B51" s="189" t="s">
        <v>985</v>
      </c>
      <c r="C51" s="21" t="s">
        <v>140</v>
      </c>
      <c r="D51" s="22" t="s">
        <v>141</v>
      </c>
      <c r="E51" s="22" t="s">
        <v>35</v>
      </c>
      <c r="F51" s="22" t="s">
        <v>36</v>
      </c>
      <c r="G51" s="22" t="s">
        <v>216</v>
      </c>
      <c r="H51" s="84">
        <v>419000</v>
      </c>
      <c r="I51" s="85"/>
      <c r="J51" s="86"/>
      <c r="K51" s="84"/>
      <c r="L51" s="86">
        <v>419000</v>
      </c>
      <c r="M51" s="84">
        <v>140000</v>
      </c>
      <c r="N51" s="86">
        <v>140000</v>
      </c>
      <c r="O51" s="87">
        <v>139000</v>
      </c>
      <c r="P51" s="51"/>
      <c r="Q51" s="29">
        <f t="shared" si="2"/>
        <v>0</v>
      </c>
      <c r="R51" s="55" t="s">
        <v>217</v>
      </c>
      <c r="S51" s="47" t="s">
        <v>92</v>
      </c>
    </row>
    <row r="52" spans="1:19" ht="31.5" x14ac:dyDescent="0.3">
      <c r="A52" s="20" t="s">
        <v>14</v>
      </c>
      <c r="B52" s="189" t="s">
        <v>985</v>
      </c>
      <c r="C52" s="21" t="s">
        <v>140</v>
      </c>
      <c r="D52" s="22" t="s">
        <v>141</v>
      </c>
      <c r="E52" s="22" t="s">
        <v>126</v>
      </c>
      <c r="F52" s="22" t="s">
        <v>127</v>
      </c>
      <c r="G52" s="22" t="s">
        <v>218</v>
      </c>
      <c r="H52" s="84">
        <v>5000</v>
      </c>
      <c r="I52" s="85">
        <v>709.75</v>
      </c>
      <c r="J52" s="86"/>
      <c r="K52" s="84"/>
      <c r="L52" s="86">
        <v>4290.25</v>
      </c>
      <c r="M52" s="84">
        <v>1000</v>
      </c>
      <c r="N52" s="86">
        <v>2000</v>
      </c>
      <c r="O52" s="87">
        <v>1290</v>
      </c>
      <c r="P52" s="51"/>
      <c r="Q52" s="29">
        <f t="shared" si="2"/>
        <v>0.25</v>
      </c>
      <c r="R52" s="42" t="s">
        <v>219</v>
      </c>
      <c r="S52" s="47" t="s">
        <v>92</v>
      </c>
    </row>
    <row r="53" spans="1:19" ht="42" x14ac:dyDescent="0.3">
      <c r="A53" s="20" t="s">
        <v>14</v>
      </c>
      <c r="B53" s="189" t="s">
        <v>985</v>
      </c>
      <c r="C53" s="21" t="s">
        <v>140</v>
      </c>
      <c r="D53" s="22" t="s">
        <v>141</v>
      </c>
      <c r="E53" s="22" t="s">
        <v>44</v>
      </c>
      <c r="F53" s="22" t="s">
        <v>45</v>
      </c>
      <c r="G53" s="22" t="s">
        <v>220</v>
      </c>
      <c r="H53" s="84">
        <v>26000</v>
      </c>
      <c r="I53" s="85"/>
      <c r="J53" s="86"/>
      <c r="K53" s="84"/>
      <c r="L53" s="86">
        <v>26000</v>
      </c>
      <c r="M53" s="84"/>
      <c r="N53" s="86"/>
      <c r="O53" s="87">
        <v>26000</v>
      </c>
      <c r="P53" s="51"/>
      <c r="Q53" s="29">
        <f t="shared" si="2"/>
        <v>0</v>
      </c>
      <c r="R53" s="42" t="s">
        <v>221</v>
      </c>
      <c r="S53" s="47" t="s">
        <v>92</v>
      </c>
    </row>
    <row r="54" spans="1:19" ht="21" x14ac:dyDescent="0.3">
      <c r="A54" s="20" t="s">
        <v>14</v>
      </c>
      <c r="B54" s="189" t="s">
        <v>985</v>
      </c>
      <c r="C54" s="21" t="s">
        <v>140</v>
      </c>
      <c r="D54" s="22" t="s">
        <v>141</v>
      </c>
      <c r="E54" s="22" t="s">
        <v>50</v>
      </c>
      <c r="F54" s="22" t="s">
        <v>51</v>
      </c>
      <c r="G54" s="22" t="s">
        <v>234</v>
      </c>
      <c r="H54" s="84">
        <v>200000</v>
      </c>
      <c r="I54" s="85"/>
      <c r="J54" s="86"/>
      <c r="K54" s="84"/>
      <c r="L54" s="86">
        <v>200000</v>
      </c>
      <c r="M54" s="86">
        <v>200000</v>
      </c>
      <c r="N54" s="86"/>
      <c r="O54" s="87"/>
      <c r="P54" s="51"/>
      <c r="Q54" s="29">
        <f t="shared" si="2"/>
        <v>0</v>
      </c>
      <c r="R54" s="42" t="s">
        <v>235</v>
      </c>
      <c r="S54" s="47" t="s">
        <v>92</v>
      </c>
    </row>
    <row r="55" spans="1:19" ht="21" x14ac:dyDescent="0.3">
      <c r="A55" s="20" t="s">
        <v>14</v>
      </c>
      <c r="B55" s="189" t="s">
        <v>985</v>
      </c>
      <c r="C55" s="21" t="s">
        <v>140</v>
      </c>
      <c r="D55" s="22" t="s">
        <v>141</v>
      </c>
      <c r="E55" s="22" t="s">
        <v>236</v>
      </c>
      <c r="F55" s="22" t="s">
        <v>237</v>
      </c>
      <c r="G55" s="22" t="s">
        <v>238</v>
      </c>
      <c r="H55" s="84">
        <v>112000</v>
      </c>
      <c r="I55" s="85"/>
      <c r="J55" s="86"/>
      <c r="K55" s="84"/>
      <c r="L55" s="86">
        <v>112000</v>
      </c>
      <c r="M55" s="84">
        <v>30000</v>
      </c>
      <c r="N55" s="86">
        <v>50000</v>
      </c>
      <c r="O55" s="87">
        <v>32000</v>
      </c>
      <c r="P55" s="51"/>
      <c r="Q55" s="29">
        <f t="shared" si="2"/>
        <v>0</v>
      </c>
      <c r="R55" s="42" t="s">
        <v>239</v>
      </c>
      <c r="S55" s="47" t="s">
        <v>92</v>
      </c>
    </row>
    <row r="56" spans="1:19" ht="52.5" x14ac:dyDescent="0.3">
      <c r="A56" s="59" t="s">
        <v>14</v>
      </c>
      <c r="B56" s="189" t="s">
        <v>984</v>
      </c>
      <c r="C56" s="60" t="s">
        <v>252</v>
      </c>
      <c r="D56" s="61" t="s">
        <v>253</v>
      </c>
      <c r="E56" s="61" t="s">
        <v>254</v>
      </c>
      <c r="F56" s="61" t="s">
        <v>255</v>
      </c>
      <c r="G56" s="61" t="s">
        <v>256</v>
      </c>
      <c r="H56" s="62">
        <v>1020620</v>
      </c>
      <c r="I56" s="63"/>
      <c r="J56" s="64"/>
      <c r="K56" s="65"/>
      <c r="L56" s="66">
        <v>1020620</v>
      </c>
      <c r="M56" s="66">
        <v>340206</v>
      </c>
      <c r="N56" s="66">
        <v>340206</v>
      </c>
      <c r="O56" s="66">
        <v>340208</v>
      </c>
      <c r="P56" s="22" t="s">
        <v>257</v>
      </c>
      <c r="Q56" s="67">
        <f>L56-M56-N56-O56</f>
        <v>0</v>
      </c>
      <c r="R56" s="68"/>
      <c r="S56" s="47" t="s">
        <v>92</v>
      </c>
    </row>
    <row r="57" spans="1:19" ht="21" x14ac:dyDescent="0.3">
      <c r="A57" s="59" t="s">
        <v>14</v>
      </c>
      <c r="B57" s="189" t="s">
        <v>984</v>
      </c>
      <c r="C57" s="60" t="s">
        <v>252</v>
      </c>
      <c r="D57" s="61" t="s">
        <v>253</v>
      </c>
      <c r="E57" s="61" t="s">
        <v>102</v>
      </c>
      <c r="F57" s="61" t="s">
        <v>103</v>
      </c>
      <c r="G57" s="61" t="s">
        <v>258</v>
      </c>
      <c r="H57" s="62">
        <v>300000</v>
      </c>
      <c r="I57" s="63"/>
      <c r="J57" s="64"/>
      <c r="K57" s="65"/>
      <c r="L57" s="66">
        <v>300000</v>
      </c>
      <c r="M57" s="66">
        <v>0</v>
      </c>
      <c r="N57" s="66">
        <v>300000</v>
      </c>
      <c r="O57" s="66">
        <v>0</v>
      </c>
      <c r="P57" s="22" t="s">
        <v>259</v>
      </c>
      <c r="Q57" s="67">
        <f t="shared" ref="Q57:Q70" si="4">L57-M57-N57-O57</f>
        <v>0</v>
      </c>
      <c r="R57" s="68"/>
      <c r="S57" s="47" t="s">
        <v>92</v>
      </c>
    </row>
    <row r="58" spans="1:19" ht="21" x14ac:dyDescent="0.3">
      <c r="A58" s="59" t="s">
        <v>14</v>
      </c>
      <c r="B58" s="189" t="s">
        <v>984</v>
      </c>
      <c r="C58" s="60" t="s">
        <v>252</v>
      </c>
      <c r="D58" s="61" t="s">
        <v>253</v>
      </c>
      <c r="E58" s="61" t="s">
        <v>106</v>
      </c>
      <c r="F58" s="61" t="s">
        <v>107</v>
      </c>
      <c r="G58" s="61" t="s">
        <v>260</v>
      </c>
      <c r="H58" s="62">
        <v>34000</v>
      </c>
      <c r="I58" s="63"/>
      <c r="J58" s="64"/>
      <c r="K58" s="65"/>
      <c r="L58" s="66">
        <v>34000</v>
      </c>
      <c r="M58" s="66">
        <v>11000</v>
      </c>
      <c r="N58" s="66">
        <v>11000</v>
      </c>
      <c r="O58" s="66">
        <v>12000</v>
      </c>
      <c r="P58" s="22" t="s">
        <v>261</v>
      </c>
      <c r="Q58" s="67">
        <f t="shared" si="4"/>
        <v>0</v>
      </c>
      <c r="R58" s="68"/>
      <c r="S58" s="47" t="s">
        <v>92</v>
      </c>
    </row>
    <row r="59" spans="1:19" ht="21" x14ac:dyDescent="0.3">
      <c r="A59" s="59" t="s">
        <v>14</v>
      </c>
      <c r="B59" s="189" t="s">
        <v>984</v>
      </c>
      <c r="C59" s="60" t="s">
        <v>252</v>
      </c>
      <c r="D59" s="61" t="s">
        <v>253</v>
      </c>
      <c r="E59" s="61" t="s">
        <v>110</v>
      </c>
      <c r="F59" s="61" t="s">
        <v>111</v>
      </c>
      <c r="G59" s="61" t="s">
        <v>262</v>
      </c>
      <c r="H59" s="62">
        <v>222000</v>
      </c>
      <c r="I59" s="63"/>
      <c r="J59" s="64"/>
      <c r="K59" s="65"/>
      <c r="L59" s="66">
        <v>222000</v>
      </c>
      <c r="M59" s="66">
        <v>74000</v>
      </c>
      <c r="N59" s="66">
        <v>74000</v>
      </c>
      <c r="O59" s="66">
        <v>74000</v>
      </c>
      <c r="P59" s="22" t="s">
        <v>263</v>
      </c>
      <c r="Q59" s="67">
        <f t="shared" si="4"/>
        <v>0</v>
      </c>
      <c r="R59" s="68"/>
      <c r="S59" s="47" t="s">
        <v>92</v>
      </c>
    </row>
    <row r="60" spans="1:19" ht="21" x14ac:dyDescent="0.3">
      <c r="A60" s="59" t="s">
        <v>14</v>
      </c>
      <c r="B60" s="189" t="s">
        <v>984</v>
      </c>
      <c r="C60" s="60" t="s">
        <v>252</v>
      </c>
      <c r="D60" s="61" t="s">
        <v>253</v>
      </c>
      <c r="E60" s="61" t="s">
        <v>264</v>
      </c>
      <c r="F60" s="61" t="s">
        <v>265</v>
      </c>
      <c r="G60" s="61" t="s">
        <v>266</v>
      </c>
      <c r="H60" s="62">
        <v>240000</v>
      </c>
      <c r="I60" s="63"/>
      <c r="J60" s="64"/>
      <c r="K60" s="65"/>
      <c r="L60" s="66">
        <v>240000</v>
      </c>
      <c r="M60" s="66">
        <v>0</v>
      </c>
      <c r="N60" s="66">
        <v>240000</v>
      </c>
      <c r="O60" s="66">
        <v>0</v>
      </c>
      <c r="P60" s="22" t="s">
        <v>267</v>
      </c>
      <c r="Q60" s="67">
        <f t="shared" si="4"/>
        <v>0</v>
      </c>
      <c r="R60" s="68"/>
      <c r="S60" s="47" t="s">
        <v>92</v>
      </c>
    </row>
    <row r="61" spans="1:19" ht="42" x14ac:dyDescent="0.3">
      <c r="A61" s="59" t="s">
        <v>14</v>
      </c>
      <c r="B61" s="189" t="s">
        <v>984</v>
      </c>
      <c r="C61" s="60" t="s">
        <v>252</v>
      </c>
      <c r="D61" s="61" t="s">
        <v>253</v>
      </c>
      <c r="E61" s="61" t="s">
        <v>268</v>
      </c>
      <c r="F61" s="61" t="s">
        <v>269</v>
      </c>
      <c r="G61" s="61" t="s">
        <v>270</v>
      </c>
      <c r="H61" s="62">
        <v>4816800</v>
      </c>
      <c r="I61" s="69">
        <v>588624.56999999995</v>
      </c>
      <c r="J61" s="64"/>
      <c r="K61" s="65"/>
      <c r="L61" s="66">
        <v>4228175.43</v>
      </c>
      <c r="M61" s="66">
        <v>500000</v>
      </c>
      <c r="N61" s="66">
        <v>1000000</v>
      </c>
      <c r="O61" s="66">
        <v>2728175</v>
      </c>
      <c r="P61" s="22" t="s">
        <v>271</v>
      </c>
      <c r="Q61" s="67">
        <f t="shared" si="4"/>
        <v>0.42999999970197678</v>
      </c>
      <c r="R61" s="68"/>
      <c r="S61" s="47" t="s">
        <v>92</v>
      </c>
    </row>
    <row r="62" spans="1:19" ht="31.5" x14ac:dyDescent="0.3">
      <c r="A62" s="59" t="s">
        <v>14</v>
      </c>
      <c r="B62" s="189" t="s">
        <v>984</v>
      </c>
      <c r="C62" s="60" t="s">
        <v>252</v>
      </c>
      <c r="D62" s="61" t="s">
        <v>253</v>
      </c>
      <c r="E62" s="61" t="s">
        <v>172</v>
      </c>
      <c r="F62" s="61" t="s">
        <v>173</v>
      </c>
      <c r="G62" s="61" t="s">
        <v>272</v>
      </c>
      <c r="H62" s="62">
        <v>1971263</v>
      </c>
      <c r="I62" s="69">
        <v>148525</v>
      </c>
      <c r="J62" s="64"/>
      <c r="K62" s="65"/>
      <c r="L62" s="66">
        <v>1822738</v>
      </c>
      <c r="M62" s="66">
        <v>500000</v>
      </c>
      <c r="N62" s="66">
        <v>520000</v>
      </c>
      <c r="O62" s="66">
        <v>802738</v>
      </c>
      <c r="P62" s="70" t="s">
        <v>273</v>
      </c>
      <c r="Q62" s="67">
        <f t="shared" si="4"/>
        <v>0</v>
      </c>
      <c r="R62" s="68"/>
      <c r="S62" s="47" t="s">
        <v>92</v>
      </c>
    </row>
    <row r="63" spans="1:19" ht="31.5" x14ac:dyDescent="0.3">
      <c r="A63" s="59" t="s">
        <v>14</v>
      </c>
      <c r="B63" s="189" t="s">
        <v>984</v>
      </c>
      <c r="C63" s="60" t="s">
        <v>252</v>
      </c>
      <c r="D63" s="61" t="s">
        <v>253</v>
      </c>
      <c r="E63" s="61" t="s">
        <v>180</v>
      </c>
      <c r="F63" s="61" t="s">
        <v>181</v>
      </c>
      <c r="G63" s="61" t="s">
        <v>274</v>
      </c>
      <c r="H63" s="62">
        <v>110824684</v>
      </c>
      <c r="I63" s="69">
        <v>28096601.640000001</v>
      </c>
      <c r="J63" s="64"/>
      <c r="K63" s="65"/>
      <c r="L63" s="66">
        <v>82728082.359999999</v>
      </c>
      <c r="M63" s="66">
        <v>27576000</v>
      </c>
      <c r="N63" s="66">
        <v>27576000</v>
      </c>
      <c r="O63" s="66">
        <v>27576082</v>
      </c>
      <c r="P63" s="71" t="s">
        <v>275</v>
      </c>
      <c r="Q63" s="67">
        <f t="shared" si="4"/>
        <v>0.35999999940395355</v>
      </c>
      <c r="R63" s="68"/>
      <c r="S63" s="47" t="s">
        <v>92</v>
      </c>
    </row>
    <row r="64" spans="1:19" x14ac:dyDescent="0.3">
      <c r="A64" s="59" t="s">
        <v>14</v>
      </c>
      <c r="B64" s="189" t="s">
        <v>984</v>
      </c>
      <c r="C64" s="60" t="s">
        <v>252</v>
      </c>
      <c r="D64" s="61" t="s">
        <v>253</v>
      </c>
      <c r="E64" s="61" t="s">
        <v>276</v>
      </c>
      <c r="F64" s="61" t="s">
        <v>277</v>
      </c>
      <c r="G64" s="61" t="s">
        <v>278</v>
      </c>
      <c r="H64" s="62">
        <v>150000</v>
      </c>
      <c r="I64" s="63"/>
      <c r="J64" s="64"/>
      <c r="K64" s="65"/>
      <c r="L64" s="66">
        <v>150000</v>
      </c>
      <c r="M64" s="66">
        <v>50000</v>
      </c>
      <c r="N64" s="66">
        <v>50000</v>
      </c>
      <c r="O64" s="66">
        <v>50000</v>
      </c>
      <c r="P64" s="71" t="s">
        <v>279</v>
      </c>
      <c r="Q64" s="67">
        <f t="shared" si="4"/>
        <v>0</v>
      </c>
      <c r="R64" s="68"/>
      <c r="S64" s="47" t="s">
        <v>92</v>
      </c>
    </row>
    <row r="65" spans="1:19" ht="31.5" x14ac:dyDescent="0.3">
      <c r="A65" s="59" t="s">
        <v>14</v>
      </c>
      <c r="B65" s="189" t="s">
        <v>984</v>
      </c>
      <c r="C65" s="60" t="s">
        <v>252</v>
      </c>
      <c r="D65" s="61" t="s">
        <v>253</v>
      </c>
      <c r="E65" s="61" t="s">
        <v>188</v>
      </c>
      <c r="F65" s="61" t="s">
        <v>189</v>
      </c>
      <c r="G65" s="61" t="s">
        <v>280</v>
      </c>
      <c r="H65" s="62">
        <v>150000</v>
      </c>
      <c r="I65" s="63"/>
      <c r="J65" s="64"/>
      <c r="K65" s="65"/>
      <c r="L65" s="66">
        <v>150000</v>
      </c>
      <c r="M65" s="66">
        <v>50000</v>
      </c>
      <c r="N65" s="66">
        <v>50000</v>
      </c>
      <c r="O65" s="66">
        <v>50000</v>
      </c>
      <c r="P65" s="71" t="s">
        <v>281</v>
      </c>
      <c r="Q65" s="67">
        <f t="shared" si="4"/>
        <v>0</v>
      </c>
      <c r="R65" s="68"/>
      <c r="S65" s="47" t="s">
        <v>92</v>
      </c>
    </row>
    <row r="66" spans="1:19" ht="31.5" x14ac:dyDescent="0.3">
      <c r="A66" s="59" t="s">
        <v>14</v>
      </c>
      <c r="B66" s="189" t="s">
        <v>984</v>
      </c>
      <c r="C66" s="60" t="s">
        <v>252</v>
      </c>
      <c r="D66" s="61" t="s">
        <v>253</v>
      </c>
      <c r="E66" s="61" t="s">
        <v>194</v>
      </c>
      <c r="F66" s="61" t="s">
        <v>195</v>
      </c>
      <c r="G66" s="61" t="s">
        <v>282</v>
      </c>
      <c r="H66" s="62">
        <v>45648</v>
      </c>
      <c r="I66" s="63"/>
      <c r="J66" s="64"/>
      <c r="K66" s="65"/>
      <c r="L66" s="66">
        <v>45648</v>
      </c>
      <c r="M66" s="66">
        <v>10000</v>
      </c>
      <c r="N66" s="66">
        <v>20000</v>
      </c>
      <c r="O66" s="66">
        <v>15648</v>
      </c>
      <c r="P66" s="22" t="s">
        <v>283</v>
      </c>
      <c r="Q66" s="67">
        <f t="shared" si="4"/>
        <v>0</v>
      </c>
      <c r="R66" s="68"/>
      <c r="S66" s="47" t="s">
        <v>92</v>
      </c>
    </row>
    <row r="67" spans="1:19" x14ac:dyDescent="0.3">
      <c r="A67" s="59" t="s">
        <v>14</v>
      </c>
      <c r="B67" s="189" t="s">
        <v>984</v>
      </c>
      <c r="C67" s="60" t="s">
        <v>252</v>
      </c>
      <c r="D67" s="61" t="s">
        <v>253</v>
      </c>
      <c r="E67" s="61" t="s">
        <v>26</v>
      </c>
      <c r="F67" s="61" t="s">
        <v>27</v>
      </c>
      <c r="G67" s="61" t="s">
        <v>284</v>
      </c>
      <c r="H67" s="62">
        <v>10000</v>
      </c>
      <c r="I67" s="63"/>
      <c r="J67" s="64"/>
      <c r="K67" s="65"/>
      <c r="L67" s="66">
        <v>10000</v>
      </c>
      <c r="M67" s="66">
        <v>0</v>
      </c>
      <c r="N67" s="66">
        <v>0</v>
      </c>
      <c r="O67" s="66">
        <v>10000</v>
      </c>
      <c r="P67" s="22" t="s">
        <v>285</v>
      </c>
      <c r="Q67" s="67">
        <f t="shared" si="4"/>
        <v>0</v>
      </c>
      <c r="R67" s="68"/>
      <c r="S67" s="47" t="s">
        <v>92</v>
      </c>
    </row>
    <row r="68" spans="1:19" ht="21" x14ac:dyDescent="0.3">
      <c r="A68" s="59" t="s">
        <v>14</v>
      </c>
      <c r="B68" s="189" t="s">
        <v>984</v>
      </c>
      <c r="C68" s="60" t="s">
        <v>252</v>
      </c>
      <c r="D68" s="61" t="s">
        <v>253</v>
      </c>
      <c r="E68" s="61" t="s">
        <v>35</v>
      </c>
      <c r="F68" s="61" t="s">
        <v>36</v>
      </c>
      <c r="G68" s="61" t="s">
        <v>286</v>
      </c>
      <c r="H68" s="62">
        <v>97000</v>
      </c>
      <c r="I68" s="63"/>
      <c r="J68" s="64"/>
      <c r="K68" s="65"/>
      <c r="L68" s="66">
        <v>97000</v>
      </c>
      <c r="M68" s="66">
        <v>30000</v>
      </c>
      <c r="N68" s="66">
        <v>30000</v>
      </c>
      <c r="O68" s="66">
        <v>37000</v>
      </c>
      <c r="P68" s="22" t="s">
        <v>287</v>
      </c>
      <c r="Q68" s="67">
        <f t="shared" si="4"/>
        <v>0</v>
      </c>
      <c r="R68" s="68"/>
      <c r="S68" s="47" t="s">
        <v>92</v>
      </c>
    </row>
    <row r="69" spans="1:19" ht="31.5" x14ac:dyDescent="0.3">
      <c r="A69" s="59" t="s">
        <v>14</v>
      </c>
      <c r="B69" s="189" t="s">
        <v>984</v>
      </c>
      <c r="C69" s="60" t="s">
        <v>252</v>
      </c>
      <c r="D69" s="61" t="s">
        <v>253</v>
      </c>
      <c r="E69" s="61" t="s">
        <v>126</v>
      </c>
      <c r="F69" s="61" t="s">
        <v>127</v>
      </c>
      <c r="G69" s="61" t="s">
        <v>288</v>
      </c>
      <c r="H69" s="62">
        <v>80000</v>
      </c>
      <c r="I69" s="63"/>
      <c r="J69" s="64"/>
      <c r="K69" s="65"/>
      <c r="L69" s="66">
        <v>80000</v>
      </c>
      <c r="M69" s="66">
        <v>10000</v>
      </c>
      <c r="N69" s="66">
        <v>40000</v>
      </c>
      <c r="O69" s="66">
        <v>30000</v>
      </c>
      <c r="P69" s="70" t="s">
        <v>289</v>
      </c>
      <c r="Q69" s="67">
        <f t="shared" si="4"/>
        <v>0</v>
      </c>
      <c r="R69" s="68"/>
      <c r="S69" s="47" t="s">
        <v>92</v>
      </c>
    </row>
    <row r="70" spans="1:19" ht="21" x14ac:dyDescent="0.3">
      <c r="A70" s="59" t="s">
        <v>14</v>
      </c>
      <c r="B70" s="189" t="s">
        <v>984</v>
      </c>
      <c r="C70" s="60" t="s">
        <v>252</v>
      </c>
      <c r="D70" s="61" t="s">
        <v>253</v>
      </c>
      <c r="E70" s="61" t="s">
        <v>50</v>
      </c>
      <c r="F70" s="61" t="s">
        <v>51</v>
      </c>
      <c r="G70" s="61" t="s">
        <v>290</v>
      </c>
      <c r="H70" s="62">
        <v>5000</v>
      </c>
      <c r="I70" s="63"/>
      <c r="J70" s="64"/>
      <c r="K70" s="65"/>
      <c r="L70" s="66">
        <v>5000</v>
      </c>
      <c r="M70" s="66">
        <v>0</v>
      </c>
      <c r="N70" s="66">
        <v>0</v>
      </c>
      <c r="O70" s="66">
        <v>5000</v>
      </c>
      <c r="P70" s="22" t="s">
        <v>291</v>
      </c>
      <c r="Q70" s="67">
        <f t="shared" si="4"/>
        <v>0</v>
      </c>
      <c r="R70" s="68"/>
      <c r="S70" s="47" t="s">
        <v>92</v>
      </c>
    </row>
    <row r="71" spans="1:19" ht="21" x14ac:dyDescent="0.3">
      <c r="A71" s="106" t="s">
        <v>14</v>
      </c>
      <c r="B71" s="190" t="s">
        <v>982</v>
      </c>
      <c r="C71" s="107" t="s">
        <v>294</v>
      </c>
      <c r="D71" s="71" t="s">
        <v>295</v>
      </c>
      <c r="E71" s="71" t="s">
        <v>102</v>
      </c>
      <c r="F71" s="71" t="s">
        <v>103</v>
      </c>
      <c r="G71" s="71" t="s">
        <v>296</v>
      </c>
      <c r="H71" s="108">
        <v>107500</v>
      </c>
      <c r="I71" s="24"/>
      <c r="J71" s="25"/>
      <c r="K71" s="26"/>
      <c r="L71" s="109">
        <v>107500</v>
      </c>
      <c r="M71" s="26"/>
      <c r="N71" s="25">
        <v>107500</v>
      </c>
      <c r="O71" s="28"/>
      <c r="P71" s="28"/>
      <c r="Q71" s="110">
        <f>L71-M71-N71-O71</f>
        <v>0</v>
      </c>
      <c r="R71" s="111"/>
      <c r="S71" s="47" t="s">
        <v>92</v>
      </c>
    </row>
    <row r="72" spans="1:19" ht="21" x14ac:dyDescent="0.3">
      <c r="A72" s="106" t="s">
        <v>14</v>
      </c>
      <c r="B72" s="190" t="s">
        <v>982</v>
      </c>
      <c r="C72" s="107" t="s">
        <v>294</v>
      </c>
      <c r="D72" s="71" t="s">
        <v>295</v>
      </c>
      <c r="E72" s="71" t="s">
        <v>106</v>
      </c>
      <c r="F72" s="71" t="s">
        <v>107</v>
      </c>
      <c r="G72" s="71" t="s">
        <v>297</v>
      </c>
      <c r="H72" s="108">
        <v>100000</v>
      </c>
      <c r="I72" s="24"/>
      <c r="J72" s="25"/>
      <c r="K72" s="26"/>
      <c r="L72" s="109">
        <v>100000</v>
      </c>
      <c r="M72" s="26"/>
      <c r="N72" s="25"/>
      <c r="O72" s="28"/>
      <c r="P72" s="28"/>
      <c r="Q72" s="110">
        <f t="shared" ref="Q72:Q76" si="5">L72-M72-N72-O72</f>
        <v>100000</v>
      </c>
      <c r="R72" s="111">
        <v>100000</v>
      </c>
      <c r="S72" s="47" t="s">
        <v>92</v>
      </c>
    </row>
    <row r="73" spans="1:19" ht="21" x14ac:dyDescent="0.3">
      <c r="A73" s="106" t="s">
        <v>14</v>
      </c>
      <c r="B73" s="190" t="s">
        <v>982</v>
      </c>
      <c r="C73" s="107" t="s">
        <v>294</v>
      </c>
      <c r="D73" s="71" t="s">
        <v>295</v>
      </c>
      <c r="E73" s="71" t="s">
        <v>164</v>
      </c>
      <c r="F73" s="71" t="s">
        <v>165</v>
      </c>
      <c r="G73" s="71" t="s">
        <v>298</v>
      </c>
      <c r="H73" s="108">
        <v>76120</v>
      </c>
      <c r="I73" s="24"/>
      <c r="J73" s="25"/>
      <c r="K73" s="26"/>
      <c r="L73" s="109">
        <v>76120</v>
      </c>
      <c r="M73" s="26"/>
      <c r="N73" s="25"/>
      <c r="O73" s="28"/>
      <c r="P73" s="28"/>
      <c r="Q73" s="110">
        <f t="shared" si="5"/>
        <v>76120</v>
      </c>
      <c r="R73" s="111">
        <v>76120</v>
      </c>
      <c r="S73" s="47" t="s">
        <v>92</v>
      </c>
    </row>
    <row r="74" spans="1:19" ht="21" x14ac:dyDescent="0.3">
      <c r="A74" s="106" t="s">
        <v>14</v>
      </c>
      <c r="B74" s="190" t="s">
        <v>982</v>
      </c>
      <c r="C74" s="107" t="s">
        <v>294</v>
      </c>
      <c r="D74" s="71" t="s">
        <v>295</v>
      </c>
      <c r="E74" s="71" t="s">
        <v>194</v>
      </c>
      <c r="F74" s="71" t="s">
        <v>195</v>
      </c>
      <c r="G74" s="71" t="s">
        <v>299</v>
      </c>
      <c r="H74" s="108">
        <v>162500</v>
      </c>
      <c r="I74" s="24"/>
      <c r="J74" s="25"/>
      <c r="K74" s="26"/>
      <c r="L74" s="109">
        <v>162500</v>
      </c>
      <c r="M74" s="26"/>
      <c r="N74" s="25"/>
      <c r="O74" s="28"/>
      <c r="P74" s="28"/>
      <c r="Q74" s="110">
        <f t="shared" si="5"/>
        <v>162500</v>
      </c>
      <c r="R74" s="111">
        <v>162500</v>
      </c>
      <c r="S74" s="47" t="s">
        <v>92</v>
      </c>
    </row>
    <row r="75" spans="1:19" ht="21" x14ac:dyDescent="0.3">
      <c r="A75" s="106" t="s">
        <v>14</v>
      </c>
      <c r="B75" s="190" t="s">
        <v>982</v>
      </c>
      <c r="C75" s="107" t="s">
        <v>294</v>
      </c>
      <c r="D75" s="71" t="s">
        <v>295</v>
      </c>
      <c r="E75" s="71" t="s">
        <v>50</v>
      </c>
      <c r="F75" s="71" t="s">
        <v>51</v>
      </c>
      <c r="G75" s="71" t="s">
        <v>300</v>
      </c>
      <c r="H75" s="108">
        <v>50625</v>
      </c>
      <c r="I75" s="24"/>
      <c r="J75" s="25"/>
      <c r="K75" s="26"/>
      <c r="L75" s="109">
        <v>50625</v>
      </c>
      <c r="M75" s="26"/>
      <c r="N75" s="109">
        <v>50625</v>
      </c>
      <c r="O75" s="28"/>
      <c r="P75" s="28"/>
      <c r="Q75" s="110">
        <f t="shared" si="5"/>
        <v>0</v>
      </c>
      <c r="R75" s="111"/>
      <c r="S75" s="47" t="s">
        <v>92</v>
      </c>
    </row>
    <row r="76" spans="1:19" ht="21" x14ac:dyDescent="0.3">
      <c r="A76" s="106" t="s">
        <v>14</v>
      </c>
      <c r="B76" s="190" t="s">
        <v>982</v>
      </c>
      <c r="C76" s="107" t="s">
        <v>294</v>
      </c>
      <c r="D76" s="71" t="s">
        <v>295</v>
      </c>
      <c r="E76" s="71" t="s">
        <v>236</v>
      </c>
      <c r="F76" s="71" t="s">
        <v>237</v>
      </c>
      <c r="G76" s="71" t="s">
        <v>301</v>
      </c>
      <c r="H76" s="108">
        <v>5625</v>
      </c>
      <c r="I76" s="24"/>
      <c r="J76" s="25"/>
      <c r="K76" s="26"/>
      <c r="L76" s="109">
        <v>5625</v>
      </c>
      <c r="M76" s="26"/>
      <c r="N76" s="109">
        <v>5625</v>
      </c>
      <c r="O76" s="28"/>
      <c r="P76" s="28"/>
      <c r="Q76" s="110">
        <f t="shared" si="5"/>
        <v>0</v>
      </c>
      <c r="R76" s="111"/>
      <c r="S76" s="47" t="s">
        <v>92</v>
      </c>
    </row>
    <row r="77" spans="1:19" ht="115.5" x14ac:dyDescent="0.3">
      <c r="A77" s="106" t="s">
        <v>14</v>
      </c>
      <c r="B77" s="189" t="s">
        <v>981</v>
      </c>
      <c r="C77" s="107" t="s">
        <v>302</v>
      </c>
      <c r="D77" s="71" t="s">
        <v>303</v>
      </c>
      <c r="E77" s="71" t="s">
        <v>304</v>
      </c>
      <c r="F77" s="71" t="s">
        <v>305</v>
      </c>
      <c r="G77" s="71" t="s">
        <v>306</v>
      </c>
      <c r="H77" s="108">
        <v>295000</v>
      </c>
      <c r="I77" s="112">
        <v>60000</v>
      </c>
      <c r="J77" s="25"/>
      <c r="K77" s="26"/>
      <c r="L77" s="109">
        <v>235000</v>
      </c>
      <c r="M77" s="109">
        <f>90900+35350+60600</f>
        <v>186850</v>
      </c>
      <c r="N77" s="109">
        <f>35350</f>
        <v>35350</v>
      </c>
      <c r="O77" s="109"/>
      <c r="P77" s="113" t="s">
        <v>307</v>
      </c>
      <c r="Q77" s="110">
        <f>L77-M77-N77-O77</f>
        <v>12800</v>
      </c>
      <c r="R77" s="113" t="s">
        <v>308</v>
      </c>
      <c r="S77" s="47" t="s">
        <v>92</v>
      </c>
    </row>
    <row r="78" spans="1:19" x14ac:dyDescent="0.3">
      <c r="A78" s="106" t="s">
        <v>14</v>
      </c>
      <c r="B78" s="189" t="s">
        <v>981</v>
      </c>
      <c r="C78" s="107" t="s">
        <v>302</v>
      </c>
      <c r="D78" s="71" t="s">
        <v>303</v>
      </c>
      <c r="E78" s="71" t="s">
        <v>23</v>
      </c>
      <c r="F78" s="71" t="s">
        <v>24</v>
      </c>
      <c r="G78" s="71" t="s">
        <v>309</v>
      </c>
      <c r="H78" s="108">
        <v>31160</v>
      </c>
      <c r="I78" s="112">
        <v>31000</v>
      </c>
      <c r="J78" s="25"/>
      <c r="K78" s="26"/>
      <c r="L78" s="109">
        <v>160</v>
      </c>
      <c r="M78" s="109"/>
      <c r="N78" s="109"/>
      <c r="O78" s="109"/>
      <c r="P78" s="113"/>
      <c r="Q78" s="110">
        <f>L78-M78-N78-O78</f>
        <v>160</v>
      </c>
      <c r="R78" s="113"/>
      <c r="S78" s="47" t="s">
        <v>92</v>
      </c>
    </row>
    <row r="79" spans="1:19" ht="21" x14ac:dyDescent="0.3">
      <c r="A79" s="106" t="s">
        <v>14</v>
      </c>
      <c r="B79" s="189" t="s">
        <v>981</v>
      </c>
      <c r="C79" s="107" t="s">
        <v>302</v>
      </c>
      <c r="D79" s="71" t="s">
        <v>303</v>
      </c>
      <c r="E79" s="71" t="s">
        <v>310</v>
      </c>
      <c r="F79" s="71" t="s">
        <v>311</v>
      </c>
      <c r="G79" s="71" t="s">
        <v>312</v>
      </c>
      <c r="H79" s="108">
        <v>416100</v>
      </c>
      <c r="I79" s="24"/>
      <c r="J79" s="114">
        <v>0</v>
      </c>
      <c r="K79" s="108">
        <v>416100</v>
      </c>
      <c r="L79" s="109">
        <v>0</v>
      </c>
      <c r="M79" s="109"/>
      <c r="N79" s="109"/>
      <c r="O79" s="109"/>
      <c r="P79" s="113"/>
      <c r="Q79" s="110">
        <f t="shared" ref="Q79:Q84" si="6">L79-M79-N79-O79</f>
        <v>0</v>
      </c>
      <c r="R79" s="113"/>
      <c r="S79" s="47" t="s">
        <v>92</v>
      </c>
    </row>
    <row r="80" spans="1:19" x14ac:dyDescent="0.3">
      <c r="A80" s="106" t="s">
        <v>14</v>
      </c>
      <c r="B80" s="189" t="s">
        <v>981</v>
      </c>
      <c r="C80" s="107" t="s">
        <v>302</v>
      </c>
      <c r="D80" s="71" t="s">
        <v>303</v>
      </c>
      <c r="E80" s="71" t="s">
        <v>313</v>
      </c>
      <c r="F80" s="71" t="s">
        <v>314</v>
      </c>
      <c r="G80" s="71" t="s">
        <v>315</v>
      </c>
      <c r="H80" s="108">
        <v>3600</v>
      </c>
      <c r="I80" s="112">
        <v>141.13999999999999</v>
      </c>
      <c r="J80" s="25"/>
      <c r="K80" s="26"/>
      <c r="L80" s="109">
        <v>3458.86</v>
      </c>
      <c r="M80" s="109">
        <f>L80/3</f>
        <v>1152.9533333333334</v>
      </c>
      <c r="N80" s="109">
        <v>1152.9533333333334</v>
      </c>
      <c r="O80" s="109">
        <v>1152.9533333333334</v>
      </c>
      <c r="P80" s="115" t="s">
        <v>316</v>
      </c>
      <c r="Q80" s="110">
        <f t="shared" si="6"/>
        <v>0</v>
      </c>
      <c r="R80" s="115"/>
      <c r="S80" s="47" t="s">
        <v>92</v>
      </c>
    </row>
    <row r="81" spans="1:19" ht="21" x14ac:dyDescent="0.3">
      <c r="A81" s="106" t="s">
        <v>14</v>
      </c>
      <c r="B81" s="189" t="s">
        <v>981</v>
      </c>
      <c r="C81" s="107" t="s">
        <v>302</v>
      </c>
      <c r="D81" s="71" t="s">
        <v>303</v>
      </c>
      <c r="E81" s="71" t="s">
        <v>317</v>
      </c>
      <c r="F81" s="71" t="s">
        <v>318</v>
      </c>
      <c r="G81" s="71" t="s">
        <v>319</v>
      </c>
      <c r="H81" s="108">
        <v>90000</v>
      </c>
      <c r="I81" s="112">
        <v>37121.129999999997</v>
      </c>
      <c r="J81" s="25"/>
      <c r="K81" s="26"/>
      <c r="L81" s="109">
        <v>52878.87</v>
      </c>
      <c r="M81" s="109">
        <f>L81/3</f>
        <v>17626.29</v>
      </c>
      <c r="N81" s="109">
        <v>17626.29</v>
      </c>
      <c r="O81" s="109">
        <v>17626.29</v>
      </c>
      <c r="P81" s="115" t="s">
        <v>316</v>
      </c>
      <c r="Q81" s="110">
        <f t="shared" si="6"/>
        <v>0</v>
      </c>
      <c r="R81" s="115"/>
      <c r="S81" s="47" t="s">
        <v>92</v>
      </c>
    </row>
    <row r="82" spans="1:19" ht="21" x14ac:dyDescent="0.3">
      <c r="A82" s="106" t="s">
        <v>14</v>
      </c>
      <c r="B82" s="189" t="s">
        <v>981</v>
      </c>
      <c r="C82" s="107" t="s">
        <v>302</v>
      </c>
      <c r="D82" s="71" t="s">
        <v>303</v>
      </c>
      <c r="E82" s="71" t="s">
        <v>26</v>
      </c>
      <c r="F82" s="71" t="s">
        <v>27</v>
      </c>
      <c r="G82" s="71" t="s">
        <v>320</v>
      </c>
      <c r="H82" s="108">
        <v>31680</v>
      </c>
      <c r="I82" s="24"/>
      <c r="J82" s="25"/>
      <c r="K82" s="26"/>
      <c r="L82" s="109">
        <v>31680</v>
      </c>
      <c r="M82" s="109"/>
      <c r="N82" s="109">
        <f>L82</f>
        <v>31680</v>
      </c>
      <c r="O82" s="109"/>
      <c r="P82" s="115" t="s">
        <v>321</v>
      </c>
      <c r="Q82" s="110">
        <f t="shared" si="6"/>
        <v>0</v>
      </c>
      <c r="R82" s="115"/>
      <c r="S82" s="47" t="s">
        <v>92</v>
      </c>
    </row>
    <row r="83" spans="1:19" x14ac:dyDescent="0.3">
      <c r="A83" s="106" t="s">
        <v>14</v>
      </c>
      <c r="B83" s="189" t="s">
        <v>981</v>
      </c>
      <c r="C83" s="107" t="s">
        <v>302</v>
      </c>
      <c r="D83" s="71" t="s">
        <v>303</v>
      </c>
      <c r="E83" s="71" t="s">
        <v>50</v>
      </c>
      <c r="F83" s="71" t="s">
        <v>51</v>
      </c>
      <c r="G83" s="71" t="s">
        <v>322</v>
      </c>
      <c r="H83" s="26"/>
      <c r="I83" s="112">
        <v>0</v>
      </c>
      <c r="J83" s="25"/>
      <c r="K83" s="26"/>
      <c r="L83" s="109">
        <v>0</v>
      </c>
      <c r="M83" s="109"/>
      <c r="N83" s="109"/>
      <c r="O83" s="109"/>
      <c r="P83" s="109"/>
      <c r="Q83" s="110">
        <f t="shared" si="6"/>
        <v>0</v>
      </c>
      <c r="R83" s="113"/>
      <c r="S83" s="47" t="s">
        <v>92</v>
      </c>
    </row>
    <row r="84" spans="1:19" x14ac:dyDescent="0.3">
      <c r="A84" s="106" t="s">
        <v>14</v>
      </c>
      <c r="B84" s="189" t="s">
        <v>981</v>
      </c>
      <c r="C84" s="107" t="s">
        <v>302</v>
      </c>
      <c r="D84" s="71" t="s">
        <v>303</v>
      </c>
      <c r="E84" s="71" t="s">
        <v>236</v>
      </c>
      <c r="F84" s="71" t="s">
        <v>237</v>
      </c>
      <c r="G84" s="71" t="s">
        <v>323</v>
      </c>
      <c r="H84" s="108">
        <v>2500</v>
      </c>
      <c r="I84" s="24"/>
      <c r="J84" s="25"/>
      <c r="K84" s="26"/>
      <c r="L84" s="109">
        <v>2500</v>
      </c>
      <c r="M84" s="109"/>
      <c r="N84" s="109"/>
      <c r="O84" s="109"/>
      <c r="P84" s="109"/>
      <c r="Q84" s="110">
        <f t="shared" si="6"/>
        <v>2500</v>
      </c>
      <c r="R84" s="113"/>
      <c r="S84" s="47" t="s">
        <v>92</v>
      </c>
    </row>
    <row r="85" spans="1:19" ht="21" x14ac:dyDescent="0.3">
      <c r="A85" s="20" t="s">
        <v>14</v>
      </c>
      <c r="B85" s="189" t="s">
        <v>984</v>
      </c>
      <c r="C85" s="21" t="s">
        <v>324</v>
      </c>
      <c r="D85" s="22" t="s">
        <v>325</v>
      </c>
      <c r="E85" s="22" t="s">
        <v>194</v>
      </c>
      <c r="F85" s="22" t="s">
        <v>195</v>
      </c>
      <c r="G85" s="22" t="s">
        <v>326</v>
      </c>
      <c r="H85" s="23">
        <v>15000</v>
      </c>
      <c r="I85" s="24"/>
      <c r="J85" s="52">
        <v>0</v>
      </c>
      <c r="K85" s="23">
        <v>13190.4</v>
      </c>
      <c r="L85" s="27">
        <v>1809.6</v>
      </c>
      <c r="M85" s="116"/>
      <c r="N85" s="117"/>
      <c r="O85" s="28"/>
      <c r="P85" s="28"/>
      <c r="Q85" s="29">
        <f>L85-M85-N85-O85</f>
        <v>1809.6</v>
      </c>
      <c r="R85" s="118"/>
      <c r="S85" s="47" t="s">
        <v>92</v>
      </c>
    </row>
    <row r="86" spans="1:19" ht="63" x14ac:dyDescent="0.3">
      <c r="A86" s="20" t="s">
        <v>14</v>
      </c>
      <c r="B86" s="189" t="s">
        <v>984</v>
      </c>
      <c r="C86" s="21" t="s">
        <v>324</v>
      </c>
      <c r="D86" s="22" t="s">
        <v>325</v>
      </c>
      <c r="E86" s="22" t="s">
        <v>35</v>
      </c>
      <c r="F86" s="22" t="s">
        <v>36</v>
      </c>
      <c r="G86" s="22" t="s">
        <v>327</v>
      </c>
      <c r="H86" s="23">
        <v>100000</v>
      </c>
      <c r="I86" s="24"/>
      <c r="J86" s="25"/>
      <c r="K86" s="26"/>
      <c r="L86" s="27">
        <v>100000</v>
      </c>
      <c r="M86" s="116"/>
      <c r="N86" s="119">
        <v>100000</v>
      </c>
      <c r="O86" s="28"/>
      <c r="P86" s="28"/>
      <c r="Q86" s="29">
        <f t="shared" ref="Q86:Q136" si="7">L86-M86-N86-O86</f>
        <v>0</v>
      </c>
      <c r="R86" s="22" t="s">
        <v>328</v>
      </c>
      <c r="S86" s="47" t="s">
        <v>92</v>
      </c>
    </row>
    <row r="87" spans="1:19" ht="21" x14ac:dyDescent="0.3">
      <c r="A87" s="20" t="s">
        <v>14</v>
      </c>
      <c r="B87" s="189" t="s">
        <v>984</v>
      </c>
      <c r="C87" s="21" t="s">
        <v>324</v>
      </c>
      <c r="D87" s="22" t="s">
        <v>325</v>
      </c>
      <c r="E87" s="22" t="s">
        <v>126</v>
      </c>
      <c r="F87" s="22" t="s">
        <v>127</v>
      </c>
      <c r="G87" s="22" t="s">
        <v>329</v>
      </c>
      <c r="H87" s="23">
        <v>20000</v>
      </c>
      <c r="I87" s="24"/>
      <c r="J87" s="25"/>
      <c r="K87" s="26"/>
      <c r="L87" s="27">
        <v>20000</v>
      </c>
      <c r="M87" s="116"/>
      <c r="N87" s="119"/>
      <c r="O87" s="28"/>
      <c r="P87" s="28"/>
      <c r="Q87" s="29">
        <f t="shared" si="7"/>
        <v>20000</v>
      </c>
      <c r="R87" s="118"/>
      <c r="S87" s="47" t="s">
        <v>92</v>
      </c>
    </row>
    <row r="88" spans="1:19" ht="21" x14ac:dyDescent="0.3">
      <c r="A88" s="20" t="s">
        <v>14</v>
      </c>
      <c r="B88" s="189" t="s">
        <v>984</v>
      </c>
      <c r="C88" s="21" t="s">
        <v>324</v>
      </c>
      <c r="D88" s="22" t="s">
        <v>325</v>
      </c>
      <c r="E88" s="22" t="s">
        <v>232</v>
      </c>
      <c r="F88" s="22" t="s">
        <v>233</v>
      </c>
      <c r="G88" s="22" t="s">
        <v>330</v>
      </c>
      <c r="H88" s="23">
        <v>20000</v>
      </c>
      <c r="I88" s="24"/>
      <c r="J88" s="25"/>
      <c r="K88" s="26"/>
      <c r="L88" s="27">
        <v>20000</v>
      </c>
      <c r="M88" s="116"/>
      <c r="N88" s="119"/>
      <c r="O88" s="28"/>
      <c r="P88" s="28"/>
      <c r="Q88" s="29">
        <f t="shared" si="7"/>
        <v>20000</v>
      </c>
      <c r="R88" s="118"/>
      <c r="S88" s="47" t="s">
        <v>92</v>
      </c>
    </row>
    <row r="89" spans="1:19" ht="21" x14ac:dyDescent="0.3">
      <c r="A89" s="30" t="s">
        <v>14</v>
      </c>
      <c r="B89" s="189" t="s">
        <v>984</v>
      </c>
      <c r="C89" s="31" t="s">
        <v>331</v>
      </c>
      <c r="D89" s="32" t="s">
        <v>332</v>
      </c>
      <c r="E89" s="32" t="s">
        <v>106</v>
      </c>
      <c r="F89" s="32" t="s">
        <v>107</v>
      </c>
      <c r="G89" s="32" t="s">
        <v>333</v>
      </c>
      <c r="H89" s="33">
        <v>2200</v>
      </c>
      <c r="I89" s="37"/>
      <c r="J89" s="38"/>
      <c r="K89" s="39"/>
      <c r="L89" s="36">
        <v>2200</v>
      </c>
      <c r="M89" s="120"/>
      <c r="N89" s="121"/>
      <c r="O89" s="122"/>
      <c r="P89" s="122"/>
      <c r="Q89" s="123">
        <f t="shared" si="7"/>
        <v>2200</v>
      </c>
      <c r="R89" s="124"/>
      <c r="S89" s="47" t="s">
        <v>92</v>
      </c>
    </row>
    <row r="90" spans="1:19" ht="73.5" x14ac:dyDescent="0.3">
      <c r="A90" s="30" t="s">
        <v>14</v>
      </c>
      <c r="B90" s="189" t="s">
        <v>984</v>
      </c>
      <c r="C90" s="31" t="s">
        <v>331</v>
      </c>
      <c r="D90" s="32" t="s">
        <v>332</v>
      </c>
      <c r="E90" s="32" t="s">
        <v>334</v>
      </c>
      <c r="F90" s="32" t="s">
        <v>335</v>
      </c>
      <c r="G90" s="32" t="s">
        <v>336</v>
      </c>
      <c r="H90" s="33">
        <v>80501600</v>
      </c>
      <c r="I90" s="34">
        <v>22544339.32</v>
      </c>
      <c r="J90" s="38"/>
      <c r="K90" s="39"/>
      <c r="L90" s="36">
        <v>57957260.68</v>
      </c>
      <c r="M90" s="120">
        <v>22283540.329999998</v>
      </c>
      <c r="N90" s="121"/>
      <c r="O90" s="122">
        <v>35673720</v>
      </c>
      <c r="P90" s="122"/>
      <c r="Q90" s="123">
        <f t="shared" si="7"/>
        <v>0.35000000149011612</v>
      </c>
      <c r="R90" s="124" t="s">
        <v>337</v>
      </c>
      <c r="S90" s="47" t="s">
        <v>92</v>
      </c>
    </row>
    <row r="91" spans="1:19" ht="21" x14ac:dyDescent="0.3">
      <c r="A91" s="30" t="s">
        <v>14</v>
      </c>
      <c r="B91" s="189" t="s">
        <v>984</v>
      </c>
      <c r="C91" s="31" t="s">
        <v>331</v>
      </c>
      <c r="D91" s="32" t="s">
        <v>332</v>
      </c>
      <c r="E91" s="32" t="s">
        <v>204</v>
      </c>
      <c r="F91" s="32" t="s">
        <v>205</v>
      </c>
      <c r="G91" s="32" t="s">
        <v>338</v>
      </c>
      <c r="H91" s="33">
        <v>11000</v>
      </c>
      <c r="I91" s="37"/>
      <c r="J91" s="38"/>
      <c r="K91" s="39"/>
      <c r="L91" s="36">
        <v>11000</v>
      </c>
      <c r="M91" s="120"/>
      <c r="N91" s="121"/>
      <c r="O91" s="122"/>
      <c r="P91" s="122"/>
      <c r="Q91" s="123">
        <f t="shared" si="7"/>
        <v>11000</v>
      </c>
      <c r="R91" s="124"/>
      <c r="S91" s="47" t="s">
        <v>92</v>
      </c>
    </row>
    <row r="92" spans="1:19" x14ac:dyDescent="0.3">
      <c r="A92" s="30" t="s">
        <v>14</v>
      </c>
      <c r="B92" s="189" t="s">
        <v>984</v>
      </c>
      <c r="C92" s="31" t="s">
        <v>331</v>
      </c>
      <c r="D92" s="32" t="s">
        <v>332</v>
      </c>
      <c r="E92" s="32" t="s">
        <v>226</v>
      </c>
      <c r="F92" s="32" t="s">
        <v>227</v>
      </c>
      <c r="G92" s="32" t="s">
        <v>339</v>
      </c>
      <c r="H92" s="33">
        <v>9500000</v>
      </c>
      <c r="I92" s="37"/>
      <c r="J92" s="38"/>
      <c r="K92" s="39"/>
      <c r="L92" s="36">
        <v>9500000</v>
      </c>
      <c r="M92" s="120"/>
      <c r="N92" s="36">
        <v>9500000</v>
      </c>
      <c r="O92" s="122"/>
      <c r="P92" s="122"/>
      <c r="Q92" s="123">
        <f t="shared" si="7"/>
        <v>0</v>
      </c>
      <c r="R92" s="124" t="s">
        <v>340</v>
      </c>
      <c r="S92" s="47" t="s">
        <v>92</v>
      </c>
    </row>
    <row r="93" spans="1:19" x14ac:dyDescent="0.3">
      <c r="A93" s="30" t="s">
        <v>14</v>
      </c>
      <c r="B93" s="189" t="s">
        <v>984</v>
      </c>
      <c r="C93" s="31" t="s">
        <v>331</v>
      </c>
      <c r="D93" s="32" t="s">
        <v>332</v>
      </c>
      <c r="E93" s="32" t="s">
        <v>50</v>
      </c>
      <c r="F93" s="32" t="s">
        <v>51</v>
      </c>
      <c r="G93" s="32" t="s">
        <v>341</v>
      </c>
      <c r="H93" s="33">
        <v>300000</v>
      </c>
      <c r="I93" s="37"/>
      <c r="J93" s="35">
        <v>63500</v>
      </c>
      <c r="K93" s="33">
        <v>52000</v>
      </c>
      <c r="L93" s="36">
        <v>184500</v>
      </c>
      <c r="M93" s="120"/>
      <c r="N93" s="121"/>
      <c r="O93" s="122"/>
      <c r="P93" s="122"/>
      <c r="Q93" s="123">
        <f t="shared" si="7"/>
        <v>184500</v>
      </c>
      <c r="R93" s="124"/>
      <c r="S93" s="47" t="s">
        <v>92</v>
      </c>
    </row>
    <row r="94" spans="1:19" x14ac:dyDescent="0.3">
      <c r="A94" s="30" t="s">
        <v>14</v>
      </c>
      <c r="B94" s="189" t="s">
        <v>984</v>
      </c>
      <c r="C94" s="31" t="s">
        <v>331</v>
      </c>
      <c r="D94" s="32" t="s">
        <v>332</v>
      </c>
      <c r="E94" s="32" t="s">
        <v>236</v>
      </c>
      <c r="F94" s="32" t="s">
        <v>237</v>
      </c>
      <c r="G94" s="32" t="s">
        <v>342</v>
      </c>
      <c r="H94" s="33">
        <v>6000</v>
      </c>
      <c r="I94" s="37"/>
      <c r="J94" s="38"/>
      <c r="K94" s="39"/>
      <c r="L94" s="36">
        <v>6000</v>
      </c>
      <c r="M94" s="120"/>
      <c r="N94" s="121"/>
      <c r="O94" s="122"/>
      <c r="P94" s="122"/>
      <c r="Q94" s="123">
        <f t="shared" si="7"/>
        <v>6000</v>
      </c>
      <c r="R94" s="124"/>
      <c r="S94" s="47" t="s">
        <v>92</v>
      </c>
    </row>
    <row r="95" spans="1:19" ht="147" x14ac:dyDescent="0.3">
      <c r="A95" s="30" t="s">
        <v>14</v>
      </c>
      <c r="B95" s="189" t="s">
        <v>984</v>
      </c>
      <c r="C95" s="31" t="s">
        <v>343</v>
      </c>
      <c r="D95" s="32" t="s">
        <v>344</v>
      </c>
      <c r="E95" s="32" t="s">
        <v>168</v>
      </c>
      <c r="F95" s="32" t="s">
        <v>169</v>
      </c>
      <c r="G95" s="32" t="s">
        <v>345</v>
      </c>
      <c r="H95" s="33">
        <v>2000000</v>
      </c>
      <c r="I95" s="34">
        <v>174234.73</v>
      </c>
      <c r="J95" s="35">
        <v>0</v>
      </c>
      <c r="K95" s="33">
        <v>47600</v>
      </c>
      <c r="L95" s="36">
        <v>1778165.27</v>
      </c>
      <c r="M95" s="120"/>
      <c r="N95" s="36">
        <v>1778165.27</v>
      </c>
      <c r="O95" s="122"/>
      <c r="P95" s="122"/>
      <c r="Q95" s="123">
        <f t="shared" si="7"/>
        <v>0</v>
      </c>
      <c r="R95" s="124" t="s">
        <v>346</v>
      </c>
      <c r="S95" s="47" t="s">
        <v>92</v>
      </c>
    </row>
    <row r="96" spans="1:19" ht="21" x14ac:dyDescent="0.3">
      <c r="A96" s="30" t="s">
        <v>14</v>
      </c>
      <c r="B96" s="189" t="s">
        <v>984</v>
      </c>
      <c r="C96" s="31" t="s">
        <v>343</v>
      </c>
      <c r="D96" s="32" t="s">
        <v>344</v>
      </c>
      <c r="E96" s="32" t="s">
        <v>26</v>
      </c>
      <c r="F96" s="32" t="s">
        <v>27</v>
      </c>
      <c r="G96" s="32" t="s">
        <v>347</v>
      </c>
      <c r="H96" s="33">
        <v>120000</v>
      </c>
      <c r="I96" s="37"/>
      <c r="J96" s="38"/>
      <c r="K96" s="39"/>
      <c r="L96" s="36">
        <v>120000</v>
      </c>
      <c r="M96" s="153"/>
      <c r="N96" s="121"/>
      <c r="O96" s="122"/>
      <c r="P96" s="126"/>
      <c r="Q96" s="155">
        <f t="shared" si="7"/>
        <v>120000</v>
      </c>
      <c r="R96" s="124" t="s">
        <v>348</v>
      </c>
      <c r="S96" s="47" t="s">
        <v>92</v>
      </c>
    </row>
    <row r="97" spans="1:19" ht="21" x14ac:dyDescent="0.3">
      <c r="A97" s="30" t="s">
        <v>14</v>
      </c>
      <c r="B97" s="189" t="s">
        <v>984</v>
      </c>
      <c r="C97" s="31" t="s">
        <v>349</v>
      </c>
      <c r="D97" s="32" t="s">
        <v>350</v>
      </c>
      <c r="E97" s="32" t="s">
        <v>106</v>
      </c>
      <c r="F97" s="32" t="s">
        <v>107</v>
      </c>
      <c r="G97" s="32" t="s">
        <v>351</v>
      </c>
      <c r="H97" s="33">
        <v>220000</v>
      </c>
      <c r="I97" s="34">
        <v>51401.25</v>
      </c>
      <c r="J97" s="35">
        <v>0</v>
      </c>
      <c r="K97" s="33">
        <v>0</v>
      </c>
      <c r="L97" s="34">
        <v>168598.75</v>
      </c>
      <c r="M97" s="47"/>
      <c r="N97" s="191">
        <v>168598.75</v>
      </c>
      <c r="O97" s="39"/>
      <c r="P97" s="154" t="s">
        <v>352</v>
      </c>
      <c r="Q97" s="157">
        <f t="shared" si="7"/>
        <v>0</v>
      </c>
      <c r="R97" s="124" t="s">
        <v>353</v>
      </c>
      <c r="S97" s="47" t="s">
        <v>92</v>
      </c>
    </row>
    <row r="98" spans="1:19" ht="21" x14ac:dyDescent="0.3">
      <c r="A98" s="30" t="s">
        <v>14</v>
      </c>
      <c r="B98" s="189" t="s">
        <v>984</v>
      </c>
      <c r="C98" s="31" t="s">
        <v>349</v>
      </c>
      <c r="D98" s="32" t="s">
        <v>350</v>
      </c>
      <c r="E98" s="32" t="s">
        <v>164</v>
      </c>
      <c r="F98" s="32" t="s">
        <v>165</v>
      </c>
      <c r="G98" s="32" t="s">
        <v>354</v>
      </c>
      <c r="H98" s="33">
        <v>128000</v>
      </c>
      <c r="I98" s="37"/>
      <c r="J98" s="38"/>
      <c r="K98" s="39"/>
      <c r="L98" s="34">
        <v>128000</v>
      </c>
      <c r="M98" s="47"/>
      <c r="N98" s="191">
        <v>128000</v>
      </c>
      <c r="O98" s="39"/>
      <c r="P98" s="154" t="s">
        <v>355</v>
      </c>
      <c r="Q98" s="157">
        <f t="shared" si="7"/>
        <v>0</v>
      </c>
      <c r="R98" s="124" t="s">
        <v>356</v>
      </c>
      <c r="S98" s="47" t="s">
        <v>92</v>
      </c>
    </row>
    <row r="99" spans="1:19" ht="21" x14ac:dyDescent="0.3">
      <c r="A99" s="30" t="s">
        <v>14</v>
      </c>
      <c r="B99" s="189" t="s">
        <v>984</v>
      </c>
      <c r="C99" s="31" t="s">
        <v>349</v>
      </c>
      <c r="D99" s="32" t="s">
        <v>350</v>
      </c>
      <c r="E99" s="32" t="s">
        <v>184</v>
      </c>
      <c r="F99" s="32" t="s">
        <v>185</v>
      </c>
      <c r="G99" s="32" t="s">
        <v>357</v>
      </c>
      <c r="H99" s="33">
        <v>23000</v>
      </c>
      <c r="I99" s="37"/>
      <c r="J99" s="38"/>
      <c r="K99" s="39"/>
      <c r="L99" s="34">
        <v>23000</v>
      </c>
      <c r="M99" s="47"/>
      <c r="N99" s="191">
        <v>23000</v>
      </c>
      <c r="O99" s="39"/>
      <c r="P99" s="154" t="s">
        <v>358</v>
      </c>
      <c r="Q99" s="157">
        <f t="shared" si="7"/>
        <v>0</v>
      </c>
      <c r="R99" s="124" t="s">
        <v>359</v>
      </c>
      <c r="S99" s="47" t="s">
        <v>92</v>
      </c>
    </row>
    <row r="100" spans="1:19" ht="21" x14ac:dyDescent="0.3">
      <c r="A100" s="30" t="s">
        <v>14</v>
      </c>
      <c r="B100" s="189" t="s">
        <v>984</v>
      </c>
      <c r="C100" s="31" t="s">
        <v>349</v>
      </c>
      <c r="D100" s="32" t="s">
        <v>350</v>
      </c>
      <c r="E100" s="32" t="s">
        <v>276</v>
      </c>
      <c r="F100" s="32" t="s">
        <v>277</v>
      </c>
      <c r="G100" s="32" t="s">
        <v>360</v>
      </c>
      <c r="H100" s="33">
        <v>800000</v>
      </c>
      <c r="I100" s="34">
        <v>20000</v>
      </c>
      <c r="J100" s="38"/>
      <c r="K100" s="39"/>
      <c r="L100" s="34">
        <v>780000</v>
      </c>
      <c r="M100" s="47"/>
      <c r="N100" s="191">
        <v>780000</v>
      </c>
      <c r="O100" s="39"/>
      <c r="P100" s="154" t="s">
        <v>361</v>
      </c>
      <c r="Q100" s="157">
        <f t="shared" si="7"/>
        <v>0</v>
      </c>
      <c r="R100" s="124" t="s">
        <v>353</v>
      </c>
      <c r="S100" s="47" t="s">
        <v>92</v>
      </c>
    </row>
    <row r="101" spans="1:19" ht="21" x14ac:dyDescent="0.3">
      <c r="A101" s="30" t="s">
        <v>14</v>
      </c>
      <c r="B101" s="189" t="s">
        <v>984</v>
      </c>
      <c r="C101" s="31" t="s">
        <v>349</v>
      </c>
      <c r="D101" s="32" t="s">
        <v>350</v>
      </c>
      <c r="E101" s="32" t="s">
        <v>194</v>
      </c>
      <c r="F101" s="32" t="s">
        <v>195</v>
      </c>
      <c r="G101" s="32" t="s">
        <v>362</v>
      </c>
      <c r="H101" s="33">
        <v>24000</v>
      </c>
      <c r="I101" s="37"/>
      <c r="J101" s="38"/>
      <c r="K101" s="39"/>
      <c r="L101" s="34">
        <v>24000</v>
      </c>
      <c r="M101" s="47"/>
      <c r="N101" s="191">
        <v>24000</v>
      </c>
      <c r="O101" s="39"/>
      <c r="P101" s="154" t="s">
        <v>363</v>
      </c>
      <c r="Q101" s="157">
        <f t="shared" si="7"/>
        <v>0</v>
      </c>
      <c r="R101" s="124" t="s">
        <v>364</v>
      </c>
      <c r="S101" s="47" t="s">
        <v>92</v>
      </c>
    </row>
    <row r="102" spans="1:19" x14ac:dyDescent="0.3">
      <c r="A102" s="30" t="s">
        <v>14</v>
      </c>
      <c r="B102" s="189" t="s">
        <v>984</v>
      </c>
      <c r="C102" s="31" t="s">
        <v>349</v>
      </c>
      <c r="D102" s="32" t="s">
        <v>350</v>
      </c>
      <c r="E102" s="32" t="s">
        <v>35</v>
      </c>
      <c r="F102" s="32" t="s">
        <v>36</v>
      </c>
      <c r="G102" s="32" t="s">
        <v>365</v>
      </c>
      <c r="H102" s="33">
        <v>60000</v>
      </c>
      <c r="I102" s="37"/>
      <c r="J102" s="38"/>
      <c r="K102" s="39"/>
      <c r="L102" s="34">
        <v>60000</v>
      </c>
      <c r="M102" s="47"/>
      <c r="N102" s="191">
        <v>60000</v>
      </c>
      <c r="O102" s="39"/>
      <c r="P102" s="154" t="s">
        <v>366</v>
      </c>
      <c r="Q102" s="157">
        <f t="shared" si="7"/>
        <v>0</v>
      </c>
      <c r="R102" s="124" t="s">
        <v>367</v>
      </c>
      <c r="S102" s="47" t="s">
        <v>92</v>
      </c>
    </row>
    <row r="103" spans="1:19" ht="21" x14ac:dyDescent="0.3">
      <c r="A103" s="30" t="s">
        <v>14</v>
      </c>
      <c r="B103" s="189" t="s">
        <v>984</v>
      </c>
      <c r="C103" s="31" t="s">
        <v>349</v>
      </c>
      <c r="D103" s="32" t="s">
        <v>350</v>
      </c>
      <c r="E103" s="32" t="s">
        <v>126</v>
      </c>
      <c r="F103" s="32" t="s">
        <v>127</v>
      </c>
      <c r="G103" s="32" t="s">
        <v>368</v>
      </c>
      <c r="H103" s="33">
        <v>14000</v>
      </c>
      <c r="I103" s="37"/>
      <c r="J103" s="38"/>
      <c r="K103" s="39"/>
      <c r="L103" s="34">
        <v>14000</v>
      </c>
      <c r="M103" s="47"/>
      <c r="N103" s="191">
        <v>14000</v>
      </c>
      <c r="O103" s="39"/>
      <c r="P103" s="154" t="s">
        <v>369</v>
      </c>
      <c r="Q103" s="157">
        <f t="shared" si="7"/>
        <v>0</v>
      </c>
      <c r="R103" s="124" t="s">
        <v>370</v>
      </c>
      <c r="S103" s="47" t="s">
        <v>92</v>
      </c>
    </row>
    <row r="104" spans="1:19" x14ac:dyDescent="0.3">
      <c r="A104" s="30" t="s">
        <v>14</v>
      </c>
      <c r="B104" s="189" t="s">
        <v>984</v>
      </c>
      <c r="C104" s="31" t="s">
        <v>349</v>
      </c>
      <c r="D104" s="32" t="s">
        <v>350</v>
      </c>
      <c r="E104" s="32" t="s">
        <v>224</v>
      </c>
      <c r="F104" s="32" t="s">
        <v>225</v>
      </c>
      <c r="G104" s="32" t="s">
        <v>371</v>
      </c>
      <c r="H104" s="33">
        <v>4750</v>
      </c>
      <c r="I104" s="37"/>
      <c r="J104" s="38"/>
      <c r="K104" s="39"/>
      <c r="L104" s="34">
        <v>4750</v>
      </c>
      <c r="M104" s="47"/>
      <c r="N104" s="191">
        <v>4750</v>
      </c>
      <c r="O104" s="39"/>
      <c r="P104" s="154" t="s">
        <v>372</v>
      </c>
      <c r="Q104" s="157">
        <f t="shared" si="7"/>
        <v>0</v>
      </c>
      <c r="R104" s="124" t="s">
        <v>373</v>
      </c>
      <c r="S104" s="47" t="s">
        <v>92</v>
      </c>
    </row>
    <row r="105" spans="1:19" x14ac:dyDescent="0.3">
      <c r="A105" s="30" t="s">
        <v>14</v>
      </c>
      <c r="B105" s="189" t="s">
        <v>984</v>
      </c>
      <c r="C105" s="31" t="s">
        <v>349</v>
      </c>
      <c r="D105" s="32" t="s">
        <v>350</v>
      </c>
      <c r="E105" s="32" t="s">
        <v>50</v>
      </c>
      <c r="F105" s="32" t="s">
        <v>51</v>
      </c>
      <c r="G105" s="32" t="s">
        <v>374</v>
      </c>
      <c r="H105" s="33">
        <v>42000</v>
      </c>
      <c r="I105" s="37"/>
      <c r="J105" s="38"/>
      <c r="K105" s="39"/>
      <c r="L105" s="34">
        <v>42000</v>
      </c>
      <c r="M105" s="47"/>
      <c r="N105" s="191">
        <v>42000</v>
      </c>
      <c r="O105" s="39"/>
      <c r="P105" s="154" t="s">
        <v>375</v>
      </c>
      <c r="Q105" s="157">
        <f t="shared" si="7"/>
        <v>0</v>
      </c>
      <c r="R105" s="124" t="s">
        <v>376</v>
      </c>
      <c r="S105" s="47" t="s">
        <v>92</v>
      </c>
    </row>
    <row r="106" spans="1:19" ht="21" x14ac:dyDescent="0.3">
      <c r="A106" s="30" t="s">
        <v>14</v>
      </c>
      <c r="B106" s="189" t="s">
        <v>984</v>
      </c>
      <c r="C106" s="31" t="s">
        <v>349</v>
      </c>
      <c r="D106" s="32" t="s">
        <v>350</v>
      </c>
      <c r="E106" s="32" t="s">
        <v>236</v>
      </c>
      <c r="F106" s="32" t="s">
        <v>237</v>
      </c>
      <c r="G106" s="32" t="s">
        <v>377</v>
      </c>
      <c r="H106" s="33">
        <v>35000</v>
      </c>
      <c r="I106" s="37"/>
      <c r="J106" s="38"/>
      <c r="K106" s="39"/>
      <c r="L106" s="34">
        <v>35000</v>
      </c>
      <c r="M106" s="47"/>
      <c r="N106" s="191">
        <v>35000</v>
      </c>
      <c r="O106" s="39"/>
      <c r="P106" s="154" t="s">
        <v>378</v>
      </c>
      <c r="Q106" s="157">
        <f t="shared" si="7"/>
        <v>0</v>
      </c>
      <c r="R106" s="124" t="s">
        <v>379</v>
      </c>
      <c r="S106" s="47" t="s">
        <v>92</v>
      </c>
    </row>
    <row r="107" spans="1:19" ht="31.5" x14ac:dyDescent="0.35">
      <c r="A107" s="30" t="s">
        <v>14</v>
      </c>
      <c r="B107" s="189" t="s">
        <v>984</v>
      </c>
      <c r="C107" s="31" t="s">
        <v>380</v>
      </c>
      <c r="D107" s="32" t="s">
        <v>381</v>
      </c>
      <c r="E107" s="32" t="s">
        <v>106</v>
      </c>
      <c r="F107" s="32" t="s">
        <v>107</v>
      </c>
      <c r="G107" s="32" t="s">
        <v>382</v>
      </c>
      <c r="H107" s="33">
        <v>317500</v>
      </c>
      <c r="I107" s="37"/>
      <c r="J107" s="38"/>
      <c r="K107" s="39"/>
      <c r="L107" s="34">
        <v>317500</v>
      </c>
      <c r="M107" s="154"/>
      <c r="N107" s="124"/>
      <c r="O107" s="127">
        <f>L107</f>
        <v>317500</v>
      </c>
      <c r="P107" s="58"/>
      <c r="Q107" s="158">
        <f t="shared" si="7"/>
        <v>0</v>
      </c>
      <c r="R107" s="124" t="s">
        <v>383</v>
      </c>
      <c r="S107" s="47" t="s">
        <v>92</v>
      </c>
    </row>
    <row r="108" spans="1:19" ht="21" x14ac:dyDescent="0.35">
      <c r="A108" s="30" t="s">
        <v>14</v>
      </c>
      <c r="B108" s="189" t="s">
        <v>984</v>
      </c>
      <c r="C108" s="31" t="s">
        <v>380</v>
      </c>
      <c r="D108" s="32" t="s">
        <v>381</v>
      </c>
      <c r="E108" s="32" t="s">
        <v>164</v>
      </c>
      <c r="F108" s="32" t="s">
        <v>165</v>
      </c>
      <c r="G108" s="32" t="s">
        <v>384</v>
      </c>
      <c r="H108" s="33">
        <v>560000</v>
      </c>
      <c r="I108" s="37"/>
      <c r="J108" s="38"/>
      <c r="K108" s="39"/>
      <c r="L108" s="34">
        <v>560000</v>
      </c>
      <c r="M108" s="154"/>
      <c r="N108" s="124">
        <v>350000</v>
      </c>
      <c r="O108" s="127">
        <v>210000</v>
      </c>
      <c r="P108" s="156"/>
      <c r="Q108" s="128">
        <f t="shared" si="7"/>
        <v>0</v>
      </c>
      <c r="R108" s="124" t="s">
        <v>385</v>
      </c>
      <c r="S108" s="47" t="s">
        <v>92</v>
      </c>
    </row>
    <row r="109" spans="1:19" ht="31.5" x14ac:dyDescent="0.35">
      <c r="A109" s="30" t="s">
        <v>14</v>
      </c>
      <c r="B109" s="189" t="s">
        <v>984</v>
      </c>
      <c r="C109" s="31" t="s">
        <v>380</v>
      </c>
      <c r="D109" s="32" t="s">
        <v>381</v>
      </c>
      <c r="E109" s="32" t="s">
        <v>188</v>
      </c>
      <c r="F109" s="32" t="s">
        <v>189</v>
      </c>
      <c r="G109" s="32" t="s">
        <v>386</v>
      </c>
      <c r="H109" s="33">
        <v>520000</v>
      </c>
      <c r="I109" s="37"/>
      <c r="J109" s="38"/>
      <c r="K109" s="39"/>
      <c r="L109" s="34">
        <v>520000</v>
      </c>
      <c r="M109" s="154"/>
      <c r="N109" s="124">
        <v>520000</v>
      </c>
      <c r="O109" s="125"/>
      <c r="P109" s="58"/>
      <c r="Q109" s="128">
        <f t="shared" si="7"/>
        <v>0</v>
      </c>
      <c r="R109" s="124" t="s">
        <v>387</v>
      </c>
      <c r="S109" s="47" t="s">
        <v>92</v>
      </c>
    </row>
    <row r="110" spans="1:19" x14ac:dyDescent="0.35">
      <c r="A110" s="30" t="s">
        <v>14</v>
      </c>
      <c r="B110" s="189" t="s">
        <v>984</v>
      </c>
      <c r="C110" s="31" t="s">
        <v>380</v>
      </c>
      <c r="D110" s="32" t="s">
        <v>381</v>
      </c>
      <c r="E110" s="32" t="s">
        <v>194</v>
      </c>
      <c r="F110" s="32" t="s">
        <v>195</v>
      </c>
      <c r="G110" s="32" t="s">
        <v>388</v>
      </c>
      <c r="H110" s="33">
        <v>51000</v>
      </c>
      <c r="I110" s="37"/>
      <c r="J110" s="38"/>
      <c r="K110" s="39"/>
      <c r="L110" s="36">
        <v>51000</v>
      </c>
      <c r="M110" s="124"/>
      <c r="N110" s="124"/>
      <c r="O110" s="127">
        <f>L110</f>
        <v>51000</v>
      </c>
      <c r="P110" s="58"/>
      <c r="Q110" s="128">
        <f t="shared" si="7"/>
        <v>0</v>
      </c>
      <c r="R110" s="124" t="s">
        <v>389</v>
      </c>
      <c r="S110" s="47" t="s">
        <v>92</v>
      </c>
    </row>
    <row r="111" spans="1:19" ht="21" x14ac:dyDescent="0.35">
      <c r="A111" s="30" t="s">
        <v>14</v>
      </c>
      <c r="B111" s="189" t="s">
        <v>984</v>
      </c>
      <c r="C111" s="31" t="s">
        <v>380</v>
      </c>
      <c r="D111" s="32" t="s">
        <v>381</v>
      </c>
      <c r="E111" s="32" t="s">
        <v>26</v>
      </c>
      <c r="F111" s="32" t="s">
        <v>27</v>
      </c>
      <c r="G111" s="32" t="s">
        <v>390</v>
      </c>
      <c r="H111" s="33">
        <v>60608</v>
      </c>
      <c r="I111" s="37"/>
      <c r="J111" s="38"/>
      <c r="K111" s="39"/>
      <c r="L111" s="36">
        <v>60608</v>
      </c>
      <c r="M111" s="129">
        <f>L111</f>
        <v>60608</v>
      </c>
      <c r="N111" s="124"/>
      <c r="O111" s="125"/>
      <c r="P111" s="58"/>
      <c r="Q111" s="128">
        <f t="shared" si="7"/>
        <v>0</v>
      </c>
      <c r="R111" s="124" t="s">
        <v>391</v>
      </c>
      <c r="S111" s="47" t="s">
        <v>92</v>
      </c>
    </row>
    <row r="112" spans="1:19" x14ac:dyDescent="0.35">
      <c r="A112" s="30" t="s">
        <v>14</v>
      </c>
      <c r="B112" s="189" t="s">
        <v>984</v>
      </c>
      <c r="C112" s="31" t="s">
        <v>380</v>
      </c>
      <c r="D112" s="32" t="s">
        <v>381</v>
      </c>
      <c r="E112" s="32" t="s">
        <v>126</v>
      </c>
      <c r="F112" s="32" t="s">
        <v>127</v>
      </c>
      <c r="G112" s="32" t="s">
        <v>392</v>
      </c>
      <c r="H112" s="33">
        <v>46500</v>
      </c>
      <c r="I112" s="37"/>
      <c r="J112" s="38"/>
      <c r="K112" s="39"/>
      <c r="L112" s="36">
        <v>46500</v>
      </c>
      <c r="M112" s="124"/>
      <c r="N112" s="124"/>
      <c r="O112" s="127">
        <f>L112</f>
        <v>46500</v>
      </c>
      <c r="P112" s="58"/>
      <c r="Q112" s="128">
        <f t="shared" si="7"/>
        <v>0</v>
      </c>
      <c r="R112" s="124" t="s">
        <v>389</v>
      </c>
      <c r="S112" s="47" t="s">
        <v>92</v>
      </c>
    </row>
    <row r="113" spans="1:19" x14ac:dyDescent="0.35">
      <c r="A113" s="30" t="s">
        <v>14</v>
      </c>
      <c r="B113" s="189" t="s">
        <v>984</v>
      </c>
      <c r="C113" s="31" t="s">
        <v>380</v>
      </c>
      <c r="D113" s="32" t="s">
        <v>381</v>
      </c>
      <c r="E113" s="32" t="s">
        <v>50</v>
      </c>
      <c r="F113" s="32" t="s">
        <v>51</v>
      </c>
      <c r="G113" s="32" t="s">
        <v>393</v>
      </c>
      <c r="H113" s="33">
        <v>10000</v>
      </c>
      <c r="I113" s="37"/>
      <c r="J113" s="38"/>
      <c r="K113" s="39"/>
      <c r="L113" s="36">
        <v>10000</v>
      </c>
      <c r="M113" s="124"/>
      <c r="N113" s="124"/>
      <c r="O113" s="127">
        <f>L113</f>
        <v>10000</v>
      </c>
      <c r="P113" s="58"/>
      <c r="Q113" s="128">
        <f t="shared" si="7"/>
        <v>0</v>
      </c>
      <c r="R113" s="124" t="s">
        <v>389</v>
      </c>
      <c r="S113" s="47" t="s">
        <v>92</v>
      </c>
    </row>
    <row r="114" spans="1:19" ht="31.5" x14ac:dyDescent="0.3">
      <c r="A114" s="30" t="s">
        <v>14</v>
      </c>
      <c r="B114" s="189" t="s">
        <v>984</v>
      </c>
      <c r="C114" s="31" t="s">
        <v>394</v>
      </c>
      <c r="D114" s="32" t="s">
        <v>395</v>
      </c>
      <c r="E114" s="32" t="s">
        <v>23</v>
      </c>
      <c r="F114" s="32" t="s">
        <v>24</v>
      </c>
      <c r="G114" s="32" t="s">
        <v>396</v>
      </c>
      <c r="H114" s="33">
        <v>353000</v>
      </c>
      <c r="I114" s="34">
        <v>352238.57</v>
      </c>
      <c r="J114" s="130"/>
      <c r="K114" s="131"/>
      <c r="L114" s="36">
        <v>761.42999999993503</v>
      </c>
      <c r="M114" s="132"/>
      <c r="N114" s="133"/>
      <c r="O114" s="134"/>
      <c r="P114" s="134"/>
      <c r="Q114" s="135">
        <f t="shared" si="7"/>
        <v>761.42999999993503</v>
      </c>
      <c r="R114" s="136" t="s">
        <v>397</v>
      </c>
      <c r="S114" s="47" t="s">
        <v>92</v>
      </c>
    </row>
    <row r="115" spans="1:19" ht="21" x14ac:dyDescent="0.3">
      <c r="A115" s="30" t="s">
        <v>14</v>
      </c>
      <c r="B115" s="189" t="s">
        <v>984</v>
      </c>
      <c r="C115" s="31" t="s">
        <v>394</v>
      </c>
      <c r="D115" s="32" t="s">
        <v>395</v>
      </c>
      <c r="E115" s="32" t="s">
        <v>106</v>
      </c>
      <c r="F115" s="32" t="s">
        <v>107</v>
      </c>
      <c r="G115" s="32" t="s">
        <v>398</v>
      </c>
      <c r="H115" s="33">
        <v>205000</v>
      </c>
      <c r="I115" s="137"/>
      <c r="J115" s="130"/>
      <c r="K115" s="131"/>
      <c r="L115" s="36">
        <v>205000</v>
      </c>
      <c r="M115" s="138"/>
      <c r="N115" s="138">
        <v>85000</v>
      </c>
      <c r="O115" s="138">
        <v>120000</v>
      </c>
      <c r="P115" s="136" t="s">
        <v>399</v>
      </c>
      <c r="Q115" s="139">
        <f t="shared" si="7"/>
        <v>0</v>
      </c>
      <c r="R115" s="140"/>
      <c r="S115" s="47" t="s">
        <v>92</v>
      </c>
    </row>
    <row r="116" spans="1:19" ht="21" x14ac:dyDescent="0.3">
      <c r="A116" s="30" t="s">
        <v>14</v>
      </c>
      <c r="B116" s="189" t="s">
        <v>984</v>
      </c>
      <c r="C116" s="31" t="s">
        <v>394</v>
      </c>
      <c r="D116" s="32" t="s">
        <v>395</v>
      </c>
      <c r="E116" s="32" t="s">
        <v>176</v>
      </c>
      <c r="F116" s="32" t="s">
        <v>177</v>
      </c>
      <c r="G116" s="32" t="s">
        <v>400</v>
      </c>
      <c r="H116" s="33">
        <v>9349361</v>
      </c>
      <c r="I116" s="34">
        <v>39412.07</v>
      </c>
      <c r="J116" s="130"/>
      <c r="K116" s="33">
        <v>563550.96</v>
      </c>
      <c r="L116" s="36">
        <v>8746397.9700000007</v>
      </c>
      <c r="M116" s="138">
        <v>3850000</v>
      </c>
      <c r="N116" s="138">
        <v>3800000</v>
      </c>
      <c r="O116" s="138">
        <v>3800000</v>
      </c>
      <c r="P116" s="136" t="s">
        <v>401</v>
      </c>
      <c r="Q116" s="141">
        <f>L116-M116-N116-O116</f>
        <v>-2703602.0299999993</v>
      </c>
      <c r="R116" s="136" t="s">
        <v>402</v>
      </c>
      <c r="S116" s="47" t="s">
        <v>92</v>
      </c>
    </row>
    <row r="117" spans="1:19" ht="21" x14ac:dyDescent="0.3">
      <c r="A117" s="30" t="s">
        <v>14</v>
      </c>
      <c r="B117" s="189" t="s">
        <v>984</v>
      </c>
      <c r="C117" s="31" t="s">
        <v>394</v>
      </c>
      <c r="D117" s="32" t="s">
        <v>395</v>
      </c>
      <c r="E117" s="32" t="s">
        <v>403</v>
      </c>
      <c r="F117" s="32" t="s">
        <v>404</v>
      </c>
      <c r="G117" s="32" t="s">
        <v>405</v>
      </c>
      <c r="H117" s="33">
        <v>225000</v>
      </c>
      <c r="I117" s="137"/>
      <c r="J117" s="130"/>
      <c r="K117" s="131"/>
      <c r="L117" s="36">
        <v>225000</v>
      </c>
      <c r="M117" s="142"/>
      <c r="N117" s="138">
        <v>225000</v>
      </c>
      <c r="O117" s="143"/>
      <c r="P117" s="136" t="s">
        <v>406</v>
      </c>
      <c r="Q117" s="141">
        <f t="shared" si="7"/>
        <v>0</v>
      </c>
      <c r="R117" s="136"/>
      <c r="S117" s="47" t="s">
        <v>92</v>
      </c>
    </row>
    <row r="118" spans="1:19" ht="31.5" x14ac:dyDescent="0.3">
      <c r="A118" s="30" t="s">
        <v>14</v>
      </c>
      <c r="B118" s="189" t="s">
        <v>984</v>
      </c>
      <c r="C118" s="31" t="s">
        <v>394</v>
      </c>
      <c r="D118" s="32" t="s">
        <v>395</v>
      </c>
      <c r="E118" s="32" t="s">
        <v>407</v>
      </c>
      <c r="F118" s="32" t="s">
        <v>408</v>
      </c>
      <c r="G118" s="32" t="s">
        <v>409</v>
      </c>
      <c r="H118" s="33">
        <v>936870</v>
      </c>
      <c r="I118" s="34">
        <v>86420</v>
      </c>
      <c r="J118" s="35">
        <v>18375</v>
      </c>
      <c r="K118" s="33">
        <v>77200</v>
      </c>
      <c r="L118" s="36">
        <v>754875</v>
      </c>
      <c r="M118" s="138">
        <v>100000</v>
      </c>
      <c r="N118" s="138">
        <v>100000</v>
      </c>
      <c r="O118" s="138">
        <v>100000</v>
      </c>
      <c r="P118" s="136" t="s">
        <v>410</v>
      </c>
      <c r="Q118" s="141">
        <f t="shared" si="7"/>
        <v>454875</v>
      </c>
      <c r="R118" s="136" t="s">
        <v>411</v>
      </c>
      <c r="S118" s="47" t="s">
        <v>92</v>
      </c>
    </row>
    <row r="119" spans="1:19" ht="21" x14ac:dyDescent="0.3">
      <c r="A119" s="30" t="s">
        <v>14</v>
      </c>
      <c r="B119" s="189" t="s">
        <v>984</v>
      </c>
      <c r="C119" s="31" t="s">
        <v>394</v>
      </c>
      <c r="D119" s="32" t="s">
        <v>395</v>
      </c>
      <c r="E119" s="32" t="s">
        <v>194</v>
      </c>
      <c r="F119" s="32" t="s">
        <v>195</v>
      </c>
      <c r="G119" s="32" t="s">
        <v>412</v>
      </c>
      <c r="H119" s="33">
        <v>70800</v>
      </c>
      <c r="I119" s="34">
        <v>35883.75</v>
      </c>
      <c r="J119" s="130"/>
      <c r="K119" s="131"/>
      <c r="L119" s="36">
        <v>34916.25</v>
      </c>
      <c r="M119" s="144"/>
      <c r="N119" s="138">
        <v>20000</v>
      </c>
      <c r="O119" s="138">
        <v>70000</v>
      </c>
      <c r="P119" s="136" t="s">
        <v>413</v>
      </c>
      <c r="Q119" s="141">
        <f t="shared" si="7"/>
        <v>-55083.75</v>
      </c>
      <c r="R119" s="136" t="s">
        <v>414</v>
      </c>
      <c r="S119" s="47" t="s">
        <v>92</v>
      </c>
    </row>
    <row r="120" spans="1:19" x14ac:dyDescent="0.3">
      <c r="A120" s="30" t="s">
        <v>14</v>
      </c>
      <c r="B120" s="189" t="s">
        <v>984</v>
      </c>
      <c r="C120" s="31" t="s">
        <v>394</v>
      </c>
      <c r="D120" s="32" t="s">
        <v>395</v>
      </c>
      <c r="E120" s="32" t="s">
        <v>126</v>
      </c>
      <c r="F120" s="32" t="s">
        <v>127</v>
      </c>
      <c r="G120" s="32" t="s">
        <v>415</v>
      </c>
      <c r="H120" s="33">
        <v>32500</v>
      </c>
      <c r="I120" s="137"/>
      <c r="J120" s="130"/>
      <c r="K120" s="131"/>
      <c r="L120" s="36">
        <v>32500</v>
      </c>
      <c r="M120" s="144"/>
      <c r="N120" s="138">
        <v>15000</v>
      </c>
      <c r="O120" s="138">
        <v>17500</v>
      </c>
      <c r="P120" s="136" t="s">
        <v>416</v>
      </c>
      <c r="Q120" s="141">
        <f t="shared" si="7"/>
        <v>0</v>
      </c>
      <c r="R120" s="145"/>
      <c r="S120" s="47" t="s">
        <v>92</v>
      </c>
    </row>
    <row r="121" spans="1:19" ht="31.5" x14ac:dyDescent="0.3">
      <c r="A121" s="30" t="s">
        <v>14</v>
      </c>
      <c r="B121" s="189" t="s">
        <v>984</v>
      </c>
      <c r="C121" s="31" t="s">
        <v>394</v>
      </c>
      <c r="D121" s="32" t="s">
        <v>395</v>
      </c>
      <c r="E121" s="32" t="s">
        <v>232</v>
      </c>
      <c r="F121" s="32" t="s">
        <v>233</v>
      </c>
      <c r="G121" s="32" t="s">
        <v>417</v>
      </c>
      <c r="H121" s="33">
        <v>12000</v>
      </c>
      <c r="I121" s="137"/>
      <c r="J121" s="130"/>
      <c r="K121" s="131"/>
      <c r="L121" s="36">
        <v>12000</v>
      </c>
      <c r="M121" s="144"/>
      <c r="N121" s="138">
        <v>12000</v>
      </c>
      <c r="O121" s="145"/>
      <c r="P121" s="136" t="s">
        <v>418</v>
      </c>
      <c r="Q121" s="141">
        <f t="shared" si="7"/>
        <v>0</v>
      </c>
      <c r="R121" s="145"/>
      <c r="S121" s="47" t="s">
        <v>92</v>
      </c>
    </row>
    <row r="122" spans="1:19" x14ac:dyDescent="0.3">
      <c r="A122" s="30" t="s">
        <v>14</v>
      </c>
      <c r="B122" s="189" t="s">
        <v>984</v>
      </c>
      <c r="C122" s="31" t="s">
        <v>394</v>
      </c>
      <c r="D122" s="32" t="s">
        <v>395</v>
      </c>
      <c r="E122" s="32" t="s">
        <v>50</v>
      </c>
      <c r="F122" s="32" t="s">
        <v>51</v>
      </c>
      <c r="G122" s="32" t="s">
        <v>419</v>
      </c>
      <c r="H122" s="33">
        <v>13500</v>
      </c>
      <c r="I122" s="137"/>
      <c r="J122" s="130"/>
      <c r="K122" s="131"/>
      <c r="L122" s="36">
        <v>13500</v>
      </c>
      <c r="M122" s="144"/>
      <c r="N122" s="138">
        <v>7000</v>
      </c>
      <c r="O122" s="138">
        <v>6500</v>
      </c>
      <c r="P122" s="136" t="s">
        <v>420</v>
      </c>
      <c r="Q122" s="141">
        <f t="shared" si="7"/>
        <v>0</v>
      </c>
      <c r="R122" s="145"/>
      <c r="S122" s="47" t="s">
        <v>92</v>
      </c>
    </row>
    <row r="123" spans="1:19" ht="21" x14ac:dyDescent="0.3">
      <c r="A123" s="30" t="s">
        <v>14</v>
      </c>
      <c r="B123" s="189" t="s">
        <v>984</v>
      </c>
      <c r="C123" s="31" t="s">
        <v>421</v>
      </c>
      <c r="D123" s="32" t="s">
        <v>422</v>
      </c>
      <c r="E123" s="32" t="s">
        <v>194</v>
      </c>
      <c r="F123" s="32" t="s">
        <v>195</v>
      </c>
      <c r="G123" s="32" t="s">
        <v>423</v>
      </c>
      <c r="H123" s="33">
        <v>50000</v>
      </c>
      <c r="I123" s="37"/>
      <c r="J123" s="38"/>
      <c r="K123" s="39"/>
      <c r="L123" s="36">
        <v>50000</v>
      </c>
      <c r="M123" s="146"/>
      <c r="N123" s="147"/>
      <c r="O123" s="128">
        <v>20000</v>
      </c>
      <c r="P123" s="148" t="s">
        <v>424</v>
      </c>
      <c r="Q123" s="128">
        <f t="shared" si="7"/>
        <v>30000</v>
      </c>
      <c r="R123" s="148"/>
      <c r="S123" s="47" t="s">
        <v>92</v>
      </c>
    </row>
    <row r="124" spans="1:19" ht="21" x14ac:dyDescent="0.3">
      <c r="A124" s="30" t="s">
        <v>14</v>
      </c>
      <c r="B124" s="189" t="s">
        <v>984</v>
      </c>
      <c r="C124" s="31" t="s">
        <v>421</v>
      </c>
      <c r="D124" s="32" t="s">
        <v>422</v>
      </c>
      <c r="E124" s="32" t="s">
        <v>35</v>
      </c>
      <c r="F124" s="32" t="s">
        <v>36</v>
      </c>
      <c r="G124" s="32" t="s">
        <v>425</v>
      </c>
      <c r="H124" s="33">
        <v>300000</v>
      </c>
      <c r="I124" s="37"/>
      <c r="J124" s="38"/>
      <c r="K124" s="39"/>
      <c r="L124" s="36">
        <v>300000</v>
      </c>
      <c r="M124" s="146"/>
      <c r="N124" s="149">
        <v>100000</v>
      </c>
      <c r="O124" s="149">
        <v>100000</v>
      </c>
      <c r="P124" s="148" t="s">
        <v>426</v>
      </c>
      <c r="Q124" s="128">
        <f t="shared" si="7"/>
        <v>100000</v>
      </c>
      <c r="R124" s="150"/>
      <c r="S124" s="47" t="s">
        <v>92</v>
      </c>
    </row>
    <row r="125" spans="1:19" ht="74" x14ac:dyDescent="0.3">
      <c r="A125" s="30" t="s">
        <v>14</v>
      </c>
      <c r="B125" s="189" t="s">
        <v>984</v>
      </c>
      <c r="C125" s="31" t="s">
        <v>421</v>
      </c>
      <c r="D125" s="32" t="s">
        <v>422</v>
      </c>
      <c r="E125" s="32" t="s">
        <v>224</v>
      </c>
      <c r="F125" s="32" t="s">
        <v>225</v>
      </c>
      <c r="G125" s="32" t="s">
        <v>427</v>
      </c>
      <c r="H125" s="33">
        <v>15199430</v>
      </c>
      <c r="I125" s="34">
        <v>962594.78</v>
      </c>
      <c r="J125" s="35">
        <v>9322733.0899999999</v>
      </c>
      <c r="K125" s="33">
        <v>2786261.82</v>
      </c>
      <c r="L125" s="36">
        <v>2127840.31</v>
      </c>
      <c r="M125" s="146"/>
      <c r="N125" s="149">
        <v>669307</v>
      </c>
      <c r="O125" s="128">
        <v>640000</v>
      </c>
      <c r="P125" s="148" t="s">
        <v>428</v>
      </c>
      <c r="Q125" s="151">
        <v>818533</v>
      </c>
      <c r="R125" s="152" t="s">
        <v>429</v>
      </c>
      <c r="S125" s="47" t="s">
        <v>92</v>
      </c>
    </row>
    <row r="126" spans="1:19" x14ac:dyDescent="0.3">
      <c r="A126" s="30" t="s">
        <v>14</v>
      </c>
      <c r="B126" s="189" t="s">
        <v>984</v>
      </c>
      <c r="C126" s="31" t="s">
        <v>421</v>
      </c>
      <c r="D126" s="32" t="s">
        <v>422</v>
      </c>
      <c r="E126" s="32" t="s">
        <v>50</v>
      </c>
      <c r="F126" s="32" t="s">
        <v>51</v>
      </c>
      <c r="G126" s="32" t="s">
        <v>430</v>
      </c>
      <c r="H126" s="33">
        <v>50000</v>
      </c>
      <c r="I126" s="37"/>
      <c r="J126" s="38"/>
      <c r="K126" s="39"/>
      <c r="L126" s="36">
        <v>50000</v>
      </c>
      <c r="M126" s="146"/>
      <c r="N126" s="147"/>
      <c r="O126" s="148"/>
      <c r="P126" s="150"/>
      <c r="Q126" s="128">
        <f t="shared" si="7"/>
        <v>50000</v>
      </c>
      <c r="R126" s="148"/>
      <c r="S126" s="47" t="s">
        <v>92</v>
      </c>
    </row>
    <row r="127" spans="1:19" ht="21" x14ac:dyDescent="0.35">
      <c r="A127" s="30" t="s">
        <v>14</v>
      </c>
      <c r="B127" s="189" t="s">
        <v>984</v>
      </c>
      <c r="C127" s="31" t="s">
        <v>431</v>
      </c>
      <c r="D127" s="32" t="s">
        <v>432</v>
      </c>
      <c r="E127" s="32" t="s">
        <v>102</v>
      </c>
      <c r="F127" s="32" t="s">
        <v>103</v>
      </c>
      <c r="G127" s="32" t="s">
        <v>433</v>
      </c>
      <c r="H127" s="33">
        <v>2500</v>
      </c>
      <c r="I127" s="37"/>
      <c r="J127" s="38"/>
      <c r="K127" s="39"/>
      <c r="L127" s="36">
        <v>2500</v>
      </c>
      <c r="M127" s="120"/>
      <c r="N127" s="36">
        <v>2500</v>
      </c>
      <c r="O127" s="39"/>
      <c r="P127" s="58"/>
      <c r="Q127" s="123">
        <f t="shared" si="7"/>
        <v>0</v>
      </c>
      <c r="R127" s="124" t="s">
        <v>434</v>
      </c>
      <c r="S127" s="47" t="s">
        <v>92</v>
      </c>
    </row>
    <row r="128" spans="1:19" ht="21" x14ac:dyDescent="0.35">
      <c r="A128" s="30" t="s">
        <v>14</v>
      </c>
      <c r="B128" s="189" t="s">
        <v>984</v>
      </c>
      <c r="C128" s="31" t="s">
        <v>431</v>
      </c>
      <c r="D128" s="32" t="s">
        <v>432</v>
      </c>
      <c r="E128" s="32" t="s">
        <v>106</v>
      </c>
      <c r="F128" s="32" t="s">
        <v>107</v>
      </c>
      <c r="G128" s="32" t="s">
        <v>435</v>
      </c>
      <c r="H128" s="33">
        <v>30000</v>
      </c>
      <c r="I128" s="34">
        <v>882</v>
      </c>
      <c r="J128" s="38"/>
      <c r="K128" s="39"/>
      <c r="L128" s="36">
        <v>29118</v>
      </c>
      <c r="M128" s="120"/>
      <c r="N128" s="36">
        <v>29118</v>
      </c>
      <c r="O128" s="39"/>
      <c r="P128" s="58"/>
      <c r="Q128" s="123">
        <f t="shared" si="7"/>
        <v>0</v>
      </c>
      <c r="R128" s="124" t="s">
        <v>436</v>
      </c>
      <c r="S128" s="47" t="s">
        <v>92</v>
      </c>
    </row>
    <row r="129" spans="1:19" ht="21" x14ac:dyDescent="0.35">
      <c r="A129" s="30" t="s">
        <v>14</v>
      </c>
      <c r="B129" s="189" t="s">
        <v>984</v>
      </c>
      <c r="C129" s="31" t="s">
        <v>431</v>
      </c>
      <c r="D129" s="32" t="s">
        <v>432</v>
      </c>
      <c r="E129" s="32" t="s">
        <v>110</v>
      </c>
      <c r="F129" s="32" t="s">
        <v>111</v>
      </c>
      <c r="G129" s="32" t="s">
        <v>437</v>
      </c>
      <c r="H129" s="33">
        <v>60000</v>
      </c>
      <c r="I129" s="34">
        <v>3630.61</v>
      </c>
      <c r="J129" s="38"/>
      <c r="K129" s="39"/>
      <c r="L129" s="36">
        <v>56369.39</v>
      </c>
      <c r="M129" s="120"/>
      <c r="N129" s="36">
        <v>56369.39</v>
      </c>
      <c r="O129" s="39"/>
      <c r="P129" s="58"/>
      <c r="Q129" s="123">
        <f t="shared" si="7"/>
        <v>0</v>
      </c>
      <c r="R129" s="124" t="s">
        <v>438</v>
      </c>
      <c r="S129" s="47" t="s">
        <v>92</v>
      </c>
    </row>
    <row r="130" spans="1:19" ht="21" x14ac:dyDescent="0.35">
      <c r="A130" s="30" t="s">
        <v>14</v>
      </c>
      <c r="B130" s="189" t="s">
        <v>984</v>
      </c>
      <c r="C130" s="31" t="s">
        <v>431</v>
      </c>
      <c r="D130" s="32" t="s">
        <v>432</v>
      </c>
      <c r="E130" s="32" t="s">
        <v>407</v>
      </c>
      <c r="F130" s="32" t="s">
        <v>408</v>
      </c>
      <c r="G130" s="32" t="s">
        <v>439</v>
      </c>
      <c r="H130" s="33">
        <v>30000</v>
      </c>
      <c r="I130" s="37"/>
      <c r="J130" s="38"/>
      <c r="K130" s="39"/>
      <c r="L130" s="36">
        <v>30000</v>
      </c>
      <c r="M130" s="120"/>
      <c r="N130" s="36">
        <v>30000</v>
      </c>
      <c r="O130" s="39"/>
      <c r="P130" s="58"/>
      <c r="Q130" s="123">
        <f t="shared" si="7"/>
        <v>0</v>
      </c>
      <c r="R130" s="124" t="s">
        <v>440</v>
      </c>
      <c r="S130" s="47" t="s">
        <v>92</v>
      </c>
    </row>
    <row r="131" spans="1:19" ht="21" x14ac:dyDescent="0.35">
      <c r="A131" s="30" t="s">
        <v>14</v>
      </c>
      <c r="B131" s="189" t="s">
        <v>984</v>
      </c>
      <c r="C131" s="31" t="s">
        <v>431</v>
      </c>
      <c r="D131" s="32" t="s">
        <v>432</v>
      </c>
      <c r="E131" s="32" t="s">
        <v>441</v>
      </c>
      <c r="F131" s="32" t="s">
        <v>442</v>
      </c>
      <c r="G131" s="32" t="s">
        <v>443</v>
      </c>
      <c r="H131" s="33">
        <v>500000</v>
      </c>
      <c r="I131" s="37"/>
      <c r="J131" s="38"/>
      <c r="K131" s="39"/>
      <c r="L131" s="36">
        <v>500000</v>
      </c>
      <c r="M131" s="120"/>
      <c r="N131" s="36">
        <v>500000</v>
      </c>
      <c r="O131" s="39"/>
      <c r="P131" s="58"/>
      <c r="Q131" s="123">
        <f t="shared" si="7"/>
        <v>0</v>
      </c>
      <c r="R131" s="124" t="s">
        <v>444</v>
      </c>
      <c r="S131" s="47" t="s">
        <v>92</v>
      </c>
    </row>
    <row r="132" spans="1:19" ht="21" x14ac:dyDescent="0.35">
      <c r="A132" s="30" t="s">
        <v>14</v>
      </c>
      <c r="B132" s="189" t="s">
        <v>984</v>
      </c>
      <c r="C132" s="31" t="s">
        <v>431</v>
      </c>
      <c r="D132" s="32" t="s">
        <v>432</v>
      </c>
      <c r="E132" s="32" t="s">
        <v>26</v>
      </c>
      <c r="F132" s="32" t="s">
        <v>27</v>
      </c>
      <c r="G132" s="32" t="s">
        <v>445</v>
      </c>
      <c r="H132" s="33">
        <v>321000</v>
      </c>
      <c r="I132" s="34">
        <v>78657.3</v>
      </c>
      <c r="J132" s="35">
        <v>13773.75</v>
      </c>
      <c r="K132" s="33">
        <v>30541</v>
      </c>
      <c r="L132" s="36">
        <v>198027.95</v>
      </c>
      <c r="M132" s="120"/>
      <c r="N132" s="36">
        <v>198027.95</v>
      </c>
      <c r="O132" s="39"/>
      <c r="P132" s="58"/>
      <c r="Q132" s="123">
        <f t="shared" si="7"/>
        <v>0</v>
      </c>
      <c r="R132" s="124" t="s">
        <v>446</v>
      </c>
      <c r="S132" s="47" t="s">
        <v>92</v>
      </c>
    </row>
    <row r="133" spans="1:19" ht="31.5" x14ac:dyDescent="0.35">
      <c r="A133" s="30" t="s">
        <v>14</v>
      </c>
      <c r="B133" s="189" t="s">
        <v>984</v>
      </c>
      <c r="C133" s="31" t="s">
        <v>431</v>
      </c>
      <c r="D133" s="32" t="s">
        <v>432</v>
      </c>
      <c r="E133" s="32" t="s">
        <v>126</v>
      </c>
      <c r="F133" s="32" t="s">
        <v>127</v>
      </c>
      <c r="G133" s="32" t="s">
        <v>447</v>
      </c>
      <c r="H133" s="33">
        <v>15000</v>
      </c>
      <c r="I133" s="37"/>
      <c r="J133" s="38"/>
      <c r="K133" s="39"/>
      <c r="L133" s="36">
        <v>15000</v>
      </c>
      <c r="M133" s="120"/>
      <c r="N133" s="36">
        <v>15000</v>
      </c>
      <c r="O133" s="39"/>
      <c r="P133" s="58"/>
      <c r="Q133" s="123">
        <f t="shared" si="7"/>
        <v>0</v>
      </c>
      <c r="R133" s="124" t="s">
        <v>448</v>
      </c>
      <c r="S133" s="47" t="s">
        <v>92</v>
      </c>
    </row>
    <row r="134" spans="1:19" ht="21" x14ac:dyDescent="0.35">
      <c r="A134" s="30" t="s">
        <v>14</v>
      </c>
      <c r="B134" s="189" t="s">
        <v>984</v>
      </c>
      <c r="C134" s="31" t="s">
        <v>431</v>
      </c>
      <c r="D134" s="32" t="s">
        <v>432</v>
      </c>
      <c r="E134" s="32" t="s">
        <v>449</v>
      </c>
      <c r="F134" s="32" t="s">
        <v>450</v>
      </c>
      <c r="G134" s="32" t="s">
        <v>451</v>
      </c>
      <c r="H134" s="33">
        <v>200000</v>
      </c>
      <c r="I134" s="37"/>
      <c r="J134" s="38"/>
      <c r="K134" s="39"/>
      <c r="L134" s="36">
        <v>200000</v>
      </c>
      <c r="M134" s="120"/>
      <c r="N134" s="36">
        <v>200000</v>
      </c>
      <c r="O134" s="39"/>
      <c r="P134" s="58"/>
      <c r="Q134" s="123">
        <f t="shared" si="7"/>
        <v>0</v>
      </c>
      <c r="R134" s="124" t="s">
        <v>452</v>
      </c>
      <c r="S134" s="47" t="s">
        <v>92</v>
      </c>
    </row>
    <row r="135" spans="1:19" ht="21" x14ac:dyDescent="0.35">
      <c r="A135" s="30" t="s">
        <v>14</v>
      </c>
      <c r="B135" s="189" t="s">
        <v>984</v>
      </c>
      <c r="C135" s="31" t="s">
        <v>431</v>
      </c>
      <c r="D135" s="32" t="s">
        <v>432</v>
      </c>
      <c r="E135" s="32" t="s">
        <v>226</v>
      </c>
      <c r="F135" s="32" t="s">
        <v>227</v>
      </c>
      <c r="G135" s="32" t="s">
        <v>453</v>
      </c>
      <c r="H135" s="33">
        <v>10000</v>
      </c>
      <c r="I135" s="37"/>
      <c r="J135" s="38"/>
      <c r="K135" s="39"/>
      <c r="L135" s="36">
        <v>10000</v>
      </c>
      <c r="M135" s="120"/>
      <c r="N135" s="36">
        <v>10000</v>
      </c>
      <c r="O135" s="39"/>
      <c r="P135" s="58"/>
      <c r="Q135" s="123">
        <f t="shared" si="7"/>
        <v>0</v>
      </c>
      <c r="R135" s="124" t="s">
        <v>454</v>
      </c>
      <c r="S135" s="47" t="s">
        <v>92</v>
      </c>
    </row>
    <row r="136" spans="1:19" ht="21" x14ac:dyDescent="0.35">
      <c r="A136" s="30" t="s">
        <v>14</v>
      </c>
      <c r="B136" s="189" t="s">
        <v>984</v>
      </c>
      <c r="C136" s="31" t="s">
        <v>431</v>
      </c>
      <c r="D136" s="32" t="s">
        <v>432</v>
      </c>
      <c r="E136" s="32" t="s">
        <v>232</v>
      </c>
      <c r="F136" s="32" t="s">
        <v>233</v>
      </c>
      <c r="G136" s="32" t="s">
        <v>455</v>
      </c>
      <c r="H136" s="33">
        <v>5000</v>
      </c>
      <c r="I136" s="37"/>
      <c r="J136" s="38"/>
      <c r="K136" s="39"/>
      <c r="L136" s="36">
        <v>5000</v>
      </c>
      <c r="M136" s="120"/>
      <c r="N136" s="121">
        <v>5000</v>
      </c>
      <c r="O136" s="39"/>
      <c r="P136" s="58"/>
      <c r="Q136" s="123">
        <f t="shared" si="7"/>
        <v>0</v>
      </c>
      <c r="R136" s="124" t="s">
        <v>456</v>
      </c>
      <c r="S136" s="47" t="s">
        <v>92</v>
      </c>
    </row>
    <row r="137" spans="1:19" ht="21" x14ac:dyDescent="0.3">
      <c r="A137" s="106" t="s">
        <v>14</v>
      </c>
      <c r="B137" s="189" t="s">
        <v>979</v>
      </c>
      <c r="C137" s="107" t="s">
        <v>498</v>
      </c>
      <c r="D137" s="71" t="s">
        <v>499</v>
      </c>
      <c r="E137" s="71" t="s">
        <v>254</v>
      </c>
      <c r="F137" s="71" t="s">
        <v>255</v>
      </c>
      <c r="G137" s="71" t="s">
        <v>500</v>
      </c>
      <c r="H137" s="108">
        <v>59692</v>
      </c>
      <c r="I137" s="112">
        <v>44159.45</v>
      </c>
      <c r="J137" s="25"/>
      <c r="K137" s="26"/>
      <c r="L137" s="109">
        <v>15532.55</v>
      </c>
      <c r="M137" s="26"/>
      <c r="N137" s="25"/>
      <c r="O137" s="28"/>
      <c r="P137" s="28"/>
      <c r="Q137" s="110">
        <f>L137-M137-N137-O137</f>
        <v>15532.55</v>
      </c>
      <c r="R137" s="28"/>
      <c r="S137" s="47" t="s">
        <v>139</v>
      </c>
    </row>
    <row r="138" spans="1:19" ht="21" x14ac:dyDescent="0.3">
      <c r="A138" s="106" t="s">
        <v>14</v>
      </c>
      <c r="B138" s="189" t="s">
        <v>979</v>
      </c>
      <c r="C138" s="107" t="s">
        <v>498</v>
      </c>
      <c r="D138" s="71" t="s">
        <v>499</v>
      </c>
      <c r="E138" s="71" t="s">
        <v>501</v>
      </c>
      <c r="F138" s="71" t="s">
        <v>153</v>
      </c>
      <c r="G138" s="71" t="s">
        <v>502</v>
      </c>
      <c r="H138" s="108">
        <v>500308</v>
      </c>
      <c r="I138" s="112">
        <v>35000</v>
      </c>
      <c r="J138" s="25"/>
      <c r="K138" s="26"/>
      <c r="L138" s="109">
        <v>465308</v>
      </c>
      <c r="M138" s="26"/>
      <c r="N138" s="25"/>
      <c r="O138" s="28"/>
      <c r="P138" s="28"/>
      <c r="Q138" s="110">
        <f t="shared" ref="Q138:Q201" si="8">L138-M138-N138-O138</f>
        <v>465308</v>
      </c>
      <c r="R138" s="28"/>
      <c r="S138" s="47" t="s">
        <v>139</v>
      </c>
    </row>
    <row r="139" spans="1:19" ht="21" x14ac:dyDescent="0.3">
      <c r="A139" s="106" t="s">
        <v>14</v>
      </c>
      <c r="B139" s="189" t="s">
        <v>979</v>
      </c>
      <c r="C139" s="107" t="s">
        <v>498</v>
      </c>
      <c r="D139" s="71" t="s">
        <v>499</v>
      </c>
      <c r="E139" s="71" t="s">
        <v>106</v>
      </c>
      <c r="F139" s="71" t="s">
        <v>107</v>
      </c>
      <c r="G139" s="71" t="s">
        <v>503</v>
      </c>
      <c r="H139" s="108">
        <v>15000</v>
      </c>
      <c r="I139" s="112">
        <v>4400</v>
      </c>
      <c r="J139" s="25"/>
      <c r="K139" s="26"/>
      <c r="L139" s="109">
        <v>10600</v>
      </c>
      <c r="M139" s="26"/>
      <c r="N139" s="25"/>
      <c r="O139" s="28"/>
      <c r="P139" s="28"/>
      <c r="Q139" s="110">
        <f t="shared" si="8"/>
        <v>10600</v>
      </c>
      <c r="R139" s="28"/>
      <c r="S139" s="47" t="s">
        <v>139</v>
      </c>
    </row>
    <row r="140" spans="1:19" ht="21" x14ac:dyDescent="0.3">
      <c r="A140" s="106" t="s">
        <v>14</v>
      </c>
      <c r="B140" s="189" t="s">
        <v>979</v>
      </c>
      <c r="C140" s="107" t="s">
        <v>498</v>
      </c>
      <c r="D140" s="71" t="s">
        <v>499</v>
      </c>
      <c r="E140" s="71" t="s">
        <v>110</v>
      </c>
      <c r="F140" s="71" t="s">
        <v>111</v>
      </c>
      <c r="G140" s="71" t="s">
        <v>504</v>
      </c>
      <c r="H140" s="108">
        <v>15000</v>
      </c>
      <c r="I140" s="24"/>
      <c r="J140" s="25"/>
      <c r="K140" s="26"/>
      <c r="L140" s="109">
        <v>15000</v>
      </c>
      <c r="M140" s="26"/>
      <c r="N140" s="25"/>
      <c r="O140" s="28"/>
      <c r="P140" s="28"/>
      <c r="Q140" s="110">
        <f t="shared" si="8"/>
        <v>15000</v>
      </c>
      <c r="R140" s="28"/>
      <c r="S140" s="47" t="s">
        <v>139</v>
      </c>
    </row>
    <row r="141" spans="1:19" ht="21" x14ac:dyDescent="0.3">
      <c r="A141" s="106" t="s">
        <v>14</v>
      </c>
      <c r="B141" s="189" t="s">
        <v>979</v>
      </c>
      <c r="C141" s="107" t="s">
        <v>498</v>
      </c>
      <c r="D141" s="71" t="s">
        <v>499</v>
      </c>
      <c r="E141" s="71" t="s">
        <v>441</v>
      </c>
      <c r="F141" s="71" t="s">
        <v>442</v>
      </c>
      <c r="G141" s="71" t="s">
        <v>505</v>
      </c>
      <c r="H141" s="108">
        <v>41825</v>
      </c>
      <c r="I141" s="24"/>
      <c r="J141" s="25"/>
      <c r="K141" s="26"/>
      <c r="L141" s="109">
        <v>41825</v>
      </c>
      <c r="M141" s="26"/>
      <c r="N141" s="25"/>
      <c r="O141" s="28"/>
      <c r="P141" s="28"/>
      <c r="Q141" s="110">
        <f t="shared" si="8"/>
        <v>41825</v>
      </c>
      <c r="R141" s="28"/>
      <c r="S141" s="47" t="s">
        <v>139</v>
      </c>
    </row>
    <row r="142" spans="1:19" ht="21" x14ac:dyDescent="0.3">
      <c r="A142" s="106" t="s">
        <v>14</v>
      </c>
      <c r="B142" s="189" t="s">
        <v>979</v>
      </c>
      <c r="C142" s="107" t="s">
        <v>498</v>
      </c>
      <c r="D142" s="71" t="s">
        <v>499</v>
      </c>
      <c r="E142" s="71" t="s">
        <v>210</v>
      </c>
      <c r="F142" s="71" t="s">
        <v>211</v>
      </c>
      <c r="G142" s="71" t="s">
        <v>506</v>
      </c>
      <c r="H142" s="108">
        <v>20175</v>
      </c>
      <c r="I142" s="112">
        <v>20174.88</v>
      </c>
      <c r="J142" s="25"/>
      <c r="K142" s="26"/>
      <c r="L142" s="109">
        <v>0.11999999999898101</v>
      </c>
      <c r="M142" s="26"/>
      <c r="N142" s="25"/>
      <c r="O142" s="28"/>
      <c r="P142" s="28"/>
      <c r="Q142" s="110">
        <f t="shared" si="8"/>
        <v>0.11999999999898101</v>
      </c>
      <c r="R142" s="28"/>
      <c r="S142" s="47" t="s">
        <v>139</v>
      </c>
    </row>
    <row r="143" spans="1:19" ht="21" x14ac:dyDescent="0.3">
      <c r="A143" s="106" t="s">
        <v>14</v>
      </c>
      <c r="B143" s="189" t="s">
        <v>979</v>
      </c>
      <c r="C143" s="107" t="s">
        <v>498</v>
      </c>
      <c r="D143" s="71" t="s">
        <v>499</v>
      </c>
      <c r="E143" s="71" t="s">
        <v>222</v>
      </c>
      <c r="F143" s="71" t="s">
        <v>223</v>
      </c>
      <c r="G143" s="71" t="s">
        <v>507</v>
      </c>
      <c r="H143" s="108">
        <v>200000</v>
      </c>
      <c r="I143" s="24"/>
      <c r="J143" s="25"/>
      <c r="K143" s="26"/>
      <c r="L143" s="109">
        <v>200000</v>
      </c>
      <c r="M143" s="26"/>
      <c r="N143" s="25"/>
      <c r="O143" s="28"/>
      <c r="P143" s="28"/>
      <c r="Q143" s="110">
        <f t="shared" si="8"/>
        <v>200000</v>
      </c>
      <c r="R143" s="28"/>
      <c r="S143" s="47" t="s">
        <v>139</v>
      </c>
    </row>
    <row r="144" spans="1:19" ht="21" x14ac:dyDescent="0.3">
      <c r="A144" s="106" t="s">
        <v>14</v>
      </c>
      <c r="B144" s="189" t="s">
        <v>979</v>
      </c>
      <c r="C144" s="107" t="s">
        <v>498</v>
      </c>
      <c r="D144" s="71" t="s">
        <v>499</v>
      </c>
      <c r="E144" s="71" t="s">
        <v>228</v>
      </c>
      <c r="F144" s="71" t="s">
        <v>229</v>
      </c>
      <c r="G144" s="71" t="s">
        <v>508</v>
      </c>
      <c r="H144" s="108">
        <v>30000</v>
      </c>
      <c r="I144" s="112">
        <v>16452.93</v>
      </c>
      <c r="J144" s="25"/>
      <c r="K144" s="26"/>
      <c r="L144" s="109">
        <v>13547.07</v>
      </c>
      <c r="M144" s="26"/>
      <c r="N144" s="25"/>
      <c r="O144" s="28"/>
      <c r="P144" s="28"/>
      <c r="Q144" s="110">
        <f t="shared" si="8"/>
        <v>13547.07</v>
      </c>
      <c r="R144" s="28"/>
      <c r="S144" s="47" t="s">
        <v>139</v>
      </c>
    </row>
    <row r="145" spans="1:19" ht="31.5" x14ac:dyDescent="0.3">
      <c r="A145" s="106" t="s">
        <v>14</v>
      </c>
      <c r="B145" s="189" t="s">
        <v>979</v>
      </c>
      <c r="C145" s="107" t="s">
        <v>509</v>
      </c>
      <c r="D145" s="71" t="s">
        <v>510</v>
      </c>
      <c r="E145" s="71" t="s">
        <v>276</v>
      </c>
      <c r="F145" s="71" t="s">
        <v>277</v>
      </c>
      <c r="G145" s="71" t="s">
        <v>511</v>
      </c>
      <c r="H145" s="108">
        <v>162000</v>
      </c>
      <c r="I145" s="24"/>
      <c r="J145" s="25"/>
      <c r="K145" s="26"/>
      <c r="L145" s="109">
        <v>162000</v>
      </c>
      <c r="M145" s="26"/>
      <c r="N145" s="25"/>
      <c r="O145" s="28"/>
      <c r="P145" s="28"/>
      <c r="Q145" s="110">
        <f t="shared" si="8"/>
        <v>162000</v>
      </c>
      <c r="R145" s="28"/>
      <c r="S145" s="47" t="s">
        <v>139</v>
      </c>
    </row>
    <row r="146" spans="1:19" ht="31.5" x14ac:dyDescent="0.3">
      <c r="A146" s="106" t="s">
        <v>14</v>
      </c>
      <c r="B146" s="189" t="s">
        <v>979</v>
      </c>
      <c r="C146" s="107" t="s">
        <v>509</v>
      </c>
      <c r="D146" s="71" t="s">
        <v>510</v>
      </c>
      <c r="E146" s="71" t="s">
        <v>441</v>
      </c>
      <c r="F146" s="71" t="s">
        <v>442</v>
      </c>
      <c r="G146" s="71" t="s">
        <v>512</v>
      </c>
      <c r="H146" s="108">
        <v>120000</v>
      </c>
      <c r="I146" s="24"/>
      <c r="J146" s="25"/>
      <c r="K146" s="26"/>
      <c r="L146" s="109">
        <v>120000</v>
      </c>
      <c r="M146" s="26"/>
      <c r="N146" s="25"/>
      <c r="O146" s="28"/>
      <c r="P146" s="28"/>
      <c r="Q146" s="110">
        <f t="shared" si="8"/>
        <v>120000</v>
      </c>
      <c r="R146" s="28"/>
      <c r="S146" s="47" t="s">
        <v>139</v>
      </c>
    </row>
    <row r="147" spans="1:19" ht="31.5" x14ac:dyDescent="0.3">
      <c r="A147" s="106" t="s">
        <v>14</v>
      </c>
      <c r="B147" s="189" t="s">
        <v>979</v>
      </c>
      <c r="C147" s="107" t="s">
        <v>509</v>
      </c>
      <c r="D147" s="71" t="s">
        <v>510</v>
      </c>
      <c r="E147" s="71" t="s">
        <v>26</v>
      </c>
      <c r="F147" s="71" t="s">
        <v>27</v>
      </c>
      <c r="G147" s="71" t="s">
        <v>513</v>
      </c>
      <c r="H147" s="108">
        <v>5600</v>
      </c>
      <c r="I147" s="24"/>
      <c r="J147" s="25"/>
      <c r="K147" s="26"/>
      <c r="L147" s="109">
        <v>5600</v>
      </c>
      <c r="M147" s="26"/>
      <c r="N147" s="25"/>
      <c r="O147" s="28"/>
      <c r="P147" s="28"/>
      <c r="Q147" s="110">
        <f t="shared" si="8"/>
        <v>5600</v>
      </c>
      <c r="R147" s="28"/>
      <c r="S147" s="47" t="s">
        <v>139</v>
      </c>
    </row>
    <row r="148" spans="1:19" ht="31.5" x14ac:dyDescent="0.3">
      <c r="A148" s="106" t="s">
        <v>14</v>
      </c>
      <c r="B148" s="189" t="s">
        <v>979</v>
      </c>
      <c r="C148" s="107" t="s">
        <v>509</v>
      </c>
      <c r="D148" s="71" t="s">
        <v>510</v>
      </c>
      <c r="E148" s="71" t="s">
        <v>130</v>
      </c>
      <c r="F148" s="71" t="s">
        <v>131</v>
      </c>
      <c r="G148" s="71" t="s">
        <v>514</v>
      </c>
      <c r="H148" s="108">
        <v>85229</v>
      </c>
      <c r="I148" s="24"/>
      <c r="J148" s="25"/>
      <c r="K148" s="26"/>
      <c r="L148" s="109">
        <v>85229</v>
      </c>
      <c r="M148" s="26"/>
      <c r="N148" s="25"/>
      <c r="O148" s="28"/>
      <c r="P148" s="28"/>
      <c r="Q148" s="110">
        <f t="shared" si="8"/>
        <v>85229</v>
      </c>
      <c r="R148" s="28"/>
      <c r="S148" s="47" t="s">
        <v>139</v>
      </c>
    </row>
    <row r="149" spans="1:19" ht="31.5" x14ac:dyDescent="0.3">
      <c r="A149" s="106" t="s">
        <v>14</v>
      </c>
      <c r="B149" s="189" t="s">
        <v>979</v>
      </c>
      <c r="C149" s="107" t="s">
        <v>509</v>
      </c>
      <c r="D149" s="71" t="s">
        <v>510</v>
      </c>
      <c r="E149" s="71" t="s">
        <v>228</v>
      </c>
      <c r="F149" s="71" t="s">
        <v>229</v>
      </c>
      <c r="G149" s="71" t="s">
        <v>515</v>
      </c>
      <c r="H149" s="108">
        <v>17900</v>
      </c>
      <c r="I149" s="112">
        <v>1500</v>
      </c>
      <c r="J149" s="25"/>
      <c r="K149" s="26"/>
      <c r="L149" s="109">
        <v>16400</v>
      </c>
      <c r="M149" s="26"/>
      <c r="N149" s="25"/>
      <c r="O149" s="28"/>
      <c r="P149" s="28"/>
      <c r="Q149" s="110">
        <f t="shared" si="8"/>
        <v>16400</v>
      </c>
      <c r="R149" s="28"/>
      <c r="S149" s="47" t="s">
        <v>139</v>
      </c>
    </row>
    <row r="150" spans="1:19" x14ac:dyDescent="0.3">
      <c r="A150" s="106" t="s">
        <v>14</v>
      </c>
      <c r="B150" s="189" t="s">
        <v>979</v>
      </c>
      <c r="C150" s="107" t="s">
        <v>516</v>
      </c>
      <c r="D150" s="71" t="s">
        <v>517</v>
      </c>
      <c r="E150" s="71" t="s">
        <v>501</v>
      </c>
      <c r="F150" s="71" t="s">
        <v>153</v>
      </c>
      <c r="G150" s="71" t="s">
        <v>518</v>
      </c>
      <c r="H150" s="108">
        <v>150000</v>
      </c>
      <c r="I150" s="24"/>
      <c r="J150" s="25"/>
      <c r="K150" s="26"/>
      <c r="L150" s="109">
        <v>150000</v>
      </c>
      <c r="M150" s="26"/>
      <c r="N150" s="25"/>
      <c r="O150" s="28"/>
      <c r="P150" s="28"/>
      <c r="Q150" s="110">
        <f t="shared" si="8"/>
        <v>150000</v>
      </c>
      <c r="R150" s="28"/>
      <c r="S150" s="47" t="s">
        <v>139</v>
      </c>
    </row>
    <row r="151" spans="1:19" x14ac:dyDescent="0.3">
      <c r="A151" s="106" t="s">
        <v>14</v>
      </c>
      <c r="B151" s="189" t="s">
        <v>979</v>
      </c>
      <c r="C151" s="107" t="s">
        <v>516</v>
      </c>
      <c r="D151" s="71" t="s">
        <v>517</v>
      </c>
      <c r="E151" s="71" t="s">
        <v>102</v>
      </c>
      <c r="F151" s="71" t="s">
        <v>103</v>
      </c>
      <c r="G151" s="71" t="s">
        <v>519</v>
      </c>
      <c r="H151" s="108">
        <v>50000</v>
      </c>
      <c r="I151" s="24"/>
      <c r="J151" s="25"/>
      <c r="K151" s="26"/>
      <c r="L151" s="109">
        <v>50000</v>
      </c>
      <c r="M151" s="26"/>
      <c r="N151" s="25"/>
      <c r="O151" s="28"/>
      <c r="P151" s="28"/>
      <c r="Q151" s="110">
        <f t="shared" si="8"/>
        <v>50000</v>
      </c>
      <c r="R151" s="28"/>
      <c r="S151" s="47" t="s">
        <v>139</v>
      </c>
    </row>
    <row r="152" spans="1:19" x14ac:dyDescent="0.3">
      <c r="A152" s="106" t="s">
        <v>14</v>
      </c>
      <c r="B152" s="189" t="s">
        <v>979</v>
      </c>
      <c r="C152" s="107" t="s">
        <v>516</v>
      </c>
      <c r="D152" s="71" t="s">
        <v>517</v>
      </c>
      <c r="E152" s="71" t="s">
        <v>407</v>
      </c>
      <c r="F152" s="71" t="s">
        <v>408</v>
      </c>
      <c r="G152" s="71" t="s">
        <v>520</v>
      </c>
      <c r="H152" s="108">
        <v>5000</v>
      </c>
      <c r="I152" s="24"/>
      <c r="J152" s="25"/>
      <c r="K152" s="26"/>
      <c r="L152" s="109">
        <v>5000</v>
      </c>
      <c r="M152" s="26"/>
      <c r="N152" s="25"/>
      <c r="O152" s="28"/>
      <c r="P152" s="28"/>
      <c r="Q152" s="110">
        <f t="shared" si="8"/>
        <v>5000</v>
      </c>
      <c r="R152" s="28"/>
      <c r="S152" s="47" t="s">
        <v>139</v>
      </c>
    </row>
    <row r="153" spans="1:19" x14ac:dyDescent="0.3">
      <c r="A153" s="106" t="s">
        <v>14</v>
      </c>
      <c r="B153" s="189" t="s">
        <v>979</v>
      </c>
      <c r="C153" s="107" t="s">
        <v>516</v>
      </c>
      <c r="D153" s="71" t="s">
        <v>517</v>
      </c>
      <c r="E153" s="71" t="s">
        <v>114</v>
      </c>
      <c r="F153" s="71" t="s">
        <v>115</v>
      </c>
      <c r="G153" s="71" t="s">
        <v>521</v>
      </c>
      <c r="H153" s="108">
        <v>80000</v>
      </c>
      <c r="I153" s="24"/>
      <c r="J153" s="25"/>
      <c r="K153" s="26"/>
      <c r="L153" s="109">
        <v>80000</v>
      </c>
      <c r="M153" s="26"/>
      <c r="N153" s="25"/>
      <c r="O153" s="28"/>
      <c r="P153" s="28"/>
      <c r="Q153" s="110">
        <f t="shared" si="8"/>
        <v>80000</v>
      </c>
      <c r="R153" s="28"/>
      <c r="S153" s="47" t="s">
        <v>139</v>
      </c>
    </row>
    <row r="154" spans="1:19" x14ac:dyDescent="0.3">
      <c r="A154" s="106" t="s">
        <v>14</v>
      </c>
      <c r="B154" s="189" t="s">
        <v>979</v>
      </c>
      <c r="C154" s="107" t="s">
        <v>516</v>
      </c>
      <c r="D154" s="71" t="s">
        <v>517</v>
      </c>
      <c r="E154" s="71" t="s">
        <v>441</v>
      </c>
      <c r="F154" s="71" t="s">
        <v>442</v>
      </c>
      <c r="G154" s="71" t="s">
        <v>522</v>
      </c>
      <c r="H154" s="108">
        <v>285000</v>
      </c>
      <c r="I154" s="112">
        <v>3433.96</v>
      </c>
      <c r="J154" s="25"/>
      <c r="K154" s="26"/>
      <c r="L154" s="109">
        <v>281566.03999999998</v>
      </c>
      <c r="M154" s="26"/>
      <c r="N154" s="25"/>
      <c r="O154" s="28"/>
      <c r="P154" s="28"/>
      <c r="Q154" s="110">
        <f t="shared" si="8"/>
        <v>281566.03999999998</v>
      </c>
      <c r="R154" s="28"/>
      <c r="S154" s="47" t="s">
        <v>139</v>
      </c>
    </row>
    <row r="155" spans="1:19" x14ac:dyDescent="0.3">
      <c r="A155" s="106" t="s">
        <v>14</v>
      </c>
      <c r="B155" s="189" t="s">
        <v>979</v>
      </c>
      <c r="C155" s="107" t="s">
        <v>516</v>
      </c>
      <c r="D155" s="71" t="s">
        <v>517</v>
      </c>
      <c r="E155" s="71" t="s">
        <v>194</v>
      </c>
      <c r="F155" s="71" t="s">
        <v>195</v>
      </c>
      <c r="G155" s="71" t="s">
        <v>523</v>
      </c>
      <c r="H155" s="108">
        <v>140000</v>
      </c>
      <c r="I155" s="24"/>
      <c r="J155" s="25"/>
      <c r="K155" s="26"/>
      <c r="L155" s="109">
        <v>140000</v>
      </c>
      <c r="M155" s="26"/>
      <c r="N155" s="25"/>
      <c r="O155" s="28"/>
      <c r="P155" s="28"/>
      <c r="Q155" s="110">
        <f t="shared" si="8"/>
        <v>140000</v>
      </c>
      <c r="R155" s="28"/>
      <c r="S155" s="47" t="s">
        <v>139</v>
      </c>
    </row>
    <row r="156" spans="1:19" ht="21" x14ac:dyDescent="0.3">
      <c r="A156" s="106" t="s">
        <v>14</v>
      </c>
      <c r="B156" s="189" t="s">
        <v>979</v>
      </c>
      <c r="C156" s="107" t="s">
        <v>516</v>
      </c>
      <c r="D156" s="71" t="s">
        <v>517</v>
      </c>
      <c r="E156" s="71" t="s">
        <v>26</v>
      </c>
      <c r="F156" s="71" t="s">
        <v>27</v>
      </c>
      <c r="G156" s="71" t="s">
        <v>524</v>
      </c>
      <c r="H156" s="108">
        <v>229511</v>
      </c>
      <c r="I156" s="24"/>
      <c r="J156" s="114">
        <v>0</v>
      </c>
      <c r="K156" s="108">
        <v>30447.87</v>
      </c>
      <c r="L156" s="109">
        <v>199063.13</v>
      </c>
      <c r="M156" s="26"/>
      <c r="N156" s="25"/>
      <c r="O156" s="28"/>
      <c r="P156" s="28"/>
      <c r="Q156" s="110">
        <f t="shared" si="8"/>
        <v>199063.13</v>
      </c>
      <c r="R156" s="28"/>
      <c r="S156" s="47" t="s">
        <v>139</v>
      </c>
    </row>
    <row r="157" spans="1:19" x14ac:dyDescent="0.3">
      <c r="A157" s="106" t="s">
        <v>14</v>
      </c>
      <c r="B157" s="189" t="s">
        <v>979</v>
      </c>
      <c r="C157" s="107" t="s">
        <v>516</v>
      </c>
      <c r="D157" s="71" t="s">
        <v>517</v>
      </c>
      <c r="E157" s="71" t="s">
        <v>126</v>
      </c>
      <c r="F157" s="71" t="s">
        <v>127</v>
      </c>
      <c r="G157" s="71" t="s">
        <v>525</v>
      </c>
      <c r="H157" s="108">
        <v>15000</v>
      </c>
      <c r="I157" s="24"/>
      <c r="J157" s="25"/>
      <c r="K157" s="26"/>
      <c r="L157" s="109">
        <v>15000</v>
      </c>
      <c r="M157" s="26"/>
      <c r="N157" s="25"/>
      <c r="O157" s="28"/>
      <c r="P157" s="28"/>
      <c r="Q157" s="110">
        <f t="shared" si="8"/>
        <v>15000</v>
      </c>
      <c r="R157" s="28"/>
      <c r="S157" s="47" t="s">
        <v>139</v>
      </c>
    </row>
    <row r="158" spans="1:19" x14ac:dyDescent="0.3">
      <c r="A158" s="106" t="s">
        <v>14</v>
      </c>
      <c r="B158" s="189" t="s">
        <v>979</v>
      </c>
      <c r="C158" s="107" t="s">
        <v>516</v>
      </c>
      <c r="D158" s="71" t="s">
        <v>517</v>
      </c>
      <c r="E158" s="71" t="s">
        <v>222</v>
      </c>
      <c r="F158" s="71" t="s">
        <v>223</v>
      </c>
      <c r="G158" s="71" t="s">
        <v>526</v>
      </c>
      <c r="H158" s="108">
        <v>301000</v>
      </c>
      <c r="I158" s="112">
        <v>3500</v>
      </c>
      <c r="J158" s="114">
        <v>14175</v>
      </c>
      <c r="K158" s="108">
        <v>33000</v>
      </c>
      <c r="L158" s="109">
        <v>250325</v>
      </c>
      <c r="M158" s="26"/>
      <c r="N158" s="25"/>
      <c r="O158" s="28"/>
      <c r="P158" s="28"/>
      <c r="Q158" s="110">
        <f t="shared" si="8"/>
        <v>250325</v>
      </c>
      <c r="R158" s="28"/>
      <c r="S158" s="47" t="s">
        <v>139</v>
      </c>
    </row>
    <row r="159" spans="1:19" x14ac:dyDescent="0.3">
      <c r="A159" s="106" t="s">
        <v>14</v>
      </c>
      <c r="B159" s="189" t="s">
        <v>979</v>
      </c>
      <c r="C159" s="107" t="s">
        <v>516</v>
      </c>
      <c r="D159" s="71" t="s">
        <v>517</v>
      </c>
      <c r="E159" s="71" t="s">
        <v>228</v>
      </c>
      <c r="F159" s="71" t="s">
        <v>229</v>
      </c>
      <c r="G159" s="71" t="s">
        <v>527</v>
      </c>
      <c r="H159" s="108">
        <v>70000</v>
      </c>
      <c r="I159" s="112">
        <v>5138</v>
      </c>
      <c r="J159" s="25"/>
      <c r="K159" s="26"/>
      <c r="L159" s="109">
        <v>64862</v>
      </c>
      <c r="M159" s="26"/>
      <c r="N159" s="25"/>
      <c r="O159" s="28"/>
      <c r="P159" s="28"/>
      <c r="Q159" s="110">
        <f t="shared" si="8"/>
        <v>64862</v>
      </c>
      <c r="R159" s="28"/>
      <c r="S159" s="47" t="s">
        <v>139</v>
      </c>
    </row>
    <row r="160" spans="1:19" x14ac:dyDescent="0.3">
      <c r="A160" s="106" t="s">
        <v>14</v>
      </c>
      <c r="B160" s="189" t="s">
        <v>979</v>
      </c>
      <c r="C160" s="107" t="s">
        <v>516</v>
      </c>
      <c r="D160" s="71" t="s">
        <v>517</v>
      </c>
      <c r="E160" s="71" t="s">
        <v>230</v>
      </c>
      <c r="F160" s="71" t="s">
        <v>231</v>
      </c>
      <c r="G160" s="71" t="s">
        <v>528</v>
      </c>
      <c r="H160" s="108">
        <v>525000</v>
      </c>
      <c r="I160" s="112">
        <v>64223.01</v>
      </c>
      <c r="J160" s="114">
        <v>34552.5</v>
      </c>
      <c r="K160" s="108">
        <v>15000</v>
      </c>
      <c r="L160" s="109">
        <v>411224.49</v>
      </c>
      <c r="M160" s="26"/>
      <c r="N160" s="25"/>
      <c r="O160" s="28"/>
      <c r="P160" s="28"/>
      <c r="Q160" s="110">
        <f t="shared" si="8"/>
        <v>411224.49</v>
      </c>
      <c r="R160" s="28"/>
      <c r="S160" s="47" t="s">
        <v>139</v>
      </c>
    </row>
    <row r="161" spans="1:19" x14ac:dyDescent="0.3">
      <c r="A161" s="106" t="s">
        <v>14</v>
      </c>
      <c r="B161" s="189" t="s">
        <v>979</v>
      </c>
      <c r="C161" s="107" t="s">
        <v>516</v>
      </c>
      <c r="D161" s="71" t="s">
        <v>517</v>
      </c>
      <c r="E161" s="71" t="s">
        <v>133</v>
      </c>
      <c r="F161" s="71" t="s">
        <v>134</v>
      </c>
      <c r="G161" s="71" t="s">
        <v>529</v>
      </c>
      <c r="H161" s="108">
        <v>20000</v>
      </c>
      <c r="I161" s="24"/>
      <c r="J161" s="25"/>
      <c r="K161" s="26"/>
      <c r="L161" s="109">
        <v>20000</v>
      </c>
      <c r="M161" s="26"/>
      <c r="N161" s="25"/>
      <c r="O161" s="28"/>
      <c r="P161" s="28"/>
      <c r="Q161" s="110">
        <f t="shared" si="8"/>
        <v>20000</v>
      </c>
      <c r="R161" s="28"/>
      <c r="S161" s="47" t="s">
        <v>139</v>
      </c>
    </row>
    <row r="162" spans="1:19" ht="21" x14ac:dyDescent="0.3">
      <c r="A162" s="106" t="s">
        <v>14</v>
      </c>
      <c r="B162" s="189" t="s">
        <v>979</v>
      </c>
      <c r="C162" s="107" t="s">
        <v>530</v>
      </c>
      <c r="D162" s="71" t="s">
        <v>531</v>
      </c>
      <c r="E162" s="71" t="s">
        <v>106</v>
      </c>
      <c r="F162" s="71" t="s">
        <v>107</v>
      </c>
      <c r="G162" s="71" t="s">
        <v>532</v>
      </c>
      <c r="H162" s="108">
        <v>45000</v>
      </c>
      <c r="I162" s="24"/>
      <c r="J162" s="25"/>
      <c r="K162" s="26"/>
      <c r="L162" s="109">
        <v>45000</v>
      </c>
      <c r="M162" s="26"/>
      <c r="N162" s="25"/>
      <c r="O162" s="28"/>
      <c r="P162" s="28"/>
      <c r="Q162" s="110">
        <f t="shared" si="8"/>
        <v>45000</v>
      </c>
      <c r="R162" s="28"/>
      <c r="S162" s="47" t="s">
        <v>139</v>
      </c>
    </row>
    <row r="163" spans="1:19" ht="21" x14ac:dyDescent="0.3">
      <c r="A163" s="106" t="s">
        <v>14</v>
      </c>
      <c r="B163" s="189" t="s">
        <v>979</v>
      </c>
      <c r="C163" s="107" t="s">
        <v>530</v>
      </c>
      <c r="D163" s="71" t="s">
        <v>531</v>
      </c>
      <c r="E163" s="71" t="s">
        <v>110</v>
      </c>
      <c r="F163" s="71" t="s">
        <v>111</v>
      </c>
      <c r="G163" s="71" t="s">
        <v>533</v>
      </c>
      <c r="H163" s="108">
        <v>225000</v>
      </c>
      <c r="I163" s="24"/>
      <c r="J163" s="25"/>
      <c r="K163" s="26"/>
      <c r="L163" s="109">
        <v>225000</v>
      </c>
      <c r="M163" s="26"/>
      <c r="N163" s="25"/>
      <c r="O163" s="28"/>
      <c r="P163" s="28"/>
      <c r="Q163" s="110">
        <f t="shared" si="8"/>
        <v>225000</v>
      </c>
      <c r="R163" s="28"/>
      <c r="S163" s="47" t="s">
        <v>139</v>
      </c>
    </row>
    <row r="164" spans="1:19" x14ac:dyDescent="0.3">
      <c r="A164" s="106" t="s">
        <v>14</v>
      </c>
      <c r="B164" s="189" t="s">
        <v>979</v>
      </c>
      <c r="C164" s="107" t="s">
        <v>530</v>
      </c>
      <c r="D164" s="71" t="s">
        <v>531</v>
      </c>
      <c r="E164" s="71" t="s">
        <v>441</v>
      </c>
      <c r="F164" s="71" t="s">
        <v>442</v>
      </c>
      <c r="G164" s="71" t="s">
        <v>534</v>
      </c>
      <c r="H164" s="108">
        <v>60000</v>
      </c>
      <c r="I164" s="24"/>
      <c r="J164" s="25"/>
      <c r="K164" s="26"/>
      <c r="L164" s="109">
        <v>60000</v>
      </c>
      <c r="M164" s="26"/>
      <c r="N164" s="25"/>
      <c r="O164" s="28"/>
      <c r="P164" s="28"/>
      <c r="Q164" s="110">
        <f t="shared" si="8"/>
        <v>60000</v>
      </c>
      <c r="R164" s="28"/>
      <c r="S164" s="47" t="s">
        <v>139</v>
      </c>
    </row>
    <row r="165" spans="1:19" x14ac:dyDescent="0.3">
      <c r="A165" s="106" t="s">
        <v>14</v>
      </c>
      <c r="B165" s="189" t="s">
        <v>979</v>
      </c>
      <c r="C165" s="107" t="s">
        <v>530</v>
      </c>
      <c r="D165" s="71" t="s">
        <v>531</v>
      </c>
      <c r="E165" s="71" t="s">
        <v>194</v>
      </c>
      <c r="F165" s="71" t="s">
        <v>195</v>
      </c>
      <c r="G165" s="71" t="s">
        <v>535</v>
      </c>
      <c r="H165" s="108">
        <v>10116</v>
      </c>
      <c r="I165" s="24"/>
      <c r="J165" s="25"/>
      <c r="K165" s="26"/>
      <c r="L165" s="109">
        <v>10116</v>
      </c>
      <c r="M165" s="26"/>
      <c r="N165" s="25"/>
      <c r="O165" s="28"/>
      <c r="P165" s="28"/>
      <c r="Q165" s="110">
        <f t="shared" si="8"/>
        <v>10116</v>
      </c>
      <c r="R165" s="28"/>
      <c r="S165" s="47" t="s">
        <v>139</v>
      </c>
    </row>
    <row r="166" spans="1:19" ht="21" x14ac:dyDescent="0.3">
      <c r="A166" s="106" t="s">
        <v>14</v>
      </c>
      <c r="B166" s="189" t="s">
        <v>979</v>
      </c>
      <c r="C166" s="107" t="s">
        <v>530</v>
      </c>
      <c r="D166" s="71" t="s">
        <v>531</v>
      </c>
      <c r="E166" s="71" t="s">
        <v>26</v>
      </c>
      <c r="F166" s="71" t="s">
        <v>27</v>
      </c>
      <c r="G166" s="71" t="s">
        <v>536</v>
      </c>
      <c r="H166" s="108">
        <v>212000</v>
      </c>
      <c r="I166" s="24"/>
      <c r="J166" s="25"/>
      <c r="K166" s="26"/>
      <c r="L166" s="109">
        <v>212000</v>
      </c>
      <c r="M166" s="26"/>
      <c r="N166" s="25"/>
      <c r="O166" s="28"/>
      <c r="P166" s="28"/>
      <c r="Q166" s="110">
        <f t="shared" si="8"/>
        <v>212000</v>
      </c>
      <c r="R166" s="28"/>
      <c r="S166" s="47" t="s">
        <v>139</v>
      </c>
    </row>
    <row r="167" spans="1:19" x14ac:dyDescent="0.3">
      <c r="A167" s="106" t="s">
        <v>14</v>
      </c>
      <c r="B167" s="189" t="s">
        <v>979</v>
      </c>
      <c r="C167" s="107" t="s">
        <v>530</v>
      </c>
      <c r="D167" s="71" t="s">
        <v>531</v>
      </c>
      <c r="E167" s="71" t="s">
        <v>35</v>
      </c>
      <c r="F167" s="71" t="s">
        <v>36</v>
      </c>
      <c r="G167" s="71" t="s">
        <v>537</v>
      </c>
      <c r="H167" s="108">
        <v>128000</v>
      </c>
      <c r="I167" s="24"/>
      <c r="J167" s="25"/>
      <c r="K167" s="26"/>
      <c r="L167" s="109">
        <v>128000</v>
      </c>
      <c r="M167" s="26"/>
      <c r="N167" s="25"/>
      <c r="O167" s="28"/>
      <c r="P167" s="28"/>
      <c r="Q167" s="110">
        <f t="shared" si="8"/>
        <v>128000</v>
      </c>
      <c r="R167" s="28"/>
      <c r="S167" s="47" t="s">
        <v>139</v>
      </c>
    </row>
    <row r="168" spans="1:19" x14ac:dyDescent="0.3">
      <c r="A168" s="106" t="s">
        <v>14</v>
      </c>
      <c r="B168" s="189" t="s">
        <v>979</v>
      </c>
      <c r="C168" s="107" t="s">
        <v>530</v>
      </c>
      <c r="D168" s="71" t="s">
        <v>531</v>
      </c>
      <c r="E168" s="71" t="s">
        <v>228</v>
      </c>
      <c r="F168" s="71" t="s">
        <v>229</v>
      </c>
      <c r="G168" s="71" t="s">
        <v>538</v>
      </c>
      <c r="H168" s="108">
        <v>120000</v>
      </c>
      <c r="I168" s="112">
        <v>21287.77</v>
      </c>
      <c r="J168" s="25"/>
      <c r="K168" s="26"/>
      <c r="L168" s="109">
        <v>98712.23</v>
      </c>
      <c r="M168" s="26"/>
      <c r="N168" s="25"/>
      <c r="O168" s="28"/>
      <c r="P168" s="28"/>
      <c r="Q168" s="110">
        <f t="shared" si="8"/>
        <v>98712.23</v>
      </c>
      <c r="R168" s="28"/>
      <c r="S168" s="47" t="s">
        <v>139</v>
      </c>
    </row>
    <row r="169" spans="1:19" x14ac:dyDescent="0.3">
      <c r="A169" s="106" t="s">
        <v>14</v>
      </c>
      <c r="B169" s="189" t="s">
        <v>979</v>
      </c>
      <c r="C169" s="107" t="s">
        <v>530</v>
      </c>
      <c r="D169" s="71" t="s">
        <v>531</v>
      </c>
      <c r="E169" s="71" t="s">
        <v>230</v>
      </c>
      <c r="F169" s="71" t="s">
        <v>231</v>
      </c>
      <c r="G169" s="71" t="s">
        <v>539</v>
      </c>
      <c r="H169" s="108">
        <v>551566</v>
      </c>
      <c r="I169" s="24"/>
      <c r="J169" s="25"/>
      <c r="K169" s="26"/>
      <c r="L169" s="109">
        <v>551566</v>
      </c>
      <c r="M169" s="26"/>
      <c r="N169" s="25"/>
      <c r="O169" s="28"/>
      <c r="P169" s="28"/>
      <c r="Q169" s="110">
        <f t="shared" si="8"/>
        <v>551566</v>
      </c>
      <c r="R169" s="28"/>
      <c r="S169" s="47" t="s">
        <v>139</v>
      </c>
    </row>
    <row r="170" spans="1:19" x14ac:dyDescent="0.3">
      <c r="A170" s="106" t="s">
        <v>14</v>
      </c>
      <c r="B170" s="189" t="s">
        <v>979</v>
      </c>
      <c r="C170" s="107" t="s">
        <v>540</v>
      </c>
      <c r="D170" s="71" t="s">
        <v>541</v>
      </c>
      <c r="E170" s="71" t="s">
        <v>276</v>
      </c>
      <c r="F170" s="71" t="s">
        <v>277</v>
      </c>
      <c r="G170" s="71" t="s">
        <v>542</v>
      </c>
      <c r="H170" s="108">
        <v>8500</v>
      </c>
      <c r="I170" s="24"/>
      <c r="J170" s="25"/>
      <c r="K170" s="26"/>
      <c r="L170" s="109">
        <v>8500</v>
      </c>
      <c r="M170" s="26"/>
      <c r="N170" s="25"/>
      <c r="O170" s="28"/>
      <c r="P170" s="28"/>
      <c r="Q170" s="110">
        <f t="shared" si="8"/>
        <v>8500</v>
      </c>
      <c r="R170" s="28"/>
      <c r="S170" s="47" t="s">
        <v>139</v>
      </c>
    </row>
    <row r="171" spans="1:19" x14ac:dyDescent="0.3">
      <c r="A171" s="106" t="s">
        <v>14</v>
      </c>
      <c r="B171" s="189" t="s">
        <v>979</v>
      </c>
      <c r="C171" s="107" t="s">
        <v>540</v>
      </c>
      <c r="D171" s="71" t="s">
        <v>541</v>
      </c>
      <c r="E171" s="71" t="s">
        <v>441</v>
      </c>
      <c r="F171" s="71" t="s">
        <v>442</v>
      </c>
      <c r="G171" s="71" t="s">
        <v>543</v>
      </c>
      <c r="H171" s="108">
        <v>375000</v>
      </c>
      <c r="I171" s="24"/>
      <c r="J171" s="25"/>
      <c r="K171" s="26"/>
      <c r="L171" s="109">
        <v>375000</v>
      </c>
      <c r="M171" s="26"/>
      <c r="N171" s="25"/>
      <c r="O171" s="28"/>
      <c r="P171" s="28"/>
      <c r="Q171" s="110">
        <f t="shared" si="8"/>
        <v>375000</v>
      </c>
      <c r="R171" s="28"/>
      <c r="S171" s="47" t="s">
        <v>139</v>
      </c>
    </row>
    <row r="172" spans="1:19" x14ac:dyDescent="0.3">
      <c r="A172" s="106" t="s">
        <v>14</v>
      </c>
      <c r="B172" s="189" t="s">
        <v>979</v>
      </c>
      <c r="C172" s="107" t="s">
        <v>540</v>
      </c>
      <c r="D172" s="71" t="s">
        <v>541</v>
      </c>
      <c r="E172" s="71" t="s">
        <v>194</v>
      </c>
      <c r="F172" s="71" t="s">
        <v>195</v>
      </c>
      <c r="G172" s="71" t="s">
        <v>544</v>
      </c>
      <c r="H172" s="108">
        <v>12000</v>
      </c>
      <c r="I172" s="24"/>
      <c r="J172" s="25"/>
      <c r="K172" s="26"/>
      <c r="L172" s="109">
        <v>12000</v>
      </c>
      <c r="M172" s="26"/>
      <c r="N172" s="25"/>
      <c r="O172" s="28"/>
      <c r="P172" s="28"/>
      <c r="Q172" s="110">
        <f t="shared" si="8"/>
        <v>12000</v>
      </c>
      <c r="R172" s="28"/>
      <c r="S172" s="47" t="s">
        <v>139</v>
      </c>
    </row>
    <row r="173" spans="1:19" ht="21" x14ac:dyDescent="0.3">
      <c r="A173" s="106" t="s">
        <v>14</v>
      </c>
      <c r="B173" s="189" t="s">
        <v>979</v>
      </c>
      <c r="C173" s="107" t="s">
        <v>540</v>
      </c>
      <c r="D173" s="71" t="s">
        <v>541</v>
      </c>
      <c r="E173" s="71" t="s">
        <v>26</v>
      </c>
      <c r="F173" s="71" t="s">
        <v>27</v>
      </c>
      <c r="G173" s="71" t="s">
        <v>545</v>
      </c>
      <c r="H173" s="108">
        <v>26152</v>
      </c>
      <c r="I173" s="24"/>
      <c r="J173" s="114">
        <v>0</v>
      </c>
      <c r="K173" s="108">
        <v>6482.85</v>
      </c>
      <c r="L173" s="109">
        <v>19669.150000000001</v>
      </c>
      <c r="M173" s="26"/>
      <c r="N173" s="25"/>
      <c r="O173" s="28"/>
      <c r="P173" s="28"/>
      <c r="Q173" s="110">
        <f t="shared" si="8"/>
        <v>19669.150000000001</v>
      </c>
      <c r="R173" s="28"/>
      <c r="S173" s="47" t="s">
        <v>139</v>
      </c>
    </row>
    <row r="174" spans="1:19" x14ac:dyDescent="0.3">
      <c r="A174" s="106" t="s">
        <v>14</v>
      </c>
      <c r="B174" s="189" t="s">
        <v>979</v>
      </c>
      <c r="C174" s="107" t="s">
        <v>540</v>
      </c>
      <c r="D174" s="71" t="s">
        <v>541</v>
      </c>
      <c r="E174" s="71" t="s">
        <v>230</v>
      </c>
      <c r="F174" s="71" t="s">
        <v>231</v>
      </c>
      <c r="G174" s="71" t="s">
        <v>546</v>
      </c>
      <c r="H174" s="108">
        <v>84600</v>
      </c>
      <c r="I174" s="24"/>
      <c r="J174" s="25"/>
      <c r="K174" s="26"/>
      <c r="L174" s="109">
        <v>84600</v>
      </c>
      <c r="M174" s="26"/>
      <c r="N174" s="25"/>
      <c r="O174" s="28"/>
      <c r="P174" s="28"/>
      <c r="Q174" s="110">
        <f t="shared" si="8"/>
        <v>84600</v>
      </c>
      <c r="R174" s="28"/>
      <c r="S174" s="47" t="s">
        <v>139</v>
      </c>
    </row>
    <row r="175" spans="1:19" ht="21" x14ac:dyDescent="0.3">
      <c r="A175" s="106" t="s">
        <v>14</v>
      </c>
      <c r="B175" s="189" t="s">
        <v>979</v>
      </c>
      <c r="C175" s="107" t="s">
        <v>547</v>
      </c>
      <c r="D175" s="71" t="s">
        <v>548</v>
      </c>
      <c r="E175" s="71" t="s">
        <v>441</v>
      </c>
      <c r="F175" s="71" t="s">
        <v>442</v>
      </c>
      <c r="G175" s="71" t="s">
        <v>549</v>
      </c>
      <c r="H175" s="108">
        <v>100000</v>
      </c>
      <c r="I175" s="112">
        <v>1101.9000000000001</v>
      </c>
      <c r="J175" s="25"/>
      <c r="K175" s="26"/>
      <c r="L175" s="109">
        <v>98898.1</v>
      </c>
      <c r="M175" s="26"/>
      <c r="N175" s="25"/>
      <c r="O175" s="28"/>
      <c r="P175" s="28"/>
      <c r="Q175" s="110">
        <f t="shared" si="8"/>
        <v>98898.1</v>
      </c>
      <c r="R175" s="28"/>
      <c r="S175" s="47" t="s">
        <v>139</v>
      </c>
    </row>
    <row r="176" spans="1:19" ht="21" x14ac:dyDescent="0.3">
      <c r="A176" s="106" t="s">
        <v>14</v>
      </c>
      <c r="B176" s="189" t="s">
        <v>979</v>
      </c>
      <c r="C176" s="107" t="s">
        <v>547</v>
      </c>
      <c r="D176" s="71" t="s">
        <v>548</v>
      </c>
      <c r="E176" s="71" t="s">
        <v>26</v>
      </c>
      <c r="F176" s="71" t="s">
        <v>27</v>
      </c>
      <c r="G176" s="71" t="s">
        <v>550</v>
      </c>
      <c r="H176" s="108">
        <v>30000</v>
      </c>
      <c r="I176" s="24"/>
      <c r="J176" s="25"/>
      <c r="K176" s="26"/>
      <c r="L176" s="109">
        <v>30000</v>
      </c>
      <c r="M176" s="26"/>
      <c r="N176" s="25"/>
      <c r="O176" s="28"/>
      <c r="P176" s="28"/>
      <c r="Q176" s="110">
        <f t="shared" si="8"/>
        <v>30000</v>
      </c>
      <c r="R176" s="28"/>
      <c r="S176" s="47" t="s">
        <v>139</v>
      </c>
    </row>
    <row r="177" spans="1:19" ht="21" x14ac:dyDescent="0.3">
      <c r="A177" s="106" t="s">
        <v>14</v>
      </c>
      <c r="B177" s="189" t="s">
        <v>979</v>
      </c>
      <c r="C177" s="107" t="s">
        <v>547</v>
      </c>
      <c r="D177" s="71" t="s">
        <v>548</v>
      </c>
      <c r="E177" s="71" t="s">
        <v>226</v>
      </c>
      <c r="F177" s="71" t="s">
        <v>227</v>
      </c>
      <c r="G177" s="71" t="s">
        <v>551</v>
      </c>
      <c r="H177" s="108">
        <v>35000</v>
      </c>
      <c r="I177" s="24"/>
      <c r="J177" s="25"/>
      <c r="K177" s="26"/>
      <c r="L177" s="109">
        <v>35000</v>
      </c>
      <c r="M177" s="26"/>
      <c r="N177" s="25"/>
      <c r="O177" s="28"/>
      <c r="P177" s="28"/>
      <c r="Q177" s="110">
        <f t="shared" si="8"/>
        <v>35000</v>
      </c>
      <c r="R177" s="28"/>
      <c r="S177" s="47" t="s">
        <v>139</v>
      </c>
    </row>
    <row r="178" spans="1:19" ht="21" x14ac:dyDescent="0.3">
      <c r="A178" s="106" t="s">
        <v>14</v>
      </c>
      <c r="B178" s="189" t="s">
        <v>979</v>
      </c>
      <c r="C178" s="107" t="s">
        <v>547</v>
      </c>
      <c r="D178" s="71" t="s">
        <v>548</v>
      </c>
      <c r="E178" s="71" t="s">
        <v>552</v>
      </c>
      <c r="F178" s="71" t="s">
        <v>553</v>
      </c>
      <c r="G178" s="71" t="s">
        <v>554</v>
      </c>
      <c r="H178" s="108">
        <v>30000</v>
      </c>
      <c r="I178" s="24"/>
      <c r="J178" s="25"/>
      <c r="K178" s="26"/>
      <c r="L178" s="109">
        <v>30000</v>
      </c>
      <c r="M178" s="26"/>
      <c r="N178" s="25"/>
      <c r="O178" s="28"/>
      <c r="P178" s="28"/>
      <c r="Q178" s="110">
        <f t="shared" si="8"/>
        <v>30000</v>
      </c>
      <c r="R178" s="28"/>
      <c r="S178" s="47" t="s">
        <v>139</v>
      </c>
    </row>
    <row r="179" spans="1:19" ht="21" x14ac:dyDescent="0.3">
      <c r="A179" s="106" t="s">
        <v>14</v>
      </c>
      <c r="B179" s="189" t="s">
        <v>979</v>
      </c>
      <c r="C179" s="107" t="s">
        <v>555</v>
      </c>
      <c r="D179" s="71" t="s">
        <v>556</v>
      </c>
      <c r="E179" s="71" t="s">
        <v>254</v>
      </c>
      <c r="F179" s="71" t="s">
        <v>255</v>
      </c>
      <c r="G179" s="71" t="s">
        <v>557</v>
      </c>
      <c r="H179" s="108">
        <v>560000</v>
      </c>
      <c r="I179" s="24"/>
      <c r="J179" s="25"/>
      <c r="K179" s="26"/>
      <c r="L179" s="109">
        <v>560000</v>
      </c>
      <c r="M179" s="26"/>
      <c r="N179" s="25"/>
      <c r="O179" s="28"/>
      <c r="P179" s="28"/>
      <c r="Q179" s="110">
        <f t="shared" si="8"/>
        <v>560000</v>
      </c>
      <c r="R179" s="28"/>
      <c r="S179" s="47" t="s">
        <v>139</v>
      </c>
    </row>
    <row r="180" spans="1:19" ht="21" x14ac:dyDescent="0.3">
      <c r="A180" s="106" t="s">
        <v>14</v>
      </c>
      <c r="B180" s="189" t="s">
        <v>979</v>
      </c>
      <c r="C180" s="107" t="s">
        <v>555</v>
      </c>
      <c r="D180" s="71" t="s">
        <v>556</v>
      </c>
      <c r="E180" s="71" t="s">
        <v>142</v>
      </c>
      <c r="F180" s="71" t="s">
        <v>143</v>
      </c>
      <c r="G180" s="71" t="s">
        <v>558</v>
      </c>
      <c r="H180" s="108">
        <v>150000</v>
      </c>
      <c r="I180" s="24"/>
      <c r="J180" s="25"/>
      <c r="K180" s="26"/>
      <c r="L180" s="109">
        <v>150000</v>
      </c>
      <c r="M180" s="26"/>
      <c r="N180" s="25"/>
      <c r="O180" s="28"/>
      <c r="P180" s="28"/>
      <c r="Q180" s="110">
        <f t="shared" si="8"/>
        <v>150000</v>
      </c>
      <c r="R180" s="28"/>
      <c r="S180" s="47" t="s">
        <v>139</v>
      </c>
    </row>
    <row r="181" spans="1:19" ht="21" x14ac:dyDescent="0.3">
      <c r="A181" s="106" t="s">
        <v>14</v>
      </c>
      <c r="B181" s="189" t="s">
        <v>979</v>
      </c>
      <c r="C181" s="107" t="s">
        <v>555</v>
      </c>
      <c r="D181" s="71" t="s">
        <v>556</v>
      </c>
      <c r="E181" s="71" t="s">
        <v>501</v>
      </c>
      <c r="F181" s="71" t="s">
        <v>153</v>
      </c>
      <c r="G181" s="71" t="s">
        <v>559</v>
      </c>
      <c r="H181" s="108">
        <v>280000</v>
      </c>
      <c r="I181" s="24"/>
      <c r="J181" s="25"/>
      <c r="K181" s="26"/>
      <c r="L181" s="109">
        <v>280000</v>
      </c>
      <c r="M181" s="26"/>
      <c r="N181" s="25"/>
      <c r="O181" s="28"/>
      <c r="P181" s="28"/>
      <c r="Q181" s="110">
        <f t="shared" si="8"/>
        <v>280000</v>
      </c>
      <c r="R181" s="28"/>
      <c r="S181" s="47" t="s">
        <v>139</v>
      </c>
    </row>
    <row r="182" spans="1:19" ht="21" x14ac:dyDescent="0.3">
      <c r="A182" s="106" t="s">
        <v>14</v>
      </c>
      <c r="B182" s="189" t="s">
        <v>979</v>
      </c>
      <c r="C182" s="107" t="s">
        <v>555</v>
      </c>
      <c r="D182" s="71" t="s">
        <v>556</v>
      </c>
      <c r="E182" s="71" t="s">
        <v>102</v>
      </c>
      <c r="F182" s="71" t="s">
        <v>103</v>
      </c>
      <c r="G182" s="71" t="s">
        <v>560</v>
      </c>
      <c r="H182" s="108">
        <v>10000</v>
      </c>
      <c r="I182" s="24"/>
      <c r="J182" s="25"/>
      <c r="K182" s="26"/>
      <c r="L182" s="109">
        <v>10000</v>
      </c>
      <c r="M182" s="26"/>
      <c r="N182" s="25"/>
      <c r="O182" s="28"/>
      <c r="P182" s="28"/>
      <c r="Q182" s="110">
        <f t="shared" si="8"/>
        <v>10000</v>
      </c>
      <c r="R182" s="28"/>
      <c r="S182" s="47" t="s">
        <v>139</v>
      </c>
    </row>
    <row r="183" spans="1:19" ht="21" x14ac:dyDescent="0.3">
      <c r="A183" s="106" t="s">
        <v>14</v>
      </c>
      <c r="B183" s="189" t="s">
        <v>979</v>
      </c>
      <c r="C183" s="107" t="s">
        <v>555</v>
      </c>
      <c r="D183" s="71" t="s">
        <v>556</v>
      </c>
      <c r="E183" s="71" t="s">
        <v>106</v>
      </c>
      <c r="F183" s="71" t="s">
        <v>107</v>
      </c>
      <c r="G183" s="71" t="s">
        <v>561</v>
      </c>
      <c r="H183" s="108">
        <v>225000</v>
      </c>
      <c r="I183" s="24"/>
      <c r="J183" s="25"/>
      <c r="K183" s="26"/>
      <c r="L183" s="109">
        <v>225000</v>
      </c>
      <c r="M183" s="26"/>
      <c r="N183" s="25"/>
      <c r="O183" s="28"/>
      <c r="P183" s="28"/>
      <c r="Q183" s="110">
        <f t="shared" si="8"/>
        <v>225000</v>
      </c>
      <c r="R183" s="28"/>
      <c r="S183" s="47" t="s">
        <v>139</v>
      </c>
    </row>
    <row r="184" spans="1:19" ht="21" x14ac:dyDescent="0.3">
      <c r="A184" s="106" t="s">
        <v>14</v>
      </c>
      <c r="B184" s="189" t="s">
        <v>979</v>
      </c>
      <c r="C184" s="107" t="s">
        <v>555</v>
      </c>
      <c r="D184" s="71" t="s">
        <v>556</v>
      </c>
      <c r="E184" s="71" t="s">
        <v>110</v>
      </c>
      <c r="F184" s="71" t="s">
        <v>111</v>
      </c>
      <c r="G184" s="71" t="s">
        <v>562</v>
      </c>
      <c r="H184" s="108">
        <v>225000</v>
      </c>
      <c r="I184" s="24"/>
      <c r="J184" s="25"/>
      <c r="K184" s="26"/>
      <c r="L184" s="109">
        <v>225000</v>
      </c>
      <c r="M184" s="26"/>
      <c r="N184" s="25"/>
      <c r="O184" s="28"/>
      <c r="P184" s="28"/>
      <c r="Q184" s="110">
        <f t="shared" si="8"/>
        <v>225000</v>
      </c>
      <c r="R184" s="28"/>
      <c r="S184" s="47" t="s">
        <v>139</v>
      </c>
    </row>
    <row r="185" spans="1:19" ht="21" x14ac:dyDescent="0.3">
      <c r="A185" s="106" t="s">
        <v>14</v>
      </c>
      <c r="B185" s="189" t="s">
        <v>979</v>
      </c>
      <c r="C185" s="107" t="s">
        <v>555</v>
      </c>
      <c r="D185" s="71" t="s">
        <v>556</v>
      </c>
      <c r="E185" s="71" t="s">
        <v>276</v>
      </c>
      <c r="F185" s="71" t="s">
        <v>277</v>
      </c>
      <c r="G185" s="71" t="s">
        <v>563</v>
      </c>
      <c r="H185" s="108">
        <v>750000</v>
      </c>
      <c r="I185" s="24"/>
      <c r="J185" s="25"/>
      <c r="K185" s="26"/>
      <c r="L185" s="109">
        <v>750000</v>
      </c>
      <c r="M185" s="26"/>
      <c r="N185" s="25"/>
      <c r="O185" s="28"/>
      <c r="P185" s="28"/>
      <c r="Q185" s="110">
        <f t="shared" si="8"/>
        <v>750000</v>
      </c>
      <c r="R185" s="28"/>
      <c r="S185" s="47" t="s">
        <v>139</v>
      </c>
    </row>
    <row r="186" spans="1:19" ht="21" x14ac:dyDescent="0.3">
      <c r="A186" s="106" t="s">
        <v>14</v>
      </c>
      <c r="B186" s="189" t="s">
        <v>979</v>
      </c>
      <c r="C186" s="107" t="s">
        <v>555</v>
      </c>
      <c r="D186" s="71" t="s">
        <v>556</v>
      </c>
      <c r="E186" s="71" t="s">
        <v>441</v>
      </c>
      <c r="F186" s="71" t="s">
        <v>442</v>
      </c>
      <c r="G186" s="71" t="s">
        <v>564</v>
      </c>
      <c r="H186" s="108">
        <v>300000</v>
      </c>
      <c r="I186" s="112">
        <v>5318.25</v>
      </c>
      <c r="J186" s="25"/>
      <c r="K186" s="26"/>
      <c r="L186" s="109">
        <v>294681.75</v>
      </c>
      <c r="M186" s="26"/>
      <c r="N186" s="25"/>
      <c r="O186" s="28"/>
      <c r="P186" s="28"/>
      <c r="Q186" s="110">
        <f t="shared" si="8"/>
        <v>294681.75</v>
      </c>
      <c r="R186" s="28"/>
      <c r="S186" s="47" t="s">
        <v>139</v>
      </c>
    </row>
    <row r="187" spans="1:19" ht="21" x14ac:dyDescent="0.3">
      <c r="A187" s="106" t="s">
        <v>14</v>
      </c>
      <c r="B187" s="189" t="s">
        <v>979</v>
      </c>
      <c r="C187" s="107" t="s">
        <v>555</v>
      </c>
      <c r="D187" s="71" t="s">
        <v>556</v>
      </c>
      <c r="E187" s="71" t="s">
        <v>194</v>
      </c>
      <c r="F187" s="71" t="s">
        <v>195</v>
      </c>
      <c r="G187" s="71" t="s">
        <v>565</v>
      </c>
      <c r="H187" s="108">
        <v>24000</v>
      </c>
      <c r="I187" s="24"/>
      <c r="J187" s="25"/>
      <c r="K187" s="26"/>
      <c r="L187" s="109">
        <v>24000</v>
      </c>
      <c r="M187" s="26"/>
      <c r="N187" s="25"/>
      <c r="O187" s="28"/>
      <c r="P187" s="28"/>
      <c r="Q187" s="110">
        <f t="shared" si="8"/>
        <v>24000</v>
      </c>
      <c r="R187" s="28"/>
      <c r="S187" s="47" t="s">
        <v>139</v>
      </c>
    </row>
    <row r="188" spans="1:19" ht="21" x14ac:dyDescent="0.3">
      <c r="A188" s="106" t="s">
        <v>14</v>
      </c>
      <c r="B188" s="189" t="s">
        <v>979</v>
      </c>
      <c r="C188" s="107" t="s">
        <v>555</v>
      </c>
      <c r="D188" s="71" t="s">
        <v>556</v>
      </c>
      <c r="E188" s="71" t="s">
        <v>26</v>
      </c>
      <c r="F188" s="71" t="s">
        <v>27</v>
      </c>
      <c r="G188" s="71" t="s">
        <v>566</v>
      </c>
      <c r="H188" s="108">
        <v>120000</v>
      </c>
      <c r="I188" s="24"/>
      <c r="J188" s="25"/>
      <c r="K188" s="26"/>
      <c r="L188" s="109">
        <v>120000</v>
      </c>
      <c r="M188" s="26"/>
      <c r="N188" s="25"/>
      <c r="O188" s="28"/>
      <c r="P188" s="28"/>
      <c r="Q188" s="110">
        <f t="shared" si="8"/>
        <v>120000</v>
      </c>
      <c r="R188" s="28"/>
      <c r="S188" s="47" t="s">
        <v>139</v>
      </c>
    </row>
    <row r="189" spans="1:19" ht="21" x14ac:dyDescent="0.3">
      <c r="A189" s="106" t="s">
        <v>14</v>
      </c>
      <c r="B189" s="189" t="s">
        <v>979</v>
      </c>
      <c r="C189" s="107" t="s">
        <v>555</v>
      </c>
      <c r="D189" s="71" t="s">
        <v>556</v>
      </c>
      <c r="E189" s="71" t="s">
        <v>210</v>
      </c>
      <c r="F189" s="71" t="s">
        <v>211</v>
      </c>
      <c r="G189" s="71" t="s">
        <v>567</v>
      </c>
      <c r="H189" s="108">
        <v>15000</v>
      </c>
      <c r="I189" s="24"/>
      <c r="J189" s="25"/>
      <c r="K189" s="26"/>
      <c r="L189" s="109">
        <v>15000</v>
      </c>
      <c r="M189" s="26"/>
      <c r="N189" s="25"/>
      <c r="O189" s="28"/>
      <c r="P189" s="28"/>
      <c r="Q189" s="110">
        <f t="shared" si="8"/>
        <v>15000</v>
      </c>
      <c r="R189" s="28"/>
      <c r="S189" s="47" t="s">
        <v>139</v>
      </c>
    </row>
    <row r="190" spans="1:19" ht="21" x14ac:dyDescent="0.3">
      <c r="A190" s="106" t="s">
        <v>14</v>
      </c>
      <c r="B190" s="189" t="s">
        <v>979</v>
      </c>
      <c r="C190" s="107" t="s">
        <v>555</v>
      </c>
      <c r="D190" s="71" t="s">
        <v>556</v>
      </c>
      <c r="E190" s="71" t="s">
        <v>35</v>
      </c>
      <c r="F190" s="71" t="s">
        <v>36</v>
      </c>
      <c r="G190" s="71" t="s">
        <v>568</v>
      </c>
      <c r="H190" s="108">
        <v>225000</v>
      </c>
      <c r="I190" s="24"/>
      <c r="J190" s="25"/>
      <c r="K190" s="26"/>
      <c r="L190" s="109">
        <v>225000</v>
      </c>
      <c r="M190" s="26"/>
      <c r="N190" s="25"/>
      <c r="O190" s="28"/>
      <c r="P190" s="28"/>
      <c r="Q190" s="110">
        <f t="shared" si="8"/>
        <v>225000</v>
      </c>
      <c r="R190" s="28"/>
      <c r="S190" s="47" t="s">
        <v>139</v>
      </c>
    </row>
    <row r="191" spans="1:19" ht="21" x14ac:dyDescent="0.3">
      <c r="A191" s="106" t="s">
        <v>14</v>
      </c>
      <c r="B191" s="189" t="s">
        <v>979</v>
      </c>
      <c r="C191" s="107" t="s">
        <v>555</v>
      </c>
      <c r="D191" s="71" t="s">
        <v>556</v>
      </c>
      <c r="E191" s="71" t="s">
        <v>126</v>
      </c>
      <c r="F191" s="71" t="s">
        <v>127</v>
      </c>
      <c r="G191" s="71" t="s">
        <v>569</v>
      </c>
      <c r="H191" s="108">
        <v>100000</v>
      </c>
      <c r="I191" s="24"/>
      <c r="J191" s="25"/>
      <c r="K191" s="26"/>
      <c r="L191" s="109">
        <v>100000</v>
      </c>
      <c r="M191" s="26"/>
      <c r="N191" s="25"/>
      <c r="O191" s="28"/>
      <c r="P191" s="28"/>
      <c r="Q191" s="110">
        <f>L191-M191-N191-O191</f>
        <v>100000</v>
      </c>
      <c r="R191" s="28"/>
      <c r="S191" s="47" t="s">
        <v>139</v>
      </c>
    </row>
    <row r="192" spans="1:19" ht="21" x14ac:dyDescent="0.3">
      <c r="A192" s="106" t="s">
        <v>14</v>
      </c>
      <c r="B192" s="189" t="s">
        <v>979</v>
      </c>
      <c r="C192" s="107" t="s">
        <v>555</v>
      </c>
      <c r="D192" s="71" t="s">
        <v>556</v>
      </c>
      <c r="E192" s="71" t="s">
        <v>226</v>
      </c>
      <c r="F192" s="71" t="s">
        <v>227</v>
      </c>
      <c r="G192" s="71" t="s">
        <v>570</v>
      </c>
      <c r="H192" s="108">
        <v>120000</v>
      </c>
      <c r="I192" s="24"/>
      <c r="J192" s="25"/>
      <c r="K192" s="26"/>
      <c r="L192" s="109">
        <v>120000</v>
      </c>
      <c r="M192" s="26"/>
      <c r="N192" s="25"/>
      <c r="O192" s="28"/>
      <c r="P192" s="28"/>
      <c r="Q192" s="110">
        <f t="shared" si="8"/>
        <v>120000</v>
      </c>
      <c r="R192" s="28"/>
      <c r="S192" s="47" t="s">
        <v>139</v>
      </c>
    </row>
    <row r="193" spans="1:19" ht="21" x14ac:dyDescent="0.3">
      <c r="A193" s="106" t="s">
        <v>14</v>
      </c>
      <c r="B193" s="189" t="s">
        <v>979</v>
      </c>
      <c r="C193" s="107" t="s">
        <v>555</v>
      </c>
      <c r="D193" s="71" t="s">
        <v>556</v>
      </c>
      <c r="E193" s="71" t="s">
        <v>228</v>
      </c>
      <c r="F193" s="71" t="s">
        <v>229</v>
      </c>
      <c r="G193" s="71" t="s">
        <v>571</v>
      </c>
      <c r="H193" s="108">
        <v>40000</v>
      </c>
      <c r="I193" s="24"/>
      <c r="J193" s="25"/>
      <c r="K193" s="26"/>
      <c r="L193" s="109">
        <v>40000</v>
      </c>
      <c r="M193" s="26"/>
      <c r="N193" s="25"/>
      <c r="O193" s="28"/>
      <c r="P193" s="28"/>
      <c r="Q193" s="110">
        <f t="shared" si="8"/>
        <v>40000</v>
      </c>
      <c r="R193" s="28"/>
      <c r="S193" s="47" t="s">
        <v>139</v>
      </c>
    </row>
    <row r="194" spans="1:19" ht="21" x14ac:dyDescent="0.3">
      <c r="A194" s="106" t="s">
        <v>14</v>
      </c>
      <c r="B194" s="189" t="s">
        <v>979</v>
      </c>
      <c r="C194" s="107" t="s">
        <v>555</v>
      </c>
      <c r="D194" s="71" t="s">
        <v>556</v>
      </c>
      <c r="E194" s="71" t="s">
        <v>552</v>
      </c>
      <c r="F194" s="71" t="s">
        <v>553</v>
      </c>
      <c r="G194" s="71" t="s">
        <v>572</v>
      </c>
      <c r="H194" s="108">
        <v>22500</v>
      </c>
      <c r="I194" s="24"/>
      <c r="J194" s="25"/>
      <c r="K194" s="26"/>
      <c r="L194" s="109">
        <v>22500</v>
      </c>
      <c r="M194" s="26"/>
      <c r="N194" s="25"/>
      <c r="O194" s="28"/>
      <c r="P194" s="28"/>
      <c r="Q194" s="110">
        <f t="shared" si="8"/>
        <v>22500</v>
      </c>
      <c r="R194" s="28"/>
      <c r="S194" s="47" t="s">
        <v>139</v>
      </c>
    </row>
    <row r="195" spans="1:19" x14ac:dyDescent="0.3">
      <c r="A195" s="106" t="s">
        <v>14</v>
      </c>
      <c r="B195" s="189" t="s">
        <v>979</v>
      </c>
      <c r="C195" s="107" t="s">
        <v>573</v>
      </c>
      <c r="D195" s="71" t="s">
        <v>574</v>
      </c>
      <c r="E195" s="71" t="s">
        <v>102</v>
      </c>
      <c r="F195" s="71" t="s">
        <v>103</v>
      </c>
      <c r="G195" s="71" t="s">
        <v>575</v>
      </c>
      <c r="H195" s="108">
        <v>150000</v>
      </c>
      <c r="I195" s="24"/>
      <c r="J195" s="25"/>
      <c r="K195" s="26"/>
      <c r="L195" s="109">
        <v>150000</v>
      </c>
      <c r="M195" s="26"/>
      <c r="N195" s="25"/>
      <c r="O195" s="28"/>
      <c r="P195" s="28"/>
      <c r="Q195" s="110">
        <f t="shared" si="8"/>
        <v>150000</v>
      </c>
      <c r="R195" s="28"/>
      <c r="S195" s="47" t="s">
        <v>139</v>
      </c>
    </row>
    <row r="196" spans="1:19" x14ac:dyDescent="0.3">
      <c r="A196" s="106" t="s">
        <v>14</v>
      </c>
      <c r="B196" s="189" t="s">
        <v>979</v>
      </c>
      <c r="C196" s="107" t="s">
        <v>573</v>
      </c>
      <c r="D196" s="71" t="s">
        <v>574</v>
      </c>
      <c r="E196" s="71" t="s">
        <v>164</v>
      </c>
      <c r="F196" s="71" t="s">
        <v>165</v>
      </c>
      <c r="G196" s="71" t="s">
        <v>576</v>
      </c>
      <c r="H196" s="108">
        <v>18350</v>
      </c>
      <c r="I196" s="112">
        <v>825</v>
      </c>
      <c r="J196" s="25"/>
      <c r="K196" s="26"/>
      <c r="L196" s="109">
        <v>17525</v>
      </c>
      <c r="M196" s="26"/>
      <c r="N196" s="25"/>
      <c r="O196" s="28"/>
      <c r="P196" s="28"/>
      <c r="Q196" s="110">
        <f t="shared" si="8"/>
        <v>17525</v>
      </c>
      <c r="R196" s="28"/>
      <c r="S196" s="47" t="s">
        <v>139</v>
      </c>
    </row>
    <row r="197" spans="1:19" x14ac:dyDescent="0.3">
      <c r="A197" s="106" t="s">
        <v>14</v>
      </c>
      <c r="B197" s="189" t="s">
        <v>979</v>
      </c>
      <c r="C197" s="107" t="s">
        <v>573</v>
      </c>
      <c r="D197" s="71" t="s">
        <v>574</v>
      </c>
      <c r="E197" s="71" t="s">
        <v>407</v>
      </c>
      <c r="F197" s="71" t="s">
        <v>408</v>
      </c>
      <c r="G197" s="71" t="s">
        <v>577</v>
      </c>
      <c r="H197" s="108">
        <v>36630</v>
      </c>
      <c r="I197" s="24"/>
      <c r="J197" s="25"/>
      <c r="K197" s="26"/>
      <c r="L197" s="109">
        <v>36630</v>
      </c>
      <c r="M197" s="26"/>
      <c r="N197" s="25"/>
      <c r="O197" s="28"/>
      <c r="P197" s="28"/>
      <c r="Q197" s="110">
        <f t="shared" si="8"/>
        <v>36630</v>
      </c>
      <c r="R197" s="28"/>
      <c r="S197" s="47" t="s">
        <v>139</v>
      </c>
    </row>
    <row r="198" spans="1:19" x14ac:dyDescent="0.3">
      <c r="A198" s="106" t="s">
        <v>14</v>
      </c>
      <c r="B198" s="189" t="s">
        <v>979</v>
      </c>
      <c r="C198" s="107" t="s">
        <v>573</v>
      </c>
      <c r="D198" s="71" t="s">
        <v>574</v>
      </c>
      <c r="E198" s="71" t="s">
        <v>114</v>
      </c>
      <c r="F198" s="71" t="s">
        <v>115</v>
      </c>
      <c r="G198" s="71" t="s">
        <v>578</v>
      </c>
      <c r="H198" s="108">
        <v>7590</v>
      </c>
      <c r="I198" s="24"/>
      <c r="J198" s="25"/>
      <c r="K198" s="26"/>
      <c r="L198" s="109">
        <v>7590</v>
      </c>
      <c r="M198" s="26"/>
      <c r="N198" s="25"/>
      <c r="O198" s="28"/>
      <c r="P198" s="28"/>
      <c r="Q198" s="110">
        <f t="shared" si="8"/>
        <v>7590</v>
      </c>
      <c r="R198" s="28"/>
      <c r="S198" s="47" t="s">
        <v>139</v>
      </c>
    </row>
    <row r="199" spans="1:19" x14ac:dyDescent="0.3">
      <c r="A199" s="106" t="s">
        <v>14</v>
      </c>
      <c r="B199" s="189" t="s">
        <v>979</v>
      </c>
      <c r="C199" s="107" t="s">
        <v>573</v>
      </c>
      <c r="D199" s="71" t="s">
        <v>574</v>
      </c>
      <c r="E199" s="71" t="s">
        <v>441</v>
      </c>
      <c r="F199" s="71" t="s">
        <v>442</v>
      </c>
      <c r="G199" s="71" t="s">
        <v>579</v>
      </c>
      <c r="H199" s="108">
        <v>570000</v>
      </c>
      <c r="I199" s="24"/>
      <c r="J199" s="25"/>
      <c r="K199" s="26"/>
      <c r="L199" s="109">
        <v>570000</v>
      </c>
      <c r="M199" s="26"/>
      <c r="N199" s="25"/>
      <c r="O199" s="28"/>
      <c r="P199" s="28"/>
      <c r="Q199" s="110">
        <f t="shared" si="8"/>
        <v>570000</v>
      </c>
      <c r="R199" s="28"/>
      <c r="S199" s="47" t="s">
        <v>139</v>
      </c>
    </row>
    <row r="200" spans="1:19" ht="21" x14ac:dyDescent="0.3">
      <c r="A200" s="106" t="s">
        <v>14</v>
      </c>
      <c r="B200" s="189" t="s">
        <v>979</v>
      </c>
      <c r="C200" s="107" t="s">
        <v>573</v>
      </c>
      <c r="D200" s="71" t="s">
        <v>574</v>
      </c>
      <c r="E200" s="71" t="s">
        <v>26</v>
      </c>
      <c r="F200" s="71" t="s">
        <v>27</v>
      </c>
      <c r="G200" s="71" t="s">
        <v>580</v>
      </c>
      <c r="H200" s="108">
        <v>37650</v>
      </c>
      <c r="I200" s="24"/>
      <c r="J200" s="25"/>
      <c r="K200" s="26"/>
      <c r="L200" s="109">
        <v>37650</v>
      </c>
      <c r="M200" s="26"/>
      <c r="N200" s="25"/>
      <c r="O200" s="28"/>
      <c r="P200" s="28"/>
      <c r="Q200" s="110">
        <f t="shared" si="8"/>
        <v>37650</v>
      </c>
      <c r="R200" s="28"/>
      <c r="S200" s="47" t="s">
        <v>139</v>
      </c>
    </row>
    <row r="201" spans="1:19" x14ac:dyDescent="0.3">
      <c r="A201" s="106" t="s">
        <v>14</v>
      </c>
      <c r="B201" s="189" t="s">
        <v>979</v>
      </c>
      <c r="C201" s="107" t="s">
        <v>573</v>
      </c>
      <c r="D201" s="71" t="s">
        <v>574</v>
      </c>
      <c r="E201" s="71" t="s">
        <v>228</v>
      </c>
      <c r="F201" s="71" t="s">
        <v>229</v>
      </c>
      <c r="G201" s="71" t="s">
        <v>581</v>
      </c>
      <c r="H201" s="108">
        <v>600000</v>
      </c>
      <c r="I201" s="24"/>
      <c r="J201" s="25"/>
      <c r="K201" s="26"/>
      <c r="L201" s="109">
        <v>600000</v>
      </c>
      <c r="M201" s="26"/>
      <c r="N201" s="25"/>
      <c r="O201" s="28"/>
      <c r="P201" s="28"/>
      <c r="Q201" s="110">
        <f t="shared" si="8"/>
        <v>600000</v>
      </c>
      <c r="R201" s="28"/>
      <c r="S201" s="47" t="s">
        <v>139</v>
      </c>
    </row>
    <row r="202" spans="1:19" x14ac:dyDescent="0.3">
      <c r="A202" s="106" t="s">
        <v>14</v>
      </c>
      <c r="B202" s="189" t="s">
        <v>979</v>
      </c>
      <c r="C202" s="107" t="s">
        <v>582</v>
      </c>
      <c r="D202" s="71" t="s">
        <v>583</v>
      </c>
      <c r="E202" s="71" t="s">
        <v>276</v>
      </c>
      <c r="F202" s="71" t="s">
        <v>277</v>
      </c>
      <c r="G202" s="71" t="s">
        <v>584</v>
      </c>
      <c r="H202" s="108">
        <v>500000</v>
      </c>
      <c r="I202" s="112">
        <v>26103.81</v>
      </c>
      <c r="J202" s="25"/>
      <c r="K202" s="26"/>
      <c r="L202" s="109">
        <v>473896.19</v>
      </c>
      <c r="M202" s="26"/>
      <c r="N202" s="25"/>
      <c r="O202" s="28"/>
      <c r="P202" s="28"/>
      <c r="Q202" s="110">
        <f t="shared" ref="Q202:Q218" si="9">L202-M202-N202-O202</f>
        <v>473896.19</v>
      </c>
      <c r="R202" s="28"/>
      <c r="S202" s="47" t="s">
        <v>139</v>
      </c>
    </row>
    <row r="203" spans="1:19" x14ac:dyDescent="0.3">
      <c r="A203" s="106" t="s">
        <v>14</v>
      </c>
      <c r="B203" s="189" t="s">
        <v>979</v>
      </c>
      <c r="C203" s="107" t="s">
        <v>582</v>
      </c>
      <c r="D203" s="71" t="s">
        <v>583</v>
      </c>
      <c r="E203" s="71" t="s">
        <v>441</v>
      </c>
      <c r="F203" s="71" t="s">
        <v>442</v>
      </c>
      <c r="G203" s="71" t="s">
        <v>585</v>
      </c>
      <c r="H203" s="108">
        <v>180000</v>
      </c>
      <c r="I203" s="112">
        <v>17610</v>
      </c>
      <c r="J203" s="25"/>
      <c r="K203" s="26"/>
      <c r="L203" s="109">
        <v>162390</v>
      </c>
      <c r="M203" s="26"/>
      <c r="N203" s="25"/>
      <c r="O203" s="28"/>
      <c r="P203" s="28"/>
      <c r="Q203" s="110">
        <f t="shared" si="9"/>
        <v>162390</v>
      </c>
      <c r="R203" s="28"/>
      <c r="S203" s="47" t="s">
        <v>139</v>
      </c>
    </row>
    <row r="204" spans="1:19" ht="21" x14ac:dyDescent="0.3">
      <c r="A204" s="106" t="s">
        <v>14</v>
      </c>
      <c r="B204" s="189" t="s">
        <v>979</v>
      </c>
      <c r="C204" s="107" t="s">
        <v>582</v>
      </c>
      <c r="D204" s="71" t="s">
        <v>583</v>
      </c>
      <c r="E204" s="71" t="s">
        <v>26</v>
      </c>
      <c r="F204" s="71" t="s">
        <v>27</v>
      </c>
      <c r="G204" s="71" t="s">
        <v>586</v>
      </c>
      <c r="H204" s="108">
        <v>313605</v>
      </c>
      <c r="I204" s="24"/>
      <c r="J204" s="25"/>
      <c r="K204" s="26"/>
      <c r="L204" s="109">
        <v>313605</v>
      </c>
      <c r="M204" s="26"/>
      <c r="N204" s="25"/>
      <c r="O204" s="28"/>
      <c r="P204" s="28"/>
      <c r="Q204" s="110">
        <f t="shared" si="9"/>
        <v>313605</v>
      </c>
      <c r="R204" s="28"/>
      <c r="S204" s="47" t="s">
        <v>139</v>
      </c>
    </row>
    <row r="205" spans="1:19" x14ac:dyDescent="0.3">
      <c r="A205" s="106" t="s">
        <v>14</v>
      </c>
      <c r="B205" s="189" t="s">
        <v>979</v>
      </c>
      <c r="C205" s="107" t="s">
        <v>582</v>
      </c>
      <c r="D205" s="71" t="s">
        <v>583</v>
      </c>
      <c r="E205" s="71" t="s">
        <v>35</v>
      </c>
      <c r="F205" s="71" t="s">
        <v>36</v>
      </c>
      <c r="G205" s="71" t="s">
        <v>587</v>
      </c>
      <c r="H205" s="108">
        <v>30000</v>
      </c>
      <c r="I205" s="112">
        <v>2200</v>
      </c>
      <c r="J205" s="25"/>
      <c r="K205" s="26"/>
      <c r="L205" s="109">
        <v>27800</v>
      </c>
      <c r="M205" s="26"/>
      <c r="N205" s="25"/>
      <c r="O205" s="28"/>
      <c r="P205" s="28"/>
      <c r="Q205" s="110">
        <f t="shared" si="9"/>
        <v>27800</v>
      </c>
      <c r="R205" s="28"/>
      <c r="S205" s="47" t="s">
        <v>139</v>
      </c>
    </row>
    <row r="206" spans="1:19" x14ac:dyDescent="0.3">
      <c r="A206" s="106" t="s">
        <v>14</v>
      </c>
      <c r="B206" s="189" t="s">
        <v>979</v>
      </c>
      <c r="C206" s="107" t="s">
        <v>582</v>
      </c>
      <c r="D206" s="71" t="s">
        <v>583</v>
      </c>
      <c r="E206" s="71" t="s">
        <v>222</v>
      </c>
      <c r="F206" s="71" t="s">
        <v>223</v>
      </c>
      <c r="G206" s="71" t="s">
        <v>588</v>
      </c>
      <c r="H206" s="108">
        <v>118157</v>
      </c>
      <c r="I206" s="112">
        <v>2550</v>
      </c>
      <c r="J206" s="25"/>
      <c r="K206" s="108">
        <v>21900</v>
      </c>
      <c r="L206" s="109">
        <v>93707</v>
      </c>
      <c r="M206" s="26"/>
      <c r="N206" s="25"/>
      <c r="O206" s="28"/>
      <c r="P206" s="28"/>
      <c r="Q206" s="110">
        <f t="shared" si="9"/>
        <v>93707</v>
      </c>
      <c r="R206" s="28"/>
      <c r="S206" s="47" t="s">
        <v>139</v>
      </c>
    </row>
    <row r="207" spans="1:19" x14ac:dyDescent="0.3">
      <c r="A207" s="106" t="s">
        <v>14</v>
      </c>
      <c r="B207" s="189" t="s">
        <v>979</v>
      </c>
      <c r="C207" s="107" t="s">
        <v>582</v>
      </c>
      <c r="D207" s="71" t="s">
        <v>583</v>
      </c>
      <c r="E207" s="71" t="s">
        <v>228</v>
      </c>
      <c r="F207" s="71" t="s">
        <v>229</v>
      </c>
      <c r="G207" s="71" t="s">
        <v>589</v>
      </c>
      <c r="H207" s="108">
        <v>40000</v>
      </c>
      <c r="I207" s="24"/>
      <c r="J207" s="25"/>
      <c r="K207" s="26"/>
      <c r="L207" s="109">
        <v>40000</v>
      </c>
      <c r="M207" s="26"/>
      <c r="N207" s="25"/>
      <c r="O207" s="28"/>
      <c r="P207" s="28"/>
      <c r="Q207" s="110">
        <f t="shared" si="9"/>
        <v>40000</v>
      </c>
      <c r="R207" s="28"/>
      <c r="S207" s="47" t="s">
        <v>139</v>
      </c>
    </row>
    <row r="208" spans="1:19" x14ac:dyDescent="0.3">
      <c r="A208" s="106" t="s">
        <v>14</v>
      </c>
      <c r="B208" s="189" t="s">
        <v>979</v>
      </c>
      <c r="C208" s="107" t="s">
        <v>582</v>
      </c>
      <c r="D208" s="71" t="s">
        <v>583</v>
      </c>
      <c r="E208" s="71" t="s">
        <v>230</v>
      </c>
      <c r="F208" s="71" t="s">
        <v>231</v>
      </c>
      <c r="G208" s="71" t="s">
        <v>590</v>
      </c>
      <c r="H208" s="108">
        <v>6500</v>
      </c>
      <c r="I208" s="24"/>
      <c r="J208" s="25"/>
      <c r="K208" s="26"/>
      <c r="L208" s="109">
        <v>6500</v>
      </c>
      <c r="M208" s="26"/>
      <c r="N208" s="25"/>
      <c r="O208" s="28"/>
      <c r="P208" s="28"/>
      <c r="Q208" s="110">
        <f t="shared" si="9"/>
        <v>6500</v>
      </c>
      <c r="R208" s="28"/>
      <c r="S208" s="47" t="s">
        <v>139</v>
      </c>
    </row>
    <row r="209" spans="1:19" x14ac:dyDescent="0.3">
      <c r="A209" s="106" t="s">
        <v>14</v>
      </c>
      <c r="B209" s="189" t="s">
        <v>979</v>
      </c>
      <c r="C209" s="107" t="s">
        <v>591</v>
      </c>
      <c r="D209" s="71" t="s">
        <v>592</v>
      </c>
      <c r="E209" s="71" t="s">
        <v>407</v>
      </c>
      <c r="F209" s="71" t="s">
        <v>408</v>
      </c>
      <c r="G209" s="71" t="s">
        <v>593</v>
      </c>
      <c r="H209" s="108">
        <v>10000</v>
      </c>
      <c r="I209" s="24"/>
      <c r="J209" s="25"/>
      <c r="K209" s="26"/>
      <c r="L209" s="109">
        <v>10000</v>
      </c>
      <c r="M209" s="26"/>
      <c r="N209" s="25"/>
      <c r="O209" s="28"/>
      <c r="P209" s="28"/>
      <c r="Q209" s="110">
        <f t="shared" si="9"/>
        <v>10000</v>
      </c>
      <c r="R209" s="28"/>
      <c r="S209" s="47" t="s">
        <v>139</v>
      </c>
    </row>
    <row r="210" spans="1:19" x14ac:dyDescent="0.3">
      <c r="A210" s="106" t="s">
        <v>14</v>
      </c>
      <c r="B210" s="189" t="s">
        <v>979</v>
      </c>
      <c r="C210" s="107" t="s">
        <v>591</v>
      </c>
      <c r="D210" s="71" t="s">
        <v>592</v>
      </c>
      <c r="E210" s="71" t="s">
        <v>441</v>
      </c>
      <c r="F210" s="71" t="s">
        <v>442</v>
      </c>
      <c r="G210" s="71" t="s">
        <v>594</v>
      </c>
      <c r="H210" s="108">
        <v>80000</v>
      </c>
      <c r="I210" s="24"/>
      <c r="J210" s="25"/>
      <c r="K210" s="26"/>
      <c r="L210" s="109">
        <v>80000</v>
      </c>
      <c r="M210" s="26"/>
      <c r="N210" s="25"/>
      <c r="O210" s="28"/>
      <c r="P210" s="28"/>
      <c r="Q210" s="110">
        <f t="shared" si="9"/>
        <v>80000</v>
      </c>
      <c r="R210" s="28"/>
      <c r="S210" s="47" t="s">
        <v>139</v>
      </c>
    </row>
    <row r="211" spans="1:19" x14ac:dyDescent="0.3">
      <c r="A211" s="106" t="s">
        <v>14</v>
      </c>
      <c r="B211" s="189" t="s">
        <v>979</v>
      </c>
      <c r="C211" s="107" t="s">
        <v>591</v>
      </c>
      <c r="D211" s="71" t="s">
        <v>592</v>
      </c>
      <c r="E211" s="71" t="s">
        <v>194</v>
      </c>
      <c r="F211" s="71" t="s">
        <v>195</v>
      </c>
      <c r="G211" s="71" t="s">
        <v>595</v>
      </c>
      <c r="H211" s="108">
        <v>15000</v>
      </c>
      <c r="I211" s="24"/>
      <c r="J211" s="25"/>
      <c r="K211" s="26"/>
      <c r="L211" s="109">
        <v>15000</v>
      </c>
      <c r="M211" s="26"/>
      <c r="N211" s="25"/>
      <c r="O211" s="28"/>
      <c r="P211" s="28"/>
      <c r="Q211" s="110">
        <f t="shared" si="9"/>
        <v>15000</v>
      </c>
      <c r="R211" s="28"/>
      <c r="S211" s="47" t="s">
        <v>139</v>
      </c>
    </row>
    <row r="212" spans="1:19" ht="21" x14ac:dyDescent="0.3">
      <c r="A212" s="106" t="s">
        <v>14</v>
      </c>
      <c r="B212" s="189" t="s">
        <v>979</v>
      </c>
      <c r="C212" s="107" t="s">
        <v>591</v>
      </c>
      <c r="D212" s="71" t="s">
        <v>592</v>
      </c>
      <c r="E212" s="71" t="s">
        <v>26</v>
      </c>
      <c r="F212" s="71" t="s">
        <v>27</v>
      </c>
      <c r="G212" s="71" t="s">
        <v>596</v>
      </c>
      <c r="H212" s="108">
        <v>50000</v>
      </c>
      <c r="I212" s="24"/>
      <c r="J212" s="25"/>
      <c r="K212" s="26"/>
      <c r="L212" s="109">
        <v>50000</v>
      </c>
      <c r="M212" s="26"/>
      <c r="N212" s="25"/>
      <c r="O212" s="28"/>
      <c r="P212" s="28"/>
      <c r="Q212" s="110">
        <f t="shared" si="9"/>
        <v>50000</v>
      </c>
      <c r="R212" s="28"/>
      <c r="S212" s="47" t="s">
        <v>139</v>
      </c>
    </row>
    <row r="213" spans="1:19" x14ac:dyDescent="0.3">
      <c r="A213" s="106" t="s">
        <v>14</v>
      </c>
      <c r="B213" s="189" t="s">
        <v>979</v>
      </c>
      <c r="C213" s="107" t="s">
        <v>591</v>
      </c>
      <c r="D213" s="71" t="s">
        <v>592</v>
      </c>
      <c r="E213" s="71" t="s">
        <v>35</v>
      </c>
      <c r="F213" s="71" t="s">
        <v>36</v>
      </c>
      <c r="G213" s="71" t="s">
        <v>597</v>
      </c>
      <c r="H213" s="108">
        <v>50000</v>
      </c>
      <c r="I213" s="24"/>
      <c r="J213" s="25"/>
      <c r="K213" s="26"/>
      <c r="L213" s="109">
        <v>50000</v>
      </c>
      <c r="M213" s="26"/>
      <c r="N213" s="25"/>
      <c r="O213" s="28"/>
      <c r="P213" s="28"/>
      <c r="Q213" s="110">
        <f t="shared" si="9"/>
        <v>50000</v>
      </c>
      <c r="R213" s="28"/>
      <c r="S213" s="47" t="s">
        <v>139</v>
      </c>
    </row>
    <row r="214" spans="1:19" x14ac:dyDescent="0.3">
      <c r="A214" s="106" t="s">
        <v>14</v>
      </c>
      <c r="B214" s="189" t="s">
        <v>979</v>
      </c>
      <c r="C214" s="107" t="s">
        <v>591</v>
      </c>
      <c r="D214" s="71" t="s">
        <v>592</v>
      </c>
      <c r="E214" s="71" t="s">
        <v>126</v>
      </c>
      <c r="F214" s="71" t="s">
        <v>127</v>
      </c>
      <c r="G214" s="71" t="s">
        <v>598</v>
      </c>
      <c r="H214" s="108">
        <v>5000</v>
      </c>
      <c r="I214" s="24"/>
      <c r="J214" s="25"/>
      <c r="K214" s="26"/>
      <c r="L214" s="109">
        <v>5000</v>
      </c>
      <c r="M214" s="26"/>
      <c r="N214" s="25"/>
      <c r="O214" s="28"/>
      <c r="P214" s="28"/>
      <c r="Q214" s="110">
        <f t="shared" si="9"/>
        <v>5000</v>
      </c>
      <c r="R214" s="28"/>
      <c r="S214" s="47" t="s">
        <v>139</v>
      </c>
    </row>
    <row r="215" spans="1:19" x14ac:dyDescent="0.3">
      <c r="A215" s="106" t="s">
        <v>14</v>
      </c>
      <c r="B215" s="189" t="s">
        <v>979</v>
      </c>
      <c r="C215" s="107" t="s">
        <v>591</v>
      </c>
      <c r="D215" s="71" t="s">
        <v>592</v>
      </c>
      <c r="E215" s="71" t="s">
        <v>222</v>
      </c>
      <c r="F215" s="71" t="s">
        <v>223</v>
      </c>
      <c r="G215" s="71" t="s">
        <v>599</v>
      </c>
      <c r="H215" s="108">
        <v>300000</v>
      </c>
      <c r="I215" s="24"/>
      <c r="J215" s="25"/>
      <c r="K215" s="26"/>
      <c r="L215" s="109">
        <v>300000</v>
      </c>
      <c r="M215" s="26"/>
      <c r="N215" s="25"/>
      <c r="O215" s="28"/>
      <c r="P215" s="28"/>
      <c r="Q215" s="110">
        <f t="shared" si="9"/>
        <v>300000</v>
      </c>
      <c r="R215" s="28"/>
      <c r="S215" s="47" t="s">
        <v>139</v>
      </c>
    </row>
    <row r="216" spans="1:19" x14ac:dyDescent="0.3">
      <c r="A216" s="106" t="s">
        <v>14</v>
      </c>
      <c r="B216" s="189" t="s">
        <v>979</v>
      </c>
      <c r="C216" s="107" t="s">
        <v>591</v>
      </c>
      <c r="D216" s="71" t="s">
        <v>592</v>
      </c>
      <c r="E216" s="71" t="s">
        <v>228</v>
      </c>
      <c r="F216" s="71" t="s">
        <v>229</v>
      </c>
      <c r="G216" s="71" t="s">
        <v>600</v>
      </c>
      <c r="H216" s="108">
        <v>80000</v>
      </c>
      <c r="I216" s="24"/>
      <c r="J216" s="25"/>
      <c r="K216" s="26"/>
      <c r="L216" s="109">
        <v>80000</v>
      </c>
      <c r="M216" s="26"/>
      <c r="N216" s="25"/>
      <c r="O216" s="28"/>
      <c r="P216" s="28"/>
      <c r="Q216" s="110">
        <f t="shared" si="9"/>
        <v>80000</v>
      </c>
      <c r="R216" s="28"/>
      <c r="S216" s="47" t="s">
        <v>139</v>
      </c>
    </row>
    <row r="217" spans="1:19" x14ac:dyDescent="0.3">
      <c r="A217" s="106" t="s">
        <v>14</v>
      </c>
      <c r="B217" s="189" t="s">
        <v>979</v>
      </c>
      <c r="C217" s="107" t="s">
        <v>591</v>
      </c>
      <c r="D217" s="71" t="s">
        <v>592</v>
      </c>
      <c r="E217" s="71" t="s">
        <v>230</v>
      </c>
      <c r="F217" s="71" t="s">
        <v>231</v>
      </c>
      <c r="G217" s="71" t="s">
        <v>601</v>
      </c>
      <c r="H217" s="108">
        <v>675000</v>
      </c>
      <c r="I217" s="24"/>
      <c r="J217" s="25"/>
      <c r="K217" s="26"/>
      <c r="L217" s="109">
        <v>675000</v>
      </c>
      <c r="M217" s="26"/>
      <c r="N217" s="25"/>
      <c r="O217" s="28"/>
      <c r="P217" s="28"/>
      <c r="Q217" s="110">
        <f t="shared" si="9"/>
        <v>675000</v>
      </c>
      <c r="R217" s="28"/>
      <c r="S217" s="47" t="s">
        <v>139</v>
      </c>
    </row>
    <row r="218" spans="1:19" x14ac:dyDescent="0.3">
      <c r="A218" s="106" t="s">
        <v>14</v>
      </c>
      <c r="B218" s="189" t="s">
        <v>979</v>
      </c>
      <c r="C218" s="107" t="s">
        <v>591</v>
      </c>
      <c r="D218" s="71" t="s">
        <v>592</v>
      </c>
      <c r="E218" s="71" t="s">
        <v>50</v>
      </c>
      <c r="F218" s="71" t="s">
        <v>51</v>
      </c>
      <c r="G218" s="71" t="s">
        <v>602</v>
      </c>
      <c r="H218" s="108">
        <v>5000</v>
      </c>
      <c r="I218" s="24"/>
      <c r="J218" s="25"/>
      <c r="K218" s="26"/>
      <c r="L218" s="109">
        <v>5000</v>
      </c>
      <c r="M218" s="26"/>
      <c r="N218" s="25"/>
      <c r="O218" s="28"/>
      <c r="P218" s="28"/>
      <c r="Q218" s="110">
        <f t="shared" si="9"/>
        <v>5000</v>
      </c>
      <c r="R218" s="28"/>
      <c r="S218" s="47" t="s">
        <v>139</v>
      </c>
    </row>
    <row r="219" spans="1:19" x14ac:dyDescent="0.3">
      <c r="A219" s="106" t="s">
        <v>14</v>
      </c>
      <c r="B219" s="189" t="s">
        <v>978</v>
      </c>
      <c r="C219" s="107" t="s">
        <v>609</v>
      </c>
      <c r="D219" s="71" t="s">
        <v>610</v>
      </c>
      <c r="E219" s="71" t="s">
        <v>254</v>
      </c>
      <c r="F219" s="71" t="s">
        <v>255</v>
      </c>
      <c r="G219" s="71" t="s">
        <v>611</v>
      </c>
      <c r="H219" s="108">
        <v>100000</v>
      </c>
      <c r="I219" s="112">
        <v>19108.66</v>
      </c>
      <c r="J219" s="25"/>
      <c r="K219" s="26"/>
      <c r="L219" s="109">
        <v>80891.34</v>
      </c>
      <c r="M219" s="26"/>
      <c r="N219" s="25"/>
      <c r="O219" s="28"/>
      <c r="P219" s="28"/>
      <c r="Q219" s="110">
        <f>L219-M219-N219-O219</f>
        <v>80891.34</v>
      </c>
      <c r="R219" s="28"/>
      <c r="S219" s="47" t="s">
        <v>139</v>
      </c>
    </row>
    <row r="220" spans="1:19" x14ac:dyDescent="0.3">
      <c r="A220" s="106" t="s">
        <v>14</v>
      </c>
      <c r="B220" s="189" t="s">
        <v>978</v>
      </c>
      <c r="C220" s="107" t="s">
        <v>609</v>
      </c>
      <c r="D220" s="71" t="s">
        <v>610</v>
      </c>
      <c r="E220" s="71" t="s">
        <v>142</v>
      </c>
      <c r="F220" s="71" t="s">
        <v>143</v>
      </c>
      <c r="G220" s="71" t="s">
        <v>612</v>
      </c>
      <c r="H220" s="108">
        <v>10000</v>
      </c>
      <c r="I220" s="24"/>
      <c r="J220" s="25"/>
      <c r="K220" s="26"/>
      <c r="L220" s="109">
        <v>10000</v>
      </c>
      <c r="M220" s="26"/>
      <c r="N220" s="25"/>
      <c r="O220" s="28"/>
      <c r="P220" s="28"/>
      <c r="Q220" s="110">
        <f t="shared" ref="Q220:Q283" si="10">L220-M220-N220-O220</f>
        <v>10000</v>
      </c>
      <c r="R220" s="28"/>
      <c r="S220" s="47" t="s">
        <v>139</v>
      </c>
    </row>
    <row r="221" spans="1:19" x14ac:dyDescent="0.3">
      <c r="A221" s="106" t="s">
        <v>14</v>
      </c>
      <c r="B221" s="189" t="s">
        <v>978</v>
      </c>
      <c r="C221" s="107" t="s">
        <v>609</v>
      </c>
      <c r="D221" s="71" t="s">
        <v>610</v>
      </c>
      <c r="E221" s="71" t="s">
        <v>501</v>
      </c>
      <c r="F221" s="71" t="s">
        <v>153</v>
      </c>
      <c r="G221" s="71" t="s">
        <v>613</v>
      </c>
      <c r="H221" s="108">
        <v>506004</v>
      </c>
      <c r="I221" s="112">
        <v>32000</v>
      </c>
      <c r="J221" s="25"/>
      <c r="K221" s="26"/>
      <c r="L221" s="109">
        <v>474004</v>
      </c>
      <c r="M221" s="26"/>
      <c r="N221" s="25"/>
      <c r="O221" s="28"/>
      <c r="P221" s="28"/>
      <c r="Q221" s="110">
        <f t="shared" si="10"/>
        <v>474004</v>
      </c>
      <c r="R221" s="28"/>
      <c r="S221" s="47" t="s">
        <v>139</v>
      </c>
    </row>
    <row r="222" spans="1:19" ht="21" x14ac:dyDescent="0.3">
      <c r="A222" s="106" t="s">
        <v>14</v>
      </c>
      <c r="B222" s="189" t="s">
        <v>978</v>
      </c>
      <c r="C222" s="107" t="s">
        <v>609</v>
      </c>
      <c r="D222" s="71" t="s">
        <v>610</v>
      </c>
      <c r="E222" s="71" t="s">
        <v>106</v>
      </c>
      <c r="F222" s="71" t="s">
        <v>107</v>
      </c>
      <c r="G222" s="71" t="s">
        <v>614</v>
      </c>
      <c r="H222" s="108">
        <v>20000</v>
      </c>
      <c r="I222" s="112">
        <v>5286</v>
      </c>
      <c r="J222" s="25"/>
      <c r="K222" s="26"/>
      <c r="L222" s="109">
        <v>14714</v>
      </c>
      <c r="M222" s="26"/>
      <c r="N222" s="25"/>
      <c r="O222" s="28"/>
      <c r="P222" s="28"/>
      <c r="Q222" s="110">
        <f t="shared" si="10"/>
        <v>14714</v>
      </c>
      <c r="R222" s="28"/>
      <c r="S222" s="47" t="s">
        <v>139</v>
      </c>
    </row>
    <row r="223" spans="1:19" x14ac:dyDescent="0.3">
      <c r="A223" s="106" t="s">
        <v>14</v>
      </c>
      <c r="B223" s="189" t="s">
        <v>978</v>
      </c>
      <c r="C223" s="107" t="s">
        <v>609</v>
      </c>
      <c r="D223" s="71" t="s">
        <v>610</v>
      </c>
      <c r="E223" s="71" t="s">
        <v>114</v>
      </c>
      <c r="F223" s="71" t="s">
        <v>115</v>
      </c>
      <c r="G223" s="71" t="s">
        <v>615</v>
      </c>
      <c r="H223" s="108">
        <v>100000</v>
      </c>
      <c r="I223" s="112">
        <v>20000</v>
      </c>
      <c r="J223" s="25"/>
      <c r="K223" s="26"/>
      <c r="L223" s="109">
        <v>80000</v>
      </c>
      <c r="M223" s="26"/>
      <c r="N223" s="25"/>
      <c r="O223" s="28"/>
      <c r="P223" s="28"/>
      <c r="Q223" s="110">
        <f t="shared" si="10"/>
        <v>80000</v>
      </c>
      <c r="R223" s="28"/>
      <c r="S223" s="47" t="s">
        <v>139</v>
      </c>
    </row>
    <row r="224" spans="1:19" x14ac:dyDescent="0.3">
      <c r="A224" s="106" t="s">
        <v>14</v>
      </c>
      <c r="B224" s="189" t="s">
        <v>978</v>
      </c>
      <c r="C224" s="107" t="s">
        <v>609</v>
      </c>
      <c r="D224" s="71" t="s">
        <v>610</v>
      </c>
      <c r="E224" s="71" t="s">
        <v>441</v>
      </c>
      <c r="F224" s="71" t="s">
        <v>442</v>
      </c>
      <c r="G224" s="71" t="s">
        <v>616</v>
      </c>
      <c r="H224" s="108">
        <v>614499</v>
      </c>
      <c r="I224" s="112">
        <v>6600</v>
      </c>
      <c r="J224" s="25"/>
      <c r="K224" s="26"/>
      <c r="L224" s="109">
        <v>607899</v>
      </c>
      <c r="M224" s="26"/>
      <c r="N224" s="25"/>
      <c r="O224" s="28"/>
      <c r="P224" s="28"/>
      <c r="Q224" s="110">
        <f t="shared" si="10"/>
        <v>607899</v>
      </c>
      <c r="R224" s="28"/>
      <c r="S224" s="47" t="s">
        <v>139</v>
      </c>
    </row>
    <row r="225" spans="1:19" x14ac:dyDescent="0.3">
      <c r="A225" s="106" t="s">
        <v>14</v>
      </c>
      <c r="B225" s="189" t="s">
        <v>978</v>
      </c>
      <c r="C225" s="107" t="s">
        <v>609</v>
      </c>
      <c r="D225" s="71" t="s">
        <v>610</v>
      </c>
      <c r="E225" s="71" t="s">
        <v>194</v>
      </c>
      <c r="F225" s="71" t="s">
        <v>195</v>
      </c>
      <c r="G225" s="71" t="s">
        <v>617</v>
      </c>
      <c r="H225" s="108">
        <v>18000</v>
      </c>
      <c r="I225" s="24"/>
      <c r="J225" s="25"/>
      <c r="K225" s="26"/>
      <c r="L225" s="109">
        <v>18000</v>
      </c>
      <c r="M225" s="26"/>
      <c r="N225" s="25"/>
      <c r="O225" s="28"/>
      <c r="P225" s="28"/>
      <c r="Q225" s="110">
        <f t="shared" si="10"/>
        <v>18000</v>
      </c>
      <c r="R225" s="28"/>
      <c r="S225" s="47" t="s">
        <v>139</v>
      </c>
    </row>
    <row r="226" spans="1:19" ht="21" x14ac:dyDescent="0.3">
      <c r="A226" s="106" t="s">
        <v>14</v>
      </c>
      <c r="B226" s="189" t="s">
        <v>978</v>
      </c>
      <c r="C226" s="107" t="s">
        <v>609</v>
      </c>
      <c r="D226" s="71" t="s">
        <v>610</v>
      </c>
      <c r="E226" s="71" t="s">
        <v>26</v>
      </c>
      <c r="F226" s="71" t="s">
        <v>27</v>
      </c>
      <c r="G226" s="71" t="s">
        <v>618</v>
      </c>
      <c r="H226" s="108">
        <v>100000</v>
      </c>
      <c r="I226" s="24"/>
      <c r="J226" s="114">
        <v>39668.400000000001</v>
      </c>
      <c r="K226" s="26"/>
      <c r="L226" s="109">
        <v>60331.6</v>
      </c>
      <c r="M226" s="26"/>
      <c r="N226" s="25"/>
      <c r="O226" s="28"/>
      <c r="P226" s="28"/>
      <c r="Q226" s="110">
        <f t="shared" si="10"/>
        <v>60331.6</v>
      </c>
      <c r="R226" s="28"/>
      <c r="S226" s="47" t="s">
        <v>139</v>
      </c>
    </row>
    <row r="227" spans="1:19" x14ac:dyDescent="0.3">
      <c r="A227" s="106" t="s">
        <v>14</v>
      </c>
      <c r="B227" s="189" t="s">
        <v>978</v>
      </c>
      <c r="C227" s="107" t="s">
        <v>609</v>
      </c>
      <c r="D227" s="71" t="s">
        <v>610</v>
      </c>
      <c r="E227" s="71" t="s">
        <v>35</v>
      </c>
      <c r="F227" s="71" t="s">
        <v>36</v>
      </c>
      <c r="G227" s="71" t="s">
        <v>619</v>
      </c>
      <c r="H227" s="108">
        <v>35000</v>
      </c>
      <c r="I227" s="24"/>
      <c r="J227" s="25"/>
      <c r="K227" s="26"/>
      <c r="L227" s="109">
        <v>35000</v>
      </c>
      <c r="M227" s="26"/>
      <c r="N227" s="25"/>
      <c r="O227" s="28"/>
      <c r="P227" s="28"/>
      <c r="Q227" s="110">
        <f t="shared" si="10"/>
        <v>35000</v>
      </c>
      <c r="R227" s="28"/>
      <c r="S227" s="47" t="s">
        <v>139</v>
      </c>
    </row>
    <row r="228" spans="1:19" x14ac:dyDescent="0.3">
      <c r="A228" s="106" t="s">
        <v>14</v>
      </c>
      <c r="B228" s="189" t="s">
        <v>978</v>
      </c>
      <c r="C228" s="107" t="s">
        <v>609</v>
      </c>
      <c r="D228" s="71" t="s">
        <v>610</v>
      </c>
      <c r="E228" s="71" t="s">
        <v>126</v>
      </c>
      <c r="F228" s="71" t="s">
        <v>127</v>
      </c>
      <c r="G228" s="71" t="s">
        <v>620</v>
      </c>
      <c r="H228" s="108">
        <v>45000</v>
      </c>
      <c r="I228" s="24"/>
      <c r="J228" s="25"/>
      <c r="K228" s="26"/>
      <c r="L228" s="109">
        <v>45000</v>
      </c>
      <c r="M228" s="26"/>
      <c r="N228" s="25"/>
      <c r="O228" s="28"/>
      <c r="P228" s="28"/>
      <c r="Q228" s="110">
        <f t="shared" si="10"/>
        <v>45000</v>
      </c>
      <c r="R228" s="28"/>
      <c r="S228" s="47" t="s">
        <v>139</v>
      </c>
    </row>
    <row r="229" spans="1:19" x14ac:dyDescent="0.3">
      <c r="A229" s="106" t="s">
        <v>14</v>
      </c>
      <c r="B229" s="189" t="s">
        <v>978</v>
      </c>
      <c r="C229" s="107" t="s">
        <v>609</v>
      </c>
      <c r="D229" s="71" t="s">
        <v>610</v>
      </c>
      <c r="E229" s="71" t="s">
        <v>222</v>
      </c>
      <c r="F229" s="71" t="s">
        <v>223</v>
      </c>
      <c r="G229" s="71" t="s">
        <v>621</v>
      </c>
      <c r="H229" s="108">
        <v>45292</v>
      </c>
      <c r="I229" s="112">
        <v>28092</v>
      </c>
      <c r="J229" s="25"/>
      <c r="K229" s="108">
        <v>16000</v>
      </c>
      <c r="L229" s="109">
        <v>1200</v>
      </c>
      <c r="M229" s="26"/>
      <c r="N229" s="25"/>
      <c r="O229" s="28"/>
      <c r="P229" s="28"/>
      <c r="Q229" s="110">
        <f t="shared" si="10"/>
        <v>1200</v>
      </c>
      <c r="R229" s="28"/>
      <c r="S229" s="47" t="s">
        <v>139</v>
      </c>
    </row>
    <row r="230" spans="1:19" x14ac:dyDescent="0.3">
      <c r="A230" s="106" t="s">
        <v>14</v>
      </c>
      <c r="B230" s="189" t="s">
        <v>978</v>
      </c>
      <c r="C230" s="107" t="s">
        <v>609</v>
      </c>
      <c r="D230" s="71" t="s">
        <v>610</v>
      </c>
      <c r="E230" s="71" t="s">
        <v>228</v>
      </c>
      <c r="F230" s="71" t="s">
        <v>229</v>
      </c>
      <c r="G230" s="71" t="s">
        <v>622</v>
      </c>
      <c r="H230" s="108">
        <v>260000</v>
      </c>
      <c r="I230" s="112">
        <v>13222.8</v>
      </c>
      <c r="J230" s="25"/>
      <c r="K230" s="26"/>
      <c r="L230" s="109">
        <v>246777.2</v>
      </c>
      <c r="M230" s="26"/>
      <c r="N230" s="25"/>
      <c r="O230" s="28"/>
      <c r="P230" s="28"/>
      <c r="Q230" s="110">
        <f t="shared" si="10"/>
        <v>246777.2</v>
      </c>
      <c r="R230" s="28"/>
      <c r="S230" s="47" t="s">
        <v>139</v>
      </c>
    </row>
    <row r="231" spans="1:19" x14ac:dyDescent="0.3">
      <c r="A231" s="106" t="s">
        <v>14</v>
      </c>
      <c r="B231" s="189" t="s">
        <v>978</v>
      </c>
      <c r="C231" s="107" t="s">
        <v>609</v>
      </c>
      <c r="D231" s="71" t="s">
        <v>610</v>
      </c>
      <c r="E231" s="71" t="s">
        <v>230</v>
      </c>
      <c r="F231" s="71" t="s">
        <v>231</v>
      </c>
      <c r="G231" s="71" t="s">
        <v>623</v>
      </c>
      <c r="H231" s="108">
        <v>100000</v>
      </c>
      <c r="I231" s="112">
        <v>20000</v>
      </c>
      <c r="J231" s="25"/>
      <c r="K231" s="26"/>
      <c r="L231" s="109">
        <v>80000</v>
      </c>
      <c r="M231" s="26"/>
      <c r="N231" s="25"/>
      <c r="O231" s="28"/>
      <c r="P231" s="28"/>
      <c r="Q231" s="110">
        <f t="shared" si="10"/>
        <v>80000</v>
      </c>
      <c r="R231" s="28"/>
      <c r="S231" s="47" t="s">
        <v>139</v>
      </c>
    </row>
    <row r="232" spans="1:19" ht="21" x14ac:dyDescent="0.3">
      <c r="A232" s="106" t="s">
        <v>14</v>
      </c>
      <c r="B232" s="189" t="s">
        <v>978</v>
      </c>
      <c r="C232" s="107" t="s">
        <v>609</v>
      </c>
      <c r="D232" s="71" t="s">
        <v>610</v>
      </c>
      <c r="E232" s="71" t="s">
        <v>552</v>
      </c>
      <c r="F232" s="71" t="s">
        <v>553</v>
      </c>
      <c r="G232" s="71" t="s">
        <v>624</v>
      </c>
      <c r="H232" s="108">
        <v>25000</v>
      </c>
      <c r="I232" s="24"/>
      <c r="J232" s="25"/>
      <c r="K232" s="26"/>
      <c r="L232" s="109">
        <v>25000</v>
      </c>
      <c r="M232" s="26"/>
      <c r="N232" s="25"/>
      <c r="O232" s="28"/>
      <c r="P232" s="28"/>
      <c r="Q232" s="110">
        <f t="shared" si="10"/>
        <v>25000</v>
      </c>
      <c r="R232" s="28"/>
      <c r="S232" s="47" t="s">
        <v>139</v>
      </c>
    </row>
    <row r="233" spans="1:19" ht="21" x14ac:dyDescent="0.3">
      <c r="A233" s="106" t="s">
        <v>14</v>
      </c>
      <c r="B233" s="189" t="s">
        <v>978</v>
      </c>
      <c r="C233" s="107" t="s">
        <v>625</v>
      </c>
      <c r="D233" s="71" t="s">
        <v>626</v>
      </c>
      <c r="E233" s="71" t="s">
        <v>254</v>
      </c>
      <c r="F233" s="71" t="s">
        <v>255</v>
      </c>
      <c r="G233" s="71" t="s">
        <v>627</v>
      </c>
      <c r="H233" s="108">
        <v>20000</v>
      </c>
      <c r="I233" s="24"/>
      <c r="J233" s="25"/>
      <c r="K233" s="26"/>
      <c r="L233" s="109">
        <v>20000</v>
      </c>
      <c r="M233" s="26"/>
      <c r="N233" s="25"/>
      <c r="O233" s="28"/>
      <c r="P233" s="28"/>
      <c r="Q233" s="110">
        <f t="shared" si="10"/>
        <v>20000</v>
      </c>
      <c r="R233" s="28"/>
      <c r="S233" s="47" t="s">
        <v>139</v>
      </c>
    </row>
    <row r="234" spans="1:19" ht="21" x14ac:dyDescent="0.3">
      <c r="A234" s="106" t="s">
        <v>14</v>
      </c>
      <c r="B234" s="189" t="s">
        <v>978</v>
      </c>
      <c r="C234" s="107" t="s">
        <v>625</v>
      </c>
      <c r="D234" s="71" t="s">
        <v>626</v>
      </c>
      <c r="E234" s="71" t="s">
        <v>106</v>
      </c>
      <c r="F234" s="71" t="s">
        <v>107</v>
      </c>
      <c r="G234" s="71" t="s">
        <v>628</v>
      </c>
      <c r="H234" s="108">
        <v>15000</v>
      </c>
      <c r="I234" s="112">
        <v>2600</v>
      </c>
      <c r="J234" s="25"/>
      <c r="K234" s="26"/>
      <c r="L234" s="109">
        <v>12400</v>
      </c>
      <c r="M234" s="26"/>
      <c r="N234" s="25"/>
      <c r="O234" s="28"/>
      <c r="P234" s="28"/>
      <c r="Q234" s="110">
        <f t="shared" si="10"/>
        <v>12400</v>
      </c>
      <c r="R234" s="28"/>
      <c r="S234" s="47" t="s">
        <v>139</v>
      </c>
    </row>
    <row r="235" spans="1:19" ht="21" x14ac:dyDescent="0.3">
      <c r="A235" s="106" t="s">
        <v>14</v>
      </c>
      <c r="B235" s="189" t="s">
        <v>978</v>
      </c>
      <c r="C235" s="107" t="s">
        <v>625</v>
      </c>
      <c r="D235" s="71" t="s">
        <v>626</v>
      </c>
      <c r="E235" s="71" t="s">
        <v>407</v>
      </c>
      <c r="F235" s="71" t="s">
        <v>408</v>
      </c>
      <c r="G235" s="71" t="s">
        <v>629</v>
      </c>
      <c r="H235" s="108">
        <v>150000</v>
      </c>
      <c r="I235" s="24"/>
      <c r="J235" s="25"/>
      <c r="K235" s="26"/>
      <c r="L235" s="109">
        <v>150000</v>
      </c>
      <c r="M235" s="26"/>
      <c r="N235" s="25"/>
      <c r="O235" s="28"/>
      <c r="P235" s="28"/>
      <c r="Q235" s="110">
        <f t="shared" si="10"/>
        <v>150000</v>
      </c>
      <c r="R235" s="28"/>
      <c r="S235" s="47" t="s">
        <v>139</v>
      </c>
    </row>
    <row r="236" spans="1:19" ht="21" x14ac:dyDescent="0.3">
      <c r="A236" s="106" t="s">
        <v>14</v>
      </c>
      <c r="B236" s="189" t="s">
        <v>978</v>
      </c>
      <c r="C236" s="107" t="s">
        <v>625</v>
      </c>
      <c r="D236" s="71" t="s">
        <v>626</v>
      </c>
      <c r="E236" s="71" t="s">
        <v>114</v>
      </c>
      <c r="F236" s="71" t="s">
        <v>115</v>
      </c>
      <c r="G236" s="71" t="s">
        <v>630</v>
      </c>
      <c r="H236" s="108">
        <v>350000</v>
      </c>
      <c r="I236" s="24"/>
      <c r="J236" s="25"/>
      <c r="K236" s="26"/>
      <c r="L236" s="109">
        <v>350000</v>
      </c>
      <c r="M236" s="26"/>
      <c r="N236" s="25"/>
      <c r="O236" s="28"/>
      <c r="P236" s="28"/>
      <c r="Q236" s="110">
        <f t="shared" si="10"/>
        <v>350000</v>
      </c>
      <c r="R236" s="28"/>
      <c r="S236" s="47" t="s">
        <v>139</v>
      </c>
    </row>
    <row r="237" spans="1:19" ht="21" x14ac:dyDescent="0.3">
      <c r="A237" s="106" t="s">
        <v>14</v>
      </c>
      <c r="B237" s="189" t="s">
        <v>978</v>
      </c>
      <c r="C237" s="107" t="s">
        <v>625</v>
      </c>
      <c r="D237" s="71" t="s">
        <v>626</v>
      </c>
      <c r="E237" s="71" t="s">
        <v>441</v>
      </c>
      <c r="F237" s="71" t="s">
        <v>442</v>
      </c>
      <c r="G237" s="71" t="s">
        <v>631</v>
      </c>
      <c r="H237" s="108">
        <v>210000</v>
      </c>
      <c r="I237" s="24"/>
      <c r="J237" s="25"/>
      <c r="K237" s="26"/>
      <c r="L237" s="109">
        <v>210000</v>
      </c>
      <c r="M237" s="26"/>
      <c r="N237" s="25"/>
      <c r="O237" s="28"/>
      <c r="P237" s="28"/>
      <c r="Q237" s="110">
        <f t="shared" si="10"/>
        <v>210000</v>
      </c>
      <c r="R237" s="28"/>
      <c r="S237" s="47" t="s">
        <v>139</v>
      </c>
    </row>
    <row r="238" spans="1:19" ht="21" x14ac:dyDescent="0.3">
      <c r="A238" s="106" t="s">
        <v>14</v>
      </c>
      <c r="B238" s="189" t="s">
        <v>978</v>
      </c>
      <c r="C238" s="107" t="s">
        <v>625</v>
      </c>
      <c r="D238" s="71" t="s">
        <v>626</v>
      </c>
      <c r="E238" s="71" t="s">
        <v>194</v>
      </c>
      <c r="F238" s="71" t="s">
        <v>195</v>
      </c>
      <c r="G238" s="71" t="s">
        <v>632</v>
      </c>
      <c r="H238" s="108">
        <v>8500</v>
      </c>
      <c r="I238" s="24"/>
      <c r="J238" s="25"/>
      <c r="K238" s="26"/>
      <c r="L238" s="109">
        <v>8500</v>
      </c>
      <c r="M238" s="26"/>
      <c r="N238" s="25"/>
      <c r="O238" s="28"/>
      <c r="P238" s="28"/>
      <c r="Q238" s="110">
        <f t="shared" si="10"/>
        <v>8500</v>
      </c>
      <c r="R238" s="28"/>
      <c r="S238" s="47" t="s">
        <v>139</v>
      </c>
    </row>
    <row r="239" spans="1:19" ht="21" x14ac:dyDescent="0.3">
      <c r="A239" s="106" t="s">
        <v>14</v>
      </c>
      <c r="B239" s="189" t="s">
        <v>978</v>
      </c>
      <c r="C239" s="107" t="s">
        <v>625</v>
      </c>
      <c r="D239" s="71" t="s">
        <v>626</v>
      </c>
      <c r="E239" s="71" t="s">
        <v>26</v>
      </c>
      <c r="F239" s="71" t="s">
        <v>27</v>
      </c>
      <c r="G239" s="71" t="s">
        <v>633</v>
      </c>
      <c r="H239" s="108">
        <v>9114</v>
      </c>
      <c r="I239" s="24"/>
      <c r="J239" s="25"/>
      <c r="K239" s="26"/>
      <c r="L239" s="109">
        <v>9114</v>
      </c>
      <c r="M239" s="26"/>
      <c r="N239" s="25"/>
      <c r="O239" s="28"/>
      <c r="P239" s="28"/>
      <c r="Q239" s="110">
        <f t="shared" si="10"/>
        <v>9114</v>
      </c>
      <c r="R239" s="28"/>
      <c r="S239" s="47" t="s">
        <v>139</v>
      </c>
    </row>
    <row r="240" spans="1:19" ht="21" x14ac:dyDescent="0.3">
      <c r="A240" s="106" t="s">
        <v>14</v>
      </c>
      <c r="B240" s="189" t="s">
        <v>978</v>
      </c>
      <c r="C240" s="107" t="s">
        <v>625</v>
      </c>
      <c r="D240" s="71" t="s">
        <v>626</v>
      </c>
      <c r="E240" s="71" t="s">
        <v>35</v>
      </c>
      <c r="F240" s="71" t="s">
        <v>36</v>
      </c>
      <c r="G240" s="71" t="s">
        <v>634</v>
      </c>
      <c r="H240" s="108">
        <v>40000</v>
      </c>
      <c r="I240" s="24"/>
      <c r="J240" s="25"/>
      <c r="K240" s="26"/>
      <c r="L240" s="109">
        <v>40000</v>
      </c>
      <c r="M240" s="26"/>
      <c r="N240" s="25"/>
      <c r="O240" s="28"/>
      <c r="P240" s="28"/>
      <c r="Q240" s="110">
        <f t="shared" si="10"/>
        <v>40000</v>
      </c>
      <c r="R240" s="28"/>
      <c r="S240" s="47" t="s">
        <v>139</v>
      </c>
    </row>
    <row r="241" spans="1:19" ht="21" x14ac:dyDescent="0.3">
      <c r="A241" s="106" t="s">
        <v>14</v>
      </c>
      <c r="B241" s="189" t="s">
        <v>978</v>
      </c>
      <c r="C241" s="107" t="s">
        <v>625</v>
      </c>
      <c r="D241" s="71" t="s">
        <v>626</v>
      </c>
      <c r="E241" s="71" t="s">
        <v>222</v>
      </c>
      <c r="F241" s="71" t="s">
        <v>223</v>
      </c>
      <c r="G241" s="71" t="s">
        <v>635</v>
      </c>
      <c r="H241" s="108">
        <v>80000</v>
      </c>
      <c r="I241" s="24"/>
      <c r="J241" s="25"/>
      <c r="K241" s="26"/>
      <c r="L241" s="109">
        <v>80000</v>
      </c>
      <c r="M241" s="26"/>
      <c r="N241" s="25"/>
      <c r="O241" s="28"/>
      <c r="P241" s="28"/>
      <c r="Q241" s="110">
        <f t="shared" si="10"/>
        <v>80000</v>
      </c>
      <c r="R241" s="28"/>
      <c r="S241" s="47" t="s">
        <v>139</v>
      </c>
    </row>
    <row r="242" spans="1:19" ht="21" x14ac:dyDescent="0.3">
      <c r="A242" s="106" t="s">
        <v>14</v>
      </c>
      <c r="B242" s="189" t="s">
        <v>978</v>
      </c>
      <c r="C242" s="107" t="s">
        <v>625</v>
      </c>
      <c r="D242" s="71" t="s">
        <v>626</v>
      </c>
      <c r="E242" s="71" t="s">
        <v>228</v>
      </c>
      <c r="F242" s="71" t="s">
        <v>229</v>
      </c>
      <c r="G242" s="71" t="s">
        <v>636</v>
      </c>
      <c r="H242" s="108">
        <v>182000</v>
      </c>
      <c r="I242" s="112">
        <v>12802.18</v>
      </c>
      <c r="J242" s="25"/>
      <c r="K242" s="26"/>
      <c r="L242" s="109">
        <v>169197.82</v>
      </c>
      <c r="M242" s="26"/>
      <c r="N242" s="25"/>
      <c r="O242" s="28"/>
      <c r="P242" s="28"/>
      <c r="Q242" s="110">
        <f t="shared" si="10"/>
        <v>169197.82</v>
      </c>
      <c r="R242" s="28"/>
      <c r="S242" s="47" t="s">
        <v>139</v>
      </c>
    </row>
    <row r="243" spans="1:19" ht="21" x14ac:dyDescent="0.3">
      <c r="A243" s="106" t="s">
        <v>14</v>
      </c>
      <c r="B243" s="189" t="s">
        <v>978</v>
      </c>
      <c r="C243" s="107" t="s">
        <v>625</v>
      </c>
      <c r="D243" s="71" t="s">
        <v>626</v>
      </c>
      <c r="E243" s="71" t="s">
        <v>230</v>
      </c>
      <c r="F243" s="71" t="s">
        <v>231</v>
      </c>
      <c r="G243" s="71" t="s">
        <v>637</v>
      </c>
      <c r="H243" s="108">
        <v>80000</v>
      </c>
      <c r="I243" s="24"/>
      <c r="J243" s="25"/>
      <c r="K243" s="26"/>
      <c r="L243" s="109">
        <v>80000</v>
      </c>
      <c r="M243" s="26"/>
      <c r="N243" s="25"/>
      <c r="O243" s="28"/>
      <c r="P243" s="28"/>
      <c r="Q243" s="110">
        <f t="shared" si="10"/>
        <v>80000</v>
      </c>
      <c r="R243" s="28"/>
      <c r="S243" s="47" t="s">
        <v>139</v>
      </c>
    </row>
    <row r="244" spans="1:19" ht="21" x14ac:dyDescent="0.3">
      <c r="A244" s="106" t="s">
        <v>14</v>
      </c>
      <c r="B244" s="189" t="s">
        <v>978</v>
      </c>
      <c r="C244" s="107" t="s">
        <v>625</v>
      </c>
      <c r="D244" s="71" t="s">
        <v>626</v>
      </c>
      <c r="E244" s="71" t="s">
        <v>50</v>
      </c>
      <c r="F244" s="71" t="s">
        <v>51</v>
      </c>
      <c r="G244" s="71" t="s">
        <v>638</v>
      </c>
      <c r="H244" s="108">
        <v>4000</v>
      </c>
      <c r="I244" s="24"/>
      <c r="J244" s="25"/>
      <c r="K244" s="26"/>
      <c r="L244" s="109">
        <v>4000</v>
      </c>
      <c r="M244" s="26"/>
      <c r="N244" s="25"/>
      <c r="O244" s="28"/>
      <c r="P244" s="28"/>
      <c r="Q244" s="110">
        <f t="shared" si="10"/>
        <v>4000</v>
      </c>
      <c r="R244" s="28"/>
      <c r="S244" s="47" t="s">
        <v>139</v>
      </c>
    </row>
    <row r="245" spans="1:19" ht="21" x14ac:dyDescent="0.3">
      <c r="A245" s="106" t="s">
        <v>14</v>
      </c>
      <c r="B245" s="189" t="s">
        <v>978</v>
      </c>
      <c r="C245" s="107" t="s">
        <v>625</v>
      </c>
      <c r="D245" s="71" t="s">
        <v>626</v>
      </c>
      <c r="E245" s="71" t="s">
        <v>552</v>
      </c>
      <c r="F245" s="71" t="s">
        <v>553</v>
      </c>
      <c r="G245" s="71" t="s">
        <v>639</v>
      </c>
      <c r="H245" s="108">
        <v>5000</v>
      </c>
      <c r="I245" s="24"/>
      <c r="J245" s="25"/>
      <c r="K245" s="26"/>
      <c r="L245" s="109">
        <v>5000</v>
      </c>
      <c r="M245" s="26"/>
      <c r="N245" s="25"/>
      <c r="O245" s="28"/>
      <c r="P245" s="28"/>
      <c r="Q245" s="110">
        <f t="shared" si="10"/>
        <v>5000</v>
      </c>
      <c r="R245" s="28"/>
      <c r="S245" s="47" t="s">
        <v>139</v>
      </c>
    </row>
    <row r="246" spans="1:19" ht="21" x14ac:dyDescent="0.3">
      <c r="A246" s="106" t="s">
        <v>14</v>
      </c>
      <c r="B246" s="189" t="s">
        <v>978</v>
      </c>
      <c r="C246" s="107" t="s">
        <v>640</v>
      </c>
      <c r="D246" s="71" t="s">
        <v>641</v>
      </c>
      <c r="E246" s="71" t="s">
        <v>254</v>
      </c>
      <c r="F246" s="71" t="s">
        <v>255</v>
      </c>
      <c r="G246" s="71" t="s">
        <v>642</v>
      </c>
      <c r="H246" s="108">
        <v>1000</v>
      </c>
      <c r="I246" s="24"/>
      <c r="J246" s="25"/>
      <c r="K246" s="26"/>
      <c r="L246" s="109">
        <v>1000</v>
      </c>
      <c r="M246" s="26"/>
      <c r="N246" s="25"/>
      <c r="O246" s="28"/>
      <c r="P246" s="28"/>
      <c r="Q246" s="110">
        <f t="shared" si="10"/>
        <v>1000</v>
      </c>
      <c r="R246" s="28"/>
      <c r="S246" s="47" t="s">
        <v>139</v>
      </c>
    </row>
    <row r="247" spans="1:19" ht="21" x14ac:dyDescent="0.3">
      <c r="A247" s="106" t="s">
        <v>14</v>
      </c>
      <c r="B247" s="189" t="s">
        <v>978</v>
      </c>
      <c r="C247" s="107" t="s">
        <v>640</v>
      </c>
      <c r="D247" s="71" t="s">
        <v>641</v>
      </c>
      <c r="E247" s="71" t="s">
        <v>106</v>
      </c>
      <c r="F247" s="71" t="s">
        <v>107</v>
      </c>
      <c r="G247" s="71" t="s">
        <v>643</v>
      </c>
      <c r="H247" s="108">
        <v>4000</v>
      </c>
      <c r="I247" s="24"/>
      <c r="J247" s="25"/>
      <c r="K247" s="26"/>
      <c r="L247" s="109">
        <v>4000</v>
      </c>
      <c r="M247" s="26"/>
      <c r="N247" s="25"/>
      <c r="O247" s="28"/>
      <c r="P247" s="28"/>
      <c r="Q247" s="110">
        <f t="shared" si="10"/>
        <v>4000</v>
      </c>
      <c r="R247" s="28"/>
      <c r="S247" s="47" t="s">
        <v>139</v>
      </c>
    </row>
    <row r="248" spans="1:19" ht="21" x14ac:dyDescent="0.3">
      <c r="A248" s="106" t="s">
        <v>14</v>
      </c>
      <c r="B248" s="189" t="s">
        <v>978</v>
      </c>
      <c r="C248" s="107" t="s">
        <v>640</v>
      </c>
      <c r="D248" s="71" t="s">
        <v>641</v>
      </c>
      <c r="E248" s="71" t="s">
        <v>407</v>
      </c>
      <c r="F248" s="71" t="s">
        <v>408</v>
      </c>
      <c r="G248" s="71" t="s">
        <v>644</v>
      </c>
      <c r="H248" s="108">
        <v>20000</v>
      </c>
      <c r="I248" s="112">
        <v>1496.04</v>
      </c>
      <c r="J248" s="25"/>
      <c r="K248" s="26"/>
      <c r="L248" s="109">
        <v>18503.96</v>
      </c>
      <c r="M248" s="26"/>
      <c r="N248" s="25"/>
      <c r="O248" s="28"/>
      <c r="P248" s="28"/>
      <c r="Q248" s="110">
        <f t="shared" si="10"/>
        <v>18503.96</v>
      </c>
      <c r="R248" s="28"/>
      <c r="S248" s="47" t="s">
        <v>139</v>
      </c>
    </row>
    <row r="249" spans="1:19" ht="21" x14ac:dyDescent="0.3">
      <c r="A249" s="106" t="s">
        <v>14</v>
      </c>
      <c r="B249" s="189" t="s">
        <v>978</v>
      </c>
      <c r="C249" s="107" t="s">
        <v>640</v>
      </c>
      <c r="D249" s="71" t="s">
        <v>641</v>
      </c>
      <c r="E249" s="71" t="s">
        <v>114</v>
      </c>
      <c r="F249" s="71" t="s">
        <v>115</v>
      </c>
      <c r="G249" s="71" t="s">
        <v>645</v>
      </c>
      <c r="H249" s="108">
        <v>180000</v>
      </c>
      <c r="I249" s="112">
        <v>40000</v>
      </c>
      <c r="J249" s="25"/>
      <c r="K249" s="26"/>
      <c r="L249" s="109">
        <v>140000</v>
      </c>
      <c r="M249" s="26"/>
      <c r="N249" s="25"/>
      <c r="O249" s="28"/>
      <c r="P249" s="28"/>
      <c r="Q249" s="110">
        <f t="shared" si="10"/>
        <v>140000</v>
      </c>
      <c r="R249" s="28"/>
      <c r="S249" s="47" t="s">
        <v>139</v>
      </c>
    </row>
    <row r="250" spans="1:19" ht="21" x14ac:dyDescent="0.3">
      <c r="A250" s="106" t="s">
        <v>14</v>
      </c>
      <c r="B250" s="189" t="s">
        <v>978</v>
      </c>
      <c r="C250" s="107" t="s">
        <v>640</v>
      </c>
      <c r="D250" s="71" t="s">
        <v>641</v>
      </c>
      <c r="E250" s="71" t="s">
        <v>441</v>
      </c>
      <c r="F250" s="71" t="s">
        <v>442</v>
      </c>
      <c r="G250" s="71" t="s">
        <v>646</v>
      </c>
      <c r="H250" s="108">
        <v>180000</v>
      </c>
      <c r="I250" s="24"/>
      <c r="J250" s="25"/>
      <c r="K250" s="26"/>
      <c r="L250" s="109">
        <v>180000</v>
      </c>
      <c r="M250" s="26"/>
      <c r="N250" s="25"/>
      <c r="O250" s="28"/>
      <c r="P250" s="28"/>
      <c r="Q250" s="110">
        <f t="shared" si="10"/>
        <v>180000</v>
      </c>
      <c r="R250" s="28"/>
      <c r="S250" s="47" t="s">
        <v>139</v>
      </c>
    </row>
    <row r="251" spans="1:19" ht="21" x14ac:dyDescent="0.3">
      <c r="A251" s="106" t="s">
        <v>14</v>
      </c>
      <c r="B251" s="189" t="s">
        <v>978</v>
      </c>
      <c r="C251" s="107" t="s">
        <v>640</v>
      </c>
      <c r="D251" s="71" t="s">
        <v>641</v>
      </c>
      <c r="E251" s="71" t="s">
        <v>194</v>
      </c>
      <c r="F251" s="71" t="s">
        <v>195</v>
      </c>
      <c r="G251" s="71" t="s">
        <v>647</v>
      </c>
      <c r="H251" s="108">
        <v>10000</v>
      </c>
      <c r="I251" s="112">
        <v>8004</v>
      </c>
      <c r="J251" s="25"/>
      <c r="K251" s="26"/>
      <c r="L251" s="109">
        <v>1996</v>
      </c>
      <c r="M251" s="26"/>
      <c r="N251" s="25"/>
      <c r="O251" s="28"/>
      <c r="P251" s="28"/>
      <c r="Q251" s="110">
        <f t="shared" si="10"/>
        <v>1996</v>
      </c>
      <c r="R251" s="28"/>
      <c r="S251" s="47" t="s">
        <v>139</v>
      </c>
    </row>
    <row r="252" spans="1:19" ht="21" x14ac:dyDescent="0.3">
      <c r="A252" s="106" t="s">
        <v>14</v>
      </c>
      <c r="B252" s="189" t="s">
        <v>978</v>
      </c>
      <c r="C252" s="107" t="s">
        <v>640</v>
      </c>
      <c r="D252" s="71" t="s">
        <v>641</v>
      </c>
      <c r="E252" s="71" t="s">
        <v>26</v>
      </c>
      <c r="F252" s="71" t="s">
        <v>27</v>
      </c>
      <c r="G252" s="71" t="s">
        <v>648</v>
      </c>
      <c r="H252" s="108">
        <v>99576</v>
      </c>
      <c r="I252" s="112">
        <v>3526.08</v>
      </c>
      <c r="J252" s="114">
        <v>2727.2</v>
      </c>
      <c r="K252" s="26"/>
      <c r="L252" s="109">
        <v>93322.72</v>
      </c>
      <c r="M252" s="26"/>
      <c r="N252" s="25"/>
      <c r="O252" s="28"/>
      <c r="P252" s="28"/>
      <c r="Q252" s="110">
        <f>L252-M252-N252-O252</f>
        <v>93322.72</v>
      </c>
      <c r="R252" s="28"/>
      <c r="S252" s="47" t="s">
        <v>139</v>
      </c>
    </row>
    <row r="253" spans="1:19" ht="21" x14ac:dyDescent="0.3">
      <c r="A253" s="106" t="s">
        <v>14</v>
      </c>
      <c r="B253" s="189" t="s">
        <v>978</v>
      </c>
      <c r="C253" s="107" t="s">
        <v>640</v>
      </c>
      <c r="D253" s="71" t="s">
        <v>641</v>
      </c>
      <c r="E253" s="71" t="s">
        <v>35</v>
      </c>
      <c r="F253" s="71" t="s">
        <v>36</v>
      </c>
      <c r="G253" s="71" t="s">
        <v>649</v>
      </c>
      <c r="H253" s="108">
        <v>10000</v>
      </c>
      <c r="I253" s="24"/>
      <c r="J253" s="25"/>
      <c r="K253" s="26"/>
      <c r="L253" s="109">
        <v>10000</v>
      </c>
      <c r="M253" s="26"/>
      <c r="N253" s="25"/>
      <c r="O253" s="28"/>
      <c r="P253" s="28"/>
      <c r="Q253" s="110">
        <f t="shared" si="10"/>
        <v>10000</v>
      </c>
      <c r="R253" s="28"/>
      <c r="S253" s="47" t="s">
        <v>139</v>
      </c>
    </row>
    <row r="254" spans="1:19" ht="21" x14ac:dyDescent="0.3">
      <c r="A254" s="106" t="s">
        <v>14</v>
      </c>
      <c r="B254" s="189" t="s">
        <v>978</v>
      </c>
      <c r="C254" s="107" t="s">
        <v>640</v>
      </c>
      <c r="D254" s="71" t="s">
        <v>641</v>
      </c>
      <c r="E254" s="71" t="s">
        <v>222</v>
      </c>
      <c r="F254" s="71" t="s">
        <v>223</v>
      </c>
      <c r="G254" s="71" t="s">
        <v>650</v>
      </c>
      <c r="H254" s="108">
        <v>90250</v>
      </c>
      <c r="I254" s="24"/>
      <c r="J254" s="114">
        <v>0</v>
      </c>
      <c r="K254" s="108">
        <v>71500</v>
      </c>
      <c r="L254" s="109">
        <v>18750</v>
      </c>
      <c r="M254" s="26"/>
      <c r="N254" s="25"/>
      <c r="O254" s="28"/>
      <c r="P254" s="28"/>
      <c r="Q254" s="110">
        <f t="shared" si="10"/>
        <v>18750</v>
      </c>
      <c r="R254" s="28"/>
      <c r="S254" s="47" t="s">
        <v>139</v>
      </c>
    </row>
    <row r="255" spans="1:19" ht="21" x14ac:dyDescent="0.3">
      <c r="A255" s="106" t="s">
        <v>14</v>
      </c>
      <c r="B255" s="189" t="s">
        <v>978</v>
      </c>
      <c r="C255" s="107" t="s">
        <v>640</v>
      </c>
      <c r="D255" s="71" t="s">
        <v>641</v>
      </c>
      <c r="E255" s="71" t="s">
        <v>228</v>
      </c>
      <c r="F255" s="71" t="s">
        <v>229</v>
      </c>
      <c r="G255" s="71" t="s">
        <v>651</v>
      </c>
      <c r="H255" s="108">
        <v>38400</v>
      </c>
      <c r="I255" s="112">
        <v>8228.89</v>
      </c>
      <c r="J255" s="25"/>
      <c r="K255" s="26"/>
      <c r="L255" s="109">
        <v>30171.11</v>
      </c>
      <c r="M255" s="26"/>
      <c r="N255" s="25"/>
      <c r="O255" s="28"/>
      <c r="P255" s="28"/>
      <c r="Q255" s="110">
        <f t="shared" si="10"/>
        <v>30171.11</v>
      </c>
      <c r="R255" s="28"/>
      <c r="S255" s="47" t="s">
        <v>139</v>
      </c>
    </row>
    <row r="256" spans="1:19" ht="21" x14ac:dyDescent="0.3">
      <c r="A256" s="106" t="s">
        <v>14</v>
      </c>
      <c r="B256" s="189" t="s">
        <v>978</v>
      </c>
      <c r="C256" s="107" t="s">
        <v>640</v>
      </c>
      <c r="D256" s="71" t="s">
        <v>641</v>
      </c>
      <c r="E256" s="71" t="s">
        <v>230</v>
      </c>
      <c r="F256" s="71" t="s">
        <v>231</v>
      </c>
      <c r="G256" s="71" t="s">
        <v>652</v>
      </c>
      <c r="H256" s="108">
        <v>150000</v>
      </c>
      <c r="I256" s="112">
        <v>91895.2</v>
      </c>
      <c r="J256" s="114">
        <v>14970</v>
      </c>
      <c r="K256" s="108">
        <v>19627.560000000001</v>
      </c>
      <c r="L256" s="109">
        <v>23507.24</v>
      </c>
      <c r="M256" s="26"/>
      <c r="N256" s="25"/>
      <c r="O256" s="28"/>
      <c r="P256" s="28"/>
      <c r="Q256" s="110">
        <f t="shared" si="10"/>
        <v>23507.24</v>
      </c>
      <c r="R256" s="28"/>
      <c r="S256" s="47" t="s">
        <v>139</v>
      </c>
    </row>
    <row r="257" spans="1:19" ht="21" x14ac:dyDescent="0.3">
      <c r="A257" s="106" t="s">
        <v>14</v>
      </c>
      <c r="B257" s="189" t="s">
        <v>978</v>
      </c>
      <c r="C257" s="107" t="s">
        <v>640</v>
      </c>
      <c r="D257" s="71" t="s">
        <v>641</v>
      </c>
      <c r="E257" s="71" t="s">
        <v>50</v>
      </c>
      <c r="F257" s="71" t="s">
        <v>51</v>
      </c>
      <c r="G257" s="71" t="s">
        <v>653</v>
      </c>
      <c r="H257" s="108">
        <v>2000</v>
      </c>
      <c r="I257" s="24"/>
      <c r="J257" s="25"/>
      <c r="K257" s="26"/>
      <c r="L257" s="109">
        <v>2000</v>
      </c>
      <c r="M257" s="26"/>
      <c r="N257" s="25"/>
      <c r="O257" s="28"/>
      <c r="P257" s="28"/>
      <c r="Q257" s="110">
        <f t="shared" si="10"/>
        <v>2000</v>
      </c>
      <c r="R257" s="28"/>
      <c r="S257" s="47" t="s">
        <v>139</v>
      </c>
    </row>
    <row r="258" spans="1:19" ht="21" x14ac:dyDescent="0.3">
      <c r="A258" s="106" t="s">
        <v>14</v>
      </c>
      <c r="B258" s="189" t="s">
        <v>978</v>
      </c>
      <c r="C258" s="107" t="s">
        <v>640</v>
      </c>
      <c r="D258" s="71" t="s">
        <v>641</v>
      </c>
      <c r="E258" s="71" t="s">
        <v>552</v>
      </c>
      <c r="F258" s="71" t="s">
        <v>553</v>
      </c>
      <c r="G258" s="71" t="s">
        <v>654</v>
      </c>
      <c r="H258" s="108">
        <v>3000</v>
      </c>
      <c r="I258" s="24"/>
      <c r="J258" s="25"/>
      <c r="K258" s="26"/>
      <c r="L258" s="109">
        <v>3000</v>
      </c>
      <c r="M258" s="26"/>
      <c r="N258" s="25"/>
      <c r="O258" s="28"/>
      <c r="P258" s="28"/>
      <c r="Q258" s="110">
        <f t="shared" si="10"/>
        <v>3000</v>
      </c>
      <c r="R258" s="28"/>
      <c r="S258" s="47" t="s">
        <v>139</v>
      </c>
    </row>
    <row r="259" spans="1:19" ht="21" x14ac:dyDescent="0.3">
      <c r="A259" s="106" t="s">
        <v>14</v>
      </c>
      <c r="B259" s="189" t="s">
        <v>978</v>
      </c>
      <c r="C259" s="107" t="s">
        <v>655</v>
      </c>
      <c r="D259" s="71" t="s">
        <v>656</v>
      </c>
      <c r="E259" s="71" t="s">
        <v>254</v>
      </c>
      <c r="F259" s="71" t="s">
        <v>255</v>
      </c>
      <c r="G259" s="71" t="s">
        <v>657</v>
      </c>
      <c r="H259" s="108">
        <v>20000</v>
      </c>
      <c r="I259" s="24"/>
      <c r="J259" s="25"/>
      <c r="K259" s="26"/>
      <c r="L259" s="109">
        <v>20000</v>
      </c>
      <c r="M259" s="26"/>
      <c r="N259" s="25"/>
      <c r="O259" s="28"/>
      <c r="P259" s="28"/>
      <c r="Q259" s="110">
        <f t="shared" si="10"/>
        <v>20000</v>
      </c>
      <c r="R259" s="28"/>
      <c r="S259" s="47" t="s">
        <v>139</v>
      </c>
    </row>
    <row r="260" spans="1:19" ht="21" x14ac:dyDescent="0.3">
      <c r="A260" s="106" t="s">
        <v>14</v>
      </c>
      <c r="B260" s="189" t="s">
        <v>978</v>
      </c>
      <c r="C260" s="107" t="s">
        <v>655</v>
      </c>
      <c r="D260" s="71" t="s">
        <v>656</v>
      </c>
      <c r="E260" s="71" t="s">
        <v>106</v>
      </c>
      <c r="F260" s="71" t="s">
        <v>107</v>
      </c>
      <c r="G260" s="71" t="s">
        <v>658</v>
      </c>
      <c r="H260" s="108">
        <v>30000</v>
      </c>
      <c r="I260" s="24"/>
      <c r="J260" s="25"/>
      <c r="K260" s="26"/>
      <c r="L260" s="109">
        <v>30000</v>
      </c>
      <c r="M260" s="26"/>
      <c r="N260" s="25"/>
      <c r="O260" s="28"/>
      <c r="P260" s="28"/>
      <c r="Q260" s="110">
        <f t="shared" si="10"/>
        <v>30000</v>
      </c>
      <c r="R260" s="28"/>
      <c r="S260" s="47" t="s">
        <v>139</v>
      </c>
    </row>
    <row r="261" spans="1:19" ht="21" x14ac:dyDescent="0.3">
      <c r="A261" s="106" t="s">
        <v>14</v>
      </c>
      <c r="B261" s="189" t="s">
        <v>978</v>
      </c>
      <c r="C261" s="107" t="s">
        <v>655</v>
      </c>
      <c r="D261" s="71" t="s">
        <v>656</v>
      </c>
      <c r="E261" s="71" t="s">
        <v>407</v>
      </c>
      <c r="F261" s="71" t="s">
        <v>408</v>
      </c>
      <c r="G261" s="71" t="s">
        <v>659</v>
      </c>
      <c r="H261" s="108">
        <v>25000</v>
      </c>
      <c r="I261" s="24"/>
      <c r="J261" s="25"/>
      <c r="K261" s="26"/>
      <c r="L261" s="109">
        <v>25000</v>
      </c>
      <c r="M261" s="26"/>
      <c r="N261" s="25"/>
      <c r="O261" s="28"/>
      <c r="P261" s="28"/>
      <c r="Q261" s="110">
        <f t="shared" si="10"/>
        <v>25000</v>
      </c>
      <c r="R261" s="28"/>
      <c r="S261" s="47" t="s">
        <v>139</v>
      </c>
    </row>
    <row r="262" spans="1:19" ht="21" x14ac:dyDescent="0.3">
      <c r="A262" s="106" t="s">
        <v>14</v>
      </c>
      <c r="B262" s="189" t="s">
        <v>978</v>
      </c>
      <c r="C262" s="107" t="s">
        <v>655</v>
      </c>
      <c r="D262" s="71" t="s">
        <v>656</v>
      </c>
      <c r="E262" s="71" t="s">
        <v>114</v>
      </c>
      <c r="F262" s="71" t="s">
        <v>115</v>
      </c>
      <c r="G262" s="71" t="s">
        <v>660</v>
      </c>
      <c r="H262" s="108">
        <v>100000</v>
      </c>
      <c r="I262" s="112">
        <v>65000</v>
      </c>
      <c r="J262" s="25"/>
      <c r="K262" s="26"/>
      <c r="L262" s="109">
        <v>35000</v>
      </c>
      <c r="M262" s="26"/>
      <c r="N262" s="25"/>
      <c r="O262" s="28"/>
      <c r="P262" s="28"/>
      <c r="Q262" s="110">
        <f t="shared" si="10"/>
        <v>35000</v>
      </c>
      <c r="R262" s="28"/>
      <c r="S262" s="47" t="s">
        <v>139</v>
      </c>
    </row>
    <row r="263" spans="1:19" ht="21" x14ac:dyDescent="0.3">
      <c r="A263" s="106" t="s">
        <v>14</v>
      </c>
      <c r="B263" s="189" t="s">
        <v>978</v>
      </c>
      <c r="C263" s="107" t="s">
        <v>655</v>
      </c>
      <c r="D263" s="71" t="s">
        <v>656</v>
      </c>
      <c r="E263" s="71" t="s">
        <v>441</v>
      </c>
      <c r="F263" s="71" t="s">
        <v>442</v>
      </c>
      <c r="G263" s="71" t="s">
        <v>661</v>
      </c>
      <c r="H263" s="108">
        <v>450000</v>
      </c>
      <c r="I263" s="24"/>
      <c r="J263" s="25"/>
      <c r="K263" s="26"/>
      <c r="L263" s="109">
        <v>450000</v>
      </c>
      <c r="M263" s="26"/>
      <c r="N263" s="25"/>
      <c r="O263" s="28"/>
      <c r="P263" s="28"/>
      <c r="Q263" s="110">
        <f t="shared" si="10"/>
        <v>450000</v>
      </c>
      <c r="R263" s="28"/>
      <c r="S263" s="47" t="s">
        <v>139</v>
      </c>
    </row>
    <row r="264" spans="1:19" ht="21" x14ac:dyDescent="0.3">
      <c r="A264" s="106" t="s">
        <v>14</v>
      </c>
      <c r="B264" s="189" t="s">
        <v>978</v>
      </c>
      <c r="C264" s="107" t="s">
        <v>655</v>
      </c>
      <c r="D264" s="71" t="s">
        <v>656</v>
      </c>
      <c r="E264" s="71" t="s">
        <v>194</v>
      </c>
      <c r="F264" s="71" t="s">
        <v>195</v>
      </c>
      <c r="G264" s="71" t="s">
        <v>662</v>
      </c>
      <c r="H264" s="108">
        <v>20000</v>
      </c>
      <c r="I264" s="24"/>
      <c r="J264" s="25"/>
      <c r="K264" s="26"/>
      <c r="L264" s="109">
        <v>20000</v>
      </c>
      <c r="M264" s="26"/>
      <c r="N264" s="25"/>
      <c r="O264" s="28"/>
      <c r="P264" s="28"/>
      <c r="Q264" s="110">
        <f t="shared" si="10"/>
        <v>20000</v>
      </c>
      <c r="R264" s="28"/>
      <c r="S264" s="47" t="s">
        <v>139</v>
      </c>
    </row>
    <row r="265" spans="1:19" ht="21" x14ac:dyDescent="0.3">
      <c r="A265" s="106" t="s">
        <v>14</v>
      </c>
      <c r="B265" s="189" t="s">
        <v>978</v>
      </c>
      <c r="C265" s="107" t="s">
        <v>655</v>
      </c>
      <c r="D265" s="71" t="s">
        <v>656</v>
      </c>
      <c r="E265" s="71" t="s">
        <v>26</v>
      </c>
      <c r="F265" s="71" t="s">
        <v>27</v>
      </c>
      <c r="G265" s="71" t="s">
        <v>663</v>
      </c>
      <c r="H265" s="108">
        <v>75000</v>
      </c>
      <c r="I265" s="24"/>
      <c r="J265" s="114">
        <v>36730</v>
      </c>
      <c r="K265" s="108">
        <v>17736.919999999998</v>
      </c>
      <c r="L265" s="109">
        <v>20533.080000000002</v>
      </c>
      <c r="M265" s="26"/>
      <c r="N265" s="25"/>
      <c r="O265" s="28"/>
      <c r="P265" s="28"/>
      <c r="Q265" s="110">
        <f t="shared" si="10"/>
        <v>20533.080000000002</v>
      </c>
      <c r="R265" s="28"/>
      <c r="S265" s="47" t="s">
        <v>139</v>
      </c>
    </row>
    <row r="266" spans="1:19" ht="21" x14ac:dyDescent="0.3">
      <c r="A266" s="106" t="s">
        <v>14</v>
      </c>
      <c r="B266" s="189" t="s">
        <v>978</v>
      </c>
      <c r="C266" s="107" t="s">
        <v>655</v>
      </c>
      <c r="D266" s="71" t="s">
        <v>656</v>
      </c>
      <c r="E266" s="71" t="s">
        <v>35</v>
      </c>
      <c r="F266" s="71" t="s">
        <v>36</v>
      </c>
      <c r="G266" s="71" t="s">
        <v>664</v>
      </c>
      <c r="H266" s="108">
        <v>35000</v>
      </c>
      <c r="I266" s="24"/>
      <c r="J266" s="25"/>
      <c r="K266" s="26"/>
      <c r="L266" s="109">
        <v>35000</v>
      </c>
      <c r="M266" s="26"/>
      <c r="N266" s="25"/>
      <c r="O266" s="28"/>
      <c r="P266" s="28"/>
      <c r="Q266" s="110">
        <f t="shared" si="10"/>
        <v>35000</v>
      </c>
      <c r="R266" s="28"/>
      <c r="S266" s="47" t="s">
        <v>139</v>
      </c>
    </row>
    <row r="267" spans="1:19" ht="21" x14ac:dyDescent="0.3">
      <c r="A267" s="106" t="s">
        <v>14</v>
      </c>
      <c r="B267" s="189" t="s">
        <v>978</v>
      </c>
      <c r="C267" s="107" t="s">
        <v>655</v>
      </c>
      <c r="D267" s="71" t="s">
        <v>656</v>
      </c>
      <c r="E267" s="71" t="s">
        <v>228</v>
      </c>
      <c r="F267" s="71" t="s">
        <v>229</v>
      </c>
      <c r="G267" s="71" t="s">
        <v>665</v>
      </c>
      <c r="H267" s="108">
        <v>50000</v>
      </c>
      <c r="I267" s="112">
        <v>4724.72</v>
      </c>
      <c r="J267" s="25"/>
      <c r="K267" s="26"/>
      <c r="L267" s="109">
        <v>45275.28</v>
      </c>
      <c r="M267" s="26"/>
      <c r="N267" s="25"/>
      <c r="O267" s="28"/>
      <c r="P267" s="28"/>
      <c r="Q267" s="110">
        <f t="shared" si="10"/>
        <v>45275.28</v>
      </c>
      <c r="R267" s="28"/>
      <c r="S267" s="47" t="s">
        <v>139</v>
      </c>
    </row>
    <row r="268" spans="1:19" ht="21" x14ac:dyDescent="0.3">
      <c r="A268" s="106" t="s">
        <v>14</v>
      </c>
      <c r="B268" s="189" t="s">
        <v>978</v>
      </c>
      <c r="C268" s="107" t="s">
        <v>655</v>
      </c>
      <c r="D268" s="71" t="s">
        <v>656</v>
      </c>
      <c r="E268" s="71" t="s">
        <v>230</v>
      </c>
      <c r="F268" s="71" t="s">
        <v>231</v>
      </c>
      <c r="G268" s="71" t="s">
        <v>666</v>
      </c>
      <c r="H268" s="108">
        <v>200000</v>
      </c>
      <c r="I268" s="24"/>
      <c r="J268" s="25"/>
      <c r="K268" s="26"/>
      <c r="L268" s="109">
        <v>200000</v>
      </c>
      <c r="M268" s="26"/>
      <c r="N268" s="25"/>
      <c r="O268" s="28"/>
      <c r="P268" s="28"/>
      <c r="Q268" s="110">
        <f t="shared" si="10"/>
        <v>200000</v>
      </c>
      <c r="R268" s="28"/>
      <c r="S268" s="47" t="s">
        <v>139</v>
      </c>
    </row>
    <row r="269" spans="1:19" ht="21" x14ac:dyDescent="0.3">
      <c r="A269" s="106" t="s">
        <v>14</v>
      </c>
      <c r="B269" s="189" t="s">
        <v>978</v>
      </c>
      <c r="C269" s="107" t="s">
        <v>655</v>
      </c>
      <c r="D269" s="71" t="s">
        <v>656</v>
      </c>
      <c r="E269" s="71" t="s">
        <v>50</v>
      </c>
      <c r="F269" s="71" t="s">
        <v>51</v>
      </c>
      <c r="G269" s="71" t="s">
        <v>667</v>
      </c>
      <c r="H269" s="108">
        <v>35000</v>
      </c>
      <c r="I269" s="24"/>
      <c r="J269" s="25"/>
      <c r="K269" s="26"/>
      <c r="L269" s="109">
        <v>35000</v>
      </c>
      <c r="M269" s="26"/>
      <c r="N269" s="25"/>
      <c r="O269" s="28"/>
      <c r="P269" s="28"/>
      <c r="Q269" s="110">
        <f t="shared" si="10"/>
        <v>35000</v>
      </c>
      <c r="R269" s="28"/>
      <c r="S269" s="47" t="s">
        <v>139</v>
      </c>
    </row>
    <row r="270" spans="1:19" ht="21" x14ac:dyDescent="0.3">
      <c r="A270" s="106" t="s">
        <v>14</v>
      </c>
      <c r="B270" s="189" t="s">
        <v>978</v>
      </c>
      <c r="C270" s="107" t="s">
        <v>655</v>
      </c>
      <c r="D270" s="71" t="s">
        <v>656</v>
      </c>
      <c r="E270" s="71" t="s">
        <v>552</v>
      </c>
      <c r="F270" s="71" t="s">
        <v>553</v>
      </c>
      <c r="G270" s="71" t="s">
        <v>668</v>
      </c>
      <c r="H270" s="108">
        <v>45000</v>
      </c>
      <c r="I270" s="112">
        <v>12485</v>
      </c>
      <c r="J270" s="25"/>
      <c r="K270" s="26"/>
      <c r="L270" s="109">
        <v>32515</v>
      </c>
      <c r="M270" s="26"/>
      <c r="N270" s="25"/>
      <c r="O270" s="28"/>
      <c r="P270" s="28"/>
      <c r="Q270" s="110">
        <f t="shared" si="10"/>
        <v>32515</v>
      </c>
      <c r="R270" s="28"/>
      <c r="S270" s="47" t="s">
        <v>139</v>
      </c>
    </row>
    <row r="271" spans="1:19" x14ac:dyDescent="0.3">
      <c r="A271" s="106" t="s">
        <v>14</v>
      </c>
      <c r="B271" s="189" t="s">
        <v>978</v>
      </c>
      <c r="C271" s="107" t="s">
        <v>669</v>
      </c>
      <c r="D271" s="71" t="s">
        <v>670</v>
      </c>
      <c r="E271" s="71" t="s">
        <v>254</v>
      </c>
      <c r="F271" s="71" t="s">
        <v>255</v>
      </c>
      <c r="G271" s="71" t="s">
        <v>671</v>
      </c>
      <c r="H271" s="108">
        <v>4000</v>
      </c>
      <c r="I271" s="24"/>
      <c r="J271" s="25"/>
      <c r="K271" s="26"/>
      <c r="L271" s="109">
        <v>4000</v>
      </c>
      <c r="M271" s="26"/>
      <c r="N271" s="25"/>
      <c r="O271" s="28"/>
      <c r="P271" s="28"/>
      <c r="Q271" s="110">
        <f t="shared" si="10"/>
        <v>4000</v>
      </c>
      <c r="R271" s="28"/>
      <c r="S271" s="47" t="s">
        <v>139</v>
      </c>
    </row>
    <row r="272" spans="1:19" ht="21" x14ac:dyDescent="0.3">
      <c r="A272" s="106" t="s">
        <v>14</v>
      </c>
      <c r="B272" s="189" t="s">
        <v>978</v>
      </c>
      <c r="C272" s="107" t="s">
        <v>669</v>
      </c>
      <c r="D272" s="71" t="s">
        <v>670</v>
      </c>
      <c r="E272" s="71" t="s">
        <v>106</v>
      </c>
      <c r="F272" s="71" t="s">
        <v>107</v>
      </c>
      <c r="G272" s="71" t="s">
        <v>672</v>
      </c>
      <c r="H272" s="108">
        <v>6600</v>
      </c>
      <c r="I272" s="24"/>
      <c r="J272" s="25"/>
      <c r="K272" s="26"/>
      <c r="L272" s="109">
        <v>6600</v>
      </c>
      <c r="M272" s="26"/>
      <c r="N272" s="25"/>
      <c r="O272" s="28"/>
      <c r="P272" s="28"/>
      <c r="Q272" s="110">
        <f t="shared" si="10"/>
        <v>6600</v>
      </c>
      <c r="R272" s="28"/>
      <c r="S272" s="47" t="s">
        <v>139</v>
      </c>
    </row>
    <row r="273" spans="1:19" x14ac:dyDescent="0.3">
      <c r="A273" s="106" t="s">
        <v>14</v>
      </c>
      <c r="B273" s="189" t="s">
        <v>978</v>
      </c>
      <c r="C273" s="107" t="s">
        <v>669</v>
      </c>
      <c r="D273" s="71" t="s">
        <v>670</v>
      </c>
      <c r="E273" s="71" t="s">
        <v>407</v>
      </c>
      <c r="F273" s="71" t="s">
        <v>408</v>
      </c>
      <c r="G273" s="71" t="s">
        <v>673</v>
      </c>
      <c r="H273" s="108">
        <v>5000</v>
      </c>
      <c r="I273" s="24"/>
      <c r="J273" s="25"/>
      <c r="K273" s="26"/>
      <c r="L273" s="109">
        <v>5000</v>
      </c>
      <c r="M273" s="26"/>
      <c r="N273" s="25"/>
      <c r="O273" s="28"/>
      <c r="P273" s="28"/>
      <c r="Q273" s="110">
        <f t="shared" si="10"/>
        <v>5000</v>
      </c>
      <c r="R273" s="28"/>
      <c r="S273" s="47" t="s">
        <v>139</v>
      </c>
    </row>
    <row r="274" spans="1:19" x14ac:dyDescent="0.3">
      <c r="A274" s="106" t="s">
        <v>14</v>
      </c>
      <c r="B274" s="189" t="s">
        <v>978</v>
      </c>
      <c r="C274" s="107" t="s">
        <v>669</v>
      </c>
      <c r="D274" s="71" t="s">
        <v>670</v>
      </c>
      <c r="E274" s="71" t="s">
        <v>114</v>
      </c>
      <c r="F274" s="71" t="s">
        <v>115</v>
      </c>
      <c r="G274" s="71" t="s">
        <v>674</v>
      </c>
      <c r="H274" s="108">
        <v>370000</v>
      </c>
      <c r="I274" s="112">
        <v>126866.64</v>
      </c>
      <c r="J274" s="25"/>
      <c r="K274" s="26"/>
      <c r="L274" s="109">
        <v>243133.36</v>
      </c>
      <c r="M274" s="26"/>
      <c r="N274" s="25"/>
      <c r="O274" s="28"/>
      <c r="P274" s="28"/>
      <c r="Q274" s="110">
        <f t="shared" si="10"/>
        <v>243133.36</v>
      </c>
      <c r="R274" s="28"/>
      <c r="S274" s="47" t="s">
        <v>139</v>
      </c>
    </row>
    <row r="275" spans="1:19" x14ac:dyDescent="0.3">
      <c r="A275" s="106" t="s">
        <v>14</v>
      </c>
      <c r="B275" s="189" t="s">
        <v>978</v>
      </c>
      <c r="C275" s="107" t="s">
        <v>669</v>
      </c>
      <c r="D275" s="71" t="s">
        <v>670</v>
      </c>
      <c r="E275" s="71" t="s">
        <v>441</v>
      </c>
      <c r="F275" s="71" t="s">
        <v>442</v>
      </c>
      <c r="G275" s="71" t="s">
        <v>675</v>
      </c>
      <c r="H275" s="108">
        <v>165000</v>
      </c>
      <c r="I275" s="112">
        <v>11251</v>
      </c>
      <c r="J275" s="25"/>
      <c r="K275" s="26"/>
      <c r="L275" s="109">
        <v>153749</v>
      </c>
      <c r="M275" s="26"/>
      <c r="N275" s="25"/>
      <c r="O275" s="28"/>
      <c r="P275" s="28"/>
      <c r="Q275" s="110">
        <f t="shared" si="10"/>
        <v>153749</v>
      </c>
      <c r="R275" s="28"/>
      <c r="S275" s="47" t="s">
        <v>139</v>
      </c>
    </row>
    <row r="276" spans="1:19" ht="21" x14ac:dyDescent="0.3">
      <c r="A276" s="106" t="s">
        <v>14</v>
      </c>
      <c r="B276" s="189" t="s">
        <v>978</v>
      </c>
      <c r="C276" s="107" t="s">
        <v>669</v>
      </c>
      <c r="D276" s="71" t="s">
        <v>670</v>
      </c>
      <c r="E276" s="71" t="s">
        <v>26</v>
      </c>
      <c r="F276" s="71" t="s">
        <v>27</v>
      </c>
      <c r="G276" s="71" t="s">
        <v>676</v>
      </c>
      <c r="H276" s="108">
        <v>34910</v>
      </c>
      <c r="I276" s="24"/>
      <c r="J276" s="114">
        <v>11753.6</v>
      </c>
      <c r="K276" s="26"/>
      <c r="L276" s="109">
        <v>23156.400000000001</v>
      </c>
      <c r="M276" s="26"/>
      <c r="N276" s="25"/>
      <c r="O276" s="28"/>
      <c r="P276" s="28"/>
      <c r="Q276" s="110">
        <f t="shared" si="10"/>
        <v>23156.400000000001</v>
      </c>
      <c r="R276" s="28"/>
      <c r="S276" s="47" t="s">
        <v>139</v>
      </c>
    </row>
    <row r="277" spans="1:19" x14ac:dyDescent="0.3">
      <c r="A277" s="106" t="s">
        <v>14</v>
      </c>
      <c r="B277" s="189" t="s">
        <v>978</v>
      </c>
      <c r="C277" s="107" t="s">
        <v>669</v>
      </c>
      <c r="D277" s="71" t="s">
        <v>670</v>
      </c>
      <c r="E277" s="71" t="s">
        <v>35</v>
      </c>
      <c r="F277" s="71" t="s">
        <v>36</v>
      </c>
      <c r="G277" s="71" t="s">
        <v>677</v>
      </c>
      <c r="H277" s="108">
        <v>0</v>
      </c>
      <c r="I277" s="24"/>
      <c r="J277" s="25"/>
      <c r="K277" s="26"/>
      <c r="L277" s="109">
        <v>0</v>
      </c>
      <c r="M277" s="26"/>
      <c r="N277" s="25"/>
      <c r="O277" s="28"/>
      <c r="P277" s="28"/>
      <c r="Q277" s="110">
        <f t="shared" si="10"/>
        <v>0</v>
      </c>
      <c r="R277" s="28"/>
      <c r="S277" s="47" t="s">
        <v>139</v>
      </c>
    </row>
    <row r="278" spans="1:19" x14ac:dyDescent="0.3">
      <c r="A278" s="106" t="s">
        <v>14</v>
      </c>
      <c r="B278" s="189" t="s">
        <v>978</v>
      </c>
      <c r="C278" s="107" t="s">
        <v>669</v>
      </c>
      <c r="D278" s="71" t="s">
        <v>670</v>
      </c>
      <c r="E278" s="71" t="s">
        <v>222</v>
      </c>
      <c r="F278" s="71" t="s">
        <v>223</v>
      </c>
      <c r="G278" s="71" t="s">
        <v>678</v>
      </c>
      <c r="H278" s="108">
        <v>201550</v>
      </c>
      <c r="I278" s="112">
        <v>4500</v>
      </c>
      <c r="J278" s="114">
        <v>7583.0999999999904</v>
      </c>
      <c r="K278" s="108">
        <v>161950</v>
      </c>
      <c r="L278" s="109">
        <v>27516.9</v>
      </c>
      <c r="M278" s="26"/>
      <c r="N278" s="25"/>
      <c r="O278" s="28"/>
      <c r="P278" s="28"/>
      <c r="Q278" s="110">
        <f t="shared" si="10"/>
        <v>27516.9</v>
      </c>
      <c r="R278" s="28"/>
      <c r="S278" s="47" t="s">
        <v>139</v>
      </c>
    </row>
    <row r="279" spans="1:19" x14ac:dyDescent="0.3">
      <c r="A279" s="106" t="s">
        <v>14</v>
      </c>
      <c r="B279" s="189" t="s">
        <v>978</v>
      </c>
      <c r="C279" s="107" t="s">
        <v>669</v>
      </c>
      <c r="D279" s="71" t="s">
        <v>670</v>
      </c>
      <c r="E279" s="71" t="s">
        <v>228</v>
      </c>
      <c r="F279" s="71" t="s">
        <v>229</v>
      </c>
      <c r="G279" s="71" t="s">
        <v>679</v>
      </c>
      <c r="H279" s="108">
        <v>80000</v>
      </c>
      <c r="I279" s="24"/>
      <c r="J279" s="25"/>
      <c r="K279" s="26"/>
      <c r="L279" s="109">
        <v>80000</v>
      </c>
      <c r="M279" s="26"/>
      <c r="N279" s="25"/>
      <c r="O279" s="28"/>
      <c r="P279" s="28"/>
      <c r="Q279" s="110">
        <f t="shared" si="10"/>
        <v>80000</v>
      </c>
      <c r="R279" s="28"/>
      <c r="S279" s="47" t="s">
        <v>139</v>
      </c>
    </row>
    <row r="280" spans="1:19" x14ac:dyDescent="0.3">
      <c r="A280" s="106" t="s">
        <v>14</v>
      </c>
      <c r="B280" s="189" t="s">
        <v>978</v>
      </c>
      <c r="C280" s="107" t="s">
        <v>669</v>
      </c>
      <c r="D280" s="71" t="s">
        <v>670</v>
      </c>
      <c r="E280" s="71" t="s">
        <v>230</v>
      </c>
      <c r="F280" s="71" t="s">
        <v>231</v>
      </c>
      <c r="G280" s="71" t="s">
        <v>680</v>
      </c>
      <c r="H280" s="108">
        <v>92573</v>
      </c>
      <c r="I280" s="24"/>
      <c r="J280" s="114">
        <v>0</v>
      </c>
      <c r="K280" s="108">
        <v>250.48</v>
      </c>
      <c r="L280" s="109">
        <v>92322.52</v>
      </c>
      <c r="M280" s="26"/>
      <c r="N280" s="25"/>
      <c r="O280" s="28"/>
      <c r="P280" s="28"/>
      <c r="Q280" s="110">
        <f t="shared" si="10"/>
        <v>92322.52</v>
      </c>
      <c r="R280" s="28"/>
      <c r="S280" s="47" t="s">
        <v>139</v>
      </c>
    </row>
    <row r="281" spans="1:19" ht="21" x14ac:dyDescent="0.3">
      <c r="A281" s="106" t="s">
        <v>14</v>
      </c>
      <c r="B281" s="189" t="s">
        <v>978</v>
      </c>
      <c r="C281" s="107" t="s">
        <v>681</v>
      </c>
      <c r="D281" s="71" t="s">
        <v>682</v>
      </c>
      <c r="E281" s="71" t="s">
        <v>254</v>
      </c>
      <c r="F281" s="71" t="s">
        <v>255</v>
      </c>
      <c r="G281" s="71" t="s">
        <v>683</v>
      </c>
      <c r="H281" s="108">
        <v>3000</v>
      </c>
      <c r="I281" s="24"/>
      <c r="J281" s="25"/>
      <c r="K281" s="26"/>
      <c r="L281" s="109">
        <v>3000</v>
      </c>
      <c r="M281" s="26"/>
      <c r="N281" s="25"/>
      <c r="O281" s="28"/>
      <c r="P281" s="28"/>
      <c r="Q281" s="110">
        <f t="shared" si="10"/>
        <v>3000</v>
      </c>
      <c r="R281" s="28"/>
      <c r="S281" s="47" t="s">
        <v>139</v>
      </c>
    </row>
    <row r="282" spans="1:19" ht="21" x14ac:dyDescent="0.3">
      <c r="A282" s="106" t="s">
        <v>14</v>
      </c>
      <c r="B282" s="189" t="s">
        <v>978</v>
      </c>
      <c r="C282" s="107" t="s">
        <v>681</v>
      </c>
      <c r="D282" s="71" t="s">
        <v>682</v>
      </c>
      <c r="E282" s="71" t="s">
        <v>106</v>
      </c>
      <c r="F282" s="71" t="s">
        <v>107</v>
      </c>
      <c r="G282" s="71" t="s">
        <v>684</v>
      </c>
      <c r="H282" s="108">
        <v>42000</v>
      </c>
      <c r="I282" s="112">
        <v>4400</v>
      </c>
      <c r="J282" s="25"/>
      <c r="K282" s="26"/>
      <c r="L282" s="109">
        <v>37600</v>
      </c>
      <c r="M282" s="26"/>
      <c r="N282" s="25"/>
      <c r="O282" s="28"/>
      <c r="P282" s="28"/>
      <c r="Q282" s="110">
        <f t="shared" si="10"/>
        <v>37600</v>
      </c>
      <c r="R282" s="28"/>
      <c r="S282" s="47" t="s">
        <v>139</v>
      </c>
    </row>
    <row r="283" spans="1:19" ht="21" x14ac:dyDescent="0.3">
      <c r="A283" s="106" t="s">
        <v>14</v>
      </c>
      <c r="B283" s="189" t="s">
        <v>978</v>
      </c>
      <c r="C283" s="107" t="s">
        <v>681</v>
      </c>
      <c r="D283" s="71" t="s">
        <v>682</v>
      </c>
      <c r="E283" s="71" t="s">
        <v>407</v>
      </c>
      <c r="F283" s="71" t="s">
        <v>408</v>
      </c>
      <c r="G283" s="71" t="s">
        <v>685</v>
      </c>
      <c r="H283" s="108">
        <v>72000</v>
      </c>
      <c r="I283" s="24"/>
      <c r="J283" s="25"/>
      <c r="K283" s="26"/>
      <c r="L283" s="109">
        <v>72000</v>
      </c>
      <c r="M283" s="26"/>
      <c r="N283" s="25"/>
      <c r="O283" s="28"/>
      <c r="P283" s="28"/>
      <c r="Q283" s="110">
        <f t="shared" si="10"/>
        <v>72000</v>
      </c>
      <c r="R283" s="28"/>
      <c r="S283" s="47" t="s">
        <v>139</v>
      </c>
    </row>
    <row r="284" spans="1:19" ht="21" x14ac:dyDescent="0.3">
      <c r="A284" s="106" t="s">
        <v>14</v>
      </c>
      <c r="B284" s="189" t="s">
        <v>978</v>
      </c>
      <c r="C284" s="107" t="s">
        <v>681</v>
      </c>
      <c r="D284" s="71" t="s">
        <v>682</v>
      </c>
      <c r="E284" s="71" t="s">
        <v>114</v>
      </c>
      <c r="F284" s="71" t="s">
        <v>115</v>
      </c>
      <c r="G284" s="71" t="s">
        <v>686</v>
      </c>
      <c r="H284" s="108">
        <v>405000</v>
      </c>
      <c r="I284" s="112">
        <v>50000</v>
      </c>
      <c r="J284" s="25"/>
      <c r="K284" s="26"/>
      <c r="L284" s="109">
        <v>355000</v>
      </c>
      <c r="M284" s="26"/>
      <c r="N284" s="25"/>
      <c r="O284" s="28"/>
      <c r="P284" s="28"/>
      <c r="Q284" s="110">
        <f t="shared" ref="Q284:Q338" si="11">L284-M284-N284-O284</f>
        <v>355000</v>
      </c>
      <c r="R284" s="28"/>
      <c r="S284" s="47" t="s">
        <v>139</v>
      </c>
    </row>
    <row r="285" spans="1:19" ht="21" x14ac:dyDescent="0.3">
      <c r="A285" s="106" t="s">
        <v>14</v>
      </c>
      <c r="B285" s="189" t="s">
        <v>978</v>
      </c>
      <c r="C285" s="107" t="s">
        <v>681</v>
      </c>
      <c r="D285" s="71" t="s">
        <v>682</v>
      </c>
      <c r="E285" s="71" t="s">
        <v>441</v>
      </c>
      <c r="F285" s="71" t="s">
        <v>442</v>
      </c>
      <c r="G285" s="71" t="s">
        <v>687</v>
      </c>
      <c r="H285" s="108">
        <v>650000</v>
      </c>
      <c r="I285" s="24"/>
      <c r="J285" s="25"/>
      <c r="K285" s="26"/>
      <c r="L285" s="109">
        <v>650000</v>
      </c>
      <c r="M285" s="26"/>
      <c r="N285" s="25"/>
      <c r="O285" s="28"/>
      <c r="P285" s="28"/>
      <c r="Q285" s="110">
        <f t="shared" si="11"/>
        <v>650000</v>
      </c>
      <c r="R285" s="28"/>
      <c r="S285" s="47" t="s">
        <v>139</v>
      </c>
    </row>
    <row r="286" spans="1:19" ht="21" x14ac:dyDescent="0.3">
      <c r="A286" s="106" t="s">
        <v>14</v>
      </c>
      <c r="B286" s="189" t="s">
        <v>978</v>
      </c>
      <c r="C286" s="107" t="s">
        <v>681</v>
      </c>
      <c r="D286" s="71" t="s">
        <v>682</v>
      </c>
      <c r="E286" s="71" t="s">
        <v>194</v>
      </c>
      <c r="F286" s="71" t="s">
        <v>195</v>
      </c>
      <c r="G286" s="71" t="s">
        <v>688</v>
      </c>
      <c r="H286" s="108">
        <v>16000</v>
      </c>
      <c r="I286" s="24"/>
      <c r="J286" s="25"/>
      <c r="K286" s="26"/>
      <c r="L286" s="109">
        <v>16000</v>
      </c>
      <c r="M286" s="26"/>
      <c r="N286" s="25"/>
      <c r="O286" s="28"/>
      <c r="P286" s="28"/>
      <c r="Q286" s="110">
        <f t="shared" si="11"/>
        <v>16000</v>
      </c>
      <c r="R286" s="28"/>
      <c r="S286" s="47" t="s">
        <v>139</v>
      </c>
    </row>
    <row r="287" spans="1:19" ht="21" x14ac:dyDescent="0.3">
      <c r="A287" s="106" t="s">
        <v>14</v>
      </c>
      <c r="B287" s="189" t="s">
        <v>978</v>
      </c>
      <c r="C287" s="107" t="s">
        <v>681</v>
      </c>
      <c r="D287" s="71" t="s">
        <v>682</v>
      </c>
      <c r="E287" s="71" t="s">
        <v>26</v>
      </c>
      <c r="F287" s="71" t="s">
        <v>27</v>
      </c>
      <c r="G287" s="71" t="s">
        <v>689</v>
      </c>
      <c r="H287" s="108">
        <v>720500</v>
      </c>
      <c r="I287" s="24"/>
      <c r="J287" s="114">
        <v>0</v>
      </c>
      <c r="K287" s="108">
        <v>13887.72</v>
      </c>
      <c r="L287" s="109">
        <v>706612.28</v>
      </c>
      <c r="M287" s="26"/>
      <c r="N287" s="25"/>
      <c r="O287" s="28"/>
      <c r="P287" s="28"/>
      <c r="Q287" s="110">
        <f t="shared" si="11"/>
        <v>706612.28</v>
      </c>
      <c r="R287" s="28"/>
      <c r="S287" s="47" t="s">
        <v>139</v>
      </c>
    </row>
    <row r="288" spans="1:19" ht="21" x14ac:dyDescent="0.3">
      <c r="A288" s="106" t="s">
        <v>14</v>
      </c>
      <c r="B288" s="189" t="s">
        <v>978</v>
      </c>
      <c r="C288" s="107" t="s">
        <v>681</v>
      </c>
      <c r="D288" s="71" t="s">
        <v>682</v>
      </c>
      <c r="E288" s="71" t="s">
        <v>126</v>
      </c>
      <c r="F288" s="71" t="s">
        <v>127</v>
      </c>
      <c r="G288" s="71" t="s">
        <v>690</v>
      </c>
      <c r="H288" s="108">
        <v>302000</v>
      </c>
      <c r="I288" s="24"/>
      <c r="J288" s="25"/>
      <c r="K288" s="26"/>
      <c r="L288" s="109">
        <v>302000</v>
      </c>
      <c r="M288" s="26"/>
      <c r="N288" s="25"/>
      <c r="O288" s="28"/>
      <c r="P288" s="28"/>
      <c r="Q288" s="110">
        <f t="shared" si="11"/>
        <v>302000</v>
      </c>
      <c r="R288" s="28"/>
      <c r="S288" s="47" t="s">
        <v>139</v>
      </c>
    </row>
    <row r="289" spans="1:19" ht="21" x14ac:dyDescent="0.3">
      <c r="A289" s="106" t="s">
        <v>14</v>
      </c>
      <c r="B289" s="189" t="s">
        <v>978</v>
      </c>
      <c r="C289" s="107" t="s">
        <v>681</v>
      </c>
      <c r="D289" s="71" t="s">
        <v>682</v>
      </c>
      <c r="E289" s="71" t="s">
        <v>222</v>
      </c>
      <c r="F289" s="71" t="s">
        <v>223</v>
      </c>
      <c r="G289" s="71" t="s">
        <v>691</v>
      </c>
      <c r="H289" s="108">
        <v>67400</v>
      </c>
      <c r="I289" s="24"/>
      <c r="J289" s="25"/>
      <c r="K289" s="26"/>
      <c r="L289" s="109">
        <v>67400</v>
      </c>
      <c r="M289" s="26"/>
      <c r="N289" s="25"/>
      <c r="O289" s="28"/>
      <c r="P289" s="28"/>
      <c r="Q289" s="110">
        <f t="shared" si="11"/>
        <v>67400</v>
      </c>
      <c r="R289" s="28"/>
      <c r="S289" s="47" t="s">
        <v>139</v>
      </c>
    </row>
    <row r="290" spans="1:19" ht="21" x14ac:dyDescent="0.3">
      <c r="A290" s="106" t="s">
        <v>14</v>
      </c>
      <c r="B290" s="189" t="s">
        <v>978</v>
      </c>
      <c r="C290" s="107" t="s">
        <v>681</v>
      </c>
      <c r="D290" s="71" t="s">
        <v>682</v>
      </c>
      <c r="E290" s="71" t="s">
        <v>228</v>
      </c>
      <c r="F290" s="71" t="s">
        <v>229</v>
      </c>
      <c r="G290" s="71" t="s">
        <v>692</v>
      </c>
      <c r="H290" s="108">
        <v>420000</v>
      </c>
      <c r="I290" s="112">
        <v>27479.64</v>
      </c>
      <c r="J290" s="25"/>
      <c r="K290" s="26"/>
      <c r="L290" s="109">
        <v>392520.36</v>
      </c>
      <c r="M290" s="26"/>
      <c r="N290" s="25"/>
      <c r="O290" s="28"/>
      <c r="P290" s="28"/>
      <c r="Q290" s="110">
        <f t="shared" si="11"/>
        <v>392520.36</v>
      </c>
      <c r="R290" s="28"/>
      <c r="S290" s="47" t="s">
        <v>139</v>
      </c>
    </row>
    <row r="291" spans="1:19" ht="21" x14ac:dyDescent="0.3">
      <c r="A291" s="106" t="s">
        <v>14</v>
      </c>
      <c r="B291" s="189" t="s">
        <v>978</v>
      </c>
      <c r="C291" s="107" t="s">
        <v>681</v>
      </c>
      <c r="D291" s="71" t="s">
        <v>682</v>
      </c>
      <c r="E291" s="71" t="s">
        <v>230</v>
      </c>
      <c r="F291" s="71" t="s">
        <v>231</v>
      </c>
      <c r="G291" s="71" t="s">
        <v>693</v>
      </c>
      <c r="H291" s="108">
        <v>20000</v>
      </c>
      <c r="I291" s="24"/>
      <c r="J291" s="25"/>
      <c r="K291" s="26"/>
      <c r="L291" s="109">
        <v>20000</v>
      </c>
      <c r="M291" s="26"/>
      <c r="N291" s="25"/>
      <c r="O291" s="28"/>
      <c r="P291" s="28"/>
      <c r="Q291" s="110">
        <f t="shared" si="11"/>
        <v>20000</v>
      </c>
      <c r="R291" s="28"/>
      <c r="S291" s="47" t="s">
        <v>139</v>
      </c>
    </row>
    <row r="292" spans="1:19" ht="21" x14ac:dyDescent="0.3">
      <c r="A292" s="106" t="s">
        <v>14</v>
      </c>
      <c r="B292" s="189" t="s">
        <v>978</v>
      </c>
      <c r="C292" s="107" t="s">
        <v>681</v>
      </c>
      <c r="D292" s="71" t="s">
        <v>682</v>
      </c>
      <c r="E292" s="71" t="s">
        <v>552</v>
      </c>
      <c r="F292" s="71" t="s">
        <v>553</v>
      </c>
      <c r="G292" s="71" t="s">
        <v>694</v>
      </c>
      <c r="H292" s="108">
        <v>60000</v>
      </c>
      <c r="I292" s="24"/>
      <c r="J292" s="25"/>
      <c r="K292" s="108">
        <v>15740</v>
      </c>
      <c r="L292" s="109">
        <v>44260</v>
      </c>
      <c r="M292" s="26"/>
      <c r="N292" s="25"/>
      <c r="O292" s="28"/>
      <c r="P292" s="28"/>
      <c r="Q292" s="110">
        <f t="shared" si="11"/>
        <v>44260</v>
      </c>
      <c r="R292" s="28"/>
      <c r="S292" s="47" t="s">
        <v>139</v>
      </c>
    </row>
    <row r="293" spans="1:19" ht="21" x14ac:dyDescent="0.3">
      <c r="A293" s="106" t="s">
        <v>14</v>
      </c>
      <c r="B293" s="189" t="s">
        <v>978</v>
      </c>
      <c r="C293" s="107" t="s">
        <v>695</v>
      </c>
      <c r="D293" s="71" t="s">
        <v>696</v>
      </c>
      <c r="E293" s="71" t="s">
        <v>254</v>
      </c>
      <c r="F293" s="71" t="s">
        <v>255</v>
      </c>
      <c r="G293" s="71" t="s">
        <v>697</v>
      </c>
      <c r="H293" s="108">
        <v>10000</v>
      </c>
      <c r="I293" s="24"/>
      <c r="J293" s="25"/>
      <c r="K293" s="26"/>
      <c r="L293" s="109">
        <v>10000</v>
      </c>
      <c r="M293" s="26"/>
      <c r="N293" s="25"/>
      <c r="O293" s="28"/>
      <c r="P293" s="28"/>
      <c r="Q293" s="110">
        <f t="shared" si="11"/>
        <v>10000</v>
      </c>
      <c r="R293" s="28"/>
      <c r="S293" s="47" t="s">
        <v>139</v>
      </c>
    </row>
    <row r="294" spans="1:19" ht="21" x14ac:dyDescent="0.3">
      <c r="A294" s="106" t="s">
        <v>14</v>
      </c>
      <c r="B294" s="189" t="s">
        <v>978</v>
      </c>
      <c r="C294" s="107" t="s">
        <v>695</v>
      </c>
      <c r="D294" s="71" t="s">
        <v>696</v>
      </c>
      <c r="E294" s="71" t="s">
        <v>106</v>
      </c>
      <c r="F294" s="71" t="s">
        <v>107</v>
      </c>
      <c r="G294" s="71" t="s">
        <v>698</v>
      </c>
      <c r="H294" s="108">
        <v>20000</v>
      </c>
      <c r="I294" s="24"/>
      <c r="J294" s="25"/>
      <c r="K294" s="26"/>
      <c r="L294" s="109">
        <v>20000</v>
      </c>
      <c r="M294" s="26"/>
      <c r="N294" s="25"/>
      <c r="O294" s="28"/>
      <c r="P294" s="28"/>
      <c r="Q294" s="110">
        <f t="shared" si="11"/>
        <v>20000</v>
      </c>
      <c r="R294" s="28"/>
      <c r="S294" s="47" t="s">
        <v>139</v>
      </c>
    </row>
    <row r="295" spans="1:19" ht="21" x14ac:dyDescent="0.3">
      <c r="A295" s="106" t="s">
        <v>14</v>
      </c>
      <c r="B295" s="189" t="s">
        <v>978</v>
      </c>
      <c r="C295" s="107" t="s">
        <v>695</v>
      </c>
      <c r="D295" s="71" t="s">
        <v>696</v>
      </c>
      <c r="E295" s="71" t="s">
        <v>407</v>
      </c>
      <c r="F295" s="71" t="s">
        <v>408</v>
      </c>
      <c r="G295" s="71" t="s">
        <v>699</v>
      </c>
      <c r="H295" s="108">
        <v>10000</v>
      </c>
      <c r="I295" s="24"/>
      <c r="J295" s="25"/>
      <c r="K295" s="26"/>
      <c r="L295" s="109">
        <v>10000</v>
      </c>
      <c r="M295" s="26"/>
      <c r="N295" s="25"/>
      <c r="O295" s="28"/>
      <c r="P295" s="28"/>
      <c r="Q295" s="110">
        <f t="shared" si="11"/>
        <v>10000</v>
      </c>
      <c r="R295" s="28"/>
      <c r="S295" s="47" t="s">
        <v>139</v>
      </c>
    </row>
    <row r="296" spans="1:19" ht="21" x14ac:dyDescent="0.3">
      <c r="A296" s="106" t="s">
        <v>14</v>
      </c>
      <c r="B296" s="189" t="s">
        <v>978</v>
      </c>
      <c r="C296" s="107" t="s">
        <v>695</v>
      </c>
      <c r="D296" s="71" t="s">
        <v>696</v>
      </c>
      <c r="E296" s="71" t="s">
        <v>114</v>
      </c>
      <c r="F296" s="71" t="s">
        <v>115</v>
      </c>
      <c r="G296" s="71" t="s">
        <v>700</v>
      </c>
      <c r="H296" s="108">
        <v>50000</v>
      </c>
      <c r="I296" s="112">
        <v>30000</v>
      </c>
      <c r="J296" s="25"/>
      <c r="K296" s="26"/>
      <c r="L296" s="109">
        <v>20000</v>
      </c>
      <c r="M296" s="26"/>
      <c r="N296" s="25"/>
      <c r="O296" s="28"/>
      <c r="P296" s="28"/>
      <c r="Q296" s="110">
        <f t="shared" si="11"/>
        <v>20000</v>
      </c>
      <c r="R296" s="28"/>
      <c r="S296" s="47" t="s">
        <v>139</v>
      </c>
    </row>
    <row r="297" spans="1:19" ht="21" x14ac:dyDescent="0.3">
      <c r="A297" s="106" t="s">
        <v>14</v>
      </c>
      <c r="B297" s="189" t="s">
        <v>978</v>
      </c>
      <c r="C297" s="107" t="s">
        <v>695</v>
      </c>
      <c r="D297" s="71" t="s">
        <v>696</v>
      </c>
      <c r="E297" s="71" t="s">
        <v>441</v>
      </c>
      <c r="F297" s="71" t="s">
        <v>442</v>
      </c>
      <c r="G297" s="71" t="s">
        <v>701</v>
      </c>
      <c r="H297" s="108">
        <v>270000</v>
      </c>
      <c r="I297" s="24"/>
      <c r="J297" s="25"/>
      <c r="K297" s="26"/>
      <c r="L297" s="109">
        <v>270000</v>
      </c>
      <c r="M297" s="26"/>
      <c r="N297" s="25"/>
      <c r="O297" s="28"/>
      <c r="P297" s="28"/>
      <c r="Q297" s="110">
        <f t="shared" si="11"/>
        <v>270000</v>
      </c>
      <c r="R297" s="28"/>
      <c r="S297" s="47" t="s">
        <v>139</v>
      </c>
    </row>
    <row r="298" spans="1:19" ht="21" x14ac:dyDescent="0.3">
      <c r="A298" s="106" t="s">
        <v>14</v>
      </c>
      <c r="B298" s="189" t="s">
        <v>978</v>
      </c>
      <c r="C298" s="107" t="s">
        <v>695</v>
      </c>
      <c r="D298" s="71" t="s">
        <v>696</v>
      </c>
      <c r="E298" s="71" t="s">
        <v>194</v>
      </c>
      <c r="F298" s="71" t="s">
        <v>195</v>
      </c>
      <c r="G298" s="71" t="s">
        <v>702</v>
      </c>
      <c r="H298" s="108">
        <v>20000</v>
      </c>
      <c r="I298" s="24"/>
      <c r="J298" s="25"/>
      <c r="K298" s="26"/>
      <c r="L298" s="109">
        <v>20000</v>
      </c>
      <c r="M298" s="26"/>
      <c r="N298" s="25"/>
      <c r="O298" s="28"/>
      <c r="P298" s="28"/>
      <c r="Q298" s="110">
        <f t="shared" si="11"/>
        <v>20000</v>
      </c>
      <c r="R298" s="28"/>
      <c r="S298" s="47" t="s">
        <v>139</v>
      </c>
    </row>
    <row r="299" spans="1:19" ht="21" x14ac:dyDescent="0.3">
      <c r="A299" s="106" t="s">
        <v>14</v>
      </c>
      <c r="B299" s="189" t="s">
        <v>978</v>
      </c>
      <c r="C299" s="107" t="s">
        <v>695</v>
      </c>
      <c r="D299" s="71" t="s">
        <v>696</v>
      </c>
      <c r="E299" s="71" t="s">
        <v>26</v>
      </c>
      <c r="F299" s="71" t="s">
        <v>27</v>
      </c>
      <c r="G299" s="71" t="s">
        <v>703</v>
      </c>
      <c r="H299" s="108">
        <v>150257</v>
      </c>
      <c r="I299" s="112">
        <v>70</v>
      </c>
      <c r="J299" s="114">
        <v>13104</v>
      </c>
      <c r="K299" s="26"/>
      <c r="L299" s="109">
        <v>137083</v>
      </c>
      <c r="M299" s="26"/>
      <c r="N299" s="25"/>
      <c r="O299" s="28"/>
      <c r="P299" s="28"/>
      <c r="Q299" s="110">
        <f t="shared" si="11"/>
        <v>137083</v>
      </c>
      <c r="R299" s="28"/>
      <c r="S299" s="47" t="s">
        <v>139</v>
      </c>
    </row>
    <row r="300" spans="1:19" ht="21" x14ac:dyDescent="0.3">
      <c r="A300" s="106" t="s">
        <v>14</v>
      </c>
      <c r="B300" s="189" t="s">
        <v>978</v>
      </c>
      <c r="C300" s="107" t="s">
        <v>695</v>
      </c>
      <c r="D300" s="71" t="s">
        <v>696</v>
      </c>
      <c r="E300" s="71" t="s">
        <v>35</v>
      </c>
      <c r="F300" s="71" t="s">
        <v>36</v>
      </c>
      <c r="G300" s="71" t="s">
        <v>704</v>
      </c>
      <c r="H300" s="108">
        <v>40000</v>
      </c>
      <c r="I300" s="24"/>
      <c r="J300" s="25"/>
      <c r="K300" s="26"/>
      <c r="L300" s="109">
        <v>40000</v>
      </c>
      <c r="M300" s="26"/>
      <c r="N300" s="25"/>
      <c r="O300" s="28"/>
      <c r="P300" s="28"/>
      <c r="Q300" s="110">
        <f t="shared" si="11"/>
        <v>40000</v>
      </c>
      <c r="R300" s="28"/>
      <c r="S300" s="47" t="s">
        <v>139</v>
      </c>
    </row>
    <row r="301" spans="1:19" ht="21" x14ac:dyDescent="0.3">
      <c r="A301" s="106" t="s">
        <v>14</v>
      </c>
      <c r="B301" s="189" t="s">
        <v>978</v>
      </c>
      <c r="C301" s="107" t="s">
        <v>695</v>
      </c>
      <c r="D301" s="71" t="s">
        <v>696</v>
      </c>
      <c r="E301" s="71" t="s">
        <v>228</v>
      </c>
      <c r="F301" s="71" t="s">
        <v>229</v>
      </c>
      <c r="G301" s="71" t="s">
        <v>705</v>
      </c>
      <c r="H301" s="108">
        <v>51520</v>
      </c>
      <c r="I301" s="112">
        <v>5617.51</v>
      </c>
      <c r="J301" s="25"/>
      <c r="K301" s="26"/>
      <c r="L301" s="109">
        <v>45902.49</v>
      </c>
      <c r="M301" s="26"/>
      <c r="N301" s="25"/>
      <c r="O301" s="28"/>
      <c r="P301" s="28"/>
      <c r="Q301" s="110">
        <f t="shared" si="11"/>
        <v>45902.49</v>
      </c>
      <c r="R301" s="28"/>
      <c r="S301" s="47" t="s">
        <v>139</v>
      </c>
    </row>
    <row r="302" spans="1:19" ht="21" x14ac:dyDescent="0.3">
      <c r="A302" s="106" t="s">
        <v>14</v>
      </c>
      <c r="B302" s="189" t="s">
        <v>978</v>
      </c>
      <c r="C302" s="107" t="s">
        <v>695</v>
      </c>
      <c r="D302" s="71" t="s">
        <v>696</v>
      </c>
      <c r="E302" s="71" t="s">
        <v>230</v>
      </c>
      <c r="F302" s="71" t="s">
        <v>231</v>
      </c>
      <c r="G302" s="71" t="s">
        <v>706</v>
      </c>
      <c r="H302" s="108">
        <v>139000</v>
      </c>
      <c r="I302" s="112">
        <v>46388.34</v>
      </c>
      <c r="J302" s="114">
        <v>35037.370000000003</v>
      </c>
      <c r="K302" s="108">
        <v>0</v>
      </c>
      <c r="L302" s="109">
        <v>57574.29</v>
      </c>
      <c r="M302" s="26"/>
      <c r="N302" s="25"/>
      <c r="O302" s="28"/>
      <c r="P302" s="28"/>
      <c r="Q302" s="110">
        <f t="shared" si="11"/>
        <v>57574.29</v>
      </c>
      <c r="R302" s="28"/>
      <c r="S302" s="47" t="s">
        <v>139</v>
      </c>
    </row>
    <row r="303" spans="1:19" ht="21" x14ac:dyDescent="0.3">
      <c r="A303" s="106" t="s">
        <v>14</v>
      </c>
      <c r="B303" s="189" t="s">
        <v>978</v>
      </c>
      <c r="C303" s="107" t="s">
        <v>695</v>
      </c>
      <c r="D303" s="71" t="s">
        <v>696</v>
      </c>
      <c r="E303" s="71" t="s">
        <v>50</v>
      </c>
      <c r="F303" s="71" t="s">
        <v>51</v>
      </c>
      <c r="G303" s="71" t="s">
        <v>707</v>
      </c>
      <c r="H303" s="108">
        <v>4000</v>
      </c>
      <c r="I303" s="24"/>
      <c r="J303" s="25"/>
      <c r="K303" s="26"/>
      <c r="L303" s="109">
        <v>4000</v>
      </c>
      <c r="M303" s="26"/>
      <c r="N303" s="25"/>
      <c r="O303" s="28"/>
      <c r="P303" s="28"/>
      <c r="Q303" s="110">
        <f t="shared" si="11"/>
        <v>4000</v>
      </c>
      <c r="R303" s="28"/>
      <c r="S303" s="47" t="s">
        <v>139</v>
      </c>
    </row>
    <row r="304" spans="1:19" ht="21" x14ac:dyDescent="0.3">
      <c r="A304" s="106" t="s">
        <v>14</v>
      </c>
      <c r="B304" s="189" t="s">
        <v>978</v>
      </c>
      <c r="C304" s="107" t="s">
        <v>695</v>
      </c>
      <c r="D304" s="71" t="s">
        <v>696</v>
      </c>
      <c r="E304" s="71" t="s">
        <v>552</v>
      </c>
      <c r="F304" s="71" t="s">
        <v>553</v>
      </c>
      <c r="G304" s="71" t="s">
        <v>708</v>
      </c>
      <c r="H304" s="108">
        <v>12000</v>
      </c>
      <c r="I304" s="112">
        <v>11500</v>
      </c>
      <c r="J304" s="114">
        <v>0</v>
      </c>
      <c r="K304" s="108">
        <v>0</v>
      </c>
      <c r="L304" s="109">
        <v>500</v>
      </c>
      <c r="M304" s="26"/>
      <c r="N304" s="25"/>
      <c r="O304" s="28"/>
      <c r="P304" s="28"/>
      <c r="Q304" s="110">
        <f t="shared" si="11"/>
        <v>500</v>
      </c>
      <c r="R304" s="28"/>
      <c r="S304" s="47" t="s">
        <v>139</v>
      </c>
    </row>
    <row r="305" spans="1:19" ht="21" x14ac:dyDescent="0.3">
      <c r="A305" s="106" t="s">
        <v>14</v>
      </c>
      <c r="B305" s="189" t="s">
        <v>978</v>
      </c>
      <c r="C305" s="107" t="s">
        <v>709</v>
      </c>
      <c r="D305" s="71" t="s">
        <v>710</v>
      </c>
      <c r="E305" s="71" t="s">
        <v>254</v>
      </c>
      <c r="F305" s="71" t="s">
        <v>255</v>
      </c>
      <c r="G305" s="71" t="s">
        <v>711</v>
      </c>
      <c r="H305" s="108">
        <v>3000</v>
      </c>
      <c r="I305" s="24"/>
      <c r="J305" s="25"/>
      <c r="K305" s="26"/>
      <c r="L305" s="109">
        <v>3000</v>
      </c>
      <c r="M305" s="26"/>
      <c r="N305" s="25"/>
      <c r="O305" s="28"/>
      <c r="P305" s="28"/>
      <c r="Q305" s="110">
        <f t="shared" si="11"/>
        <v>3000</v>
      </c>
      <c r="R305" s="28"/>
      <c r="S305" s="47" t="s">
        <v>139</v>
      </c>
    </row>
    <row r="306" spans="1:19" ht="21" x14ac:dyDescent="0.3">
      <c r="A306" s="106" t="s">
        <v>14</v>
      </c>
      <c r="B306" s="189" t="s">
        <v>978</v>
      </c>
      <c r="C306" s="107" t="s">
        <v>709</v>
      </c>
      <c r="D306" s="71" t="s">
        <v>710</v>
      </c>
      <c r="E306" s="71" t="s">
        <v>106</v>
      </c>
      <c r="F306" s="71" t="s">
        <v>107</v>
      </c>
      <c r="G306" s="71" t="s">
        <v>712</v>
      </c>
      <c r="H306" s="108">
        <v>10000</v>
      </c>
      <c r="I306" s="24"/>
      <c r="J306" s="25"/>
      <c r="K306" s="26"/>
      <c r="L306" s="109">
        <v>10000</v>
      </c>
      <c r="M306" s="26"/>
      <c r="N306" s="25"/>
      <c r="O306" s="28"/>
      <c r="P306" s="28"/>
      <c r="Q306" s="110">
        <f t="shared" si="11"/>
        <v>10000</v>
      </c>
      <c r="R306" s="28"/>
      <c r="S306" s="47" t="s">
        <v>139</v>
      </c>
    </row>
    <row r="307" spans="1:19" ht="21" x14ac:dyDescent="0.3">
      <c r="A307" s="106" t="s">
        <v>14</v>
      </c>
      <c r="B307" s="189" t="s">
        <v>978</v>
      </c>
      <c r="C307" s="107" t="s">
        <v>709</v>
      </c>
      <c r="D307" s="71" t="s">
        <v>710</v>
      </c>
      <c r="E307" s="71" t="s">
        <v>164</v>
      </c>
      <c r="F307" s="71" t="s">
        <v>165</v>
      </c>
      <c r="G307" s="71" t="s">
        <v>713</v>
      </c>
      <c r="H307" s="108">
        <v>30000</v>
      </c>
      <c r="I307" s="24"/>
      <c r="J307" s="25"/>
      <c r="K307" s="26"/>
      <c r="L307" s="109">
        <v>30000</v>
      </c>
      <c r="M307" s="26"/>
      <c r="N307" s="25"/>
      <c r="O307" s="28"/>
      <c r="P307" s="28"/>
      <c r="Q307" s="110">
        <f t="shared" si="11"/>
        <v>30000</v>
      </c>
      <c r="R307" s="28"/>
      <c r="S307" s="47" t="s">
        <v>139</v>
      </c>
    </row>
    <row r="308" spans="1:19" ht="21" x14ac:dyDescent="0.3">
      <c r="A308" s="106" t="s">
        <v>14</v>
      </c>
      <c r="B308" s="189" t="s">
        <v>978</v>
      </c>
      <c r="C308" s="107" t="s">
        <v>709</v>
      </c>
      <c r="D308" s="71" t="s">
        <v>710</v>
      </c>
      <c r="E308" s="71" t="s">
        <v>407</v>
      </c>
      <c r="F308" s="71" t="s">
        <v>408</v>
      </c>
      <c r="G308" s="71" t="s">
        <v>714</v>
      </c>
      <c r="H308" s="108">
        <v>12000</v>
      </c>
      <c r="I308" s="24"/>
      <c r="J308" s="25"/>
      <c r="K308" s="26"/>
      <c r="L308" s="109">
        <v>12000</v>
      </c>
      <c r="M308" s="26"/>
      <c r="N308" s="25"/>
      <c r="O308" s="28"/>
      <c r="P308" s="28"/>
      <c r="Q308" s="110">
        <f t="shared" si="11"/>
        <v>12000</v>
      </c>
      <c r="R308" s="28"/>
      <c r="S308" s="47" t="s">
        <v>139</v>
      </c>
    </row>
    <row r="309" spans="1:19" ht="21" x14ac:dyDescent="0.3">
      <c r="A309" s="106" t="s">
        <v>14</v>
      </c>
      <c r="B309" s="189" t="s">
        <v>978</v>
      </c>
      <c r="C309" s="107" t="s">
        <v>709</v>
      </c>
      <c r="D309" s="71" t="s">
        <v>710</v>
      </c>
      <c r="E309" s="71" t="s">
        <v>114</v>
      </c>
      <c r="F309" s="71" t="s">
        <v>115</v>
      </c>
      <c r="G309" s="71" t="s">
        <v>715</v>
      </c>
      <c r="H309" s="108">
        <v>480000</v>
      </c>
      <c r="I309" s="112">
        <v>150000</v>
      </c>
      <c r="J309" s="25"/>
      <c r="K309" s="26"/>
      <c r="L309" s="109">
        <v>330000</v>
      </c>
      <c r="M309" s="26"/>
      <c r="N309" s="25"/>
      <c r="O309" s="28"/>
      <c r="P309" s="28"/>
      <c r="Q309" s="110">
        <f t="shared" si="11"/>
        <v>330000</v>
      </c>
      <c r="R309" s="28"/>
      <c r="S309" s="47" t="s">
        <v>139</v>
      </c>
    </row>
    <row r="310" spans="1:19" ht="21" x14ac:dyDescent="0.3">
      <c r="A310" s="106" t="s">
        <v>14</v>
      </c>
      <c r="B310" s="189" t="s">
        <v>978</v>
      </c>
      <c r="C310" s="107" t="s">
        <v>709</v>
      </c>
      <c r="D310" s="71" t="s">
        <v>710</v>
      </c>
      <c r="E310" s="71" t="s">
        <v>441</v>
      </c>
      <c r="F310" s="71" t="s">
        <v>442</v>
      </c>
      <c r="G310" s="71" t="s">
        <v>716</v>
      </c>
      <c r="H310" s="108">
        <v>630000</v>
      </c>
      <c r="I310" s="112">
        <v>7870</v>
      </c>
      <c r="J310" s="25"/>
      <c r="K310" s="26"/>
      <c r="L310" s="109">
        <v>622130</v>
      </c>
      <c r="M310" s="26"/>
      <c r="N310" s="25"/>
      <c r="O310" s="28"/>
      <c r="P310" s="28"/>
      <c r="Q310" s="110">
        <f t="shared" si="11"/>
        <v>622130</v>
      </c>
      <c r="R310" s="28"/>
      <c r="S310" s="47" t="s">
        <v>139</v>
      </c>
    </row>
    <row r="311" spans="1:19" ht="21" x14ac:dyDescent="0.3">
      <c r="A311" s="106" t="s">
        <v>14</v>
      </c>
      <c r="B311" s="189" t="s">
        <v>978</v>
      </c>
      <c r="C311" s="107" t="s">
        <v>709</v>
      </c>
      <c r="D311" s="71" t="s">
        <v>710</v>
      </c>
      <c r="E311" s="71" t="s">
        <v>194</v>
      </c>
      <c r="F311" s="71" t="s">
        <v>195</v>
      </c>
      <c r="G311" s="71" t="s">
        <v>717</v>
      </c>
      <c r="H311" s="108">
        <v>54000</v>
      </c>
      <c r="I311" s="24"/>
      <c r="J311" s="114">
        <v>8800</v>
      </c>
      <c r="K311" s="26"/>
      <c r="L311" s="109">
        <v>45200</v>
      </c>
      <c r="M311" s="26"/>
      <c r="N311" s="25"/>
      <c r="O311" s="28"/>
      <c r="P311" s="28"/>
      <c r="Q311" s="110">
        <f t="shared" si="11"/>
        <v>45200</v>
      </c>
      <c r="R311" s="28"/>
      <c r="S311" s="47" t="s">
        <v>139</v>
      </c>
    </row>
    <row r="312" spans="1:19" ht="21" x14ac:dyDescent="0.3">
      <c r="A312" s="106" t="s">
        <v>14</v>
      </c>
      <c r="B312" s="189" t="s">
        <v>978</v>
      </c>
      <c r="C312" s="107" t="s">
        <v>709</v>
      </c>
      <c r="D312" s="71" t="s">
        <v>710</v>
      </c>
      <c r="E312" s="71" t="s">
        <v>26</v>
      </c>
      <c r="F312" s="71" t="s">
        <v>27</v>
      </c>
      <c r="G312" s="71" t="s">
        <v>718</v>
      </c>
      <c r="H312" s="108">
        <v>210000</v>
      </c>
      <c r="I312" s="112">
        <v>1836.5</v>
      </c>
      <c r="J312" s="114">
        <v>96659.58</v>
      </c>
      <c r="K312" s="108">
        <v>38510.65</v>
      </c>
      <c r="L312" s="109">
        <v>72993.27</v>
      </c>
      <c r="M312" s="26"/>
      <c r="N312" s="25"/>
      <c r="O312" s="28"/>
      <c r="P312" s="28"/>
      <c r="Q312" s="110">
        <f t="shared" si="11"/>
        <v>72993.27</v>
      </c>
      <c r="R312" s="28"/>
      <c r="S312" s="47" t="s">
        <v>139</v>
      </c>
    </row>
    <row r="313" spans="1:19" ht="21" x14ac:dyDescent="0.3">
      <c r="A313" s="106" t="s">
        <v>14</v>
      </c>
      <c r="B313" s="189" t="s">
        <v>978</v>
      </c>
      <c r="C313" s="107" t="s">
        <v>709</v>
      </c>
      <c r="D313" s="71" t="s">
        <v>710</v>
      </c>
      <c r="E313" s="71" t="s">
        <v>222</v>
      </c>
      <c r="F313" s="71" t="s">
        <v>223</v>
      </c>
      <c r="G313" s="71" t="s">
        <v>719</v>
      </c>
      <c r="H313" s="108">
        <v>80000</v>
      </c>
      <c r="I313" s="24"/>
      <c r="J313" s="25"/>
      <c r="K313" s="108">
        <v>20000</v>
      </c>
      <c r="L313" s="109">
        <v>60000</v>
      </c>
      <c r="M313" s="26"/>
      <c r="N313" s="25"/>
      <c r="O313" s="28"/>
      <c r="P313" s="28"/>
      <c r="Q313" s="110">
        <f t="shared" si="11"/>
        <v>60000</v>
      </c>
      <c r="R313" s="28"/>
      <c r="S313" s="47" t="s">
        <v>139</v>
      </c>
    </row>
    <row r="314" spans="1:19" ht="21" x14ac:dyDescent="0.3">
      <c r="A314" s="106" t="s">
        <v>14</v>
      </c>
      <c r="B314" s="189" t="s">
        <v>978</v>
      </c>
      <c r="C314" s="107" t="s">
        <v>709</v>
      </c>
      <c r="D314" s="71" t="s">
        <v>710</v>
      </c>
      <c r="E314" s="71" t="s">
        <v>228</v>
      </c>
      <c r="F314" s="71" t="s">
        <v>229</v>
      </c>
      <c r="G314" s="71" t="s">
        <v>720</v>
      </c>
      <c r="H314" s="108">
        <v>336000</v>
      </c>
      <c r="I314" s="112">
        <v>31077.05</v>
      </c>
      <c r="J314" s="25"/>
      <c r="K314" s="26"/>
      <c r="L314" s="109">
        <v>304922.95</v>
      </c>
      <c r="M314" s="26"/>
      <c r="N314" s="25"/>
      <c r="O314" s="28"/>
      <c r="P314" s="28"/>
      <c r="Q314" s="110">
        <f t="shared" si="11"/>
        <v>304922.95</v>
      </c>
      <c r="R314" s="28"/>
      <c r="S314" s="47" t="s">
        <v>139</v>
      </c>
    </row>
    <row r="315" spans="1:19" ht="21" x14ac:dyDescent="0.3">
      <c r="A315" s="106" t="s">
        <v>14</v>
      </c>
      <c r="B315" s="189" t="s">
        <v>978</v>
      </c>
      <c r="C315" s="107" t="s">
        <v>709</v>
      </c>
      <c r="D315" s="71" t="s">
        <v>710</v>
      </c>
      <c r="E315" s="71" t="s">
        <v>230</v>
      </c>
      <c r="F315" s="71" t="s">
        <v>231</v>
      </c>
      <c r="G315" s="71" t="s">
        <v>721</v>
      </c>
      <c r="H315" s="108">
        <v>264000</v>
      </c>
      <c r="I315" s="112">
        <v>81044</v>
      </c>
      <c r="J315" s="114">
        <v>2017.16</v>
      </c>
      <c r="K315" s="108">
        <v>13600.83</v>
      </c>
      <c r="L315" s="109">
        <v>167338.01</v>
      </c>
      <c r="M315" s="26"/>
      <c r="N315" s="25"/>
      <c r="O315" s="28"/>
      <c r="P315" s="28"/>
      <c r="Q315" s="110">
        <f t="shared" si="11"/>
        <v>167338.01</v>
      </c>
      <c r="R315" s="28"/>
      <c r="S315" s="47" t="s">
        <v>139</v>
      </c>
    </row>
    <row r="316" spans="1:19" x14ac:dyDescent="0.3">
      <c r="A316" s="106" t="s">
        <v>14</v>
      </c>
      <c r="B316" s="189" t="s">
        <v>978</v>
      </c>
      <c r="C316" s="107" t="s">
        <v>722</v>
      </c>
      <c r="D316" s="71" t="s">
        <v>723</v>
      </c>
      <c r="E316" s="71" t="s">
        <v>254</v>
      </c>
      <c r="F316" s="71" t="s">
        <v>255</v>
      </c>
      <c r="G316" s="71" t="s">
        <v>724</v>
      </c>
      <c r="H316" s="108">
        <v>20000</v>
      </c>
      <c r="I316" s="24"/>
      <c r="J316" s="25"/>
      <c r="K316" s="26"/>
      <c r="L316" s="109">
        <v>20000</v>
      </c>
      <c r="M316" s="26"/>
      <c r="N316" s="25"/>
      <c r="O316" s="28"/>
      <c r="P316" s="28"/>
      <c r="Q316" s="110">
        <f t="shared" si="11"/>
        <v>20000</v>
      </c>
      <c r="R316" s="28"/>
      <c r="S316" s="47" t="s">
        <v>139</v>
      </c>
    </row>
    <row r="317" spans="1:19" ht="21" x14ac:dyDescent="0.3">
      <c r="A317" s="106" t="s">
        <v>14</v>
      </c>
      <c r="B317" s="189" t="s">
        <v>978</v>
      </c>
      <c r="C317" s="107" t="s">
        <v>722</v>
      </c>
      <c r="D317" s="71" t="s">
        <v>723</v>
      </c>
      <c r="E317" s="71" t="s">
        <v>106</v>
      </c>
      <c r="F317" s="71" t="s">
        <v>107</v>
      </c>
      <c r="G317" s="71" t="s">
        <v>725</v>
      </c>
      <c r="H317" s="108">
        <v>30000</v>
      </c>
      <c r="I317" s="24"/>
      <c r="J317" s="25"/>
      <c r="K317" s="26"/>
      <c r="L317" s="109">
        <v>30000</v>
      </c>
      <c r="M317" s="26"/>
      <c r="N317" s="25"/>
      <c r="O317" s="28"/>
      <c r="P317" s="28"/>
      <c r="Q317" s="110">
        <f t="shared" si="11"/>
        <v>30000</v>
      </c>
      <c r="R317" s="28"/>
      <c r="S317" s="47" t="s">
        <v>139</v>
      </c>
    </row>
    <row r="318" spans="1:19" x14ac:dyDescent="0.3">
      <c r="A318" s="106" t="s">
        <v>14</v>
      </c>
      <c r="B318" s="189" t="s">
        <v>978</v>
      </c>
      <c r="C318" s="107" t="s">
        <v>722</v>
      </c>
      <c r="D318" s="71" t="s">
        <v>723</v>
      </c>
      <c r="E318" s="71" t="s">
        <v>407</v>
      </c>
      <c r="F318" s="71" t="s">
        <v>408</v>
      </c>
      <c r="G318" s="71" t="s">
        <v>726</v>
      </c>
      <c r="H318" s="108">
        <v>120000</v>
      </c>
      <c r="I318" s="24"/>
      <c r="J318" s="25"/>
      <c r="K318" s="26"/>
      <c r="L318" s="109">
        <v>120000</v>
      </c>
      <c r="M318" s="26"/>
      <c r="N318" s="25"/>
      <c r="O318" s="28"/>
      <c r="P318" s="28"/>
      <c r="Q318" s="110">
        <f t="shared" si="11"/>
        <v>120000</v>
      </c>
      <c r="R318" s="28"/>
      <c r="S318" s="47" t="s">
        <v>139</v>
      </c>
    </row>
    <row r="319" spans="1:19" x14ac:dyDescent="0.3">
      <c r="A319" s="106" t="s">
        <v>14</v>
      </c>
      <c r="B319" s="189" t="s">
        <v>978</v>
      </c>
      <c r="C319" s="107" t="s">
        <v>722</v>
      </c>
      <c r="D319" s="71" t="s">
        <v>723</v>
      </c>
      <c r="E319" s="71" t="s">
        <v>441</v>
      </c>
      <c r="F319" s="71" t="s">
        <v>442</v>
      </c>
      <c r="G319" s="71" t="s">
        <v>727</v>
      </c>
      <c r="H319" s="108">
        <v>105000</v>
      </c>
      <c r="I319" s="112">
        <v>1122.77</v>
      </c>
      <c r="J319" s="25"/>
      <c r="K319" s="26"/>
      <c r="L319" s="109">
        <v>103877.23</v>
      </c>
      <c r="M319" s="26"/>
      <c r="N319" s="25"/>
      <c r="O319" s="28"/>
      <c r="P319" s="28"/>
      <c r="Q319" s="110">
        <f t="shared" si="11"/>
        <v>103877.23</v>
      </c>
      <c r="R319" s="28"/>
      <c r="S319" s="47" t="s">
        <v>139</v>
      </c>
    </row>
    <row r="320" spans="1:19" x14ac:dyDescent="0.3">
      <c r="A320" s="106" t="s">
        <v>14</v>
      </c>
      <c r="B320" s="189" t="s">
        <v>978</v>
      </c>
      <c r="C320" s="107" t="s">
        <v>722</v>
      </c>
      <c r="D320" s="71" t="s">
        <v>723</v>
      </c>
      <c r="E320" s="71" t="s">
        <v>194</v>
      </c>
      <c r="F320" s="71" t="s">
        <v>195</v>
      </c>
      <c r="G320" s="71" t="s">
        <v>728</v>
      </c>
      <c r="H320" s="108">
        <v>3000</v>
      </c>
      <c r="I320" s="24"/>
      <c r="J320" s="25"/>
      <c r="K320" s="26"/>
      <c r="L320" s="109">
        <v>3000</v>
      </c>
      <c r="M320" s="26"/>
      <c r="N320" s="25"/>
      <c r="O320" s="28"/>
      <c r="P320" s="28"/>
      <c r="Q320" s="110">
        <f t="shared" si="11"/>
        <v>3000</v>
      </c>
      <c r="R320" s="28"/>
      <c r="S320" s="47" t="s">
        <v>139</v>
      </c>
    </row>
    <row r="321" spans="1:19" ht="21" x14ac:dyDescent="0.3">
      <c r="A321" s="106" t="s">
        <v>14</v>
      </c>
      <c r="B321" s="189" t="s">
        <v>978</v>
      </c>
      <c r="C321" s="107" t="s">
        <v>722</v>
      </c>
      <c r="D321" s="71" t="s">
        <v>723</v>
      </c>
      <c r="E321" s="71" t="s">
        <v>26</v>
      </c>
      <c r="F321" s="71" t="s">
        <v>27</v>
      </c>
      <c r="G321" s="71" t="s">
        <v>729</v>
      </c>
      <c r="H321" s="108">
        <v>146983</v>
      </c>
      <c r="I321" s="24"/>
      <c r="J321" s="114">
        <v>25723.59</v>
      </c>
      <c r="K321" s="26"/>
      <c r="L321" s="109">
        <v>121259.41</v>
      </c>
      <c r="M321" s="26"/>
      <c r="N321" s="25"/>
      <c r="O321" s="28"/>
      <c r="P321" s="28"/>
      <c r="Q321" s="110">
        <f t="shared" si="11"/>
        <v>121259.41</v>
      </c>
      <c r="R321" s="28"/>
      <c r="S321" s="47" t="s">
        <v>139</v>
      </c>
    </row>
    <row r="322" spans="1:19" x14ac:dyDescent="0.3">
      <c r="A322" s="106" t="s">
        <v>14</v>
      </c>
      <c r="B322" s="189" t="s">
        <v>978</v>
      </c>
      <c r="C322" s="107" t="s">
        <v>722</v>
      </c>
      <c r="D322" s="71" t="s">
        <v>723</v>
      </c>
      <c r="E322" s="71" t="s">
        <v>35</v>
      </c>
      <c r="F322" s="71" t="s">
        <v>36</v>
      </c>
      <c r="G322" s="71" t="s">
        <v>730</v>
      </c>
      <c r="H322" s="108">
        <v>44592</v>
      </c>
      <c r="I322" s="112">
        <v>642.62</v>
      </c>
      <c r="J322" s="25"/>
      <c r="K322" s="26"/>
      <c r="L322" s="109">
        <v>43949.38</v>
      </c>
      <c r="M322" s="26"/>
      <c r="N322" s="25"/>
      <c r="O322" s="28"/>
      <c r="P322" s="28"/>
      <c r="Q322" s="110">
        <f t="shared" si="11"/>
        <v>43949.38</v>
      </c>
      <c r="R322" s="28"/>
      <c r="S322" s="47" t="s">
        <v>139</v>
      </c>
    </row>
    <row r="323" spans="1:19" x14ac:dyDescent="0.3">
      <c r="A323" s="106" t="s">
        <v>14</v>
      </c>
      <c r="B323" s="189" t="s">
        <v>978</v>
      </c>
      <c r="C323" s="107" t="s">
        <v>722</v>
      </c>
      <c r="D323" s="71" t="s">
        <v>723</v>
      </c>
      <c r="E323" s="71" t="s">
        <v>228</v>
      </c>
      <c r="F323" s="71" t="s">
        <v>229</v>
      </c>
      <c r="G323" s="71" t="s">
        <v>731</v>
      </c>
      <c r="H323" s="108">
        <v>70000</v>
      </c>
      <c r="I323" s="24"/>
      <c r="J323" s="25"/>
      <c r="K323" s="26"/>
      <c r="L323" s="109">
        <v>70000</v>
      </c>
      <c r="M323" s="26"/>
      <c r="N323" s="25"/>
      <c r="O323" s="28"/>
      <c r="P323" s="28"/>
      <c r="Q323" s="110">
        <f t="shared" si="11"/>
        <v>70000</v>
      </c>
      <c r="R323" s="28"/>
      <c r="S323" s="47" t="s">
        <v>139</v>
      </c>
    </row>
    <row r="324" spans="1:19" x14ac:dyDescent="0.3">
      <c r="A324" s="106" t="s">
        <v>14</v>
      </c>
      <c r="B324" s="189" t="s">
        <v>978</v>
      </c>
      <c r="C324" s="107" t="s">
        <v>722</v>
      </c>
      <c r="D324" s="71" t="s">
        <v>723</v>
      </c>
      <c r="E324" s="71" t="s">
        <v>230</v>
      </c>
      <c r="F324" s="71" t="s">
        <v>231</v>
      </c>
      <c r="G324" s="71" t="s">
        <v>732</v>
      </c>
      <c r="H324" s="108">
        <v>197477</v>
      </c>
      <c r="I324" s="24"/>
      <c r="J324" s="114">
        <v>0</v>
      </c>
      <c r="K324" s="108">
        <v>2200</v>
      </c>
      <c r="L324" s="109">
        <v>195277</v>
      </c>
      <c r="M324" s="26"/>
      <c r="N324" s="25"/>
      <c r="O324" s="28"/>
      <c r="P324" s="28"/>
      <c r="Q324" s="110">
        <f t="shared" si="11"/>
        <v>195277</v>
      </c>
      <c r="R324" s="28"/>
      <c r="S324" s="47" t="s">
        <v>139</v>
      </c>
    </row>
    <row r="325" spans="1:19" x14ac:dyDescent="0.3">
      <c r="A325" s="106" t="s">
        <v>14</v>
      </c>
      <c r="B325" s="189" t="s">
        <v>978</v>
      </c>
      <c r="C325" s="107" t="s">
        <v>722</v>
      </c>
      <c r="D325" s="71" t="s">
        <v>723</v>
      </c>
      <c r="E325" s="71" t="s">
        <v>50</v>
      </c>
      <c r="F325" s="71" t="s">
        <v>51</v>
      </c>
      <c r="G325" s="71" t="s">
        <v>733</v>
      </c>
      <c r="H325" s="108">
        <v>5742</v>
      </c>
      <c r="I325" s="24"/>
      <c r="J325" s="114">
        <v>3300</v>
      </c>
      <c r="K325" s="26"/>
      <c r="L325" s="109">
        <v>2442</v>
      </c>
      <c r="M325" s="26"/>
      <c r="N325" s="25"/>
      <c r="O325" s="28"/>
      <c r="P325" s="28"/>
      <c r="Q325" s="110">
        <f t="shared" si="11"/>
        <v>2442</v>
      </c>
      <c r="R325" s="28"/>
      <c r="S325" s="47" t="s">
        <v>139</v>
      </c>
    </row>
    <row r="326" spans="1:19" ht="21" x14ac:dyDescent="0.3">
      <c r="A326" s="106" t="s">
        <v>14</v>
      </c>
      <c r="B326" s="189" t="s">
        <v>978</v>
      </c>
      <c r="C326" s="107" t="s">
        <v>722</v>
      </c>
      <c r="D326" s="71" t="s">
        <v>723</v>
      </c>
      <c r="E326" s="71" t="s">
        <v>552</v>
      </c>
      <c r="F326" s="71" t="s">
        <v>553</v>
      </c>
      <c r="G326" s="71" t="s">
        <v>734</v>
      </c>
      <c r="H326" s="108">
        <v>9640</v>
      </c>
      <c r="I326" s="24"/>
      <c r="J326" s="25"/>
      <c r="K326" s="26"/>
      <c r="L326" s="109">
        <v>9640</v>
      </c>
      <c r="M326" s="26"/>
      <c r="N326" s="25"/>
      <c r="O326" s="28"/>
      <c r="P326" s="28"/>
      <c r="Q326" s="110">
        <f t="shared" si="11"/>
        <v>9640</v>
      </c>
      <c r="R326" s="28"/>
      <c r="S326" s="47" t="s">
        <v>139</v>
      </c>
    </row>
    <row r="327" spans="1:19" ht="21" x14ac:dyDescent="0.3">
      <c r="A327" s="106" t="s">
        <v>14</v>
      </c>
      <c r="B327" s="189" t="s">
        <v>978</v>
      </c>
      <c r="C327" s="107" t="s">
        <v>735</v>
      </c>
      <c r="D327" s="71" t="s">
        <v>736</v>
      </c>
      <c r="E327" s="71" t="s">
        <v>106</v>
      </c>
      <c r="F327" s="71" t="s">
        <v>107</v>
      </c>
      <c r="G327" s="71" t="s">
        <v>737</v>
      </c>
      <c r="H327" s="108">
        <v>16000</v>
      </c>
      <c r="I327" s="24"/>
      <c r="J327" s="25"/>
      <c r="K327" s="26"/>
      <c r="L327" s="109">
        <v>16000</v>
      </c>
      <c r="M327" s="26"/>
      <c r="N327" s="25"/>
      <c r="O327" s="28"/>
      <c r="P327" s="28"/>
      <c r="Q327" s="110">
        <f t="shared" si="11"/>
        <v>16000</v>
      </c>
      <c r="R327" s="28"/>
      <c r="S327" s="47" t="s">
        <v>139</v>
      </c>
    </row>
    <row r="328" spans="1:19" ht="21" x14ac:dyDescent="0.3">
      <c r="A328" s="106" t="s">
        <v>14</v>
      </c>
      <c r="B328" s="189" t="s">
        <v>978</v>
      </c>
      <c r="C328" s="107" t="s">
        <v>735</v>
      </c>
      <c r="D328" s="71" t="s">
        <v>736</v>
      </c>
      <c r="E328" s="71" t="s">
        <v>407</v>
      </c>
      <c r="F328" s="71" t="s">
        <v>408</v>
      </c>
      <c r="G328" s="71" t="s">
        <v>738</v>
      </c>
      <c r="H328" s="108">
        <v>25000</v>
      </c>
      <c r="I328" s="112">
        <v>682</v>
      </c>
      <c r="J328" s="25"/>
      <c r="K328" s="26"/>
      <c r="L328" s="109">
        <v>24318</v>
      </c>
      <c r="M328" s="26"/>
      <c r="N328" s="25"/>
      <c r="O328" s="28"/>
      <c r="P328" s="28"/>
      <c r="Q328" s="110">
        <f t="shared" si="11"/>
        <v>24318</v>
      </c>
      <c r="R328" s="28"/>
      <c r="S328" s="47" t="s">
        <v>139</v>
      </c>
    </row>
    <row r="329" spans="1:19" ht="21" x14ac:dyDescent="0.3">
      <c r="A329" s="106" t="s">
        <v>14</v>
      </c>
      <c r="B329" s="189" t="s">
        <v>978</v>
      </c>
      <c r="C329" s="107" t="s">
        <v>735</v>
      </c>
      <c r="D329" s="71" t="s">
        <v>736</v>
      </c>
      <c r="E329" s="71" t="s">
        <v>114</v>
      </c>
      <c r="F329" s="71" t="s">
        <v>115</v>
      </c>
      <c r="G329" s="71" t="s">
        <v>739</v>
      </c>
      <c r="H329" s="108">
        <v>30000</v>
      </c>
      <c r="I329" s="24"/>
      <c r="J329" s="25"/>
      <c r="K329" s="26"/>
      <c r="L329" s="109">
        <v>30000</v>
      </c>
      <c r="M329" s="26"/>
      <c r="N329" s="25"/>
      <c r="O329" s="28"/>
      <c r="P329" s="28"/>
      <c r="Q329" s="110">
        <f t="shared" si="11"/>
        <v>30000</v>
      </c>
      <c r="R329" s="28"/>
      <c r="S329" s="47" t="s">
        <v>139</v>
      </c>
    </row>
    <row r="330" spans="1:19" ht="21" x14ac:dyDescent="0.3">
      <c r="A330" s="106" t="s">
        <v>14</v>
      </c>
      <c r="B330" s="189" t="s">
        <v>978</v>
      </c>
      <c r="C330" s="107" t="s">
        <v>735</v>
      </c>
      <c r="D330" s="71" t="s">
        <v>736</v>
      </c>
      <c r="E330" s="71" t="s">
        <v>441</v>
      </c>
      <c r="F330" s="71" t="s">
        <v>442</v>
      </c>
      <c r="G330" s="71" t="s">
        <v>740</v>
      </c>
      <c r="H330" s="108">
        <v>150000</v>
      </c>
      <c r="I330" s="112">
        <v>3387.72</v>
      </c>
      <c r="J330" s="25"/>
      <c r="K330" s="26"/>
      <c r="L330" s="109">
        <v>146612.28</v>
      </c>
      <c r="M330" s="26"/>
      <c r="N330" s="25"/>
      <c r="O330" s="28"/>
      <c r="P330" s="28"/>
      <c r="Q330" s="110">
        <f t="shared" si="11"/>
        <v>146612.28</v>
      </c>
      <c r="R330" s="28"/>
      <c r="S330" s="47" t="s">
        <v>139</v>
      </c>
    </row>
    <row r="331" spans="1:19" ht="21" x14ac:dyDescent="0.3">
      <c r="A331" s="106" t="s">
        <v>14</v>
      </c>
      <c r="B331" s="189" t="s">
        <v>978</v>
      </c>
      <c r="C331" s="107" t="s">
        <v>735</v>
      </c>
      <c r="D331" s="71" t="s">
        <v>736</v>
      </c>
      <c r="E331" s="71" t="s">
        <v>194</v>
      </c>
      <c r="F331" s="71" t="s">
        <v>195</v>
      </c>
      <c r="G331" s="71" t="s">
        <v>741</v>
      </c>
      <c r="H331" s="108">
        <v>8500</v>
      </c>
      <c r="I331" s="112">
        <v>1373</v>
      </c>
      <c r="J331" s="25"/>
      <c r="K331" s="26"/>
      <c r="L331" s="109">
        <v>7127</v>
      </c>
      <c r="M331" s="26"/>
      <c r="N331" s="25"/>
      <c r="O331" s="28"/>
      <c r="P331" s="28"/>
      <c r="Q331" s="110">
        <f t="shared" si="11"/>
        <v>7127</v>
      </c>
      <c r="R331" s="28"/>
      <c r="S331" s="47" t="s">
        <v>139</v>
      </c>
    </row>
    <row r="332" spans="1:19" ht="21" x14ac:dyDescent="0.3">
      <c r="A332" s="106" t="s">
        <v>14</v>
      </c>
      <c r="B332" s="189" t="s">
        <v>978</v>
      </c>
      <c r="C332" s="107" t="s">
        <v>735</v>
      </c>
      <c r="D332" s="71" t="s">
        <v>736</v>
      </c>
      <c r="E332" s="71" t="s">
        <v>26</v>
      </c>
      <c r="F332" s="71" t="s">
        <v>27</v>
      </c>
      <c r="G332" s="71" t="s">
        <v>742</v>
      </c>
      <c r="H332" s="108">
        <v>210200</v>
      </c>
      <c r="I332" s="112">
        <v>1190.21</v>
      </c>
      <c r="J332" s="25"/>
      <c r="K332" s="26"/>
      <c r="L332" s="109">
        <v>209009.79</v>
      </c>
      <c r="M332" s="26"/>
      <c r="N332" s="25"/>
      <c r="O332" s="28"/>
      <c r="P332" s="28"/>
      <c r="Q332" s="110">
        <f t="shared" si="11"/>
        <v>209009.79</v>
      </c>
      <c r="R332" s="28"/>
      <c r="S332" s="47" t="s">
        <v>139</v>
      </c>
    </row>
    <row r="333" spans="1:19" ht="21" x14ac:dyDescent="0.3">
      <c r="A333" s="106" t="s">
        <v>14</v>
      </c>
      <c r="B333" s="189" t="s">
        <v>978</v>
      </c>
      <c r="C333" s="107" t="s">
        <v>735</v>
      </c>
      <c r="D333" s="71" t="s">
        <v>736</v>
      </c>
      <c r="E333" s="71" t="s">
        <v>222</v>
      </c>
      <c r="F333" s="71" t="s">
        <v>223</v>
      </c>
      <c r="G333" s="71" t="s">
        <v>743</v>
      </c>
      <c r="H333" s="108">
        <v>305000</v>
      </c>
      <c r="I333" s="24"/>
      <c r="J333" s="114">
        <v>73532.850000000006</v>
      </c>
      <c r="K333" s="108">
        <v>8476</v>
      </c>
      <c r="L333" s="109">
        <v>222991.15</v>
      </c>
      <c r="M333" s="26"/>
      <c r="N333" s="25"/>
      <c r="O333" s="28"/>
      <c r="P333" s="28"/>
      <c r="Q333" s="110">
        <f t="shared" si="11"/>
        <v>222991.15</v>
      </c>
      <c r="R333" s="28"/>
      <c r="S333" s="47" t="s">
        <v>139</v>
      </c>
    </row>
    <row r="334" spans="1:19" ht="21" x14ac:dyDescent="0.3">
      <c r="A334" s="106" t="s">
        <v>14</v>
      </c>
      <c r="B334" s="189" t="s">
        <v>978</v>
      </c>
      <c r="C334" s="107" t="s">
        <v>735</v>
      </c>
      <c r="D334" s="71" t="s">
        <v>736</v>
      </c>
      <c r="E334" s="71" t="s">
        <v>226</v>
      </c>
      <c r="F334" s="71" t="s">
        <v>227</v>
      </c>
      <c r="G334" s="71" t="s">
        <v>744</v>
      </c>
      <c r="H334" s="108">
        <v>10000</v>
      </c>
      <c r="I334" s="24"/>
      <c r="J334" s="25"/>
      <c r="K334" s="26"/>
      <c r="L334" s="109">
        <v>10000</v>
      </c>
      <c r="M334" s="26"/>
      <c r="N334" s="25"/>
      <c r="O334" s="28"/>
      <c r="P334" s="28"/>
      <c r="Q334" s="110">
        <f t="shared" si="11"/>
        <v>10000</v>
      </c>
      <c r="R334" s="28"/>
      <c r="S334" s="47" t="s">
        <v>139</v>
      </c>
    </row>
    <row r="335" spans="1:19" ht="21" x14ac:dyDescent="0.3">
      <c r="A335" s="106" t="s">
        <v>14</v>
      </c>
      <c r="B335" s="189" t="s">
        <v>978</v>
      </c>
      <c r="C335" s="107" t="s">
        <v>735</v>
      </c>
      <c r="D335" s="71" t="s">
        <v>736</v>
      </c>
      <c r="E335" s="71" t="s">
        <v>228</v>
      </c>
      <c r="F335" s="71" t="s">
        <v>229</v>
      </c>
      <c r="G335" s="71" t="s">
        <v>745</v>
      </c>
      <c r="H335" s="108">
        <v>50000</v>
      </c>
      <c r="I335" s="24"/>
      <c r="J335" s="25"/>
      <c r="K335" s="26"/>
      <c r="L335" s="109">
        <v>50000</v>
      </c>
      <c r="M335" s="26"/>
      <c r="N335" s="25"/>
      <c r="O335" s="28"/>
      <c r="P335" s="28"/>
      <c r="Q335" s="110">
        <f t="shared" si="11"/>
        <v>50000</v>
      </c>
      <c r="R335" s="28"/>
      <c r="S335" s="47" t="s">
        <v>139</v>
      </c>
    </row>
    <row r="336" spans="1:19" ht="21" x14ac:dyDescent="0.3">
      <c r="A336" s="106" t="s">
        <v>14</v>
      </c>
      <c r="B336" s="189" t="s">
        <v>978</v>
      </c>
      <c r="C336" s="107" t="s">
        <v>735</v>
      </c>
      <c r="D336" s="71" t="s">
        <v>736</v>
      </c>
      <c r="E336" s="71" t="s">
        <v>230</v>
      </c>
      <c r="F336" s="71" t="s">
        <v>231</v>
      </c>
      <c r="G336" s="71" t="s">
        <v>746</v>
      </c>
      <c r="H336" s="108">
        <v>100000</v>
      </c>
      <c r="I336" s="112">
        <v>1880</v>
      </c>
      <c r="J336" s="114">
        <v>12242.11</v>
      </c>
      <c r="K336" s="26"/>
      <c r="L336" s="109">
        <v>85877.89</v>
      </c>
      <c r="M336" s="26"/>
      <c r="N336" s="25"/>
      <c r="O336" s="28"/>
      <c r="P336" s="28"/>
      <c r="Q336" s="110">
        <f t="shared" si="11"/>
        <v>85877.89</v>
      </c>
      <c r="R336" s="28"/>
      <c r="S336" s="47" t="s">
        <v>139</v>
      </c>
    </row>
    <row r="337" spans="1:19" ht="21" x14ac:dyDescent="0.3">
      <c r="A337" s="106" t="s">
        <v>14</v>
      </c>
      <c r="B337" s="189" t="s">
        <v>978</v>
      </c>
      <c r="C337" s="107" t="s">
        <v>735</v>
      </c>
      <c r="D337" s="71" t="s">
        <v>736</v>
      </c>
      <c r="E337" s="71" t="s">
        <v>50</v>
      </c>
      <c r="F337" s="71" t="s">
        <v>51</v>
      </c>
      <c r="G337" s="71" t="s">
        <v>747</v>
      </c>
      <c r="H337" s="108">
        <v>7500</v>
      </c>
      <c r="I337" s="24"/>
      <c r="J337" s="25"/>
      <c r="K337" s="26"/>
      <c r="L337" s="109">
        <v>7500</v>
      </c>
      <c r="M337" s="26"/>
      <c r="N337" s="25"/>
      <c r="O337" s="28"/>
      <c r="P337" s="28"/>
      <c r="Q337" s="110">
        <f t="shared" si="11"/>
        <v>7500</v>
      </c>
      <c r="R337" s="28"/>
      <c r="S337" s="47" t="s">
        <v>139</v>
      </c>
    </row>
    <row r="338" spans="1:19" ht="21" x14ac:dyDescent="0.3">
      <c r="A338" s="106" t="s">
        <v>14</v>
      </c>
      <c r="B338" s="189" t="s">
        <v>978</v>
      </c>
      <c r="C338" s="107" t="s">
        <v>735</v>
      </c>
      <c r="D338" s="71" t="s">
        <v>736</v>
      </c>
      <c r="E338" s="71" t="s">
        <v>552</v>
      </c>
      <c r="F338" s="71" t="s">
        <v>553</v>
      </c>
      <c r="G338" s="71" t="s">
        <v>748</v>
      </c>
      <c r="H338" s="108">
        <v>60000</v>
      </c>
      <c r="I338" s="24"/>
      <c r="J338" s="25"/>
      <c r="K338" s="26"/>
      <c r="L338" s="109">
        <v>60000</v>
      </c>
      <c r="M338" s="26"/>
      <c r="N338" s="25"/>
      <c r="O338" s="28"/>
      <c r="P338" s="28"/>
      <c r="Q338" s="110">
        <f t="shared" si="11"/>
        <v>60000</v>
      </c>
      <c r="R338" s="28"/>
      <c r="S338" s="47" t="s">
        <v>139</v>
      </c>
    </row>
    <row r="339" spans="1:19" ht="21" x14ac:dyDescent="0.3">
      <c r="A339" s="106" t="s">
        <v>14</v>
      </c>
      <c r="B339" s="189" t="s">
        <v>980</v>
      </c>
      <c r="C339" s="107" t="s">
        <v>759</v>
      </c>
      <c r="D339" s="71" t="s">
        <v>760</v>
      </c>
      <c r="E339" s="71" t="s">
        <v>106</v>
      </c>
      <c r="F339" s="71" t="s">
        <v>107</v>
      </c>
      <c r="G339" s="71" t="s">
        <v>761</v>
      </c>
      <c r="H339" s="108">
        <v>29519</v>
      </c>
      <c r="I339" s="112">
        <v>3329.25</v>
      </c>
      <c r="J339" s="25"/>
      <c r="K339" s="26"/>
      <c r="L339" s="109">
        <v>26189.75</v>
      </c>
      <c r="M339" s="26"/>
      <c r="N339" s="25"/>
      <c r="O339" s="28"/>
      <c r="P339" s="28"/>
      <c r="Q339" s="110">
        <f>L339-M339-N339-O339</f>
        <v>26189.75</v>
      </c>
      <c r="R339" s="28"/>
      <c r="S339" s="47" t="s">
        <v>139</v>
      </c>
    </row>
    <row r="340" spans="1:19" ht="21" x14ac:dyDescent="0.3">
      <c r="A340" s="106" t="s">
        <v>14</v>
      </c>
      <c r="B340" s="189" t="s">
        <v>980</v>
      </c>
      <c r="C340" s="107" t="s">
        <v>759</v>
      </c>
      <c r="D340" s="71" t="s">
        <v>760</v>
      </c>
      <c r="E340" s="71" t="s">
        <v>198</v>
      </c>
      <c r="F340" s="71" t="s">
        <v>199</v>
      </c>
      <c r="G340" s="71" t="s">
        <v>762</v>
      </c>
      <c r="H340" s="108">
        <v>20000</v>
      </c>
      <c r="I340" s="24"/>
      <c r="J340" s="25"/>
      <c r="K340" s="26"/>
      <c r="L340" s="109">
        <v>20000</v>
      </c>
      <c r="M340" s="26"/>
      <c r="N340" s="25"/>
      <c r="O340" s="28"/>
      <c r="P340" s="28"/>
      <c r="Q340" s="110">
        <f t="shared" ref="Q340:Q383" si="12">L340-M340-N340-O340</f>
        <v>20000</v>
      </c>
      <c r="R340" s="28"/>
      <c r="S340" s="47" t="s">
        <v>139</v>
      </c>
    </row>
    <row r="341" spans="1:19" ht="21" x14ac:dyDescent="0.3">
      <c r="A341" s="106" t="s">
        <v>14</v>
      </c>
      <c r="B341" s="189" t="s">
        <v>980</v>
      </c>
      <c r="C341" s="107" t="s">
        <v>759</v>
      </c>
      <c r="D341" s="71" t="s">
        <v>760</v>
      </c>
      <c r="E341" s="71" t="s">
        <v>210</v>
      </c>
      <c r="F341" s="71" t="s">
        <v>211</v>
      </c>
      <c r="G341" s="71" t="s">
        <v>763</v>
      </c>
      <c r="H341" s="108">
        <v>42000</v>
      </c>
      <c r="I341" s="24"/>
      <c r="J341" s="25"/>
      <c r="K341" s="26"/>
      <c r="L341" s="109">
        <v>42000</v>
      </c>
      <c r="M341" s="26"/>
      <c r="N341" s="25"/>
      <c r="O341" s="28"/>
      <c r="P341" s="28"/>
      <c r="Q341" s="110">
        <f t="shared" si="12"/>
        <v>42000</v>
      </c>
      <c r="R341" s="28"/>
      <c r="S341" s="47" t="s">
        <v>139</v>
      </c>
    </row>
    <row r="342" spans="1:19" ht="21" x14ac:dyDescent="0.3">
      <c r="A342" s="106" t="s">
        <v>14</v>
      </c>
      <c r="B342" s="189" t="s">
        <v>980</v>
      </c>
      <c r="C342" s="107" t="s">
        <v>759</v>
      </c>
      <c r="D342" s="71" t="s">
        <v>760</v>
      </c>
      <c r="E342" s="71" t="s">
        <v>764</v>
      </c>
      <c r="F342" s="71" t="s">
        <v>765</v>
      </c>
      <c r="G342" s="71" t="s">
        <v>766</v>
      </c>
      <c r="H342" s="108">
        <v>616900</v>
      </c>
      <c r="I342" s="112">
        <v>50811.65</v>
      </c>
      <c r="J342" s="114">
        <v>5152.7</v>
      </c>
      <c r="K342" s="108">
        <v>127915</v>
      </c>
      <c r="L342" s="109">
        <v>433020.65</v>
      </c>
      <c r="M342" s="26"/>
      <c r="N342" s="25"/>
      <c r="O342" s="28"/>
      <c r="P342" s="28"/>
      <c r="Q342" s="110">
        <f t="shared" si="12"/>
        <v>433020.65</v>
      </c>
      <c r="R342" s="28"/>
      <c r="S342" s="47" t="s">
        <v>139</v>
      </c>
    </row>
    <row r="343" spans="1:19" ht="21" x14ac:dyDescent="0.3">
      <c r="A343" s="106" t="s">
        <v>14</v>
      </c>
      <c r="B343" s="189" t="s">
        <v>980</v>
      </c>
      <c r="C343" s="107" t="s">
        <v>759</v>
      </c>
      <c r="D343" s="71" t="s">
        <v>760</v>
      </c>
      <c r="E343" s="71" t="s">
        <v>764</v>
      </c>
      <c r="F343" s="71" t="s">
        <v>765</v>
      </c>
      <c r="G343" s="71" t="s">
        <v>767</v>
      </c>
      <c r="H343" s="108">
        <v>23100</v>
      </c>
      <c r="I343" s="24"/>
      <c r="J343" s="25"/>
      <c r="K343" s="108">
        <v>23100</v>
      </c>
      <c r="L343" s="109">
        <v>0</v>
      </c>
      <c r="M343" s="26"/>
      <c r="N343" s="25"/>
      <c r="O343" s="28"/>
      <c r="P343" s="28"/>
      <c r="Q343" s="110">
        <f t="shared" si="12"/>
        <v>0</v>
      </c>
      <c r="R343" s="28"/>
      <c r="S343" s="47" t="s">
        <v>139</v>
      </c>
    </row>
    <row r="344" spans="1:19" ht="21" x14ac:dyDescent="0.3">
      <c r="A344" s="106" t="s">
        <v>14</v>
      </c>
      <c r="B344" s="189" t="s">
        <v>980</v>
      </c>
      <c r="C344" s="107" t="s">
        <v>768</v>
      </c>
      <c r="D344" s="71" t="s">
        <v>769</v>
      </c>
      <c r="E344" s="71" t="s">
        <v>770</v>
      </c>
      <c r="F344" s="71" t="s">
        <v>771</v>
      </c>
      <c r="G344" s="71" t="s">
        <v>772</v>
      </c>
      <c r="H344" s="108">
        <v>4056439</v>
      </c>
      <c r="I344" s="112">
        <v>-51023.91</v>
      </c>
      <c r="J344" s="114">
        <v>0</v>
      </c>
      <c r="K344" s="108">
        <v>4107462.42</v>
      </c>
      <c r="L344" s="109">
        <v>0.49000000022351697</v>
      </c>
      <c r="M344" s="26"/>
      <c r="N344" s="25"/>
      <c r="O344" s="28"/>
      <c r="P344" s="28"/>
      <c r="Q344" s="110">
        <f t="shared" si="12"/>
        <v>0.49000000022351697</v>
      </c>
      <c r="R344" s="28"/>
      <c r="S344" s="47" t="s">
        <v>139</v>
      </c>
    </row>
    <row r="345" spans="1:19" ht="21" x14ac:dyDescent="0.3">
      <c r="A345" s="106" t="s">
        <v>14</v>
      </c>
      <c r="B345" s="189" t="s">
        <v>980</v>
      </c>
      <c r="C345" s="107" t="s">
        <v>768</v>
      </c>
      <c r="D345" s="71" t="s">
        <v>769</v>
      </c>
      <c r="E345" s="71" t="s">
        <v>770</v>
      </c>
      <c r="F345" s="71" t="s">
        <v>771</v>
      </c>
      <c r="G345" s="71" t="s">
        <v>773</v>
      </c>
      <c r="H345" s="108">
        <v>747242</v>
      </c>
      <c r="I345" s="24"/>
      <c r="J345" s="114">
        <v>0</v>
      </c>
      <c r="K345" s="108">
        <v>747242</v>
      </c>
      <c r="L345" s="109">
        <v>0</v>
      </c>
      <c r="M345" s="26"/>
      <c r="N345" s="25"/>
      <c r="O345" s="28"/>
      <c r="P345" s="28"/>
      <c r="Q345" s="110">
        <f t="shared" si="12"/>
        <v>0</v>
      </c>
      <c r="R345" s="28"/>
      <c r="S345" s="47" t="s">
        <v>139</v>
      </c>
    </row>
    <row r="346" spans="1:19" ht="21" x14ac:dyDescent="0.3">
      <c r="A346" s="106" t="s">
        <v>14</v>
      </c>
      <c r="B346" s="189" t="s">
        <v>980</v>
      </c>
      <c r="C346" s="107" t="s">
        <v>768</v>
      </c>
      <c r="D346" s="71" t="s">
        <v>769</v>
      </c>
      <c r="E346" s="71" t="s">
        <v>770</v>
      </c>
      <c r="F346" s="71" t="s">
        <v>771</v>
      </c>
      <c r="G346" s="71" t="s">
        <v>774</v>
      </c>
      <c r="H346" s="108">
        <v>4118107</v>
      </c>
      <c r="I346" s="112">
        <v>109095.7</v>
      </c>
      <c r="J346" s="114">
        <v>0</v>
      </c>
      <c r="K346" s="108">
        <v>3988550.02</v>
      </c>
      <c r="L346" s="109">
        <v>20461.279999999799</v>
      </c>
      <c r="M346" s="26"/>
      <c r="N346" s="25"/>
      <c r="O346" s="28"/>
      <c r="P346" s="28"/>
      <c r="Q346" s="110">
        <f t="shared" si="12"/>
        <v>20461.279999999799</v>
      </c>
      <c r="R346" s="28"/>
      <c r="S346" s="47" t="s">
        <v>139</v>
      </c>
    </row>
    <row r="347" spans="1:19" ht="21" x14ac:dyDescent="0.3">
      <c r="A347" s="106" t="s">
        <v>14</v>
      </c>
      <c r="B347" s="189" t="s">
        <v>980</v>
      </c>
      <c r="C347" s="107" t="s">
        <v>768</v>
      </c>
      <c r="D347" s="71" t="s">
        <v>769</v>
      </c>
      <c r="E347" s="71" t="s">
        <v>95</v>
      </c>
      <c r="F347" s="71" t="s">
        <v>96</v>
      </c>
      <c r="G347" s="71" t="s">
        <v>775</v>
      </c>
      <c r="H347" s="108">
        <v>850000</v>
      </c>
      <c r="I347" s="24"/>
      <c r="J347" s="114">
        <v>850000</v>
      </c>
      <c r="K347" s="26"/>
      <c r="L347" s="109">
        <v>0</v>
      </c>
      <c r="M347" s="26"/>
      <c r="N347" s="25"/>
      <c r="O347" s="28"/>
      <c r="P347" s="28"/>
      <c r="Q347" s="110">
        <f t="shared" si="12"/>
        <v>0</v>
      </c>
      <c r="R347" s="28"/>
      <c r="S347" s="47" t="s">
        <v>139</v>
      </c>
    </row>
    <row r="348" spans="1:19" ht="21" x14ac:dyDescent="0.3">
      <c r="A348" s="106" t="s">
        <v>14</v>
      </c>
      <c r="B348" s="189" t="s">
        <v>980</v>
      </c>
      <c r="C348" s="107" t="s">
        <v>768</v>
      </c>
      <c r="D348" s="71" t="s">
        <v>769</v>
      </c>
      <c r="E348" s="71" t="s">
        <v>23</v>
      </c>
      <c r="F348" s="71" t="s">
        <v>24</v>
      </c>
      <c r="G348" s="71" t="s">
        <v>776</v>
      </c>
      <c r="H348" s="26"/>
      <c r="I348" s="112">
        <v>-14016</v>
      </c>
      <c r="J348" s="25"/>
      <c r="K348" s="26"/>
      <c r="L348" s="109">
        <v>14016</v>
      </c>
      <c r="M348" s="26"/>
      <c r="N348" s="25"/>
      <c r="O348" s="28"/>
      <c r="P348" s="28"/>
      <c r="Q348" s="110">
        <f t="shared" si="12"/>
        <v>14016</v>
      </c>
      <c r="R348" s="28"/>
      <c r="S348" s="47" t="s">
        <v>139</v>
      </c>
    </row>
    <row r="349" spans="1:19" ht="21" x14ac:dyDescent="0.3">
      <c r="A349" s="106" t="s">
        <v>14</v>
      </c>
      <c r="B349" s="189" t="s">
        <v>980</v>
      </c>
      <c r="C349" s="107" t="s">
        <v>768</v>
      </c>
      <c r="D349" s="71" t="s">
        <v>769</v>
      </c>
      <c r="E349" s="71" t="s">
        <v>777</v>
      </c>
      <c r="F349" s="71" t="s">
        <v>778</v>
      </c>
      <c r="G349" s="71" t="s">
        <v>779</v>
      </c>
      <c r="H349" s="108">
        <v>3768261</v>
      </c>
      <c r="I349" s="112">
        <v>25669.59</v>
      </c>
      <c r="J349" s="114">
        <v>0</v>
      </c>
      <c r="K349" s="108">
        <v>600051.51</v>
      </c>
      <c r="L349" s="109">
        <v>3142539.9</v>
      </c>
      <c r="M349" s="26"/>
      <c r="N349" s="25"/>
      <c r="O349" s="28"/>
      <c r="P349" s="28"/>
      <c r="Q349" s="110">
        <f t="shared" si="12"/>
        <v>3142539.9</v>
      </c>
      <c r="R349" s="28"/>
      <c r="S349" s="47" t="s">
        <v>139</v>
      </c>
    </row>
    <row r="350" spans="1:19" ht="21" x14ac:dyDescent="0.3">
      <c r="A350" s="106" t="s">
        <v>14</v>
      </c>
      <c r="B350" s="189" t="s">
        <v>980</v>
      </c>
      <c r="C350" s="107" t="s">
        <v>768</v>
      </c>
      <c r="D350" s="71" t="s">
        <v>769</v>
      </c>
      <c r="E350" s="71" t="s">
        <v>777</v>
      </c>
      <c r="F350" s="71" t="s">
        <v>778</v>
      </c>
      <c r="G350" s="71" t="s">
        <v>780</v>
      </c>
      <c r="H350" s="108">
        <v>2649480</v>
      </c>
      <c r="I350" s="24"/>
      <c r="J350" s="114">
        <v>0</v>
      </c>
      <c r="K350" s="108">
        <v>400563.78</v>
      </c>
      <c r="L350" s="109">
        <v>2248916.2200000002</v>
      </c>
      <c r="M350" s="26"/>
      <c r="N350" s="25"/>
      <c r="O350" s="28"/>
      <c r="P350" s="28"/>
      <c r="Q350" s="110">
        <f t="shared" si="12"/>
        <v>2248916.2200000002</v>
      </c>
      <c r="R350" s="28"/>
      <c r="S350" s="47" t="s">
        <v>139</v>
      </c>
    </row>
    <row r="351" spans="1:19" ht="21" x14ac:dyDescent="0.3">
      <c r="A351" s="106" t="s">
        <v>14</v>
      </c>
      <c r="B351" s="189" t="s">
        <v>980</v>
      </c>
      <c r="C351" s="107" t="s">
        <v>768</v>
      </c>
      <c r="D351" s="71" t="s">
        <v>769</v>
      </c>
      <c r="E351" s="71" t="s">
        <v>777</v>
      </c>
      <c r="F351" s="71" t="s">
        <v>778</v>
      </c>
      <c r="G351" s="71" t="s">
        <v>781</v>
      </c>
      <c r="H351" s="108">
        <v>2601720</v>
      </c>
      <c r="I351" s="24"/>
      <c r="J351" s="114">
        <v>0</v>
      </c>
      <c r="K351" s="108">
        <v>297566.74</v>
      </c>
      <c r="L351" s="109">
        <v>2304153.2599999998</v>
      </c>
      <c r="M351" s="26"/>
      <c r="N351" s="25"/>
      <c r="O351" s="28"/>
      <c r="P351" s="28"/>
      <c r="Q351" s="110">
        <f t="shared" si="12"/>
        <v>2304153.2599999998</v>
      </c>
      <c r="R351" s="28"/>
      <c r="S351" s="47" t="s">
        <v>139</v>
      </c>
    </row>
    <row r="352" spans="1:19" ht="21" x14ac:dyDescent="0.3">
      <c r="A352" s="106" t="s">
        <v>14</v>
      </c>
      <c r="B352" s="189" t="s">
        <v>980</v>
      </c>
      <c r="C352" s="107" t="s">
        <v>768</v>
      </c>
      <c r="D352" s="71" t="s">
        <v>769</v>
      </c>
      <c r="E352" s="71" t="s">
        <v>777</v>
      </c>
      <c r="F352" s="71" t="s">
        <v>778</v>
      </c>
      <c r="G352" s="71" t="s">
        <v>782</v>
      </c>
      <c r="H352" s="108">
        <v>369219</v>
      </c>
      <c r="I352" s="112">
        <v>369218.08</v>
      </c>
      <c r="J352" s="25"/>
      <c r="K352" s="26"/>
      <c r="L352" s="109">
        <v>0.91999999998370197</v>
      </c>
      <c r="M352" s="26"/>
      <c r="N352" s="25"/>
      <c r="O352" s="28"/>
      <c r="P352" s="28"/>
      <c r="Q352" s="110">
        <f t="shared" si="12"/>
        <v>0.91999999998370197</v>
      </c>
      <c r="R352" s="28"/>
      <c r="S352" s="47" t="s">
        <v>139</v>
      </c>
    </row>
    <row r="353" spans="1:19" ht="21" x14ac:dyDescent="0.3">
      <c r="A353" s="106" t="s">
        <v>14</v>
      </c>
      <c r="B353" s="189" t="s">
        <v>980</v>
      </c>
      <c r="C353" s="107" t="s">
        <v>768</v>
      </c>
      <c r="D353" s="71" t="s">
        <v>769</v>
      </c>
      <c r="E353" s="71" t="s">
        <v>106</v>
      </c>
      <c r="F353" s="71" t="s">
        <v>107</v>
      </c>
      <c r="G353" s="71" t="s">
        <v>783</v>
      </c>
      <c r="H353" s="108">
        <v>20000</v>
      </c>
      <c r="I353" s="24"/>
      <c r="J353" s="25"/>
      <c r="K353" s="26"/>
      <c r="L353" s="109">
        <v>20000</v>
      </c>
      <c r="M353" s="26"/>
      <c r="N353" s="25"/>
      <c r="O353" s="28"/>
      <c r="P353" s="28"/>
      <c r="Q353" s="110">
        <f t="shared" si="12"/>
        <v>20000</v>
      </c>
      <c r="R353" s="28"/>
      <c r="S353" s="47" t="s">
        <v>139</v>
      </c>
    </row>
    <row r="354" spans="1:19" ht="21" x14ac:dyDescent="0.3">
      <c r="A354" s="106" t="s">
        <v>14</v>
      </c>
      <c r="B354" s="189" t="s">
        <v>980</v>
      </c>
      <c r="C354" s="107" t="s">
        <v>768</v>
      </c>
      <c r="D354" s="71" t="s">
        <v>769</v>
      </c>
      <c r="E354" s="71" t="s">
        <v>194</v>
      </c>
      <c r="F354" s="71" t="s">
        <v>195</v>
      </c>
      <c r="G354" s="71" t="s">
        <v>784</v>
      </c>
      <c r="H354" s="108">
        <v>30000</v>
      </c>
      <c r="I354" s="24"/>
      <c r="J354" s="25"/>
      <c r="K354" s="26"/>
      <c r="L354" s="109">
        <v>30000</v>
      </c>
      <c r="M354" s="26"/>
      <c r="N354" s="25"/>
      <c r="O354" s="28"/>
      <c r="P354" s="28"/>
      <c r="Q354" s="110">
        <f t="shared" si="12"/>
        <v>30000</v>
      </c>
      <c r="R354" s="28"/>
      <c r="S354" s="47" t="s">
        <v>139</v>
      </c>
    </row>
    <row r="355" spans="1:19" ht="21" x14ac:dyDescent="0.3">
      <c r="A355" s="106" t="s">
        <v>14</v>
      </c>
      <c r="B355" s="189" t="s">
        <v>980</v>
      </c>
      <c r="C355" s="107" t="s">
        <v>768</v>
      </c>
      <c r="D355" s="71" t="s">
        <v>769</v>
      </c>
      <c r="E355" s="71" t="s">
        <v>785</v>
      </c>
      <c r="F355" s="71" t="s">
        <v>786</v>
      </c>
      <c r="G355" s="71" t="s">
        <v>787</v>
      </c>
      <c r="H355" s="108">
        <v>960437</v>
      </c>
      <c r="I355" s="112">
        <v>1250</v>
      </c>
      <c r="J355" s="25"/>
      <c r="K355" s="26"/>
      <c r="L355" s="109">
        <v>959187</v>
      </c>
      <c r="M355" s="26"/>
      <c r="N355" s="25"/>
      <c r="O355" s="28"/>
      <c r="P355" s="28"/>
      <c r="Q355" s="110">
        <f t="shared" si="12"/>
        <v>959187</v>
      </c>
      <c r="R355" s="28"/>
      <c r="S355" s="47" t="s">
        <v>139</v>
      </c>
    </row>
    <row r="356" spans="1:19" ht="21" x14ac:dyDescent="0.3">
      <c r="A356" s="106" t="s">
        <v>14</v>
      </c>
      <c r="B356" s="189" t="s">
        <v>980</v>
      </c>
      <c r="C356" s="107" t="s">
        <v>768</v>
      </c>
      <c r="D356" s="71" t="s">
        <v>769</v>
      </c>
      <c r="E356" s="71" t="s">
        <v>785</v>
      </c>
      <c r="F356" s="71" t="s">
        <v>786</v>
      </c>
      <c r="G356" s="71" t="s">
        <v>788</v>
      </c>
      <c r="H356" s="108">
        <v>23714</v>
      </c>
      <c r="I356" s="24"/>
      <c r="J356" s="25"/>
      <c r="K356" s="26"/>
      <c r="L356" s="109">
        <v>23714</v>
      </c>
      <c r="M356" s="26"/>
      <c r="N356" s="25"/>
      <c r="O356" s="28"/>
      <c r="P356" s="28"/>
      <c r="Q356" s="110">
        <f t="shared" si="12"/>
        <v>23714</v>
      </c>
      <c r="R356" s="28"/>
      <c r="S356" s="47" t="s">
        <v>139</v>
      </c>
    </row>
    <row r="357" spans="1:19" ht="21" x14ac:dyDescent="0.3">
      <c r="A357" s="106" t="s">
        <v>14</v>
      </c>
      <c r="B357" s="189" t="s">
        <v>980</v>
      </c>
      <c r="C357" s="107" t="s">
        <v>768</v>
      </c>
      <c r="D357" s="71" t="s">
        <v>769</v>
      </c>
      <c r="E357" s="71" t="s">
        <v>789</v>
      </c>
      <c r="F357" s="71" t="s">
        <v>790</v>
      </c>
      <c r="G357" s="71" t="s">
        <v>791</v>
      </c>
      <c r="H357" s="108">
        <v>50000</v>
      </c>
      <c r="I357" s="112">
        <v>14718</v>
      </c>
      <c r="J357" s="25"/>
      <c r="K357" s="26"/>
      <c r="L357" s="109">
        <v>35282</v>
      </c>
      <c r="M357" s="26"/>
      <c r="N357" s="25"/>
      <c r="O357" s="28"/>
      <c r="P357" s="28"/>
      <c r="Q357" s="110">
        <f t="shared" si="12"/>
        <v>35282</v>
      </c>
      <c r="R357" s="28"/>
      <c r="S357" s="47" t="s">
        <v>139</v>
      </c>
    </row>
    <row r="358" spans="1:19" ht="21" x14ac:dyDescent="0.3">
      <c r="A358" s="106" t="s">
        <v>14</v>
      </c>
      <c r="B358" s="189" t="s">
        <v>980</v>
      </c>
      <c r="C358" s="107" t="s">
        <v>768</v>
      </c>
      <c r="D358" s="71" t="s">
        <v>769</v>
      </c>
      <c r="E358" s="71" t="s">
        <v>35</v>
      </c>
      <c r="F358" s="71" t="s">
        <v>36</v>
      </c>
      <c r="G358" s="71" t="s">
        <v>792</v>
      </c>
      <c r="H358" s="108">
        <v>50000</v>
      </c>
      <c r="I358" s="24"/>
      <c r="J358" s="25"/>
      <c r="K358" s="26"/>
      <c r="L358" s="109">
        <v>50000</v>
      </c>
      <c r="M358" s="26"/>
      <c r="N358" s="25"/>
      <c r="O358" s="28"/>
      <c r="P358" s="28"/>
      <c r="Q358" s="110">
        <f t="shared" si="12"/>
        <v>50000</v>
      </c>
      <c r="R358" s="28"/>
      <c r="S358" s="47" t="s">
        <v>139</v>
      </c>
    </row>
    <row r="359" spans="1:19" ht="21" x14ac:dyDescent="0.3">
      <c r="A359" s="106" t="s">
        <v>14</v>
      </c>
      <c r="B359" s="189" t="s">
        <v>980</v>
      </c>
      <c r="C359" s="107" t="s">
        <v>768</v>
      </c>
      <c r="D359" s="71" t="s">
        <v>769</v>
      </c>
      <c r="E359" s="71" t="s">
        <v>793</v>
      </c>
      <c r="F359" s="71" t="s">
        <v>794</v>
      </c>
      <c r="G359" s="71" t="s">
        <v>795</v>
      </c>
      <c r="H359" s="108">
        <v>11446037</v>
      </c>
      <c r="I359" s="112">
        <v>1000778.55</v>
      </c>
      <c r="J359" s="114">
        <v>955030</v>
      </c>
      <c r="K359" s="108">
        <v>9377366.6799999997</v>
      </c>
      <c r="L359" s="109">
        <v>112861.77</v>
      </c>
      <c r="M359" s="26"/>
      <c r="N359" s="25"/>
      <c r="O359" s="28"/>
      <c r="P359" s="28"/>
      <c r="Q359" s="110">
        <f t="shared" si="12"/>
        <v>112861.77</v>
      </c>
      <c r="R359" s="28"/>
      <c r="S359" s="47" t="s">
        <v>139</v>
      </c>
    </row>
    <row r="360" spans="1:19" ht="21" x14ac:dyDescent="0.3">
      <c r="A360" s="106" t="s">
        <v>14</v>
      </c>
      <c r="B360" s="189" t="s">
        <v>980</v>
      </c>
      <c r="C360" s="107" t="s">
        <v>768</v>
      </c>
      <c r="D360" s="71" t="s">
        <v>769</v>
      </c>
      <c r="E360" s="71" t="s">
        <v>793</v>
      </c>
      <c r="F360" s="71" t="s">
        <v>794</v>
      </c>
      <c r="G360" s="71" t="s">
        <v>796</v>
      </c>
      <c r="H360" s="108">
        <v>5071140</v>
      </c>
      <c r="I360" s="112">
        <v>-1834.43</v>
      </c>
      <c r="J360" s="114">
        <v>0</v>
      </c>
      <c r="K360" s="108">
        <v>5020533.1100000003</v>
      </c>
      <c r="L360" s="109">
        <v>52441.320000000298</v>
      </c>
      <c r="M360" s="26"/>
      <c r="N360" s="25"/>
      <c r="O360" s="28"/>
      <c r="P360" s="28"/>
      <c r="Q360" s="110">
        <f t="shared" si="12"/>
        <v>52441.320000000298</v>
      </c>
      <c r="R360" s="28"/>
      <c r="S360" s="47" t="s">
        <v>139</v>
      </c>
    </row>
    <row r="361" spans="1:19" ht="21" x14ac:dyDescent="0.3">
      <c r="A361" s="106" t="s">
        <v>14</v>
      </c>
      <c r="B361" s="189" t="s">
        <v>980</v>
      </c>
      <c r="C361" s="107" t="s">
        <v>768</v>
      </c>
      <c r="D361" s="71" t="s">
        <v>769</v>
      </c>
      <c r="E361" s="71" t="s">
        <v>793</v>
      </c>
      <c r="F361" s="71" t="s">
        <v>794</v>
      </c>
      <c r="G361" s="71" t="s">
        <v>797</v>
      </c>
      <c r="H361" s="108">
        <v>5446416</v>
      </c>
      <c r="I361" s="112">
        <v>187731.44</v>
      </c>
      <c r="J361" s="114">
        <v>1542820.35</v>
      </c>
      <c r="K361" s="108">
        <v>3142995.58</v>
      </c>
      <c r="L361" s="109">
        <v>572868.62999999896</v>
      </c>
      <c r="M361" s="26"/>
      <c r="N361" s="25"/>
      <c r="O361" s="28"/>
      <c r="P361" s="28"/>
      <c r="Q361" s="110">
        <f t="shared" si="12"/>
        <v>572868.62999999896</v>
      </c>
      <c r="R361" s="28"/>
      <c r="S361" s="47" t="s">
        <v>139</v>
      </c>
    </row>
    <row r="362" spans="1:19" ht="21" x14ac:dyDescent="0.3">
      <c r="A362" s="106" t="s">
        <v>14</v>
      </c>
      <c r="B362" s="189" t="s">
        <v>980</v>
      </c>
      <c r="C362" s="107" t="s">
        <v>768</v>
      </c>
      <c r="D362" s="71" t="s">
        <v>769</v>
      </c>
      <c r="E362" s="71" t="s">
        <v>793</v>
      </c>
      <c r="F362" s="71" t="s">
        <v>794</v>
      </c>
      <c r="G362" s="71" t="s">
        <v>798</v>
      </c>
      <c r="H362" s="108">
        <v>1207678</v>
      </c>
      <c r="I362" s="112">
        <v>141420.34</v>
      </c>
      <c r="J362" s="114">
        <v>0</v>
      </c>
      <c r="K362" s="108">
        <v>95200</v>
      </c>
      <c r="L362" s="109">
        <v>971057.66</v>
      </c>
      <c r="M362" s="26"/>
      <c r="N362" s="25"/>
      <c r="O362" s="28"/>
      <c r="P362" s="28"/>
      <c r="Q362" s="110">
        <f t="shared" si="12"/>
        <v>971057.66</v>
      </c>
      <c r="R362" s="28"/>
      <c r="S362" s="47" t="s">
        <v>139</v>
      </c>
    </row>
    <row r="363" spans="1:19" ht="21" x14ac:dyDescent="0.3">
      <c r="A363" s="106" t="s">
        <v>14</v>
      </c>
      <c r="B363" s="189" t="s">
        <v>980</v>
      </c>
      <c r="C363" s="107" t="s">
        <v>768</v>
      </c>
      <c r="D363" s="71" t="s">
        <v>769</v>
      </c>
      <c r="E363" s="71" t="s">
        <v>449</v>
      </c>
      <c r="F363" s="71" t="s">
        <v>450</v>
      </c>
      <c r="G363" s="71" t="s">
        <v>799</v>
      </c>
      <c r="H363" s="108">
        <v>30000</v>
      </c>
      <c r="I363" s="112">
        <v>4800</v>
      </c>
      <c r="J363" s="114">
        <v>0</v>
      </c>
      <c r="K363" s="108">
        <v>0</v>
      </c>
      <c r="L363" s="109">
        <v>25200</v>
      </c>
      <c r="M363" s="26"/>
      <c r="N363" s="25"/>
      <c r="O363" s="28"/>
      <c r="P363" s="28"/>
      <c r="Q363" s="110">
        <f t="shared" si="12"/>
        <v>25200</v>
      </c>
      <c r="R363" s="28"/>
      <c r="S363" s="47" t="s">
        <v>139</v>
      </c>
    </row>
    <row r="364" spans="1:19" ht="21" x14ac:dyDescent="0.3">
      <c r="A364" s="106" t="s">
        <v>14</v>
      </c>
      <c r="B364" s="189" t="s">
        <v>980</v>
      </c>
      <c r="C364" s="107" t="s">
        <v>768</v>
      </c>
      <c r="D364" s="71" t="s">
        <v>769</v>
      </c>
      <c r="E364" s="71" t="s">
        <v>800</v>
      </c>
      <c r="F364" s="71" t="s">
        <v>801</v>
      </c>
      <c r="G364" s="71" t="s">
        <v>802</v>
      </c>
      <c r="H364" s="108">
        <v>26000</v>
      </c>
      <c r="I364" s="112">
        <v>5024</v>
      </c>
      <c r="J364" s="25"/>
      <c r="K364" s="26"/>
      <c r="L364" s="109">
        <v>20976</v>
      </c>
      <c r="M364" s="26"/>
      <c r="N364" s="25"/>
      <c r="O364" s="28"/>
      <c r="P364" s="28"/>
      <c r="Q364" s="110">
        <f t="shared" si="12"/>
        <v>20976</v>
      </c>
      <c r="R364" s="28"/>
      <c r="S364" s="47" t="s">
        <v>139</v>
      </c>
    </row>
    <row r="365" spans="1:19" x14ac:dyDescent="0.3">
      <c r="A365" s="106" t="s">
        <v>14</v>
      </c>
      <c r="B365" s="189" t="s">
        <v>980</v>
      </c>
      <c r="C365" s="107" t="s">
        <v>803</v>
      </c>
      <c r="D365" s="71" t="s">
        <v>804</v>
      </c>
      <c r="E365" s="71" t="s">
        <v>23</v>
      </c>
      <c r="F365" s="71" t="s">
        <v>24</v>
      </c>
      <c r="G365" s="71" t="s">
        <v>805</v>
      </c>
      <c r="H365" s="108">
        <v>589128</v>
      </c>
      <c r="I365" s="112">
        <v>106307.53</v>
      </c>
      <c r="J365" s="114">
        <v>1</v>
      </c>
      <c r="K365" s="108">
        <v>405084.4</v>
      </c>
      <c r="L365" s="109">
        <v>77735.070000000094</v>
      </c>
      <c r="M365" s="26"/>
      <c r="N365" s="25"/>
      <c r="O365" s="28"/>
      <c r="P365" s="28"/>
      <c r="Q365" s="110">
        <f t="shared" si="12"/>
        <v>77735.070000000094</v>
      </c>
      <c r="R365" s="28"/>
      <c r="S365" s="47" t="s">
        <v>139</v>
      </c>
    </row>
    <row r="366" spans="1:19" x14ac:dyDescent="0.3">
      <c r="A366" s="106" t="s">
        <v>14</v>
      </c>
      <c r="B366" s="189" t="s">
        <v>980</v>
      </c>
      <c r="C366" s="107" t="s">
        <v>803</v>
      </c>
      <c r="D366" s="71" t="s">
        <v>804</v>
      </c>
      <c r="E366" s="71" t="s">
        <v>806</v>
      </c>
      <c r="F366" s="71" t="s">
        <v>807</v>
      </c>
      <c r="G366" s="71" t="s">
        <v>808</v>
      </c>
      <c r="H366" s="108">
        <v>10000</v>
      </c>
      <c r="I366" s="112">
        <v>480</v>
      </c>
      <c r="J366" s="25"/>
      <c r="K366" s="26"/>
      <c r="L366" s="109">
        <v>9520</v>
      </c>
      <c r="M366" s="26"/>
      <c r="N366" s="25"/>
      <c r="O366" s="28"/>
      <c r="P366" s="28"/>
      <c r="Q366" s="110">
        <f t="shared" si="12"/>
        <v>9520</v>
      </c>
      <c r="R366" s="28"/>
      <c r="S366" s="47" t="s">
        <v>139</v>
      </c>
    </row>
    <row r="367" spans="1:19" ht="21" x14ac:dyDescent="0.3">
      <c r="A367" s="106" t="s">
        <v>14</v>
      </c>
      <c r="B367" s="189" t="s">
        <v>980</v>
      </c>
      <c r="C367" s="107" t="s">
        <v>803</v>
      </c>
      <c r="D367" s="71" t="s">
        <v>804</v>
      </c>
      <c r="E367" s="71" t="s">
        <v>204</v>
      </c>
      <c r="F367" s="71" t="s">
        <v>205</v>
      </c>
      <c r="G367" s="71" t="s">
        <v>809</v>
      </c>
      <c r="H367" s="108">
        <v>30000</v>
      </c>
      <c r="I367" s="24"/>
      <c r="J367" s="25"/>
      <c r="K367" s="26"/>
      <c r="L367" s="109">
        <v>30000</v>
      </c>
      <c r="M367" s="26"/>
      <c r="N367" s="25"/>
      <c r="O367" s="28"/>
      <c r="P367" s="28"/>
      <c r="Q367" s="110">
        <f t="shared" si="12"/>
        <v>30000</v>
      </c>
      <c r="R367" s="28"/>
      <c r="S367" s="47" t="s">
        <v>139</v>
      </c>
    </row>
    <row r="368" spans="1:19" x14ac:dyDescent="0.3">
      <c r="A368" s="106" t="s">
        <v>14</v>
      </c>
      <c r="B368" s="189" t="s">
        <v>980</v>
      </c>
      <c r="C368" s="107" t="s">
        <v>803</v>
      </c>
      <c r="D368" s="71" t="s">
        <v>804</v>
      </c>
      <c r="E368" s="71" t="s">
        <v>810</v>
      </c>
      <c r="F368" s="71" t="s">
        <v>811</v>
      </c>
      <c r="G368" s="71" t="s">
        <v>812</v>
      </c>
      <c r="H368" s="108">
        <v>7349560</v>
      </c>
      <c r="I368" s="112">
        <v>37217</v>
      </c>
      <c r="J368" s="25"/>
      <c r="K368" s="26"/>
      <c r="L368" s="109">
        <v>7312343</v>
      </c>
      <c r="M368" s="26"/>
      <c r="N368" s="25"/>
      <c r="O368" s="28"/>
      <c r="P368" s="28"/>
      <c r="Q368" s="110">
        <f t="shared" si="12"/>
        <v>7312343</v>
      </c>
      <c r="R368" s="28"/>
      <c r="S368" s="47" t="s">
        <v>139</v>
      </c>
    </row>
    <row r="369" spans="1:19" x14ac:dyDescent="0.3">
      <c r="A369" s="106" t="s">
        <v>14</v>
      </c>
      <c r="B369" s="189" t="s">
        <v>980</v>
      </c>
      <c r="C369" s="107" t="s">
        <v>803</v>
      </c>
      <c r="D369" s="71" t="s">
        <v>804</v>
      </c>
      <c r="E369" s="71" t="s">
        <v>810</v>
      </c>
      <c r="F369" s="71" t="s">
        <v>811</v>
      </c>
      <c r="G369" s="71" t="s">
        <v>813</v>
      </c>
      <c r="H369" s="108">
        <v>4615084</v>
      </c>
      <c r="I369" s="24"/>
      <c r="J369" s="25"/>
      <c r="K369" s="26"/>
      <c r="L369" s="109">
        <v>4615084</v>
      </c>
      <c r="M369" s="26"/>
      <c r="N369" s="25"/>
      <c r="O369" s="28"/>
      <c r="P369" s="28"/>
      <c r="Q369" s="110">
        <f t="shared" si="12"/>
        <v>4615084</v>
      </c>
      <c r="R369" s="28"/>
      <c r="S369" s="47" t="s">
        <v>139</v>
      </c>
    </row>
    <row r="370" spans="1:19" x14ac:dyDescent="0.3">
      <c r="A370" s="106" t="s">
        <v>14</v>
      </c>
      <c r="B370" s="189" t="s">
        <v>980</v>
      </c>
      <c r="C370" s="107" t="s">
        <v>803</v>
      </c>
      <c r="D370" s="71" t="s">
        <v>804</v>
      </c>
      <c r="E370" s="71" t="s">
        <v>810</v>
      </c>
      <c r="F370" s="71" t="s">
        <v>811</v>
      </c>
      <c r="G370" s="71" t="s">
        <v>814</v>
      </c>
      <c r="H370" s="108">
        <v>3058446</v>
      </c>
      <c r="I370" s="112">
        <v>123105</v>
      </c>
      <c r="J370" s="25"/>
      <c r="K370" s="26"/>
      <c r="L370" s="109">
        <v>2935341</v>
      </c>
      <c r="M370" s="26"/>
      <c r="N370" s="25"/>
      <c r="O370" s="28"/>
      <c r="P370" s="28"/>
      <c r="Q370" s="110">
        <f t="shared" si="12"/>
        <v>2935341</v>
      </c>
      <c r="R370" s="28"/>
      <c r="S370" s="47" t="s">
        <v>139</v>
      </c>
    </row>
    <row r="371" spans="1:19" x14ac:dyDescent="0.3">
      <c r="A371" s="106" t="s">
        <v>14</v>
      </c>
      <c r="B371" s="189" t="s">
        <v>980</v>
      </c>
      <c r="C371" s="107" t="s">
        <v>803</v>
      </c>
      <c r="D371" s="71" t="s">
        <v>804</v>
      </c>
      <c r="E371" s="71" t="s">
        <v>810</v>
      </c>
      <c r="F371" s="71" t="s">
        <v>811</v>
      </c>
      <c r="G371" s="71" t="s">
        <v>815</v>
      </c>
      <c r="H371" s="108">
        <v>442627</v>
      </c>
      <c r="I371" s="24"/>
      <c r="J371" s="25"/>
      <c r="K371" s="26"/>
      <c r="L371" s="109">
        <v>442627</v>
      </c>
      <c r="M371" s="26"/>
      <c r="N371" s="25"/>
      <c r="O371" s="28"/>
      <c r="P371" s="28"/>
      <c r="Q371" s="110">
        <f t="shared" si="12"/>
        <v>442627</v>
      </c>
      <c r="R371" s="28"/>
      <c r="S371" s="47" t="s">
        <v>139</v>
      </c>
    </row>
    <row r="372" spans="1:19" x14ac:dyDescent="0.3">
      <c r="A372" s="106" t="s">
        <v>14</v>
      </c>
      <c r="B372" s="189" t="s">
        <v>980</v>
      </c>
      <c r="C372" s="107" t="s">
        <v>803</v>
      </c>
      <c r="D372" s="71" t="s">
        <v>804</v>
      </c>
      <c r="E372" s="71" t="s">
        <v>816</v>
      </c>
      <c r="F372" s="71" t="s">
        <v>817</v>
      </c>
      <c r="G372" s="71" t="s">
        <v>818</v>
      </c>
      <c r="H372" s="108">
        <v>1153128</v>
      </c>
      <c r="I372" s="24"/>
      <c r="J372" s="25"/>
      <c r="K372" s="26"/>
      <c r="L372" s="109">
        <v>1153128</v>
      </c>
      <c r="M372" s="26"/>
      <c r="N372" s="25"/>
      <c r="O372" s="28"/>
      <c r="P372" s="28"/>
      <c r="Q372" s="110">
        <f t="shared" si="12"/>
        <v>1153128</v>
      </c>
      <c r="R372" s="28"/>
      <c r="S372" s="47" t="s">
        <v>139</v>
      </c>
    </row>
    <row r="373" spans="1:19" x14ac:dyDescent="0.3">
      <c r="A373" s="106" t="s">
        <v>14</v>
      </c>
      <c r="B373" s="189" t="s">
        <v>980</v>
      </c>
      <c r="C373" s="107" t="s">
        <v>803</v>
      </c>
      <c r="D373" s="71" t="s">
        <v>804</v>
      </c>
      <c r="E373" s="71" t="s">
        <v>816</v>
      </c>
      <c r="F373" s="71" t="s">
        <v>817</v>
      </c>
      <c r="G373" s="71" t="s">
        <v>819</v>
      </c>
      <c r="H373" s="108">
        <v>1681399</v>
      </c>
      <c r="I373" s="24"/>
      <c r="J373" s="25"/>
      <c r="K373" s="26"/>
      <c r="L373" s="109">
        <v>1681399</v>
      </c>
      <c r="M373" s="26"/>
      <c r="N373" s="25"/>
      <c r="O373" s="28"/>
      <c r="P373" s="28"/>
      <c r="Q373" s="110">
        <f t="shared" si="12"/>
        <v>1681399</v>
      </c>
      <c r="R373" s="28"/>
      <c r="S373" s="47" t="s">
        <v>139</v>
      </c>
    </row>
    <row r="374" spans="1:19" x14ac:dyDescent="0.3">
      <c r="A374" s="106" t="s">
        <v>14</v>
      </c>
      <c r="B374" s="189" t="s">
        <v>980</v>
      </c>
      <c r="C374" s="107" t="s">
        <v>803</v>
      </c>
      <c r="D374" s="71" t="s">
        <v>804</v>
      </c>
      <c r="E374" s="71" t="s">
        <v>816</v>
      </c>
      <c r="F374" s="71" t="s">
        <v>817</v>
      </c>
      <c r="G374" s="71" t="s">
        <v>820</v>
      </c>
      <c r="H374" s="108">
        <v>1703132</v>
      </c>
      <c r="I374" s="24"/>
      <c r="J374" s="25"/>
      <c r="K374" s="26"/>
      <c r="L374" s="109">
        <v>1703132</v>
      </c>
      <c r="M374" s="26"/>
      <c r="N374" s="25"/>
      <c r="O374" s="28"/>
      <c r="P374" s="28"/>
      <c r="Q374" s="110">
        <f t="shared" si="12"/>
        <v>1703132</v>
      </c>
      <c r="R374" s="28"/>
      <c r="S374" s="47" t="s">
        <v>139</v>
      </c>
    </row>
    <row r="375" spans="1:19" x14ac:dyDescent="0.3">
      <c r="A375" s="106" t="s">
        <v>14</v>
      </c>
      <c r="B375" s="189" t="s">
        <v>980</v>
      </c>
      <c r="C375" s="107" t="s">
        <v>803</v>
      </c>
      <c r="D375" s="71" t="s">
        <v>804</v>
      </c>
      <c r="E375" s="71" t="s">
        <v>816</v>
      </c>
      <c r="F375" s="71" t="s">
        <v>817</v>
      </c>
      <c r="G375" s="71" t="s">
        <v>821</v>
      </c>
      <c r="H375" s="108">
        <v>153570</v>
      </c>
      <c r="I375" s="24"/>
      <c r="J375" s="25"/>
      <c r="K375" s="26"/>
      <c r="L375" s="109">
        <v>153570</v>
      </c>
      <c r="M375" s="26"/>
      <c r="N375" s="25"/>
      <c r="O375" s="28"/>
      <c r="P375" s="28"/>
      <c r="Q375" s="110">
        <f t="shared" si="12"/>
        <v>153570</v>
      </c>
      <c r="R375" s="28"/>
      <c r="S375" s="47" t="s">
        <v>139</v>
      </c>
    </row>
    <row r="376" spans="1:19" ht="21" x14ac:dyDescent="0.3">
      <c r="A376" s="106" t="s">
        <v>14</v>
      </c>
      <c r="B376" s="189" t="s">
        <v>980</v>
      </c>
      <c r="C376" s="107" t="s">
        <v>803</v>
      </c>
      <c r="D376" s="71" t="s">
        <v>804</v>
      </c>
      <c r="E376" s="71" t="s">
        <v>822</v>
      </c>
      <c r="F376" s="71" t="s">
        <v>823</v>
      </c>
      <c r="G376" s="71" t="s">
        <v>824</v>
      </c>
      <c r="H376" s="108">
        <v>44000</v>
      </c>
      <c r="I376" s="112">
        <v>41250</v>
      </c>
      <c r="J376" s="25"/>
      <c r="K376" s="26"/>
      <c r="L376" s="109">
        <v>2750</v>
      </c>
      <c r="M376" s="26"/>
      <c r="N376" s="25"/>
      <c r="O376" s="28"/>
      <c r="P376" s="28"/>
      <c r="Q376" s="110">
        <f t="shared" si="12"/>
        <v>2750</v>
      </c>
      <c r="R376" s="28"/>
      <c r="S376" s="47" t="s">
        <v>139</v>
      </c>
    </row>
    <row r="377" spans="1:19" x14ac:dyDescent="0.3">
      <c r="A377" s="106" t="s">
        <v>14</v>
      </c>
      <c r="B377" s="189" t="s">
        <v>980</v>
      </c>
      <c r="C377" s="107" t="s">
        <v>803</v>
      </c>
      <c r="D377" s="71" t="s">
        <v>804</v>
      </c>
      <c r="E377" s="71" t="s">
        <v>825</v>
      </c>
      <c r="F377" s="71" t="s">
        <v>826</v>
      </c>
      <c r="G377" s="71" t="s">
        <v>827</v>
      </c>
      <c r="H377" s="108">
        <v>967680</v>
      </c>
      <c r="I377" s="24"/>
      <c r="J377" s="25"/>
      <c r="K377" s="26"/>
      <c r="L377" s="109">
        <v>967680</v>
      </c>
      <c r="M377" s="26"/>
      <c r="N377" s="25"/>
      <c r="O377" s="28"/>
      <c r="P377" s="28"/>
      <c r="Q377" s="110">
        <f t="shared" si="12"/>
        <v>967680</v>
      </c>
      <c r="R377" s="28"/>
      <c r="S377" s="47" t="s">
        <v>139</v>
      </c>
    </row>
    <row r="378" spans="1:19" x14ac:dyDescent="0.3">
      <c r="A378" s="106" t="s">
        <v>14</v>
      </c>
      <c r="B378" s="189" t="s">
        <v>980</v>
      </c>
      <c r="C378" s="107" t="s">
        <v>803</v>
      </c>
      <c r="D378" s="71" t="s">
        <v>804</v>
      </c>
      <c r="E378" s="71" t="s">
        <v>793</v>
      </c>
      <c r="F378" s="71" t="s">
        <v>794</v>
      </c>
      <c r="G378" s="71" t="s">
        <v>828</v>
      </c>
      <c r="H378" s="26"/>
      <c r="I378" s="112">
        <v>-367211.82</v>
      </c>
      <c r="J378" s="25"/>
      <c r="K378" s="108">
        <v>367211.82</v>
      </c>
      <c r="L378" s="109">
        <v>0</v>
      </c>
      <c r="M378" s="26"/>
      <c r="N378" s="25"/>
      <c r="O378" s="28"/>
      <c r="P378" s="28"/>
      <c r="Q378" s="110">
        <f t="shared" si="12"/>
        <v>0</v>
      </c>
      <c r="R378" s="28"/>
      <c r="S378" s="47" t="s">
        <v>139</v>
      </c>
    </row>
    <row r="379" spans="1:19" x14ac:dyDescent="0.3">
      <c r="A379" s="106" t="s">
        <v>14</v>
      </c>
      <c r="B379" s="189" t="s">
        <v>980</v>
      </c>
      <c r="C379" s="107" t="s">
        <v>803</v>
      </c>
      <c r="D379" s="71" t="s">
        <v>804</v>
      </c>
      <c r="E379" s="71" t="s">
        <v>793</v>
      </c>
      <c r="F379" s="71" t="s">
        <v>794</v>
      </c>
      <c r="G379" s="71" t="s">
        <v>829</v>
      </c>
      <c r="H379" s="108">
        <v>21118</v>
      </c>
      <c r="I379" s="112">
        <v>-242103.6</v>
      </c>
      <c r="J379" s="25"/>
      <c r="K379" s="108">
        <v>263220.71999999997</v>
      </c>
      <c r="L379" s="109">
        <v>0.87999999994644895</v>
      </c>
      <c r="M379" s="26"/>
      <c r="N379" s="25"/>
      <c r="O379" s="28"/>
      <c r="P379" s="28"/>
      <c r="Q379" s="110">
        <f t="shared" si="12"/>
        <v>0.87999999994644895</v>
      </c>
      <c r="R379" s="28"/>
      <c r="S379" s="47" t="s">
        <v>139</v>
      </c>
    </row>
    <row r="380" spans="1:19" x14ac:dyDescent="0.3">
      <c r="A380" s="106" t="s">
        <v>14</v>
      </c>
      <c r="B380" s="189" t="s">
        <v>980</v>
      </c>
      <c r="C380" s="107" t="s">
        <v>803</v>
      </c>
      <c r="D380" s="71" t="s">
        <v>804</v>
      </c>
      <c r="E380" s="71" t="s">
        <v>830</v>
      </c>
      <c r="F380" s="71" t="s">
        <v>831</v>
      </c>
      <c r="G380" s="71" t="s">
        <v>832</v>
      </c>
      <c r="H380" s="108">
        <v>140000</v>
      </c>
      <c r="I380" s="112">
        <v>15336.84</v>
      </c>
      <c r="J380" s="114">
        <v>4</v>
      </c>
      <c r="K380" s="26"/>
      <c r="L380" s="109">
        <v>124659.16</v>
      </c>
      <c r="M380" s="26"/>
      <c r="N380" s="25"/>
      <c r="O380" s="28"/>
      <c r="P380" s="28"/>
      <c r="Q380" s="110">
        <f t="shared" si="12"/>
        <v>124659.16</v>
      </c>
      <c r="R380" s="28"/>
      <c r="S380" s="47" t="s">
        <v>139</v>
      </c>
    </row>
    <row r="381" spans="1:19" x14ac:dyDescent="0.3">
      <c r="A381" s="106" t="s">
        <v>14</v>
      </c>
      <c r="B381" s="189" t="s">
        <v>980</v>
      </c>
      <c r="C381" s="107" t="s">
        <v>803</v>
      </c>
      <c r="D381" s="71" t="s">
        <v>804</v>
      </c>
      <c r="E381" s="71" t="s">
        <v>833</v>
      </c>
      <c r="F381" s="71" t="s">
        <v>834</v>
      </c>
      <c r="G381" s="71" t="s">
        <v>835</v>
      </c>
      <c r="H381" s="108">
        <v>675690</v>
      </c>
      <c r="I381" s="112">
        <v>1082</v>
      </c>
      <c r="J381" s="114">
        <v>0</v>
      </c>
      <c r="K381" s="108">
        <v>185164.05</v>
      </c>
      <c r="L381" s="109">
        <v>489443.95</v>
      </c>
      <c r="M381" s="26"/>
      <c r="N381" s="25"/>
      <c r="O381" s="28"/>
      <c r="P381" s="28"/>
      <c r="Q381" s="110">
        <f t="shared" si="12"/>
        <v>489443.95</v>
      </c>
      <c r="R381" s="28"/>
      <c r="S381" s="47" t="s">
        <v>139</v>
      </c>
    </row>
    <row r="382" spans="1:19" x14ac:dyDescent="0.3">
      <c r="A382" s="106" t="s">
        <v>14</v>
      </c>
      <c r="B382" s="189" t="s">
        <v>980</v>
      </c>
      <c r="C382" s="107" t="s">
        <v>803</v>
      </c>
      <c r="D382" s="71" t="s">
        <v>804</v>
      </c>
      <c r="E382" s="71" t="s">
        <v>836</v>
      </c>
      <c r="F382" s="71" t="s">
        <v>837</v>
      </c>
      <c r="G382" s="71" t="s">
        <v>838</v>
      </c>
      <c r="H382" s="108">
        <v>336000</v>
      </c>
      <c r="I382" s="112">
        <v>6</v>
      </c>
      <c r="J382" s="25"/>
      <c r="K382" s="26"/>
      <c r="L382" s="109">
        <v>335994</v>
      </c>
      <c r="M382" s="26"/>
      <c r="N382" s="25"/>
      <c r="O382" s="28"/>
      <c r="P382" s="28"/>
      <c r="Q382" s="110">
        <f t="shared" si="12"/>
        <v>335994</v>
      </c>
      <c r="R382" s="28"/>
      <c r="S382" s="47" t="s">
        <v>139</v>
      </c>
    </row>
    <row r="383" spans="1:19" x14ac:dyDescent="0.3">
      <c r="A383" s="106" t="s">
        <v>14</v>
      </c>
      <c r="B383" s="189" t="s">
        <v>980</v>
      </c>
      <c r="C383" s="107" t="s">
        <v>803</v>
      </c>
      <c r="D383" s="71" t="s">
        <v>804</v>
      </c>
      <c r="E383" s="71" t="s">
        <v>50</v>
      </c>
      <c r="F383" s="71" t="s">
        <v>51</v>
      </c>
      <c r="G383" s="71" t="s">
        <v>839</v>
      </c>
      <c r="H383" s="108">
        <v>193910</v>
      </c>
      <c r="I383" s="112">
        <v>36618.78</v>
      </c>
      <c r="J383" s="114">
        <v>131100</v>
      </c>
      <c r="K383" s="26"/>
      <c r="L383" s="109">
        <v>26191.22</v>
      </c>
      <c r="M383" s="26"/>
      <c r="N383" s="25"/>
      <c r="O383" s="28"/>
      <c r="P383" s="28"/>
      <c r="Q383" s="110">
        <f t="shared" si="12"/>
        <v>26191.22</v>
      </c>
      <c r="R383" s="28"/>
      <c r="S383" s="47" t="s">
        <v>139</v>
      </c>
    </row>
    <row r="384" spans="1:19" x14ac:dyDescent="0.3">
      <c r="A384" s="106" t="s">
        <v>14</v>
      </c>
      <c r="B384" s="189" t="s">
        <v>994</v>
      </c>
      <c r="C384" s="107" t="s">
        <v>851</v>
      </c>
      <c r="D384" s="71" t="s">
        <v>852</v>
      </c>
      <c r="E384" s="71" t="s">
        <v>95</v>
      </c>
      <c r="F384" s="71" t="s">
        <v>96</v>
      </c>
      <c r="G384" s="71" t="s">
        <v>853</v>
      </c>
      <c r="H384" s="108">
        <v>300000</v>
      </c>
      <c r="I384" s="112">
        <v>2000</v>
      </c>
      <c r="J384" s="114">
        <v>0</v>
      </c>
      <c r="K384" s="26"/>
      <c r="L384" s="109">
        <v>298000</v>
      </c>
      <c r="M384" s="26"/>
      <c r="N384" s="25"/>
      <c r="O384" s="28"/>
      <c r="P384" s="28"/>
      <c r="Q384" s="110">
        <f>L384-M384-N384-O384</f>
        <v>298000</v>
      </c>
      <c r="R384" s="28"/>
      <c r="S384" s="47" t="s">
        <v>139</v>
      </c>
    </row>
    <row r="385" spans="1:19" ht="21" x14ac:dyDescent="0.3">
      <c r="A385" s="106" t="s">
        <v>14</v>
      </c>
      <c r="B385" s="189" t="s">
        <v>994</v>
      </c>
      <c r="C385" s="107" t="s">
        <v>851</v>
      </c>
      <c r="D385" s="71" t="s">
        <v>852</v>
      </c>
      <c r="E385" s="71" t="s">
        <v>106</v>
      </c>
      <c r="F385" s="71" t="s">
        <v>107</v>
      </c>
      <c r="G385" s="71" t="s">
        <v>854</v>
      </c>
      <c r="H385" s="108">
        <v>50000</v>
      </c>
      <c r="I385" s="112">
        <v>4610</v>
      </c>
      <c r="J385" s="25"/>
      <c r="K385" s="26"/>
      <c r="L385" s="109">
        <v>45390</v>
      </c>
      <c r="M385" s="26"/>
      <c r="N385" s="25"/>
      <c r="O385" s="28"/>
      <c r="P385" s="28"/>
      <c r="Q385" s="110">
        <f t="shared" ref="Q385:Q390" si="13">L385-M385-N385-O385</f>
        <v>45390</v>
      </c>
      <c r="R385" s="28"/>
      <c r="S385" s="47" t="s">
        <v>139</v>
      </c>
    </row>
    <row r="386" spans="1:19" x14ac:dyDescent="0.3">
      <c r="A386" s="106" t="s">
        <v>14</v>
      </c>
      <c r="B386" s="189" t="s">
        <v>994</v>
      </c>
      <c r="C386" s="107" t="s">
        <v>851</v>
      </c>
      <c r="D386" s="71" t="s">
        <v>852</v>
      </c>
      <c r="E386" s="71" t="s">
        <v>194</v>
      </c>
      <c r="F386" s="71" t="s">
        <v>195</v>
      </c>
      <c r="G386" s="71" t="s">
        <v>855</v>
      </c>
      <c r="H386" s="108">
        <v>250000</v>
      </c>
      <c r="I386" s="112">
        <v>650</v>
      </c>
      <c r="J386" s="25"/>
      <c r="K386" s="26"/>
      <c r="L386" s="109">
        <v>249350</v>
      </c>
      <c r="M386" s="26"/>
      <c r="N386" s="25"/>
      <c r="O386" s="28"/>
      <c r="P386" s="28"/>
      <c r="Q386" s="110">
        <f t="shared" si="13"/>
        <v>249350</v>
      </c>
      <c r="R386" s="28"/>
      <c r="S386" s="47" t="s">
        <v>139</v>
      </c>
    </row>
    <row r="387" spans="1:19" ht="21" x14ac:dyDescent="0.3">
      <c r="A387" s="106" t="s">
        <v>14</v>
      </c>
      <c r="B387" s="189" t="s">
        <v>994</v>
      </c>
      <c r="C387" s="107" t="s">
        <v>851</v>
      </c>
      <c r="D387" s="71" t="s">
        <v>852</v>
      </c>
      <c r="E387" s="71" t="s">
        <v>26</v>
      </c>
      <c r="F387" s="71" t="s">
        <v>27</v>
      </c>
      <c r="G387" s="71" t="s">
        <v>856</v>
      </c>
      <c r="H387" s="108">
        <v>600000</v>
      </c>
      <c r="I387" s="24"/>
      <c r="J387" s="25"/>
      <c r="K387" s="26"/>
      <c r="L387" s="109">
        <v>600000</v>
      </c>
      <c r="M387" s="26"/>
      <c r="N387" s="25"/>
      <c r="O387" s="28"/>
      <c r="P387" s="28"/>
      <c r="Q387" s="110">
        <f t="shared" si="13"/>
        <v>600000</v>
      </c>
      <c r="R387" s="28"/>
      <c r="S387" s="47" t="s">
        <v>139</v>
      </c>
    </row>
    <row r="388" spans="1:19" x14ac:dyDescent="0.3">
      <c r="A388" s="106" t="s">
        <v>14</v>
      </c>
      <c r="B388" s="189" t="s">
        <v>994</v>
      </c>
      <c r="C388" s="107" t="s">
        <v>851</v>
      </c>
      <c r="D388" s="71" t="s">
        <v>852</v>
      </c>
      <c r="E388" s="71" t="s">
        <v>857</v>
      </c>
      <c r="F388" s="71" t="s">
        <v>858</v>
      </c>
      <c r="G388" s="71" t="s">
        <v>859</v>
      </c>
      <c r="H388" s="108">
        <v>10000</v>
      </c>
      <c r="I388" s="24"/>
      <c r="J388" s="25"/>
      <c r="K388" s="26"/>
      <c r="L388" s="109">
        <v>10000</v>
      </c>
      <c r="M388" s="26"/>
      <c r="N388" s="25"/>
      <c r="O388" s="28"/>
      <c r="P388" s="28"/>
      <c r="Q388" s="110">
        <f t="shared" si="13"/>
        <v>10000</v>
      </c>
      <c r="R388" s="28"/>
      <c r="S388" s="47" t="s">
        <v>139</v>
      </c>
    </row>
    <row r="389" spans="1:19" x14ac:dyDescent="0.3">
      <c r="A389" s="106" t="s">
        <v>14</v>
      </c>
      <c r="B389" s="189" t="s">
        <v>994</v>
      </c>
      <c r="C389" s="107" t="s">
        <v>851</v>
      </c>
      <c r="D389" s="71" t="s">
        <v>852</v>
      </c>
      <c r="E389" s="71" t="s">
        <v>126</v>
      </c>
      <c r="F389" s="71" t="s">
        <v>127</v>
      </c>
      <c r="G389" s="71" t="s">
        <v>860</v>
      </c>
      <c r="H389" s="108">
        <v>250000</v>
      </c>
      <c r="I389" s="24"/>
      <c r="J389" s="25"/>
      <c r="K389" s="26"/>
      <c r="L389" s="109">
        <v>250000</v>
      </c>
      <c r="M389" s="26"/>
      <c r="N389" s="25"/>
      <c r="O389" s="28"/>
      <c r="P389" s="28"/>
      <c r="Q389" s="110">
        <f t="shared" si="13"/>
        <v>250000</v>
      </c>
      <c r="R389" s="28"/>
      <c r="S389" s="47" t="s">
        <v>139</v>
      </c>
    </row>
    <row r="390" spans="1:19" x14ac:dyDescent="0.3">
      <c r="A390" s="106" t="s">
        <v>14</v>
      </c>
      <c r="B390" s="189" t="s">
        <v>994</v>
      </c>
      <c r="C390" s="107" t="s">
        <v>851</v>
      </c>
      <c r="D390" s="71" t="s">
        <v>852</v>
      </c>
      <c r="E390" s="71" t="s">
        <v>50</v>
      </c>
      <c r="F390" s="71" t="s">
        <v>51</v>
      </c>
      <c r="G390" s="71" t="s">
        <v>861</v>
      </c>
      <c r="H390" s="108">
        <v>50000</v>
      </c>
      <c r="I390" s="24"/>
      <c r="J390" s="25"/>
      <c r="K390" s="26"/>
      <c r="L390" s="109">
        <v>50000</v>
      </c>
      <c r="M390" s="26"/>
      <c r="N390" s="25"/>
      <c r="O390" s="28"/>
      <c r="P390" s="28"/>
      <c r="Q390" s="110">
        <f t="shared" si="13"/>
        <v>50000</v>
      </c>
      <c r="R390" s="28"/>
      <c r="S390" s="47" t="s">
        <v>139</v>
      </c>
    </row>
    <row r="391" spans="1:19" ht="21" x14ac:dyDescent="0.35">
      <c r="A391" s="106" t="s">
        <v>14</v>
      </c>
      <c r="B391" s="106" t="s">
        <v>977</v>
      </c>
      <c r="C391" s="107" t="s">
        <v>863</v>
      </c>
      <c r="D391" s="71" t="s">
        <v>864</v>
      </c>
      <c r="E391" s="71" t="s">
        <v>254</v>
      </c>
      <c r="F391" s="71" t="s">
        <v>255</v>
      </c>
      <c r="G391" s="71" t="s">
        <v>865</v>
      </c>
      <c r="H391" s="108">
        <v>30000</v>
      </c>
      <c r="I391" s="24"/>
      <c r="J391" s="25"/>
      <c r="K391" s="26"/>
      <c r="L391" s="109">
        <v>30000</v>
      </c>
      <c r="M391" s="26"/>
      <c r="N391" s="25"/>
      <c r="O391" s="28"/>
      <c r="P391" s="28"/>
      <c r="Q391" s="110">
        <f>L391-M391-N391-O391</f>
        <v>30000</v>
      </c>
      <c r="R391" s="28"/>
      <c r="S391" s="47" t="s">
        <v>139</v>
      </c>
    </row>
    <row r="392" spans="1:19" ht="21" x14ac:dyDescent="0.35">
      <c r="A392" s="106" t="s">
        <v>14</v>
      </c>
      <c r="B392" s="106" t="s">
        <v>977</v>
      </c>
      <c r="C392" s="107" t="s">
        <v>863</v>
      </c>
      <c r="D392" s="71" t="s">
        <v>864</v>
      </c>
      <c r="E392" s="71" t="s">
        <v>142</v>
      </c>
      <c r="F392" s="71" t="s">
        <v>143</v>
      </c>
      <c r="G392" s="71" t="s">
        <v>866</v>
      </c>
      <c r="H392" s="108">
        <v>3705121</v>
      </c>
      <c r="I392" s="24"/>
      <c r="J392" s="25"/>
      <c r="K392" s="26"/>
      <c r="L392" s="109">
        <v>3705121</v>
      </c>
      <c r="M392" s="26"/>
      <c r="N392" s="25"/>
      <c r="O392" s="28"/>
      <c r="P392" s="28"/>
      <c r="Q392" s="110">
        <f t="shared" ref="Q392:Q402" si="14">L392-M392-N392-O392</f>
        <v>3705121</v>
      </c>
      <c r="R392" s="28"/>
      <c r="S392" s="47" t="s">
        <v>139</v>
      </c>
    </row>
    <row r="393" spans="1:19" ht="21" x14ac:dyDescent="0.35">
      <c r="A393" s="106" t="s">
        <v>14</v>
      </c>
      <c r="B393" s="106" t="s">
        <v>977</v>
      </c>
      <c r="C393" s="107" t="s">
        <v>863</v>
      </c>
      <c r="D393" s="71" t="s">
        <v>864</v>
      </c>
      <c r="E393" s="71" t="s">
        <v>867</v>
      </c>
      <c r="F393" s="71" t="s">
        <v>868</v>
      </c>
      <c r="G393" s="71" t="s">
        <v>869</v>
      </c>
      <c r="H393" s="108">
        <v>1500</v>
      </c>
      <c r="I393" s="24"/>
      <c r="J393" s="25"/>
      <c r="K393" s="26"/>
      <c r="L393" s="109">
        <v>1500</v>
      </c>
      <c r="M393" s="26"/>
      <c r="N393" s="25"/>
      <c r="O393" s="28"/>
      <c r="P393" s="28"/>
      <c r="Q393" s="110">
        <f t="shared" si="14"/>
        <v>1500</v>
      </c>
      <c r="R393" s="28"/>
      <c r="S393" s="47" t="s">
        <v>139</v>
      </c>
    </row>
    <row r="394" spans="1:19" ht="21" x14ac:dyDescent="0.35">
      <c r="A394" s="106" t="s">
        <v>14</v>
      </c>
      <c r="B394" s="106" t="s">
        <v>977</v>
      </c>
      <c r="C394" s="107" t="s">
        <v>863</v>
      </c>
      <c r="D394" s="71" t="s">
        <v>864</v>
      </c>
      <c r="E394" s="71" t="s">
        <v>95</v>
      </c>
      <c r="F394" s="71" t="s">
        <v>96</v>
      </c>
      <c r="G394" s="71" t="s">
        <v>870</v>
      </c>
      <c r="H394" s="108">
        <v>200000</v>
      </c>
      <c r="I394" s="24"/>
      <c r="J394" s="25"/>
      <c r="K394" s="26"/>
      <c r="L394" s="109">
        <v>200000</v>
      </c>
      <c r="M394" s="26"/>
      <c r="N394" s="25"/>
      <c r="O394" s="28"/>
      <c r="P394" s="28"/>
      <c r="Q394" s="110">
        <f t="shared" si="14"/>
        <v>200000</v>
      </c>
      <c r="R394" s="28"/>
      <c r="S394" s="47" t="s">
        <v>139</v>
      </c>
    </row>
    <row r="395" spans="1:19" ht="21" x14ac:dyDescent="0.35">
      <c r="A395" s="106" t="s">
        <v>14</v>
      </c>
      <c r="B395" s="106" t="s">
        <v>977</v>
      </c>
      <c r="C395" s="107" t="s">
        <v>863</v>
      </c>
      <c r="D395" s="71" t="s">
        <v>864</v>
      </c>
      <c r="E395" s="71" t="s">
        <v>501</v>
      </c>
      <c r="F395" s="71" t="s">
        <v>153</v>
      </c>
      <c r="G395" s="71" t="s">
        <v>871</v>
      </c>
      <c r="H395" s="108">
        <v>25000</v>
      </c>
      <c r="I395" s="24"/>
      <c r="J395" s="25"/>
      <c r="K395" s="26"/>
      <c r="L395" s="109">
        <v>25000</v>
      </c>
      <c r="M395" s="26"/>
      <c r="N395" s="25"/>
      <c r="O395" s="28"/>
      <c r="P395" s="28"/>
      <c r="Q395" s="110">
        <f t="shared" si="14"/>
        <v>25000</v>
      </c>
      <c r="R395" s="28"/>
      <c r="S395" s="47" t="s">
        <v>139</v>
      </c>
    </row>
    <row r="396" spans="1:19" ht="21" x14ac:dyDescent="0.35">
      <c r="A396" s="106" t="s">
        <v>14</v>
      </c>
      <c r="B396" s="106" t="s">
        <v>977</v>
      </c>
      <c r="C396" s="107" t="s">
        <v>863</v>
      </c>
      <c r="D396" s="71" t="s">
        <v>864</v>
      </c>
      <c r="E396" s="71" t="s">
        <v>106</v>
      </c>
      <c r="F396" s="71" t="s">
        <v>107</v>
      </c>
      <c r="G396" s="71" t="s">
        <v>872</v>
      </c>
      <c r="H396" s="108">
        <v>300000</v>
      </c>
      <c r="I396" s="24"/>
      <c r="J396" s="25"/>
      <c r="K396" s="26"/>
      <c r="L396" s="109">
        <v>300000</v>
      </c>
      <c r="M396" s="26"/>
      <c r="N396" s="25"/>
      <c r="O396" s="28"/>
      <c r="P396" s="28"/>
      <c r="Q396" s="110">
        <f t="shared" si="14"/>
        <v>300000</v>
      </c>
      <c r="R396" s="28"/>
      <c r="S396" s="47" t="s">
        <v>139</v>
      </c>
    </row>
    <row r="397" spans="1:19" ht="21" x14ac:dyDescent="0.35">
      <c r="A397" s="106" t="s">
        <v>14</v>
      </c>
      <c r="B397" s="106" t="s">
        <v>977</v>
      </c>
      <c r="C397" s="107" t="s">
        <v>863</v>
      </c>
      <c r="D397" s="71" t="s">
        <v>864</v>
      </c>
      <c r="E397" s="71" t="s">
        <v>110</v>
      </c>
      <c r="F397" s="71" t="s">
        <v>111</v>
      </c>
      <c r="G397" s="71" t="s">
        <v>873</v>
      </c>
      <c r="H397" s="108">
        <v>300000</v>
      </c>
      <c r="I397" s="24"/>
      <c r="J397" s="25"/>
      <c r="K397" s="26"/>
      <c r="L397" s="109">
        <v>300000</v>
      </c>
      <c r="M397" s="26"/>
      <c r="N397" s="25"/>
      <c r="O397" s="28"/>
      <c r="P397" s="28"/>
      <c r="Q397" s="110">
        <f t="shared" si="14"/>
        <v>300000</v>
      </c>
      <c r="R397" s="28"/>
      <c r="S397" s="47" t="s">
        <v>139</v>
      </c>
    </row>
    <row r="398" spans="1:19" ht="21" x14ac:dyDescent="0.35">
      <c r="A398" s="106" t="s">
        <v>14</v>
      </c>
      <c r="B398" s="106" t="s">
        <v>977</v>
      </c>
      <c r="C398" s="107" t="s">
        <v>863</v>
      </c>
      <c r="D398" s="71" t="s">
        <v>864</v>
      </c>
      <c r="E398" s="71" t="s">
        <v>194</v>
      </c>
      <c r="F398" s="71" t="s">
        <v>195</v>
      </c>
      <c r="G398" s="71" t="s">
        <v>874</v>
      </c>
      <c r="H398" s="108">
        <v>10000</v>
      </c>
      <c r="I398" s="24"/>
      <c r="J398" s="25"/>
      <c r="K398" s="26"/>
      <c r="L398" s="109">
        <v>10000</v>
      </c>
      <c r="M398" s="26"/>
      <c r="N398" s="25"/>
      <c r="O398" s="28"/>
      <c r="P398" s="28"/>
      <c r="Q398" s="110">
        <f t="shared" si="14"/>
        <v>10000</v>
      </c>
      <c r="R398" s="28"/>
      <c r="S398" s="47" t="s">
        <v>139</v>
      </c>
    </row>
    <row r="399" spans="1:19" ht="21" x14ac:dyDescent="0.35">
      <c r="A399" s="106" t="s">
        <v>14</v>
      </c>
      <c r="B399" s="106" t="s">
        <v>977</v>
      </c>
      <c r="C399" s="107" t="s">
        <v>863</v>
      </c>
      <c r="D399" s="71" t="s">
        <v>864</v>
      </c>
      <c r="E399" s="71" t="s">
        <v>26</v>
      </c>
      <c r="F399" s="71" t="s">
        <v>27</v>
      </c>
      <c r="G399" s="71" t="s">
        <v>875</v>
      </c>
      <c r="H399" s="108">
        <v>518388</v>
      </c>
      <c r="I399" s="24"/>
      <c r="J399" s="25"/>
      <c r="K399" s="26"/>
      <c r="L399" s="109">
        <v>518388</v>
      </c>
      <c r="M399" s="26"/>
      <c r="N399" s="25"/>
      <c r="O399" s="28"/>
      <c r="P399" s="28"/>
      <c r="Q399" s="110">
        <f t="shared" si="14"/>
        <v>518388</v>
      </c>
      <c r="R399" s="28"/>
      <c r="S399" s="47" t="s">
        <v>139</v>
      </c>
    </row>
    <row r="400" spans="1:19" ht="21" x14ac:dyDescent="0.35">
      <c r="A400" s="106" t="s">
        <v>14</v>
      </c>
      <c r="B400" s="106" t="s">
        <v>977</v>
      </c>
      <c r="C400" s="107" t="s">
        <v>863</v>
      </c>
      <c r="D400" s="71" t="s">
        <v>864</v>
      </c>
      <c r="E400" s="71" t="s">
        <v>35</v>
      </c>
      <c r="F400" s="71" t="s">
        <v>36</v>
      </c>
      <c r="G400" s="71" t="s">
        <v>876</v>
      </c>
      <c r="H400" s="108">
        <v>1000000</v>
      </c>
      <c r="I400" s="112">
        <v>5500</v>
      </c>
      <c r="J400" s="25"/>
      <c r="K400" s="26"/>
      <c r="L400" s="109">
        <v>994500</v>
      </c>
      <c r="M400" s="26"/>
      <c r="N400" s="25"/>
      <c r="O400" s="28"/>
      <c r="P400" s="28"/>
      <c r="Q400" s="110">
        <f t="shared" si="14"/>
        <v>994500</v>
      </c>
      <c r="R400" s="28"/>
      <c r="S400" s="47" t="s">
        <v>139</v>
      </c>
    </row>
    <row r="401" spans="1:19" ht="21" x14ac:dyDescent="0.35">
      <c r="A401" s="106" t="s">
        <v>14</v>
      </c>
      <c r="B401" s="106" t="s">
        <v>977</v>
      </c>
      <c r="C401" s="107" t="s">
        <v>863</v>
      </c>
      <c r="D401" s="71" t="s">
        <v>864</v>
      </c>
      <c r="E401" s="71" t="s">
        <v>877</v>
      </c>
      <c r="F401" s="71" t="s">
        <v>878</v>
      </c>
      <c r="G401" s="71" t="s">
        <v>879</v>
      </c>
      <c r="H401" s="108">
        <v>50000</v>
      </c>
      <c r="I401" s="24"/>
      <c r="J401" s="25"/>
      <c r="K401" s="26"/>
      <c r="L401" s="109">
        <v>50000</v>
      </c>
      <c r="M401" s="26"/>
      <c r="N401" s="25"/>
      <c r="O401" s="28"/>
      <c r="P401" s="28"/>
      <c r="Q401" s="110">
        <f t="shared" si="14"/>
        <v>50000</v>
      </c>
      <c r="R401" s="28"/>
      <c r="S401" s="47" t="s">
        <v>139</v>
      </c>
    </row>
    <row r="402" spans="1:19" ht="21" x14ac:dyDescent="0.35">
      <c r="A402" s="106" t="s">
        <v>14</v>
      </c>
      <c r="B402" s="106" t="s">
        <v>977</v>
      </c>
      <c r="C402" s="107" t="s">
        <v>863</v>
      </c>
      <c r="D402" s="71" t="s">
        <v>864</v>
      </c>
      <c r="E402" s="71" t="s">
        <v>126</v>
      </c>
      <c r="F402" s="71" t="s">
        <v>127</v>
      </c>
      <c r="G402" s="71" t="s">
        <v>880</v>
      </c>
      <c r="H402" s="108">
        <v>100000</v>
      </c>
      <c r="I402" s="24"/>
      <c r="J402" s="25"/>
      <c r="K402" s="26"/>
      <c r="L402" s="109">
        <v>100000</v>
      </c>
      <c r="M402" s="26"/>
      <c r="N402" s="25"/>
      <c r="O402" s="28"/>
      <c r="P402" s="28"/>
      <c r="Q402" s="110">
        <f t="shared" si="14"/>
        <v>100000</v>
      </c>
      <c r="R402" s="28"/>
      <c r="S402" s="47" t="s">
        <v>139</v>
      </c>
    </row>
    <row r="403" spans="1:19" customFormat="1" ht="21" x14ac:dyDescent="0.35">
      <c r="A403" s="106" t="s">
        <v>14</v>
      </c>
      <c r="B403" s="189" t="s">
        <v>995</v>
      </c>
      <c r="C403" s="107" t="s">
        <v>896</v>
      </c>
      <c r="D403" s="71" t="s">
        <v>897</v>
      </c>
      <c r="E403" s="71" t="s">
        <v>501</v>
      </c>
      <c r="F403" s="71" t="s">
        <v>153</v>
      </c>
      <c r="G403" s="71" t="s">
        <v>898</v>
      </c>
      <c r="H403" s="108">
        <v>2000</v>
      </c>
      <c r="I403" s="24"/>
      <c r="J403" s="25"/>
      <c r="K403" s="26"/>
      <c r="L403" s="109">
        <v>2000</v>
      </c>
      <c r="M403" s="26"/>
      <c r="N403" s="25"/>
      <c r="O403" s="28"/>
      <c r="P403" s="28"/>
      <c r="Q403" s="110">
        <f t="shared" ref="Q403:Q410" si="15">L403-M403-N403-O403</f>
        <v>2000</v>
      </c>
      <c r="R403" s="28"/>
      <c r="S403" s="58" t="s">
        <v>139</v>
      </c>
    </row>
    <row r="404" spans="1:19" customFormat="1" ht="21" x14ac:dyDescent="0.35">
      <c r="A404" s="106" t="s">
        <v>14</v>
      </c>
      <c r="B404" s="189" t="s">
        <v>995</v>
      </c>
      <c r="C404" s="107" t="s">
        <v>896</v>
      </c>
      <c r="D404" s="71" t="s">
        <v>897</v>
      </c>
      <c r="E404" s="71" t="s">
        <v>204</v>
      </c>
      <c r="F404" s="71" t="s">
        <v>205</v>
      </c>
      <c r="G404" s="71" t="s">
        <v>899</v>
      </c>
      <c r="H404" s="108">
        <v>10000</v>
      </c>
      <c r="I404" s="112">
        <v>118.74</v>
      </c>
      <c r="J404" s="25"/>
      <c r="K404" s="26"/>
      <c r="L404" s="109">
        <v>9881.26</v>
      </c>
      <c r="M404" s="26"/>
      <c r="N404" s="25"/>
      <c r="O404" s="28"/>
      <c r="P404" s="28"/>
      <c r="Q404" s="110">
        <f t="shared" si="15"/>
        <v>9881.26</v>
      </c>
      <c r="R404" s="28"/>
      <c r="S404" s="58" t="s">
        <v>139</v>
      </c>
    </row>
    <row r="405" spans="1:19" customFormat="1" ht="21" x14ac:dyDescent="0.35">
      <c r="A405" s="106" t="s">
        <v>14</v>
      </c>
      <c r="B405" s="189" t="s">
        <v>995</v>
      </c>
      <c r="C405" s="107" t="s">
        <v>896</v>
      </c>
      <c r="D405" s="71" t="s">
        <v>897</v>
      </c>
      <c r="E405" s="71" t="s">
        <v>764</v>
      </c>
      <c r="F405" s="71" t="s">
        <v>765</v>
      </c>
      <c r="G405" s="71" t="s">
        <v>900</v>
      </c>
      <c r="H405" s="108">
        <v>250000</v>
      </c>
      <c r="I405" s="112">
        <v>48719</v>
      </c>
      <c r="J405" s="114">
        <v>48420</v>
      </c>
      <c r="K405" s="108">
        <v>3226</v>
      </c>
      <c r="L405" s="109">
        <v>149635</v>
      </c>
      <c r="M405" s="26"/>
      <c r="N405" s="25"/>
      <c r="O405" s="28"/>
      <c r="P405" s="28"/>
      <c r="Q405" s="110">
        <f t="shared" si="15"/>
        <v>149635</v>
      </c>
      <c r="R405" s="28"/>
      <c r="S405" s="58" t="s">
        <v>139</v>
      </c>
    </row>
    <row r="406" spans="1:19" customFormat="1" ht="21" x14ac:dyDescent="0.35">
      <c r="A406" s="106" t="s">
        <v>14</v>
      </c>
      <c r="B406" s="189" t="s">
        <v>995</v>
      </c>
      <c r="C406" s="107" t="s">
        <v>896</v>
      </c>
      <c r="D406" s="71" t="s">
        <v>897</v>
      </c>
      <c r="E406" s="71" t="s">
        <v>793</v>
      </c>
      <c r="F406" s="71" t="s">
        <v>794</v>
      </c>
      <c r="G406" s="71" t="s">
        <v>901</v>
      </c>
      <c r="H406" s="108">
        <v>236400</v>
      </c>
      <c r="I406" s="24"/>
      <c r="J406" s="25"/>
      <c r="K406" s="26"/>
      <c r="L406" s="109">
        <v>236400</v>
      </c>
      <c r="M406" s="26"/>
      <c r="N406" s="25"/>
      <c r="O406" s="28"/>
      <c r="P406" s="28"/>
      <c r="Q406" s="110">
        <f t="shared" si="15"/>
        <v>236400</v>
      </c>
      <c r="R406" s="28"/>
      <c r="S406" s="58" t="s">
        <v>139</v>
      </c>
    </row>
    <row r="407" spans="1:19" customFormat="1" ht="21" x14ac:dyDescent="0.35">
      <c r="A407" s="106" t="s">
        <v>14</v>
      </c>
      <c r="B407" s="189" t="s">
        <v>995</v>
      </c>
      <c r="C407" s="107" t="s">
        <v>896</v>
      </c>
      <c r="D407" s="71" t="s">
        <v>897</v>
      </c>
      <c r="E407" s="71" t="s">
        <v>833</v>
      </c>
      <c r="F407" s="71" t="s">
        <v>834</v>
      </c>
      <c r="G407" s="71" t="s">
        <v>902</v>
      </c>
      <c r="H407" s="108">
        <v>164310</v>
      </c>
      <c r="I407" s="112">
        <v>163340.39000000001</v>
      </c>
      <c r="J407" s="114">
        <v>0</v>
      </c>
      <c r="K407" s="108">
        <v>450</v>
      </c>
      <c r="L407" s="109">
        <v>519.60999999998603</v>
      </c>
      <c r="M407" s="26"/>
      <c r="N407" s="25"/>
      <c r="O407" s="28"/>
      <c r="P407" s="28"/>
      <c r="Q407" s="110">
        <f t="shared" si="15"/>
        <v>519.60999999998603</v>
      </c>
      <c r="R407" s="28"/>
      <c r="S407" s="58" t="s">
        <v>139</v>
      </c>
    </row>
    <row r="408" spans="1:19" customFormat="1" ht="21" x14ac:dyDescent="0.35">
      <c r="A408" s="106" t="s">
        <v>14</v>
      </c>
      <c r="B408" s="189" t="s">
        <v>995</v>
      </c>
      <c r="C408" s="107" t="s">
        <v>896</v>
      </c>
      <c r="D408" s="71" t="s">
        <v>897</v>
      </c>
      <c r="E408" s="71" t="s">
        <v>50</v>
      </c>
      <c r="F408" s="71" t="s">
        <v>51</v>
      </c>
      <c r="G408" s="71" t="s">
        <v>903</v>
      </c>
      <c r="H408" s="108">
        <v>50000</v>
      </c>
      <c r="I408" s="24"/>
      <c r="J408" s="25"/>
      <c r="K408" s="26"/>
      <c r="L408" s="109">
        <v>50000</v>
      </c>
      <c r="M408" s="26"/>
      <c r="N408" s="25"/>
      <c r="O408" s="28"/>
      <c r="P408" s="28"/>
      <c r="Q408" s="110">
        <f t="shared" si="15"/>
        <v>50000</v>
      </c>
      <c r="R408" s="28"/>
      <c r="S408" s="58" t="s">
        <v>139</v>
      </c>
    </row>
    <row r="409" spans="1:19" customFormat="1" ht="21" x14ac:dyDescent="0.35">
      <c r="A409" s="106" t="s">
        <v>14</v>
      </c>
      <c r="B409" s="189" t="s">
        <v>995</v>
      </c>
      <c r="C409" s="107" t="s">
        <v>896</v>
      </c>
      <c r="D409" s="71" t="s">
        <v>897</v>
      </c>
      <c r="E409" s="71" t="s">
        <v>236</v>
      </c>
      <c r="F409" s="71" t="s">
        <v>237</v>
      </c>
      <c r="G409" s="71" t="s">
        <v>904</v>
      </c>
      <c r="H409" s="108">
        <v>120000</v>
      </c>
      <c r="I409" s="112">
        <v>86263.08</v>
      </c>
      <c r="J409" s="114">
        <v>1</v>
      </c>
      <c r="K409" s="108">
        <v>-1.45519152283669E-11</v>
      </c>
      <c r="L409" s="109">
        <v>33735.919999999998</v>
      </c>
      <c r="M409" s="26"/>
      <c r="N409" s="25"/>
      <c r="O409" s="28"/>
      <c r="P409" s="28"/>
      <c r="Q409" s="110">
        <f t="shared" si="15"/>
        <v>33735.919999999998</v>
      </c>
      <c r="R409" s="28"/>
      <c r="S409" s="58" t="s">
        <v>139</v>
      </c>
    </row>
    <row r="410" spans="1:19" ht="21" x14ac:dyDescent="0.35">
      <c r="A410" s="106" t="s">
        <v>14</v>
      </c>
      <c r="B410" s="189" t="s">
        <v>983</v>
      </c>
      <c r="C410" s="107" t="s">
        <v>908</v>
      </c>
      <c r="D410" s="71" t="s">
        <v>909</v>
      </c>
      <c r="E410" s="71" t="s">
        <v>194</v>
      </c>
      <c r="F410" s="71" t="s">
        <v>195</v>
      </c>
      <c r="G410" s="71" t="s">
        <v>910</v>
      </c>
      <c r="H410" s="108">
        <v>30000</v>
      </c>
      <c r="I410" s="24"/>
      <c r="J410" s="25"/>
      <c r="K410" s="26"/>
      <c r="L410" s="109">
        <v>30000</v>
      </c>
      <c r="M410" s="26"/>
      <c r="N410" s="25"/>
      <c r="O410" s="28"/>
      <c r="P410" s="28"/>
      <c r="Q410" s="110">
        <f t="shared" si="15"/>
        <v>30000</v>
      </c>
      <c r="R410" s="28"/>
      <c r="S410" s="58" t="s">
        <v>139</v>
      </c>
    </row>
    <row r="411" spans="1:19" ht="21" x14ac:dyDescent="0.35">
      <c r="A411" s="106" t="s">
        <v>14</v>
      </c>
      <c r="B411" s="189" t="s">
        <v>983</v>
      </c>
      <c r="C411" s="107" t="s">
        <v>908</v>
      </c>
      <c r="D411" s="71" t="s">
        <v>909</v>
      </c>
      <c r="E411" s="71" t="s">
        <v>210</v>
      </c>
      <c r="F411" s="71" t="s">
        <v>211</v>
      </c>
      <c r="G411" s="71" t="s">
        <v>911</v>
      </c>
      <c r="H411" s="108">
        <v>428951</v>
      </c>
      <c r="I411" s="24"/>
      <c r="J411" s="114">
        <v>332272.18</v>
      </c>
      <c r="K411" s="26"/>
      <c r="L411" s="109">
        <v>96678.82</v>
      </c>
      <c r="M411" s="26"/>
      <c r="N411" s="25"/>
      <c r="O411" s="28"/>
      <c r="P411" s="28"/>
      <c r="Q411" s="110">
        <f t="shared" ref="Q411:Q446" si="16">L411-M411-N411-O411</f>
        <v>96678.82</v>
      </c>
      <c r="R411" s="28"/>
      <c r="S411" s="58" t="s">
        <v>139</v>
      </c>
    </row>
    <row r="412" spans="1:19" ht="21" x14ac:dyDescent="0.35">
      <c r="A412" s="106" t="s">
        <v>14</v>
      </c>
      <c r="B412" s="189" t="s">
        <v>983</v>
      </c>
      <c r="C412" s="107" t="s">
        <v>908</v>
      </c>
      <c r="D412" s="71" t="s">
        <v>909</v>
      </c>
      <c r="E412" s="71" t="s">
        <v>35</v>
      </c>
      <c r="F412" s="71" t="s">
        <v>36</v>
      </c>
      <c r="G412" s="71" t="s">
        <v>912</v>
      </c>
      <c r="H412" s="108">
        <v>100000</v>
      </c>
      <c r="I412" s="24"/>
      <c r="J412" s="25"/>
      <c r="K412" s="26"/>
      <c r="L412" s="109">
        <v>100000</v>
      </c>
      <c r="M412" s="26"/>
      <c r="N412" s="25"/>
      <c r="O412" s="28"/>
      <c r="P412" s="28"/>
      <c r="Q412" s="110">
        <f t="shared" si="16"/>
        <v>100000</v>
      </c>
      <c r="R412" s="28"/>
      <c r="S412" s="58" t="s">
        <v>139</v>
      </c>
    </row>
    <row r="413" spans="1:19" ht="31.5" x14ac:dyDescent="0.35">
      <c r="A413" s="106" t="s">
        <v>14</v>
      </c>
      <c r="B413" s="189" t="s">
        <v>983</v>
      </c>
      <c r="C413" s="107" t="s">
        <v>913</v>
      </c>
      <c r="D413" s="71" t="s">
        <v>914</v>
      </c>
      <c r="E413" s="71" t="s">
        <v>194</v>
      </c>
      <c r="F413" s="71" t="s">
        <v>195</v>
      </c>
      <c r="G413" s="71" t="s">
        <v>915</v>
      </c>
      <c r="H413" s="108">
        <v>110000</v>
      </c>
      <c r="I413" s="24"/>
      <c r="J413" s="25"/>
      <c r="K413" s="26"/>
      <c r="L413" s="109">
        <v>110000</v>
      </c>
      <c r="M413" s="26"/>
      <c r="N413" s="25"/>
      <c r="O413" s="28"/>
      <c r="P413" s="28"/>
      <c r="Q413" s="110">
        <f t="shared" si="16"/>
        <v>110000</v>
      </c>
      <c r="R413" s="28"/>
      <c r="S413" s="58" t="s">
        <v>139</v>
      </c>
    </row>
    <row r="414" spans="1:19" ht="31.5" x14ac:dyDescent="0.35">
      <c r="A414" s="106" t="s">
        <v>14</v>
      </c>
      <c r="B414" s="189" t="s">
        <v>983</v>
      </c>
      <c r="C414" s="107" t="s">
        <v>913</v>
      </c>
      <c r="D414" s="71" t="s">
        <v>914</v>
      </c>
      <c r="E414" s="71" t="s">
        <v>35</v>
      </c>
      <c r="F414" s="71" t="s">
        <v>36</v>
      </c>
      <c r="G414" s="71" t="s">
        <v>916</v>
      </c>
      <c r="H414" s="108">
        <v>220000</v>
      </c>
      <c r="I414" s="24"/>
      <c r="J414" s="25"/>
      <c r="K414" s="26"/>
      <c r="L414" s="109">
        <v>220000</v>
      </c>
      <c r="M414" s="26"/>
      <c r="N414" s="25"/>
      <c r="O414" s="28"/>
      <c r="P414" s="28"/>
      <c r="Q414" s="110">
        <f t="shared" si="16"/>
        <v>220000</v>
      </c>
      <c r="R414" s="28"/>
      <c r="S414" s="58" t="s">
        <v>139</v>
      </c>
    </row>
    <row r="415" spans="1:19" ht="31.5" x14ac:dyDescent="0.35">
      <c r="A415" s="106" t="s">
        <v>14</v>
      </c>
      <c r="B415" s="189" t="s">
        <v>983</v>
      </c>
      <c r="C415" s="107" t="s">
        <v>913</v>
      </c>
      <c r="D415" s="71" t="s">
        <v>914</v>
      </c>
      <c r="E415" s="71" t="s">
        <v>822</v>
      </c>
      <c r="F415" s="71" t="s">
        <v>823</v>
      </c>
      <c r="G415" s="71" t="s">
        <v>917</v>
      </c>
      <c r="H415" s="108">
        <v>55510</v>
      </c>
      <c r="I415" s="24"/>
      <c r="J415" s="25"/>
      <c r="K415" s="26"/>
      <c r="L415" s="109">
        <v>55510</v>
      </c>
      <c r="M415" s="26"/>
      <c r="N415" s="25"/>
      <c r="O415" s="28"/>
      <c r="P415" s="28"/>
      <c r="Q415" s="110">
        <f t="shared" si="16"/>
        <v>55510</v>
      </c>
      <c r="R415" s="28"/>
      <c r="S415" s="58" t="s">
        <v>139</v>
      </c>
    </row>
    <row r="416" spans="1:19" ht="31.5" x14ac:dyDescent="0.35">
      <c r="A416" s="106" t="s">
        <v>14</v>
      </c>
      <c r="B416" s="189" t="s">
        <v>983</v>
      </c>
      <c r="C416" s="107" t="s">
        <v>913</v>
      </c>
      <c r="D416" s="71" t="s">
        <v>914</v>
      </c>
      <c r="E416" s="71" t="s">
        <v>918</v>
      </c>
      <c r="F416" s="71" t="s">
        <v>919</v>
      </c>
      <c r="G416" s="71" t="s">
        <v>920</v>
      </c>
      <c r="H416" s="108">
        <v>0</v>
      </c>
      <c r="I416" s="24"/>
      <c r="J416" s="25"/>
      <c r="K416" s="26"/>
      <c r="L416" s="109">
        <v>0</v>
      </c>
      <c r="M416" s="26"/>
      <c r="N416" s="25"/>
      <c r="O416" s="28"/>
      <c r="P416" s="28"/>
      <c r="Q416" s="110">
        <f t="shared" si="16"/>
        <v>0</v>
      </c>
      <c r="R416" s="28"/>
      <c r="S416" s="58" t="s">
        <v>139</v>
      </c>
    </row>
    <row r="417" spans="1:19" ht="21" x14ac:dyDescent="0.35">
      <c r="A417" s="106" t="s">
        <v>14</v>
      </c>
      <c r="B417" s="189" t="s">
        <v>983</v>
      </c>
      <c r="C417" s="107" t="s">
        <v>921</v>
      </c>
      <c r="D417" s="71" t="s">
        <v>922</v>
      </c>
      <c r="E417" s="71" t="s">
        <v>106</v>
      </c>
      <c r="F417" s="71" t="s">
        <v>107</v>
      </c>
      <c r="G417" s="71" t="s">
        <v>923</v>
      </c>
      <c r="H417" s="108">
        <v>50000</v>
      </c>
      <c r="I417" s="24"/>
      <c r="J417" s="25"/>
      <c r="K417" s="26"/>
      <c r="L417" s="109">
        <v>50000</v>
      </c>
      <c r="M417" s="26"/>
      <c r="N417" s="25"/>
      <c r="O417" s="28"/>
      <c r="P417" s="28"/>
      <c r="Q417" s="110">
        <f t="shared" si="16"/>
        <v>50000</v>
      </c>
      <c r="R417" s="28"/>
      <c r="S417" s="58" t="s">
        <v>139</v>
      </c>
    </row>
    <row r="418" spans="1:19" x14ac:dyDescent="0.35">
      <c r="A418" s="106" t="s">
        <v>14</v>
      </c>
      <c r="B418" s="189" t="s">
        <v>983</v>
      </c>
      <c r="C418" s="107" t="s">
        <v>921</v>
      </c>
      <c r="D418" s="71" t="s">
        <v>922</v>
      </c>
      <c r="E418" s="71" t="s">
        <v>194</v>
      </c>
      <c r="F418" s="71" t="s">
        <v>195</v>
      </c>
      <c r="G418" s="71" t="s">
        <v>924</v>
      </c>
      <c r="H418" s="108">
        <v>15000</v>
      </c>
      <c r="I418" s="24"/>
      <c r="J418" s="25"/>
      <c r="K418" s="26"/>
      <c r="L418" s="109">
        <v>15000</v>
      </c>
      <c r="M418" s="26"/>
      <c r="N418" s="25"/>
      <c r="O418" s="28"/>
      <c r="P418" s="28"/>
      <c r="Q418" s="110">
        <f t="shared" si="16"/>
        <v>15000</v>
      </c>
      <c r="R418" s="28"/>
      <c r="S418" s="58" t="s">
        <v>139</v>
      </c>
    </row>
    <row r="419" spans="1:19" x14ac:dyDescent="0.35">
      <c r="A419" s="106" t="s">
        <v>14</v>
      </c>
      <c r="B419" s="189" t="s">
        <v>983</v>
      </c>
      <c r="C419" s="107" t="s">
        <v>921</v>
      </c>
      <c r="D419" s="71" t="s">
        <v>922</v>
      </c>
      <c r="E419" s="71" t="s">
        <v>35</v>
      </c>
      <c r="F419" s="71" t="s">
        <v>36</v>
      </c>
      <c r="G419" s="71" t="s">
        <v>925</v>
      </c>
      <c r="H419" s="108">
        <v>50000</v>
      </c>
      <c r="I419" s="24"/>
      <c r="J419" s="25"/>
      <c r="K419" s="26"/>
      <c r="L419" s="109">
        <v>50000</v>
      </c>
      <c r="M419" s="26"/>
      <c r="N419" s="25"/>
      <c r="O419" s="28"/>
      <c r="P419" s="28"/>
      <c r="Q419" s="110">
        <f t="shared" si="16"/>
        <v>50000</v>
      </c>
      <c r="R419" s="28"/>
      <c r="S419" s="58" t="s">
        <v>139</v>
      </c>
    </row>
    <row r="420" spans="1:19" x14ac:dyDescent="0.35">
      <c r="A420" s="106" t="s">
        <v>14</v>
      </c>
      <c r="B420" s="189" t="s">
        <v>983</v>
      </c>
      <c r="C420" s="107" t="s">
        <v>921</v>
      </c>
      <c r="D420" s="71" t="s">
        <v>922</v>
      </c>
      <c r="E420" s="71" t="s">
        <v>449</v>
      </c>
      <c r="F420" s="71" t="s">
        <v>450</v>
      </c>
      <c r="G420" s="71" t="s">
        <v>926</v>
      </c>
      <c r="H420" s="108">
        <v>0</v>
      </c>
      <c r="I420" s="24"/>
      <c r="J420" s="25"/>
      <c r="K420" s="26"/>
      <c r="L420" s="109">
        <v>0</v>
      </c>
      <c r="M420" s="26"/>
      <c r="N420" s="25"/>
      <c r="O420" s="28"/>
      <c r="P420" s="28"/>
      <c r="Q420" s="110">
        <f t="shared" si="16"/>
        <v>0</v>
      </c>
      <c r="R420" s="28"/>
      <c r="S420" s="58" t="s">
        <v>139</v>
      </c>
    </row>
    <row r="421" spans="1:19" x14ac:dyDescent="0.35">
      <c r="A421" s="106" t="s">
        <v>14</v>
      </c>
      <c r="B421" s="189" t="s">
        <v>983</v>
      </c>
      <c r="C421" s="107" t="s">
        <v>921</v>
      </c>
      <c r="D421" s="71" t="s">
        <v>922</v>
      </c>
      <c r="E421" s="71" t="s">
        <v>918</v>
      </c>
      <c r="F421" s="71" t="s">
        <v>919</v>
      </c>
      <c r="G421" s="71" t="s">
        <v>927</v>
      </c>
      <c r="H421" s="108">
        <v>826280</v>
      </c>
      <c r="I421" s="24"/>
      <c r="J421" s="25"/>
      <c r="K421" s="26"/>
      <c r="L421" s="109">
        <v>826280</v>
      </c>
      <c r="M421" s="26"/>
      <c r="N421" s="25"/>
      <c r="O421" s="28"/>
      <c r="P421" s="28"/>
      <c r="Q421" s="110">
        <f t="shared" si="16"/>
        <v>826280</v>
      </c>
      <c r="R421" s="28"/>
      <c r="S421" s="58" t="s">
        <v>139</v>
      </c>
    </row>
    <row r="422" spans="1:19" x14ac:dyDescent="0.35">
      <c r="A422" s="106" t="s">
        <v>14</v>
      </c>
      <c r="B422" s="189" t="s">
        <v>983</v>
      </c>
      <c r="C422" s="107" t="s">
        <v>928</v>
      </c>
      <c r="D422" s="71" t="s">
        <v>929</v>
      </c>
      <c r="E422" s="71" t="s">
        <v>194</v>
      </c>
      <c r="F422" s="71" t="s">
        <v>195</v>
      </c>
      <c r="G422" s="71" t="s">
        <v>930</v>
      </c>
      <c r="H422" s="108">
        <v>50000</v>
      </c>
      <c r="I422" s="24"/>
      <c r="J422" s="25"/>
      <c r="K422" s="26"/>
      <c r="L422" s="109">
        <v>50000</v>
      </c>
      <c r="M422" s="26"/>
      <c r="N422" s="25"/>
      <c r="O422" s="28"/>
      <c r="P422" s="28"/>
      <c r="Q422" s="110">
        <f t="shared" si="16"/>
        <v>50000</v>
      </c>
      <c r="R422" s="28"/>
      <c r="S422" s="58" t="s">
        <v>139</v>
      </c>
    </row>
    <row r="423" spans="1:19" x14ac:dyDescent="0.35">
      <c r="A423" s="106" t="s">
        <v>14</v>
      </c>
      <c r="B423" s="189" t="s">
        <v>983</v>
      </c>
      <c r="C423" s="107" t="s">
        <v>928</v>
      </c>
      <c r="D423" s="71" t="s">
        <v>929</v>
      </c>
      <c r="E423" s="71" t="s">
        <v>35</v>
      </c>
      <c r="F423" s="71" t="s">
        <v>36</v>
      </c>
      <c r="G423" s="71" t="s">
        <v>931</v>
      </c>
      <c r="H423" s="108">
        <v>50000</v>
      </c>
      <c r="I423" s="24"/>
      <c r="J423" s="25"/>
      <c r="K423" s="26"/>
      <c r="L423" s="109">
        <v>50000</v>
      </c>
      <c r="M423" s="26"/>
      <c r="N423" s="25"/>
      <c r="O423" s="28"/>
      <c r="P423" s="28"/>
      <c r="Q423" s="110">
        <f t="shared" si="16"/>
        <v>50000</v>
      </c>
      <c r="R423" s="28"/>
      <c r="S423" s="58" t="s">
        <v>139</v>
      </c>
    </row>
    <row r="424" spans="1:19" ht="21" x14ac:dyDescent="0.35">
      <c r="A424" s="106" t="s">
        <v>14</v>
      </c>
      <c r="B424" s="189" t="s">
        <v>983</v>
      </c>
      <c r="C424" s="107" t="s">
        <v>932</v>
      </c>
      <c r="D424" s="71" t="s">
        <v>933</v>
      </c>
      <c r="E424" s="71" t="s">
        <v>20</v>
      </c>
      <c r="F424" s="71" t="s">
        <v>21</v>
      </c>
      <c r="G424" s="71" t="s">
        <v>934</v>
      </c>
      <c r="H424" s="108">
        <v>300000</v>
      </c>
      <c r="I424" s="24"/>
      <c r="J424" s="25"/>
      <c r="K424" s="26"/>
      <c r="L424" s="109">
        <v>300000</v>
      </c>
      <c r="M424" s="26"/>
      <c r="N424" s="25"/>
      <c r="O424" s="28"/>
      <c r="P424" s="28"/>
      <c r="Q424" s="110">
        <f t="shared" si="16"/>
        <v>300000</v>
      </c>
      <c r="R424" s="28"/>
      <c r="S424" s="58" t="s">
        <v>139</v>
      </c>
    </row>
    <row r="425" spans="1:19" ht="21" x14ac:dyDescent="0.35">
      <c r="A425" s="106" t="s">
        <v>14</v>
      </c>
      <c r="B425" s="189" t="s">
        <v>983</v>
      </c>
      <c r="C425" s="107" t="s">
        <v>932</v>
      </c>
      <c r="D425" s="71" t="s">
        <v>933</v>
      </c>
      <c r="E425" s="71" t="s">
        <v>26</v>
      </c>
      <c r="F425" s="71" t="s">
        <v>27</v>
      </c>
      <c r="G425" s="71" t="s">
        <v>935</v>
      </c>
      <c r="H425" s="108">
        <v>171900</v>
      </c>
      <c r="I425" s="24"/>
      <c r="J425" s="25"/>
      <c r="K425" s="26"/>
      <c r="L425" s="109">
        <v>171900</v>
      </c>
      <c r="M425" s="26"/>
      <c r="N425" s="25"/>
      <c r="O425" s="28"/>
      <c r="P425" s="28"/>
      <c r="Q425" s="110">
        <f t="shared" si="16"/>
        <v>171900</v>
      </c>
      <c r="R425" s="28"/>
      <c r="S425" s="58" t="s">
        <v>139</v>
      </c>
    </row>
    <row r="426" spans="1:19" x14ac:dyDescent="0.35">
      <c r="A426" s="106" t="s">
        <v>14</v>
      </c>
      <c r="B426" s="189" t="s">
        <v>983</v>
      </c>
      <c r="C426" s="107" t="s">
        <v>932</v>
      </c>
      <c r="D426" s="71" t="s">
        <v>933</v>
      </c>
      <c r="E426" s="71" t="s">
        <v>857</v>
      </c>
      <c r="F426" s="71" t="s">
        <v>858</v>
      </c>
      <c r="G426" s="71" t="s">
        <v>936</v>
      </c>
      <c r="H426" s="108">
        <v>5000</v>
      </c>
      <c r="I426" s="24"/>
      <c r="J426" s="25"/>
      <c r="K426" s="26"/>
      <c r="L426" s="109">
        <v>5000</v>
      </c>
      <c r="M426" s="26"/>
      <c r="N426" s="25"/>
      <c r="O426" s="28"/>
      <c r="P426" s="28"/>
      <c r="Q426" s="110">
        <f t="shared" si="16"/>
        <v>5000</v>
      </c>
      <c r="R426" s="28"/>
      <c r="S426" s="58" t="s">
        <v>139</v>
      </c>
    </row>
    <row r="427" spans="1:19" x14ac:dyDescent="0.35">
      <c r="A427" s="106" t="s">
        <v>14</v>
      </c>
      <c r="B427" s="189" t="s">
        <v>983</v>
      </c>
      <c r="C427" s="107" t="s">
        <v>932</v>
      </c>
      <c r="D427" s="71" t="s">
        <v>933</v>
      </c>
      <c r="E427" s="71" t="s">
        <v>35</v>
      </c>
      <c r="F427" s="71" t="s">
        <v>36</v>
      </c>
      <c r="G427" s="71" t="s">
        <v>937</v>
      </c>
      <c r="H427" s="108">
        <v>70000</v>
      </c>
      <c r="I427" s="24"/>
      <c r="J427" s="25"/>
      <c r="K427" s="26"/>
      <c r="L427" s="109">
        <v>70000</v>
      </c>
      <c r="M427" s="26"/>
      <c r="N427" s="25"/>
      <c r="O427" s="28"/>
      <c r="P427" s="28"/>
      <c r="Q427" s="110">
        <f t="shared" si="16"/>
        <v>70000</v>
      </c>
      <c r="R427" s="28"/>
      <c r="S427" s="58" t="s">
        <v>139</v>
      </c>
    </row>
    <row r="428" spans="1:19" x14ac:dyDescent="0.35">
      <c r="A428" s="106" t="s">
        <v>14</v>
      </c>
      <c r="B428" s="189" t="s">
        <v>983</v>
      </c>
      <c r="C428" s="107" t="s">
        <v>932</v>
      </c>
      <c r="D428" s="71" t="s">
        <v>933</v>
      </c>
      <c r="E428" s="71" t="s">
        <v>918</v>
      </c>
      <c r="F428" s="71" t="s">
        <v>919</v>
      </c>
      <c r="G428" s="71" t="s">
        <v>938</v>
      </c>
      <c r="H428" s="108">
        <v>205962</v>
      </c>
      <c r="I428" s="112">
        <v>14624.51</v>
      </c>
      <c r="J428" s="25"/>
      <c r="K428" s="108">
        <v>40609.089999999997</v>
      </c>
      <c r="L428" s="109">
        <v>150728.4</v>
      </c>
      <c r="M428" s="26"/>
      <c r="N428" s="25"/>
      <c r="O428" s="28"/>
      <c r="P428" s="28"/>
      <c r="Q428" s="110">
        <f t="shared" si="16"/>
        <v>150728.4</v>
      </c>
      <c r="R428" s="28"/>
      <c r="S428" s="58" t="s">
        <v>139</v>
      </c>
    </row>
    <row r="429" spans="1:19" ht="21" x14ac:dyDescent="0.35">
      <c r="A429" s="106" t="s">
        <v>14</v>
      </c>
      <c r="B429" s="189" t="s">
        <v>983</v>
      </c>
      <c r="C429" s="107" t="s">
        <v>939</v>
      </c>
      <c r="D429" s="71" t="s">
        <v>940</v>
      </c>
      <c r="E429" s="71" t="s">
        <v>142</v>
      </c>
      <c r="F429" s="71" t="s">
        <v>143</v>
      </c>
      <c r="G429" s="71" t="s">
        <v>941</v>
      </c>
      <c r="H429" s="108">
        <v>231840</v>
      </c>
      <c r="I429" s="112">
        <v>59563.01</v>
      </c>
      <c r="J429" s="25"/>
      <c r="K429" s="26"/>
      <c r="L429" s="109">
        <v>172276.99</v>
      </c>
      <c r="M429" s="26"/>
      <c r="N429" s="25"/>
      <c r="O429" s="28"/>
      <c r="P429" s="28"/>
      <c r="Q429" s="110">
        <f t="shared" si="16"/>
        <v>172276.99</v>
      </c>
      <c r="R429" s="28"/>
      <c r="S429" s="58" t="s">
        <v>139</v>
      </c>
    </row>
    <row r="430" spans="1:19" ht="21" x14ac:dyDescent="0.35">
      <c r="A430" s="106" t="s">
        <v>14</v>
      </c>
      <c r="B430" s="189" t="s">
        <v>983</v>
      </c>
      <c r="C430" s="107" t="s">
        <v>939</v>
      </c>
      <c r="D430" s="71" t="s">
        <v>940</v>
      </c>
      <c r="E430" s="71" t="s">
        <v>35</v>
      </c>
      <c r="F430" s="71" t="s">
        <v>36</v>
      </c>
      <c r="G430" s="71" t="s">
        <v>942</v>
      </c>
      <c r="H430" s="108">
        <v>80000</v>
      </c>
      <c r="I430" s="112">
        <v>2605.5</v>
      </c>
      <c r="J430" s="25"/>
      <c r="K430" s="26"/>
      <c r="L430" s="109">
        <v>77394.5</v>
      </c>
      <c r="M430" s="26"/>
      <c r="N430" s="25"/>
      <c r="O430" s="28"/>
      <c r="P430" s="28"/>
      <c r="Q430" s="110">
        <f t="shared" si="16"/>
        <v>77394.5</v>
      </c>
      <c r="R430" s="28"/>
      <c r="S430" s="58" t="s">
        <v>139</v>
      </c>
    </row>
    <row r="431" spans="1:19" ht="21" x14ac:dyDescent="0.35">
      <c r="A431" s="106" t="s">
        <v>14</v>
      </c>
      <c r="B431" s="189" t="s">
        <v>983</v>
      </c>
      <c r="C431" s="107" t="s">
        <v>939</v>
      </c>
      <c r="D431" s="71" t="s">
        <v>940</v>
      </c>
      <c r="E431" s="71" t="s">
        <v>918</v>
      </c>
      <c r="F431" s="71" t="s">
        <v>919</v>
      </c>
      <c r="G431" s="71" t="s">
        <v>943</v>
      </c>
      <c r="H431" s="108">
        <v>99885358</v>
      </c>
      <c r="I431" s="112">
        <v>17829633.859999999</v>
      </c>
      <c r="J431" s="114">
        <v>1089096.8700000001</v>
      </c>
      <c r="K431" s="108">
        <v>2803512.85</v>
      </c>
      <c r="L431" s="109">
        <v>78163114.420000002</v>
      </c>
      <c r="M431" s="26"/>
      <c r="N431" s="25"/>
      <c r="O431" s="28"/>
      <c r="P431" s="28"/>
      <c r="Q431" s="110">
        <f t="shared" si="16"/>
        <v>78163114.420000002</v>
      </c>
      <c r="R431" s="28"/>
      <c r="S431" s="58" t="s">
        <v>139</v>
      </c>
    </row>
    <row r="432" spans="1:19" ht="21" x14ac:dyDescent="0.35">
      <c r="A432" s="106" t="s">
        <v>14</v>
      </c>
      <c r="B432" s="189" t="s">
        <v>983</v>
      </c>
      <c r="C432" s="107" t="s">
        <v>944</v>
      </c>
      <c r="D432" s="71" t="s">
        <v>945</v>
      </c>
      <c r="E432" s="71" t="s">
        <v>867</v>
      </c>
      <c r="F432" s="71" t="s">
        <v>868</v>
      </c>
      <c r="G432" s="71" t="s">
        <v>946</v>
      </c>
      <c r="H432" s="108">
        <v>3332844</v>
      </c>
      <c r="I432" s="24"/>
      <c r="J432" s="114">
        <v>682356.76</v>
      </c>
      <c r="K432" s="26"/>
      <c r="L432" s="109">
        <v>2650487.2400000002</v>
      </c>
      <c r="M432" s="26"/>
      <c r="N432" s="25"/>
      <c r="O432" s="28"/>
      <c r="P432" s="28"/>
      <c r="Q432" s="110">
        <f t="shared" si="16"/>
        <v>2650487.2400000002</v>
      </c>
      <c r="R432" s="28"/>
      <c r="S432" s="58" t="s">
        <v>139</v>
      </c>
    </row>
    <row r="433" spans="1:19" ht="21" x14ac:dyDescent="0.35">
      <c r="A433" s="106" t="s">
        <v>14</v>
      </c>
      <c r="B433" s="189" t="s">
        <v>983</v>
      </c>
      <c r="C433" s="107" t="s">
        <v>944</v>
      </c>
      <c r="D433" s="71" t="s">
        <v>945</v>
      </c>
      <c r="E433" s="71" t="s">
        <v>106</v>
      </c>
      <c r="F433" s="71" t="s">
        <v>107</v>
      </c>
      <c r="G433" s="71" t="s">
        <v>947</v>
      </c>
      <c r="H433" s="108">
        <v>100002</v>
      </c>
      <c r="I433" s="24"/>
      <c r="J433" s="25"/>
      <c r="K433" s="26"/>
      <c r="L433" s="109">
        <v>100002</v>
      </c>
      <c r="M433" s="26"/>
      <c r="N433" s="25"/>
      <c r="O433" s="28"/>
      <c r="P433" s="28"/>
      <c r="Q433" s="110">
        <f t="shared" si="16"/>
        <v>100002</v>
      </c>
      <c r="R433" s="28"/>
      <c r="S433" s="58" t="s">
        <v>139</v>
      </c>
    </row>
    <row r="434" spans="1:19" ht="21" x14ac:dyDescent="0.35">
      <c r="A434" s="106" t="s">
        <v>14</v>
      </c>
      <c r="B434" s="189" t="s">
        <v>983</v>
      </c>
      <c r="C434" s="107" t="s">
        <v>944</v>
      </c>
      <c r="D434" s="71" t="s">
        <v>945</v>
      </c>
      <c r="E434" s="71" t="s">
        <v>110</v>
      </c>
      <c r="F434" s="71" t="s">
        <v>111</v>
      </c>
      <c r="G434" s="71" t="s">
        <v>948</v>
      </c>
      <c r="H434" s="108">
        <v>100002</v>
      </c>
      <c r="I434" s="24"/>
      <c r="J434" s="25"/>
      <c r="K434" s="26"/>
      <c r="L434" s="109">
        <v>100002</v>
      </c>
      <c r="M434" s="26"/>
      <c r="N434" s="25"/>
      <c r="O434" s="28"/>
      <c r="P434" s="28"/>
      <c r="Q434" s="110">
        <f t="shared" si="16"/>
        <v>100002</v>
      </c>
      <c r="R434" s="28"/>
      <c r="S434" s="58" t="s">
        <v>139</v>
      </c>
    </row>
    <row r="435" spans="1:19" ht="21" x14ac:dyDescent="0.35">
      <c r="A435" s="106" t="s">
        <v>14</v>
      </c>
      <c r="B435" s="189" t="s">
        <v>983</v>
      </c>
      <c r="C435" s="107" t="s">
        <v>944</v>
      </c>
      <c r="D435" s="71" t="s">
        <v>945</v>
      </c>
      <c r="E435" s="71" t="s">
        <v>26</v>
      </c>
      <c r="F435" s="71" t="s">
        <v>27</v>
      </c>
      <c r="G435" s="71" t="s">
        <v>949</v>
      </c>
      <c r="H435" s="108">
        <v>120000</v>
      </c>
      <c r="I435" s="24"/>
      <c r="J435" s="114">
        <v>76940.17</v>
      </c>
      <c r="K435" s="26"/>
      <c r="L435" s="109">
        <v>43059.83</v>
      </c>
      <c r="M435" s="26"/>
      <c r="N435" s="25"/>
      <c r="O435" s="28"/>
      <c r="P435" s="28"/>
      <c r="Q435" s="110">
        <f t="shared" si="16"/>
        <v>43059.83</v>
      </c>
      <c r="R435" s="28"/>
      <c r="S435" s="58" t="s">
        <v>139</v>
      </c>
    </row>
    <row r="436" spans="1:19" ht="21" x14ac:dyDescent="0.35">
      <c r="A436" s="106" t="s">
        <v>14</v>
      </c>
      <c r="B436" s="189" t="s">
        <v>983</v>
      </c>
      <c r="C436" s="107" t="s">
        <v>944</v>
      </c>
      <c r="D436" s="71" t="s">
        <v>945</v>
      </c>
      <c r="E436" s="71" t="s">
        <v>35</v>
      </c>
      <c r="F436" s="71" t="s">
        <v>36</v>
      </c>
      <c r="G436" s="71" t="s">
        <v>950</v>
      </c>
      <c r="H436" s="108">
        <v>50001</v>
      </c>
      <c r="I436" s="24"/>
      <c r="J436" s="25"/>
      <c r="K436" s="26"/>
      <c r="L436" s="109">
        <v>50001</v>
      </c>
      <c r="M436" s="26"/>
      <c r="N436" s="25"/>
      <c r="O436" s="28"/>
      <c r="P436" s="28"/>
      <c r="Q436" s="110">
        <f t="shared" si="16"/>
        <v>50001</v>
      </c>
      <c r="R436" s="28"/>
      <c r="S436" s="58" t="s">
        <v>139</v>
      </c>
    </row>
    <row r="437" spans="1:19" ht="21" x14ac:dyDescent="0.35">
      <c r="A437" s="106" t="s">
        <v>14</v>
      </c>
      <c r="B437" s="189" t="s">
        <v>983</v>
      </c>
      <c r="C437" s="107" t="s">
        <v>951</v>
      </c>
      <c r="D437" s="71" t="s">
        <v>952</v>
      </c>
      <c r="E437" s="71" t="s">
        <v>17</v>
      </c>
      <c r="F437" s="71" t="s">
        <v>18</v>
      </c>
      <c r="G437" s="71" t="s">
        <v>953</v>
      </c>
      <c r="H437" s="108">
        <v>0</v>
      </c>
      <c r="I437" s="24"/>
      <c r="J437" s="25"/>
      <c r="K437" s="26"/>
      <c r="L437" s="109">
        <v>0</v>
      </c>
      <c r="M437" s="26"/>
      <c r="N437" s="25"/>
      <c r="O437" s="28"/>
      <c r="P437" s="28"/>
      <c r="Q437" s="110">
        <f t="shared" si="16"/>
        <v>0</v>
      </c>
      <c r="R437" s="28"/>
      <c r="S437" s="58" t="s">
        <v>139</v>
      </c>
    </row>
    <row r="438" spans="1:19" ht="21" x14ac:dyDescent="0.35">
      <c r="A438" s="106" t="s">
        <v>14</v>
      </c>
      <c r="B438" s="189" t="s">
        <v>983</v>
      </c>
      <c r="C438" s="107" t="s">
        <v>951</v>
      </c>
      <c r="D438" s="71" t="s">
        <v>952</v>
      </c>
      <c r="E438" s="71" t="s">
        <v>20</v>
      </c>
      <c r="F438" s="71" t="s">
        <v>21</v>
      </c>
      <c r="G438" s="71" t="s">
        <v>954</v>
      </c>
      <c r="H438" s="108">
        <v>588000</v>
      </c>
      <c r="I438" s="24"/>
      <c r="J438" s="25"/>
      <c r="K438" s="26"/>
      <c r="L438" s="109">
        <v>588000</v>
      </c>
      <c r="M438" s="26"/>
      <c r="N438" s="25"/>
      <c r="O438" s="28"/>
      <c r="P438" s="28"/>
      <c r="Q438" s="110">
        <f t="shared" si="16"/>
        <v>588000</v>
      </c>
      <c r="R438" s="28"/>
      <c r="S438" s="58" t="s">
        <v>139</v>
      </c>
    </row>
    <row r="439" spans="1:19" ht="21" x14ac:dyDescent="0.35">
      <c r="A439" s="106" t="s">
        <v>14</v>
      </c>
      <c r="B439" s="189" t="s">
        <v>983</v>
      </c>
      <c r="C439" s="107" t="s">
        <v>951</v>
      </c>
      <c r="D439" s="71" t="s">
        <v>952</v>
      </c>
      <c r="E439" s="71" t="s">
        <v>26</v>
      </c>
      <c r="F439" s="71" t="s">
        <v>27</v>
      </c>
      <c r="G439" s="71" t="s">
        <v>955</v>
      </c>
      <c r="H439" s="108">
        <v>161375</v>
      </c>
      <c r="I439" s="24"/>
      <c r="J439" s="25"/>
      <c r="K439" s="108">
        <v>68000</v>
      </c>
      <c r="L439" s="109">
        <v>93375</v>
      </c>
      <c r="M439" s="26"/>
      <c r="N439" s="25"/>
      <c r="O439" s="28"/>
      <c r="P439" s="28"/>
      <c r="Q439" s="110">
        <f t="shared" si="16"/>
        <v>93375</v>
      </c>
      <c r="R439" s="28"/>
      <c r="S439" s="58" t="s">
        <v>139</v>
      </c>
    </row>
    <row r="440" spans="1:19" ht="21" x14ac:dyDescent="0.35">
      <c r="A440" s="106" t="s">
        <v>14</v>
      </c>
      <c r="B440" s="189" t="s">
        <v>983</v>
      </c>
      <c r="C440" s="107" t="s">
        <v>951</v>
      </c>
      <c r="D440" s="71" t="s">
        <v>952</v>
      </c>
      <c r="E440" s="71" t="s">
        <v>222</v>
      </c>
      <c r="F440" s="71" t="s">
        <v>223</v>
      </c>
      <c r="G440" s="71" t="s">
        <v>956</v>
      </c>
      <c r="H440" s="108">
        <v>15319303</v>
      </c>
      <c r="I440" s="112">
        <v>601640.93999999994</v>
      </c>
      <c r="J440" s="114">
        <v>2974633.52</v>
      </c>
      <c r="K440" s="108">
        <v>4159072.78</v>
      </c>
      <c r="L440" s="109">
        <v>7583955.7599999998</v>
      </c>
      <c r="M440" s="26"/>
      <c r="N440" s="25"/>
      <c r="O440" s="28"/>
      <c r="P440" s="28"/>
      <c r="Q440" s="110">
        <f t="shared" si="16"/>
        <v>7583955.7599999998</v>
      </c>
      <c r="R440" s="28"/>
      <c r="S440" s="58" t="s">
        <v>139</v>
      </c>
    </row>
    <row r="441" spans="1:19" ht="21" x14ac:dyDescent="0.35">
      <c r="A441" s="106" t="s">
        <v>14</v>
      </c>
      <c r="B441" s="189" t="s">
        <v>983</v>
      </c>
      <c r="C441" s="107" t="s">
        <v>951</v>
      </c>
      <c r="D441" s="71" t="s">
        <v>952</v>
      </c>
      <c r="E441" s="71" t="s">
        <v>230</v>
      </c>
      <c r="F441" s="71" t="s">
        <v>231</v>
      </c>
      <c r="G441" s="71" t="s">
        <v>957</v>
      </c>
      <c r="H441" s="108">
        <v>2753398</v>
      </c>
      <c r="I441" s="112">
        <v>11784.54</v>
      </c>
      <c r="J441" s="114">
        <v>7703</v>
      </c>
      <c r="K441" s="108">
        <v>0</v>
      </c>
      <c r="L441" s="109">
        <v>2733910.46</v>
      </c>
      <c r="M441" s="26"/>
      <c r="N441" s="25"/>
      <c r="O441" s="28"/>
      <c r="P441" s="28"/>
      <c r="Q441" s="110">
        <f t="shared" si="16"/>
        <v>2733910.46</v>
      </c>
      <c r="R441" s="28"/>
      <c r="S441" s="58" t="s">
        <v>139</v>
      </c>
    </row>
    <row r="442" spans="1:19" x14ac:dyDescent="0.35">
      <c r="A442" s="106" t="s">
        <v>14</v>
      </c>
      <c r="B442" s="189" t="s">
        <v>983</v>
      </c>
      <c r="C442" s="107" t="s">
        <v>958</v>
      </c>
      <c r="D442" s="71" t="s">
        <v>959</v>
      </c>
      <c r="E442" s="71" t="s">
        <v>17</v>
      </c>
      <c r="F442" s="71" t="s">
        <v>18</v>
      </c>
      <c r="G442" s="71" t="s">
        <v>960</v>
      </c>
      <c r="H442" s="108">
        <v>0</v>
      </c>
      <c r="I442" s="24"/>
      <c r="J442" s="25"/>
      <c r="K442" s="26"/>
      <c r="L442" s="109">
        <v>0</v>
      </c>
      <c r="M442" s="26"/>
      <c r="N442" s="25"/>
      <c r="O442" s="28"/>
      <c r="P442" s="28"/>
      <c r="Q442" s="110">
        <f t="shared" si="16"/>
        <v>0</v>
      </c>
      <c r="R442" s="28"/>
      <c r="S442" s="58" t="s">
        <v>139</v>
      </c>
    </row>
    <row r="443" spans="1:19" ht="21" x14ac:dyDescent="0.35">
      <c r="A443" s="106" t="s">
        <v>14</v>
      </c>
      <c r="B443" s="189" t="s">
        <v>983</v>
      </c>
      <c r="C443" s="107" t="s">
        <v>958</v>
      </c>
      <c r="D443" s="71" t="s">
        <v>959</v>
      </c>
      <c r="E443" s="71" t="s">
        <v>20</v>
      </c>
      <c r="F443" s="71" t="s">
        <v>21</v>
      </c>
      <c r="G443" s="71" t="s">
        <v>961</v>
      </c>
      <c r="H443" s="108">
        <v>1709607</v>
      </c>
      <c r="I443" s="24"/>
      <c r="J443" s="25"/>
      <c r="K443" s="26"/>
      <c r="L443" s="109">
        <v>1709607</v>
      </c>
      <c r="M443" s="26"/>
      <c r="N443" s="25"/>
      <c r="O443" s="28"/>
      <c r="P443" s="28"/>
      <c r="Q443" s="110">
        <f t="shared" si="16"/>
        <v>1709607</v>
      </c>
      <c r="R443" s="28"/>
      <c r="S443" s="58" t="s">
        <v>139</v>
      </c>
    </row>
    <row r="444" spans="1:19" x14ac:dyDescent="0.35">
      <c r="A444" s="106" t="s">
        <v>14</v>
      </c>
      <c r="B444" s="189" t="s">
        <v>983</v>
      </c>
      <c r="C444" s="107" t="s">
        <v>958</v>
      </c>
      <c r="D444" s="71" t="s">
        <v>959</v>
      </c>
      <c r="E444" s="71" t="s">
        <v>194</v>
      </c>
      <c r="F444" s="71" t="s">
        <v>195</v>
      </c>
      <c r="G444" s="71" t="s">
        <v>962</v>
      </c>
      <c r="H444" s="108">
        <v>10000</v>
      </c>
      <c r="I444" s="24"/>
      <c r="J444" s="25"/>
      <c r="K444" s="26"/>
      <c r="L444" s="109">
        <v>10000</v>
      </c>
      <c r="M444" s="26"/>
      <c r="N444" s="25"/>
      <c r="O444" s="28"/>
      <c r="P444" s="28"/>
      <c r="Q444" s="110">
        <f t="shared" si="16"/>
        <v>10000</v>
      </c>
      <c r="R444" s="28"/>
      <c r="S444" s="58" t="s">
        <v>139</v>
      </c>
    </row>
    <row r="445" spans="1:19" ht="21" x14ac:dyDescent="0.35">
      <c r="A445" s="106" t="s">
        <v>14</v>
      </c>
      <c r="B445" s="189" t="s">
        <v>983</v>
      </c>
      <c r="C445" s="107" t="s">
        <v>958</v>
      </c>
      <c r="D445" s="71" t="s">
        <v>959</v>
      </c>
      <c r="E445" s="71" t="s">
        <v>26</v>
      </c>
      <c r="F445" s="71" t="s">
        <v>27</v>
      </c>
      <c r="G445" s="71" t="s">
        <v>963</v>
      </c>
      <c r="H445" s="108">
        <v>2618576</v>
      </c>
      <c r="I445" s="24"/>
      <c r="J445" s="114">
        <v>91089.09</v>
      </c>
      <c r="K445" s="108">
        <v>0</v>
      </c>
      <c r="L445" s="109">
        <v>2527486.91</v>
      </c>
      <c r="M445" s="26"/>
      <c r="N445" s="25"/>
      <c r="O445" s="28"/>
      <c r="P445" s="28"/>
      <c r="Q445" s="110">
        <f t="shared" si="16"/>
        <v>2527486.91</v>
      </c>
      <c r="R445" s="28"/>
      <c r="S445" s="58" t="s">
        <v>139</v>
      </c>
    </row>
    <row r="446" spans="1:19" x14ac:dyDescent="0.35">
      <c r="A446" s="106" t="s">
        <v>14</v>
      </c>
      <c r="B446" s="189" t="s">
        <v>983</v>
      </c>
      <c r="C446" s="107" t="s">
        <v>958</v>
      </c>
      <c r="D446" s="71" t="s">
        <v>959</v>
      </c>
      <c r="E446" s="71" t="s">
        <v>35</v>
      </c>
      <c r="F446" s="71" t="s">
        <v>36</v>
      </c>
      <c r="G446" s="71" t="s">
        <v>964</v>
      </c>
      <c r="H446" s="108">
        <v>45000</v>
      </c>
      <c r="I446" s="24"/>
      <c r="J446" s="25"/>
      <c r="K446" s="26"/>
      <c r="L446" s="109">
        <v>45000</v>
      </c>
      <c r="M446" s="26"/>
      <c r="N446" s="25"/>
      <c r="O446" s="28"/>
      <c r="P446" s="28"/>
      <c r="Q446" s="110">
        <f t="shared" si="16"/>
        <v>45000</v>
      </c>
      <c r="R446" s="28"/>
      <c r="S446" s="58" t="s">
        <v>139</v>
      </c>
    </row>
    <row r="447" spans="1:19" customFormat="1" x14ac:dyDescent="0.35">
      <c r="A447" s="106" t="s">
        <v>14</v>
      </c>
      <c r="B447" s="106" t="s">
        <v>987</v>
      </c>
      <c r="C447" s="107" t="s">
        <v>881</v>
      </c>
      <c r="D447" s="71" t="s">
        <v>882</v>
      </c>
      <c r="E447" s="71" t="s">
        <v>254</v>
      </c>
      <c r="F447" s="71" t="s">
        <v>255</v>
      </c>
      <c r="G447" s="71" t="s">
        <v>883</v>
      </c>
      <c r="H447" s="108">
        <v>60000</v>
      </c>
      <c r="I447" s="24"/>
      <c r="J447" s="25"/>
      <c r="K447" s="26"/>
      <c r="L447" s="109">
        <v>60000</v>
      </c>
      <c r="M447" s="26"/>
      <c r="N447" s="25"/>
      <c r="O447" s="28"/>
      <c r="P447" s="28"/>
      <c r="Q447" s="110">
        <f t="shared" ref="Q447:Q457" si="17">L447-M447-N447-O447</f>
        <v>60000</v>
      </c>
      <c r="R447" s="28"/>
      <c r="S447" s="58" t="s">
        <v>139</v>
      </c>
    </row>
    <row r="448" spans="1:19" customFormat="1" x14ac:dyDescent="0.35">
      <c r="A448" s="106" t="s">
        <v>14</v>
      </c>
      <c r="B448" s="106" t="s">
        <v>987</v>
      </c>
      <c r="C448" s="107" t="s">
        <v>881</v>
      </c>
      <c r="D448" s="71" t="s">
        <v>882</v>
      </c>
      <c r="E448" s="71" t="s">
        <v>142</v>
      </c>
      <c r="F448" s="71" t="s">
        <v>143</v>
      </c>
      <c r="G448" s="71" t="s">
        <v>884</v>
      </c>
      <c r="H448" s="108">
        <v>392387</v>
      </c>
      <c r="I448" s="24"/>
      <c r="J448" s="25"/>
      <c r="K448" s="26"/>
      <c r="L448" s="109">
        <v>392387</v>
      </c>
      <c r="M448" s="26"/>
      <c r="N448" s="25"/>
      <c r="O448" s="28"/>
      <c r="P448" s="28"/>
      <c r="Q448" s="110">
        <f t="shared" si="17"/>
        <v>392387</v>
      </c>
      <c r="R448" s="28"/>
      <c r="S448" s="58" t="s">
        <v>139</v>
      </c>
    </row>
    <row r="449" spans="1:19" customFormat="1" x14ac:dyDescent="0.35">
      <c r="A449" s="106" t="s">
        <v>14</v>
      </c>
      <c r="B449" s="106" t="s">
        <v>987</v>
      </c>
      <c r="C449" s="107" t="s">
        <v>881</v>
      </c>
      <c r="D449" s="71" t="s">
        <v>882</v>
      </c>
      <c r="E449" s="71" t="s">
        <v>501</v>
      </c>
      <c r="F449" s="71" t="s">
        <v>153</v>
      </c>
      <c r="G449" s="71" t="s">
        <v>885</v>
      </c>
      <c r="H449" s="108">
        <v>375000</v>
      </c>
      <c r="I449" s="24"/>
      <c r="J449" s="25"/>
      <c r="K449" s="26"/>
      <c r="L449" s="109">
        <v>375000</v>
      </c>
      <c r="M449" s="26"/>
      <c r="N449" s="25"/>
      <c r="O449" s="28"/>
      <c r="P449" s="28"/>
      <c r="Q449" s="110">
        <f t="shared" si="17"/>
        <v>375000</v>
      </c>
      <c r="R449" s="28"/>
      <c r="S449" s="58" t="s">
        <v>139</v>
      </c>
    </row>
    <row r="450" spans="1:19" customFormat="1" ht="21" x14ac:dyDescent="0.35">
      <c r="A450" s="106" t="s">
        <v>14</v>
      </c>
      <c r="B450" s="106" t="s">
        <v>987</v>
      </c>
      <c r="C450" s="107" t="s">
        <v>881</v>
      </c>
      <c r="D450" s="71" t="s">
        <v>882</v>
      </c>
      <c r="E450" s="71" t="s">
        <v>106</v>
      </c>
      <c r="F450" s="71" t="s">
        <v>107</v>
      </c>
      <c r="G450" s="71" t="s">
        <v>886</v>
      </c>
      <c r="H450" s="108">
        <v>10000</v>
      </c>
      <c r="I450" s="24"/>
      <c r="J450" s="25"/>
      <c r="K450" s="26"/>
      <c r="L450" s="109">
        <v>10000</v>
      </c>
      <c r="M450" s="26"/>
      <c r="N450" s="25"/>
      <c r="O450" s="28"/>
      <c r="P450" s="28"/>
      <c r="Q450" s="110">
        <f t="shared" si="17"/>
        <v>10000</v>
      </c>
      <c r="R450" s="28"/>
      <c r="S450" s="58" t="s">
        <v>139</v>
      </c>
    </row>
    <row r="451" spans="1:19" customFormat="1" ht="21" x14ac:dyDescent="0.35">
      <c r="A451" s="106" t="s">
        <v>14</v>
      </c>
      <c r="B451" s="106" t="s">
        <v>987</v>
      </c>
      <c r="C451" s="107" t="s">
        <v>881</v>
      </c>
      <c r="D451" s="71" t="s">
        <v>882</v>
      </c>
      <c r="E451" s="71" t="s">
        <v>110</v>
      </c>
      <c r="F451" s="71" t="s">
        <v>111</v>
      </c>
      <c r="G451" s="71" t="s">
        <v>887</v>
      </c>
      <c r="H451" s="108">
        <v>25000</v>
      </c>
      <c r="I451" s="24"/>
      <c r="J451" s="25"/>
      <c r="K451" s="26"/>
      <c r="L451" s="109">
        <v>25000</v>
      </c>
      <c r="M451" s="26"/>
      <c r="N451" s="25"/>
      <c r="O451" s="28"/>
      <c r="P451" s="28"/>
      <c r="Q451" s="110">
        <f t="shared" si="17"/>
        <v>25000</v>
      </c>
      <c r="R451" s="28"/>
      <c r="S451" s="58" t="s">
        <v>139</v>
      </c>
    </row>
    <row r="452" spans="1:19" customFormat="1" x14ac:dyDescent="0.35">
      <c r="A452" s="106" t="s">
        <v>14</v>
      </c>
      <c r="B452" s="106" t="s">
        <v>987</v>
      </c>
      <c r="C452" s="107" t="s">
        <v>881</v>
      </c>
      <c r="D452" s="71" t="s">
        <v>882</v>
      </c>
      <c r="E452" s="71" t="s">
        <v>888</v>
      </c>
      <c r="F452" s="71" t="s">
        <v>889</v>
      </c>
      <c r="G452" s="71" t="s">
        <v>890</v>
      </c>
      <c r="H452" s="108">
        <v>694710</v>
      </c>
      <c r="I452" s="24"/>
      <c r="J452" s="25"/>
      <c r="K452" s="26"/>
      <c r="L452" s="109">
        <v>694710</v>
      </c>
      <c r="M452" s="26"/>
      <c r="N452" s="25"/>
      <c r="O452" s="28"/>
      <c r="P452" s="28"/>
      <c r="Q452" s="110">
        <f t="shared" si="17"/>
        <v>694710</v>
      </c>
      <c r="R452" s="28"/>
      <c r="S452" s="58" t="s">
        <v>139</v>
      </c>
    </row>
    <row r="453" spans="1:19" customFormat="1" x14ac:dyDescent="0.35">
      <c r="A453" s="106" t="s">
        <v>14</v>
      </c>
      <c r="B453" s="106" t="s">
        <v>987</v>
      </c>
      <c r="C453" s="107" t="s">
        <v>881</v>
      </c>
      <c r="D453" s="71" t="s">
        <v>882</v>
      </c>
      <c r="E453" s="71" t="s">
        <v>194</v>
      </c>
      <c r="F453" s="71" t="s">
        <v>195</v>
      </c>
      <c r="G453" s="71" t="s">
        <v>891</v>
      </c>
      <c r="H453" s="108">
        <v>12000</v>
      </c>
      <c r="I453" s="24"/>
      <c r="J453" s="25"/>
      <c r="K453" s="26"/>
      <c r="L453" s="109">
        <v>12000</v>
      </c>
      <c r="M453" s="26"/>
      <c r="N453" s="25"/>
      <c r="O453" s="28"/>
      <c r="P453" s="28"/>
      <c r="Q453" s="110">
        <f t="shared" si="17"/>
        <v>12000</v>
      </c>
      <c r="R453" s="28"/>
      <c r="S453" s="58" t="s">
        <v>139</v>
      </c>
    </row>
    <row r="454" spans="1:19" customFormat="1" ht="21" x14ac:dyDescent="0.35">
      <c r="A454" s="106" t="s">
        <v>14</v>
      </c>
      <c r="B454" s="106" t="s">
        <v>987</v>
      </c>
      <c r="C454" s="107" t="s">
        <v>881</v>
      </c>
      <c r="D454" s="71" t="s">
        <v>882</v>
      </c>
      <c r="E454" s="71" t="s">
        <v>26</v>
      </c>
      <c r="F454" s="71" t="s">
        <v>27</v>
      </c>
      <c r="G454" s="71" t="s">
        <v>892</v>
      </c>
      <c r="H454" s="108">
        <v>50000</v>
      </c>
      <c r="I454" s="24"/>
      <c r="J454" s="25"/>
      <c r="K454" s="26"/>
      <c r="L454" s="109">
        <v>50000</v>
      </c>
      <c r="M454" s="26"/>
      <c r="N454" s="25"/>
      <c r="O454" s="28"/>
      <c r="P454" s="28"/>
      <c r="Q454" s="110">
        <f t="shared" si="17"/>
        <v>50000</v>
      </c>
      <c r="R454" s="28"/>
      <c r="S454" s="58" t="s">
        <v>139</v>
      </c>
    </row>
    <row r="455" spans="1:19" customFormat="1" x14ac:dyDescent="0.35">
      <c r="A455" s="106" t="s">
        <v>14</v>
      </c>
      <c r="B455" s="106" t="s">
        <v>987</v>
      </c>
      <c r="C455" s="107" t="s">
        <v>881</v>
      </c>
      <c r="D455" s="71" t="s">
        <v>882</v>
      </c>
      <c r="E455" s="71" t="s">
        <v>35</v>
      </c>
      <c r="F455" s="71" t="s">
        <v>36</v>
      </c>
      <c r="G455" s="71" t="s">
        <v>893</v>
      </c>
      <c r="H455" s="108">
        <v>165500</v>
      </c>
      <c r="I455" s="24"/>
      <c r="J455" s="25"/>
      <c r="K455" s="26"/>
      <c r="L455" s="109">
        <v>165500</v>
      </c>
      <c r="M455" s="26"/>
      <c r="N455" s="25"/>
      <c r="O455" s="28"/>
      <c r="P455" s="28"/>
      <c r="Q455" s="110">
        <f t="shared" si="17"/>
        <v>165500</v>
      </c>
      <c r="R455" s="28"/>
      <c r="S455" s="58" t="s">
        <v>139</v>
      </c>
    </row>
    <row r="456" spans="1:19" customFormat="1" x14ac:dyDescent="0.35">
      <c r="A456" s="106" t="s">
        <v>14</v>
      </c>
      <c r="B456" s="106" t="s">
        <v>987</v>
      </c>
      <c r="C456" s="107" t="s">
        <v>881</v>
      </c>
      <c r="D456" s="71" t="s">
        <v>882</v>
      </c>
      <c r="E456" s="71" t="s">
        <v>126</v>
      </c>
      <c r="F456" s="71" t="s">
        <v>127</v>
      </c>
      <c r="G456" s="71" t="s">
        <v>894</v>
      </c>
      <c r="H456" s="108">
        <v>20000</v>
      </c>
      <c r="I456" s="24"/>
      <c r="J456" s="114">
        <v>6320</v>
      </c>
      <c r="K456" s="26"/>
      <c r="L456" s="109">
        <v>13680</v>
      </c>
      <c r="M456" s="26"/>
      <c r="N456" s="25"/>
      <c r="O456" s="28"/>
      <c r="P456" s="28"/>
      <c r="Q456" s="110">
        <f t="shared" si="17"/>
        <v>13680</v>
      </c>
      <c r="R456" s="28"/>
      <c r="S456" s="58" t="s">
        <v>139</v>
      </c>
    </row>
    <row r="457" spans="1:19" customFormat="1" ht="21" x14ac:dyDescent="0.35">
      <c r="A457" s="106" t="s">
        <v>14</v>
      </c>
      <c r="B457" s="106" t="s">
        <v>987</v>
      </c>
      <c r="C457" s="107" t="s">
        <v>881</v>
      </c>
      <c r="D457" s="71" t="s">
        <v>882</v>
      </c>
      <c r="E457" s="71" t="s">
        <v>44</v>
      </c>
      <c r="F457" s="71" t="s">
        <v>45</v>
      </c>
      <c r="G457" s="71" t="s">
        <v>895</v>
      </c>
      <c r="H457" s="108">
        <v>10000</v>
      </c>
      <c r="I457" s="24"/>
      <c r="J457" s="25"/>
      <c r="K457" s="26"/>
      <c r="L457" s="109">
        <v>10000</v>
      </c>
      <c r="M457" s="26"/>
      <c r="N457" s="25"/>
      <c r="O457" s="28"/>
      <c r="P457" s="28"/>
      <c r="Q457" s="110">
        <f t="shared" si="17"/>
        <v>10000</v>
      </c>
      <c r="R457" s="28"/>
      <c r="S457" s="58" t="s">
        <v>139</v>
      </c>
    </row>
  </sheetData>
  <autoFilter ref="A3:S457" xr:uid="{00000000-0009-0000-0000-000002000000}"/>
  <conditionalFormatting sqref="R51">
    <cfRule type="expression" dxfId="0" priority="1">
      <formula>_xlfn.ISFORMULA($G51)</formula>
    </cfRule>
  </conditionalFormatting>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tint="0.79998168889431442"/>
  </sheetPr>
  <dimension ref="A3:S51"/>
  <sheetViews>
    <sheetView topLeftCell="F1" workbookViewId="0">
      <selection activeCell="O11" sqref="O11"/>
    </sheetView>
  </sheetViews>
  <sheetFormatPr defaultRowHeight="14.5" x14ac:dyDescent="0.35"/>
  <cols>
    <col min="1" max="2" width="13.7265625" customWidth="1"/>
    <col min="4" max="4" width="14.26953125" customWidth="1"/>
    <col min="6" max="6" width="15" customWidth="1"/>
    <col min="7" max="7" width="36.1796875" customWidth="1"/>
    <col min="8" max="8" width="15.81640625" customWidth="1"/>
    <col min="9" max="9" width="9.26953125" bestFit="1" customWidth="1"/>
    <col min="10" max="10" width="13.453125" customWidth="1"/>
    <col min="11" max="11" width="10.54296875" bestFit="1" customWidth="1"/>
    <col min="12" max="12" width="13.54296875" customWidth="1"/>
    <col min="13" max="13" width="13.81640625" customWidth="1"/>
    <col min="14" max="14" width="14.26953125" customWidth="1"/>
    <col min="15" max="15" width="9.26953125" bestFit="1" customWidth="1"/>
    <col min="16" max="16" width="14.1796875" customWidth="1"/>
    <col min="17" max="17" width="15.1796875" customWidth="1"/>
    <col min="18" max="18" width="18.1796875" customWidth="1"/>
  </cols>
  <sheetData>
    <row r="3" spans="1:19" ht="31.5" x14ac:dyDescent="0.35">
      <c r="A3" s="5" t="s">
        <v>2</v>
      </c>
      <c r="B3" s="5" t="s">
        <v>986</v>
      </c>
      <c r="C3" s="5" t="s">
        <v>3</v>
      </c>
      <c r="D3" s="6" t="s">
        <v>4</v>
      </c>
      <c r="E3" s="7" t="s">
        <v>5</v>
      </c>
      <c r="F3" s="8" t="s">
        <v>6</v>
      </c>
      <c r="G3" s="5" t="s">
        <v>7</v>
      </c>
      <c r="H3" s="5" t="s">
        <v>8</v>
      </c>
      <c r="I3" s="16" t="s">
        <v>9</v>
      </c>
      <c r="J3" s="16" t="s">
        <v>10</v>
      </c>
      <c r="K3" s="16" t="s">
        <v>11</v>
      </c>
      <c r="L3" s="17" t="s">
        <v>12</v>
      </c>
      <c r="M3" s="7" t="s">
        <v>72</v>
      </c>
      <c r="N3" s="7" t="s">
        <v>73</v>
      </c>
      <c r="O3" s="7" t="s">
        <v>74</v>
      </c>
      <c r="P3" s="13" t="s">
        <v>13</v>
      </c>
      <c r="Q3" s="7" t="s">
        <v>75</v>
      </c>
      <c r="R3" s="8" t="s">
        <v>76</v>
      </c>
      <c r="S3" s="48" t="s">
        <v>91</v>
      </c>
    </row>
    <row r="4" spans="1:19" ht="21" x14ac:dyDescent="0.35">
      <c r="A4" s="9" t="s">
        <v>53</v>
      </c>
      <c r="B4" s="10" t="s">
        <v>976</v>
      </c>
      <c r="C4" s="10" t="s">
        <v>15</v>
      </c>
      <c r="D4" s="11" t="s">
        <v>16</v>
      </c>
      <c r="E4" s="11" t="s">
        <v>54</v>
      </c>
      <c r="F4" s="11" t="s">
        <v>55</v>
      </c>
      <c r="G4" s="11" t="s">
        <v>56</v>
      </c>
      <c r="H4" s="72">
        <v>175000</v>
      </c>
      <c r="I4" s="73"/>
      <c r="J4" s="74">
        <v>169008</v>
      </c>
      <c r="K4" s="72"/>
      <c r="L4" s="74">
        <v>5992</v>
      </c>
      <c r="M4" s="72"/>
      <c r="N4" s="74">
        <v>5992</v>
      </c>
      <c r="O4" s="75"/>
      <c r="P4" s="18"/>
      <c r="Q4" s="75">
        <f t="shared" ref="Q4:Q11" si="0">L4-M4-N4-O4</f>
        <v>0</v>
      </c>
      <c r="R4" s="43"/>
      <c r="S4" s="49" t="s">
        <v>92</v>
      </c>
    </row>
    <row r="5" spans="1:19" ht="21" x14ac:dyDescent="0.35">
      <c r="A5" s="9" t="s">
        <v>53</v>
      </c>
      <c r="B5" s="10" t="s">
        <v>976</v>
      </c>
      <c r="C5" s="10" t="s">
        <v>15</v>
      </c>
      <c r="D5" s="11" t="s">
        <v>16</v>
      </c>
      <c r="E5" s="11" t="s">
        <v>57</v>
      </c>
      <c r="F5" s="11" t="s">
        <v>58</v>
      </c>
      <c r="G5" s="11" t="s">
        <v>59</v>
      </c>
      <c r="H5" s="72">
        <v>1735802</v>
      </c>
      <c r="I5" s="73"/>
      <c r="J5" s="74"/>
      <c r="K5" s="72"/>
      <c r="L5" s="74">
        <v>1735802</v>
      </c>
      <c r="M5" s="72">
        <v>2016048</v>
      </c>
      <c r="N5" s="74"/>
      <c r="O5" s="75"/>
      <c r="P5" s="18" t="s">
        <v>88</v>
      </c>
      <c r="Q5" s="75">
        <f t="shared" si="0"/>
        <v>-280246</v>
      </c>
      <c r="R5" s="43" t="s">
        <v>89</v>
      </c>
      <c r="S5" s="49" t="s">
        <v>92</v>
      </c>
    </row>
    <row r="6" spans="1:19" ht="42" x14ac:dyDescent="0.35">
      <c r="A6" s="9" t="s">
        <v>53</v>
      </c>
      <c r="B6" s="10" t="s">
        <v>976</v>
      </c>
      <c r="C6" s="10" t="s">
        <v>15</v>
      </c>
      <c r="D6" s="11" t="s">
        <v>16</v>
      </c>
      <c r="E6" s="11" t="s">
        <v>60</v>
      </c>
      <c r="F6" s="11" t="s">
        <v>61</v>
      </c>
      <c r="G6" s="11" t="s">
        <v>62</v>
      </c>
      <c r="H6" s="72">
        <v>240000</v>
      </c>
      <c r="I6" s="73"/>
      <c r="J6" s="74"/>
      <c r="K6" s="72"/>
      <c r="L6" s="74">
        <v>240000</v>
      </c>
      <c r="M6" s="72">
        <v>321320</v>
      </c>
      <c r="N6" s="74"/>
      <c r="O6" s="75"/>
      <c r="P6" s="18"/>
      <c r="Q6" s="75">
        <f t="shared" si="0"/>
        <v>-81320</v>
      </c>
      <c r="R6" s="43" t="s">
        <v>89</v>
      </c>
      <c r="S6" s="49" t="s">
        <v>92</v>
      </c>
    </row>
    <row r="7" spans="1:19" ht="21" x14ac:dyDescent="0.35">
      <c r="A7" s="9" t="s">
        <v>53</v>
      </c>
      <c r="B7" s="10" t="s">
        <v>976</v>
      </c>
      <c r="C7" s="10" t="s">
        <v>15</v>
      </c>
      <c r="D7" s="11" t="s">
        <v>16</v>
      </c>
      <c r="E7" s="11" t="s">
        <v>63</v>
      </c>
      <c r="F7" s="11" t="s">
        <v>64</v>
      </c>
      <c r="G7" s="11" t="s">
        <v>65</v>
      </c>
      <c r="H7" s="72">
        <v>650000</v>
      </c>
      <c r="I7" s="73"/>
      <c r="J7" s="74">
        <v>546977</v>
      </c>
      <c r="K7" s="72"/>
      <c r="L7" s="74">
        <v>103023</v>
      </c>
      <c r="M7" s="74">
        <v>103023</v>
      </c>
      <c r="N7" s="74"/>
      <c r="O7" s="75"/>
      <c r="P7" s="18" t="s">
        <v>87</v>
      </c>
      <c r="Q7" s="75">
        <f t="shared" si="0"/>
        <v>0</v>
      </c>
      <c r="R7" s="43"/>
      <c r="S7" s="49" t="s">
        <v>92</v>
      </c>
    </row>
    <row r="8" spans="1:19" ht="21" x14ac:dyDescent="0.35">
      <c r="A8" s="9" t="s">
        <v>53</v>
      </c>
      <c r="B8" s="10" t="s">
        <v>976</v>
      </c>
      <c r="C8" s="10" t="s">
        <v>15</v>
      </c>
      <c r="D8" s="11" t="s">
        <v>16</v>
      </c>
      <c r="E8" s="11" t="s">
        <v>66</v>
      </c>
      <c r="F8" s="11" t="s">
        <v>67</v>
      </c>
      <c r="G8" s="11" t="s">
        <v>68</v>
      </c>
      <c r="H8" s="72">
        <v>0</v>
      </c>
      <c r="I8" s="73"/>
      <c r="J8" s="74"/>
      <c r="K8" s="72"/>
      <c r="L8" s="74">
        <v>0</v>
      </c>
      <c r="M8" s="72"/>
      <c r="N8" s="74"/>
      <c r="O8" s="75"/>
      <c r="P8" s="18"/>
      <c r="Q8" s="75">
        <f t="shared" si="0"/>
        <v>0</v>
      </c>
      <c r="R8" s="43"/>
      <c r="S8" s="49" t="s">
        <v>92</v>
      </c>
    </row>
    <row r="9" spans="1:19" ht="21" x14ac:dyDescent="0.35">
      <c r="A9" s="9" t="s">
        <v>53</v>
      </c>
      <c r="B9" s="10" t="s">
        <v>976</v>
      </c>
      <c r="C9" s="10">
        <v>8470810</v>
      </c>
      <c r="D9" s="11" t="s">
        <v>16</v>
      </c>
      <c r="E9" s="11">
        <v>495113</v>
      </c>
      <c r="F9" s="11" t="s">
        <v>69</v>
      </c>
      <c r="G9" s="11" t="s">
        <v>70</v>
      </c>
      <c r="H9" s="72">
        <v>590670</v>
      </c>
      <c r="I9" s="73"/>
      <c r="J9" s="74"/>
      <c r="K9" s="72"/>
      <c r="L9" s="74">
        <v>590670</v>
      </c>
      <c r="M9" s="72">
        <v>229104</v>
      </c>
      <c r="N9" s="74"/>
      <c r="O9" s="75"/>
      <c r="P9" s="18" t="s">
        <v>86</v>
      </c>
      <c r="Q9" s="75">
        <f t="shared" si="0"/>
        <v>361566</v>
      </c>
      <c r="R9" s="43" t="s">
        <v>90</v>
      </c>
      <c r="S9" s="49" t="s">
        <v>92</v>
      </c>
    </row>
    <row r="10" spans="1:19" x14ac:dyDescent="0.35">
      <c r="A10" s="30" t="s">
        <v>53</v>
      </c>
      <c r="B10" s="189" t="s">
        <v>977</v>
      </c>
      <c r="C10" s="31" t="s">
        <v>100</v>
      </c>
      <c r="D10" s="32" t="s">
        <v>101</v>
      </c>
      <c r="E10" s="32" t="s">
        <v>54</v>
      </c>
      <c r="F10" s="32" t="s">
        <v>55</v>
      </c>
      <c r="G10" s="32" t="s">
        <v>138</v>
      </c>
      <c r="H10" s="76">
        <v>137589</v>
      </c>
      <c r="I10" s="77"/>
      <c r="J10" s="78"/>
      <c r="K10" s="79"/>
      <c r="L10" s="80">
        <v>137589</v>
      </c>
      <c r="M10" s="81"/>
      <c r="N10" s="82"/>
      <c r="O10" s="83"/>
      <c r="P10" s="50"/>
      <c r="Q10" s="87">
        <f t="shared" si="0"/>
        <v>137589</v>
      </c>
      <c r="R10" s="26"/>
      <c r="S10" s="58" t="s">
        <v>139</v>
      </c>
    </row>
    <row r="11" spans="1:19" ht="73.5" x14ac:dyDescent="0.35">
      <c r="A11" s="20" t="s">
        <v>53</v>
      </c>
      <c r="B11" s="189" t="s">
        <v>985</v>
      </c>
      <c r="C11" s="21" t="s">
        <v>140</v>
      </c>
      <c r="D11" s="22" t="s">
        <v>141</v>
      </c>
      <c r="E11" s="22" t="s">
        <v>54</v>
      </c>
      <c r="F11" s="22" t="s">
        <v>55</v>
      </c>
      <c r="G11" s="22" t="s">
        <v>240</v>
      </c>
      <c r="H11" s="84">
        <v>638656</v>
      </c>
      <c r="I11" s="85">
        <v>356960</v>
      </c>
      <c r="J11" s="86"/>
      <c r="K11" s="84">
        <v>56762</v>
      </c>
      <c r="L11" s="86">
        <v>224934</v>
      </c>
      <c r="M11" s="86">
        <v>224934</v>
      </c>
      <c r="N11" s="86"/>
      <c r="O11" s="87"/>
      <c r="P11" s="51"/>
      <c r="Q11" s="87">
        <f t="shared" si="0"/>
        <v>0</v>
      </c>
      <c r="R11" s="45" t="s">
        <v>241</v>
      </c>
      <c r="S11" s="58" t="s">
        <v>92</v>
      </c>
    </row>
    <row r="12" spans="1:19" ht="52.5" x14ac:dyDescent="0.35">
      <c r="A12" s="20" t="s">
        <v>53</v>
      </c>
      <c r="B12" s="189" t="s">
        <v>985</v>
      </c>
      <c r="C12" s="21" t="s">
        <v>140</v>
      </c>
      <c r="D12" s="22" t="s">
        <v>141</v>
      </c>
      <c r="E12" s="22" t="s">
        <v>242</v>
      </c>
      <c r="F12" s="22" t="s">
        <v>223</v>
      </c>
      <c r="G12" s="22" t="s">
        <v>243</v>
      </c>
      <c r="H12" s="84">
        <v>17788291</v>
      </c>
      <c r="I12" s="85">
        <v>69432.100000000006</v>
      </c>
      <c r="J12" s="86">
        <v>14730897</v>
      </c>
      <c r="K12" s="84">
        <v>2840160</v>
      </c>
      <c r="L12" s="86">
        <v>147801.899999999</v>
      </c>
      <c r="M12" s="84">
        <v>100000</v>
      </c>
      <c r="N12" s="86">
        <v>47802</v>
      </c>
      <c r="O12" s="87"/>
      <c r="P12" s="51"/>
      <c r="Q12" s="87">
        <v>0</v>
      </c>
      <c r="R12" s="45" t="s">
        <v>244</v>
      </c>
      <c r="S12" s="58" t="s">
        <v>92</v>
      </c>
    </row>
    <row r="13" spans="1:19" ht="53.5" x14ac:dyDescent="0.35">
      <c r="A13" s="20" t="s">
        <v>53</v>
      </c>
      <c r="B13" s="189" t="s">
        <v>985</v>
      </c>
      <c r="C13" s="21" t="s">
        <v>140</v>
      </c>
      <c r="D13" s="22" t="s">
        <v>141</v>
      </c>
      <c r="E13" s="22" t="s">
        <v>245</v>
      </c>
      <c r="F13" s="22" t="s">
        <v>246</v>
      </c>
      <c r="G13" s="22" t="s">
        <v>247</v>
      </c>
      <c r="H13" s="84">
        <v>19606</v>
      </c>
      <c r="I13" s="85"/>
      <c r="J13" s="86"/>
      <c r="K13" s="84"/>
      <c r="L13" s="86">
        <v>19606</v>
      </c>
      <c r="M13" s="84"/>
      <c r="N13" s="86"/>
      <c r="O13" s="87">
        <v>19606</v>
      </c>
      <c r="P13" s="51"/>
      <c r="Q13" s="87">
        <f t="shared" ref="Q13:Q44" si="1">L13-M13-N13-O13</f>
        <v>0</v>
      </c>
      <c r="R13" s="56" t="s">
        <v>248</v>
      </c>
      <c r="S13" s="58" t="s">
        <v>92</v>
      </c>
    </row>
    <row r="14" spans="1:19" ht="21" x14ac:dyDescent="0.35">
      <c r="A14" s="20" t="s">
        <v>53</v>
      </c>
      <c r="B14" s="189" t="s">
        <v>985</v>
      </c>
      <c r="C14" s="21" t="s">
        <v>140</v>
      </c>
      <c r="D14" s="22" t="s">
        <v>141</v>
      </c>
      <c r="E14" s="22" t="s">
        <v>249</v>
      </c>
      <c r="F14" s="22" t="s">
        <v>250</v>
      </c>
      <c r="G14" s="22" t="s">
        <v>251</v>
      </c>
      <c r="H14" s="84">
        <v>0</v>
      </c>
      <c r="I14" s="85"/>
      <c r="J14" s="86"/>
      <c r="K14" s="84"/>
      <c r="L14" s="86">
        <v>0</v>
      </c>
      <c r="M14" s="84"/>
      <c r="N14" s="86"/>
      <c r="O14" s="87"/>
      <c r="P14" s="51"/>
      <c r="Q14" s="87">
        <f t="shared" si="1"/>
        <v>0</v>
      </c>
      <c r="R14" s="57"/>
      <c r="S14" s="58" t="s">
        <v>92</v>
      </c>
    </row>
    <row r="15" spans="1:19" ht="31.5" x14ac:dyDescent="0.35">
      <c r="A15" s="59" t="s">
        <v>53</v>
      </c>
      <c r="B15" s="189" t="s">
        <v>984</v>
      </c>
      <c r="C15" s="60" t="s">
        <v>252</v>
      </c>
      <c r="D15" s="61" t="s">
        <v>253</v>
      </c>
      <c r="E15" s="61" t="s">
        <v>54</v>
      </c>
      <c r="F15" s="61" t="s">
        <v>55</v>
      </c>
      <c r="G15" s="61" t="s">
        <v>292</v>
      </c>
      <c r="H15" s="88">
        <v>1380709</v>
      </c>
      <c r="I15" s="89"/>
      <c r="J15" s="90">
        <v>1378620</v>
      </c>
      <c r="K15" s="91"/>
      <c r="L15" s="90">
        <v>2089</v>
      </c>
      <c r="M15" s="91"/>
      <c r="N15" s="92"/>
      <c r="O15" s="93"/>
      <c r="P15" s="22" t="s">
        <v>293</v>
      </c>
      <c r="Q15" s="94">
        <f t="shared" si="1"/>
        <v>2089</v>
      </c>
      <c r="R15" s="65"/>
      <c r="S15" s="58" t="s">
        <v>92</v>
      </c>
    </row>
    <row r="16" spans="1:19" ht="21" x14ac:dyDescent="0.35">
      <c r="A16" s="30" t="s">
        <v>53</v>
      </c>
      <c r="B16" s="189" t="s">
        <v>984</v>
      </c>
      <c r="C16" s="31" t="s">
        <v>431</v>
      </c>
      <c r="D16" s="32" t="s">
        <v>432</v>
      </c>
      <c r="E16" s="32" t="s">
        <v>242</v>
      </c>
      <c r="F16" s="32" t="s">
        <v>223</v>
      </c>
      <c r="G16" s="32" t="s">
        <v>497</v>
      </c>
      <c r="H16" s="33">
        <v>6879</v>
      </c>
      <c r="I16" s="37"/>
      <c r="J16" s="38"/>
      <c r="K16" s="39"/>
      <c r="L16" s="36">
        <v>6879</v>
      </c>
      <c r="M16" s="120"/>
      <c r="N16" s="184"/>
      <c r="O16" s="122"/>
      <c r="P16" s="122"/>
      <c r="Q16" s="123">
        <f t="shared" si="1"/>
        <v>6879</v>
      </c>
      <c r="R16" s="120"/>
      <c r="S16" s="58" t="s">
        <v>92</v>
      </c>
    </row>
    <row r="17" spans="1:19" x14ac:dyDescent="0.35">
      <c r="A17" s="106" t="s">
        <v>53</v>
      </c>
      <c r="B17" s="189" t="s">
        <v>979</v>
      </c>
      <c r="C17" s="107" t="s">
        <v>516</v>
      </c>
      <c r="D17" s="71" t="s">
        <v>517</v>
      </c>
      <c r="E17" s="71" t="s">
        <v>242</v>
      </c>
      <c r="F17" s="71" t="s">
        <v>223</v>
      </c>
      <c r="G17" s="71" t="s">
        <v>603</v>
      </c>
      <c r="H17" s="108">
        <v>1891417</v>
      </c>
      <c r="I17" s="24"/>
      <c r="J17" s="25"/>
      <c r="K17" s="26"/>
      <c r="L17" s="109">
        <v>1891417</v>
      </c>
      <c r="M17" s="26"/>
      <c r="N17" s="25"/>
      <c r="O17" s="28"/>
      <c r="P17" s="28"/>
      <c r="Q17" s="110">
        <f t="shared" si="1"/>
        <v>1891417</v>
      </c>
      <c r="R17" s="26"/>
      <c r="S17" s="58" t="s">
        <v>139</v>
      </c>
    </row>
    <row r="18" spans="1:19" x14ac:dyDescent="0.35">
      <c r="A18" s="106" t="s">
        <v>53</v>
      </c>
      <c r="B18" s="189" t="s">
        <v>979</v>
      </c>
      <c r="C18" s="107" t="s">
        <v>530</v>
      </c>
      <c r="D18" s="71" t="s">
        <v>531</v>
      </c>
      <c r="E18" s="71" t="s">
        <v>54</v>
      </c>
      <c r="F18" s="71" t="s">
        <v>55</v>
      </c>
      <c r="G18" s="71" t="s">
        <v>604</v>
      </c>
      <c r="H18" s="108">
        <v>151348</v>
      </c>
      <c r="I18" s="24"/>
      <c r="J18" s="25"/>
      <c r="K18" s="26"/>
      <c r="L18" s="109">
        <v>151348</v>
      </c>
      <c r="M18" s="26"/>
      <c r="N18" s="25"/>
      <c r="O18" s="28"/>
      <c r="P18" s="28"/>
      <c r="Q18" s="110">
        <f t="shared" si="1"/>
        <v>151348</v>
      </c>
      <c r="R18" s="26"/>
      <c r="S18" s="58" t="s">
        <v>139</v>
      </c>
    </row>
    <row r="19" spans="1:19" x14ac:dyDescent="0.35">
      <c r="A19" s="106" t="s">
        <v>53</v>
      </c>
      <c r="B19" s="189" t="s">
        <v>979</v>
      </c>
      <c r="C19" s="107" t="s">
        <v>530</v>
      </c>
      <c r="D19" s="71" t="s">
        <v>531</v>
      </c>
      <c r="E19" s="71" t="s">
        <v>242</v>
      </c>
      <c r="F19" s="71" t="s">
        <v>223</v>
      </c>
      <c r="G19" s="71" t="s">
        <v>605</v>
      </c>
      <c r="H19" s="108">
        <v>1551340</v>
      </c>
      <c r="I19" s="112">
        <v>242437.3</v>
      </c>
      <c r="J19" s="114">
        <v>936000</v>
      </c>
      <c r="K19" s="108">
        <v>0</v>
      </c>
      <c r="L19" s="109">
        <v>372902.7</v>
      </c>
      <c r="M19" s="26"/>
      <c r="N19" s="25"/>
      <c r="O19" s="28"/>
      <c r="P19" s="28"/>
      <c r="Q19" s="110">
        <f t="shared" si="1"/>
        <v>372902.7</v>
      </c>
      <c r="R19" s="26"/>
      <c r="S19" s="58" t="s">
        <v>139</v>
      </c>
    </row>
    <row r="20" spans="1:19" x14ac:dyDescent="0.35">
      <c r="A20" s="106" t="s">
        <v>53</v>
      </c>
      <c r="B20" s="189" t="s">
        <v>979</v>
      </c>
      <c r="C20" s="107" t="s">
        <v>582</v>
      </c>
      <c r="D20" s="71" t="s">
        <v>583</v>
      </c>
      <c r="E20" s="71" t="s">
        <v>54</v>
      </c>
      <c r="F20" s="71" t="s">
        <v>55</v>
      </c>
      <c r="G20" s="71" t="s">
        <v>606</v>
      </c>
      <c r="H20" s="108">
        <v>126346</v>
      </c>
      <c r="I20" s="24"/>
      <c r="J20" s="25"/>
      <c r="K20" s="26"/>
      <c r="L20" s="109">
        <v>126346</v>
      </c>
      <c r="M20" s="26"/>
      <c r="N20" s="25"/>
      <c r="O20" s="28"/>
      <c r="P20" s="28"/>
      <c r="Q20" s="110">
        <f t="shared" si="1"/>
        <v>126346</v>
      </c>
      <c r="R20" s="26"/>
      <c r="S20" s="58" t="s">
        <v>139</v>
      </c>
    </row>
    <row r="21" spans="1:19" x14ac:dyDescent="0.35">
      <c r="A21" s="106" t="s">
        <v>53</v>
      </c>
      <c r="B21" s="189" t="s">
        <v>979</v>
      </c>
      <c r="C21" s="107" t="s">
        <v>582</v>
      </c>
      <c r="D21" s="71" t="s">
        <v>583</v>
      </c>
      <c r="E21" s="71" t="s">
        <v>242</v>
      </c>
      <c r="F21" s="71" t="s">
        <v>223</v>
      </c>
      <c r="G21" s="71" t="s">
        <v>607</v>
      </c>
      <c r="H21" s="108">
        <v>146498</v>
      </c>
      <c r="I21" s="24"/>
      <c r="J21" s="25"/>
      <c r="K21" s="26"/>
      <c r="L21" s="109">
        <v>146498</v>
      </c>
      <c r="M21" s="26"/>
      <c r="N21" s="25"/>
      <c r="O21" s="28"/>
      <c r="P21" s="28"/>
      <c r="Q21" s="110">
        <f t="shared" si="1"/>
        <v>146498</v>
      </c>
      <c r="R21" s="26"/>
      <c r="S21" s="58" t="s">
        <v>139</v>
      </c>
    </row>
    <row r="22" spans="1:19" x14ac:dyDescent="0.35">
      <c r="A22" s="106" t="s">
        <v>53</v>
      </c>
      <c r="B22" s="189" t="s">
        <v>979</v>
      </c>
      <c r="C22" s="107" t="s">
        <v>591</v>
      </c>
      <c r="D22" s="71" t="s">
        <v>592</v>
      </c>
      <c r="E22" s="71" t="s">
        <v>242</v>
      </c>
      <c r="F22" s="71" t="s">
        <v>223</v>
      </c>
      <c r="G22" s="71" t="s">
        <v>608</v>
      </c>
      <c r="H22" s="108">
        <v>1754263</v>
      </c>
      <c r="I22" s="24"/>
      <c r="J22" s="25"/>
      <c r="K22" s="26"/>
      <c r="L22" s="109">
        <v>1754263</v>
      </c>
      <c r="M22" s="26"/>
      <c r="N22" s="25"/>
      <c r="O22" s="28"/>
      <c r="P22" s="28"/>
      <c r="Q22" s="110">
        <f t="shared" si="1"/>
        <v>1754263</v>
      </c>
      <c r="R22" s="26"/>
      <c r="S22" s="58" t="s">
        <v>139</v>
      </c>
    </row>
    <row r="23" spans="1:19" ht="21" x14ac:dyDescent="0.35">
      <c r="A23" s="106" t="s">
        <v>53</v>
      </c>
      <c r="B23" s="189" t="s">
        <v>978</v>
      </c>
      <c r="C23" s="107" t="s">
        <v>625</v>
      </c>
      <c r="D23" s="71" t="s">
        <v>626</v>
      </c>
      <c r="E23" s="71" t="s">
        <v>242</v>
      </c>
      <c r="F23" s="71" t="s">
        <v>223</v>
      </c>
      <c r="G23" s="71" t="s">
        <v>749</v>
      </c>
      <c r="H23" s="108">
        <v>1174460</v>
      </c>
      <c r="I23" s="112">
        <v>125984.7</v>
      </c>
      <c r="J23" s="114">
        <v>126500</v>
      </c>
      <c r="K23" s="108">
        <v>28059</v>
      </c>
      <c r="L23" s="109">
        <v>893916.3</v>
      </c>
      <c r="M23" s="26"/>
      <c r="N23" s="25"/>
      <c r="O23" s="28"/>
      <c r="P23" s="28"/>
      <c r="Q23" s="110">
        <f t="shared" si="1"/>
        <v>893916.3</v>
      </c>
      <c r="R23" s="26"/>
      <c r="S23" s="58" t="s">
        <v>139</v>
      </c>
    </row>
    <row r="24" spans="1:19" ht="21" x14ac:dyDescent="0.35">
      <c r="A24" s="106" t="s">
        <v>53</v>
      </c>
      <c r="B24" s="189" t="s">
        <v>978</v>
      </c>
      <c r="C24" s="107" t="s">
        <v>640</v>
      </c>
      <c r="D24" s="71" t="s">
        <v>641</v>
      </c>
      <c r="E24" s="71" t="s">
        <v>242</v>
      </c>
      <c r="F24" s="71" t="s">
        <v>223</v>
      </c>
      <c r="G24" s="71" t="s">
        <v>750</v>
      </c>
      <c r="H24" s="108">
        <v>700693</v>
      </c>
      <c r="I24" s="24"/>
      <c r="J24" s="114">
        <v>660276.91</v>
      </c>
      <c r="K24" s="108">
        <v>30370</v>
      </c>
      <c r="L24" s="109">
        <v>10046.0900000001</v>
      </c>
      <c r="M24" s="26"/>
      <c r="N24" s="25"/>
      <c r="O24" s="28"/>
      <c r="P24" s="28"/>
      <c r="Q24" s="110">
        <f t="shared" si="1"/>
        <v>10046.0900000001</v>
      </c>
      <c r="R24" s="26"/>
      <c r="S24" s="58" t="s">
        <v>139</v>
      </c>
    </row>
    <row r="25" spans="1:19" ht="21" x14ac:dyDescent="0.35">
      <c r="A25" s="106" t="s">
        <v>53</v>
      </c>
      <c r="B25" s="189" t="s">
        <v>978</v>
      </c>
      <c r="C25" s="107" t="s">
        <v>655</v>
      </c>
      <c r="D25" s="71" t="s">
        <v>656</v>
      </c>
      <c r="E25" s="71" t="s">
        <v>242</v>
      </c>
      <c r="F25" s="71" t="s">
        <v>223</v>
      </c>
      <c r="G25" s="71" t="s">
        <v>751</v>
      </c>
      <c r="H25" s="108">
        <v>1813427</v>
      </c>
      <c r="I25" s="24"/>
      <c r="J25" s="25"/>
      <c r="K25" s="26"/>
      <c r="L25" s="109">
        <v>1813427</v>
      </c>
      <c r="M25" s="26"/>
      <c r="N25" s="25"/>
      <c r="O25" s="28"/>
      <c r="P25" s="28"/>
      <c r="Q25" s="110">
        <f t="shared" si="1"/>
        <v>1813427</v>
      </c>
      <c r="R25" s="26"/>
      <c r="S25" s="58" t="s">
        <v>139</v>
      </c>
    </row>
    <row r="26" spans="1:19" ht="21" x14ac:dyDescent="0.35">
      <c r="A26" s="106" t="s">
        <v>53</v>
      </c>
      <c r="B26" s="189" t="s">
        <v>978</v>
      </c>
      <c r="C26" s="107" t="s">
        <v>655</v>
      </c>
      <c r="D26" s="71" t="s">
        <v>656</v>
      </c>
      <c r="E26" s="71" t="s">
        <v>249</v>
      </c>
      <c r="F26" s="71" t="s">
        <v>250</v>
      </c>
      <c r="G26" s="71" t="s">
        <v>752</v>
      </c>
      <c r="H26" s="108">
        <v>16097</v>
      </c>
      <c r="I26" s="24"/>
      <c r="J26" s="25"/>
      <c r="K26" s="26"/>
      <c r="L26" s="109">
        <v>16097</v>
      </c>
      <c r="M26" s="26"/>
      <c r="N26" s="25"/>
      <c r="O26" s="28"/>
      <c r="P26" s="28"/>
      <c r="Q26" s="110">
        <f t="shared" si="1"/>
        <v>16097</v>
      </c>
      <c r="R26" s="26"/>
      <c r="S26" s="58" t="s">
        <v>139</v>
      </c>
    </row>
    <row r="27" spans="1:19" ht="21" x14ac:dyDescent="0.35">
      <c r="A27" s="106" t="s">
        <v>53</v>
      </c>
      <c r="B27" s="189" t="s">
        <v>978</v>
      </c>
      <c r="C27" s="107" t="s">
        <v>669</v>
      </c>
      <c r="D27" s="71" t="s">
        <v>670</v>
      </c>
      <c r="E27" s="71" t="s">
        <v>242</v>
      </c>
      <c r="F27" s="71" t="s">
        <v>223</v>
      </c>
      <c r="G27" s="71" t="s">
        <v>753</v>
      </c>
      <c r="H27" s="108">
        <v>611783</v>
      </c>
      <c r="I27" s="24"/>
      <c r="J27" s="114">
        <v>470188</v>
      </c>
      <c r="K27" s="108">
        <v>22973</v>
      </c>
      <c r="L27" s="109">
        <v>118622</v>
      </c>
      <c r="M27" s="26"/>
      <c r="N27" s="25"/>
      <c r="O27" s="28"/>
      <c r="P27" s="28"/>
      <c r="Q27" s="110">
        <f t="shared" si="1"/>
        <v>118622</v>
      </c>
      <c r="R27" s="26"/>
      <c r="S27" s="58" t="s">
        <v>139</v>
      </c>
    </row>
    <row r="28" spans="1:19" ht="21" x14ac:dyDescent="0.35">
      <c r="A28" s="106" t="s">
        <v>53</v>
      </c>
      <c r="B28" s="189" t="s">
        <v>978</v>
      </c>
      <c r="C28" s="107" t="s">
        <v>681</v>
      </c>
      <c r="D28" s="71" t="s">
        <v>682</v>
      </c>
      <c r="E28" s="71" t="s">
        <v>242</v>
      </c>
      <c r="F28" s="71" t="s">
        <v>223</v>
      </c>
      <c r="G28" s="71" t="s">
        <v>754</v>
      </c>
      <c r="H28" s="108">
        <v>456796</v>
      </c>
      <c r="I28" s="24"/>
      <c r="J28" s="25"/>
      <c r="K28" s="26"/>
      <c r="L28" s="109">
        <v>456796</v>
      </c>
      <c r="M28" s="26"/>
      <c r="N28" s="25"/>
      <c r="O28" s="28"/>
      <c r="P28" s="28"/>
      <c r="Q28" s="110">
        <f t="shared" si="1"/>
        <v>456796</v>
      </c>
      <c r="R28" s="26"/>
      <c r="S28" s="58" t="s">
        <v>139</v>
      </c>
    </row>
    <row r="29" spans="1:19" ht="21" x14ac:dyDescent="0.35">
      <c r="A29" s="106" t="s">
        <v>53</v>
      </c>
      <c r="B29" s="189" t="s">
        <v>978</v>
      </c>
      <c r="C29" s="107" t="s">
        <v>695</v>
      </c>
      <c r="D29" s="71" t="s">
        <v>696</v>
      </c>
      <c r="E29" s="71" t="s">
        <v>242</v>
      </c>
      <c r="F29" s="71" t="s">
        <v>223</v>
      </c>
      <c r="G29" s="71" t="s">
        <v>755</v>
      </c>
      <c r="H29" s="108">
        <v>234334</v>
      </c>
      <c r="I29" s="24"/>
      <c r="J29" s="114">
        <v>11026.05</v>
      </c>
      <c r="K29" s="108">
        <v>46277</v>
      </c>
      <c r="L29" s="109">
        <v>177030.95</v>
      </c>
      <c r="M29" s="26"/>
      <c r="N29" s="25"/>
      <c r="O29" s="28"/>
      <c r="P29" s="28"/>
      <c r="Q29" s="110">
        <f t="shared" si="1"/>
        <v>177030.95</v>
      </c>
      <c r="R29" s="26"/>
      <c r="S29" s="58" t="s">
        <v>139</v>
      </c>
    </row>
    <row r="30" spans="1:19" ht="21" x14ac:dyDescent="0.35">
      <c r="A30" s="106" t="s">
        <v>53</v>
      </c>
      <c r="B30" s="189" t="s">
        <v>978</v>
      </c>
      <c r="C30" s="107" t="s">
        <v>709</v>
      </c>
      <c r="D30" s="71" t="s">
        <v>710</v>
      </c>
      <c r="E30" s="71" t="s">
        <v>242</v>
      </c>
      <c r="F30" s="71" t="s">
        <v>223</v>
      </c>
      <c r="G30" s="71" t="s">
        <v>756</v>
      </c>
      <c r="H30" s="108">
        <v>533159</v>
      </c>
      <c r="I30" s="24"/>
      <c r="J30" s="114">
        <v>533000</v>
      </c>
      <c r="K30" s="26"/>
      <c r="L30" s="109">
        <v>159</v>
      </c>
      <c r="M30" s="26"/>
      <c r="N30" s="25"/>
      <c r="O30" s="28"/>
      <c r="P30" s="28"/>
      <c r="Q30" s="110">
        <f t="shared" si="1"/>
        <v>159</v>
      </c>
      <c r="R30" s="26"/>
      <c r="S30" s="58" t="s">
        <v>139</v>
      </c>
    </row>
    <row r="31" spans="1:19" ht="21" x14ac:dyDescent="0.35">
      <c r="A31" s="106" t="s">
        <v>53</v>
      </c>
      <c r="B31" s="189" t="s">
        <v>978</v>
      </c>
      <c r="C31" s="107" t="s">
        <v>722</v>
      </c>
      <c r="D31" s="71" t="s">
        <v>723</v>
      </c>
      <c r="E31" s="71" t="s">
        <v>242</v>
      </c>
      <c r="F31" s="71" t="s">
        <v>223</v>
      </c>
      <c r="G31" s="71" t="s">
        <v>757</v>
      </c>
      <c r="H31" s="108">
        <v>551330</v>
      </c>
      <c r="I31" s="24"/>
      <c r="J31" s="25"/>
      <c r="K31" s="108">
        <v>62000</v>
      </c>
      <c r="L31" s="109">
        <v>489330</v>
      </c>
      <c r="M31" s="26"/>
      <c r="N31" s="25"/>
      <c r="O31" s="28"/>
      <c r="P31" s="28"/>
      <c r="Q31" s="110">
        <f t="shared" si="1"/>
        <v>489330</v>
      </c>
      <c r="R31" s="26"/>
      <c r="S31" s="58" t="s">
        <v>139</v>
      </c>
    </row>
    <row r="32" spans="1:19" ht="21" x14ac:dyDescent="0.35">
      <c r="A32" s="106" t="s">
        <v>53</v>
      </c>
      <c r="B32" s="189" t="s">
        <v>978</v>
      </c>
      <c r="C32" s="107" t="s">
        <v>735</v>
      </c>
      <c r="D32" s="71" t="s">
        <v>736</v>
      </c>
      <c r="E32" s="71" t="s">
        <v>242</v>
      </c>
      <c r="F32" s="71" t="s">
        <v>223</v>
      </c>
      <c r="G32" s="71" t="s">
        <v>758</v>
      </c>
      <c r="H32" s="108">
        <v>1446520</v>
      </c>
      <c r="I32" s="112">
        <v>765453.2</v>
      </c>
      <c r="J32" s="114">
        <v>144662.1</v>
      </c>
      <c r="K32" s="26"/>
      <c r="L32" s="109">
        <v>536404.69999999995</v>
      </c>
      <c r="M32" s="26"/>
      <c r="N32" s="25"/>
      <c r="O32" s="28"/>
      <c r="P32" s="28"/>
      <c r="Q32" s="110">
        <f t="shared" si="1"/>
        <v>536404.69999999995</v>
      </c>
      <c r="R32" s="26"/>
      <c r="S32" s="58" t="s">
        <v>139</v>
      </c>
    </row>
    <row r="33" spans="1:19" ht="21" x14ac:dyDescent="0.35">
      <c r="A33" s="106" t="s">
        <v>53</v>
      </c>
      <c r="B33" s="189" t="s">
        <v>980</v>
      </c>
      <c r="C33" s="107" t="s">
        <v>759</v>
      </c>
      <c r="D33" s="71" t="s">
        <v>760</v>
      </c>
      <c r="E33" s="71" t="s">
        <v>242</v>
      </c>
      <c r="F33" s="71" t="s">
        <v>223</v>
      </c>
      <c r="G33" s="71" t="s">
        <v>840</v>
      </c>
      <c r="H33" s="108">
        <v>171987</v>
      </c>
      <c r="I33" s="24"/>
      <c r="J33" s="25"/>
      <c r="K33" s="26"/>
      <c r="L33" s="109">
        <v>171987</v>
      </c>
      <c r="M33" s="26"/>
      <c r="N33" s="25"/>
      <c r="O33" s="28"/>
      <c r="P33" s="28"/>
      <c r="Q33" s="110">
        <f t="shared" si="1"/>
        <v>171987</v>
      </c>
      <c r="R33" s="28"/>
      <c r="S33" s="58" t="s">
        <v>139</v>
      </c>
    </row>
    <row r="34" spans="1:19" ht="21" x14ac:dyDescent="0.35">
      <c r="A34" s="106" t="s">
        <v>53</v>
      </c>
      <c r="B34" s="189" t="s">
        <v>980</v>
      </c>
      <c r="C34" s="107" t="s">
        <v>768</v>
      </c>
      <c r="D34" s="71" t="s">
        <v>769</v>
      </c>
      <c r="E34" s="71" t="s">
        <v>841</v>
      </c>
      <c r="F34" s="71" t="s">
        <v>842</v>
      </c>
      <c r="G34" s="71" t="s">
        <v>843</v>
      </c>
      <c r="H34" s="108">
        <v>2910350</v>
      </c>
      <c r="I34" s="24"/>
      <c r="J34" s="25"/>
      <c r="K34" s="26"/>
      <c r="L34" s="109">
        <v>2910350</v>
      </c>
      <c r="M34" s="26"/>
      <c r="N34" s="25"/>
      <c r="O34" s="28"/>
      <c r="P34" s="28"/>
      <c r="Q34" s="110">
        <f t="shared" si="1"/>
        <v>2910350</v>
      </c>
      <c r="R34" s="28"/>
      <c r="S34" s="58" t="s">
        <v>139</v>
      </c>
    </row>
    <row r="35" spans="1:19" ht="21" x14ac:dyDescent="0.35">
      <c r="A35" s="106" t="s">
        <v>53</v>
      </c>
      <c r="B35" s="189" t="s">
        <v>980</v>
      </c>
      <c r="C35" s="107" t="s">
        <v>768</v>
      </c>
      <c r="D35" s="71" t="s">
        <v>769</v>
      </c>
      <c r="E35" s="71" t="s">
        <v>841</v>
      </c>
      <c r="F35" s="71" t="s">
        <v>842</v>
      </c>
      <c r="G35" s="71" t="s">
        <v>844</v>
      </c>
      <c r="H35" s="108">
        <v>18425319</v>
      </c>
      <c r="I35" s="112">
        <v>1191090</v>
      </c>
      <c r="J35" s="114">
        <v>1150000</v>
      </c>
      <c r="K35" s="108">
        <v>8786435.4000000004</v>
      </c>
      <c r="L35" s="109">
        <v>7297793.5999999996</v>
      </c>
      <c r="M35" s="26"/>
      <c r="N35" s="25"/>
      <c r="O35" s="28"/>
      <c r="P35" s="28"/>
      <c r="Q35" s="110">
        <f t="shared" si="1"/>
        <v>7297793.5999999996</v>
      </c>
      <c r="R35" s="28"/>
      <c r="S35" s="58" t="s">
        <v>139</v>
      </c>
    </row>
    <row r="36" spans="1:19" ht="21" x14ac:dyDescent="0.35">
      <c r="A36" s="106" t="s">
        <v>53</v>
      </c>
      <c r="B36" s="189" t="s">
        <v>980</v>
      </c>
      <c r="C36" s="107" t="s">
        <v>768</v>
      </c>
      <c r="D36" s="71" t="s">
        <v>769</v>
      </c>
      <c r="E36" s="71" t="s">
        <v>841</v>
      </c>
      <c r="F36" s="71" t="s">
        <v>842</v>
      </c>
      <c r="G36" s="71" t="s">
        <v>845</v>
      </c>
      <c r="H36" s="108">
        <v>0</v>
      </c>
      <c r="I36" s="24"/>
      <c r="J36" s="25"/>
      <c r="K36" s="26"/>
      <c r="L36" s="109">
        <v>0</v>
      </c>
      <c r="M36" s="26"/>
      <c r="N36" s="25"/>
      <c r="O36" s="28"/>
      <c r="P36" s="28"/>
      <c r="Q36" s="110">
        <f t="shared" si="1"/>
        <v>0</v>
      </c>
      <c r="R36" s="28"/>
      <c r="S36" s="58" t="s">
        <v>139</v>
      </c>
    </row>
    <row r="37" spans="1:19" ht="21" x14ac:dyDescent="0.35">
      <c r="A37" s="106" t="s">
        <v>53</v>
      </c>
      <c r="B37" s="189" t="s">
        <v>980</v>
      </c>
      <c r="C37" s="107" t="s">
        <v>768</v>
      </c>
      <c r="D37" s="71" t="s">
        <v>769</v>
      </c>
      <c r="E37" s="71" t="s">
        <v>841</v>
      </c>
      <c r="F37" s="71" t="s">
        <v>842</v>
      </c>
      <c r="G37" s="71" t="s">
        <v>846</v>
      </c>
      <c r="H37" s="108">
        <v>23038949</v>
      </c>
      <c r="I37" s="112">
        <v>741300</v>
      </c>
      <c r="J37" s="114">
        <v>7477591</v>
      </c>
      <c r="K37" s="108">
        <v>12931705</v>
      </c>
      <c r="L37" s="109">
        <v>1888353</v>
      </c>
      <c r="M37" s="26"/>
      <c r="N37" s="25"/>
      <c r="O37" s="28"/>
      <c r="P37" s="28"/>
      <c r="Q37" s="110">
        <f t="shared" si="1"/>
        <v>1888353</v>
      </c>
      <c r="R37" s="28"/>
      <c r="S37" s="58" t="s">
        <v>139</v>
      </c>
    </row>
    <row r="38" spans="1:19" ht="21" x14ac:dyDescent="0.35">
      <c r="A38" s="106" t="s">
        <v>53</v>
      </c>
      <c r="B38" s="189" t="s">
        <v>980</v>
      </c>
      <c r="C38" s="107" t="s">
        <v>768</v>
      </c>
      <c r="D38" s="71" t="s">
        <v>769</v>
      </c>
      <c r="E38" s="71" t="s">
        <v>245</v>
      </c>
      <c r="F38" s="71" t="s">
        <v>246</v>
      </c>
      <c r="G38" s="71" t="s">
        <v>847</v>
      </c>
      <c r="H38" s="108">
        <v>2271162</v>
      </c>
      <c r="I38" s="112">
        <v>0</v>
      </c>
      <c r="J38" s="114">
        <v>0</v>
      </c>
      <c r="K38" s="108">
        <v>53100</v>
      </c>
      <c r="L38" s="109">
        <v>2218062</v>
      </c>
      <c r="M38" s="26"/>
      <c r="N38" s="25"/>
      <c r="O38" s="28"/>
      <c r="P38" s="28"/>
      <c r="Q38" s="110">
        <f t="shared" si="1"/>
        <v>2218062</v>
      </c>
      <c r="R38" s="28"/>
      <c r="S38" s="58" t="s">
        <v>139</v>
      </c>
    </row>
    <row r="39" spans="1:19" ht="21" x14ac:dyDescent="0.35">
      <c r="A39" s="106" t="s">
        <v>53</v>
      </c>
      <c r="B39" s="189" t="s">
        <v>980</v>
      </c>
      <c r="C39" s="107" t="s">
        <v>768</v>
      </c>
      <c r="D39" s="71" t="s">
        <v>769</v>
      </c>
      <c r="E39" s="71" t="s">
        <v>245</v>
      </c>
      <c r="F39" s="71" t="s">
        <v>246</v>
      </c>
      <c r="G39" s="71" t="s">
        <v>848</v>
      </c>
      <c r="H39" s="108">
        <v>32800</v>
      </c>
      <c r="I39" s="112">
        <v>31488</v>
      </c>
      <c r="J39" s="25"/>
      <c r="K39" s="108">
        <v>0</v>
      </c>
      <c r="L39" s="109">
        <v>1312</v>
      </c>
      <c r="M39" s="26"/>
      <c r="N39" s="25"/>
      <c r="O39" s="28"/>
      <c r="P39" s="28"/>
      <c r="Q39" s="110">
        <f t="shared" si="1"/>
        <v>1312</v>
      </c>
      <c r="R39" s="28"/>
      <c r="S39" s="58" t="s">
        <v>139</v>
      </c>
    </row>
    <row r="40" spans="1:19" ht="21" x14ac:dyDescent="0.35">
      <c r="A40" s="106" t="s">
        <v>53</v>
      </c>
      <c r="B40" s="189" t="s">
        <v>980</v>
      </c>
      <c r="C40" s="107" t="s">
        <v>768</v>
      </c>
      <c r="D40" s="71" t="s">
        <v>769</v>
      </c>
      <c r="E40" s="71" t="s">
        <v>245</v>
      </c>
      <c r="F40" s="71" t="s">
        <v>246</v>
      </c>
      <c r="G40" s="71" t="s">
        <v>849</v>
      </c>
      <c r="H40" s="108">
        <v>1375893</v>
      </c>
      <c r="I40" s="24"/>
      <c r="J40" s="25"/>
      <c r="K40" s="26"/>
      <c r="L40" s="109">
        <v>1375893</v>
      </c>
      <c r="M40" s="26"/>
      <c r="N40" s="25"/>
      <c r="O40" s="28"/>
      <c r="P40" s="28"/>
      <c r="Q40" s="110">
        <f t="shared" si="1"/>
        <v>1375893</v>
      </c>
      <c r="R40" s="28"/>
      <c r="S40" s="58" t="s">
        <v>139</v>
      </c>
    </row>
    <row r="41" spans="1:19" ht="21" x14ac:dyDescent="0.35">
      <c r="A41" s="106" t="s">
        <v>53</v>
      </c>
      <c r="B41" s="189" t="s">
        <v>980</v>
      </c>
      <c r="C41" s="107" t="s">
        <v>768</v>
      </c>
      <c r="D41" s="71" t="s">
        <v>769</v>
      </c>
      <c r="E41" s="71" t="s">
        <v>249</v>
      </c>
      <c r="F41" s="71" t="s">
        <v>250</v>
      </c>
      <c r="G41" s="71" t="s">
        <v>850</v>
      </c>
      <c r="H41" s="108">
        <v>30312</v>
      </c>
      <c r="I41" s="24"/>
      <c r="J41" s="25"/>
      <c r="K41" s="108">
        <v>30302.25</v>
      </c>
      <c r="L41" s="109">
        <v>9.75</v>
      </c>
      <c r="M41" s="26"/>
      <c r="N41" s="25"/>
      <c r="O41" s="28"/>
      <c r="P41" s="28"/>
      <c r="Q41" s="110">
        <f t="shared" si="1"/>
        <v>9.75</v>
      </c>
      <c r="R41" s="28"/>
      <c r="S41" s="58" t="s">
        <v>139</v>
      </c>
    </row>
    <row r="42" spans="1:19" ht="21" x14ac:dyDescent="0.35">
      <c r="A42" s="106" t="s">
        <v>53</v>
      </c>
      <c r="B42" s="189" t="s">
        <v>994</v>
      </c>
      <c r="C42" s="107" t="s">
        <v>851</v>
      </c>
      <c r="D42" s="71" t="s">
        <v>852</v>
      </c>
      <c r="E42" s="71" t="s">
        <v>245</v>
      </c>
      <c r="F42" s="71" t="s">
        <v>246</v>
      </c>
      <c r="G42" s="71" t="s">
        <v>862</v>
      </c>
      <c r="H42" s="108">
        <v>0</v>
      </c>
      <c r="I42" s="24"/>
      <c r="J42" s="25"/>
      <c r="K42" s="26"/>
      <c r="L42" s="109">
        <v>0</v>
      </c>
      <c r="M42" s="26"/>
      <c r="N42" s="25"/>
      <c r="O42" s="28"/>
      <c r="P42" s="28"/>
      <c r="Q42" s="110">
        <f t="shared" si="1"/>
        <v>0</v>
      </c>
      <c r="R42" s="28"/>
      <c r="S42" s="58" t="s">
        <v>139</v>
      </c>
    </row>
    <row r="43" spans="1:19" ht="21" x14ac:dyDescent="0.35">
      <c r="A43" s="106" t="s">
        <v>53</v>
      </c>
      <c r="B43" s="189" t="s">
        <v>995</v>
      </c>
      <c r="C43" s="107" t="s">
        <v>896</v>
      </c>
      <c r="D43" s="71" t="s">
        <v>897</v>
      </c>
      <c r="E43" s="71" t="s">
        <v>66</v>
      </c>
      <c r="F43" s="71" t="s">
        <v>67</v>
      </c>
      <c r="G43" s="71" t="s">
        <v>905</v>
      </c>
      <c r="H43" s="108">
        <v>0</v>
      </c>
      <c r="I43" s="24"/>
      <c r="J43" s="25"/>
      <c r="K43" s="26"/>
      <c r="L43" s="109">
        <v>0</v>
      </c>
      <c r="M43" s="26"/>
      <c r="N43" s="25"/>
      <c r="O43" s="28"/>
      <c r="P43" s="28"/>
      <c r="Q43" s="110">
        <f t="shared" si="1"/>
        <v>0</v>
      </c>
      <c r="R43" s="28"/>
      <c r="S43" s="58" t="s">
        <v>139</v>
      </c>
    </row>
    <row r="44" spans="1:19" ht="21" x14ac:dyDescent="0.35">
      <c r="A44" s="106" t="s">
        <v>53</v>
      </c>
      <c r="B44" s="189" t="s">
        <v>995</v>
      </c>
      <c r="C44" s="107" t="s">
        <v>896</v>
      </c>
      <c r="D44" s="71" t="s">
        <v>897</v>
      </c>
      <c r="E44" s="71" t="s">
        <v>906</v>
      </c>
      <c r="F44" s="71" t="s">
        <v>69</v>
      </c>
      <c r="G44" s="71" t="s">
        <v>907</v>
      </c>
      <c r="H44" s="108">
        <v>69286</v>
      </c>
      <c r="I44" s="24"/>
      <c r="J44" s="25"/>
      <c r="K44" s="26"/>
      <c r="L44" s="109">
        <v>69286</v>
      </c>
      <c r="M44" s="26"/>
      <c r="N44" s="25"/>
      <c r="O44" s="28"/>
      <c r="P44" s="28"/>
      <c r="Q44" s="110">
        <f t="shared" si="1"/>
        <v>69286</v>
      </c>
      <c r="R44" s="28"/>
      <c r="S44" s="58" t="s">
        <v>139</v>
      </c>
    </row>
    <row r="45" spans="1:19" ht="21" x14ac:dyDescent="0.35">
      <c r="A45" s="106" t="s">
        <v>53</v>
      </c>
      <c r="B45" s="189" t="s">
        <v>983</v>
      </c>
      <c r="C45" s="107" t="s">
        <v>908</v>
      </c>
      <c r="D45" s="71" t="s">
        <v>909</v>
      </c>
      <c r="E45" s="71" t="s">
        <v>242</v>
      </c>
      <c r="F45" s="71" t="s">
        <v>223</v>
      </c>
      <c r="G45" s="71" t="s">
        <v>965</v>
      </c>
      <c r="H45" s="108">
        <v>2998678</v>
      </c>
      <c r="I45" s="24"/>
      <c r="J45" s="25"/>
      <c r="K45" s="108">
        <v>2994928.09</v>
      </c>
      <c r="L45" s="109">
        <v>3749.9100000001499</v>
      </c>
      <c r="M45" s="26"/>
      <c r="N45" s="25"/>
      <c r="O45" s="28"/>
      <c r="P45" s="28"/>
      <c r="Q45" s="110">
        <f t="shared" ref="Q45:Q51" si="2">L45-M45-N45-O45</f>
        <v>3749.9100000001499</v>
      </c>
      <c r="R45" s="28"/>
      <c r="S45" s="58" t="s">
        <v>139</v>
      </c>
    </row>
    <row r="46" spans="1:19" ht="21" x14ac:dyDescent="0.35">
      <c r="A46" s="106" t="s">
        <v>53</v>
      </c>
      <c r="B46" s="189" t="s">
        <v>983</v>
      </c>
      <c r="C46" s="107" t="s">
        <v>939</v>
      </c>
      <c r="D46" s="71" t="s">
        <v>940</v>
      </c>
      <c r="E46" s="71" t="s">
        <v>242</v>
      </c>
      <c r="F46" s="71" t="s">
        <v>223</v>
      </c>
      <c r="G46" s="71" t="s">
        <v>966</v>
      </c>
      <c r="H46" s="108">
        <v>358538</v>
      </c>
      <c r="I46" s="112">
        <v>255042.5</v>
      </c>
      <c r="J46" s="114">
        <v>0</v>
      </c>
      <c r="K46" s="108">
        <v>81037</v>
      </c>
      <c r="L46" s="109">
        <v>22458.5</v>
      </c>
      <c r="M46" s="26"/>
      <c r="N46" s="25"/>
      <c r="O46" s="28"/>
      <c r="P46" s="28"/>
      <c r="Q46" s="110">
        <f t="shared" si="2"/>
        <v>22458.5</v>
      </c>
      <c r="R46" s="28"/>
      <c r="S46" s="58" t="s">
        <v>139</v>
      </c>
    </row>
    <row r="47" spans="1:19" ht="21" x14ac:dyDescent="0.35">
      <c r="A47" s="106" t="s">
        <v>53</v>
      </c>
      <c r="B47" s="189" t="s">
        <v>983</v>
      </c>
      <c r="C47" s="107" t="s">
        <v>951</v>
      </c>
      <c r="D47" s="71" t="s">
        <v>952</v>
      </c>
      <c r="E47" s="71" t="s">
        <v>841</v>
      </c>
      <c r="F47" s="71" t="s">
        <v>842</v>
      </c>
      <c r="G47" s="71" t="s">
        <v>967</v>
      </c>
      <c r="H47" s="108">
        <v>1304891</v>
      </c>
      <c r="I47" s="24"/>
      <c r="J47" s="25"/>
      <c r="K47" s="108">
        <v>1304890.5</v>
      </c>
      <c r="L47" s="109">
        <v>0.5</v>
      </c>
      <c r="M47" s="26"/>
      <c r="N47" s="25"/>
      <c r="O47" s="28"/>
      <c r="P47" s="28"/>
      <c r="Q47" s="110">
        <f t="shared" si="2"/>
        <v>0.5</v>
      </c>
      <c r="R47" s="28"/>
      <c r="S47" s="58" t="s">
        <v>139</v>
      </c>
    </row>
    <row r="48" spans="1:19" ht="21" x14ac:dyDescent="0.35">
      <c r="A48" s="106" t="s">
        <v>53</v>
      </c>
      <c r="B48" s="189" t="s">
        <v>983</v>
      </c>
      <c r="C48" s="107" t="s">
        <v>951</v>
      </c>
      <c r="D48" s="71" t="s">
        <v>952</v>
      </c>
      <c r="E48" s="71" t="s">
        <v>242</v>
      </c>
      <c r="F48" s="71" t="s">
        <v>223</v>
      </c>
      <c r="G48" s="71" t="s">
        <v>968</v>
      </c>
      <c r="H48" s="108">
        <v>15928069</v>
      </c>
      <c r="I48" s="112">
        <v>1528851.5</v>
      </c>
      <c r="J48" s="25"/>
      <c r="K48" s="108">
        <v>576800</v>
      </c>
      <c r="L48" s="109">
        <v>13822417.5</v>
      </c>
      <c r="M48" s="26"/>
      <c r="N48" s="25"/>
      <c r="O48" s="28"/>
      <c r="P48" s="28"/>
      <c r="Q48" s="110">
        <f t="shared" si="2"/>
        <v>13822417.5</v>
      </c>
      <c r="R48" s="28"/>
      <c r="S48" s="58" t="s">
        <v>139</v>
      </c>
    </row>
    <row r="49" spans="1:19" ht="21" x14ac:dyDescent="0.35">
      <c r="A49" s="106" t="s">
        <v>53</v>
      </c>
      <c r="B49" s="189" t="s">
        <v>983</v>
      </c>
      <c r="C49" s="107" t="s">
        <v>958</v>
      </c>
      <c r="D49" s="71" t="s">
        <v>959</v>
      </c>
      <c r="E49" s="71" t="s">
        <v>242</v>
      </c>
      <c r="F49" s="71" t="s">
        <v>223</v>
      </c>
      <c r="G49" s="71" t="s">
        <v>969</v>
      </c>
      <c r="H49" s="108">
        <v>3308433</v>
      </c>
      <c r="I49" s="24"/>
      <c r="J49" s="25"/>
      <c r="K49" s="26"/>
      <c r="L49" s="109">
        <v>3308433</v>
      </c>
      <c r="M49" s="26"/>
      <c r="N49" s="25"/>
      <c r="O49" s="28"/>
      <c r="P49" s="28"/>
      <c r="Q49" s="110">
        <f t="shared" si="2"/>
        <v>3308433</v>
      </c>
      <c r="R49" s="28"/>
      <c r="S49" s="58" t="s">
        <v>139</v>
      </c>
    </row>
    <row r="50" spans="1:19" ht="21" x14ac:dyDescent="0.35">
      <c r="A50" s="106" t="s">
        <v>53</v>
      </c>
      <c r="B50" s="189" t="s">
        <v>983</v>
      </c>
      <c r="C50" s="107" t="s">
        <v>958</v>
      </c>
      <c r="D50" s="71" t="s">
        <v>959</v>
      </c>
      <c r="E50" s="71" t="s">
        <v>66</v>
      </c>
      <c r="F50" s="71" t="s">
        <v>67</v>
      </c>
      <c r="G50" s="71" t="s">
        <v>970</v>
      </c>
      <c r="H50" s="108">
        <v>0</v>
      </c>
      <c r="I50" s="112">
        <v>0</v>
      </c>
      <c r="J50" s="25"/>
      <c r="K50" s="108">
        <v>0</v>
      </c>
      <c r="L50" s="109">
        <v>0</v>
      </c>
      <c r="M50" s="26"/>
      <c r="N50" s="25"/>
      <c r="O50" s="28"/>
      <c r="P50" s="28"/>
      <c r="Q50" s="110">
        <f t="shared" si="2"/>
        <v>0</v>
      </c>
      <c r="R50" s="28"/>
      <c r="S50" s="58" t="s">
        <v>139</v>
      </c>
    </row>
    <row r="51" spans="1:19" ht="21" x14ac:dyDescent="0.35">
      <c r="A51" s="106" t="s">
        <v>53</v>
      </c>
      <c r="B51" s="189" t="s">
        <v>983</v>
      </c>
      <c r="C51" s="107" t="s">
        <v>958</v>
      </c>
      <c r="D51" s="71" t="s">
        <v>959</v>
      </c>
      <c r="E51" s="71" t="s">
        <v>906</v>
      </c>
      <c r="F51" s="71" t="s">
        <v>69</v>
      </c>
      <c r="G51" s="71" t="s">
        <v>971</v>
      </c>
      <c r="H51" s="108">
        <v>277018</v>
      </c>
      <c r="I51" s="112">
        <v>138508.82999999999</v>
      </c>
      <c r="J51" s="25"/>
      <c r="K51" s="26"/>
      <c r="L51" s="109">
        <v>138509.17000000001</v>
      </c>
      <c r="M51" s="26"/>
      <c r="N51" s="25"/>
      <c r="O51" s="28"/>
      <c r="P51" s="28"/>
      <c r="Q51" s="110">
        <f t="shared" si="2"/>
        <v>138509.17000000001</v>
      </c>
      <c r="R51" s="28"/>
      <c r="S51" s="58" t="s">
        <v>139</v>
      </c>
    </row>
  </sheetData>
  <autoFilter ref="A3:S51" xr:uid="{00000000-0009-0000-0000-00000300000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E30"/>
  <sheetViews>
    <sheetView topLeftCell="A5" workbookViewId="0">
      <selection activeCell="C29" sqref="C29"/>
    </sheetView>
  </sheetViews>
  <sheetFormatPr defaultColWidth="8.7265625" defaultRowHeight="14.5" x14ac:dyDescent="0.35"/>
  <cols>
    <col min="1" max="1" width="8.7265625" style="159"/>
    <col min="2" max="3" width="31.1796875" style="159" customWidth="1"/>
    <col min="4" max="4" width="12.54296875" style="159" customWidth="1"/>
    <col min="5" max="5" width="60.26953125" style="159" customWidth="1"/>
    <col min="6" max="16384" width="8.7265625" style="159"/>
  </cols>
  <sheetData>
    <row r="2" spans="1:5" x14ac:dyDescent="0.35">
      <c r="A2" s="159" t="s">
        <v>457</v>
      </c>
    </row>
    <row r="4" spans="1:5" x14ac:dyDescent="0.35">
      <c r="A4" s="159" t="s">
        <v>458</v>
      </c>
    </row>
    <row r="6" spans="1:5" x14ac:dyDescent="0.35">
      <c r="A6" s="160" t="s">
        <v>459</v>
      </c>
      <c r="B6" s="161" t="s">
        <v>460</v>
      </c>
      <c r="C6" s="162" t="s">
        <v>461</v>
      </c>
      <c r="D6" s="162" t="s">
        <v>462</v>
      </c>
      <c r="E6" s="162" t="s">
        <v>463</v>
      </c>
    </row>
    <row r="7" spans="1:5" x14ac:dyDescent="0.35">
      <c r="A7" s="163">
        <v>1</v>
      </c>
      <c r="B7" s="163" t="s">
        <v>464</v>
      </c>
      <c r="C7" s="164">
        <v>78000</v>
      </c>
      <c r="D7" s="164" t="s">
        <v>465</v>
      </c>
      <c r="E7" s="163" t="s">
        <v>466</v>
      </c>
    </row>
    <row r="8" spans="1:5" x14ac:dyDescent="0.35">
      <c r="A8" s="163">
        <v>2</v>
      </c>
      <c r="B8" s="163" t="s">
        <v>467</v>
      </c>
      <c r="C8" s="164">
        <v>15000</v>
      </c>
      <c r="D8" s="164" t="s">
        <v>465</v>
      </c>
      <c r="E8" s="163" t="s">
        <v>466</v>
      </c>
    </row>
    <row r="9" spans="1:5" x14ac:dyDescent="0.35">
      <c r="A9" s="163">
        <v>3</v>
      </c>
      <c r="B9" s="163" t="s">
        <v>468</v>
      </c>
      <c r="C9" s="164">
        <v>49990</v>
      </c>
      <c r="D9" s="164" t="s">
        <v>465</v>
      </c>
      <c r="E9" s="163" t="s">
        <v>469</v>
      </c>
    </row>
    <row r="10" spans="1:5" x14ac:dyDescent="0.35">
      <c r="A10" s="163">
        <v>4</v>
      </c>
      <c r="B10" s="163" t="s">
        <v>470</v>
      </c>
      <c r="C10" s="164">
        <v>10000</v>
      </c>
      <c r="D10" s="164" t="s">
        <v>465</v>
      </c>
      <c r="E10" s="163" t="s">
        <v>471</v>
      </c>
    </row>
    <row r="11" spans="1:5" x14ac:dyDescent="0.35">
      <c r="A11" s="163">
        <v>5</v>
      </c>
      <c r="B11" s="163" t="s">
        <v>472</v>
      </c>
      <c r="C11" s="164">
        <v>200000</v>
      </c>
      <c r="D11" s="164" t="s">
        <v>465</v>
      </c>
      <c r="E11" s="163" t="s">
        <v>473</v>
      </c>
    </row>
    <row r="12" spans="1:5" x14ac:dyDescent="0.35">
      <c r="A12" s="163">
        <v>6</v>
      </c>
      <c r="B12" s="163" t="s">
        <v>474</v>
      </c>
      <c r="C12" s="164">
        <v>16500</v>
      </c>
      <c r="D12" s="164" t="s">
        <v>465</v>
      </c>
      <c r="E12" s="163" t="s">
        <v>475</v>
      </c>
    </row>
    <row r="13" spans="1:5" x14ac:dyDescent="0.35">
      <c r="A13" s="163">
        <v>7</v>
      </c>
      <c r="B13" s="163" t="s">
        <v>476</v>
      </c>
      <c r="C13" s="164">
        <v>9817</v>
      </c>
      <c r="D13" s="164" t="s">
        <v>465</v>
      </c>
      <c r="E13" s="163" t="s">
        <v>477</v>
      </c>
    </row>
    <row r="14" spans="1:5" x14ac:dyDescent="0.35">
      <c r="A14" s="165">
        <v>8</v>
      </c>
      <c r="B14" s="165" t="s">
        <v>478</v>
      </c>
      <c r="C14" s="164">
        <v>40000</v>
      </c>
      <c r="D14" s="164" t="s">
        <v>465</v>
      </c>
      <c r="E14" s="165" t="s">
        <v>479</v>
      </c>
    </row>
    <row r="15" spans="1:5" x14ac:dyDescent="0.35">
      <c r="A15" s="166">
        <v>9</v>
      </c>
      <c r="B15" s="166" t="s">
        <v>480</v>
      </c>
      <c r="C15" s="167">
        <v>60000</v>
      </c>
      <c r="D15" s="167" t="s">
        <v>481</v>
      </c>
      <c r="E15" s="166" t="s">
        <v>482</v>
      </c>
    </row>
    <row r="16" spans="1:5" x14ac:dyDescent="0.35">
      <c r="A16" s="163">
        <v>10</v>
      </c>
      <c r="B16" s="163" t="s">
        <v>483</v>
      </c>
      <c r="C16" s="168">
        <v>40000</v>
      </c>
      <c r="D16" s="168" t="s">
        <v>465</v>
      </c>
      <c r="E16" s="166" t="s">
        <v>484</v>
      </c>
    </row>
    <row r="17" spans="1:5" x14ac:dyDescent="0.35">
      <c r="A17" s="163">
        <v>11</v>
      </c>
      <c r="B17" s="163" t="s">
        <v>485</v>
      </c>
      <c r="C17" s="168">
        <v>120000</v>
      </c>
      <c r="D17" s="163" t="s">
        <v>465</v>
      </c>
      <c r="E17" s="166" t="s">
        <v>486</v>
      </c>
    </row>
    <row r="18" spans="1:5" x14ac:dyDescent="0.35">
      <c r="A18" s="163">
        <v>12</v>
      </c>
      <c r="B18" s="163" t="s">
        <v>487</v>
      </c>
      <c r="C18" s="168">
        <v>80000</v>
      </c>
      <c r="D18" s="163" t="s">
        <v>465</v>
      </c>
      <c r="E18" s="166" t="s">
        <v>486</v>
      </c>
    </row>
    <row r="19" spans="1:5" x14ac:dyDescent="0.35">
      <c r="A19" s="163">
        <v>13</v>
      </c>
      <c r="B19" s="169" t="s">
        <v>488</v>
      </c>
      <c r="C19" s="168">
        <v>5000</v>
      </c>
      <c r="D19" s="163" t="s">
        <v>465</v>
      </c>
      <c r="E19" s="166" t="s">
        <v>486</v>
      </c>
    </row>
    <row r="20" spans="1:5" x14ac:dyDescent="0.35">
      <c r="A20" s="163">
        <v>14</v>
      </c>
      <c r="B20" s="163" t="s">
        <v>489</v>
      </c>
      <c r="C20" s="168">
        <v>5000</v>
      </c>
      <c r="D20" s="163" t="s">
        <v>465</v>
      </c>
      <c r="E20" s="166" t="s">
        <v>486</v>
      </c>
    </row>
    <row r="21" spans="1:5" x14ac:dyDescent="0.35">
      <c r="A21" s="163">
        <v>16</v>
      </c>
      <c r="B21" s="163" t="s">
        <v>490</v>
      </c>
      <c r="C21" s="164">
        <v>500000</v>
      </c>
      <c r="D21" s="163" t="s">
        <v>481</v>
      </c>
      <c r="E21" s="166" t="s">
        <v>491</v>
      </c>
    </row>
    <row r="22" spans="1:5" ht="15" thickBot="1" x14ac:dyDescent="0.4">
      <c r="A22" s="170">
        <v>17</v>
      </c>
      <c r="B22" s="170" t="s">
        <v>492</v>
      </c>
      <c r="C22" s="171">
        <v>80000</v>
      </c>
      <c r="D22" s="170" t="s">
        <v>481</v>
      </c>
      <c r="E22" s="166" t="s">
        <v>493</v>
      </c>
    </row>
    <row r="23" spans="1:5" ht="15" thickBot="1" x14ac:dyDescent="0.4">
      <c r="A23" s="172"/>
      <c r="B23" s="173" t="s">
        <v>494</v>
      </c>
      <c r="C23" s="174">
        <f>SUM(C7:C22)</f>
        <v>1309307</v>
      </c>
      <c r="D23" s="175"/>
      <c r="E23" s="176"/>
    </row>
    <row r="24" spans="1:5" x14ac:dyDescent="0.35">
      <c r="A24" s="177"/>
      <c r="B24" s="178"/>
      <c r="C24" s="179"/>
      <c r="D24" s="178"/>
      <c r="E24" s="176"/>
    </row>
    <row r="25" spans="1:5" x14ac:dyDescent="0.35">
      <c r="A25" s="163"/>
      <c r="B25" s="180"/>
      <c r="C25" s="181"/>
      <c r="D25" s="180"/>
      <c r="E25" s="176"/>
    </row>
    <row r="26" spans="1:5" ht="15" thickBot="1" x14ac:dyDescent="0.4">
      <c r="B26" s="176"/>
      <c r="C26" s="176"/>
      <c r="D26" s="176"/>
      <c r="E26" s="176"/>
    </row>
    <row r="27" spans="1:5" ht="15" thickBot="1" x14ac:dyDescent="0.4">
      <c r="B27" s="182" t="s">
        <v>495</v>
      </c>
      <c r="C27" s="183">
        <v>2127840</v>
      </c>
      <c r="D27" s="176"/>
      <c r="E27" s="176"/>
    </row>
    <row r="28" spans="1:5" ht="15" thickBot="1" x14ac:dyDescent="0.4">
      <c r="B28" s="176"/>
      <c r="C28" s="176"/>
      <c r="D28" s="176"/>
      <c r="E28" s="176"/>
    </row>
    <row r="29" spans="1:5" ht="15" thickBot="1" x14ac:dyDescent="0.4">
      <c r="B29" s="182" t="s">
        <v>496</v>
      </c>
      <c r="C29" s="183">
        <v>818533</v>
      </c>
      <c r="D29" s="176"/>
      <c r="E29" s="176"/>
    </row>
    <row r="30" spans="1:5" x14ac:dyDescent="0.35">
      <c r="B30" s="176"/>
      <c r="C30" s="176"/>
      <c r="D30" s="176"/>
      <c r="E30" s="176"/>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opex</vt:lpstr>
      <vt:lpstr>Pivot capex</vt:lpstr>
      <vt:lpstr>opex</vt:lpstr>
      <vt:lpstr>capex</vt:lpstr>
      <vt:lpstr>justification - library opex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2022-04-13T07:54:02Z</dcterms:created>
  <dcterms:modified xsi:type="dcterms:W3CDTF">2023-09-15T06:07:21Z</dcterms:modified>
</cp:coreProperties>
</file>