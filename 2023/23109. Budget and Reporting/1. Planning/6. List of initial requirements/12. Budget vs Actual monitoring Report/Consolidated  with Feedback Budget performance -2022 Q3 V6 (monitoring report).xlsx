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1.xml" ContentType="application/vnd.openxmlformats-officedocument.spreadsheetml.comments+xml"/>
  <Override PartName="/xl/pivotTables/pivotTable6.xml" ContentType="application/vnd.openxmlformats-officedocument.spreadsheetml.pivotTable+xml"/>
  <Override PartName="/xl/pivotTables/pivotTable7.xml" ContentType="application/vnd.openxmlformats-officedocument.spreadsheetml.pivotTable+xml"/>
  <Override PartName="/xl/comments2.xml" ContentType="application/vnd.openxmlformats-officedocument.spreadsheetml.comments+xml"/>
  <Override PartName="/xl/pivotTables/pivotTable8.xml" ContentType="application/vnd.openxmlformats-officedocument.spreadsheetml.pivotTable+xml"/>
  <Override PartName="/xl/comments3.xml" ContentType="application/vnd.openxmlformats-officedocument.spreadsheetml.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comments4.xml" ContentType="application/vnd.openxmlformats-officedocument.spreadsheetml.comments+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hidePivotFieldList="1" defaultThemeVersion="124226"/>
  <xr:revisionPtr revIDLastSave="25" documentId="11_A20544C70AA61558AB09CD153788D61DB33F4A2F" xr6:coauthVersionLast="47" xr6:coauthVersionMax="47" xr10:uidLastSave="{29C795B1-FC27-440C-BAC2-349A88504F36}"/>
  <bookViews>
    <workbookView xWindow="-110" yWindow="-110" windowWidth="19420" windowHeight="10420" tabRatio="889" firstSheet="1" activeTab="2" xr2:uid="{00000000-000D-0000-FFFF-FFFF00000000}"/>
  </bookViews>
  <sheets>
    <sheet name="Capex 06-12-2022" sheetId="11" state="hidden" r:id="rId1"/>
    <sheet name="Opex &amp; Capex summary - +" sheetId="10" r:id="rId2"/>
    <sheet name="PPT" sheetId="16" r:id="rId3"/>
    <sheet name="Sheet2" sheetId="19" r:id="rId4"/>
    <sheet name="Sheet3" sheetId="20" r:id="rId5"/>
    <sheet name="Ch-02 SVP PPT" sheetId="14" r:id="rId6"/>
    <sheet name="Surplus" sheetId="18" r:id="rId7"/>
    <sheet name="Sheet1" sheetId="17" r:id="rId8"/>
    <sheet name="Q3 OPEX_Detail" sheetId="3" r:id="rId9"/>
    <sheet name="Ch-03 SVP PPT" sheetId="15" r:id="rId10"/>
    <sheet name="Q3 CAPEX_Detail" sheetId="4" r:id="rId11"/>
    <sheet name="CAPEX funding KUST and KUX" sheetId="12" r:id="rId12"/>
    <sheet name="White Crescent " sheetId="13" r:id="rId13"/>
    <sheet name="Q3 Opex Sep-22 Account Leve - +" sheetId="9" r:id="rId14"/>
    <sheet name="Q3 Capex Sep-22" sheetId="5" r:id="rId15"/>
    <sheet name="Q3 Opex Sep-22 Account Level" sheetId="6" r:id="rId16"/>
    <sheet name="Q3 Opex Nov -22" sheetId="7" r:id="rId17"/>
    <sheet name="Q3 Capex. Nov-22" sheetId="8" r:id="rId18"/>
    <sheet name="Q3" sheetId="2" state="hidden" r:id="rId19"/>
  </sheets>
  <externalReferences>
    <externalReference r:id="rId20"/>
  </externalReferences>
  <definedNames>
    <definedName name="_xlnm._FilterDatabase" localSheetId="0" hidden="1">'Capex 06-12-2022'!$A$2:$K$53</definedName>
    <definedName name="_xlnm._FilterDatabase" localSheetId="2" hidden="1">PPT!$B$24:$G$48</definedName>
    <definedName name="_xlnm._FilterDatabase" localSheetId="18" hidden="1">'Q3'!$A$1:$S$542</definedName>
    <definedName name="_xlnm._FilterDatabase" localSheetId="10" hidden="1">'Q3 CAPEX_Detail'!$A$1:$AF$55</definedName>
    <definedName name="_xlnm._FilterDatabase" localSheetId="13" hidden="1">'Q3 Opex Sep-22 Account Leve - +'!$A$2:$O$573</definedName>
    <definedName name="_xlnm._FilterDatabase" localSheetId="15" hidden="1">'Q3 Opex Sep-22 Account Level'!$A$2:$O$573</definedName>
    <definedName name="_xlnm._FilterDatabase" localSheetId="8" hidden="1">'Q3 OPEX_Detail'!$A$1:$AU$512</definedName>
  </definedNames>
  <calcPr calcId="191029"/>
  <pivotCaches>
    <pivotCache cacheId="5" r:id="rId21"/>
    <pivotCache cacheId="6" r:id="rId22"/>
    <pivotCache cacheId="7" r:id="rId23"/>
    <pivotCache cacheId="8" r:id="rId24"/>
    <pivotCache cacheId="9" r:id="rId2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8" i="19" l="1"/>
  <c r="AJ46" i="19"/>
  <c r="AK46" i="19"/>
  <c r="AL46" i="19"/>
  <c r="AM46" i="19"/>
  <c r="AN46" i="19"/>
  <c r="AO46" i="19"/>
  <c r="AP46" i="19"/>
  <c r="AI46" i="19"/>
  <c r="K10" i="16"/>
  <c r="I21" i="16"/>
  <c r="I11" i="16"/>
  <c r="I10" i="16"/>
  <c r="F8" i="10"/>
  <c r="F9" i="10" s="1"/>
  <c r="F7" i="10"/>
  <c r="F5" i="10"/>
  <c r="F4" i="10"/>
  <c r="G13" i="14"/>
  <c r="E13" i="17" l="1"/>
  <c r="E14" i="17"/>
  <c r="E15" i="17"/>
  <c r="E16" i="17"/>
  <c r="E12" i="17"/>
  <c r="E31" i="17"/>
  <c r="E32" i="17"/>
  <c r="E33" i="17"/>
  <c r="E34" i="17"/>
  <c r="E35" i="17"/>
  <c r="E36" i="17"/>
  <c r="E37" i="17"/>
  <c r="E38" i="17"/>
  <c r="E39" i="17"/>
  <c r="E40" i="17"/>
  <c r="E41" i="17"/>
  <c r="E42" i="17"/>
  <c r="E43" i="17"/>
  <c r="E44" i="17"/>
  <c r="E45" i="17"/>
  <c r="E46" i="17"/>
  <c r="E47" i="17"/>
  <c r="E48" i="17"/>
  <c r="E49" i="17"/>
  <c r="E50" i="17"/>
  <c r="E51" i="17"/>
  <c r="E52" i="17"/>
  <c r="E53" i="17"/>
  <c r="E54" i="17"/>
  <c r="E55" i="17"/>
  <c r="E56" i="17"/>
  <c r="E57" i="17"/>
  <c r="E58" i="17"/>
  <c r="E59" i="17"/>
  <c r="E60" i="17"/>
  <c r="E61" i="17"/>
  <c r="E62" i="17"/>
  <c r="E63" i="17"/>
  <c r="E64" i="17"/>
  <c r="E65" i="17"/>
  <c r="E66" i="17"/>
  <c r="E67" i="17"/>
  <c r="E68" i="17"/>
  <c r="E69" i="17"/>
  <c r="E70" i="17"/>
  <c r="E30" i="17"/>
  <c r="F114" i="14"/>
  <c r="E69" i="16" l="1"/>
  <c r="E49" i="16"/>
  <c r="F50" i="16"/>
  <c r="D50" i="16"/>
  <c r="E50" i="16" s="1"/>
  <c r="G50" i="16"/>
  <c r="C50" i="16"/>
  <c r="E42" i="16"/>
  <c r="E26" i="16"/>
  <c r="E27" i="16"/>
  <c r="E28" i="16"/>
  <c r="E29" i="16"/>
  <c r="E47" i="16"/>
  <c r="E44" i="16"/>
  <c r="E34" i="16"/>
  <c r="E39" i="16"/>
  <c r="E40" i="16"/>
  <c r="E32" i="16"/>
  <c r="E48" i="16"/>
  <c r="E37" i="16"/>
  <c r="E36" i="16"/>
  <c r="E33" i="16"/>
  <c r="E38" i="16"/>
  <c r="E35" i="16"/>
  <c r="E43" i="16"/>
  <c r="E45" i="16"/>
  <c r="B74" i="10" l="1"/>
  <c r="B10" i="10"/>
  <c r="D76" i="16" l="1"/>
  <c r="F76" i="16"/>
  <c r="G76" i="16"/>
  <c r="C76" i="16"/>
  <c r="D63" i="16"/>
  <c r="D5" i="16" s="1"/>
  <c r="F63" i="16"/>
  <c r="F5" i="16" s="1"/>
  <c r="G63" i="16"/>
  <c r="G5" i="16" s="1"/>
  <c r="C63" i="16"/>
  <c r="C5" i="16" s="1"/>
  <c r="E3" i="16"/>
  <c r="C14" i="15"/>
  <c r="E76" i="16" l="1"/>
  <c r="E63" i="16"/>
  <c r="E5" i="16"/>
  <c r="V53" i="4"/>
  <c r="G53" i="10" l="1"/>
  <c r="E25" i="16"/>
  <c r="E30" i="16"/>
  <c r="E41" i="16"/>
  <c r="E46" i="16"/>
  <c r="E31" i="16"/>
  <c r="W54" i="3"/>
  <c r="AT54" i="3" s="1"/>
  <c r="W269" i="3"/>
  <c r="AT269" i="3" s="1"/>
  <c r="W289" i="3"/>
  <c r="AT289" i="3" s="1"/>
  <c r="W304" i="3"/>
  <c r="AT304" i="3" s="1"/>
  <c r="W318" i="3"/>
  <c r="AT318" i="3" s="1"/>
  <c r="W320" i="3"/>
  <c r="AT320" i="3" s="1"/>
  <c r="W326" i="3"/>
  <c r="AT326" i="3" s="1"/>
  <c r="W327" i="3"/>
  <c r="AT327" i="3" s="1"/>
  <c r="W347" i="3"/>
  <c r="AT347" i="3" s="1"/>
  <c r="W382" i="3"/>
  <c r="AT382" i="3" s="1"/>
  <c r="W383" i="3"/>
  <c r="AT383" i="3" s="1"/>
  <c r="W398" i="3"/>
  <c r="AT398" i="3" s="1"/>
  <c r="W427" i="3"/>
  <c r="AT427" i="3" s="1"/>
  <c r="W435" i="3"/>
  <c r="AT435" i="3" s="1"/>
  <c r="W447" i="3"/>
  <c r="AT447" i="3" s="1"/>
  <c r="W448" i="3"/>
  <c r="AT448" i="3" s="1"/>
  <c r="W449" i="3"/>
  <c r="AT449" i="3" s="1"/>
  <c r="W468" i="3"/>
  <c r="AT468" i="3" s="1"/>
  <c r="W506" i="3"/>
  <c r="AT506" i="3" s="1"/>
  <c r="W507" i="3"/>
  <c r="AT507" i="3" s="1"/>
  <c r="W508" i="3"/>
  <c r="AT508" i="3" s="1"/>
  <c r="W509" i="3"/>
  <c r="AT509" i="3" s="1"/>
  <c r="V2" i="3"/>
  <c r="W2" i="3" s="1"/>
  <c r="AT2" i="3" s="1"/>
  <c r="V343" i="3"/>
  <c r="W343" i="3" s="1"/>
  <c r="AT343" i="3" s="1"/>
  <c r="V342" i="3"/>
  <c r="W342" i="3" s="1"/>
  <c r="AT342" i="3" s="1"/>
  <c r="V341" i="3"/>
  <c r="W341" i="3" s="1"/>
  <c r="AT341" i="3" s="1"/>
  <c r="V340" i="3"/>
  <c r="W340" i="3" s="1"/>
  <c r="AT340" i="3" s="1"/>
  <c r="V339" i="3"/>
  <c r="W339" i="3" s="1"/>
  <c r="AT339" i="3" s="1"/>
  <c r="V338" i="3"/>
  <c r="W338" i="3" s="1"/>
  <c r="AT338" i="3" s="1"/>
  <c r="V337" i="3"/>
  <c r="W337" i="3" s="1"/>
  <c r="AT337" i="3" s="1"/>
  <c r="V336" i="3"/>
  <c r="W336" i="3" s="1"/>
  <c r="AT336" i="3" s="1"/>
  <c r="V335" i="3"/>
  <c r="W335" i="3" s="1"/>
  <c r="AT335" i="3" s="1"/>
  <c r="V334" i="3"/>
  <c r="W334" i="3" s="1"/>
  <c r="AT334" i="3" s="1"/>
  <c r="V333" i="3"/>
  <c r="W333" i="3" s="1"/>
  <c r="AT333" i="3" s="1"/>
  <c r="V332" i="3"/>
  <c r="W332" i="3" s="1"/>
  <c r="AT332" i="3" s="1"/>
  <c r="V331" i="3"/>
  <c r="W331" i="3" s="1"/>
  <c r="AT331" i="3" s="1"/>
  <c r="V330" i="3"/>
  <c r="W330" i="3" s="1"/>
  <c r="AT330" i="3" s="1"/>
  <c r="V329" i="3"/>
  <c r="W329" i="3" s="1"/>
  <c r="AT329" i="3" s="1"/>
  <c r="V328" i="3"/>
  <c r="W328" i="3" s="1"/>
  <c r="AT328" i="3" s="1"/>
  <c r="V321" i="3"/>
  <c r="W321" i="3" s="1"/>
  <c r="AT321" i="3" s="1"/>
  <c r="V291" i="3"/>
  <c r="W291" i="3" s="1"/>
  <c r="AT291" i="3" s="1"/>
  <c r="V281" i="3"/>
  <c r="W281" i="3" s="1"/>
  <c r="AT281" i="3" s="1"/>
  <c r="V275" i="3"/>
  <c r="W275" i="3" s="1"/>
  <c r="AT275" i="3" s="1"/>
  <c r="V265" i="3"/>
  <c r="W265" i="3" s="1"/>
  <c r="AT265" i="3" s="1"/>
  <c r="V264" i="3"/>
  <c r="W264" i="3" s="1"/>
  <c r="AT264" i="3" s="1"/>
  <c r="V263" i="3"/>
  <c r="W263" i="3" s="1"/>
  <c r="AT263" i="3" s="1"/>
  <c r="V262" i="3"/>
  <c r="W262" i="3" s="1"/>
  <c r="AT262" i="3" s="1"/>
  <c r="V261" i="3"/>
  <c r="W261" i="3" s="1"/>
  <c r="AT261" i="3" s="1"/>
  <c r="V260" i="3"/>
  <c r="W260" i="3" s="1"/>
  <c r="AT260" i="3" s="1"/>
  <c r="V259" i="3"/>
  <c r="W259" i="3" s="1"/>
  <c r="AT259" i="3" s="1"/>
  <c r="V258" i="3"/>
  <c r="W258" i="3" s="1"/>
  <c r="AT258" i="3" s="1"/>
  <c r="V257" i="3"/>
  <c r="W257" i="3" s="1"/>
  <c r="AT257" i="3" s="1"/>
  <c r="V256" i="3"/>
  <c r="W256" i="3" s="1"/>
  <c r="AT256" i="3" s="1"/>
  <c r="V255" i="3"/>
  <c r="W255" i="3" s="1"/>
  <c r="AT255" i="3" s="1"/>
  <c r="V254" i="3"/>
  <c r="W254" i="3" s="1"/>
  <c r="AT254" i="3" s="1"/>
  <c r="V253" i="3"/>
  <c r="W253" i="3" s="1"/>
  <c r="AT253" i="3" s="1"/>
  <c r="V252" i="3"/>
  <c r="W252" i="3" s="1"/>
  <c r="AT252" i="3" s="1"/>
  <c r="V251" i="3"/>
  <c r="W251" i="3" s="1"/>
  <c r="AT251" i="3" s="1"/>
  <c r="V250" i="3"/>
  <c r="W250" i="3" s="1"/>
  <c r="AT250" i="3" s="1"/>
  <c r="V249" i="3"/>
  <c r="W249" i="3" s="1"/>
  <c r="AT249" i="3" s="1"/>
  <c r="V248" i="3"/>
  <c r="W248" i="3" s="1"/>
  <c r="AT248" i="3" s="1"/>
  <c r="V247" i="3"/>
  <c r="W247" i="3" s="1"/>
  <c r="AT247" i="3" s="1"/>
  <c r="V246" i="3"/>
  <c r="W246" i="3" s="1"/>
  <c r="AT246" i="3" s="1"/>
  <c r="V245" i="3"/>
  <c r="W245" i="3" s="1"/>
  <c r="AT245" i="3" s="1"/>
  <c r="V244" i="3"/>
  <c r="W244" i="3" s="1"/>
  <c r="AT244" i="3" s="1"/>
  <c r="V190" i="3"/>
  <c r="W190" i="3" s="1"/>
  <c r="AT190" i="3" s="1"/>
  <c r="V189" i="3"/>
  <c r="W189" i="3" s="1"/>
  <c r="AT189" i="3" s="1"/>
  <c r="V188" i="3"/>
  <c r="W188" i="3" s="1"/>
  <c r="AT188" i="3" s="1"/>
  <c r="V187" i="3"/>
  <c r="W187" i="3" s="1"/>
  <c r="AT187" i="3" s="1"/>
  <c r="V186" i="3"/>
  <c r="W186" i="3" s="1"/>
  <c r="AT186" i="3" s="1"/>
  <c r="V185" i="3"/>
  <c r="W185" i="3" s="1"/>
  <c r="AT185" i="3" s="1"/>
  <c r="V184" i="3"/>
  <c r="W184" i="3" s="1"/>
  <c r="AT184" i="3" s="1"/>
  <c r="V183" i="3"/>
  <c r="W183" i="3" s="1"/>
  <c r="AT183" i="3" s="1"/>
  <c r="V182" i="3"/>
  <c r="W182" i="3" s="1"/>
  <c r="AT182" i="3" s="1"/>
  <c r="V181" i="3"/>
  <c r="W181" i="3" s="1"/>
  <c r="AT181" i="3" s="1"/>
  <c r="V180" i="3"/>
  <c r="W180" i="3" s="1"/>
  <c r="AT180" i="3" s="1"/>
  <c r="V179" i="3"/>
  <c r="W179" i="3" s="1"/>
  <c r="AT179" i="3" s="1"/>
  <c r="V178" i="3"/>
  <c r="W178" i="3" s="1"/>
  <c r="AT178" i="3" s="1"/>
  <c r="V177" i="3"/>
  <c r="W177" i="3" s="1"/>
  <c r="AT177" i="3" s="1"/>
  <c r="V176" i="3"/>
  <c r="W176" i="3" s="1"/>
  <c r="AT176" i="3" s="1"/>
  <c r="V175" i="3"/>
  <c r="W175" i="3" s="1"/>
  <c r="AT175" i="3" s="1"/>
  <c r="V174" i="3"/>
  <c r="W174" i="3" s="1"/>
  <c r="AT174" i="3" s="1"/>
  <c r="V173" i="3"/>
  <c r="W173" i="3" s="1"/>
  <c r="AT173" i="3" s="1"/>
  <c r="V172" i="3"/>
  <c r="W172" i="3" s="1"/>
  <c r="AT172" i="3" s="1"/>
  <c r="V171" i="3"/>
  <c r="W171" i="3" s="1"/>
  <c r="AT171" i="3" s="1"/>
  <c r="V170" i="3"/>
  <c r="W170" i="3" s="1"/>
  <c r="AT170" i="3" s="1"/>
  <c r="V169" i="3"/>
  <c r="W169" i="3" s="1"/>
  <c r="AT169" i="3" s="1"/>
  <c r="V168" i="3"/>
  <c r="W168" i="3" s="1"/>
  <c r="AT168" i="3" s="1"/>
  <c r="V167" i="3"/>
  <c r="W167" i="3" s="1"/>
  <c r="AT167" i="3" s="1"/>
  <c r="V166" i="3"/>
  <c r="W166" i="3" s="1"/>
  <c r="AT166" i="3" s="1"/>
  <c r="V165" i="3"/>
  <c r="W165" i="3" s="1"/>
  <c r="AT165" i="3" s="1"/>
  <c r="V164" i="3"/>
  <c r="W164" i="3" s="1"/>
  <c r="AT164" i="3" s="1"/>
  <c r="V163" i="3"/>
  <c r="W163" i="3" s="1"/>
  <c r="AT163" i="3" s="1"/>
  <c r="V162" i="3"/>
  <c r="W162" i="3" s="1"/>
  <c r="AT162" i="3" s="1"/>
  <c r="V161" i="3"/>
  <c r="W161" i="3" s="1"/>
  <c r="AT161" i="3" s="1"/>
  <c r="V68" i="3"/>
  <c r="W68" i="3" s="1"/>
  <c r="AT68" i="3" s="1"/>
  <c r="V67" i="3"/>
  <c r="W67" i="3" s="1"/>
  <c r="AT67" i="3" s="1"/>
  <c r="V66" i="3"/>
  <c r="W66" i="3" s="1"/>
  <c r="AT66" i="3" s="1"/>
  <c r="V243" i="3"/>
  <c r="W243" i="3" s="1"/>
  <c r="AT243" i="3" s="1"/>
  <c r="V242" i="3"/>
  <c r="W242" i="3" s="1"/>
  <c r="AT242" i="3" s="1"/>
  <c r="V241" i="3"/>
  <c r="W241" i="3" s="1"/>
  <c r="AT241" i="3" s="1"/>
  <c r="V240" i="3"/>
  <c r="W240" i="3" s="1"/>
  <c r="AT240" i="3" s="1"/>
  <c r="V239" i="3"/>
  <c r="W239" i="3" s="1"/>
  <c r="AT239" i="3" s="1"/>
  <c r="V238" i="3"/>
  <c r="W238" i="3" s="1"/>
  <c r="AT238" i="3" s="1"/>
  <c r="V237" i="3"/>
  <c r="W237" i="3" s="1"/>
  <c r="AT237" i="3" s="1"/>
  <c r="V236" i="3"/>
  <c r="W236" i="3" s="1"/>
  <c r="AT236" i="3" s="1"/>
  <c r="V235" i="3"/>
  <c r="W235" i="3" s="1"/>
  <c r="AT235" i="3" s="1"/>
  <c r="V234" i="3"/>
  <c r="W234" i="3" s="1"/>
  <c r="AT234" i="3" s="1"/>
  <c r="V233" i="3"/>
  <c r="W233" i="3" s="1"/>
  <c r="AT233" i="3" s="1"/>
  <c r="V232" i="3"/>
  <c r="W232" i="3" s="1"/>
  <c r="AT232" i="3" s="1"/>
  <c r="V231" i="3"/>
  <c r="W231" i="3" s="1"/>
  <c r="AT231" i="3" s="1"/>
  <c r="V230" i="3"/>
  <c r="W230" i="3" s="1"/>
  <c r="AT230" i="3" s="1"/>
  <c r="V229" i="3"/>
  <c r="W229" i="3" s="1"/>
  <c r="AT229" i="3" s="1"/>
  <c r="V228" i="3"/>
  <c r="W228" i="3" s="1"/>
  <c r="AT228" i="3" s="1"/>
  <c r="V227" i="3"/>
  <c r="W227" i="3" s="1"/>
  <c r="AT227" i="3" s="1"/>
  <c r="V226" i="3"/>
  <c r="W226" i="3" s="1"/>
  <c r="AT226" i="3" s="1"/>
  <c r="V225" i="3"/>
  <c r="W225" i="3" s="1"/>
  <c r="AT225" i="3" s="1"/>
  <c r="V224" i="3"/>
  <c r="W224" i="3" s="1"/>
  <c r="AT224" i="3" s="1"/>
  <c r="V223" i="3"/>
  <c r="W223" i="3" s="1"/>
  <c r="AT223" i="3" s="1"/>
  <c r="V222" i="3"/>
  <c r="W222" i="3" s="1"/>
  <c r="AT222" i="3" s="1"/>
  <c r="V221" i="3"/>
  <c r="W221" i="3" s="1"/>
  <c r="AT221" i="3" s="1"/>
  <c r="V220" i="3"/>
  <c r="W220" i="3" s="1"/>
  <c r="AT220" i="3" s="1"/>
  <c r="V219" i="3"/>
  <c r="W219" i="3" s="1"/>
  <c r="AT219" i="3" s="1"/>
  <c r="V218" i="3"/>
  <c r="W218" i="3" s="1"/>
  <c r="AT218" i="3" s="1"/>
  <c r="V217" i="3"/>
  <c r="W217" i="3" s="1"/>
  <c r="AT217" i="3" s="1"/>
  <c r="V216" i="3"/>
  <c r="W216" i="3" s="1"/>
  <c r="AT216" i="3" s="1"/>
  <c r="V215" i="3"/>
  <c r="W215" i="3" s="1"/>
  <c r="AT215" i="3" s="1"/>
  <c r="V214" i="3"/>
  <c r="W214" i="3" s="1"/>
  <c r="AT214" i="3" s="1"/>
  <c r="V213" i="3"/>
  <c r="W213" i="3" s="1"/>
  <c r="AT213" i="3" s="1"/>
  <c r="V212" i="3"/>
  <c r="W212" i="3" s="1"/>
  <c r="AT212" i="3" s="1"/>
  <c r="V211" i="3"/>
  <c r="W211" i="3" s="1"/>
  <c r="AT211" i="3" s="1"/>
  <c r="V210" i="3"/>
  <c r="W210" i="3" s="1"/>
  <c r="AT210" i="3" s="1"/>
  <c r="V209" i="3"/>
  <c r="W209" i="3" s="1"/>
  <c r="AT209" i="3" s="1"/>
  <c r="V208" i="3"/>
  <c r="W208" i="3" s="1"/>
  <c r="AT208" i="3" s="1"/>
  <c r="V207" i="3"/>
  <c r="W207" i="3" s="1"/>
  <c r="AT207" i="3" s="1"/>
  <c r="V206" i="3"/>
  <c r="W206" i="3" s="1"/>
  <c r="AT206" i="3" s="1"/>
  <c r="V205" i="3"/>
  <c r="W205" i="3" s="1"/>
  <c r="AT205" i="3" s="1"/>
  <c r="V204" i="3"/>
  <c r="W204" i="3" s="1"/>
  <c r="AT204" i="3" s="1"/>
  <c r="V203" i="3"/>
  <c r="W203" i="3" s="1"/>
  <c r="AT203" i="3" s="1"/>
  <c r="V202" i="3"/>
  <c r="W202" i="3" s="1"/>
  <c r="AT202" i="3" s="1"/>
  <c r="V201" i="3"/>
  <c r="W201" i="3" s="1"/>
  <c r="AT201" i="3" s="1"/>
  <c r="V200" i="3"/>
  <c r="W200" i="3" s="1"/>
  <c r="AT200" i="3" s="1"/>
  <c r="V199" i="3"/>
  <c r="W199" i="3" s="1"/>
  <c r="AT199" i="3" s="1"/>
  <c r="V198" i="3"/>
  <c r="W198" i="3" s="1"/>
  <c r="AT198" i="3" s="1"/>
  <c r="V197" i="3"/>
  <c r="W197" i="3" s="1"/>
  <c r="AT197" i="3" s="1"/>
  <c r="V196" i="3"/>
  <c r="W196" i="3" s="1"/>
  <c r="AT196" i="3" s="1"/>
  <c r="V195" i="3"/>
  <c r="W195" i="3" s="1"/>
  <c r="AT195" i="3" s="1"/>
  <c r="V194" i="3"/>
  <c r="W194" i="3" s="1"/>
  <c r="AT194" i="3" s="1"/>
  <c r="V193" i="3"/>
  <c r="W193" i="3" s="1"/>
  <c r="AT193" i="3" s="1"/>
  <c r="V192" i="3"/>
  <c r="W192" i="3" s="1"/>
  <c r="AT192" i="3" s="1"/>
  <c r="V191" i="3"/>
  <c r="W191" i="3" s="1"/>
  <c r="AT191" i="3" s="1"/>
  <c r="V160" i="3"/>
  <c r="W160" i="3" s="1"/>
  <c r="AT160" i="3" s="1"/>
  <c r="V159" i="3"/>
  <c r="W159" i="3" s="1"/>
  <c r="AT159" i="3" s="1"/>
  <c r="V158" i="3"/>
  <c r="W158" i="3" s="1"/>
  <c r="AT158" i="3" s="1"/>
  <c r="V157" i="3"/>
  <c r="W157" i="3" s="1"/>
  <c r="AT157" i="3" s="1"/>
  <c r="V156" i="3"/>
  <c r="W156" i="3" s="1"/>
  <c r="AT156" i="3" s="1"/>
  <c r="V155" i="3"/>
  <c r="W155" i="3" s="1"/>
  <c r="AT155" i="3" s="1"/>
  <c r="V154" i="3"/>
  <c r="W154" i="3" s="1"/>
  <c r="AT154" i="3" s="1"/>
  <c r="V153" i="3"/>
  <c r="W153" i="3" s="1"/>
  <c r="AT153" i="3" s="1"/>
  <c r="V152" i="3"/>
  <c r="W152" i="3" s="1"/>
  <c r="AT152" i="3" s="1"/>
  <c r="V151" i="3"/>
  <c r="W151" i="3" s="1"/>
  <c r="AT151" i="3" s="1"/>
  <c r="V150" i="3"/>
  <c r="W150" i="3" s="1"/>
  <c r="AT150" i="3" s="1"/>
  <c r="V149" i="3"/>
  <c r="W149" i="3" s="1"/>
  <c r="AT149" i="3" s="1"/>
  <c r="V148" i="3"/>
  <c r="W148" i="3" s="1"/>
  <c r="AT148" i="3" s="1"/>
  <c r="V147" i="3"/>
  <c r="W147" i="3" s="1"/>
  <c r="AT147" i="3" s="1"/>
  <c r="V146" i="3"/>
  <c r="W146" i="3" s="1"/>
  <c r="AT146" i="3" s="1"/>
  <c r="V145" i="3"/>
  <c r="W145" i="3" s="1"/>
  <c r="AT145" i="3" s="1"/>
  <c r="V144" i="3"/>
  <c r="W144" i="3" s="1"/>
  <c r="AT144" i="3" s="1"/>
  <c r="V143" i="3"/>
  <c r="W143" i="3" s="1"/>
  <c r="AT143" i="3" s="1"/>
  <c r="V142" i="3"/>
  <c r="W142" i="3" s="1"/>
  <c r="AT142" i="3" s="1"/>
  <c r="V141" i="3"/>
  <c r="W141" i="3" s="1"/>
  <c r="AT141" i="3" s="1"/>
  <c r="V140" i="3"/>
  <c r="W140" i="3" s="1"/>
  <c r="AT140" i="3" s="1"/>
  <c r="V139" i="3"/>
  <c r="W139" i="3" s="1"/>
  <c r="AT139" i="3" s="1"/>
  <c r="V138" i="3"/>
  <c r="W138" i="3" s="1"/>
  <c r="AT138" i="3" s="1"/>
  <c r="V137" i="3"/>
  <c r="W137" i="3" s="1"/>
  <c r="AT137" i="3" s="1"/>
  <c r="V136" i="3"/>
  <c r="W136" i="3" s="1"/>
  <c r="AT136" i="3" s="1"/>
  <c r="V135" i="3"/>
  <c r="W135" i="3" s="1"/>
  <c r="AT135" i="3" s="1"/>
  <c r="V134" i="3"/>
  <c r="W134" i="3" s="1"/>
  <c r="AT134" i="3" s="1"/>
  <c r="V133" i="3"/>
  <c r="W133" i="3" s="1"/>
  <c r="AT133" i="3" s="1"/>
  <c r="V132" i="3"/>
  <c r="W132" i="3" s="1"/>
  <c r="AT132" i="3" s="1"/>
  <c r="V131" i="3"/>
  <c r="W131" i="3" s="1"/>
  <c r="AT131" i="3" s="1"/>
  <c r="V130" i="3"/>
  <c r="W130" i="3" s="1"/>
  <c r="AT130" i="3" s="1"/>
  <c r="V129" i="3"/>
  <c r="W129" i="3" s="1"/>
  <c r="AT129" i="3" s="1"/>
  <c r="V128" i="3"/>
  <c r="W128" i="3" s="1"/>
  <c r="AT128" i="3" s="1"/>
  <c r="V127" i="3"/>
  <c r="W127" i="3" s="1"/>
  <c r="AT127" i="3" s="1"/>
  <c r="V126" i="3"/>
  <c r="W126" i="3" s="1"/>
  <c r="AT126" i="3" s="1"/>
  <c r="V125" i="3"/>
  <c r="W125" i="3" s="1"/>
  <c r="AT125" i="3" s="1"/>
  <c r="V124" i="3"/>
  <c r="W124" i="3" s="1"/>
  <c r="AT124" i="3" s="1"/>
  <c r="V123" i="3"/>
  <c r="W123" i="3" s="1"/>
  <c r="AT123" i="3" s="1"/>
  <c r="V122" i="3"/>
  <c r="W122" i="3" s="1"/>
  <c r="AT122" i="3" s="1"/>
  <c r="V121" i="3"/>
  <c r="W121" i="3" s="1"/>
  <c r="AT121" i="3" s="1"/>
  <c r="V120" i="3"/>
  <c r="W120" i="3" s="1"/>
  <c r="AT120" i="3" s="1"/>
  <c r="V119" i="3"/>
  <c r="W119" i="3" s="1"/>
  <c r="AT119" i="3" s="1"/>
  <c r="V118" i="3"/>
  <c r="W118" i="3" s="1"/>
  <c r="AT118" i="3" s="1"/>
  <c r="V117" i="3"/>
  <c r="W117" i="3" s="1"/>
  <c r="AT117" i="3" s="1"/>
  <c r="V116" i="3"/>
  <c r="W116" i="3" s="1"/>
  <c r="AT116" i="3" s="1"/>
  <c r="V115" i="3"/>
  <c r="W115" i="3" s="1"/>
  <c r="AT115" i="3" s="1"/>
  <c r="V114" i="3"/>
  <c r="W114" i="3" s="1"/>
  <c r="AT114" i="3" s="1"/>
  <c r="V113" i="3"/>
  <c r="W113" i="3" s="1"/>
  <c r="AT113" i="3" s="1"/>
  <c r="V112" i="3"/>
  <c r="W112" i="3" s="1"/>
  <c r="AT112" i="3" s="1"/>
  <c r="V111" i="3"/>
  <c r="W111" i="3" s="1"/>
  <c r="AT111" i="3" s="1"/>
  <c r="V110" i="3"/>
  <c r="W110" i="3" s="1"/>
  <c r="AT110" i="3" s="1"/>
  <c r="V109" i="3"/>
  <c r="W109" i="3" s="1"/>
  <c r="AT109" i="3" s="1"/>
  <c r="V108" i="3"/>
  <c r="W108" i="3" s="1"/>
  <c r="AT108" i="3" s="1"/>
  <c r="V107" i="3"/>
  <c r="W107" i="3" s="1"/>
  <c r="AT107" i="3" s="1"/>
  <c r="V106" i="3"/>
  <c r="W106" i="3" s="1"/>
  <c r="AT106" i="3" s="1"/>
  <c r="V105" i="3"/>
  <c r="W105" i="3" s="1"/>
  <c r="AT105" i="3" s="1"/>
  <c r="V104" i="3"/>
  <c r="W104" i="3" s="1"/>
  <c r="AT104" i="3" s="1"/>
  <c r="V103" i="3"/>
  <c r="W103" i="3" s="1"/>
  <c r="AT103" i="3" s="1"/>
  <c r="V102" i="3"/>
  <c r="W102" i="3" s="1"/>
  <c r="AT102" i="3" s="1"/>
  <c r="V101" i="3"/>
  <c r="W101" i="3" s="1"/>
  <c r="AT101" i="3" s="1"/>
  <c r="V100" i="3"/>
  <c r="W100" i="3" s="1"/>
  <c r="AT100" i="3" s="1"/>
  <c r="V99" i="3"/>
  <c r="W99" i="3" s="1"/>
  <c r="AT99" i="3" s="1"/>
  <c r="V98" i="3"/>
  <c r="W98" i="3" s="1"/>
  <c r="AT98" i="3" s="1"/>
  <c r="V97" i="3"/>
  <c r="W97" i="3" s="1"/>
  <c r="AT97" i="3" s="1"/>
  <c r="V96" i="3"/>
  <c r="W96" i="3" s="1"/>
  <c r="AT96" i="3" s="1"/>
  <c r="V95" i="3"/>
  <c r="W95" i="3" s="1"/>
  <c r="AT95" i="3" s="1"/>
  <c r="V94" i="3"/>
  <c r="W94" i="3" s="1"/>
  <c r="AT94" i="3" s="1"/>
  <c r="V93" i="3"/>
  <c r="W93" i="3" s="1"/>
  <c r="AT93" i="3" s="1"/>
  <c r="V92" i="3"/>
  <c r="W92" i="3" s="1"/>
  <c r="AT92" i="3" s="1"/>
  <c r="V91" i="3"/>
  <c r="W91" i="3" s="1"/>
  <c r="AT91" i="3" s="1"/>
  <c r="V90" i="3"/>
  <c r="W90" i="3" s="1"/>
  <c r="AT90" i="3" s="1"/>
  <c r="V89" i="3"/>
  <c r="W89" i="3" s="1"/>
  <c r="AT89" i="3" s="1"/>
  <c r="V88" i="3"/>
  <c r="W88" i="3" s="1"/>
  <c r="AT88" i="3" s="1"/>
  <c r="V87" i="3"/>
  <c r="W87" i="3" s="1"/>
  <c r="AT87" i="3" s="1"/>
  <c r="V86" i="3"/>
  <c r="W86" i="3" s="1"/>
  <c r="AT86" i="3" s="1"/>
  <c r="V85" i="3"/>
  <c r="W85" i="3" s="1"/>
  <c r="AT85" i="3" s="1"/>
  <c r="V84" i="3"/>
  <c r="W84" i="3" s="1"/>
  <c r="AT84" i="3" s="1"/>
  <c r="V83" i="3"/>
  <c r="W83" i="3" s="1"/>
  <c r="AT83" i="3" s="1"/>
  <c r="V82" i="3"/>
  <c r="W82" i="3" s="1"/>
  <c r="AT82" i="3" s="1"/>
  <c r="V81" i="3"/>
  <c r="W81" i="3" s="1"/>
  <c r="AT81" i="3" s="1"/>
  <c r="V80" i="3"/>
  <c r="W80" i="3" s="1"/>
  <c r="AT80" i="3" s="1"/>
  <c r="V79" i="3"/>
  <c r="W79" i="3" s="1"/>
  <c r="AT79" i="3" s="1"/>
  <c r="V78" i="3"/>
  <c r="W78" i="3" s="1"/>
  <c r="AT78" i="3" s="1"/>
  <c r="V77" i="3"/>
  <c r="W77" i="3" s="1"/>
  <c r="AT77" i="3" s="1"/>
  <c r="V76" i="3"/>
  <c r="W76" i="3" s="1"/>
  <c r="AT76" i="3" s="1"/>
  <c r="V75" i="3"/>
  <c r="W75" i="3" s="1"/>
  <c r="AT75" i="3" s="1"/>
  <c r="V74" i="3"/>
  <c r="W74" i="3" s="1"/>
  <c r="AT74" i="3" s="1"/>
  <c r="V73" i="3"/>
  <c r="W73" i="3" s="1"/>
  <c r="AT73" i="3" s="1"/>
  <c r="V72" i="3"/>
  <c r="W72" i="3" s="1"/>
  <c r="AT72" i="3" s="1"/>
  <c r="V71" i="3"/>
  <c r="W71" i="3" s="1"/>
  <c r="AT71" i="3" s="1"/>
  <c r="V70" i="3"/>
  <c r="W70" i="3" s="1"/>
  <c r="AT70" i="3" s="1"/>
  <c r="V69" i="3"/>
  <c r="W69" i="3" s="1"/>
  <c r="AT69" i="3" s="1"/>
  <c r="V65" i="3"/>
  <c r="W65" i="3" s="1"/>
  <c r="AT65" i="3" s="1"/>
  <c r="V64" i="3"/>
  <c r="W64" i="3" s="1"/>
  <c r="AT64" i="3" s="1"/>
  <c r="V63" i="3"/>
  <c r="W63" i="3" s="1"/>
  <c r="AT63" i="3" s="1"/>
  <c r="V62" i="3"/>
  <c r="W62" i="3" s="1"/>
  <c r="AT62" i="3" s="1"/>
  <c r="V46" i="3"/>
  <c r="W46" i="3" s="1"/>
  <c r="AT46" i="3" s="1"/>
  <c r="V45" i="3"/>
  <c r="W45" i="3" s="1"/>
  <c r="AT45" i="3" s="1"/>
  <c r="V44" i="3"/>
  <c r="W44" i="3" s="1"/>
  <c r="AT44" i="3" s="1"/>
  <c r="V43" i="3"/>
  <c r="W43" i="3" s="1"/>
  <c r="AT43" i="3" s="1"/>
  <c r="V42" i="3"/>
  <c r="W42" i="3" s="1"/>
  <c r="AT42" i="3" s="1"/>
  <c r="V41" i="3"/>
  <c r="W41" i="3" s="1"/>
  <c r="AT41" i="3" s="1"/>
  <c r="V40" i="3"/>
  <c r="W40" i="3" s="1"/>
  <c r="AT40" i="3" s="1"/>
  <c r="V39" i="3"/>
  <c r="W39" i="3" s="1"/>
  <c r="AT39" i="3" s="1"/>
  <c r="V38" i="3"/>
  <c r="W38" i="3" s="1"/>
  <c r="AT38" i="3" s="1"/>
  <c r="V37" i="3"/>
  <c r="W37" i="3" s="1"/>
  <c r="AT37" i="3" s="1"/>
  <c r="V36" i="3"/>
  <c r="W36" i="3" s="1"/>
  <c r="AT36" i="3" s="1"/>
  <c r="V28" i="3"/>
  <c r="W28" i="3" s="1"/>
  <c r="AT28" i="3" s="1"/>
  <c r="V14" i="3"/>
  <c r="W14" i="3" s="1"/>
  <c r="AT14" i="3" s="1"/>
  <c r="V13" i="3"/>
  <c r="W13" i="3" s="1"/>
  <c r="AT13" i="3" s="1"/>
  <c r="V12" i="3"/>
  <c r="W12" i="3" s="1"/>
  <c r="AT12" i="3" s="1"/>
  <c r="V11" i="3"/>
  <c r="W11" i="3" s="1"/>
  <c r="AT11" i="3" s="1"/>
  <c r="V10" i="3"/>
  <c r="W10" i="3" s="1"/>
  <c r="AT10" i="3" s="1"/>
  <c r="V9" i="3"/>
  <c r="W9" i="3" s="1"/>
  <c r="AT9" i="3" s="1"/>
  <c r="V8" i="3"/>
  <c r="W8" i="3" s="1"/>
  <c r="AT8" i="3" s="1"/>
  <c r="V7" i="3"/>
  <c r="W7" i="3" s="1"/>
  <c r="AT7" i="3" s="1"/>
  <c r="V6" i="3"/>
  <c r="W6" i="3" s="1"/>
  <c r="AT6" i="3" s="1"/>
  <c r="V5" i="3"/>
  <c r="W5" i="3" s="1"/>
  <c r="AT5" i="3" s="1"/>
  <c r="V4" i="3"/>
  <c r="W4" i="3" s="1"/>
  <c r="AT4" i="3" s="1"/>
  <c r="V3" i="3"/>
  <c r="W3" i="3" s="1"/>
  <c r="AT3" i="3" s="1"/>
  <c r="E74" i="16"/>
  <c r="E71" i="16"/>
  <c r="E70" i="16"/>
  <c r="E72" i="16"/>
  <c r="E73" i="16"/>
  <c r="E75" i="16"/>
  <c r="E68" i="16"/>
  <c r="E67" i="16"/>
  <c r="E58" i="16"/>
  <c r="E59" i="16"/>
  <c r="E60" i="16"/>
  <c r="E61" i="16"/>
  <c r="E62" i="16"/>
  <c r="E56" i="16"/>
  <c r="E55" i="16"/>
  <c r="E57" i="16"/>
  <c r="E14" i="16"/>
  <c r="E10" i="16"/>
  <c r="E13" i="16"/>
  <c r="E12" i="16"/>
  <c r="E17" i="16"/>
  <c r="E11" i="16"/>
  <c r="E16" i="16"/>
  <c r="E20" i="16"/>
  <c r="E15" i="16"/>
  <c r="E19" i="16"/>
  <c r="E18" i="16"/>
  <c r="D21" i="16"/>
  <c r="D4" i="16" s="1"/>
  <c r="F21" i="16"/>
  <c r="F4" i="16" s="1"/>
  <c r="F6" i="16" s="1"/>
  <c r="G21" i="16"/>
  <c r="G4" i="16" s="1"/>
  <c r="G6" i="16" s="1"/>
  <c r="C21" i="16"/>
  <c r="C4" i="16" s="1"/>
  <c r="C6" i="16" s="1"/>
  <c r="D17" i="14"/>
  <c r="C17" i="14"/>
  <c r="E4" i="16" l="1"/>
  <c r="D6" i="16"/>
  <c r="E6" i="16" s="1"/>
  <c r="E21" i="16"/>
  <c r="W50" i="4" l="1"/>
  <c r="AA50" i="4" s="1"/>
  <c r="Z53" i="4"/>
  <c r="AU510" i="3"/>
  <c r="X510" i="3"/>
  <c r="AN510" i="3"/>
  <c r="AO510" i="3"/>
  <c r="AN511" i="3"/>
  <c r="AN513" i="3"/>
  <c r="AN514" i="3"/>
  <c r="AK510" i="3"/>
  <c r="AP510" i="3"/>
  <c r="AQ510" i="3"/>
  <c r="AJ510" i="3"/>
  <c r="AT511" i="3" s="1"/>
  <c r="AB517" i="3"/>
  <c r="AS3" i="3"/>
  <c r="AS4" i="3"/>
  <c r="AS5" i="3"/>
  <c r="AS6" i="3"/>
  <c r="AS7" i="3"/>
  <c r="AS8" i="3"/>
  <c r="AS9" i="3"/>
  <c r="AS10" i="3"/>
  <c r="AS11" i="3"/>
  <c r="AS12" i="3"/>
  <c r="AS13" i="3"/>
  <c r="AS14" i="3"/>
  <c r="AS15" i="3"/>
  <c r="AS16" i="3"/>
  <c r="AS17" i="3"/>
  <c r="AS18" i="3"/>
  <c r="AS20" i="3"/>
  <c r="AS21" i="3"/>
  <c r="AS22" i="3"/>
  <c r="AS23" i="3"/>
  <c r="AS24" i="3"/>
  <c r="AS25" i="3"/>
  <c r="AS26" i="3"/>
  <c r="AS27" i="3"/>
  <c r="AS28" i="3"/>
  <c r="AS29" i="3"/>
  <c r="AS30" i="3"/>
  <c r="AS31" i="3"/>
  <c r="AS32" i="3"/>
  <c r="AS33" i="3"/>
  <c r="AS34" i="3"/>
  <c r="AS35" i="3"/>
  <c r="AS36" i="3"/>
  <c r="AS37" i="3"/>
  <c r="AS38" i="3"/>
  <c r="AS39" i="3"/>
  <c r="AS40" i="3"/>
  <c r="AS41" i="3"/>
  <c r="AS42" i="3"/>
  <c r="AS43" i="3"/>
  <c r="AS44" i="3"/>
  <c r="AS45" i="3"/>
  <c r="AS46" i="3"/>
  <c r="AS47" i="3"/>
  <c r="AS48" i="3"/>
  <c r="AS49" i="3"/>
  <c r="AS50" i="3"/>
  <c r="AS51" i="3"/>
  <c r="AS52" i="3"/>
  <c r="AS53" i="3"/>
  <c r="AS54" i="3"/>
  <c r="AS55" i="3"/>
  <c r="AS56" i="3"/>
  <c r="AS57" i="3"/>
  <c r="AS58" i="3"/>
  <c r="AS59" i="3"/>
  <c r="AS60" i="3"/>
  <c r="AS61" i="3"/>
  <c r="AS62" i="3"/>
  <c r="AS63" i="3"/>
  <c r="AS64" i="3"/>
  <c r="AS65" i="3"/>
  <c r="AS66" i="3"/>
  <c r="AS67" i="3"/>
  <c r="AS68" i="3"/>
  <c r="AS69" i="3"/>
  <c r="AS70" i="3"/>
  <c r="AS71" i="3"/>
  <c r="AS72" i="3"/>
  <c r="AS73" i="3"/>
  <c r="AS74" i="3"/>
  <c r="AS75" i="3"/>
  <c r="AS76" i="3"/>
  <c r="AS77" i="3"/>
  <c r="AS78" i="3"/>
  <c r="AS79" i="3"/>
  <c r="AS80" i="3"/>
  <c r="AS81" i="3"/>
  <c r="AS82" i="3"/>
  <c r="AS83" i="3"/>
  <c r="AS84" i="3"/>
  <c r="AS85" i="3"/>
  <c r="AS86" i="3"/>
  <c r="AS87" i="3"/>
  <c r="AS88" i="3"/>
  <c r="AS89" i="3"/>
  <c r="AS90" i="3"/>
  <c r="AS91" i="3"/>
  <c r="AS92" i="3"/>
  <c r="AS93" i="3"/>
  <c r="AS94" i="3"/>
  <c r="AS95" i="3"/>
  <c r="AS96" i="3"/>
  <c r="AS97" i="3"/>
  <c r="AS98" i="3"/>
  <c r="AS99" i="3"/>
  <c r="AS100" i="3"/>
  <c r="AS101" i="3"/>
  <c r="AS102" i="3"/>
  <c r="AS103" i="3"/>
  <c r="AS104" i="3"/>
  <c r="AS105" i="3"/>
  <c r="AS106" i="3"/>
  <c r="AS107" i="3"/>
  <c r="AS108" i="3"/>
  <c r="AS109" i="3"/>
  <c r="AS110" i="3"/>
  <c r="AS111" i="3"/>
  <c r="AS112" i="3"/>
  <c r="AS113" i="3"/>
  <c r="AS114" i="3"/>
  <c r="AS115" i="3"/>
  <c r="AS116" i="3"/>
  <c r="AS117" i="3"/>
  <c r="AS118" i="3"/>
  <c r="AS119" i="3"/>
  <c r="AS120" i="3"/>
  <c r="AS121" i="3"/>
  <c r="AS122" i="3"/>
  <c r="AS123" i="3"/>
  <c r="AS124" i="3"/>
  <c r="AS125" i="3"/>
  <c r="AS126" i="3"/>
  <c r="AS127" i="3"/>
  <c r="AS128" i="3"/>
  <c r="AS129" i="3"/>
  <c r="AS130" i="3"/>
  <c r="AS131" i="3"/>
  <c r="AS132" i="3"/>
  <c r="AS133" i="3"/>
  <c r="AS134" i="3"/>
  <c r="AS135" i="3"/>
  <c r="AS136" i="3"/>
  <c r="AS137" i="3"/>
  <c r="AS138" i="3"/>
  <c r="AS139" i="3"/>
  <c r="AS140" i="3"/>
  <c r="AS141" i="3"/>
  <c r="AS142" i="3"/>
  <c r="AS143" i="3"/>
  <c r="AS144" i="3"/>
  <c r="AS145" i="3"/>
  <c r="AS146" i="3"/>
  <c r="AS147" i="3"/>
  <c r="AS148" i="3"/>
  <c r="AS149" i="3"/>
  <c r="AS150" i="3"/>
  <c r="AS151" i="3"/>
  <c r="AS152" i="3"/>
  <c r="AS153" i="3"/>
  <c r="AS154" i="3"/>
  <c r="AS155" i="3"/>
  <c r="AS156" i="3"/>
  <c r="AS157" i="3"/>
  <c r="AS158" i="3"/>
  <c r="AS159" i="3"/>
  <c r="AS160" i="3"/>
  <c r="AS161" i="3"/>
  <c r="AS162" i="3"/>
  <c r="AS163" i="3"/>
  <c r="AS164" i="3"/>
  <c r="AS165" i="3"/>
  <c r="AS166" i="3"/>
  <c r="AS167" i="3"/>
  <c r="AS168" i="3"/>
  <c r="AS169" i="3"/>
  <c r="AS170" i="3"/>
  <c r="AS171" i="3"/>
  <c r="AS172" i="3"/>
  <c r="AS173" i="3"/>
  <c r="AS174" i="3"/>
  <c r="AS175" i="3"/>
  <c r="AS176" i="3"/>
  <c r="AS177" i="3"/>
  <c r="AS178" i="3"/>
  <c r="AS179" i="3"/>
  <c r="AS180" i="3"/>
  <c r="AS181" i="3"/>
  <c r="AS182" i="3"/>
  <c r="AS183" i="3"/>
  <c r="AS184" i="3"/>
  <c r="AS185" i="3"/>
  <c r="AS186" i="3"/>
  <c r="AS187" i="3"/>
  <c r="AS188" i="3"/>
  <c r="AS189" i="3"/>
  <c r="AS190" i="3"/>
  <c r="AS191" i="3"/>
  <c r="AS192" i="3"/>
  <c r="AS193" i="3"/>
  <c r="AS194" i="3"/>
  <c r="AS195" i="3"/>
  <c r="AS196" i="3"/>
  <c r="AS197" i="3"/>
  <c r="AS198" i="3"/>
  <c r="AS199" i="3"/>
  <c r="AS200" i="3"/>
  <c r="AS201" i="3"/>
  <c r="AS202" i="3"/>
  <c r="AS203" i="3"/>
  <c r="AS204" i="3"/>
  <c r="AS205" i="3"/>
  <c r="AS206" i="3"/>
  <c r="AS207" i="3"/>
  <c r="AS208" i="3"/>
  <c r="AS209" i="3"/>
  <c r="AS210" i="3"/>
  <c r="AS211" i="3"/>
  <c r="AS212" i="3"/>
  <c r="AS213" i="3"/>
  <c r="AS214" i="3"/>
  <c r="AS215" i="3"/>
  <c r="AS216" i="3"/>
  <c r="AS217" i="3"/>
  <c r="AS218" i="3"/>
  <c r="AS219" i="3"/>
  <c r="AS220" i="3"/>
  <c r="AS221" i="3"/>
  <c r="AS222" i="3"/>
  <c r="AS223" i="3"/>
  <c r="AS224" i="3"/>
  <c r="AS225" i="3"/>
  <c r="AS226" i="3"/>
  <c r="AS227" i="3"/>
  <c r="AS228" i="3"/>
  <c r="AS229" i="3"/>
  <c r="AS230" i="3"/>
  <c r="AS231" i="3"/>
  <c r="AS232" i="3"/>
  <c r="AS233" i="3"/>
  <c r="AS234" i="3"/>
  <c r="AS235" i="3"/>
  <c r="AS236" i="3"/>
  <c r="AS237" i="3"/>
  <c r="AS238" i="3"/>
  <c r="AS239" i="3"/>
  <c r="AS240" i="3"/>
  <c r="AS241" i="3"/>
  <c r="AS242" i="3"/>
  <c r="AS243" i="3"/>
  <c r="AS244" i="3"/>
  <c r="AS245" i="3"/>
  <c r="AS246" i="3"/>
  <c r="AS247" i="3"/>
  <c r="AS248" i="3"/>
  <c r="AS249" i="3"/>
  <c r="AS250" i="3"/>
  <c r="AS251" i="3"/>
  <c r="AS252" i="3"/>
  <c r="AS253" i="3"/>
  <c r="AS254" i="3"/>
  <c r="AS255" i="3"/>
  <c r="AS256" i="3"/>
  <c r="AS257" i="3"/>
  <c r="AS258" i="3"/>
  <c r="AS259" i="3"/>
  <c r="AS260" i="3"/>
  <c r="AS261" i="3"/>
  <c r="AS262" i="3"/>
  <c r="AS263" i="3"/>
  <c r="AS264" i="3"/>
  <c r="AS265" i="3"/>
  <c r="AS266" i="3"/>
  <c r="AS267" i="3"/>
  <c r="AS268" i="3"/>
  <c r="AS269" i="3"/>
  <c r="AS270" i="3"/>
  <c r="AS271" i="3"/>
  <c r="AS272" i="3"/>
  <c r="AS273" i="3"/>
  <c r="AS274" i="3"/>
  <c r="AS275" i="3"/>
  <c r="AS276" i="3"/>
  <c r="AS277" i="3"/>
  <c r="AS278" i="3"/>
  <c r="AS279" i="3"/>
  <c r="AS280" i="3"/>
  <c r="AS281" i="3"/>
  <c r="AS282" i="3"/>
  <c r="AS283" i="3"/>
  <c r="AS284" i="3"/>
  <c r="AS285" i="3"/>
  <c r="AS286" i="3"/>
  <c r="AS287" i="3"/>
  <c r="AS288" i="3"/>
  <c r="AS289" i="3"/>
  <c r="AS290" i="3"/>
  <c r="AS291" i="3"/>
  <c r="AS292" i="3"/>
  <c r="AS293" i="3"/>
  <c r="AS294" i="3"/>
  <c r="AS295" i="3"/>
  <c r="AS296" i="3"/>
  <c r="AS297" i="3"/>
  <c r="AS298" i="3"/>
  <c r="AS299" i="3"/>
  <c r="AS300" i="3"/>
  <c r="AS301" i="3"/>
  <c r="AS302" i="3"/>
  <c r="AS303" i="3"/>
  <c r="AS304" i="3"/>
  <c r="AS305" i="3"/>
  <c r="AS306" i="3"/>
  <c r="AS307" i="3"/>
  <c r="AS308" i="3"/>
  <c r="AS309" i="3"/>
  <c r="AS310" i="3"/>
  <c r="AS311" i="3"/>
  <c r="AS312" i="3"/>
  <c r="AS313" i="3"/>
  <c r="AS314" i="3"/>
  <c r="AS315" i="3"/>
  <c r="AS316" i="3"/>
  <c r="AS317" i="3"/>
  <c r="AS318" i="3"/>
  <c r="AS319" i="3"/>
  <c r="AS320" i="3"/>
  <c r="AS321" i="3"/>
  <c r="AS322" i="3"/>
  <c r="AS323" i="3"/>
  <c r="AS324" i="3"/>
  <c r="AS325" i="3"/>
  <c r="AS326" i="3"/>
  <c r="AS327" i="3"/>
  <c r="AS328" i="3"/>
  <c r="AS329" i="3"/>
  <c r="AS330" i="3"/>
  <c r="AS331" i="3"/>
  <c r="AS332" i="3"/>
  <c r="AS333" i="3"/>
  <c r="AS334" i="3"/>
  <c r="AS335" i="3"/>
  <c r="AS336" i="3"/>
  <c r="AS337" i="3"/>
  <c r="AS338" i="3"/>
  <c r="AS339" i="3"/>
  <c r="AS340" i="3"/>
  <c r="AS341" i="3"/>
  <c r="AS342" i="3"/>
  <c r="AS343" i="3"/>
  <c r="AS344" i="3"/>
  <c r="AS345" i="3"/>
  <c r="AS346" i="3"/>
  <c r="AS347" i="3"/>
  <c r="AS348" i="3"/>
  <c r="AS349" i="3"/>
  <c r="AS350" i="3"/>
  <c r="AS351" i="3"/>
  <c r="AS352" i="3"/>
  <c r="AS353" i="3"/>
  <c r="AS354" i="3"/>
  <c r="AS355" i="3"/>
  <c r="AS356" i="3"/>
  <c r="AS357" i="3"/>
  <c r="AS358" i="3"/>
  <c r="AS359" i="3"/>
  <c r="AS360" i="3"/>
  <c r="AS361" i="3"/>
  <c r="AS362" i="3"/>
  <c r="AS363" i="3"/>
  <c r="AS364" i="3"/>
  <c r="AS365" i="3"/>
  <c r="AS366" i="3"/>
  <c r="AS367" i="3"/>
  <c r="AS368" i="3"/>
  <c r="AS369" i="3"/>
  <c r="AS370" i="3"/>
  <c r="AS371" i="3"/>
  <c r="AS372" i="3"/>
  <c r="AS373" i="3"/>
  <c r="AS374" i="3"/>
  <c r="AS375" i="3"/>
  <c r="AS376" i="3"/>
  <c r="AS377" i="3"/>
  <c r="AS378" i="3"/>
  <c r="AS379" i="3"/>
  <c r="AS380" i="3"/>
  <c r="AS381" i="3"/>
  <c r="AS382" i="3"/>
  <c r="AS383" i="3"/>
  <c r="AS385" i="3"/>
  <c r="AS386" i="3"/>
  <c r="AS387" i="3"/>
  <c r="AS388" i="3"/>
  <c r="AS389" i="3"/>
  <c r="AS390" i="3"/>
  <c r="AS391" i="3"/>
  <c r="AS392" i="3"/>
  <c r="AS393" i="3"/>
  <c r="AS394" i="3"/>
  <c r="AS395" i="3"/>
  <c r="AS396" i="3"/>
  <c r="AS397" i="3"/>
  <c r="AS398" i="3"/>
  <c r="AS399" i="3"/>
  <c r="AS400" i="3"/>
  <c r="AS401" i="3"/>
  <c r="AS402" i="3"/>
  <c r="AS403" i="3"/>
  <c r="AS404" i="3"/>
  <c r="AS405" i="3"/>
  <c r="AS406" i="3"/>
  <c r="AS407" i="3"/>
  <c r="AS408" i="3"/>
  <c r="AS409" i="3"/>
  <c r="AS410" i="3"/>
  <c r="AS411" i="3"/>
  <c r="AS412" i="3"/>
  <c r="AS413" i="3"/>
  <c r="AS414" i="3"/>
  <c r="AS415" i="3"/>
  <c r="AS416" i="3"/>
  <c r="AS417" i="3"/>
  <c r="AS418" i="3"/>
  <c r="AS419" i="3"/>
  <c r="AS420" i="3"/>
  <c r="AS421" i="3"/>
  <c r="AS422" i="3"/>
  <c r="AS423" i="3"/>
  <c r="AS424" i="3"/>
  <c r="AS425" i="3"/>
  <c r="AS426" i="3"/>
  <c r="AS427" i="3"/>
  <c r="AS428" i="3"/>
  <c r="AS429" i="3"/>
  <c r="AS430" i="3"/>
  <c r="AS431" i="3"/>
  <c r="AS432" i="3"/>
  <c r="AS433" i="3"/>
  <c r="AS434" i="3"/>
  <c r="AS435" i="3"/>
  <c r="AS436" i="3"/>
  <c r="AS437" i="3"/>
  <c r="AS438" i="3"/>
  <c r="AS439" i="3"/>
  <c r="AS440" i="3"/>
  <c r="AS441" i="3"/>
  <c r="AS442" i="3"/>
  <c r="AS443" i="3"/>
  <c r="AS444" i="3"/>
  <c r="AS445" i="3"/>
  <c r="AS446" i="3"/>
  <c r="AS447" i="3"/>
  <c r="AS448" i="3"/>
  <c r="AS449" i="3"/>
  <c r="AS450" i="3"/>
  <c r="AS451" i="3"/>
  <c r="AS452" i="3"/>
  <c r="AS453" i="3"/>
  <c r="AS454" i="3"/>
  <c r="AS455" i="3"/>
  <c r="AS456" i="3"/>
  <c r="AS457" i="3"/>
  <c r="AS458" i="3"/>
  <c r="AS459" i="3"/>
  <c r="AS460" i="3"/>
  <c r="AS461" i="3"/>
  <c r="AS462" i="3"/>
  <c r="AS463" i="3"/>
  <c r="AS464" i="3"/>
  <c r="AS465" i="3"/>
  <c r="AS466" i="3"/>
  <c r="AS467" i="3"/>
  <c r="AS468" i="3"/>
  <c r="AS469" i="3"/>
  <c r="AS470" i="3"/>
  <c r="AS471" i="3"/>
  <c r="AS472" i="3"/>
  <c r="AS473" i="3"/>
  <c r="AS474" i="3"/>
  <c r="AS475" i="3"/>
  <c r="AS476" i="3"/>
  <c r="AS477" i="3"/>
  <c r="AS478" i="3"/>
  <c r="AS479" i="3"/>
  <c r="AS480" i="3"/>
  <c r="AS481" i="3"/>
  <c r="AS482" i="3"/>
  <c r="AS483" i="3"/>
  <c r="AS484" i="3"/>
  <c r="AS485" i="3"/>
  <c r="AS486" i="3"/>
  <c r="AS487" i="3"/>
  <c r="AS488" i="3"/>
  <c r="AS489" i="3"/>
  <c r="AS490" i="3"/>
  <c r="AS491" i="3"/>
  <c r="AS492" i="3"/>
  <c r="AS493" i="3"/>
  <c r="AS494" i="3"/>
  <c r="AS495" i="3"/>
  <c r="AS496" i="3"/>
  <c r="AS497" i="3"/>
  <c r="AS498" i="3"/>
  <c r="AS499" i="3"/>
  <c r="AS500" i="3"/>
  <c r="AS501" i="3"/>
  <c r="AS502" i="3"/>
  <c r="AS503" i="3"/>
  <c r="AS504" i="3"/>
  <c r="AS505" i="3"/>
  <c r="AS2" i="3"/>
  <c r="AA38" i="4"/>
  <c r="AA29" i="4"/>
  <c r="AA32" i="4"/>
  <c r="AA31" i="4"/>
  <c r="AH347" i="3"/>
  <c r="E34" i="15"/>
  <c r="E13" i="15"/>
  <c r="C111" i="14"/>
  <c r="C110" i="14"/>
  <c r="C20" i="14"/>
  <c r="AS514" i="3" l="1"/>
  <c r="AL47" i="4"/>
  <c r="X47" i="4" s="1"/>
  <c r="AM47" i="4" s="1"/>
  <c r="AL39" i="4"/>
  <c r="X39" i="4" s="1"/>
  <c r="AM39" i="4" s="1"/>
  <c r="AL31" i="4"/>
  <c r="X31" i="4" s="1"/>
  <c r="AM31" i="4" s="1"/>
  <c r="AL23" i="4"/>
  <c r="X23" i="4" s="1"/>
  <c r="AM23" i="4" s="1"/>
  <c r="AL15" i="4"/>
  <c r="X15" i="4" s="1"/>
  <c r="AM15" i="4" s="1"/>
  <c r="AL7" i="4"/>
  <c r="X7" i="4" s="1"/>
  <c r="AM7" i="4" s="1"/>
  <c r="AL41" i="4"/>
  <c r="X41" i="4" s="1"/>
  <c r="AM41" i="4" s="1"/>
  <c r="AL49" i="4"/>
  <c r="X49" i="4" s="1"/>
  <c r="AM49" i="4" s="1"/>
  <c r="AL33" i="4"/>
  <c r="X33" i="4" s="1"/>
  <c r="AM33" i="4" s="1"/>
  <c r="AL17" i="4"/>
  <c r="X17" i="4" s="1"/>
  <c r="AM17" i="4" s="1"/>
  <c r="AL9" i="4"/>
  <c r="X9" i="4" s="1"/>
  <c r="AM9" i="4" s="1"/>
  <c r="AL25" i="4"/>
  <c r="X25" i="4" s="1"/>
  <c r="AM25" i="4" s="1"/>
  <c r="AL46" i="4"/>
  <c r="X46" i="4" s="1"/>
  <c r="AM46" i="4" s="1"/>
  <c r="AL38" i="4"/>
  <c r="X38" i="4" s="1"/>
  <c r="AM38" i="4" s="1"/>
  <c r="AL30" i="4"/>
  <c r="X30" i="4" s="1"/>
  <c r="AM30" i="4" s="1"/>
  <c r="AL22" i="4"/>
  <c r="X22" i="4" s="1"/>
  <c r="AM22" i="4" s="1"/>
  <c r="AL14" i="4"/>
  <c r="X14" i="4" s="1"/>
  <c r="AM14" i="4" s="1"/>
  <c r="AL6" i="4"/>
  <c r="X6" i="4" s="1"/>
  <c r="AM6" i="4" s="1"/>
  <c r="AL51" i="4"/>
  <c r="X51" i="4" s="1"/>
  <c r="AM51" i="4" s="1"/>
  <c r="AL43" i="4"/>
  <c r="X43" i="4" s="1"/>
  <c r="AL35" i="4"/>
  <c r="X35" i="4" s="1"/>
  <c r="AM35" i="4" s="1"/>
  <c r="AL27" i="4"/>
  <c r="X27" i="4" s="1"/>
  <c r="AM27" i="4" s="1"/>
  <c r="AL19" i="4"/>
  <c r="X19" i="4" s="1"/>
  <c r="AM19" i="4" s="1"/>
  <c r="AL11" i="4"/>
  <c r="X11" i="4" s="1"/>
  <c r="AM11" i="4" s="1"/>
  <c r="AL3" i="4"/>
  <c r="X3" i="4" s="1"/>
  <c r="AM3" i="4" s="1"/>
  <c r="AL50" i="4"/>
  <c r="X50" i="4" s="1"/>
  <c r="AM50" i="4" s="1"/>
  <c r="AL42" i="4"/>
  <c r="X42" i="4" s="1"/>
  <c r="AM42" i="4" s="1"/>
  <c r="AL34" i="4"/>
  <c r="X34" i="4" s="1"/>
  <c r="AM34" i="4" s="1"/>
  <c r="AL26" i="4"/>
  <c r="X26" i="4" s="1"/>
  <c r="AM26" i="4" s="1"/>
  <c r="AL18" i="4"/>
  <c r="X18" i="4" s="1"/>
  <c r="AM18" i="4" s="1"/>
  <c r="AL10" i="4"/>
  <c r="X10" i="4" s="1"/>
  <c r="AM10" i="4" s="1"/>
  <c r="AL48" i="4"/>
  <c r="X48" i="4" s="1"/>
  <c r="AM48" i="4" s="1"/>
  <c r="AL40" i="4"/>
  <c r="X40" i="4" s="1"/>
  <c r="AM40" i="4" s="1"/>
  <c r="AL32" i="4"/>
  <c r="X32" i="4" s="1"/>
  <c r="AM32" i="4" s="1"/>
  <c r="AL24" i="4"/>
  <c r="X24" i="4" s="1"/>
  <c r="AM24" i="4" s="1"/>
  <c r="AL16" i="4"/>
  <c r="X16" i="4" s="1"/>
  <c r="AM16" i="4" s="1"/>
  <c r="AL8" i="4"/>
  <c r="X8" i="4" s="1"/>
  <c r="AM8" i="4" s="1"/>
  <c r="AL2" i="4"/>
  <c r="X2" i="4" s="1"/>
  <c r="AM2" i="4" s="1"/>
  <c r="AL45" i="4"/>
  <c r="X45" i="4" s="1"/>
  <c r="AM45" i="4" s="1"/>
  <c r="AL37" i="4"/>
  <c r="X37" i="4" s="1"/>
  <c r="AM37" i="4" s="1"/>
  <c r="AL29" i="4"/>
  <c r="X29" i="4" s="1"/>
  <c r="AM29" i="4" s="1"/>
  <c r="AL21" i="4"/>
  <c r="X21" i="4" s="1"/>
  <c r="AM21" i="4" s="1"/>
  <c r="AL13" i="4"/>
  <c r="X13" i="4" s="1"/>
  <c r="AM13" i="4" s="1"/>
  <c r="AL5" i="4"/>
  <c r="X5" i="4" s="1"/>
  <c r="AM5" i="4" s="1"/>
  <c r="AL52" i="4"/>
  <c r="X52" i="4" s="1"/>
  <c r="AM52" i="4" s="1"/>
  <c r="AL44" i="4"/>
  <c r="X44" i="4" s="1"/>
  <c r="AM44" i="4" s="1"/>
  <c r="AL36" i="4"/>
  <c r="X36" i="4" s="1"/>
  <c r="AM36" i="4" s="1"/>
  <c r="AL28" i="4"/>
  <c r="X28" i="4" s="1"/>
  <c r="AM28" i="4" s="1"/>
  <c r="AL20" i="4"/>
  <c r="X20" i="4" s="1"/>
  <c r="AM20" i="4" s="1"/>
  <c r="AL12" i="4"/>
  <c r="X12" i="4" s="1"/>
  <c r="AM12" i="4" s="1"/>
  <c r="AL4" i="4"/>
  <c r="X4" i="4" s="1"/>
  <c r="AM4" i="4" s="1"/>
  <c r="AH53" i="4"/>
  <c r="AK53" i="4"/>
  <c r="AI53" i="4"/>
  <c r="AJ53" i="4"/>
  <c r="AN515" i="3"/>
  <c r="AK513" i="3"/>
  <c r="AK514" i="3"/>
  <c r="AM510" i="3"/>
  <c r="AM514" i="3" s="1"/>
  <c r="AL510" i="3"/>
  <c r="AL514" i="3" s="1"/>
  <c r="AM43" i="4" l="1"/>
  <c r="AM53" i="4" s="1"/>
  <c r="AM55" i="4" s="1"/>
  <c r="X62" i="4"/>
  <c r="X53" i="4"/>
  <c r="AL53" i="4"/>
  <c r="B59" i="10"/>
  <c r="B62" i="10" l="1"/>
  <c r="AH343" i="3"/>
  <c r="AH342" i="3"/>
  <c r="AH341" i="3"/>
  <c r="AH340" i="3"/>
  <c r="AH339" i="3"/>
  <c r="AH338" i="3"/>
  <c r="AH337" i="3"/>
  <c r="AH336" i="3"/>
  <c r="AH335" i="3"/>
  <c r="AH334" i="3"/>
  <c r="AH333" i="3"/>
  <c r="AH332" i="3"/>
  <c r="AH331" i="3"/>
  <c r="AH330" i="3"/>
  <c r="AH329" i="3"/>
  <c r="AH328" i="3"/>
  <c r="AH321" i="3"/>
  <c r="AH291" i="3"/>
  <c r="AH281" i="3"/>
  <c r="AH275" i="3"/>
  <c r="AH265" i="3"/>
  <c r="AH264" i="3"/>
  <c r="AH263" i="3"/>
  <c r="AH262" i="3"/>
  <c r="AH261" i="3"/>
  <c r="AH260" i="3"/>
  <c r="AH259" i="3"/>
  <c r="AH258" i="3"/>
  <c r="AH257" i="3"/>
  <c r="AH256" i="3"/>
  <c r="AH255" i="3"/>
  <c r="AH254" i="3"/>
  <c r="AH253" i="3"/>
  <c r="AH252" i="3"/>
  <c r="AH251" i="3"/>
  <c r="AH250" i="3"/>
  <c r="AH249" i="3"/>
  <c r="AH248" i="3"/>
  <c r="AH247" i="3"/>
  <c r="AH246" i="3"/>
  <c r="AH245" i="3"/>
  <c r="AH244" i="3"/>
  <c r="AH243" i="3"/>
  <c r="AH242" i="3"/>
  <c r="AH241" i="3"/>
  <c r="AH240" i="3"/>
  <c r="AH239" i="3"/>
  <c r="AH238" i="3"/>
  <c r="AH237" i="3"/>
  <c r="AH236" i="3"/>
  <c r="AH235" i="3"/>
  <c r="AH234" i="3"/>
  <c r="AH233" i="3"/>
  <c r="AH232" i="3"/>
  <c r="AH231" i="3"/>
  <c r="AH230" i="3"/>
  <c r="AH229" i="3"/>
  <c r="AH228" i="3"/>
  <c r="AH227" i="3"/>
  <c r="AH226" i="3"/>
  <c r="AH225" i="3"/>
  <c r="AH224" i="3"/>
  <c r="AH223" i="3"/>
  <c r="AH222" i="3"/>
  <c r="AH221" i="3"/>
  <c r="AH220" i="3"/>
  <c r="AH219" i="3"/>
  <c r="AH218" i="3"/>
  <c r="AH217" i="3"/>
  <c r="AH216" i="3"/>
  <c r="AH215" i="3"/>
  <c r="AH214" i="3"/>
  <c r="AH213" i="3"/>
  <c r="AH212" i="3"/>
  <c r="AH211" i="3"/>
  <c r="AH210" i="3"/>
  <c r="AH209" i="3"/>
  <c r="AH208" i="3"/>
  <c r="AH207" i="3"/>
  <c r="AH206" i="3"/>
  <c r="AH205" i="3"/>
  <c r="AH204" i="3"/>
  <c r="AH203" i="3"/>
  <c r="AH202" i="3"/>
  <c r="AH201" i="3"/>
  <c r="AH200" i="3"/>
  <c r="AH199" i="3"/>
  <c r="AH198" i="3"/>
  <c r="AH197" i="3"/>
  <c r="AH196" i="3"/>
  <c r="AH195" i="3"/>
  <c r="AH194" i="3"/>
  <c r="AH193" i="3"/>
  <c r="AH192" i="3"/>
  <c r="AH191" i="3"/>
  <c r="AH190" i="3"/>
  <c r="AH189" i="3"/>
  <c r="AH188" i="3"/>
  <c r="AH187" i="3"/>
  <c r="AH186" i="3"/>
  <c r="AH185" i="3"/>
  <c r="AH184" i="3"/>
  <c r="AH183" i="3"/>
  <c r="AH182" i="3"/>
  <c r="AH181" i="3"/>
  <c r="AH180" i="3"/>
  <c r="AH179" i="3"/>
  <c r="AH178" i="3"/>
  <c r="AH177" i="3"/>
  <c r="AH176" i="3"/>
  <c r="AH175" i="3"/>
  <c r="AH174" i="3"/>
  <c r="AH173" i="3"/>
  <c r="AH172" i="3"/>
  <c r="AH171" i="3"/>
  <c r="AH170" i="3"/>
  <c r="AH169" i="3"/>
  <c r="AH168" i="3"/>
  <c r="AH167" i="3"/>
  <c r="AH166" i="3"/>
  <c r="AH165" i="3"/>
  <c r="AH164" i="3"/>
  <c r="AH163" i="3"/>
  <c r="AH162" i="3"/>
  <c r="AH161" i="3"/>
  <c r="AH160" i="3"/>
  <c r="AH159" i="3"/>
  <c r="AH158" i="3"/>
  <c r="AH157" i="3"/>
  <c r="AH156" i="3"/>
  <c r="AH155" i="3"/>
  <c r="AH154" i="3"/>
  <c r="AH153" i="3"/>
  <c r="AH152" i="3"/>
  <c r="AH151" i="3"/>
  <c r="AH150" i="3"/>
  <c r="AH149" i="3"/>
  <c r="AH148" i="3"/>
  <c r="AH147" i="3"/>
  <c r="AH146" i="3"/>
  <c r="AH145" i="3"/>
  <c r="AH144" i="3"/>
  <c r="AH143" i="3"/>
  <c r="AH142" i="3"/>
  <c r="AH141" i="3"/>
  <c r="AH140" i="3"/>
  <c r="AH139" i="3"/>
  <c r="AH138" i="3"/>
  <c r="AH137" i="3"/>
  <c r="AH136" i="3"/>
  <c r="AH135" i="3"/>
  <c r="AH134" i="3"/>
  <c r="AH133" i="3"/>
  <c r="AH132" i="3"/>
  <c r="AH131" i="3"/>
  <c r="AH130" i="3"/>
  <c r="AH129" i="3"/>
  <c r="AH128" i="3"/>
  <c r="AH127" i="3"/>
  <c r="AH126" i="3"/>
  <c r="AH125" i="3"/>
  <c r="AH124" i="3"/>
  <c r="AH123" i="3"/>
  <c r="AH122" i="3"/>
  <c r="AH121" i="3"/>
  <c r="AH120" i="3"/>
  <c r="AH119" i="3"/>
  <c r="AH118" i="3"/>
  <c r="AH117" i="3"/>
  <c r="AH116" i="3"/>
  <c r="AH115" i="3"/>
  <c r="AH114" i="3"/>
  <c r="AH113" i="3"/>
  <c r="AH112" i="3"/>
  <c r="AH111" i="3"/>
  <c r="AH110" i="3"/>
  <c r="AH109" i="3"/>
  <c r="AH108" i="3"/>
  <c r="AH107" i="3"/>
  <c r="AH106" i="3"/>
  <c r="AH105" i="3"/>
  <c r="AH104" i="3"/>
  <c r="AH103" i="3"/>
  <c r="AH102" i="3"/>
  <c r="AH101" i="3"/>
  <c r="AH100" i="3"/>
  <c r="AH99" i="3"/>
  <c r="AH98" i="3"/>
  <c r="AH97" i="3"/>
  <c r="AH96" i="3"/>
  <c r="AH95" i="3"/>
  <c r="AH94" i="3"/>
  <c r="AH93" i="3"/>
  <c r="AH92" i="3"/>
  <c r="AH91" i="3"/>
  <c r="AH90" i="3"/>
  <c r="AH89" i="3"/>
  <c r="AH88" i="3"/>
  <c r="AH87" i="3"/>
  <c r="AH86" i="3"/>
  <c r="AH85" i="3"/>
  <c r="AH84" i="3"/>
  <c r="AH83" i="3"/>
  <c r="AH82" i="3"/>
  <c r="AH81" i="3"/>
  <c r="AH80" i="3"/>
  <c r="AH79" i="3"/>
  <c r="AH78" i="3"/>
  <c r="AH77" i="3"/>
  <c r="AH76" i="3"/>
  <c r="AH75" i="3"/>
  <c r="AH74" i="3"/>
  <c r="AH73" i="3"/>
  <c r="AH72" i="3"/>
  <c r="AH71" i="3"/>
  <c r="AH70" i="3"/>
  <c r="AH69" i="3"/>
  <c r="AH68" i="3"/>
  <c r="AH67" i="3"/>
  <c r="AH66" i="3"/>
  <c r="AH65" i="3"/>
  <c r="AH64" i="3"/>
  <c r="AH63" i="3"/>
  <c r="AH62" i="3"/>
  <c r="AH46" i="3"/>
  <c r="AH45" i="3"/>
  <c r="AH44" i="3"/>
  <c r="AH43" i="3"/>
  <c r="AH42" i="3"/>
  <c r="AH41" i="3"/>
  <c r="AH40" i="3"/>
  <c r="AH38" i="3"/>
  <c r="AH37" i="3"/>
  <c r="AH36" i="3"/>
  <c r="AH28" i="3"/>
  <c r="AH13" i="3"/>
  <c r="AH12" i="3"/>
  <c r="AH11" i="3"/>
  <c r="AH10" i="3"/>
  <c r="AH9" i="3"/>
  <c r="AH8" i="3"/>
  <c r="AH7" i="3"/>
  <c r="AH6" i="3"/>
  <c r="AH5" i="3"/>
  <c r="AH4" i="3"/>
  <c r="AH3" i="3"/>
  <c r="AH2" i="3"/>
  <c r="AR347" i="3"/>
  <c r="AR39" i="3" l="1"/>
  <c r="AH39" i="3"/>
  <c r="AR14" i="3"/>
  <c r="AH14" i="3"/>
  <c r="AQ512" i="3"/>
  <c r="AQ514" i="3" s="1"/>
  <c r="AF510" i="3"/>
  <c r="AG510" i="3"/>
  <c r="AP512" i="3" l="1"/>
  <c r="AP514" i="3" s="1"/>
  <c r="AO512" i="3"/>
  <c r="AO514" i="3" s="1"/>
  <c r="S54" i="3"/>
  <c r="AR54" i="3" l="1"/>
  <c r="AH54" i="3"/>
  <c r="C10" i="10" l="1"/>
  <c r="D10" i="10"/>
  <c r="E10" i="10"/>
  <c r="B11" i="10" l="1"/>
  <c r="C86" i="12"/>
  <c r="C77" i="12"/>
  <c r="C8" i="12" s="1"/>
  <c r="C18" i="12" s="1"/>
  <c r="C72" i="12"/>
  <c r="C7" i="12" s="1"/>
  <c r="C65" i="12"/>
  <c r="C6" i="12" s="1"/>
  <c r="C15" i="12" s="1"/>
  <c r="C19" i="12" s="1"/>
  <c r="C59" i="12"/>
  <c r="C5" i="12" s="1"/>
  <c r="C52" i="12"/>
  <c r="D54" i="12" s="1"/>
  <c r="C27" i="12"/>
  <c r="C26" i="12"/>
  <c r="C25" i="12"/>
  <c r="C4" i="12" l="1"/>
  <c r="C9" i="12" s="1"/>
  <c r="C23" i="12"/>
  <c r="B32" i="10" l="1"/>
  <c r="A2" i="9"/>
  <c r="J2" i="9"/>
  <c r="D2" i="9"/>
  <c r="C2" i="9"/>
  <c r="B2" i="9"/>
  <c r="H2" i="9"/>
  <c r="I2" i="9"/>
  <c r="G2" i="9"/>
  <c r="F2" i="9"/>
  <c r="E2" i="9"/>
  <c r="V505" i="3" l="1"/>
  <c r="W505" i="3" s="1"/>
  <c r="AT505" i="3" s="1"/>
  <c r="V504" i="3"/>
  <c r="W504" i="3" s="1"/>
  <c r="AT504" i="3" s="1"/>
  <c r="V503" i="3"/>
  <c r="W503" i="3" s="1"/>
  <c r="AT503" i="3" s="1"/>
  <c r="V502" i="3"/>
  <c r="W502" i="3" s="1"/>
  <c r="AT502" i="3" s="1"/>
  <c r="V501" i="3"/>
  <c r="W501" i="3" s="1"/>
  <c r="AT501" i="3" s="1"/>
  <c r="V500" i="3"/>
  <c r="W500" i="3" s="1"/>
  <c r="AT500" i="3" s="1"/>
  <c r="V499" i="3"/>
  <c r="W499" i="3" s="1"/>
  <c r="AT499" i="3" s="1"/>
  <c r="V498" i="3"/>
  <c r="W498" i="3" s="1"/>
  <c r="AT498" i="3" s="1"/>
  <c r="V497" i="3"/>
  <c r="W497" i="3" s="1"/>
  <c r="AT497" i="3" s="1"/>
  <c r="V496" i="3"/>
  <c r="W496" i="3" s="1"/>
  <c r="AT496" i="3" s="1"/>
  <c r="V495" i="3"/>
  <c r="W495" i="3" s="1"/>
  <c r="AT495" i="3" s="1"/>
  <c r="V494" i="3"/>
  <c r="W494" i="3" s="1"/>
  <c r="AT494" i="3" s="1"/>
  <c r="V493" i="3"/>
  <c r="W493" i="3" s="1"/>
  <c r="AT493" i="3" s="1"/>
  <c r="V492" i="3"/>
  <c r="W492" i="3" s="1"/>
  <c r="AT492" i="3" s="1"/>
  <c r="V491" i="3"/>
  <c r="W491" i="3" s="1"/>
  <c r="AT491" i="3" s="1"/>
  <c r="V490" i="3"/>
  <c r="W490" i="3" s="1"/>
  <c r="AT490" i="3" s="1"/>
  <c r="AH435" i="3"/>
  <c r="AH398" i="3"/>
  <c r="AH383" i="3"/>
  <c r="AH382" i="3"/>
  <c r="AH304" i="3"/>
  <c r="V35" i="3"/>
  <c r="W35" i="3" s="1"/>
  <c r="AT35" i="3" s="1"/>
  <c r="V34" i="3"/>
  <c r="W34" i="3" s="1"/>
  <c r="AT34" i="3" s="1"/>
  <c r="V33" i="3"/>
  <c r="W33" i="3" s="1"/>
  <c r="AT33" i="3" s="1"/>
  <c r="V32" i="3"/>
  <c r="W32" i="3" s="1"/>
  <c r="AT32" i="3" s="1"/>
  <c r="V31" i="3"/>
  <c r="W31" i="3" s="1"/>
  <c r="AT31" i="3" s="1"/>
  <c r="V30" i="3"/>
  <c r="W30" i="3" s="1"/>
  <c r="AT30" i="3" s="1"/>
  <c r="V29" i="3"/>
  <c r="W29" i="3" s="1"/>
  <c r="AT29" i="3" s="1"/>
  <c r="AR2" i="3"/>
  <c r="Q384" i="3"/>
  <c r="AS384" i="3" l="1"/>
  <c r="AH504" i="3"/>
  <c r="AH497" i="3"/>
  <c r="AH505" i="3"/>
  <c r="AH490" i="3"/>
  <c r="AH498" i="3"/>
  <c r="AH491" i="3"/>
  <c r="AH499" i="3"/>
  <c r="AH496" i="3"/>
  <c r="AH500" i="3"/>
  <c r="AH493" i="3"/>
  <c r="AH501" i="3"/>
  <c r="AH492" i="3"/>
  <c r="AH494" i="3"/>
  <c r="AH502" i="3"/>
  <c r="AH495" i="3"/>
  <c r="AH503" i="3"/>
  <c r="AH33" i="3"/>
  <c r="AH32" i="3"/>
  <c r="AH35" i="3"/>
  <c r="AH29" i="3"/>
  <c r="AH34" i="3"/>
  <c r="AH30" i="3"/>
  <c r="AH31" i="3"/>
  <c r="AR138" i="3"/>
  <c r="AR63" i="3"/>
  <c r="AR95" i="3"/>
  <c r="AR127" i="3"/>
  <c r="AR160" i="3"/>
  <c r="AR192" i="3"/>
  <c r="AR224" i="3"/>
  <c r="AR240" i="3"/>
  <c r="AR330" i="3"/>
  <c r="AR29" i="3"/>
  <c r="AR64" i="3"/>
  <c r="AR88" i="3"/>
  <c r="AR120" i="3"/>
  <c r="AR136" i="3"/>
  <c r="AR145" i="3"/>
  <c r="AR161" i="3"/>
  <c r="AR177" i="3"/>
  <c r="AR201" i="3"/>
  <c r="AR209" i="3"/>
  <c r="AR217" i="3"/>
  <c r="AR225" i="3"/>
  <c r="AR233" i="3"/>
  <c r="AR241" i="3"/>
  <c r="AR249" i="3"/>
  <c r="AR257" i="3"/>
  <c r="AR265" i="3"/>
  <c r="AR331" i="3"/>
  <c r="AR339" i="3"/>
  <c r="AR8" i="3"/>
  <c r="AR37" i="3"/>
  <c r="AR30" i="3"/>
  <c r="AR493" i="3"/>
  <c r="AR501" i="3"/>
  <c r="AR3" i="3"/>
  <c r="AR65" i="3"/>
  <c r="AR73" i="3"/>
  <c r="AR81" i="3"/>
  <c r="AR89" i="3"/>
  <c r="AR97" i="3"/>
  <c r="AR105" i="3"/>
  <c r="AR113" i="3"/>
  <c r="AR121" i="3"/>
  <c r="AR129" i="3"/>
  <c r="AR137" i="3"/>
  <c r="AR146" i="3"/>
  <c r="AR154" i="3"/>
  <c r="AR162" i="3"/>
  <c r="AR170" i="3"/>
  <c r="AR178" i="3"/>
  <c r="AR186" i="3"/>
  <c r="AR194" i="3"/>
  <c r="AR202" i="3"/>
  <c r="AR210" i="3"/>
  <c r="AR218" i="3"/>
  <c r="AR226" i="3"/>
  <c r="AR234" i="3"/>
  <c r="AR242" i="3"/>
  <c r="AR250" i="3"/>
  <c r="AR258" i="3"/>
  <c r="AR275" i="3"/>
  <c r="AR332" i="3"/>
  <c r="AR340" i="3"/>
  <c r="AR6" i="3"/>
  <c r="AR103" i="3"/>
  <c r="AR152" i="3"/>
  <c r="AR200" i="3"/>
  <c r="AR256" i="3"/>
  <c r="AR7" i="3"/>
  <c r="AR492" i="3"/>
  <c r="AR96" i="3"/>
  <c r="AR185" i="3"/>
  <c r="AR31" i="3"/>
  <c r="AR494" i="3"/>
  <c r="AR66" i="3"/>
  <c r="AR90" i="3"/>
  <c r="AR106" i="3"/>
  <c r="AR139" i="3"/>
  <c r="AR147" i="3"/>
  <c r="AR163" i="3"/>
  <c r="AR187" i="3"/>
  <c r="AR203" i="3"/>
  <c r="AR211" i="3"/>
  <c r="AR219" i="3"/>
  <c r="AR227" i="3"/>
  <c r="AR235" i="3"/>
  <c r="AR243" i="3"/>
  <c r="AR251" i="3"/>
  <c r="AR341" i="3"/>
  <c r="AR10" i="3"/>
  <c r="AR40" i="3"/>
  <c r="AR32" i="3"/>
  <c r="AR383" i="3"/>
  <c r="AR495" i="3"/>
  <c r="AR503" i="3"/>
  <c r="AR42" i="3"/>
  <c r="AR67" i="3"/>
  <c r="AR75" i="3"/>
  <c r="AR83" i="3"/>
  <c r="AR91" i="3"/>
  <c r="AR99" i="3"/>
  <c r="AR107" i="3"/>
  <c r="AR115" i="3"/>
  <c r="AR123" i="3"/>
  <c r="AR131" i="3"/>
  <c r="AR140" i="3"/>
  <c r="AR148" i="3"/>
  <c r="AR156" i="3"/>
  <c r="AR164" i="3"/>
  <c r="AR172" i="3"/>
  <c r="AR180" i="3"/>
  <c r="AR188" i="3"/>
  <c r="AR196" i="3"/>
  <c r="AR204" i="3"/>
  <c r="AR212" i="3"/>
  <c r="AR220" i="3"/>
  <c r="AR228" i="3"/>
  <c r="AR236" i="3"/>
  <c r="AR244" i="3"/>
  <c r="AR252" i="3"/>
  <c r="AR260" i="3"/>
  <c r="AR291" i="3"/>
  <c r="AR334" i="3"/>
  <c r="AR342" i="3"/>
  <c r="AR87" i="3"/>
  <c r="AR135" i="3"/>
  <c r="AR184" i="3"/>
  <c r="AR264" i="3"/>
  <c r="AR304" i="3"/>
  <c r="AR80" i="3"/>
  <c r="AR128" i="3"/>
  <c r="AR169" i="3"/>
  <c r="AR9" i="3"/>
  <c r="AR4" i="3"/>
  <c r="AR114" i="3"/>
  <c r="AR171" i="3"/>
  <c r="AR281" i="3"/>
  <c r="AR11" i="3"/>
  <c r="AR41" i="3"/>
  <c r="AR33" i="3"/>
  <c r="AR398" i="3"/>
  <c r="AR496" i="3"/>
  <c r="AR504" i="3"/>
  <c r="AR45" i="3"/>
  <c r="AR68" i="3"/>
  <c r="AR76" i="3"/>
  <c r="AR84" i="3"/>
  <c r="AR92" i="3"/>
  <c r="AR100" i="3"/>
  <c r="AR108" i="3"/>
  <c r="AR116" i="3"/>
  <c r="AR124" i="3"/>
  <c r="AR132" i="3"/>
  <c r="AR141" i="3"/>
  <c r="AR149" i="3"/>
  <c r="AR157" i="3"/>
  <c r="AR165" i="3"/>
  <c r="AR173" i="3"/>
  <c r="AR181" i="3"/>
  <c r="AR189" i="3"/>
  <c r="AR197" i="3"/>
  <c r="AR205" i="3"/>
  <c r="AR213" i="3"/>
  <c r="AR221" i="3"/>
  <c r="AR229" i="3"/>
  <c r="AR237" i="3"/>
  <c r="AR245" i="3"/>
  <c r="AR253" i="3"/>
  <c r="AR261" i="3"/>
  <c r="AR321" i="3"/>
  <c r="AR335" i="3"/>
  <c r="AR343" i="3"/>
  <c r="AR491" i="3"/>
  <c r="AR71" i="3"/>
  <c r="AR111" i="3"/>
  <c r="AR144" i="3"/>
  <c r="AR176" i="3"/>
  <c r="AR208" i="3"/>
  <c r="AR232" i="3"/>
  <c r="AR338" i="3"/>
  <c r="AR36" i="3"/>
  <c r="AR72" i="3"/>
  <c r="AR112" i="3"/>
  <c r="AR153" i="3"/>
  <c r="AR38" i="3"/>
  <c r="AR74" i="3"/>
  <c r="AR122" i="3"/>
  <c r="AR179" i="3"/>
  <c r="AR333" i="3"/>
  <c r="AR12" i="3"/>
  <c r="AR43" i="3"/>
  <c r="AR34" i="3"/>
  <c r="AR435" i="3"/>
  <c r="AR497" i="3"/>
  <c r="AR505" i="3"/>
  <c r="AR46" i="3"/>
  <c r="AR69" i="3"/>
  <c r="AR77" i="3"/>
  <c r="AR85" i="3"/>
  <c r="AR93" i="3"/>
  <c r="AR101" i="3"/>
  <c r="AR109" i="3"/>
  <c r="AR117" i="3"/>
  <c r="AR125" i="3"/>
  <c r="AR133" i="3"/>
  <c r="AR142" i="3"/>
  <c r="AR150" i="3"/>
  <c r="AR158" i="3"/>
  <c r="AR166" i="3"/>
  <c r="AR174" i="3"/>
  <c r="AR182" i="3"/>
  <c r="AR190" i="3"/>
  <c r="AR198" i="3"/>
  <c r="AR206" i="3"/>
  <c r="AR214" i="3"/>
  <c r="AR222" i="3"/>
  <c r="AR230" i="3"/>
  <c r="AR238" i="3"/>
  <c r="AR246" i="3"/>
  <c r="AR254" i="3"/>
  <c r="AR262" i="3"/>
  <c r="AR328" i="3"/>
  <c r="AR336" i="3"/>
  <c r="AR28" i="3"/>
  <c r="AR499" i="3"/>
  <c r="AR79" i="3"/>
  <c r="AR119" i="3"/>
  <c r="AR168" i="3"/>
  <c r="AR216" i="3"/>
  <c r="AR248" i="3"/>
  <c r="AR500" i="3"/>
  <c r="AR104" i="3"/>
  <c r="AR193" i="3"/>
  <c r="AR382" i="3"/>
  <c r="AR502" i="3"/>
  <c r="AR82" i="3"/>
  <c r="AR98" i="3"/>
  <c r="AR130" i="3"/>
  <c r="AR155" i="3"/>
  <c r="AR195" i="3"/>
  <c r="AR259" i="3"/>
  <c r="AR5" i="3"/>
  <c r="AR13" i="3"/>
  <c r="AR44" i="3"/>
  <c r="AR35" i="3"/>
  <c r="AR490" i="3"/>
  <c r="AR498" i="3"/>
  <c r="AR62" i="3"/>
  <c r="AR70" i="3"/>
  <c r="AR78" i="3"/>
  <c r="AR86" i="3"/>
  <c r="AR94" i="3"/>
  <c r="AR102" i="3"/>
  <c r="AR110" i="3"/>
  <c r="AR118" i="3"/>
  <c r="AR126" i="3"/>
  <c r="AR134" i="3"/>
  <c r="AR143" i="3"/>
  <c r="AR151" i="3"/>
  <c r="AR159" i="3"/>
  <c r="AR167" i="3"/>
  <c r="AR175" i="3"/>
  <c r="AR183" i="3"/>
  <c r="AR191" i="3"/>
  <c r="AR199" i="3"/>
  <c r="AR207" i="3"/>
  <c r="AR215" i="3"/>
  <c r="AR223" i="3"/>
  <c r="AR231" i="3"/>
  <c r="AR239" i="3"/>
  <c r="AR247" i="3"/>
  <c r="AR255" i="3"/>
  <c r="AR263" i="3"/>
  <c r="AR329" i="3"/>
  <c r="AR337" i="3"/>
  <c r="O384" i="3"/>
  <c r="A2" i="8" l="1"/>
  <c r="A2" i="7"/>
  <c r="E2" i="8"/>
  <c r="F2" i="8"/>
  <c r="G2" i="8"/>
  <c r="J2" i="6"/>
  <c r="D2" i="7"/>
  <c r="B2" i="7"/>
  <c r="F2" i="7"/>
  <c r="E2" i="7"/>
  <c r="C2" i="8"/>
  <c r="D2" i="8"/>
  <c r="C2" i="7"/>
  <c r="A2" i="6" l="1"/>
  <c r="A2" i="5"/>
  <c r="I2" i="6"/>
  <c r="I2" i="5"/>
  <c r="G2" i="5"/>
  <c r="E2" i="6"/>
  <c r="E2" i="5"/>
  <c r="F2" i="6"/>
  <c r="D2" i="5"/>
  <c r="H2" i="6"/>
  <c r="F2" i="5"/>
  <c r="B2" i="6"/>
  <c r="H2" i="5"/>
  <c r="J2" i="5"/>
  <c r="C2" i="5"/>
  <c r="G2" i="6"/>
  <c r="D2" i="6"/>
  <c r="K2" i="5"/>
  <c r="C2" i="6"/>
  <c r="AF516" i="3" l="1"/>
  <c r="L510" i="3"/>
  <c r="M510" i="3"/>
  <c r="P510" i="3"/>
  <c r="R510" i="3"/>
  <c r="T510" i="3"/>
  <c r="Y510" i="3"/>
  <c r="J510" i="3"/>
  <c r="K510" i="3"/>
  <c r="AF53" i="4"/>
  <c r="AD53" i="4"/>
  <c r="AD510" i="3" l="1"/>
  <c r="AD516" i="3" s="1"/>
  <c r="AB510" i="3"/>
  <c r="AC510" i="3"/>
  <c r="AC516" i="3" s="1"/>
  <c r="AA510" i="3"/>
  <c r="AE53" i="4"/>
  <c r="AB53" i="4"/>
  <c r="AC53" i="4"/>
  <c r="I510" i="3"/>
  <c r="AA516" i="3" l="1"/>
  <c r="AJ512" i="3"/>
  <c r="AJ514" i="3" s="1"/>
  <c r="AE510" i="3"/>
  <c r="AE516" i="3" s="1"/>
  <c r="J53" i="4"/>
  <c r="K53" i="4"/>
  <c r="L53" i="4"/>
  <c r="M53" i="4"/>
  <c r="N53" i="4"/>
  <c r="S52" i="4"/>
  <c r="W52" i="4" s="1"/>
  <c r="AA52" i="4" s="1"/>
  <c r="S51" i="4"/>
  <c r="W51" i="4" s="1"/>
  <c r="AA51" i="4" s="1"/>
  <c r="S49" i="4"/>
  <c r="W49" i="4" s="1"/>
  <c r="AA49" i="4" s="1"/>
  <c r="S48" i="4"/>
  <c r="W48" i="4" s="1"/>
  <c r="AA48" i="4" s="1"/>
  <c r="S47" i="4"/>
  <c r="W47" i="4" s="1"/>
  <c r="AA47" i="4" s="1"/>
  <c r="S46" i="4"/>
  <c r="W46" i="4" s="1"/>
  <c r="AA46" i="4" s="1"/>
  <c r="S45" i="4"/>
  <c r="W45" i="4" s="1"/>
  <c r="AA45" i="4" s="1"/>
  <c r="S44" i="4"/>
  <c r="W44" i="4" s="1"/>
  <c r="AA44" i="4" s="1"/>
  <c r="S43" i="4"/>
  <c r="W43" i="4" s="1"/>
  <c r="AA43" i="4" s="1"/>
  <c r="S42" i="4"/>
  <c r="W42" i="4" s="1"/>
  <c r="AA42" i="4" s="1"/>
  <c r="S41" i="4"/>
  <c r="W41" i="4" s="1"/>
  <c r="AA41" i="4" s="1"/>
  <c r="S40" i="4"/>
  <c r="W40" i="4" s="1"/>
  <c r="AA40" i="4" s="1"/>
  <c r="S39" i="4"/>
  <c r="W39" i="4" s="1"/>
  <c r="AA39" i="4" s="1"/>
  <c r="S38" i="4"/>
  <c r="S37" i="4"/>
  <c r="W37" i="4" s="1"/>
  <c r="AA37" i="4" s="1"/>
  <c r="S36" i="4"/>
  <c r="W36" i="4" s="1"/>
  <c r="AA36" i="4" s="1"/>
  <c r="S35" i="4"/>
  <c r="W35" i="4" s="1"/>
  <c r="AA35" i="4" s="1"/>
  <c r="S34" i="4"/>
  <c r="W34" i="4" s="1"/>
  <c r="AA34" i="4" s="1"/>
  <c r="S33" i="4"/>
  <c r="AA33" i="4" s="1"/>
  <c r="S32" i="4"/>
  <c r="S31" i="4"/>
  <c r="S30" i="4"/>
  <c r="W30" i="4" s="1"/>
  <c r="AA30" i="4" s="1"/>
  <c r="S29" i="4"/>
  <c r="S28" i="4"/>
  <c r="W28" i="4" s="1"/>
  <c r="AA28" i="4" s="1"/>
  <c r="S27" i="4"/>
  <c r="W27" i="4" s="1"/>
  <c r="AA27" i="4" s="1"/>
  <c r="S26" i="4"/>
  <c r="W26" i="4" s="1"/>
  <c r="AA26" i="4" s="1"/>
  <c r="S25" i="4"/>
  <c r="W25" i="4" s="1"/>
  <c r="AA25" i="4" s="1"/>
  <c r="S24" i="4"/>
  <c r="W24" i="4" s="1"/>
  <c r="AA24" i="4" s="1"/>
  <c r="S23" i="4"/>
  <c r="W23" i="4" s="1"/>
  <c r="AA23" i="4" s="1"/>
  <c r="S22" i="4"/>
  <c r="W22" i="4" s="1"/>
  <c r="AA22" i="4" s="1"/>
  <c r="S21" i="4"/>
  <c r="W21" i="4" s="1"/>
  <c r="AA21" i="4" s="1"/>
  <c r="S20" i="4"/>
  <c r="W20" i="4" s="1"/>
  <c r="AA20" i="4" s="1"/>
  <c r="S19" i="4"/>
  <c r="W19" i="4" s="1"/>
  <c r="AA19" i="4" s="1"/>
  <c r="S18" i="4"/>
  <c r="W18" i="4" s="1"/>
  <c r="AA18" i="4" s="1"/>
  <c r="S17" i="4"/>
  <c r="W17" i="4" s="1"/>
  <c r="AA17" i="4" s="1"/>
  <c r="S16" i="4"/>
  <c r="W16" i="4" s="1"/>
  <c r="AA16" i="4" s="1"/>
  <c r="S15" i="4"/>
  <c r="W15" i="4" s="1"/>
  <c r="AA15" i="4" s="1"/>
  <c r="S14" i="4"/>
  <c r="W14" i="4" s="1"/>
  <c r="AA14" i="4" s="1"/>
  <c r="S13" i="4"/>
  <c r="W13" i="4" s="1"/>
  <c r="AA13" i="4" s="1"/>
  <c r="S12" i="4"/>
  <c r="W12" i="4" s="1"/>
  <c r="AA12" i="4" s="1"/>
  <c r="S11" i="4"/>
  <c r="W11" i="4" s="1"/>
  <c r="AA11" i="4" s="1"/>
  <c r="S10" i="4"/>
  <c r="W10" i="4" s="1"/>
  <c r="AA10" i="4" s="1"/>
  <c r="S9" i="4"/>
  <c r="W9" i="4" s="1"/>
  <c r="AA9" i="4" s="1"/>
  <c r="S8" i="4"/>
  <c r="W8" i="4" s="1"/>
  <c r="AA8" i="4" s="1"/>
  <c r="S7" i="4"/>
  <c r="W7" i="4" s="1"/>
  <c r="AA7" i="4" s="1"/>
  <c r="S6" i="4"/>
  <c r="W6" i="4" s="1"/>
  <c r="AA6" i="4" s="1"/>
  <c r="S5" i="4"/>
  <c r="W5" i="4" s="1"/>
  <c r="AA5" i="4" s="1"/>
  <c r="S4" i="4"/>
  <c r="W4" i="4" s="1"/>
  <c r="S3" i="4"/>
  <c r="S2" i="4"/>
  <c r="W2" i="4" s="1"/>
  <c r="AA2" i="4" s="1"/>
  <c r="N489" i="3"/>
  <c r="S489" i="3" s="1"/>
  <c r="V489" i="3" s="1"/>
  <c r="W489" i="3" s="1"/>
  <c r="AT489" i="3" s="1"/>
  <c r="N488" i="3"/>
  <c r="S488" i="3" s="1"/>
  <c r="V488" i="3" s="1"/>
  <c r="W488" i="3" s="1"/>
  <c r="AT488" i="3" s="1"/>
  <c r="N487" i="3"/>
  <c r="S487" i="3" s="1"/>
  <c r="V487" i="3" s="1"/>
  <c r="W487" i="3" s="1"/>
  <c r="AT487" i="3" s="1"/>
  <c r="N486" i="3"/>
  <c r="S486" i="3" s="1"/>
  <c r="V486" i="3" s="1"/>
  <c r="W486" i="3" s="1"/>
  <c r="AT486" i="3" s="1"/>
  <c r="N485" i="3"/>
  <c r="S485" i="3" s="1"/>
  <c r="V485" i="3" s="1"/>
  <c r="W485" i="3" s="1"/>
  <c r="AT485" i="3" s="1"/>
  <c r="N484" i="3"/>
  <c r="S484" i="3" s="1"/>
  <c r="V484" i="3" s="1"/>
  <c r="W484" i="3" s="1"/>
  <c r="AT484" i="3" s="1"/>
  <c r="N483" i="3"/>
  <c r="S483" i="3" s="1"/>
  <c r="V483" i="3" s="1"/>
  <c r="W483" i="3" s="1"/>
  <c r="AT483" i="3" s="1"/>
  <c r="N482" i="3"/>
  <c r="S482" i="3" s="1"/>
  <c r="V482" i="3" s="1"/>
  <c r="W482" i="3" s="1"/>
  <c r="AT482" i="3" s="1"/>
  <c r="N481" i="3"/>
  <c r="S481" i="3" s="1"/>
  <c r="V481" i="3" s="1"/>
  <c r="W481" i="3" s="1"/>
  <c r="AT481" i="3" s="1"/>
  <c r="N480" i="3"/>
  <c r="S480" i="3" s="1"/>
  <c r="V480" i="3" s="1"/>
  <c r="W480" i="3" s="1"/>
  <c r="AT480" i="3" s="1"/>
  <c r="N479" i="3"/>
  <c r="S479" i="3" s="1"/>
  <c r="V479" i="3" s="1"/>
  <c r="W479" i="3" s="1"/>
  <c r="AT479" i="3" s="1"/>
  <c r="N478" i="3"/>
  <c r="S478" i="3" s="1"/>
  <c r="V478" i="3" s="1"/>
  <c r="W478" i="3" s="1"/>
  <c r="AT478" i="3" s="1"/>
  <c r="N477" i="3"/>
  <c r="S477" i="3" s="1"/>
  <c r="V477" i="3" s="1"/>
  <c r="W477" i="3" s="1"/>
  <c r="AT477" i="3" s="1"/>
  <c r="N476" i="3"/>
  <c r="S476" i="3" s="1"/>
  <c r="V476" i="3" s="1"/>
  <c r="W476" i="3" s="1"/>
  <c r="AT476" i="3" s="1"/>
  <c r="N475" i="3"/>
  <c r="S475" i="3" s="1"/>
  <c r="V475" i="3" s="1"/>
  <c r="W475" i="3" s="1"/>
  <c r="AT475" i="3" s="1"/>
  <c r="N474" i="3"/>
  <c r="S474" i="3" s="1"/>
  <c r="V474" i="3" s="1"/>
  <c r="W474" i="3" s="1"/>
  <c r="AT474" i="3" s="1"/>
  <c r="N473" i="3"/>
  <c r="S473" i="3" s="1"/>
  <c r="V473" i="3" s="1"/>
  <c r="W473" i="3" s="1"/>
  <c r="AT473" i="3" s="1"/>
  <c r="N472" i="3"/>
  <c r="S472" i="3" s="1"/>
  <c r="V472" i="3" s="1"/>
  <c r="W472" i="3" s="1"/>
  <c r="AT472" i="3" s="1"/>
  <c r="N471" i="3"/>
  <c r="S471" i="3" s="1"/>
  <c r="V471" i="3" s="1"/>
  <c r="W471" i="3" s="1"/>
  <c r="AT471" i="3" s="1"/>
  <c r="N470" i="3"/>
  <c r="S470" i="3" s="1"/>
  <c r="V470" i="3" s="1"/>
  <c r="W470" i="3" s="1"/>
  <c r="AT470" i="3" s="1"/>
  <c r="N469" i="3"/>
  <c r="S469" i="3" s="1"/>
  <c r="V469" i="3" s="1"/>
  <c r="W469" i="3" s="1"/>
  <c r="AT469" i="3" s="1"/>
  <c r="N468" i="3"/>
  <c r="N467" i="3"/>
  <c r="S467" i="3" s="1"/>
  <c r="V467" i="3" s="1"/>
  <c r="W467" i="3" s="1"/>
  <c r="AT467" i="3" s="1"/>
  <c r="N466" i="3"/>
  <c r="S466" i="3" s="1"/>
  <c r="V466" i="3" s="1"/>
  <c r="W466" i="3" s="1"/>
  <c r="AT466" i="3" s="1"/>
  <c r="N465" i="3"/>
  <c r="S465" i="3" s="1"/>
  <c r="V465" i="3" s="1"/>
  <c r="W465" i="3" s="1"/>
  <c r="AT465" i="3" s="1"/>
  <c r="N464" i="3"/>
  <c r="S464" i="3" s="1"/>
  <c r="V464" i="3" s="1"/>
  <c r="W464" i="3" s="1"/>
  <c r="AT464" i="3" s="1"/>
  <c r="N463" i="3"/>
  <c r="S463" i="3" s="1"/>
  <c r="V463" i="3" s="1"/>
  <c r="W463" i="3" s="1"/>
  <c r="AT463" i="3" s="1"/>
  <c r="N462" i="3"/>
  <c r="S462" i="3" s="1"/>
  <c r="V462" i="3" s="1"/>
  <c r="W462" i="3" s="1"/>
  <c r="AT462" i="3" s="1"/>
  <c r="N461" i="3"/>
  <c r="S461" i="3" s="1"/>
  <c r="V461" i="3" s="1"/>
  <c r="W461" i="3" s="1"/>
  <c r="AT461" i="3" s="1"/>
  <c r="N460" i="3"/>
  <c r="S460" i="3" s="1"/>
  <c r="V460" i="3" s="1"/>
  <c r="W460" i="3" s="1"/>
  <c r="AT460" i="3" s="1"/>
  <c r="N459" i="3"/>
  <c r="S459" i="3" s="1"/>
  <c r="V459" i="3" s="1"/>
  <c r="W459" i="3" s="1"/>
  <c r="AT459" i="3" s="1"/>
  <c r="N458" i="3"/>
  <c r="S458" i="3" s="1"/>
  <c r="V458" i="3" s="1"/>
  <c r="W458" i="3" s="1"/>
  <c r="AT458" i="3" s="1"/>
  <c r="N457" i="3"/>
  <c r="S457" i="3" s="1"/>
  <c r="V457" i="3" s="1"/>
  <c r="W457" i="3" s="1"/>
  <c r="AT457" i="3" s="1"/>
  <c r="N456" i="3"/>
  <c r="S456" i="3" s="1"/>
  <c r="V456" i="3" s="1"/>
  <c r="W456" i="3" s="1"/>
  <c r="AT456" i="3" s="1"/>
  <c r="N455" i="3"/>
  <c r="S455" i="3" s="1"/>
  <c r="V455" i="3" s="1"/>
  <c r="W455" i="3" s="1"/>
  <c r="AT455" i="3" s="1"/>
  <c r="N454" i="3"/>
  <c r="S454" i="3" s="1"/>
  <c r="V454" i="3" s="1"/>
  <c r="W454" i="3" s="1"/>
  <c r="AT454" i="3" s="1"/>
  <c r="N453" i="3"/>
  <c r="S453" i="3" s="1"/>
  <c r="V453" i="3" s="1"/>
  <c r="W453" i="3" s="1"/>
  <c r="AT453" i="3" s="1"/>
  <c r="N452" i="3"/>
  <c r="S452" i="3" s="1"/>
  <c r="V452" i="3" s="1"/>
  <c r="W452" i="3" s="1"/>
  <c r="AT452" i="3" s="1"/>
  <c r="N451" i="3"/>
  <c r="S451" i="3" s="1"/>
  <c r="V451" i="3" s="1"/>
  <c r="W451" i="3" s="1"/>
  <c r="AT451" i="3" s="1"/>
  <c r="N450" i="3"/>
  <c r="S450" i="3" s="1"/>
  <c r="V450" i="3" s="1"/>
  <c r="W450" i="3" s="1"/>
  <c r="AT450" i="3" s="1"/>
  <c r="N449" i="3"/>
  <c r="S449" i="3" s="1"/>
  <c r="N448" i="3"/>
  <c r="S448" i="3" s="1"/>
  <c r="N447" i="3"/>
  <c r="S447" i="3" s="1"/>
  <c r="N446" i="3"/>
  <c r="S446" i="3" s="1"/>
  <c r="V446" i="3" s="1"/>
  <c r="W446" i="3" s="1"/>
  <c r="AT446" i="3" s="1"/>
  <c r="N445" i="3"/>
  <c r="S445" i="3" s="1"/>
  <c r="V445" i="3" s="1"/>
  <c r="W445" i="3" s="1"/>
  <c r="AT445" i="3" s="1"/>
  <c r="N444" i="3"/>
  <c r="S444" i="3" s="1"/>
  <c r="V444" i="3" s="1"/>
  <c r="W444" i="3" s="1"/>
  <c r="AT444" i="3" s="1"/>
  <c r="N443" i="3"/>
  <c r="S443" i="3" s="1"/>
  <c r="V443" i="3" s="1"/>
  <c r="W443" i="3" s="1"/>
  <c r="AT443" i="3" s="1"/>
  <c r="N442" i="3"/>
  <c r="S442" i="3" s="1"/>
  <c r="V442" i="3" s="1"/>
  <c r="W442" i="3" s="1"/>
  <c r="AT442" i="3" s="1"/>
  <c r="N441" i="3"/>
  <c r="S441" i="3" s="1"/>
  <c r="V441" i="3" s="1"/>
  <c r="W441" i="3" s="1"/>
  <c r="AT441" i="3" s="1"/>
  <c r="N440" i="3"/>
  <c r="S440" i="3" s="1"/>
  <c r="V440" i="3" s="1"/>
  <c r="W440" i="3" s="1"/>
  <c r="AT440" i="3" s="1"/>
  <c r="N439" i="3"/>
  <c r="S439" i="3" s="1"/>
  <c r="V439" i="3" s="1"/>
  <c r="W439" i="3" s="1"/>
  <c r="AT439" i="3" s="1"/>
  <c r="N438" i="3"/>
  <c r="S438" i="3" s="1"/>
  <c r="V438" i="3" s="1"/>
  <c r="W438" i="3" s="1"/>
  <c r="AT438" i="3" s="1"/>
  <c r="N437" i="3"/>
  <c r="S437" i="3" s="1"/>
  <c r="V437" i="3" s="1"/>
  <c r="W437" i="3" s="1"/>
  <c r="AT437" i="3" s="1"/>
  <c r="N436" i="3"/>
  <c r="S436" i="3" s="1"/>
  <c r="V436" i="3" s="1"/>
  <c r="W436" i="3" s="1"/>
  <c r="AT436" i="3" s="1"/>
  <c r="N435" i="3"/>
  <c r="N434" i="3"/>
  <c r="S434" i="3" s="1"/>
  <c r="V434" i="3" s="1"/>
  <c r="W434" i="3" s="1"/>
  <c r="AT434" i="3" s="1"/>
  <c r="N433" i="3"/>
  <c r="S433" i="3" s="1"/>
  <c r="V433" i="3" s="1"/>
  <c r="W433" i="3" s="1"/>
  <c r="AT433" i="3" s="1"/>
  <c r="N432" i="3"/>
  <c r="S432" i="3" s="1"/>
  <c r="V432" i="3" s="1"/>
  <c r="W432" i="3" s="1"/>
  <c r="AT432" i="3" s="1"/>
  <c r="N431" i="3"/>
  <c r="S431" i="3" s="1"/>
  <c r="V431" i="3" s="1"/>
  <c r="W431" i="3" s="1"/>
  <c r="AT431" i="3" s="1"/>
  <c r="N430" i="3"/>
  <c r="S430" i="3" s="1"/>
  <c r="V430" i="3" s="1"/>
  <c r="W430" i="3" s="1"/>
  <c r="AT430" i="3" s="1"/>
  <c r="N429" i="3"/>
  <c r="S429" i="3" s="1"/>
  <c r="V429" i="3" s="1"/>
  <c r="W429" i="3" s="1"/>
  <c r="AT429" i="3" s="1"/>
  <c r="N428" i="3"/>
  <c r="S428" i="3" s="1"/>
  <c r="V428" i="3" s="1"/>
  <c r="W428" i="3" s="1"/>
  <c r="AT428" i="3" s="1"/>
  <c r="N427" i="3"/>
  <c r="S427" i="3" s="1"/>
  <c r="N426" i="3"/>
  <c r="S426" i="3" s="1"/>
  <c r="V426" i="3" s="1"/>
  <c r="W426" i="3" s="1"/>
  <c r="AT426" i="3" s="1"/>
  <c r="N425" i="3"/>
  <c r="S425" i="3" s="1"/>
  <c r="V425" i="3" s="1"/>
  <c r="W425" i="3" s="1"/>
  <c r="AT425" i="3" s="1"/>
  <c r="N424" i="3"/>
  <c r="S424" i="3" s="1"/>
  <c r="V424" i="3" s="1"/>
  <c r="W424" i="3" s="1"/>
  <c r="AT424" i="3" s="1"/>
  <c r="N423" i="3"/>
  <c r="S423" i="3" s="1"/>
  <c r="V423" i="3" s="1"/>
  <c r="W423" i="3" s="1"/>
  <c r="AT423" i="3" s="1"/>
  <c r="N422" i="3"/>
  <c r="S422" i="3" s="1"/>
  <c r="V422" i="3" s="1"/>
  <c r="W422" i="3" s="1"/>
  <c r="AT422" i="3" s="1"/>
  <c r="N421" i="3"/>
  <c r="S421" i="3" s="1"/>
  <c r="V421" i="3" s="1"/>
  <c r="W421" i="3" s="1"/>
  <c r="AT421" i="3" s="1"/>
  <c r="N420" i="3"/>
  <c r="S420" i="3" s="1"/>
  <c r="V420" i="3" s="1"/>
  <c r="W420" i="3" s="1"/>
  <c r="AT420" i="3" s="1"/>
  <c r="N419" i="3"/>
  <c r="S419" i="3" s="1"/>
  <c r="V419" i="3" s="1"/>
  <c r="W419" i="3" s="1"/>
  <c r="AT419" i="3" s="1"/>
  <c r="N418" i="3"/>
  <c r="S418" i="3" s="1"/>
  <c r="V418" i="3" s="1"/>
  <c r="W418" i="3" s="1"/>
  <c r="AT418" i="3" s="1"/>
  <c r="N417" i="3"/>
  <c r="S417" i="3" s="1"/>
  <c r="V417" i="3" s="1"/>
  <c r="W417" i="3" s="1"/>
  <c r="AT417" i="3" s="1"/>
  <c r="N416" i="3"/>
  <c r="S416" i="3" s="1"/>
  <c r="V416" i="3" s="1"/>
  <c r="W416" i="3" s="1"/>
  <c r="AT416" i="3" s="1"/>
  <c r="N415" i="3"/>
  <c r="S415" i="3" s="1"/>
  <c r="V415" i="3" s="1"/>
  <c r="W415" i="3" s="1"/>
  <c r="AT415" i="3" s="1"/>
  <c r="N414" i="3"/>
  <c r="S414" i="3" s="1"/>
  <c r="V414" i="3" s="1"/>
  <c r="W414" i="3" s="1"/>
  <c r="AT414" i="3" s="1"/>
  <c r="N413" i="3"/>
  <c r="S413" i="3" s="1"/>
  <c r="V413" i="3" s="1"/>
  <c r="W413" i="3" s="1"/>
  <c r="AT413" i="3" s="1"/>
  <c r="N412" i="3"/>
  <c r="S412" i="3" s="1"/>
  <c r="V412" i="3" s="1"/>
  <c r="W412" i="3" s="1"/>
  <c r="AT412" i="3" s="1"/>
  <c r="N411" i="3"/>
  <c r="S411" i="3" s="1"/>
  <c r="V411" i="3" s="1"/>
  <c r="W411" i="3" s="1"/>
  <c r="AT411" i="3" s="1"/>
  <c r="N410" i="3"/>
  <c r="S410" i="3" s="1"/>
  <c r="V410" i="3" s="1"/>
  <c r="W410" i="3" s="1"/>
  <c r="AT410" i="3" s="1"/>
  <c r="N409" i="3"/>
  <c r="S409" i="3" s="1"/>
  <c r="V409" i="3" s="1"/>
  <c r="W409" i="3" s="1"/>
  <c r="AT409" i="3" s="1"/>
  <c r="N408" i="3"/>
  <c r="S408" i="3" s="1"/>
  <c r="V408" i="3" s="1"/>
  <c r="W408" i="3" s="1"/>
  <c r="AT408" i="3" s="1"/>
  <c r="N407" i="3"/>
  <c r="S407" i="3" s="1"/>
  <c r="V407" i="3" s="1"/>
  <c r="W407" i="3" s="1"/>
  <c r="AT407" i="3" s="1"/>
  <c r="N406" i="3"/>
  <c r="S406" i="3" s="1"/>
  <c r="V406" i="3" s="1"/>
  <c r="W406" i="3" s="1"/>
  <c r="AT406" i="3" s="1"/>
  <c r="N405" i="3"/>
  <c r="S405" i="3" s="1"/>
  <c r="V405" i="3" s="1"/>
  <c r="W405" i="3" s="1"/>
  <c r="AT405" i="3" s="1"/>
  <c r="N404" i="3"/>
  <c r="S404" i="3" s="1"/>
  <c r="V404" i="3" s="1"/>
  <c r="W404" i="3" s="1"/>
  <c r="AT404" i="3" s="1"/>
  <c r="N403" i="3"/>
  <c r="S403" i="3" s="1"/>
  <c r="V403" i="3" s="1"/>
  <c r="W403" i="3" s="1"/>
  <c r="AT403" i="3" s="1"/>
  <c r="N402" i="3"/>
  <c r="S402" i="3" s="1"/>
  <c r="V402" i="3" s="1"/>
  <c r="W402" i="3" s="1"/>
  <c r="AT402" i="3" s="1"/>
  <c r="N401" i="3"/>
  <c r="S401" i="3" s="1"/>
  <c r="V401" i="3" s="1"/>
  <c r="W401" i="3" s="1"/>
  <c r="AT401" i="3" s="1"/>
  <c r="N400" i="3"/>
  <c r="S400" i="3" s="1"/>
  <c r="V400" i="3" s="1"/>
  <c r="W400" i="3" s="1"/>
  <c r="AT400" i="3" s="1"/>
  <c r="N399" i="3"/>
  <c r="S399" i="3" s="1"/>
  <c r="V399" i="3" s="1"/>
  <c r="W399" i="3" s="1"/>
  <c r="AT399" i="3" s="1"/>
  <c r="N398" i="3"/>
  <c r="N397" i="3"/>
  <c r="S397" i="3" s="1"/>
  <c r="V397" i="3" s="1"/>
  <c r="W397" i="3" s="1"/>
  <c r="AT397" i="3" s="1"/>
  <c r="N396" i="3"/>
  <c r="S396" i="3" s="1"/>
  <c r="V396" i="3" s="1"/>
  <c r="W396" i="3" s="1"/>
  <c r="AT396" i="3" s="1"/>
  <c r="N395" i="3"/>
  <c r="S395" i="3" s="1"/>
  <c r="V395" i="3" s="1"/>
  <c r="W395" i="3" s="1"/>
  <c r="AT395" i="3" s="1"/>
  <c r="N394" i="3"/>
  <c r="S394" i="3" s="1"/>
  <c r="V394" i="3" s="1"/>
  <c r="W394" i="3" s="1"/>
  <c r="AT394" i="3" s="1"/>
  <c r="N393" i="3"/>
  <c r="S393" i="3" s="1"/>
  <c r="V393" i="3" s="1"/>
  <c r="W393" i="3" s="1"/>
  <c r="AT393" i="3" s="1"/>
  <c r="N392" i="3"/>
  <c r="S392" i="3" s="1"/>
  <c r="V392" i="3" s="1"/>
  <c r="W392" i="3" s="1"/>
  <c r="AT392" i="3" s="1"/>
  <c r="N391" i="3"/>
  <c r="S391" i="3" s="1"/>
  <c r="V391" i="3" s="1"/>
  <c r="W391" i="3" s="1"/>
  <c r="AT391" i="3" s="1"/>
  <c r="N390" i="3"/>
  <c r="S390" i="3" s="1"/>
  <c r="V390" i="3" s="1"/>
  <c r="W390" i="3" s="1"/>
  <c r="AT390" i="3" s="1"/>
  <c r="N389" i="3"/>
  <c r="S389" i="3" s="1"/>
  <c r="V389" i="3" s="1"/>
  <c r="W389" i="3" s="1"/>
  <c r="AT389" i="3" s="1"/>
  <c r="N388" i="3"/>
  <c r="S388" i="3" s="1"/>
  <c r="V388" i="3" s="1"/>
  <c r="W388" i="3" s="1"/>
  <c r="AT388" i="3" s="1"/>
  <c r="N387" i="3"/>
  <c r="S387" i="3" s="1"/>
  <c r="V387" i="3" s="1"/>
  <c r="W387" i="3" s="1"/>
  <c r="AT387" i="3" s="1"/>
  <c r="N386" i="3"/>
  <c r="S386" i="3" s="1"/>
  <c r="V386" i="3" s="1"/>
  <c r="W386" i="3" s="1"/>
  <c r="AT386" i="3" s="1"/>
  <c r="N385" i="3"/>
  <c r="S385" i="3" s="1"/>
  <c r="V385" i="3" s="1"/>
  <c r="W385" i="3" s="1"/>
  <c r="AT385" i="3" s="1"/>
  <c r="N384" i="3"/>
  <c r="N381" i="3"/>
  <c r="S381" i="3" s="1"/>
  <c r="V381" i="3" s="1"/>
  <c r="W381" i="3" s="1"/>
  <c r="AT381" i="3" s="1"/>
  <c r="N380" i="3"/>
  <c r="S380" i="3" s="1"/>
  <c r="V380" i="3" s="1"/>
  <c r="W380" i="3" s="1"/>
  <c r="AT380" i="3" s="1"/>
  <c r="N379" i="3"/>
  <c r="S379" i="3" s="1"/>
  <c r="V379" i="3" s="1"/>
  <c r="W379" i="3" s="1"/>
  <c r="AT379" i="3" s="1"/>
  <c r="N378" i="3"/>
  <c r="S378" i="3" s="1"/>
  <c r="V378" i="3" s="1"/>
  <c r="W378" i="3" s="1"/>
  <c r="AT378" i="3" s="1"/>
  <c r="N377" i="3"/>
  <c r="S377" i="3" s="1"/>
  <c r="V377" i="3" s="1"/>
  <c r="W377" i="3" s="1"/>
  <c r="AT377" i="3" s="1"/>
  <c r="N376" i="3"/>
  <c r="S376" i="3" s="1"/>
  <c r="V376" i="3" s="1"/>
  <c r="W376" i="3" s="1"/>
  <c r="AT376" i="3" s="1"/>
  <c r="N375" i="3"/>
  <c r="S375" i="3" s="1"/>
  <c r="V375" i="3" s="1"/>
  <c r="W375" i="3" s="1"/>
  <c r="AT375" i="3" s="1"/>
  <c r="N374" i="3"/>
  <c r="S374" i="3" s="1"/>
  <c r="V374" i="3" s="1"/>
  <c r="W374" i="3" s="1"/>
  <c r="AT374" i="3" s="1"/>
  <c r="N373" i="3"/>
  <c r="S373" i="3" s="1"/>
  <c r="V373" i="3" s="1"/>
  <c r="W373" i="3" s="1"/>
  <c r="AT373" i="3" s="1"/>
  <c r="N372" i="3"/>
  <c r="S372" i="3" s="1"/>
  <c r="V372" i="3" s="1"/>
  <c r="W372" i="3" s="1"/>
  <c r="AT372" i="3" s="1"/>
  <c r="N371" i="3"/>
  <c r="S371" i="3" s="1"/>
  <c r="V371" i="3" s="1"/>
  <c r="W371" i="3" s="1"/>
  <c r="AT371" i="3" s="1"/>
  <c r="N370" i="3"/>
  <c r="S370" i="3" s="1"/>
  <c r="V370" i="3" s="1"/>
  <c r="W370" i="3" s="1"/>
  <c r="AT370" i="3" s="1"/>
  <c r="N369" i="3"/>
  <c r="S369" i="3" s="1"/>
  <c r="V369" i="3" s="1"/>
  <c r="W369" i="3" s="1"/>
  <c r="AT369" i="3" s="1"/>
  <c r="N368" i="3"/>
  <c r="S368" i="3" s="1"/>
  <c r="V368" i="3" s="1"/>
  <c r="W368" i="3" s="1"/>
  <c r="AT368" i="3" s="1"/>
  <c r="N367" i="3"/>
  <c r="S367" i="3" s="1"/>
  <c r="V367" i="3" s="1"/>
  <c r="W367" i="3" s="1"/>
  <c r="AT367" i="3" s="1"/>
  <c r="N366" i="3"/>
  <c r="S366" i="3" s="1"/>
  <c r="V366" i="3" s="1"/>
  <c r="W366" i="3" s="1"/>
  <c r="AT366" i="3" s="1"/>
  <c r="N365" i="3"/>
  <c r="S365" i="3" s="1"/>
  <c r="V365" i="3" s="1"/>
  <c r="W365" i="3" s="1"/>
  <c r="AT365" i="3" s="1"/>
  <c r="N364" i="3"/>
  <c r="S364" i="3" s="1"/>
  <c r="V364" i="3" s="1"/>
  <c r="W364" i="3" s="1"/>
  <c r="AT364" i="3" s="1"/>
  <c r="N363" i="3"/>
  <c r="S363" i="3" s="1"/>
  <c r="V363" i="3" s="1"/>
  <c r="W363" i="3" s="1"/>
  <c r="AT363" i="3" s="1"/>
  <c r="N362" i="3"/>
  <c r="S362" i="3" s="1"/>
  <c r="V362" i="3" s="1"/>
  <c r="W362" i="3" s="1"/>
  <c r="AT362" i="3" s="1"/>
  <c r="N361" i="3"/>
  <c r="S361" i="3" s="1"/>
  <c r="V361" i="3" s="1"/>
  <c r="W361" i="3" s="1"/>
  <c r="AT361" i="3" s="1"/>
  <c r="N360" i="3"/>
  <c r="S360" i="3" s="1"/>
  <c r="V360" i="3" s="1"/>
  <c r="W360" i="3" s="1"/>
  <c r="AT360" i="3" s="1"/>
  <c r="N359" i="3"/>
  <c r="S359" i="3" s="1"/>
  <c r="V359" i="3" s="1"/>
  <c r="W359" i="3" s="1"/>
  <c r="AT359" i="3" s="1"/>
  <c r="N358" i="3"/>
  <c r="S358" i="3" s="1"/>
  <c r="V358" i="3" s="1"/>
  <c r="W358" i="3" s="1"/>
  <c r="AT358" i="3" s="1"/>
  <c r="N357" i="3"/>
  <c r="S357" i="3" s="1"/>
  <c r="V357" i="3" s="1"/>
  <c r="W357" i="3" s="1"/>
  <c r="AT357" i="3" s="1"/>
  <c r="N356" i="3"/>
  <c r="S356" i="3" s="1"/>
  <c r="V356" i="3" s="1"/>
  <c r="W356" i="3" s="1"/>
  <c r="AT356" i="3" s="1"/>
  <c r="N355" i="3"/>
  <c r="S355" i="3" s="1"/>
  <c r="V355" i="3" s="1"/>
  <c r="W355" i="3" s="1"/>
  <c r="AT355" i="3" s="1"/>
  <c r="N354" i="3"/>
  <c r="S354" i="3" s="1"/>
  <c r="V354" i="3" s="1"/>
  <c r="W354" i="3" s="1"/>
  <c r="AT354" i="3" s="1"/>
  <c r="N353" i="3"/>
  <c r="S353" i="3" s="1"/>
  <c r="V353" i="3" s="1"/>
  <c r="W353" i="3" s="1"/>
  <c r="AT353" i="3" s="1"/>
  <c r="N352" i="3"/>
  <c r="S352" i="3" s="1"/>
  <c r="V352" i="3" s="1"/>
  <c r="W352" i="3" s="1"/>
  <c r="AT352" i="3" s="1"/>
  <c r="N351" i="3"/>
  <c r="S351" i="3" s="1"/>
  <c r="V351" i="3" s="1"/>
  <c r="W351" i="3" s="1"/>
  <c r="AT351" i="3" s="1"/>
  <c r="N350" i="3"/>
  <c r="S350" i="3" s="1"/>
  <c r="V350" i="3" s="1"/>
  <c r="W350" i="3" s="1"/>
  <c r="AT350" i="3" s="1"/>
  <c r="N349" i="3"/>
  <c r="S349" i="3" s="1"/>
  <c r="V349" i="3" s="1"/>
  <c r="W349" i="3" s="1"/>
  <c r="AT349" i="3" s="1"/>
  <c r="N348" i="3"/>
  <c r="S348" i="3" s="1"/>
  <c r="V348" i="3" s="1"/>
  <c r="W348" i="3" s="1"/>
  <c r="AT348" i="3" s="1"/>
  <c r="N347" i="3"/>
  <c r="S347" i="3" s="1"/>
  <c r="N346" i="3"/>
  <c r="S346" i="3" s="1"/>
  <c r="V346" i="3" s="1"/>
  <c r="W346" i="3" s="1"/>
  <c r="AT346" i="3" s="1"/>
  <c r="N345" i="3"/>
  <c r="S345" i="3" s="1"/>
  <c r="V345" i="3" s="1"/>
  <c r="W345" i="3" s="1"/>
  <c r="AT345" i="3" s="1"/>
  <c r="N344" i="3"/>
  <c r="S344" i="3" s="1"/>
  <c r="V344" i="3" s="1"/>
  <c r="W344" i="3" s="1"/>
  <c r="AT344" i="3" s="1"/>
  <c r="N343" i="3"/>
  <c r="S343" i="3" s="1"/>
  <c r="N342" i="3"/>
  <c r="S342" i="3" s="1"/>
  <c r="N341" i="3"/>
  <c r="S341" i="3" s="1"/>
  <c r="N340" i="3"/>
  <c r="S340" i="3" s="1"/>
  <c r="N339" i="3"/>
  <c r="S339" i="3" s="1"/>
  <c r="N338" i="3"/>
  <c r="S338" i="3" s="1"/>
  <c r="N337" i="3"/>
  <c r="S337" i="3" s="1"/>
  <c r="N336" i="3"/>
  <c r="S336" i="3" s="1"/>
  <c r="N335" i="3"/>
  <c r="S335" i="3" s="1"/>
  <c r="N334" i="3"/>
  <c r="S334" i="3" s="1"/>
  <c r="N333" i="3"/>
  <c r="S333" i="3" s="1"/>
  <c r="N332" i="3"/>
  <c r="S332" i="3" s="1"/>
  <c r="N331" i="3"/>
  <c r="S331" i="3" s="1"/>
  <c r="N330" i="3"/>
  <c r="S330" i="3" s="1"/>
  <c r="N329" i="3"/>
  <c r="S329" i="3" s="1"/>
  <c r="N328" i="3"/>
  <c r="S328" i="3" s="1"/>
  <c r="N327" i="3"/>
  <c r="S327" i="3" s="1"/>
  <c r="N326" i="3"/>
  <c r="S326" i="3" s="1"/>
  <c r="N325" i="3"/>
  <c r="S325" i="3" s="1"/>
  <c r="V325" i="3" s="1"/>
  <c r="W325" i="3" s="1"/>
  <c r="AT325" i="3" s="1"/>
  <c r="N324" i="3"/>
  <c r="S324" i="3" s="1"/>
  <c r="V324" i="3" s="1"/>
  <c r="W324" i="3" s="1"/>
  <c r="AT324" i="3" s="1"/>
  <c r="N323" i="3"/>
  <c r="S323" i="3" s="1"/>
  <c r="V323" i="3" s="1"/>
  <c r="W323" i="3" s="1"/>
  <c r="AT323" i="3" s="1"/>
  <c r="N322" i="3"/>
  <c r="S322" i="3" s="1"/>
  <c r="V322" i="3" s="1"/>
  <c r="W322" i="3" s="1"/>
  <c r="AT322" i="3" s="1"/>
  <c r="N321" i="3"/>
  <c r="S321" i="3" s="1"/>
  <c r="N320" i="3"/>
  <c r="S320" i="3" s="1"/>
  <c r="N319" i="3"/>
  <c r="S319" i="3" s="1"/>
  <c r="V319" i="3" s="1"/>
  <c r="W319" i="3" s="1"/>
  <c r="AT319" i="3" s="1"/>
  <c r="N318" i="3"/>
  <c r="S318" i="3" s="1"/>
  <c r="N317" i="3"/>
  <c r="S317" i="3" s="1"/>
  <c r="V317" i="3" s="1"/>
  <c r="W317" i="3" s="1"/>
  <c r="AT317" i="3" s="1"/>
  <c r="N316" i="3"/>
  <c r="S316" i="3" s="1"/>
  <c r="V316" i="3" s="1"/>
  <c r="W316" i="3" s="1"/>
  <c r="AT316" i="3" s="1"/>
  <c r="N315" i="3"/>
  <c r="S315" i="3" s="1"/>
  <c r="V315" i="3" s="1"/>
  <c r="W315" i="3" s="1"/>
  <c r="AT315" i="3" s="1"/>
  <c r="N314" i="3"/>
  <c r="S314" i="3" s="1"/>
  <c r="V314" i="3" s="1"/>
  <c r="W314" i="3" s="1"/>
  <c r="AT314" i="3" s="1"/>
  <c r="N313" i="3"/>
  <c r="S313" i="3" s="1"/>
  <c r="V313" i="3" s="1"/>
  <c r="W313" i="3" s="1"/>
  <c r="AT313" i="3" s="1"/>
  <c r="N312" i="3"/>
  <c r="S312" i="3" s="1"/>
  <c r="V312" i="3" s="1"/>
  <c r="W312" i="3" s="1"/>
  <c r="AT312" i="3" s="1"/>
  <c r="N311" i="3"/>
  <c r="S311" i="3" s="1"/>
  <c r="V311" i="3" s="1"/>
  <c r="W311" i="3" s="1"/>
  <c r="AT311" i="3" s="1"/>
  <c r="N310" i="3"/>
  <c r="S310" i="3" s="1"/>
  <c r="V310" i="3" s="1"/>
  <c r="W310" i="3" s="1"/>
  <c r="AT310" i="3" s="1"/>
  <c r="N309" i="3"/>
  <c r="S309" i="3" s="1"/>
  <c r="V309" i="3" s="1"/>
  <c r="W309" i="3" s="1"/>
  <c r="AT309" i="3" s="1"/>
  <c r="N308" i="3"/>
  <c r="S308" i="3" s="1"/>
  <c r="V308" i="3" s="1"/>
  <c r="W308" i="3" s="1"/>
  <c r="AT308" i="3" s="1"/>
  <c r="N307" i="3"/>
  <c r="S307" i="3" s="1"/>
  <c r="V307" i="3" s="1"/>
  <c r="W307" i="3" s="1"/>
  <c r="AT307" i="3" s="1"/>
  <c r="N306" i="3"/>
  <c r="S306" i="3" s="1"/>
  <c r="V306" i="3" s="1"/>
  <c r="W306" i="3" s="1"/>
  <c r="AT306" i="3" s="1"/>
  <c r="N305" i="3"/>
  <c r="S305" i="3" s="1"/>
  <c r="V305" i="3" s="1"/>
  <c r="W305" i="3" s="1"/>
  <c r="AT305" i="3" s="1"/>
  <c r="N303" i="3"/>
  <c r="S303" i="3" s="1"/>
  <c r="V303" i="3" s="1"/>
  <c r="W303" i="3" s="1"/>
  <c r="AT303" i="3" s="1"/>
  <c r="N302" i="3"/>
  <c r="S302" i="3" s="1"/>
  <c r="V302" i="3" s="1"/>
  <c r="W302" i="3" s="1"/>
  <c r="AT302" i="3" s="1"/>
  <c r="N301" i="3"/>
  <c r="S301" i="3" s="1"/>
  <c r="V301" i="3" s="1"/>
  <c r="W301" i="3" s="1"/>
  <c r="AT301" i="3" s="1"/>
  <c r="N300" i="3"/>
  <c r="S300" i="3" s="1"/>
  <c r="V300" i="3" s="1"/>
  <c r="W300" i="3" s="1"/>
  <c r="AT300" i="3" s="1"/>
  <c r="N299" i="3"/>
  <c r="S299" i="3" s="1"/>
  <c r="V299" i="3" s="1"/>
  <c r="W299" i="3" s="1"/>
  <c r="AT299" i="3" s="1"/>
  <c r="N298" i="3"/>
  <c r="S298" i="3" s="1"/>
  <c r="V298" i="3" s="1"/>
  <c r="W298" i="3" s="1"/>
  <c r="AT298" i="3" s="1"/>
  <c r="N297" i="3"/>
  <c r="S297" i="3" s="1"/>
  <c r="V297" i="3" s="1"/>
  <c r="W297" i="3" s="1"/>
  <c r="AT297" i="3" s="1"/>
  <c r="N296" i="3"/>
  <c r="S296" i="3" s="1"/>
  <c r="V296" i="3" s="1"/>
  <c r="W296" i="3" s="1"/>
  <c r="AT296" i="3" s="1"/>
  <c r="N295" i="3"/>
  <c r="S295" i="3" s="1"/>
  <c r="V295" i="3" s="1"/>
  <c r="W295" i="3" s="1"/>
  <c r="AT295" i="3" s="1"/>
  <c r="N294" i="3"/>
  <c r="S294" i="3" s="1"/>
  <c r="V294" i="3" s="1"/>
  <c r="W294" i="3" s="1"/>
  <c r="AT294" i="3" s="1"/>
  <c r="N293" i="3"/>
  <c r="S293" i="3" s="1"/>
  <c r="V293" i="3" s="1"/>
  <c r="W293" i="3" s="1"/>
  <c r="AT293" i="3" s="1"/>
  <c r="N292" i="3"/>
  <c r="S292" i="3" s="1"/>
  <c r="V292" i="3" s="1"/>
  <c r="W292" i="3" s="1"/>
  <c r="AT292" i="3" s="1"/>
  <c r="N291" i="3"/>
  <c r="S291" i="3" s="1"/>
  <c r="N290" i="3"/>
  <c r="S290" i="3" s="1"/>
  <c r="V290" i="3" s="1"/>
  <c r="W290" i="3" s="1"/>
  <c r="AT290" i="3" s="1"/>
  <c r="N289" i="3"/>
  <c r="S289" i="3" s="1"/>
  <c r="N288" i="3"/>
  <c r="S288" i="3" s="1"/>
  <c r="V288" i="3" s="1"/>
  <c r="W288" i="3" s="1"/>
  <c r="AT288" i="3" s="1"/>
  <c r="N287" i="3"/>
  <c r="S287" i="3" s="1"/>
  <c r="V287" i="3" s="1"/>
  <c r="W287" i="3" s="1"/>
  <c r="AT287" i="3" s="1"/>
  <c r="N286" i="3"/>
  <c r="S286" i="3" s="1"/>
  <c r="V286" i="3" s="1"/>
  <c r="W286" i="3" s="1"/>
  <c r="AT286" i="3" s="1"/>
  <c r="N285" i="3"/>
  <c r="S285" i="3" s="1"/>
  <c r="V285" i="3" s="1"/>
  <c r="W285" i="3" s="1"/>
  <c r="AT285" i="3" s="1"/>
  <c r="N284" i="3"/>
  <c r="S284" i="3" s="1"/>
  <c r="V284" i="3" s="1"/>
  <c r="W284" i="3" s="1"/>
  <c r="AT284" i="3" s="1"/>
  <c r="N283" i="3"/>
  <c r="S283" i="3" s="1"/>
  <c r="V283" i="3" s="1"/>
  <c r="W283" i="3" s="1"/>
  <c r="AT283" i="3" s="1"/>
  <c r="N282" i="3"/>
  <c r="S282" i="3" s="1"/>
  <c r="V282" i="3" s="1"/>
  <c r="W282" i="3" s="1"/>
  <c r="AT282" i="3" s="1"/>
  <c r="N281" i="3"/>
  <c r="S281" i="3" s="1"/>
  <c r="N280" i="3"/>
  <c r="S280" i="3" s="1"/>
  <c r="V280" i="3" s="1"/>
  <c r="W280" i="3" s="1"/>
  <c r="AT280" i="3" s="1"/>
  <c r="N279" i="3"/>
  <c r="S279" i="3" s="1"/>
  <c r="V279" i="3" s="1"/>
  <c r="W279" i="3" s="1"/>
  <c r="AT279" i="3" s="1"/>
  <c r="N278" i="3"/>
  <c r="S278" i="3" s="1"/>
  <c r="V278" i="3" s="1"/>
  <c r="W278" i="3" s="1"/>
  <c r="AT278" i="3" s="1"/>
  <c r="N277" i="3"/>
  <c r="S277" i="3" s="1"/>
  <c r="V277" i="3" s="1"/>
  <c r="W277" i="3" s="1"/>
  <c r="AT277" i="3" s="1"/>
  <c r="N276" i="3"/>
  <c r="S276" i="3" s="1"/>
  <c r="V276" i="3" s="1"/>
  <c r="W276" i="3" s="1"/>
  <c r="AT276" i="3" s="1"/>
  <c r="N275" i="3"/>
  <c r="S275" i="3" s="1"/>
  <c r="N274" i="3"/>
  <c r="S274" i="3" s="1"/>
  <c r="V274" i="3" s="1"/>
  <c r="W274" i="3" s="1"/>
  <c r="AT274" i="3" s="1"/>
  <c r="N273" i="3"/>
  <c r="S273" i="3" s="1"/>
  <c r="V273" i="3" s="1"/>
  <c r="W273" i="3" s="1"/>
  <c r="AT273" i="3" s="1"/>
  <c r="N272" i="3"/>
  <c r="S272" i="3" s="1"/>
  <c r="V272" i="3" s="1"/>
  <c r="W272" i="3" s="1"/>
  <c r="AT272" i="3" s="1"/>
  <c r="N271" i="3"/>
  <c r="S271" i="3" s="1"/>
  <c r="V271" i="3" s="1"/>
  <c r="W271" i="3" s="1"/>
  <c r="AT271" i="3" s="1"/>
  <c r="N270" i="3"/>
  <c r="S270" i="3" s="1"/>
  <c r="V270" i="3" s="1"/>
  <c r="W270" i="3" s="1"/>
  <c r="AT270" i="3" s="1"/>
  <c r="N269" i="3"/>
  <c r="S269" i="3" s="1"/>
  <c r="N268" i="3"/>
  <c r="S268" i="3" s="1"/>
  <c r="V268" i="3" s="1"/>
  <c r="W268" i="3" s="1"/>
  <c r="AT268" i="3" s="1"/>
  <c r="N267" i="3"/>
  <c r="S267" i="3" s="1"/>
  <c r="V267" i="3" s="1"/>
  <c r="W267" i="3" s="1"/>
  <c r="AT267" i="3" s="1"/>
  <c r="N266" i="3"/>
  <c r="S266" i="3" s="1"/>
  <c r="V266" i="3" s="1"/>
  <c r="W266" i="3" s="1"/>
  <c r="AT266" i="3" s="1"/>
  <c r="N265" i="3"/>
  <c r="S265" i="3" s="1"/>
  <c r="N264" i="3"/>
  <c r="S264" i="3" s="1"/>
  <c r="N263" i="3"/>
  <c r="S263" i="3" s="1"/>
  <c r="N262" i="3"/>
  <c r="S262" i="3" s="1"/>
  <c r="N261" i="3"/>
  <c r="S261" i="3" s="1"/>
  <c r="N260" i="3"/>
  <c r="S260" i="3" s="1"/>
  <c r="N259" i="3"/>
  <c r="S259" i="3" s="1"/>
  <c r="N258" i="3"/>
  <c r="S258" i="3" s="1"/>
  <c r="N257" i="3"/>
  <c r="S257" i="3" s="1"/>
  <c r="N256" i="3"/>
  <c r="S256" i="3" s="1"/>
  <c r="N255" i="3"/>
  <c r="S255" i="3" s="1"/>
  <c r="N254" i="3"/>
  <c r="S254" i="3" s="1"/>
  <c r="N253" i="3"/>
  <c r="S253" i="3" s="1"/>
  <c r="N252" i="3"/>
  <c r="S252" i="3" s="1"/>
  <c r="N251" i="3"/>
  <c r="S251" i="3" s="1"/>
  <c r="N250" i="3"/>
  <c r="S250" i="3" s="1"/>
  <c r="N249" i="3"/>
  <c r="S249" i="3" s="1"/>
  <c r="N248" i="3"/>
  <c r="S248" i="3" s="1"/>
  <c r="N247" i="3"/>
  <c r="S247" i="3" s="1"/>
  <c r="N246" i="3"/>
  <c r="S246" i="3" s="1"/>
  <c r="N245" i="3"/>
  <c r="S245" i="3" s="1"/>
  <c r="N244" i="3"/>
  <c r="S244" i="3" s="1"/>
  <c r="N243" i="3"/>
  <c r="S243" i="3" s="1"/>
  <c r="N242" i="3"/>
  <c r="S242" i="3" s="1"/>
  <c r="N241" i="3"/>
  <c r="S241" i="3" s="1"/>
  <c r="N240" i="3"/>
  <c r="S240" i="3" s="1"/>
  <c r="N239" i="3"/>
  <c r="S239" i="3" s="1"/>
  <c r="N238" i="3"/>
  <c r="S238" i="3" s="1"/>
  <c r="N237" i="3"/>
  <c r="S237" i="3" s="1"/>
  <c r="N236" i="3"/>
  <c r="S236" i="3" s="1"/>
  <c r="N235" i="3"/>
  <c r="S235" i="3" s="1"/>
  <c r="N234" i="3"/>
  <c r="S234" i="3" s="1"/>
  <c r="N233" i="3"/>
  <c r="S233" i="3" s="1"/>
  <c r="N232" i="3"/>
  <c r="S232" i="3" s="1"/>
  <c r="N231" i="3"/>
  <c r="S231" i="3" s="1"/>
  <c r="N230" i="3"/>
  <c r="S230" i="3" s="1"/>
  <c r="N229" i="3"/>
  <c r="S229" i="3" s="1"/>
  <c r="N228" i="3"/>
  <c r="S228" i="3" s="1"/>
  <c r="N227" i="3"/>
  <c r="S227" i="3" s="1"/>
  <c r="N226" i="3"/>
  <c r="S226" i="3" s="1"/>
  <c r="N225" i="3"/>
  <c r="S225" i="3" s="1"/>
  <c r="N224" i="3"/>
  <c r="S224" i="3" s="1"/>
  <c r="N223" i="3"/>
  <c r="S223" i="3" s="1"/>
  <c r="N222" i="3"/>
  <c r="S222" i="3" s="1"/>
  <c r="N221" i="3"/>
  <c r="S221" i="3" s="1"/>
  <c r="N220" i="3"/>
  <c r="S220" i="3" s="1"/>
  <c r="N219" i="3"/>
  <c r="S219" i="3" s="1"/>
  <c r="N218" i="3"/>
  <c r="S218" i="3" s="1"/>
  <c r="N217" i="3"/>
  <c r="S217" i="3" s="1"/>
  <c r="N216" i="3"/>
  <c r="S216" i="3" s="1"/>
  <c r="N215" i="3"/>
  <c r="S215" i="3" s="1"/>
  <c r="N214" i="3"/>
  <c r="S214" i="3" s="1"/>
  <c r="N213" i="3"/>
  <c r="S213" i="3" s="1"/>
  <c r="N212" i="3"/>
  <c r="S212" i="3" s="1"/>
  <c r="N211" i="3"/>
  <c r="S211" i="3" s="1"/>
  <c r="N210" i="3"/>
  <c r="S210" i="3" s="1"/>
  <c r="N209" i="3"/>
  <c r="S209" i="3" s="1"/>
  <c r="N208" i="3"/>
  <c r="S208" i="3" s="1"/>
  <c r="N207" i="3"/>
  <c r="S207" i="3" s="1"/>
  <c r="N206" i="3"/>
  <c r="S206" i="3" s="1"/>
  <c r="N205" i="3"/>
  <c r="S205" i="3" s="1"/>
  <c r="N204" i="3"/>
  <c r="S204" i="3" s="1"/>
  <c r="N203" i="3"/>
  <c r="S203" i="3" s="1"/>
  <c r="N202" i="3"/>
  <c r="S202" i="3" s="1"/>
  <c r="N201" i="3"/>
  <c r="S201" i="3" s="1"/>
  <c r="N200" i="3"/>
  <c r="S200" i="3" s="1"/>
  <c r="N199" i="3"/>
  <c r="S199" i="3" s="1"/>
  <c r="N198" i="3"/>
  <c r="S198" i="3" s="1"/>
  <c r="N197" i="3"/>
  <c r="S197" i="3" s="1"/>
  <c r="N196" i="3"/>
  <c r="S196" i="3" s="1"/>
  <c r="N195" i="3"/>
  <c r="S195" i="3" s="1"/>
  <c r="N194" i="3"/>
  <c r="S194" i="3" s="1"/>
  <c r="N193" i="3"/>
  <c r="S193" i="3" s="1"/>
  <c r="N192" i="3"/>
  <c r="S192" i="3" s="1"/>
  <c r="N191" i="3"/>
  <c r="S191" i="3" s="1"/>
  <c r="N190" i="3"/>
  <c r="S190" i="3" s="1"/>
  <c r="N189" i="3"/>
  <c r="S189" i="3" s="1"/>
  <c r="N188" i="3"/>
  <c r="S188" i="3" s="1"/>
  <c r="N187" i="3"/>
  <c r="S187" i="3" s="1"/>
  <c r="N186" i="3"/>
  <c r="S186" i="3" s="1"/>
  <c r="N185" i="3"/>
  <c r="S185" i="3" s="1"/>
  <c r="N184" i="3"/>
  <c r="S184" i="3" s="1"/>
  <c r="N183" i="3"/>
  <c r="S183" i="3" s="1"/>
  <c r="N182" i="3"/>
  <c r="S182" i="3" s="1"/>
  <c r="N181" i="3"/>
  <c r="S181" i="3" s="1"/>
  <c r="N180" i="3"/>
  <c r="S180" i="3" s="1"/>
  <c r="N179" i="3"/>
  <c r="S179" i="3" s="1"/>
  <c r="N178" i="3"/>
  <c r="S178" i="3" s="1"/>
  <c r="N177" i="3"/>
  <c r="S177" i="3" s="1"/>
  <c r="N176" i="3"/>
  <c r="S176" i="3" s="1"/>
  <c r="N175" i="3"/>
  <c r="S175" i="3" s="1"/>
  <c r="N174" i="3"/>
  <c r="S174" i="3" s="1"/>
  <c r="N173" i="3"/>
  <c r="S173" i="3" s="1"/>
  <c r="N172" i="3"/>
  <c r="S172" i="3" s="1"/>
  <c r="N171" i="3"/>
  <c r="S171" i="3" s="1"/>
  <c r="N170" i="3"/>
  <c r="S170" i="3" s="1"/>
  <c r="N169" i="3"/>
  <c r="S169" i="3" s="1"/>
  <c r="N168" i="3"/>
  <c r="S168" i="3" s="1"/>
  <c r="N167" i="3"/>
  <c r="S167" i="3" s="1"/>
  <c r="N166" i="3"/>
  <c r="S166" i="3" s="1"/>
  <c r="N165" i="3"/>
  <c r="S165" i="3" s="1"/>
  <c r="N164" i="3"/>
  <c r="S164" i="3" s="1"/>
  <c r="N163" i="3"/>
  <c r="S163" i="3" s="1"/>
  <c r="N162" i="3"/>
  <c r="S162" i="3" s="1"/>
  <c r="N161" i="3"/>
  <c r="S161" i="3" s="1"/>
  <c r="N160" i="3"/>
  <c r="S160" i="3" s="1"/>
  <c r="N159" i="3"/>
  <c r="S159" i="3" s="1"/>
  <c r="N158" i="3"/>
  <c r="S158" i="3" s="1"/>
  <c r="N157" i="3"/>
  <c r="S157" i="3" s="1"/>
  <c r="N156" i="3"/>
  <c r="S156" i="3" s="1"/>
  <c r="N155" i="3"/>
  <c r="S155" i="3" s="1"/>
  <c r="N154" i="3"/>
  <c r="S154" i="3" s="1"/>
  <c r="N153" i="3"/>
  <c r="S153" i="3" s="1"/>
  <c r="N152" i="3"/>
  <c r="S152" i="3" s="1"/>
  <c r="N151" i="3"/>
  <c r="S151" i="3" s="1"/>
  <c r="N150" i="3"/>
  <c r="S150" i="3" s="1"/>
  <c r="N149" i="3"/>
  <c r="S149" i="3" s="1"/>
  <c r="N148" i="3"/>
  <c r="S148" i="3" s="1"/>
  <c r="N147" i="3"/>
  <c r="S147" i="3" s="1"/>
  <c r="N146" i="3"/>
  <c r="S146" i="3" s="1"/>
  <c r="N145" i="3"/>
  <c r="S145" i="3" s="1"/>
  <c r="N144" i="3"/>
  <c r="S144" i="3" s="1"/>
  <c r="N143" i="3"/>
  <c r="S143" i="3" s="1"/>
  <c r="N142" i="3"/>
  <c r="S142" i="3" s="1"/>
  <c r="N141" i="3"/>
  <c r="S141" i="3" s="1"/>
  <c r="N140" i="3"/>
  <c r="S140" i="3" s="1"/>
  <c r="N139" i="3"/>
  <c r="S139" i="3" s="1"/>
  <c r="N138" i="3"/>
  <c r="S138" i="3" s="1"/>
  <c r="N137" i="3"/>
  <c r="S137" i="3" s="1"/>
  <c r="N136" i="3"/>
  <c r="S136" i="3" s="1"/>
  <c r="N135" i="3"/>
  <c r="S135" i="3" s="1"/>
  <c r="N134" i="3"/>
  <c r="S134" i="3" s="1"/>
  <c r="N133" i="3"/>
  <c r="S133" i="3" s="1"/>
  <c r="N132" i="3"/>
  <c r="S132" i="3" s="1"/>
  <c r="N131" i="3"/>
  <c r="S131" i="3" s="1"/>
  <c r="N130" i="3"/>
  <c r="S130" i="3" s="1"/>
  <c r="N129" i="3"/>
  <c r="S129" i="3" s="1"/>
  <c r="N128" i="3"/>
  <c r="S128" i="3" s="1"/>
  <c r="N127" i="3"/>
  <c r="S127" i="3" s="1"/>
  <c r="N126" i="3"/>
  <c r="S126" i="3" s="1"/>
  <c r="N125" i="3"/>
  <c r="S125" i="3" s="1"/>
  <c r="N124" i="3"/>
  <c r="S124" i="3" s="1"/>
  <c r="N123" i="3"/>
  <c r="S123" i="3" s="1"/>
  <c r="N122" i="3"/>
  <c r="S122" i="3" s="1"/>
  <c r="N121" i="3"/>
  <c r="S121" i="3" s="1"/>
  <c r="N120" i="3"/>
  <c r="S120" i="3" s="1"/>
  <c r="N119" i="3"/>
  <c r="S119" i="3" s="1"/>
  <c r="N118" i="3"/>
  <c r="S118" i="3" s="1"/>
  <c r="N117" i="3"/>
  <c r="S117" i="3" s="1"/>
  <c r="N116" i="3"/>
  <c r="S116" i="3" s="1"/>
  <c r="N115" i="3"/>
  <c r="S115" i="3" s="1"/>
  <c r="N114" i="3"/>
  <c r="S114" i="3" s="1"/>
  <c r="N113" i="3"/>
  <c r="S113" i="3" s="1"/>
  <c r="N112" i="3"/>
  <c r="S112" i="3" s="1"/>
  <c r="N111" i="3"/>
  <c r="S111" i="3" s="1"/>
  <c r="N110" i="3"/>
  <c r="S110" i="3" s="1"/>
  <c r="N109" i="3"/>
  <c r="S109" i="3" s="1"/>
  <c r="N108" i="3"/>
  <c r="S108" i="3" s="1"/>
  <c r="N107" i="3"/>
  <c r="S107" i="3" s="1"/>
  <c r="N106" i="3"/>
  <c r="S106" i="3" s="1"/>
  <c r="N105" i="3"/>
  <c r="S105" i="3" s="1"/>
  <c r="N104" i="3"/>
  <c r="S104" i="3" s="1"/>
  <c r="N103" i="3"/>
  <c r="S103" i="3" s="1"/>
  <c r="N102" i="3"/>
  <c r="S102" i="3" s="1"/>
  <c r="N101" i="3"/>
  <c r="S101" i="3" s="1"/>
  <c r="N100" i="3"/>
  <c r="S100" i="3" s="1"/>
  <c r="N99" i="3"/>
  <c r="S99" i="3" s="1"/>
  <c r="N98" i="3"/>
  <c r="S98" i="3" s="1"/>
  <c r="N97" i="3"/>
  <c r="S97" i="3" s="1"/>
  <c r="N96" i="3"/>
  <c r="S96" i="3" s="1"/>
  <c r="N95" i="3"/>
  <c r="S95" i="3" s="1"/>
  <c r="N94" i="3"/>
  <c r="S94" i="3" s="1"/>
  <c r="N93" i="3"/>
  <c r="S93" i="3" s="1"/>
  <c r="N92" i="3"/>
  <c r="S92" i="3" s="1"/>
  <c r="N91" i="3"/>
  <c r="S91" i="3" s="1"/>
  <c r="N90" i="3"/>
  <c r="S90" i="3" s="1"/>
  <c r="N89" i="3"/>
  <c r="S89" i="3" s="1"/>
  <c r="N88" i="3"/>
  <c r="S88" i="3" s="1"/>
  <c r="N87" i="3"/>
  <c r="S87" i="3" s="1"/>
  <c r="N86" i="3"/>
  <c r="S86" i="3" s="1"/>
  <c r="N85" i="3"/>
  <c r="S85" i="3" s="1"/>
  <c r="N84" i="3"/>
  <c r="S84" i="3" s="1"/>
  <c r="N83" i="3"/>
  <c r="S83" i="3" s="1"/>
  <c r="N82" i="3"/>
  <c r="S82" i="3" s="1"/>
  <c r="N81" i="3"/>
  <c r="S81" i="3" s="1"/>
  <c r="N80" i="3"/>
  <c r="S80" i="3" s="1"/>
  <c r="N79" i="3"/>
  <c r="S79" i="3" s="1"/>
  <c r="N78" i="3"/>
  <c r="S78" i="3" s="1"/>
  <c r="N77" i="3"/>
  <c r="S77" i="3" s="1"/>
  <c r="N76" i="3"/>
  <c r="S76" i="3" s="1"/>
  <c r="N75" i="3"/>
  <c r="S75" i="3" s="1"/>
  <c r="N74" i="3"/>
  <c r="S74" i="3" s="1"/>
  <c r="N73" i="3"/>
  <c r="S73" i="3" s="1"/>
  <c r="N72" i="3"/>
  <c r="S72" i="3" s="1"/>
  <c r="N71" i="3"/>
  <c r="S71" i="3" s="1"/>
  <c r="N70" i="3"/>
  <c r="S70" i="3" s="1"/>
  <c r="N69" i="3"/>
  <c r="S69" i="3" s="1"/>
  <c r="N68" i="3"/>
  <c r="S68" i="3" s="1"/>
  <c r="N67" i="3"/>
  <c r="S67" i="3" s="1"/>
  <c r="N66" i="3"/>
  <c r="S66" i="3" s="1"/>
  <c r="N65" i="3"/>
  <c r="S65" i="3" s="1"/>
  <c r="N64" i="3"/>
  <c r="S64" i="3" s="1"/>
  <c r="N63" i="3"/>
  <c r="S63" i="3" s="1"/>
  <c r="N62" i="3"/>
  <c r="S62" i="3" s="1"/>
  <c r="N61" i="3"/>
  <c r="S61" i="3" s="1"/>
  <c r="V61" i="3" s="1"/>
  <c r="W61" i="3" s="1"/>
  <c r="AT61" i="3" s="1"/>
  <c r="N60" i="3"/>
  <c r="S60" i="3" s="1"/>
  <c r="V60" i="3" s="1"/>
  <c r="W60" i="3" s="1"/>
  <c r="AT60" i="3" s="1"/>
  <c r="N59" i="3"/>
  <c r="S59" i="3" s="1"/>
  <c r="V59" i="3" s="1"/>
  <c r="W59" i="3" s="1"/>
  <c r="AT59" i="3" s="1"/>
  <c r="N58" i="3"/>
  <c r="S58" i="3" s="1"/>
  <c r="V58" i="3" s="1"/>
  <c r="W58" i="3" s="1"/>
  <c r="AT58" i="3" s="1"/>
  <c r="N57" i="3"/>
  <c r="S57" i="3" s="1"/>
  <c r="V57" i="3" s="1"/>
  <c r="W57" i="3" s="1"/>
  <c r="AT57" i="3" s="1"/>
  <c r="N56" i="3"/>
  <c r="S56" i="3" s="1"/>
  <c r="V56" i="3" s="1"/>
  <c r="N55" i="3"/>
  <c r="S55" i="3" s="1"/>
  <c r="V55" i="3" s="1"/>
  <c r="W55" i="3" s="1"/>
  <c r="AT55" i="3" s="1"/>
  <c r="N54" i="3"/>
  <c r="N53" i="3"/>
  <c r="S53" i="3" s="1"/>
  <c r="V53" i="3" s="1"/>
  <c r="W53" i="3" s="1"/>
  <c r="AT53" i="3" s="1"/>
  <c r="N52" i="3"/>
  <c r="S52" i="3" s="1"/>
  <c r="V52" i="3" s="1"/>
  <c r="W52" i="3" s="1"/>
  <c r="AT52" i="3" s="1"/>
  <c r="N51" i="3"/>
  <c r="S51" i="3" s="1"/>
  <c r="V51" i="3" s="1"/>
  <c r="W51" i="3" s="1"/>
  <c r="AT51" i="3" s="1"/>
  <c r="N50" i="3"/>
  <c r="S50" i="3" s="1"/>
  <c r="V50" i="3" s="1"/>
  <c r="W50" i="3" s="1"/>
  <c r="AT50" i="3" s="1"/>
  <c r="N49" i="3"/>
  <c r="S49" i="3" s="1"/>
  <c r="V49" i="3" s="1"/>
  <c r="W49" i="3" s="1"/>
  <c r="AT49" i="3" s="1"/>
  <c r="N48" i="3"/>
  <c r="S48" i="3" s="1"/>
  <c r="V48" i="3" s="1"/>
  <c r="W48" i="3" s="1"/>
  <c r="AT48" i="3" s="1"/>
  <c r="N47" i="3"/>
  <c r="S47" i="3" s="1"/>
  <c r="V47" i="3" s="1"/>
  <c r="W47" i="3" s="1"/>
  <c r="AT47" i="3" s="1"/>
  <c r="N46" i="3"/>
  <c r="S46" i="3" s="1"/>
  <c r="N45" i="3"/>
  <c r="S45" i="3" s="1"/>
  <c r="N44" i="3"/>
  <c r="S44" i="3" s="1"/>
  <c r="N43" i="3"/>
  <c r="S43" i="3" s="1"/>
  <c r="N42" i="3"/>
  <c r="S42" i="3" s="1"/>
  <c r="N41" i="3"/>
  <c r="S41" i="3" s="1"/>
  <c r="N40" i="3"/>
  <c r="S40" i="3" s="1"/>
  <c r="N39" i="3"/>
  <c r="S39" i="3" s="1"/>
  <c r="N38" i="3"/>
  <c r="S38" i="3" s="1"/>
  <c r="N37" i="3"/>
  <c r="S37" i="3" s="1"/>
  <c r="N36" i="3"/>
  <c r="S36" i="3" s="1"/>
  <c r="N35" i="3"/>
  <c r="S35" i="3" s="1"/>
  <c r="N34" i="3"/>
  <c r="S34" i="3" s="1"/>
  <c r="N33" i="3"/>
  <c r="S33" i="3" s="1"/>
  <c r="N32" i="3"/>
  <c r="S32" i="3" s="1"/>
  <c r="N31" i="3"/>
  <c r="S31" i="3" s="1"/>
  <c r="N30" i="3"/>
  <c r="S30" i="3" s="1"/>
  <c r="N29" i="3"/>
  <c r="S29" i="3" s="1"/>
  <c r="N28" i="3"/>
  <c r="S28" i="3" s="1"/>
  <c r="N27" i="3"/>
  <c r="S27" i="3" s="1"/>
  <c r="V27" i="3" s="1"/>
  <c r="W27" i="3" s="1"/>
  <c r="AT27" i="3" s="1"/>
  <c r="N26" i="3"/>
  <c r="S26" i="3" s="1"/>
  <c r="V26" i="3" s="1"/>
  <c r="W26" i="3" s="1"/>
  <c r="AT26" i="3" s="1"/>
  <c r="N25" i="3"/>
  <c r="S25" i="3" s="1"/>
  <c r="V25" i="3" s="1"/>
  <c r="W25" i="3" s="1"/>
  <c r="AT25" i="3" s="1"/>
  <c r="N24" i="3"/>
  <c r="S24" i="3" s="1"/>
  <c r="V24" i="3" s="1"/>
  <c r="W24" i="3" s="1"/>
  <c r="AT24" i="3" s="1"/>
  <c r="N23" i="3"/>
  <c r="S23" i="3" s="1"/>
  <c r="V23" i="3" s="1"/>
  <c r="W23" i="3" s="1"/>
  <c r="AT23" i="3" s="1"/>
  <c r="N22" i="3"/>
  <c r="S22" i="3" s="1"/>
  <c r="V22" i="3" s="1"/>
  <c r="W22" i="3" s="1"/>
  <c r="AT22" i="3" s="1"/>
  <c r="N21" i="3"/>
  <c r="S21" i="3" s="1"/>
  <c r="V21" i="3" s="1"/>
  <c r="W21" i="3" s="1"/>
  <c r="AT21" i="3" s="1"/>
  <c r="N20" i="3"/>
  <c r="S20" i="3" s="1"/>
  <c r="V20" i="3" s="1"/>
  <c r="W20" i="3" s="1"/>
  <c r="AT20" i="3" s="1"/>
  <c r="Q19" i="3"/>
  <c r="N19" i="3"/>
  <c r="N18" i="3"/>
  <c r="S18" i="3" s="1"/>
  <c r="V18" i="3" s="1"/>
  <c r="W18" i="3" s="1"/>
  <c r="AT18" i="3" s="1"/>
  <c r="N17" i="3"/>
  <c r="S17" i="3" s="1"/>
  <c r="V17" i="3" s="1"/>
  <c r="W17" i="3" s="1"/>
  <c r="AT17" i="3" s="1"/>
  <c r="N16" i="3"/>
  <c r="S16" i="3" s="1"/>
  <c r="V16" i="3" s="1"/>
  <c r="W16" i="3" s="1"/>
  <c r="AT16" i="3" s="1"/>
  <c r="N15" i="3"/>
  <c r="S15" i="3" s="1"/>
  <c r="V15" i="3" s="1"/>
  <c r="W15" i="3" s="1"/>
  <c r="AT15" i="3" s="1"/>
  <c r="N14" i="3"/>
  <c r="S14" i="3" s="1"/>
  <c r="N13" i="3"/>
  <c r="S13" i="3" s="1"/>
  <c r="N12" i="3"/>
  <c r="S12" i="3" s="1"/>
  <c r="N11" i="3"/>
  <c r="S11" i="3" s="1"/>
  <c r="N10" i="3"/>
  <c r="S10" i="3" s="1"/>
  <c r="N9" i="3"/>
  <c r="S9" i="3" s="1"/>
  <c r="N8" i="3"/>
  <c r="S8" i="3" s="1"/>
  <c r="N7" i="3"/>
  <c r="S7" i="3" s="1"/>
  <c r="N6" i="3"/>
  <c r="S6" i="3" s="1"/>
  <c r="N5" i="3"/>
  <c r="S5" i="3" s="1"/>
  <c r="N4" i="3"/>
  <c r="S4" i="3" s="1"/>
  <c r="N3" i="3"/>
  <c r="S3" i="3" s="1"/>
  <c r="N2" i="3"/>
  <c r="W56" i="3" l="1"/>
  <c r="AT56" i="3" s="1"/>
  <c r="AT514" i="3" s="1"/>
  <c r="W3" i="4"/>
  <c r="AA3" i="4" s="1"/>
  <c r="AH18" i="3"/>
  <c r="AH25" i="3"/>
  <c r="AH49" i="3"/>
  <c r="AH57" i="3"/>
  <c r="AH273" i="3"/>
  <c r="AH289" i="3"/>
  <c r="AH297" i="3"/>
  <c r="AH306" i="3"/>
  <c r="AH314" i="3"/>
  <c r="AH322" i="3"/>
  <c r="AH346" i="3"/>
  <c r="AH354" i="3"/>
  <c r="AH362" i="3"/>
  <c r="AH370" i="3"/>
  <c r="AH378" i="3"/>
  <c r="AH388" i="3"/>
  <c r="AH396" i="3"/>
  <c r="AH404" i="3"/>
  <c r="AH412" i="3"/>
  <c r="AH420" i="3"/>
  <c r="AH428" i="3"/>
  <c r="AH436" i="3"/>
  <c r="AH444" i="3"/>
  <c r="AH452" i="3"/>
  <c r="AH460" i="3"/>
  <c r="AH476" i="3"/>
  <c r="AH484" i="3"/>
  <c r="AH282" i="3"/>
  <c r="AH298" i="3"/>
  <c r="AH323" i="3"/>
  <c r="AH371" i="3"/>
  <c r="AH397" i="3"/>
  <c r="AH421" i="3"/>
  <c r="AH445" i="3"/>
  <c r="AH27" i="3"/>
  <c r="AH51" i="3"/>
  <c r="AH59" i="3"/>
  <c r="AH267" i="3"/>
  <c r="AH299" i="3"/>
  <c r="AH308" i="3"/>
  <c r="AH316" i="3"/>
  <c r="AH324" i="3"/>
  <c r="AH348" i="3"/>
  <c r="AH356" i="3"/>
  <c r="AH364" i="3"/>
  <c r="AH380" i="3"/>
  <c r="AH390" i="3"/>
  <c r="AH414" i="3"/>
  <c r="AH422" i="3"/>
  <c r="AH430" i="3"/>
  <c r="AH438" i="3"/>
  <c r="AH446" i="3"/>
  <c r="AH454" i="3"/>
  <c r="AH462" i="3"/>
  <c r="AH470" i="3"/>
  <c r="AH478" i="3"/>
  <c r="AH486" i="3"/>
  <c r="AH58" i="3"/>
  <c r="AH266" i="3"/>
  <c r="AH290" i="3"/>
  <c r="AH315" i="3"/>
  <c r="AH363" i="3"/>
  <c r="AH389" i="3"/>
  <c r="AH413" i="3"/>
  <c r="AH437" i="3"/>
  <c r="AH461" i="3"/>
  <c r="AH477" i="3"/>
  <c r="AH20" i="3"/>
  <c r="AH52" i="3"/>
  <c r="AH60" i="3"/>
  <c r="AH268" i="3"/>
  <c r="AH276" i="3"/>
  <c r="AH284" i="3"/>
  <c r="AH292" i="3"/>
  <c r="AH300" i="3"/>
  <c r="AH309" i="3"/>
  <c r="AH317" i="3"/>
  <c r="AH325" i="3"/>
  <c r="AH349" i="3"/>
  <c r="AH357" i="3"/>
  <c r="AH365" i="3"/>
  <c r="AH373" i="3"/>
  <c r="AH381" i="3"/>
  <c r="AH391" i="3"/>
  <c r="AH399" i="3"/>
  <c r="AH407" i="3"/>
  <c r="AH415" i="3"/>
  <c r="AH423" i="3"/>
  <c r="AH431" i="3"/>
  <c r="AH439" i="3"/>
  <c r="AH447" i="3"/>
  <c r="AH455" i="3"/>
  <c r="AH463" i="3"/>
  <c r="AH471" i="3"/>
  <c r="AH479" i="3"/>
  <c r="AH487" i="3"/>
  <c r="AH26" i="3"/>
  <c r="AH274" i="3"/>
  <c r="AH307" i="3"/>
  <c r="AH355" i="3"/>
  <c r="AH379" i="3"/>
  <c r="AH405" i="3"/>
  <c r="AH429" i="3"/>
  <c r="AH453" i="3"/>
  <c r="AH485" i="3"/>
  <c r="AH21" i="3"/>
  <c r="AH53" i="3"/>
  <c r="AH61" i="3"/>
  <c r="AH269" i="3"/>
  <c r="AH277" i="3"/>
  <c r="AH285" i="3"/>
  <c r="AH293" i="3"/>
  <c r="AH301" i="3"/>
  <c r="AH310" i="3"/>
  <c r="AH318" i="3"/>
  <c r="AH326" i="3"/>
  <c r="AH350" i="3"/>
  <c r="AH358" i="3"/>
  <c r="AH366" i="3"/>
  <c r="AH374" i="3"/>
  <c r="AH408" i="3"/>
  <c r="AH416" i="3"/>
  <c r="AH424" i="3"/>
  <c r="AH432" i="3"/>
  <c r="AH440" i="3"/>
  <c r="AH448" i="3"/>
  <c r="AH456" i="3"/>
  <c r="AH464" i="3"/>
  <c r="AH472" i="3"/>
  <c r="AH480" i="3"/>
  <c r="AH488" i="3"/>
  <c r="AH50" i="3"/>
  <c r="AH270" i="3"/>
  <c r="AH278" i="3"/>
  <c r="AH286" i="3"/>
  <c r="AH294" i="3"/>
  <c r="AH302" i="3"/>
  <c r="AH311" i="3"/>
  <c r="AH319" i="3"/>
  <c r="AH327" i="3"/>
  <c r="AH351" i="3"/>
  <c r="AH359" i="3"/>
  <c r="AH367" i="3"/>
  <c r="AH375" i="3"/>
  <c r="AH385" i="3"/>
  <c r="AH393" i="3"/>
  <c r="AH401" i="3"/>
  <c r="AH409" i="3"/>
  <c r="AH417" i="3"/>
  <c r="AH425" i="3"/>
  <c r="AH433" i="3"/>
  <c r="AH441" i="3"/>
  <c r="AH449" i="3"/>
  <c r="AH457" i="3"/>
  <c r="AH465" i="3"/>
  <c r="AH473" i="3"/>
  <c r="AH481" i="3"/>
  <c r="AH489" i="3"/>
  <c r="AH23" i="3"/>
  <c r="AH55" i="3"/>
  <c r="AH271" i="3"/>
  <c r="AH279" i="3"/>
  <c r="AH287" i="3"/>
  <c r="AH295" i="3"/>
  <c r="AH303" i="3"/>
  <c r="AH312" i="3"/>
  <c r="AH320" i="3"/>
  <c r="AH344" i="3"/>
  <c r="AH352" i="3"/>
  <c r="AH360" i="3"/>
  <c r="AH368" i="3"/>
  <c r="AH376" i="3"/>
  <c r="AH386" i="3"/>
  <c r="AH394" i="3"/>
  <c r="AH402" i="3"/>
  <c r="AH410" i="3"/>
  <c r="AH418" i="3"/>
  <c r="AH426" i="3"/>
  <c r="AH434" i="3"/>
  <c r="AH442" i="3"/>
  <c r="AH450" i="3"/>
  <c r="AH458" i="3"/>
  <c r="AH466" i="3"/>
  <c r="AH474" i="3"/>
  <c r="AH482" i="3"/>
  <c r="AH22" i="3"/>
  <c r="AH47" i="3"/>
  <c r="AH17" i="3"/>
  <c r="AH24" i="3"/>
  <c r="AH48" i="3"/>
  <c r="AH56" i="3"/>
  <c r="AH272" i="3"/>
  <c r="AH280" i="3"/>
  <c r="AH288" i="3"/>
  <c r="AH296" i="3"/>
  <c r="AH305" i="3"/>
  <c r="AH313" i="3"/>
  <c r="AH345" i="3"/>
  <c r="AH353" i="3"/>
  <c r="AH361" i="3"/>
  <c r="AH369" i="3"/>
  <c r="AH377" i="3"/>
  <c r="AH387" i="3"/>
  <c r="AH395" i="3"/>
  <c r="AH403" i="3"/>
  <c r="AH411" i="3"/>
  <c r="AH419" i="3"/>
  <c r="AH427" i="3"/>
  <c r="AH443" i="3"/>
  <c r="AH451" i="3"/>
  <c r="AH459" i="3"/>
  <c r="AH467" i="3"/>
  <c r="AH475" i="3"/>
  <c r="AH483" i="3"/>
  <c r="AH469" i="3"/>
  <c r="AH283" i="3"/>
  <c r="AH372" i="3"/>
  <c r="AH406" i="3"/>
  <c r="AH392" i="3"/>
  <c r="AH400" i="3"/>
  <c r="AH15" i="3"/>
  <c r="AH16" i="3"/>
  <c r="AA4" i="4"/>
  <c r="W53" i="4"/>
  <c r="Q510" i="3"/>
  <c r="AS19" i="3"/>
  <c r="AS510" i="3" s="1"/>
  <c r="AR48" i="3"/>
  <c r="AR296" i="3"/>
  <c r="AR352" i="3"/>
  <c r="AR386" i="3"/>
  <c r="AR426" i="3"/>
  <c r="AR442" i="3"/>
  <c r="AR458" i="3"/>
  <c r="AR466" i="3"/>
  <c r="AR474" i="3"/>
  <c r="AR18" i="3"/>
  <c r="AR25" i="3"/>
  <c r="AR49" i="3"/>
  <c r="AR57" i="3"/>
  <c r="AR273" i="3"/>
  <c r="AR289" i="3"/>
  <c r="AR297" i="3"/>
  <c r="AR306" i="3"/>
  <c r="AR314" i="3"/>
  <c r="AR322" i="3"/>
  <c r="AR345" i="3"/>
  <c r="AR353" i="3"/>
  <c r="AR361" i="3"/>
  <c r="AR369" i="3"/>
  <c r="AR377" i="3"/>
  <c r="AR387" i="3"/>
  <c r="AR395" i="3"/>
  <c r="AR403" i="3"/>
  <c r="AR411" i="3"/>
  <c r="AR419" i="3"/>
  <c r="AR427" i="3"/>
  <c r="AR443" i="3"/>
  <c r="AR451" i="3"/>
  <c r="AR459" i="3"/>
  <c r="AR467" i="3"/>
  <c r="AR475" i="3"/>
  <c r="AR483" i="3"/>
  <c r="AR26" i="3"/>
  <c r="AR50" i="3"/>
  <c r="AR58" i="3"/>
  <c r="AR266" i="3"/>
  <c r="AR274" i="3"/>
  <c r="AR282" i="3"/>
  <c r="AR290" i="3"/>
  <c r="AR298" i="3"/>
  <c r="AR307" i="3"/>
  <c r="AR315" i="3"/>
  <c r="AR323" i="3"/>
  <c r="AR346" i="3"/>
  <c r="AR354" i="3"/>
  <c r="AR362" i="3"/>
  <c r="AR370" i="3"/>
  <c r="AR378" i="3"/>
  <c r="AR388" i="3"/>
  <c r="AR396" i="3"/>
  <c r="AR404" i="3"/>
  <c r="AR412" i="3"/>
  <c r="AR420" i="3"/>
  <c r="AR428" i="3"/>
  <c r="AR436" i="3"/>
  <c r="AR444" i="3"/>
  <c r="AR452" i="3"/>
  <c r="AR460" i="3"/>
  <c r="AR476" i="3"/>
  <c r="AR484" i="3"/>
  <c r="AR24" i="3"/>
  <c r="AR280" i="3"/>
  <c r="AR368" i="3"/>
  <c r="AR418" i="3"/>
  <c r="AR27" i="3"/>
  <c r="AR316" i="3"/>
  <c r="AR363" i="3"/>
  <c r="AR397" i="3"/>
  <c r="AR429" i="3"/>
  <c r="AR453" i="3"/>
  <c r="AR477" i="3"/>
  <c r="AR20" i="3"/>
  <c r="AR268" i="3"/>
  <c r="AR292" i="3"/>
  <c r="AR309" i="3"/>
  <c r="AR325" i="3"/>
  <c r="AR380" i="3"/>
  <c r="AR305" i="3"/>
  <c r="AR344" i="3"/>
  <c r="AR376" i="3"/>
  <c r="AR394" i="3"/>
  <c r="AR434" i="3"/>
  <c r="AR450" i="3"/>
  <c r="AR267" i="3"/>
  <c r="AR299" i="3"/>
  <c r="AR371" i="3"/>
  <c r="AR389" i="3"/>
  <c r="AR421" i="3"/>
  <c r="AR445" i="3"/>
  <c r="AR469" i="3"/>
  <c r="AR485" i="3"/>
  <c r="AR60" i="3"/>
  <c r="AR284" i="3"/>
  <c r="AR300" i="3"/>
  <c r="AR317" i="3"/>
  <c r="AR348" i="3"/>
  <c r="AR356" i="3"/>
  <c r="AR364" i="3"/>
  <c r="AR372" i="3"/>
  <c r="AR390" i="3"/>
  <c r="AR406" i="3"/>
  <c r="AR414" i="3"/>
  <c r="AR422" i="3"/>
  <c r="AR430" i="3"/>
  <c r="AR438" i="3"/>
  <c r="AR446" i="3"/>
  <c r="AR454" i="3"/>
  <c r="AR462" i="3"/>
  <c r="AR470" i="3"/>
  <c r="AR478" i="3"/>
  <c r="AR486" i="3"/>
  <c r="AR21" i="3"/>
  <c r="AR53" i="3"/>
  <c r="AR61" i="3"/>
  <c r="AR269" i="3"/>
  <c r="AR277" i="3"/>
  <c r="AR285" i="3"/>
  <c r="AR293" i="3"/>
  <c r="AR301" i="3"/>
  <c r="AR310" i="3"/>
  <c r="AR318" i="3"/>
  <c r="AR349" i="3"/>
  <c r="AR357" i="3"/>
  <c r="AR365" i="3"/>
  <c r="AR373" i="3"/>
  <c r="AR381" i="3"/>
  <c r="AR391" i="3"/>
  <c r="AR399" i="3"/>
  <c r="AR407" i="3"/>
  <c r="AR415" i="3"/>
  <c r="AR423" i="3"/>
  <c r="AR431" i="3"/>
  <c r="AR439" i="3"/>
  <c r="AR447" i="3"/>
  <c r="AR455" i="3"/>
  <c r="AR463" i="3"/>
  <c r="AR471" i="3"/>
  <c r="AR479" i="3"/>
  <c r="AR487" i="3"/>
  <c r="AR17" i="3"/>
  <c r="AR56" i="3"/>
  <c r="AR288" i="3"/>
  <c r="AR360" i="3"/>
  <c r="AR402" i="3"/>
  <c r="AR482" i="3"/>
  <c r="AR59" i="3"/>
  <c r="AR283" i="3"/>
  <c r="AR308" i="3"/>
  <c r="AR355" i="3"/>
  <c r="AR379" i="3"/>
  <c r="AR405" i="3"/>
  <c r="AR437" i="3"/>
  <c r="AR461" i="3"/>
  <c r="AR52" i="3"/>
  <c r="AR276" i="3"/>
  <c r="AR15" i="3"/>
  <c r="AR22" i="3"/>
  <c r="AR270" i="3"/>
  <c r="AR278" i="3"/>
  <c r="AR286" i="3"/>
  <c r="AR294" i="3"/>
  <c r="AR302" i="3"/>
  <c r="AR311" i="3"/>
  <c r="AR319" i="3"/>
  <c r="AR326" i="3"/>
  <c r="AR350" i="3"/>
  <c r="AR358" i="3"/>
  <c r="AR366" i="3"/>
  <c r="AR374" i="3"/>
  <c r="AR392" i="3"/>
  <c r="AR400" i="3"/>
  <c r="AR408" i="3"/>
  <c r="AR416" i="3"/>
  <c r="AR424" i="3"/>
  <c r="AR432" i="3"/>
  <c r="AR440" i="3"/>
  <c r="AR448" i="3"/>
  <c r="AR456" i="3"/>
  <c r="AR464" i="3"/>
  <c r="AR472" i="3"/>
  <c r="AR480" i="3"/>
  <c r="AR488" i="3"/>
  <c r="AR272" i="3"/>
  <c r="AR313" i="3"/>
  <c r="AR410" i="3"/>
  <c r="AR51" i="3"/>
  <c r="AR324" i="3"/>
  <c r="AR413" i="3"/>
  <c r="AR16" i="3"/>
  <c r="AR23" i="3"/>
  <c r="AR47" i="3"/>
  <c r="AR55" i="3"/>
  <c r="AR271" i="3"/>
  <c r="AR279" i="3"/>
  <c r="AR287" i="3"/>
  <c r="AR295" i="3"/>
  <c r="AR303" i="3"/>
  <c r="AR312" i="3"/>
  <c r="AR320" i="3"/>
  <c r="AR327" i="3"/>
  <c r="AR351" i="3"/>
  <c r="AR359" i="3"/>
  <c r="AR367" i="3"/>
  <c r="AR375" i="3"/>
  <c r="AR385" i="3"/>
  <c r="AR393" i="3"/>
  <c r="AR401" i="3"/>
  <c r="AR409" i="3"/>
  <c r="AR417" i="3"/>
  <c r="AR425" i="3"/>
  <c r="AR433" i="3"/>
  <c r="AR441" i="3"/>
  <c r="AR449" i="3"/>
  <c r="AR457" i="3"/>
  <c r="AR465" i="3"/>
  <c r="AR473" i="3"/>
  <c r="AR481" i="3"/>
  <c r="AR489" i="3"/>
  <c r="S468" i="3"/>
  <c r="S53" i="4"/>
  <c r="S2" i="3"/>
  <c r="N510" i="3"/>
  <c r="S19" i="3"/>
  <c r="V19" i="3" s="1"/>
  <c r="W19" i="3" s="1"/>
  <c r="AT19" i="3" s="1"/>
  <c r="I53" i="4"/>
  <c r="L480" i="2"/>
  <c r="L481" i="2"/>
  <c r="L482" i="2"/>
  <c r="L483" i="2"/>
  <c r="L484" i="2"/>
  <c r="L485" i="2"/>
  <c r="L486" i="2"/>
  <c r="L487" i="2"/>
  <c r="L344" i="2"/>
  <c r="L345" i="2"/>
  <c r="L346" i="2"/>
  <c r="L347" i="2"/>
  <c r="L348" i="2"/>
  <c r="L349" i="2"/>
  <c r="L350" i="2"/>
  <c r="L351" i="2"/>
  <c r="L352" i="2"/>
  <c r="L353" i="2"/>
  <c r="L354" i="2"/>
  <c r="L355" i="2"/>
  <c r="L356" i="2"/>
  <c r="L357" i="2"/>
  <c r="L358" i="2"/>
  <c r="L359" i="2"/>
  <c r="L360" i="2"/>
  <c r="Q360" i="2" s="1"/>
  <c r="L361" i="2"/>
  <c r="Q361" i="2" s="1"/>
  <c r="L362" i="2"/>
  <c r="Q362" i="2" s="1"/>
  <c r="L363" i="2"/>
  <c r="Q363" i="2" s="1"/>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Q54" i="2" s="1"/>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6" i="2"/>
  <c r="L7" i="2"/>
  <c r="L8" i="2"/>
  <c r="L9" i="2"/>
  <c r="L10" i="2"/>
  <c r="L11" i="2"/>
  <c r="L12" i="2"/>
  <c r="L13" i="2"/>
  <c r="L14" i="2"/>
  <c r="L15" i="2"/>
  <c r="L16" i="2"/>
  <c r="L17" i="2"/>
  <c r="L3" i="2"/>
  <c r="L4" i="2"/>
  <c r="L5" i="2"/>
  <c r="L2" i="2"/>
  <c r="AR514" i="3" l="1"/>
  <c r="W54" i="4"/>
  <c r="AA53" i="4"/>
  <c r="AH468" i="3"/>
  <c r="AH19" i="3"/>
  <c r="AR468" i="3"/>
  <c r="AR19" i="3"/>
  <c r="L488" i="2"/>
  <c r="Q486" i="2"/>
  <c r="Q324" i="2" l="1"/>
  <c r="Q326" i="2"/>
  <c r="Q327" i="2"/>
  <c r="O19" i="2" l="1"/>
  <c r="Q3" i="2" l="1"/>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2" i="2"/>
  <c r="O510" i="3"/>
  <c r="S384" i="3"/>
  <c r="S510" i="3" l="1"/>
  <c r="V384" i="3"/>
  <c r="W384" i="3" s="1"/>
  <c r="W510" i="3" l="1"/>
  <c r="AT510" i="3" s="1"/>
  <c r="AT512" i="3" s="1"/>
  <c r="AT384" i="3"/>
  <c r="AR384" i="3"/>
  <c r="AR510" i="3" s="1"/>
  <c r="AH384" i="3"/>
  <c r="AH510" i="3" s="1"/>
  <c r="V510" i="3"/>
  <c r="V518"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V1" authorId="0" shapeId="0" xr:uid="{00000000-0006-0000-0600-000001000000}">
      <text>
        <r>
          <rPr>
            <sz val="9"/>
            <color indexed="81"/>
            <rFont val="Tahoma"/>
            <family val="2"/>
          </rPr>
          <t xml:space="preserve">Forecast : 80% 'N' November &gt;10K
"Y" R balance
Contingency Nov balance
</t>
        </r>
      </text>
    </comment>
    <comment ref="AO29" authorId="0" shapeId="0" xr:uid="{00000000-0006-0000-0600-000002000000}">
      <text>
        <r>
          <rPr>
            <b/>
            <sz val="9"/>
            <color indexed="81"/>
            <rFont val="Tahoma"/>
            <family val="2"/>
          </rPr>
          <t xml:space="preserve">847.8470140.1.425510.000000.847951.200179 --- 2,463.55 
847.8470435.1.425510.000000.847001.200179 -- 4,567.50 
847.8471305.1.412546.000000.847001.100178 -- 5,565.00 
</t>
        </r>
      </text>
    </comment>
    <comment ref="AP29" authorId="0" shapeId="0" xr:uid="{00000000-0006-0000-0600-000003000000}">
      <text>
        <r>
          <rPr>
            <sz val="9"/>
            <color indexed="81"/>
            <rFont val="Tahoma"/>
            <family val="2"/>
          </rPr>
          <t xml:space="preserve">847.8470110.1.413121.000000.847001.100178-- 22,950.00 
847.8470730.1.415220.000000.847001.100178 -- 5,877.37 
847.8471140.1.426610.000000.847001.200179 -- 448.35 
847.8471160.1.435508.000000.847951.200179 -- 6,699.00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W3" authorId="0" shapeId="0" xr:uid="{00000000-0006-0000-0800-000001000000}">
      <text>
        <r>
          <rPr>
            <b/>
            <sz val="9"/>
            <color indexed="81"/>
            <rFont val="Tahoma"/>
            <family val="2"/>
          </rPr>
          <t>Author:</t>
        </r>
        <r>
          <rPr>
            <sz val="9"/>
            <color indexed="81"/>
            <rFont val="Tahoma"/>
            <family val="2"/>
          </rPr>
          <t xml:space="preserve">
PO and PR</t>
        </r>
      </text>
    </comment>
    <comment ref="W25" authorId="0" shapeId="0" xr:uid="{00000000-0006-0000-0800-000002000000}">
      <text>
        <r>
          <rPr>
            <b/>
            <sz val="9"/>
            <color indexed="81"/>
            <rFont val="Tahoma"/>
            <family val="2"/>
          </rPr>
          <t>Author:</t>
        </r>
        <r>
          <rPr>
            <sz val="9"/>
            <color indexed="81"/>
            <rFont val="Tahoma"/>
            <family val="2"/>
          </rPr>
          <t xml:space="preserve">
PR and PO
</t>
        </r>
      </text>
    </comment>
    <comment ref="W26" authorId="0" shapeId="0" xr:uid="{00000000-0006-0000-0800-000003000000}">
      <text>
        <r>
          <rPr>
            <b/>
            <sz val="9"/>
            <color indexed="81"/>
            <rFont val="Tahoma"/>
            <family val="2"/>
          </rPr>
          <t>Author:</t>
        </r>
        <r>
          <rPr>
            <sz val="9"/>
            <color indexed="81"/>
            <rFont val="Tahoma"/>
            <family val="2"/>
          </rPr>
          <t xml:space="preserve">
PO/PR</t>
        </r>
      </text>
    </comment>
    <comment ref="W29" authorId="0" shapeId="0" xr:uid="{00000000-0006-0000-0800-000004000000}">
      <text>
        <r>
          <rPr>
            <b/>
            <sz val="9"/>
            <color indexed="81"/>
            <rFont val="Tahoma"/>
            <family val="2"/>
          </rPr>
          <t>Author:</t>
        </r>
        <r>
          <rPr>
            <sz val="9"/>
            <color indexed="81"/>
            <rFont val="Tahoma"/>
            <family val="2"/>
          </rPr>
          <t xml:space="preserve">
PO and PR</t>
        </r>
      </text>
    </comment>
    <comment ref="W39" authorId="0" shapeId="0" xr:uid="{00000000-0006-0000-0800-000005000000}">
      <text>
        <r>
          <rPr>
            <b/>
            <sz val="9"/>
            <color indexed="81"/>
            <rFont val="Tahoma"/>
            <family val="2"/>
          </rPr>
          <t>Author:</t>
        </r>
        <r>
          <rPr>
            <sz val="9"/>
            <color indexed="81"/>
            <rFont val="Tahoma"/>
            <family val="2"/>
          </rPr>
          <t xml:space="preserve">
PO and PR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52" authorId="0" shapeId="0" xr:uid="{00000000-0006-0000-0B00-000001000000}">
      <text>
        <r>
          <rPr>
            <b/>
            <sz val="9"/>
            <color indexed="81"/>
            <rFont val="Tahoma"/>
            <family val="2"/>
          </rPr>
          <t>Transferred</t>
        </r>
      </text>
    </comment>
    <comment ref="K281" authorId="0" shapeId="0" xr:uid="{00000000-0006-0000-0B00-000002000000}">
      <text>
        <r>
          <rPr>
            <sz val="9"/>
            <color indexed="81"/>
            <rFont val="Tahoma"/>
            <family val="2"/>
          </rPr>
          <t xml:space="preserve">fund required to cover the deficit full year audit
</t>
        </r>
      </text>
    </comment>
    <comment ref="K305" authorId="0" shapeId="0" xr:uid="{00000000-0006-0000-0B00-000003000000}">
      <text>
        <r>
          <rPr>
            <sz val="9"/>
            <color indexed="81"/>
            <rFont val="Tahoma"/>
            <family val="2"/>
          </rPr>
          <t xml:space="preserve">reseach computering SLA with Ankbout
</t>
        </r>
      </text>
    </comment>
    <comment ref="K386" authorId="0" shapeId="0" xr:uid="{00000000-0006-0000-0B00-000004000000}">
      <text>
        <r>
          <rPr>
            <sz val="9"/>
            <color indexed="81"/>
            <rFont val="Tahoma"/>
            <family val="2"/>
          </rPr>
          <t xml:space="preserve">fund required to cover the deficit full year audit
</t>
        </r>
      </text>
    </comment>
    <comment ref="K397" authorId="0" shapeId="0" xr:uid="{00000000-0006-0000-0B00-000005000000}">
      <text>
        <r>
          <rPr>
            <b/>
            <sz val="9"/>
            <color indexed="81"/>
            <rFont val="Tahoma"/>
            <family val="2"/>
          </rPr>
          <t>Nov-22 salary payment inclusing airfare</t>
        </r>
      </text>
    </comment>
    <comment ref="K527" authorId="0" shapeId="0" xr:uid="{00000000-0006-0000-0B00-000006000000}">
      <text>
        <r>
          <rPr>
            <sz val="9"/>
            <color indexed="81"/>
            <rFont val="Tahoma"/>
            <family val="2"/>
          </rPr>
          <t xml:space="preserve">5.5M to cover the transportation agreement
</t>
        </r>
      </text>
    </comment>
    <comment ref="K539" authorId="0" shapeId="0" xr:uid="{00000000-0006-0000-0B00-000007000000}">
      <text>
        <r>
          <rPr>
            <sz val="9"/>
            <color indexed="81"/>
            <rFont val="Tahoma"/>
            <family val="2"/>
          </rPr>
          <t xml:space="preserve">not paid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52" authorId="0" shapeId="0" xr:uid="{00000000-0006-0000-0D00-000001000000}">
      <text>
        <r>
          <rPr>
            <b/>
            <sz val="9"/>
            <color indexed="81"/>
            <rFont val="Tahoma"/>
            <family val="2"/>
          </rPr>
          <t>Transferred</t>
        </r>
      </text>
    </comment>
    <comment ref="K281" authorId="0" shapeId="0" xr:uid="{00000000-0006-0000-0D00-000002000000}">
      <text>
        <r>
          <rPr>
            <sz val="9"/>
            <color indexed="81"/>
            <rFont val="Tahoma"/>
            <family val="2"/>
          </rPr>
          <t xml:space="preserve">fund required to cover the deficit full year audit
</t>
        </r>
      </text>
    </comment>
    <comment ref="K305" authorId="0" shapeId="0" xr:uid="{00000000-0006-0000-0D00-000003000000}">
      <text>
        <r>
          <rPr>
            <sz val="9"/>
            <color indexed="81"/>
            <rFont val="Tahoma"/>
            <family val="2"/>
          </rPr>
          <t xml:space="preserve">reseach computering SLA with Ankbout
</t>
        </r>
      </text>
    </comment>
    <comment ref="K386" authorId="0" shapeId="0" xr:uid="{00000000-0006-0000-0D00-000004000000}">
      <text>
        <r>
          <rPr>
            <sz val="9"/>
            <color indexed="81"/>
            <rFont val="Tahoma"/>
            <family val="2"/>
          </rPr>
          <t xml:space="preserve">fund required to cover the deficit full year audit
</t>
        </r>
      </text>
    </comment>
    <comment ref="K397" authorId="0" shapeId="0" xr:uid="{00000000-0006-0000-0D00-000005000000}">
      <text>
        <r>
          <rPr>
            <b/>
            <sz val="9"/>
            <color indexed="81"/>
            <rFont val="Tahoma"/>
            <family val="2"/>
          </rPr>
          <t>Nov-22 salary payment inclusing airfare</t>
        </r>
      </text>
    </comment>
    <comment ref="K527" authorId="0" shapeId="0" xr:uid="{00000000-0006-0000-0D00-000006000000}">
      <text>
        <r>
          <rPr>
            <sz val="9"/>
            <color indexed="81"/>
            <rFont val="Tahoma"/>
            <family val="2"/>
          </rPr>
          <t xml:space="preserve">5.5M to cover the transportation agreement
</t>
        </r>
      </text>
    </comment>
    <comment ref="K539" authorId="0" shapeId="0" xr:uid="{00000000-0006-0000-0D00-000007000000}">
      <text>
        <r>
          <rPr>
            <sz val="9"/>
            <color indexed="81"/>
            <rFont val="Tahoma"/>
            <family val="2"/>
          </rPr>
          <t xml:space="preserve">not paid
</t>
        </r>
      </text>
    </comment>
  </commentList>
</comments>
</file>

<file path=xl/sharedStrings.xml><?xml version="1.0" encoding="utf-8"?>
<sst xmlns="http://schemas.openxmlformats.org/spreadsheetml/2006/main" count="11090" uniqueCount="1273">
  <si>
    <t/>
  </si>
  <si>
    <t>Chapter Name</t>
  </si>
  <si>
    <t>Cost Center Code</t>
  </si>
  <si>
    <t>Cost Center Description</t>
  </si>
  <si>
    <t>Account Code</t>
  </si>
  <si>
    <t>Account Description</t>
  </si>
  <si>
    <t>GL Account Combination</t>
  </si>
  <si>
    <t>Annual Budget</t>
  </si>
  <si>
    <t>Revised Budget</t>
  </si>
  <si>
    <t>Actual Amount</t>
  </si>
  <si>
    <t>PR</t>
  </si>
  <si>
    <t>PO</t>
  </si>
  <si>
    <t>Fund Available</t>
  </si>
  <si>
    <t>Oct-22 Utilization Plan</t>
  </si>
  <si>
    <t>Nov-22 Utilization Plan</t>
  </si>
  <si>
    <t>Dec-22 Utilization Plan</t>
  </si>
  <si>
    <t>Utilization Justification</t>
  </si>
  <si>
    <t>Budget Surplus Amount</t>
  </si>
  <si>
    <t>Surplus Justification</t>
  </si>
  <si>
    <t>2 Other Operating Costs</t>
  </si>
  <si>
    <t>KUST - Office of the President</t>
  </si>
  <si>
    <t>Academic Advisory Service</t>
  </si>
  <si>
    <t>847.8470110.1.420550.000000.847001.200179</t>
  </si>
  <si>
    <t>Academic Collaborative Partnership Services</t>
  </si>
  <si>
    <t>847.8470110.1.420570.000000.847001.200179</t>
  </si>
  <si>
    <t>Legal services</t>
  </si>
  <si>
    <t>847.8470110.1.420900.000000.847001.200179</t>
  </si>
  <si>
    <t>Management consultancy</t>
  </si>
  <si>
    <t>847.8470110.1.421000.000000.847001.200179</t>
  </si>
  <si>
    <t>Standards Certification Services (e.g. ISO)</t>
  </si>
  <si>
    <t>847.8470110.1.421700.000000.847001.200179</t>
  </si>
  <si>
    <t>Conferences, seminars and exhibitions and other events: - Local Events</t>
  </si>
  <si>
    <t>847.8470110.1.425510.000000.847001.200179</t>
  </si>
  <si>
    <t>Conferences, seminars and exhibitions and other events: - Overseas event</t>
  </si>
  <si>
    <t>847.8470110.1.425550.000000.847001.200179</t>
  </si>
  <si>
    <t>Entertainment and hospitality</t>
  </si>
  <si>
    <t>847.8470110.1.425900.000000.847001.200179</t>
  </si>
  <si>
    <t>Computer software licenses-Software License Renewal</t>
  </si>
  <si>
    <t>847.8470110.1.426610.000000.847001.200179</t>
  </si>
  <si>
    <t>Business Travel - Combined expenses</t>
  </si>
  <si>
    <t>847.8470110.1.428090.000000.847001.200179</t>
  </si>
  <si>
    <t>Sponsorship expenses/contributions</t>
  </si>
  <si>
    <t>847.8470110.1.428400.000000.847001.200179</t>
  </si>
  <si>
    <t>Events - Awards, prizes &amp; gifts</t>
  </si>
  <si>
    <t>847.8470110.1.428640.000000.847001.200179</t>
  </si>
  <si>
    <t>KUST - Audit</t>
  </si>
  <si>
    <t>Internal Audit service</t>
  </si>
  <si>
    <t>847.8470120.1.420120.000000.847001.200179</t>
  </si>
  <si>
    <t>KUST - Institutional Research &amp; Planning</t>
  </si>
  <si>
    <t>847.8470130.1.421000.000000.847001.200179</t>
  </si>
  <si>
    <t>847.8470130.1.426610.000000.847001.200179</t>
  </si>
  <si>
    <t>Subscriptions and membership fees: Trade organisations</t>
  </si>
  <si>
    <t>847.8470130.1.427710.000000.847001.200179</t>
  </si>
  <si>
    <t>847.8470130.1.428090.000000.847001.200179</t>
  </si>
  <si>
    <t>KUST - Communication</t>
  </si>
  <si>
    <t>Advertising Services (General)</t>
  </si>
  <si>
    <t>847.8470140.1.425100.000000.847001.200179</t>
  </si>
  <si>
    <t>847.8470140.1.425510.000000.847001.200179</t>
  </si>
  <si>
    <t>847.8470140.1.425550.000000.847001.200179</t>
  </si>
  <si>
    <t>Student Project Expenses</t>
  </si>
  <si>
    <t>847.8470140.1.425763.000000.847050.200179</t>
  </si>
  <si>
    <t>Public relations</t>
  </si>
  <si>
    <t>847.8470140.1.427100.000000.847001.200179</t>
  </si>
  <si>
    <t>Printing and publishing</t>
  </si>
  <si>
    <t>847.8470140.1.427200.000000.847001.200179</t>
  </si>
  <si>
    <t>847.8470140.1.428640.000000.847001.200179</t>
  </si>
  <si>
    <t>Newspapers, magazines, journals, etc</t>
  </si>
  <si>
    <t>847.8470140.1.435310.000000.847001.200179</t>
  </si>
  <si>
    <t>Photography - Consumable materials /Tools</t>
  </si>
  <si>
    <t>847.8470140.1.435519.000000.847001.200179</t>
  </si>
  <si>
    <t>KUST - General Counsel</t>
  </si>
  <si>
    <t>847.8470150.1.420900.000000.847001.200179</t>
  </si>
  <si>
    <t>KUST - Khalifa University of Science &amp; Technology - General Administration</t>
  </si>
  <si>
    <t>847.8470210.1.420570.000000.847001.200179</t>
  </si>
  <si>
    <t>Academic Missions - Combined expenses</t>
  </si>
  <si>
    <t>847.8470210.1.425770.000000.847001.200179</t>
  </si>
  <si>
    <t>847.8470210.1.427200.000000.847001.200179</t>
  </si>
  <si>
    <t>847.8470210.1.428090.000000.847001.200179</t>
  </si>
  <si>
    <t>847.8470210.1.428640.000000.847001.200179</t>
  </si>
  <si>
    <t>Academic Publications</t>
  </si>
  <si>
    <t>847.8470210.1.435350.000000.847001.200179</t>
  </si>
  <si>
    <t>Scientific</t>
  </si>
  <si>
    <t>847.8470210.1.435523.000000.847001.200179</t>
  </si>
  <si>
    <t>KUST - Office of the Provost</t>
  </si>
  <si>
    <t>847.8470220.1.420550.000000.847001.200179</t>
  </si>
  <si>
    <t>847.8470220.1.420570.000000.847001.200179</t>
  </si>
  <si>
    <t>847.8470220.1.421700.000000.847001.200179</t>
  </si>
  <si>
    <t>847.8470220.1.425510.000000.847001.200179</t>
  </si>
  <si>
    <t>847.8470220.1.425550.000000.847001.200179</t>
  </si>
  <si>
    <t>Scholarships &amp; other financial aid</t>
  </si>
  <si>
    <t>847.8470220.1.425740.000000.847001.200179</t>
  </si>
  <si>
    <t>847.8470220.1.425900.000000.847001.200179</t>
  </si>
  <si>
    <t>847.8470220.1.426610.000000.847001.200179</t>
  </si>
  <si>
    <t>847.8470220.1.428090.000000.847001.200179</t>
  </si>
  <si>
    <t>847.8470220.1.428640.000000.847001.200179</t>
  </si>
  <si>
    <t>Maintenance: Computers and peripherals-End user and Infrastructure components maintenance and support</t>
  </si>
  <si>
    <t>847.8470220.1.432205.000000.847001.200179</t>
  </si>
  <si>
    <t>KUST - Graduate Studies</t>
  </si>
  <si>
    <t>847.8470230.1.420550.000000.847001.200179</t>
  </si>
  <si>
    <t>847.8470230.1.425100.000000.847001.200179</t>
  </si>
  <si>
    <t>847.8470230.1.425510.000000.847001.200179</t>
  </si>
  <si>
    <t>847.8470230.1.425550.000000.847001.200179</t>
  </si>
  <si>
    <t>Graduation rewards</t>
  </si>
  <si>
    <t>847.8470230.1.425743.000000.847001.200179</t>
  </si>
  <si>
    <t>Student medical insurance</t>
  </si>
  <si>
    <t>847.8470230.1.425744.000000.847001.200179</t>
  </si>
  <si>
    <t>Student relocation &amp; travel exps</t>
  </si>
  <si>
    <t>847.8470230.1.425745.000000.847001.200179</t>
  </si>
  <si>
    <t>Postgraduate Student Salaries</t>
  </si>
  <si>
    <t>847.8470230.1.425749.000000.847001.200179</t>
  </si>
  <si>
    <t>Student Field trips</t>
  </si>
  <si>
    <t>847.8470230.1.425761.000000.847001.200179</t>
  </si>
  <si>
    <t>Student Internship</t>
  </si>
  <si>
    <t>847.8470230.1.425762.000000.847001.200179</t>
  </si>
  <si>
    <t>847.8470230.1.425900.000000.847001.200179</t>
  </si>
  <si>
    <t>847.8470230.1.426610.000000.847001.200179</t>
  </si>
  <si>
    <t>847.8470230.1.428090.000000.847001.200179</t>
  </si>
  <si>
    <t>847.8470230.1.428640.000000.847001.200179</t>
  </si>
  <si>
    <t>436110</t>
  </si>
  <si>
    <t>Printing supplies</t>
  </si>
  <si>
    <t>847.8470230.1.436110.000000.847001.200179</t>
  </si>
  <si>
    <t>KUST - Dean Of Engineering</t>
  </si>
  <si>
    <t>847.8470305.1.420550.000000.847001.200179</t>
  </si>
  <si>
    <t>847.8470305.1.420570.000000.847001.200179</t>
  </si>
  <si>
    <t>847.8470305.1.421700.000000.847001.200179</t>
  </si>
  <si>
    <t>847.8470305.1.425510.000000.847001.200179</t>
  </si>
  <si>
    <t>847.8470305.1.425763.000000.847001.200179</t>
  </si>
  <si>
    <t>847.8470305.1.425770.000000.847001.200179</t>
  </si>
  <si>
    <t>847.8470305.1.425900.000000.847001.200179</t>
  </si>
  <si>
    <t>847.8470305.1.426610.000000.847001.200179</t>
  </si>
  <si>
    <t>847.8470305.1.428090.000000.847001.200179</t>
  </si>
  <si>
    <t>847.8470305.1.428640.000000.847001.200179</t>
  </si>
  <si>
    <t>Laboratory equipment</t>
  </si>
  <si>
    <t>847.8470305.1.432209.000000.847001.200179</t>
  </si>
  <si>
    <t>847.8470305.1.435350.000000.847001.200179</t>
  </si>
  <si>
    <t>Laboratory - Scientific</t>
  </si>
  <si>
    <t>847.8470305.1.435508.000000.847001.200179</t>
  </si>
  <si>
    <t>Training/Teaching equipment and other educational aid</t>
  </si>
  <si>
    <t>847.8470305.1.436600.000000.847001.200179</t>
  </si>
  <si>
    <t>KUST - Aerospace Engineering</t>
  </si>
  <si>
    <t>847.8470310.1.420550.000000.847001.200179</t>
  </si>
  <si>
    <t>847.8470310.1.425510.000000.847001.200179</t>
  </si>
  <si>
    <t>Student activities &amp; field trip expenses</t>
  </si>
  <si>
    <t>847.8470310.1.425760.000000.847001.200179</t>
  </si>
  <si>
    <t>847.8470310.1.425763.000000.847001.200179</t>
  </si>
  <si>
    <t>847.8470310.1.425770.000000.847001.200179</t>
  </si>
  <si>
    <t>847.8470310.1.425900.000000.847001.200179</t>
  </si>
  <si>
    <t>847.8470310.1.426610.000000.847001.200179</t>
  </si>
  <si>
    <t>847.8470310.1.428090.000000.847001.200179</t>
  </si>
  <si>
    <t>847.8470310.1.432209.000000.847001.200179</t>
  </si>
  <si>
    <t>847.8470310.1.435350.000000.847001.200179</t>
  </si>
  <si>
    <t>847.8470310.1.435508.000000.847001.200179</t>
  </si>
  <si>
    <t>847.8470310.1.436110.000000.847001.200179</t>
  </si>
  <si>
    <t>847.8470310.1.436600.000000.847001.200179</t>
  </si>
  <si>
    <t>KUST - Biomedical Engineering</t>
  </si>
  <si>
    <t>847.8470315.1.420550.000000.847001.200179</t>
  </si>
  <si>
    <t>847.8470315.1.425510.000000.847001.200179</t>
  </si>
  <si>
    <t>847.8470315.1.425760.000000.847001.200179</t>
  </si>
  <si>
    <t>847.8470315.1.425763.000000.847001.200179</t>
  </si>
  <si>
    <t>847.8470315.1.425770.000000.847001.200179</t>
  </si>
  <si>
    <t>847.8470315.1.425900.000000.847001.200179</t>
  </si>
  <si>
    <t>847.8470315.1.426610.000000.847001.200179</t>
  </si>
  <si>
    <t>847.8470315.1.428090.000000.847001.200179</t>
  </si>
  <si>
    <t>847.8470315.1.432209.000000.847001.200179</t>
  </si>
  <si>
    <t>847.8470315.1.435350.000000.847001.200179</t>
  </si>
  <si>
    <t>847.8470315.1.435508.000000.847001.200179</t>
  </si>
  <si>
    <t>847.8470315.1.436110.000000.847001.200179</t>
  </si>
  <si>
    <t>847.8470315.1.436600.000000.847001.200179</t>
  </si>
  <si>
    <t>KUST - Chemical Engineering</t>
  </si>
  <si>
    <t>847.8470320.1.420550.000000.847001.200179</t>
  </si>
  <si>
    <t>847.8470320.1.425510.000000.847001.200179</t>
  </si>
  <si>
    <t>847.8470320.1.425760.000000.847001.200179</t>
  </si>
  <si>
    <t>847.8470320.1.425763.000000.847001.200179</t>
  </si>
  <si>
    <t>847.8470320.1.425770.000000.847001.200179</t>
  </si>
  <si>
    <t>847.8470320.1.425900.000000.847001.200179</t>
  </si>
  <si>
    <t>847.8470320.1.426610.000000.847001.200179</t>
  </si>
  <si>
    <t>847.8470320.1.428090.000000.847001.200179</t>
  </si>
  <si>
    <t>847.8470320.1.435350.000000.847001.200179</t>
  </si>
  <si>
    <t>847.8470320.1.435508.000000.847001.200179</t>
  </si>
  <si>
    <t>847.8470320.1.436110.000000.847001.200179</t>
  </si>
  <si>
    <t>847.8470320.1.436600.000000.847001.200179</t>
  </si>
  <si>
    <t>KUST - Civil Engineering</t>
  </si>
  <si>
    <t>847.8470325.1.420550.000000.847001.200179</t>
  </si>
  <si>
    <t>847.8470325.1.425510.000000.847001.200179</t>
  </si>
  <si>
    <t>847.8470325.1.425760.000000.847001.200179</t>
  </si>
  <si>
    <t>847.8470325.1.425763.000000.847001.200179</t>
  </si>
  <si>
    <t>847.8470325.1.425770.000000.847001.200179</t>
  </si>
  <si>
    <t>847.8470325.1.426610.000000.847001.200179</t>
  </si>
  <si>
    <t>847.8470325.1.428090.000000.847001.200179</t>
  </si>
  <si>
    <t>847.8470325.1.432209.000000.847001.200179</t>
  </si>
  <si>
    <t>847.8470325.1.435350.000000.847001.200179</t>
  </si>
  <si>
    <t>847.8470325.1.435508.000000.847001.200179</t>
  </si>
  <si>
    <t>KUST - Electrical &amp; Computer Engineering</t>
  </si>
  <si>
    <t>847.8470330.1.420550.000000.847001.200179</t>
  </si>
  <si>
    <t>847.8470330.1.425510.000000.847001.200179</t>
  </si>
  <si>
    <t>847.8470330.1.425760.000000.847001.200179</t>
  </si>
  <si>
    <t>847.8470330.1.425763.000000.847001.200179</t>
  </si>
  <si>
    <t>847.8470330.1.425770.000000.847001.200179</t>
  </si>
  <si>
    <t>847.8470330.1.425900.000000.847001.200179</t>
  </si>
  <si>
    <t>847.8470330.1.426610.000000.847001.200179</t>
  </si>
  <si>
    <t>847.8470330.1.428640.000000.847001.200179</t>
  </si>
  <si>
    <t>847.8470330.1.432209.000000.847001.200179</t>
  </si>
  <si>
    <t>Text books and library books</t>
  </si>
  <si>
    <t>847.8470330.1.435340.000000.847001.200179</t>
  </si>
  <si>
    <t>847.8470330.1.435350.000000.847001.200179</t>
  </si>
  <si>
    <t>847.8470330.1.435508.000000.847001.200179</t>
  </si>
  <si>
    <t>847.8470330.1.436600.000000.847001.200179</t>
  </si>
  <si>
    <t>KUST - Industrial &amp; Systems Engineering</t>
  </si>
  <si>
    <t>847.8470335.1.420550.000000.847001.200179</t>
  </si>
  <si>
    <t>847.8470335.1.425510.000000.847001.200179</t>
  </si>
  <si>
    <t>847.8470335.1.425760.000000.847001.200179</t>
  </si>
  <si>
    <t>847.8470335.1.425763.000000.847001.200179</t>
  </si>
  <si>
    <t>847.8470335.1.425770.000000.847001.200179</t>
  </si>
  <si>
    <t>847.8470335.1.425900.000000.847001.200179</t>
  </si>
  <si>
    <t>847.8470335.1.426610.000000.847001.200179</t>
  </si>
  <si>
    <t>847.8470335.1.428090.000000.847001.200179</t>
  </si>
  <si>
    <t>847.8470335.1.435350.000000.847001.200179</t>
  </si>
  <si>
    <t>847.8470335.1.435508.000000.847001.200179</t>
  </si>
  <si>
    <t>847.8470335.1.436110.000000.847001.200179</t>
  </si>
  <si>
    <t>847.8470335.1.436600.000000.847001.200179</t>
  </si>
  <si>
    <t>KUST - Mechanical Engineering</t>
  </si>
  <si>
    <t>847.8470340.1.420550.000000.847001.200179</t>
  </si>
  <si>
    <t>847.8470340.1.425510.000000.847001.200179</t>
  </si>
  <si>
    <t>425720</t>
  </si>
  <si>
    <t>Education-Outsourced training service</t>
  </si>
  <si>
    <t>847.8470340.1.425720.000000.847001.200179</t>
  </si>
  <si>
    <t>847.8470340.1.425760.000000.847001.200179</t>
  </si>
  <si>
    <t>847.8470340.1.425763.000000.847001.200179</t>
  </si>
  <si>
    <t>847.8470340.1.425770.000000.847001.200179</t>
  </si>
  <si>
    <t>847.8470340.1.425900.000000.847001.200179</t>
  </si>
  <si>
    <t>847.8470340.1.426610.000000.847001.200179</t>
  </si>
  <si>
    <t>847.8470340.1.432209.000000.847001.200179</t>
  </si>
  <si>
    <t>847.8470340.1.435350.000000.847001.200179</t>
  </si>
  <si>
    <t>847.8470340.1.435508.000000.847001.200179</t>
  </si>
  <si>
    <t>KUST - Nuclear Engineering</t>
  </si>
  <si>
    <t>847.8470345.1.420550.000000.847001.200179</t>
  </si>
  <si>
    <t>847.8470345.1.425510.000000.847001.200179</t>
  </si>
  <si>
    <t>847.8470345.1.425760.000000.847001.200179</t>
  </si>
  <si>
    <t>847.8470345.1.425770.000000.847001.200179</t>
  </si>
  <si>
    <t>847.8470345.1.425900.000000.847001.200179</t>
  </si>
  <si>
    <t>847.8470345.1.426610.000000.847001.200179</t>
  </si>
  <si>
    <t>847.8470345.1.428090.000000.847001.200179</t>
  </si>
  <si>
    <t>847.8470345.1.435350.000000.847001.200179</t>
  </si>
  <si>
    <t>847.8470345.1.435508.000000.847001.200179</t>
  </si>
  <si>
    <t>847.8470345.1.436110.000000.847001.200179</t>
  </si>
  <si>
    <t>847.8470345.1.436600.000000.847001.200179</t>
  </si>
  <si>
    <t>KUST - Petroleum Engineering</t>
  </si>
  <si>
    <t>847.8470350.1.425510.000000.847001.200179</t>
  </si>
  <si>
    <t>847.8470350.1.425760.000000.847001.200179</t>
  </si>
  <si>
    <t>847.8470350.1.425763.000000.847001.200179</t>
  </si>
  <si>
    <t>847.8470350.1.425770.000000.847001.200179</t>
  </si>
  <si>
    <t>847.8470350.1.425900.000000.847001.200179</t>
  </si>
  <si>
    <t>847.8470350.1.426610.000000.847001.200179</t>
  </si>
  <si>
    <t>847.8470350.1.432209.000000.847001.200179</t>
  </si>
  <si>
    <t>847.8470350.1.435340.000000.847001.200179</t>
  </si>
  <si>
    <t>847.8470350.1.435350.000000.847001.200179</t>
  </si>
  <si>
    <t>847.8470350.1.435508.000000.847001.200179</t>
  </si>
  <si>
    <t>847.8470350.1.436110.000000.847001.200179</t>
  </si>
  <si>
    <t>847.8470350.1.436600.000000.847001.200179</t>
  </si>
  <si>
    <t>KUST - Dean Of Arts &amp; Science</t>
  </si>
  <si>
    <t>847.8470405.1.420550.000000.847001.200179</t>
  </si>
  <si>
    <t>847.8470405.1.421700.000000.847001.200179</t>
  </si>
  <si>
    <t>847.8470405.1.425510.000000.847001.200179</t>
  </si>
  <si>
    <t>847.8470405.1.425550.000000.847001.200179</t>
  </si>
  <si>
    <t>847.8470405.1.425770.000000.847001.200179</t>
  </si>
  <si>
    <t>847.8470405.1.427710.000000.847001.200179</t>
  </si>
  <si>
    <t>847.8470405.1.432209.000000.847001.200179</t>
  </si>
  <si>
    <t>847.8470405.1.435350.000000.847001.200179</t>
  </si>
  <si>
    <t>KUST - Institute of International &amp; Civil Security</t>
  </si>
  <si>
    <t>847.8470410.1.425761.000000.847001.200179</t>
  </si>
  <si>
    <t>847.8470410.1.425770.000000.847001.200179</t>
  </si>
  <si>
    <t>847.8470410.1.426610.000000.847001.200179</t>
  </si>
  <si>
    <t>847.8470410.1.435310.000000.847001.200179</t>
  </si>
  <si>
    <t>847.8470410.1.435350.000000.847001.200179</t>
  </si>
  <si>
    <t>KUST - Chemistry</t>
  </si>
  <si>
    <t>847.8470415.1.421700.000000.847001.200179</t>
  </si>
  <si>
    <t>847.8470415.1.425100.000000.847001.200179</t>
  </si>
  <si>
    <t>847.8470415.1.425760.000000.847001.200179</t>
  </si>
  <si>
    <t>847.8470415.1.425763.000000.847001.200179</t>
  </si>
  <si>
    <t>847.8470415.1.425770.000000.847001.200179</t>
  </si>
  <si>
    <t>847.8470415.1.425900.000000.847001.200179</t>
  </si>
  <si>
    <t>847.8470415.1.426610.000000.847001.200179</t>
  </si>
  <si>
    <t>847.8470415.1.428640.000000.847001.200179</t>
  </si>
  <si>
    <t>847.8470415.1.432209.000000.847001.200179</t>
  </si>
  <si>
    <t>847.8470415.1.435350.000000.847001.200179</t>
  </si>
  <si>
    <t>847.8470415.1.435508.000000.847001.200179</t>
  </si>
  <si>
    <t>847.8470415.1.435519.000000.847001.200179</t>
  </si>
  <si>
    <t>KUST - Physics</t>
  </si>
  <si>
    <t>847.8470425.1.425510.000000.847001.200179</t>
  </si>
  <si>
    <t>847.8470425.1.425550.000000.847001.200179</t>
  </si>
  <si>
    <t>847.8470425.1.425770.000000.847001.200179</t>
  </si>
  <si>
    <t>847.8470425.1.425900.000000.847001.200179</t>
  </si>
  <si>
    <t>847.8470425.1.426610.000000.847001.200179</t>
  </si>
  <si>
    <t>847.8470425.1.428090.000000.847001.200179</t>
  </si>
  <si>
    <t>847.8470425.1.435350.000000.847001.200179</t>
  </si>
  <si>
    <t>847.8470425.1.435508.000000.847001.200179</t>
  </si>
  <si>
    <t>KUST - Preparatory Program</t>
  </si>
  <si>
    <t>847.8470430.1.425761.000000.847001.200179</t>
  </si>
  <si>
    <t>847.8470430.1.425770.000000.847001.200179</t>
  </si>
  <si>
    <t>847.8470430.1.425900.000000.847001.200179</t>
  </si>
  <si>
    <t>847.8470430.1.426610.000000.847001.200179</t>
  </si>
  <si>
    <t>847.8470430.1.432209.000000.847001.200179</t>
  </si>
  <si>
    <t>847.8470430.1.435508.000000.847001.200179</t>
  </si>
  <si>
    <t>KUST - Department of English</t>
  </si>
  <si>
    <t>847.8470435.1.425770.000000.847001.200179</t>
  </si>
  <si>
    <t>847.8470435.1.426610.000000.847001.200179</t>
  </si>
  <si>
    <t>847.8470435.1.435340.000000.847001.200179</t>
  </si>
  <si>
    <t>847.8470435.1.436600.000000.847001.200179</t>
  </si>
  <si>
    <t>KUST - Humanities &amp; Social Sciences</t>
  </si>
  <si>
    <t>847.8470440.1.420550.000000.847001.200179</t>
  </si>
  <si>
    <t>847.8470440.1.420570.000000.847001.200179</t>
  </si>
  <si>
    <t>847.8470440.1.421700.000000.847001.200179</t>
  </si>
  <si>
    <t>847.8470440.1.425100.000000.847001.200179</t>
  </si>
  <si>
    <t>847.8470440.1.425510.000000.847001.200179</t>
  </si>
  <si>
    <t>847.8470440.1.425550.000000.847001.200179</t>
  </si>
  <si>
    <t>847.8470440.1.425761.000000.847001.200179</t>
  </si>
  <si>
    <t>847.8470440.1.425770.000000.847001.200179</t>
  </si>
  <si>
    <t>847.8470440.1.425900.000000.847001.200179</t>
  </si>
  <si>
    <t>847.8470440.1.426610.000000.847001.200179</t>
  </si>
  <si>
    <t>847.8470440.1.427710.000000.847001.200179</t>
  </si>
  <si>
    <t>847.8470440.1.428090.000000.847001.200179</t>
  </si>
  <si>
    <t>847.8470440.1.428640.000000.847001.200179</t>
  </si>
  <si>
    <t>847.8470440.1.435340.000000.847001.200179</t>
  </si>
  <si>
    <t>847.8470440.1.435350.000000.847001.200179</t>
  </si>
  <si>
    <t>847.8470440.1.436600.000000.847001.200179</t>
  </si>
  <si>
    <t>KUST - Mathematics</t>
  </si>
  <si>
    <t>847.8470445.1.425100.000000.847001.200179</t>
  </si>
  <si>
    <t>847.8470445.1.425720.000000.847001.200179</t>
  </si>
  <si>
    <t>847.8470445.1.425760.000000.847001.200179</t>
  </si>
  <si>
    <t>847.8470445.1.425763.000000.847001.200179</t>
  </si>
  <si>
    <t>847.8470445.1.425770.000000.847001.200179</t>
  </si>
  <si>
    <t>847.8470445.1.426610.000000.847001.200179</t>
  </si>
  <si>
    <t>847.8470445.1.435350.000000.847001.200179</t>
  </si>
  <si>
    <t>KUST - Earth Science</t>
  </si>
  <si>
    <t>847.8470450.1.425761.000000.847001.200179</t>
  </si>
  <si>
    <t>847.8470450.1.425770.000000.847001.200179</t>
  </si>
  <si>
    <t>847.8470450.1.426610.000000.847001.200179</t>
  </si>
  <si>
    <t>847.8470450.1.428090.000000.847001.200179</t>
  </si>
  <si>
    <t>847.8470450.1.432209.000000.847001.200179</t>
  </si>
  <si>
    <t>847.8470450.1.435350.000000.847001.200179</t>
  </si>
  <si>
    <t>847.8470450.1.435508.000000.847001.200179</t>
  </si>
  <si>
    <t>KUST – Biology</t>
  </si>
  <si>
    <t>847.8470455.1.425760.000000.847001.200179</t>
  </si>
  <si>
    <t>847.8470455.1.425770.000000.847001.200179</t>
  </si>
  <si>
    <t>847.8470455.1.425900.000000.847001.200179</t>
  </si>
  <si>
    <t>847.8470455.1.426610.000000.847001.200179</t>
  </si>
  <si>
    <t>847.8470455.1.428090.000000.847001.200179</t>
  </si>
  <si>
    <t>847.8470455.1.428640.000000.847001.200179</t>
  </si>
  <si>
    <t>847.8470455.1.432209.000000.847001.200179</t>
  </si>
  <si>
    <t>847.8470455.1.435350.000000.847001.200179</t>
  </si>
  <si>
    <t>847.8470455.1.435508.000000.847001.200179</t>
  </si>
  <si>
    <t>847.8470455.1.436110.000000.847001.200179</t>
  </si>
  <si>
    <t>KUST - Environment, Health &amp; Safety</t>
  </si>
  <si>
    <t>847.8470520.1.425510.000000.847001.200179</t>
  </si>
  <si>
    <t>Freight and shipping costs, not included elsewhere under purchase costs</t>
  </si>
  <si>
    <t>847.8470520.1.426100.000000.847001.200179</t>
  </si>
  <si>
    <t>847.8470520.1.427710.000000.847001.200179</t>
  </si>
  <si>
    <t>Health,safety&amp;environment awareness</t>
  </si>
  <si>
    <t>847.8470520.1.428200.000000.847001.200179</t>
  </si>
  <si>
    <t>847.8470520.1.428200.000000.847951.200179</t>
  </si>
  <si>
    <t>8470530</t>
  </si>
  <si>
    <t>KUST - Facilities Management</t>
  </si>
  <si>
    <t>Cleaning Services: Business premises</t>
  </si>
  <si>
    <t>847.8470530.1.420310.000000.847010.200179</t>
  </si>
  <si>
    <t>847.8470530.1.420310.000000.847015.200179</t>
  </si>
  <si>
    <t>847.8470530.1.420310.000000.847020.200179</t>
  </si>
  <si>
    <t>847.8470530.1.421000.000000.847010.200179</t>
  </si>
  <si>
    <t>Manpower supply "Other Than IT Related"</t>
  </si>
  <si>
    <t>847.8470530.1.421100.000000.847010.200179</t>
  </si>
  <si>
    <t>Security service</t>
  </si>
  <si>
    <t>847.8470530.1.421600.000000.847010.200179</t>
  </si>
  <si>
    <t>847.8470530.1.421600.000000.847015.200179</t>
  </si>
  <si>
    <t>847.8470530.1.421600.000000.847020.200179</t>
  </si>
  <si>
    <t>847.8470530.1.421600.000000.847030.200179</t>
  </si>
  <si>
    <t>847.8470530.1.421700.000000.847010.200179</t>
  </si>
  <si>
    <t>847.8470530.1.425510.000000.847010.200179</t>
  </si>
  <si>
    <t>847.8470530.1.425900.000000.847010.200179</t>
  </si>
  <si>
    <t>Insurance - Fire and allied perils</t>
  </si>
  <si>
    <t>847.8470530.1.426220.000000.847010.200179</t>
  </si>
  <si>
    <t>847.8470530.1.426220.000000.847030.200179</t>
  </si>
  <si>
    <t>Insurance - Motor vehicles</t>
  </si>
  <si>
    <t>847.8470530.1.426250.000000.847010.200179</t>
  </si>
  <si>
    <t>847.8470530.1.428090.000000.847001.200179</t>
  </si>
  <si>
    <t>Rental - Land</t>
  </si>
  <si>
    <t>847.8470530.1.430110.000000.847020.200179</t>
  </si>
  <si>
    <t>Bldg maintenance-Business premises</t>
  </si>
  <si>
    <t>847.8470530.1.432120.000000.847010.200179</t>
  </si>
  <si>
    <t>847.8470530.1.432120.000000.847015.200179</t>
  </si>
  <si>
    <t>847.8470530.1.432120.000000.847020.200179</t>
  </si>
  <si>
    <t>847.8470530.1.432120.000000.847030.200179</t>
  </si>
  <si>
    <t>Bldg decoration &amp; minor improvements</t>
  </si>
  <si>
    <t>847.8470530.1.432170.000000.847010.200179</t>
  </si>
  <si>
    <t>Maintenance: Residential Furniture and fixtures</t>
  </si>
  <si>
    <t>847.8470530.1.432320.000000.847010.200179</t>
  </si>
  <si>
    <t>Sports and other recreational supplies: Students</t>
  </si>
  <si>
    <t>847.8470530.1.436340.000000.847001.200179</t>
  </si>
  <si>
    <t>KUST - Administration</t>
  </si>
  <si>
    <t>847.8470540.1.421100.000000.847010.200179</t>
  </si>
  <si>
    <t>Motor vehicle registration and inspection charges</t>
  </si>
  <si>
    <t>847.8470540.1.426800.000000.847010.200179</t>
  </si>
  <si>
    <t>Postal, courier and other document delivery expenses</t>
  </si>
  <si>
    <t>847.8470540.1.426900.000000.847010.200179</t>
  </si>
  <si>
    <t>847.8470540.1.427710.000000.847001.200179</t>
  </si>
  <si>
    <t>Electricity consumption charges</t>
  </si>
  <si>
    <t>847.8470540.1.428111.000000.847010.200179</t>
  </si>
  <si>
    <t>847.8470540.1.428111.000000.847015.200179</t>
  </si>
  <si>
    <t>847.8470540.1.428111.000000.847020.200179</t>
  </si>
  <si>
    <t>847.8470540.1.428111.000000.847030.200179</t>
  </si>
  <si>
    <t>Water consumption charges</t>
  </si>
  <si>
    <t>847.8470540.1.428112.000000.847010.200179</t>
  </si>
  <si>
    <t>847.8470540.1.428112.000000.847015.200179</t>
  </si>
  <si>
    <t>847.8470540.1.428112.000000.847020.200179</t>
  </si>
  <si>
    <t>847.8470540.1.428112.000000.847030.200179</t>
  </si>
  <si>
    <t>Other services, not specifically mentioned elsewhere</t>
  </si>
  <si>
    <t>847.8470540.1.429900.000000.847010.200179</t>
  </si>
  <si>
    <t>430230</t>
  </si>
  <si>
    <t>Rental - Equipment</t>
  </si>
  <si>
    <t>847.8470540.1.430230.000000.847001.200179</t>
  </si>
  <si>
    <t>Rental - Motor vehicles</t>
  </si>
  <si>
    <t>847.8470540.1.430330.000000.847010.200179</t>
  </si>
  <si>
    <t>847.8470540.1.432120.000000.847010.200179</t>
  </si>
  <si>
    <t>847.8470540.1.432120.000000.847020.200179</t>
  </si>
  <si>
    <t>Motor vehicles (non-military)</t>
  </si>
  <si>
    <t>847.8470540.1.432540.000000.847010.200179</t>
  </si>
  <si>
    <t>Catering supplies: Offices</t>
  </si>
  <si>
    <t>847.8470540.1.435410.000000.847020.200179</t>
  </si>
  <si>
    <t>Fuel, oil and lubricants: Motor vehicles</t>
  </si>
  <si>
    <t>847.8470540.1.435740.000000.847010.200179</t>
  </si>
  <si>
    <t>847.8470540.1.436110.000000.847010.200179</t>
  </si>
  <si>
    <t>KUST - VP/ Finance and Budget Office</t>
  </si>
  <si>
    <t>847.8470610.1.428090.000000.847001.200179</t>
  </si>
  <si>
    <t>KUST - Finance Operations</t>
  </si>
  <si>
    <t>External Audit service</t>
  </si>
  <si>
    <t>847.8470620.1.420130.000000.847001.200179</t>
  </si>
  <si>
    <t>847.8470620.1.421100.000000.847001.200179</t>
  </si>
  <si>
    <t>Other specialised professional services, not mentioned elsewhere</t>
  </si>
  <si>
    <t>847.8470620.1.422900.000000.847001.200179</t>
  </si>
  <si>
    <t>Banking service charges / Fees</t>
  </si>
  <si>
    <t>847.8470620.1.425300.000000.847001.200179</t>
  </si>
  <si>
    <t>Fees for processing e-payments-e-Payment operation</t>
  </si>
  <si>
    <t>847.8470620.1.425350.000000.847001.200179</t>
  </si>
  <si>
    <t>847.8470620.1.426610.000000.847001.200179</t>
  </si>
  <si>
    <t>847.8470620.1.436110.000000.847001.200179</t>
  </si>
  <si>
    <t>Stationery</t>
  </si>
  <si>
    <t>847.8470620.1.436120.000000.847001.200179</t>
  </si>
  <si>
    <t>KUST - Procurement and Contracts</t>
  </si>
  <si>
    <t>847.8470720.1.421700.000000.847001.200179</t>
  </si>
  <si>
    <t>847.8470720.1.426610.000000.847001.200179</t>
  </si>
  <si>
    <t>847.8470720.1.426900.000000.847001.200179</t>
  </si>
  <si>
    <t>847.8470720.1.428200.000000.847001.200179</t>
  </si>
  <si>
    <t>847.8470720.1.432120.000000.847001.200179</t>
  </si>
  <si>
    <t>847.8470720.1.435410.000000.847001.200179</t>
  </si>
  <si>
    <t>847.8470720.1.436110.000000.847001.200179</t>
  </si>
  <si>
    <t>847.8470720.1.436120.000000.847001.200179</t>
  </si>
  <si>
    <t>KUST - Human Resources</t>
  </si>
  <si>
    <t>847.8470730.1.421000.000000.847001.200179</t>
  </si>
  <si>
    <t>847.8470730.1.425510.000000.847001.200179</t>
  </si>
  <si>
    <t>847.8470730.1.425900.000000.847001.200179</t>
  </si>
  <si>
    <t>847.8470730.1.426610.000000.847001.200179</t>
  </si>
  <si>
    <t>Translation and interpretation service</t>
  </si>
  <si>
    <t>847.8470730.1.427900.000000.847001.200179</t>
  </si>
  <si>
    <t>847.8470730.1.428090.000000.847001.200179</t>
  </si>
  <si>
    <t>847.8470730.1.428640.000000.847001.200179</t>
  </si>
  <si>
    <t>847.8470730.1.436110.000000.847001.200179</t>
  </si>
  <si>
    <t>KUST - Ankabut office</t>
  </si>
  <si>
    <t>420810</t>
  </si>
  <si>
    <t>Maintenance: IT Systems &amp; Support expenses</t>
  </si>
  <si>
    <t>847.8470810.1.420810.000000.847001.200179</t>
  </si>
  <si>
    <t>420811</t>
  </si>
  <si>
    <t>IT Systems &amp; Support expenses-Application/Systems Operation</t>
  </si>
  <si>
    <t>847.8470810.1.420811.000000.847001.200179</t>
  </si>
  <si>
    <t>847.8470810.1.421100.000000.847001.200179</t>
  </si>
  <si>
    <t>847.8470810.1.426610.000000.847001.200179</t>
  </si>
  <si>
    <t>Telephone and telefax charges-Telecommunication, Satellite services</t>
  </si>
  <si>
    <t>847.8470810.1.427810.000000.847001.200179</t>
  </si>
  <si>
    <t>Data Transmission charges-Data Transmission charges</t>
  </si>
  <si>
    <t>847.8470810.1.427850.000000.847001.200179</t>
  </si>
  <si>
    <t>847.8470810.1.428090.000000.847001.200179</t>
  </si>
  <si>
    <t>847.8470810.1.430230.000000.847001.200179</t>
  </si>
  <si>
    <t>Rental - Computer hardware-Rental/Subscription - Computer hardware</t>
  </si>
  <si>
    <t>847.8470810.1.430250.000000.847001.200179</t>
  </si>
  <si>
    <t>847.8470810.1.432205.000000.847001.200179</t>
  </si>
  <si>
    <t>Computers and peripherals-Printers maintenance and support</t>
  </si>
  <si>
    <t>847.8470810.1.432226.000000.847001.200179</t>
  </si>
  <si>
    <t>847.8470810.1.436110.000000.847001.200179</t>
  </si>
  <si>
    <t>KUST - Continuing Education Office</t>
  </si>
  <si>
    <t>847.8471010.1.425100.000000.847001.200179</t>
  </si>
  <si>
    <t>847.8471010.1.425510.000000.847001.200179</t>
  </si>
  <si>
    <t>847.8471010.1.425550.000000.847001.200179</t>
  </si>
  <si>
    <t>847.8471010.1.425720.000000.847001.200179</t>
  </si>
  <si>
    <t>847.8471010.1.425900.000000.847001.200179</t>
  </si>
  <si>
    <t>847.8471010.1.436110.000000.847001.200179</t>
  </si>
  <si>
    <t>847.8471010.1.436120.000000.847001.200179</t>
  </si>
  <si>
    <t>KUST - SVP/ Research &amp; Development Office</t>
  </si>
  <si>
    <t>847.8471110.1.425900.000000.847001.200179</t>
  </si>
  <si>
    <t>847.8471110.1.427710.000000.847001.200179</t>
  </si>
  <si>
    <t>847.8471110.1.428090.000000.847001.200179</t>
  </si>
  <si>
    <t>847.8471110.1.435508.000000.847001.200179</t>
  </si>
  <si>
    <t>KUST - Institute for Automation, Information Science &amp; Communication</t>
  </si>
  <si>
    <t>847.8471120.1.425900.000000.847001.200179</t>
  </si>
  <si>
    <t>847.8471120.1.428090.000000.847001.200179</t>
  </si>
  <si>
    <t>847.8471120.1.429900.000000.847001.200179</t>
  </si>
  <si>
    <t>847.8471120.1.435523.000000.847001.200179</t>
  </si>
  <si>
    <t>KUST - Petroleum Institute</t>
  </si>
  <si>
    <t>847.8471121.1.425510.000000.847001.200179</t>
  </si>
  <si>
    <t>847.8471121.1.425900.000000.847001.200179</t>
  </si>
  <si>
    <t>847.8471121.1.428090.000000.847001.200179</t>
  </si>
  <si>
    <t>847.8471121.1.432170.000000.847001.200179</t>
  </si>
  <si>
    <t>847.8471121.1.435523.000000.847001.200179</t>
  </si>
  <si>
    <t>KUST - Masdar Institute</t>
  </si>
  <si>
    <t>847.8471122.1.425900.000000.847001.200179</t>
  </si>
  <si>
    <t>847.8471122.1.428090.000000.847001.200179</t>
  </si>
  <si>
    <t>KUST - Research Service</t>
  </si>
  <si>
    <t>847.8471130.1.420811.000000.847001.200179</t>
  </si>
  <si>
    <t>847.8471130.1.426610.000000.847001.200179</t>
  </si>
  <si>
    <t>847.8471130.1.427900.000000.847001.200179</t>
  </si>
  <si>
    <t>847.8471130.1.428090.000000.847001.200179</t>
  </si>
  <si>
    <t>847.8471130.1.435523.000000.847001.200179</t>
  </si>
  <si>
    <t>KUST - University Sponsored Research</t>
  </si>
  <si>
    <t>847.8471140.1.420570.000000.847001.200179</t>
  </si>
  <si>
    <t>847.8471140.1.428090.000000.847001.200179</t>
  </si>
  <si>
    <t>847.8471140.1.435523.000000.847001.200179</t>
  </si>
  <si>
    <t>KUST - Technology Management &amp; Innovation</t>
  </si>
  <si>
    <t>847.8471150.1.420900.000000.847001.200179</t>
  </si>
  <si>
    <t>847.8471150.1.425510.000000.847001.200179</t>
  </si>
  <si>
    <t>847.8471150.1.425550.000000.847001.200179</t>
  </si>
  <si>
    <t>847.8471150.1.425900.000000.847001.200179</t>
  </si>
  <si>
    <t>847.8471150.1.426610.000000.847001.200179</t>
  </si>
  <si>
    <t>847.8471150.1.428090.000000.847001.200179</t>
  </si>
  <si>
    <t>KUST - Research Laboratories</t>
  </si>
  <si>
    <t>847.8471160.1.420810.000000.847001.200179</t>
  </si>
  <si>
    <t>847.8471160.1.420811.000000.847001.200179</t>
  </si>
  <si>
    <t>847.8471160.1.426610.000000.847001.200179</t>
  </si>
  <si>
    <t>847.8471160.1.432209.000000.847001.200179</t>
  </si>
  <si>
    <t>847.8471160.1.435508.000000.847001.200179</t>
  </si>
  <si>
    <t>847.8471160.1.436600.000000.847001.200179</t>
  </si>
  <si>
    <t>KUST - Research Computing</t>
  </si>
  <si>
    <t>847.8471170.1.420810.000000.847001.200179</t>
  </si>
  <si>
    <t>847.8471170.1.420811.000000.847001.200179</t>
  </si>
  <si>
    <t>847.8471170.1.425900.000000.847001.200179</t>
  </si>
  <si>
    <t>847.8471170.1.426610.000000.847001.200179</t>
  </si>
  <si>
    <t>847.8471170.1.428090.000000.847001.200179</t>
  </si>
  <si>
    <t>KUST - SVP/ Academic &amp; Student Services Office</t>
  </si>
  <si>
    <t>847.8471210.1.425900.000000.847001.200179</t>
  </si>
  <si>
    <t>847.8471210.1.428090.000000.847001.200179</t>
  </si>
  <si>
    <t>847.8471210.1.428640.000000.847001.200179</t>
  </si>
  <si>
    <t>435530</t>
  </si>
  <si>
    <t>School consumables, not specifically mentioned elsewhere</t>
  </si>
  <si>
    <t>847.8471210.1.435530.000000.847001.200179</t>
  </si>
  <si>
    <t>KUST - Registrar</t>
  </si>
  <si>
    <t>847.8471220.1.425510.000000.847001.200179</t>
  </si>
  <si>
    <t>Student stipend</t>
  </si>
  <si>
    <t>847.8471220.1.425741.000000.847001.200179</t>
  </si>
  <si>
    <t>847.8471220.1.425745.000000.847001.200179</t>
  </si>
  <si>
    <t>847.8471220.1.426900.000000.847001.200179</t>
  </si>
  <si>
    <t>847.8471220.1.435340.000000.847001.200179</t>
  </si>
  <si>
    <t>847.8471220.1.436110.000000.847001.200179</t>
  </si>
  <si>
    <t>847.8471220.1.436120.000000.847001.200179</t>
  </si>
  <si>
    <t>KUST - Student Enrollment</t>
  </si>
  <si>
    <t>Enrollment expenses</t>
  </si>
  <si>
    <t>847.8471230.1.425742.000000.847001.200179</t>
  </si>
  <si>
    <t>847.8471230.1.426610.000000.847001.200179</t>
  </si>
  <si>
    <t>KUST - Student Success</t>
  </si>
  <si>
    <t>847.8471240.1.425510.000000.847001.200179</t>
  </si>
  <si>
    <t>847.8471240.1.425720.000000.847001.200179</t>
  </si>
  <si>
    <t>Skill assessment service</t>
  </si>
  <si>
    <t>847.8471240.1.425750.000000.847001.200179</t>
  </si>
  <si>
    <t>847.8471240.1.425761.000000.847001.200179</t>
  </si>
  <si>
    <t>847.8471240.1.425900.000000.847001.200179</t>
  </si>
  <si>
    <t>847.8471240.1.426610.000000.847001.200179</t>
  </si>
  <si>
    <t>847.8471240.1.427710.000000.847001.200179</t>
  </si>
  <si>
    <t>847.8471240.1.428090.000000.847001.200179</t>
  </si>
  <si>
    <t>847.8471240.1.428640.000000.847001.200179</t>
  </si>
  <si>
    <t>Library books</t>
  </si>
  <si>
    <t>847.8471240.1.435330.000000.847001.200179</t>
  </si>
  <si>
    <t>847.8471240.1.436110.000000.847001.200179</t>
  </si>
  <si>
    <t>847.8471240.1.436120.000000.847001.200179</t>
  </si>
  <si>
    <t>KUST - Career Services</t>
  </si>
  <si>
    <t>847.8471250.1.425510.000000.847001.200179</t>
  </si>
  <si>
    <t>847.8471250.1.425720.000000.847001.200179</t>
  </si>
  <si>
    <t>847.8471250.1.425762.000000.847001.200179</t>
  </si>
  <si>
    <t>847.8471250.1.425900.000000.847001.200179</t>
  </si>
  <si>
    <t>847.8471250.1.426610.000000.847001.200179</t>
  </si>
  <si>
    <t>847.8471250.1.428090.000000.847001.200179</t>
  </si>
  <si>
    <t>847.8471250.1.428640.000000.847001.200179</t>
  </si>
  <si>
    <t>847.8471250.1.436110.000000.847001.200179</t>
  </si>
  <si>
    <t>KUST - Student Life</t>
  </si>
  <si>
    <t>847.8471260.1.421100.000000.847001.200179</t>
  </si>
  <si>
    <t>847.8471260.1.425510.000000.847001.200179</t>
  </si>
  <si>
    <t>Student Transport</t>
  </si>
  <si>
    <t>847.8471260.1.425746.000000.847001.200179</t>
  </si>
  <si>
    <t>Student Accommodation</t>
  </si>
  <si>
    <t>847.8471260.1.425747.000000.847001.200179</t>
  </si>
  <si>
    <t>847.8471260.1.425760.000000.847001.200179</t>
  </si>
  <si>
    <t>847.8471260.1.425900.000000.847001.200179</t>
  </si>
  <si>
    <t>847.8471260.1.428640.000000.847001.200179</t>
  </si>
  <si>
    <t>847.8471260.1.435530.000000.847001.200179</t>
  </si>
  <si>
    <t>847.8471260.1.436110.000000.847001.200179</t>
  </si>
  <si>
    <t>KUST - Libraries</t>
  </si>
  <si>
    <t>847.8471270.1.425900.000000.847001.200179</t>
  </si>
  <si>
    <t>847.8471270.1.428090.000000.847001.200179</t>
  </si>
  <si>
    <t>847.8471270.1.435330.000000.847001.200179</t>
  </si>
  <si>
    <t>847.8471270.1.436110.000000.847001.200179</t>
  </si>
  <si>
    <t>KUST - Center for Teaching &amp; Learning</t>
  </si>
  <si>
    <t>847.8471280.1.425100.000000.847001.200179</t>
  </si>
  <si>
    <t>847.8471280.1.425510.000000.847001.200179</t>
  </si>
  <si>
    <t>847.8471280.1.425550.000000.847001.200179</t>
  </si>
  <si>
    <t>Higher education and specialisation incentives</t>
  </si>
  <si>
    <t>847.8471280.1.425710.000000.847001.200179</t>
  </si>
  <si>
    <t>847.8471280.1.425760.000000.847001.200179</t>
  </si>
  <si>
    <t>847.8471280.1.425770.000000.847001.200179</t>
  </si>
  <si>
    <t>847.8471280.1.426610.000000.847001.200179</t>
  </si>
  <si>
    <t>847.8471280.1.428640.000000.847001.200179</t>
  </si>
  <si>
    <t>847.8471280.1.432170.000000.847001.200179</t>
  </si>
  <si>
    <t>847.8471280.1.435340.000000.847001.200179</t>
  </si>
  <si>
    <t>847.8471280.1.435530.000000.847001.200179</t>
  </si>
  <si>
    <t>KUST - Dean Of Medicine</t>
  </si>
  <si>
    <t>847.8471305.1.420570.000000.847001.200179</t>
  </si>
  <si>
    <t>847.8471305.1.420810.000000.847001.200179</t>
  </si>
  <si>
    <t>847.8471305.1.420811.000000.847001.200179</t>
  </si>
  <si>
    <t>847.8471305.1.421000.000000.847001.200179</t>
  </si>
  <si>
    <t>847.8471305.1.421700.000000.847001.200179</t>
  </si>
  <si>
    <t>Waste management service</t>
  </si>
  <si>
    <t>847.8471305.1.422100.000000.847001.200179</t>
  </si>
  <si>
    <t>847.8471305.1.425510.000000.847001.200179</t>
  </si>
  <si>
    <t>847.8471305.1.425550.000000.847001.200179</t>
  </si>
  <si>
    <t>847.8471305.1.425720.000000.847001.200179</t>
  </si>
  <si>
    <t>847.8471305.1.425742.000000.847001.200179</t>
  </si>
  <si>
    <t>847.8471305.1.425744.000000.847001.200179</t>
  </si>
  <si>
    <t>847.8471305.1.425745.000000.847001.200179</t>
  </si>
  <si>
    <t>847.8471305.1.425746.000000.847001.200179</t>
  </si>
  <si>
    <t>847.8471305.1.425749.000000.847001.200179</t>
  </si>
  <si>
    <t>847.8471305.1.425750.000000.847001.200179</t>
  </si>
  <si>
    <t>847.8471305.1.425762.000000.847001.200179</t>
  </si>
  <si>
    <t>847.8471305.1.425763.000000.847001.200179</t>
  </si>
  <si>
    <t>847.8471305.1.425900.000000.847001.200179</t>
  </si>
  <si>
    <t>847.8471305.1.426100.000000.847001.200179</t>
  </si>
  <si>
    <t>847.8471305.1.426610.000000.847001.200179</t>
  </si>
  <si>
    <t>847.8471305.1.426900.000000.847001.200179</t>
  </si>
  <si>
    <t>847.8471305.1.427200.000000.847001.200179</t>
  </si>
  <si>
    <t>847.8471305.1.427710.000000.847001.200179</t>
  </si>
  <si>
    <t>847.8471305.1.427810.000000.847001.200179</t>
  </si>
  <si>
    <t>847.8471305.1.428090.000000.847001.200179</t>
  </si>
  <si>
    <t>847.8471305.1.428640.000000.847001.200179</t>
  </si>
  <si>
    <t>847.8471305.1.432205.000000.847001.200179</t>
  </si>
  <si>
    <t>847.8471305.1.432209.000000.847001.200179</t>
  </si>
  <si>
    <t>Medical equipment</t>
  </si>
  <si>
    <t>847.8471305.1.432210.000000.847001.200179</t>
  </si>
  <si>
    <t>847.8471305.1.435330.000000.847001.200179</t>
  </si>
  <si>
    <t>847.8471305.1.435340.000000.847001.200179</t>
  </si>
  <si>
    <t>847.8471305.1.435350.000000.847001.200179</t>
  </si>
  <si>
    <t>847.8471305.1.435508.000000.847001.200179</t>
  </si>
  <si>
    <t>847.8471305.1.435530.000000.847001.200179</t>
  </si>
  <si>
    <t>847.8471305.1.436110.000000.847001.200179</t>
  </si>
  <si>
    <t>847.8471305.1.436120.000000.847001.200179</t>
  </si>
  <si>
    <t>2 Other Operating Costs Total</t>
  </si>
  <si>
    <t>3 Capital Payments</t>
  </si>
  <si>
    <t>847.8470110.1.492316.000000.847001.300180</t>
  </si>
  <si>
    <t>Computer software-Application, Platform</t>
  </si>
  <si>
    <t>847.8470120.1.495113.000000.847001.300180</t>
  </si>
  <si>
    <t>Hardware &amp; peripherals</t>
  </si>
  <si>
    <t>847.8470140.1.492310.000000.847001.300180</t>
  </si>
  <si>
    <t>847.8470230.1.492310.000000.847001.300180</t>
  </si>
  <si>
    <t>847.8470310.1.492316.000000.847001.300180</t>
  </si>
  <si>
    <t>847.8470315.1.492316.000000.847001.300180</t>
  </si>
  <si>
    <t>847.8470320.1.492316.000000.847001.300180</t>
  </si>
  <si>
    <t>Copyrights, patents and licenses</t>
  </si>
  <si>
    <t>847.8470320.1.495140.000000.847001.300180</t>
  </si>
  <si>
    <t>847.8470325.1.492316.000000.847001.300180</t>
  </si>
  <si>
    <t>847.8470330.1.492316.000000.847001.300180</t>
  </si>
  <si>
    <t>847.8470335.1.492316.000000.847001.300180</t>
  </si>
  <si>
    <t>847.8470340.1.492316.000000.847001.300180</t>
  </si>
  <si>
    <t>847.8470345.1.492316.000000.847001.300180</t>
  </si>
  <si>
    <t>847.8470350.1.492316.000000.847001.300180</t>
  </si>
  <si>
    <t>847.8470415.1.492316.000000.847001.300180</t>
  </si>
  <si>
    <t>847.8470425.1.492310.000000.847001.300180</t>
  </si>
  <si>
    <t>847.8470425.1.492316.000000.847001.300180</t>
  </si>
  <si>
    <t>847.8470450.1.492310.000000.847001.300180</t>
  </si>
  <si>
    <t>847.8470450.1.492316.000000.847001.300180</t>
  </si>
  <si>
    <t>847.8470455.1.492316.000000.847001.300180</t>
  </si>
  <si>
    <t>847.8470520.1.492316.000000.847001.300180</t>
  </si>
  <si>
    <t>492200</t>
  </si>
  <si>
    <t>Capital expense - Buildings</t>
  </si>
  <si>
    <t>847.8470530.1.492200.000000.847001.300180</t>
  </si>
  <si>
    <t>847.8470530.1.492200.000000.847010.300180</t>
  </si>
  <si>
    <t>847.8470530.1.492200.000000.847015.300180</t>
  </si>
  <si>
    <t>847.8470530.1.492200.000000.847020.300180</t>
  </si>
  <si>
    <t>Furniture &amp; Fixtures - Offices</t>
  </si>
  <si>
    <t>847.8470530.1.492610.000000.847010.300180</t>
  </si>
  <si>
    <t>847.8470530.1.492610.000000.847015.300180</t>
  </si>
  <si>
    <t>847.8470530.1.492610.000000.847020.300180</t>
  </si>
  <si>
    <t>847.8470530.1.495113.000000.847010.300180</t>
  </si>
  <si>
    <t>847.8470530.1.495140.000000.847010.300180</t>
  </si>
  <si>
    <t>Computer software</t>
  </si>
  <si>
    <t>847.8470720.1.495110.000000.847001.300180</t>
  </si>
  <si>
    <t>847.8470720.1.495113.000000.847001.300180</t>
  </si>
  <si>
    <t>847.8470730.1.492610.000000.847001.300180</t>
  </si>
  <si>
    <t>847.8470810.1.492310.000000.847001.300180</t>
  </si>
  <si>
    <t>Hardware &amp; peripherals-Network Devices</t>
  </si>
  <si>
    <t>847.8470810.1.492352.000000.847001.300180</t>
  </si>
  <si>
    <t>Hardware &amp; peripherals-Peripherals &amp; Infrastructure Components</t>
  </si>
  <si>
    <t>847.8470810.1.492354.000000.847001.300180</t>
  </si>
  <si>
    <t>Hardware &amp; peripherals-Conferencing &amp; AV</t>
  </si>
  <si>
    <t>847.8470810.1.492356.000000.847001.300180</t>
  </si>
  <si>
    <t>847.8470810.1.495110.000000.847001.300180</t>
  </si>
  <si>
    <t>847.8470810.1.495113.000000.847001.300180</t>
  </si>
  <si>
    <t>847.8471110.1.492316.000000.847001.300180</t>
  </si>
  <si>
    <t>847.8471140.1.492316.000000.847001.300180</t>
  </si>
  <si>
    <t>847.8471160.1.492200.000000.847001.300180</t>
  </si>
  <si>
    <t>847.8471160.1.492316.000000.847001.300180</t>
  </si>
  <si>
    <t>847.8471170.1.492316.000000.847001.300180</t>
  </si>
  <si>
    <t>847.8471170.1.495110.000000.847001.300180</t>
  </si>
  <si>
    <t>847.8471170.1.495113.000000.847001.300180</t>
  </si>
  <si>
    <t>847.8471280.1.492316.000000.847001.300180</t>
  </si>
  <si>
    <t>847.8471305.1.492310.000000.847001.300180</t>
  </si>
  <si>
    <t>847.8471305.1.492316.000000.847001.300180</t>
  </si>
  <si>
    <t>847.8471305.1.492610.000000.847001.300180</t>
  </si>
  <si>
    <t>847.8471305.1.495140.000000.847001.300180</t>
  </si>
  <si>
    <t>3 Capital Payments Total</t>
  </si>
  <si>
    <t>Grand Total</t>
  </si>
  <si>
    <t>Rows 1 - 545 (All Rows)</t>
  </si>
  <si>
    <t>Feedback</t>
  </si>
  <si>
    <t>Y</t>
  </si>
  <si>
    <t>Amount will cover international and local media relations for Q4</t>
  </si>
  <si>
    <t>Amount will cover branding &amp; advertising KU news in different channels</t>
  </si>
  <si>
    <t xml:space="preserve">Amount will cover Graduation Ceremony </t>
  </si>
  <si>
    <t xml:space="preserve">The amount will be fully utilized at the end of the year. Some part of the amount will be transferred to other item due to budget shortage budget. </t>
  </si>
  <si>
    <t>The full budget aleady been used in July Request No: DTR7/5/2022-1234.</t>
  </si>
  <si>
    <t xml:space="preserve">Funds will be fully utilized at the end of the year. </t>
  </si>
  <si>
    <t>Payment has not yet been processed for some invoices. Funds will be fully utilized at the end of the year.</t>
  </si>
  <si>
    <t xml:space="preserve">The full amount already been used. </t>
  </si>
  <si>
    <t>*AED 2280 Registration fees for (8 staff * 285) visiting GITEX exhibition during 10th to 14th Oct 2022
*DTR to GITEX 8 staff *350 tranportation = 2800</t>
  </si>
  <si>
    <t xml:space="preserve">*full year audit 2021 50% remaining payment AED 45,450 expected in Q4
*ICFR year 2021 50% remaining payment AED 30,300 expected in Q4
*Mid year 2022 AED 35,350 in Q4
* full year audit 2022 50% advance AED 70,700 in Q4
*ICFR year 2022 50% advance AED 30,300 in Q4
</t>
  </si>
  <si>
    <t>*required to cover an additional 25,000 assets to be scanned. 
* AED 2880 for assets verification in stores.</t>
  </si>
  <si>
    <t>ICFR implementation &amp; gab analysis development based on COSO framework.  The rate as per commercial proposal received from Grant Thornton</t>
  </si>
  <si>
    <t>bank auto charges for the daily transaction</t>
  </si>
  <si>
    <t>assets tags payment processed in October</t>
  </si>
  <si>
    <t>Entertanment</t>
  </si>
  <si>
    <t>847.8470610.1.425900.000000.847001.200179</t>
  </si>
  <si>
    <t xml:space="preserve">fund required to cover the deficit </t>
  </si>
  <si>
    <t>847.8470620.1.428090.000000.847001.200179</t>
  </si>
  <si>
    <t xml:space="preserve">surplus </t>
  </si>
  <si>
    <t>Clerkship /clincal education contract</t>
  </si>
  <si>
    <t>Continuing edution events under discussion with OME</t>
  </si>
  <si>
    <t>American Heart Association training center certification and Audio Visual certification</t>
  </si>
  <si>
    <t xml:space="preserve">To be expended befor the end of  3rd quarter. </t>
  </si>
  <si>
    <t>events for Q4 in progress for faculty and students  . Clinical  affairs director and OME  continues planning events locally for scholarly presenations and networking. Faculty currently in planning phase for November events.</t>
  </si>
  <si>
    <t xml:space="preserve">AMEE , AAMC  and other confernce attendance scheduled. </t>
  </si>
  <si>
    <t>planning for quarter four for faculty, staff and students per OME and Clinical Affairs</t>
  </si>
  <si>
    <t xml:space="preserve">Late fourth quarter submission possible in this area.  </t>
  </si>
  <si>
    <t>A full P1-P4 cohort has resumed   funds will be noted and pay out invoice is submitted.</t>
  </si>
  <si>
    <t xml:space="preserve">Full cohort  of P1-P4 students, dund should be exhausted. </t>
  </si>
  <si>
    <t xml:space="preserve">All internationally supported platforms such as  via Lecturio  - USMLE Prep, IFOM costs to underpin student success on standardized US testing program are in action or being planned for the next three months.  </t>
  </si>
  <si>
    <t xml:space="preserve"> international  internship electives are ongoing.  One invoice just submitted from GW.</t>
  </si>
  <si>
    <t>A full P1-P4 cohort will untilize  funds these funds.</t>
  </si>
  <si>
    <t>A full P1-P4 cohort will untilize  funds these funds, falcn community events, recognitions etc.</t>
  </si>
  <si>
    <t>Travel to major confrences with booth and recruitment materials in Oct/Nov.</t>
  </si>
  <si>
    <t>eCurriculum Annual License
 and  Syllabus Generator Module Annual License submission pending, invoice just received.</t>
  </si>
  <si>
    <t>Conference and other communication needs</t>
  </si>
  <si>
    <t xml:space="preserve">Articles are in progress and will be submitted once approved by journals. </t>
  </si>
  <si>
    <t>Faculty and Staff are submitting their renewals and applications.</t>
  </si>
  <si>
    <t>Phone charges will be uploaded this quarter.</t>
  </si>
  <si>
    <t>Possible emergent need</t>
  </si>
  <si>
    <t xml:space="preserve">OPEX items under process </t>
  </si>
  <si>
    <t>Will inquire with  chairs related to small items</t>
  </si>
  <si>
    <t xml:space="preserve">PR  have been submitted supported by Procuremtn and finance.  These are not reflected in in total  the report as of yet. </t>
  </si>
  <si>
    <t xml:space="preserve">To be expended befor the end of  4th quarter. </t>
  </si>
  <si>
    <t xml:space="preserve">Items to be utilized by OME and Falcon Communities </t>
  </si>
  <si>
    <t>PR  have recently been submitted</t>
  </si>
  <si>
    <t xml:space="preserve">To be expended befor the end of  4th quarter. Minimal surplus possible.  </t>
  </si>
  <si>
    <t>second quarter invoice in payment process which is not reflected here.  CMHS awaiting sthird and fourth quarter iinvoice from contract partner. Acutal contract notes 25,770,240 required per the contract. Balance to be addressed before end of academic year.  Some surplus possible.</t>
  </si>
  <si>
    <t>Educational sessons on site by Barbar Oakley, funds just recently transferred for payment.  Further educational activity in discussions for 4th quarter.</t>
  </si>
  <si>
    <t>certifications will be renewed as per contract dates based on quality management standards.</t>
  </si>
  <si>
    <t>events for Q4 in progress for faculty and students  . Clinical  affairs director and OME  continues planning events locally for scholarly presenations and networking. Faculty currently in planning phase for November events.    The research retreat that was canceled in October will be scheduled in Nov/Dec and the CMHS advisory meeting will also take place during this period.  The AAHC renewal is also in progress of payment for this quarter.</t>
  </si>
  <si>
    <t>Several events planning for quarter four for faculty and students.  Also external local event planning for with KU Main office collaboration.   Possible surplus of 100,000 in this cost code.</t>
  </si>
  <si>
    <t>Possible surplus of 100,000 in this cost code.</t>
  </si>
  <si>
    <t xml:space="preserve">This is ongoing  expense  as salary support for our current and new onboarded students for the full four year cohort. </t>
  </si>
  <si>
    <t>All internationally supported platforms should exhaust funds over the  the next three months.  Lecturio onsite to adjucnt online currently underway.  Lecturio has been contacted to provide lectures for reproductive and endocrine services.  To be billed this quarter.</t>
  </si>
  <si>
    <t xml:space="preserve"> Some surplus possible.</t>
  </si>
  <si>
    <t>License submission pending, invoice just received.</t>
  </si>
  <si>
    <t>Possible surplus in this cost code.</t>
  </si>
  <si>
    <t>To be exhausted this quarter</t>
  </si>
  <si>
    <t xml:space="preserve">To be exhausted this quarter as processed via procurement. </t>
  </si>
  <si>
    <t>surplus if unable to expend on small medical equipement such as dissection scissors etc…</t>
  </si>
  <si>
    <t xml:space="preserve">To be exhausted this quarter as processed via procurement.  Emedley </t>
  </si>
  <si>
    <t xml:space="preserve">CAPEX closed, will need approval to spend. </t>
  </si>
  <si>
    <t>Security manpower cost</t>
  </si>
  <si>
    <t>Maintenance cost</t>
  </si>
  <si>
    <t>to be BT manpower account</t>
  </si>
  <si>
    <t>Electricity</t>
  </si>
  <si>
    <t>Water</t>
  </si>
  <si>
    <t>regular car Maintenance</t>
  </si>
  <si>
    <t>Catering supplies</t>
  </si>
  <si>
    <t>Fuel</t>
  </si>
  <si>
    <t>printing cost</t>
  </si>
  <si>
    <t xml:space="preserve">PR allready raised to cover the payments 3,031,000.00 </t>
  </si>
  <si>
    <t>New request from CTL to publish Virtual Desktops requires additional subscription</t>
  </si>
  <si>
    <t>KU Q3&amp; Q4 Telephoony &amp; mobile bills</t>
  </si>
  <si>
    <t>Q3-Q4 Internet Bills</t>
  </si>
  <si>
    <t xml:space="preserve">Travel to DR site and Events in UAE </t>
  </si>
  <si>
    <t>Network Maintenance Bill -  Call-out agreement</t>
  </si>
  <si>
    <t>Q3-Q4 Printing Bills</t>
  </si>
  <si>
    <t>Initial budget estimation</t>
  </si>
  <si>
    <t>Outstanding amount after transfer of manpower resourses to Chapter 1 as per DGS contract</t>
  </si>
  <si>
    <t>Initial budget estimation.</t>
  </si>
  <si>
    <t>Amount needed to process old Etisalat Invoices ex.PI for 2019-20-21</t>
  </si>
  <si>
    <t>Project of renovating Merged Classroom delayed</t>
  </si>
  <si>
    <t>This will be used for upcoming workshop</t>
  </si>
  <si>
    <t>This will be used for other Subscrpitions</t>
  </si>
  <si>
    <t>Business travel and conferences in Q3 &amp; Q4</t>
  </si>
  <si>
    <t>We will hold two workshops in November and December one with TAU and the other with UAEREP.</t>
  </si>
  <si>
    <t>We plan to use it in December for the Advisory committee meeting and keynote visits. Also, we have outbound travel to Japan for the joined TII-KU competition.</t>
  </si>
  <si>
    <t>Institute-wide software platforms</t>
  </si>
  <si>
    <t xml:space="preserve">Many outstanding Invoices to be paid.  Additional funds of AED 2000K is being requested for  other outstanding invoices and work to be performed on paten filings. </t>
  </si>
  <si>
    <t>Waiting on invoice for current and further expenses for brochures and other related matters</t>
  </si>
  <si>
    <t>AUTM Conference and Registration</t>
  </si>
  <si>
    <t>awaiting on Invoice for Sept function</t>
  </si>
  <si>
    <t>Database Invoice is being presented for payment.</t>
  </si>
  <si>
    <t xml:space="preserve">waiting on invoice for travel to conferences. </t>
  </si>
  <si>
    <t>For October 2022, AED 35k will be utilized to cover: (i) electron microscope spare part, and (ii) other core lab equipment spare parts.</t>
  </si>
  <si>
    <t>For October 2022, AED 900k will be utilized to cover (i) cleanroom LN2 supply (AED 750k, July - December 2022), (ii) off campus warehouse storage costs (AED 155k, July - December 2022), and (iii) lab operational consumables.</t>
  </si>
  <si>
    <t>Professional development course registration fees to be charged for RL Staff</t>
  </si>
  <si>
    <t>Outreach event hospistality</t>
  </si>
  <si>
    <t>Attending conference in November</t>
  </si>
  <si>
    <t>None</t>
  </si>
  <si>
    <t>external reviewer module, will be spent</t>
  </si>
  <si>
    <t>We have 1 DTR open for 20K, will have excess budget of 44.4K</t>
  </si>
  <si>
    <t xml:space="preserve">There will be no surplus.  3 months salary still required, visiting scholars, sub-awards invoices, and opex until end of 2022. </t>
  </si>
  <si>
    <t>No outstanding IT Systems &amp; Support expenses. Fund could be transferred to Research Computing to support payment of Ankabut SLA.</t>
  </si>
  <si>
    <t>No outstanding software license renewals. Fund could be transferred to Research Computing to support payment of Ankabut SLA.</t>
  </si>
  <si>
    <t xml:space="preserve">Not Applicable </t>
  </si>
  <si>
    <t>Majority of Arzanah labs were not operationalized till August 2022.</t>
  </si>
  <si>
    <t>Only one event planned</t>
  </si>
  <si>
    <t>Excess amount should be used for Ankabut SLA</t>
  </si>
  <si>
    <t>Budget will be utilized to: (i) operationalize Core lab XRD equipment via lab chiller purchase due to Arzanah Building chiller system not functional with no rectification timeline indicated by Facilities, and (ii) purchase of convection oven to support CeCaS lab operations.</t>
  </si>
  <si>
    <t>none</t>
  </si>
  <si>
    <t>None. AED 7.433k to be transferred to Finance to support outstanding laboratory infrastructure payments.</t>
  </si>
  <si>
    <t>All RC requirements were moved to an SLA with Ankabut, and to be paid for by OPEX funds</t>
  </si>
  <si>
    <t>N</t>
  </si>
  <si>
    <t>The amount will be used to cover external examiners expenses for PhD students which include airline tickets (economy/business), visa, insurance, accommodation and meals.  Remaining amount can be transferred to students' stipend</t>
  </si>
  <si>
    <t>There will be a deficient of student's stipend.  The amount can be transferred to cover part of it.</t>
  </si>
  <si>
    <t>Will be used to cover the expenses of students attending local conferences and events.  Remaining amount can be transferred to students' stipend</t>
  </si>
  <si>
    <t>Will be used to cover the expenses of students attending International conferences and events. Remaining amount can be transferred to students' stipend</t>
  </si>
  <si>
    <t>Will be used to pay students medical insurance.  The payment will be made mainly in Fall 2022 semester and for students whom visas are expired and need to be renewed. Remaining amount can be transferred to students' stipend</t>
  </si>
  <si>
    <t>The amount will be used for mobilization (Spring 2023) and demobilization of students (who graduated in Spring 2022 and Summer 2022), as well as annual travel allowance payments in November.  Remaining amount can be transferred to students' stipend</t>
  </si>
  <si>
    <t>Almost 75% of funds is already consumed during Q1 and Q2 and Q3 to pay student stipends.  Many new students are added recently to the payroll and will be paid from 28 August.  There will be a shortage of stipend that needs to be covered from other GSO accounts.</t>
  </si>
  <si>
    <t>To cover field trips for graduate students.  Remaining amount can be transferred to students' stipend</t>
  </si>
  <si>
    <t>Will be used to cover the expenses of student internships. The internship program was launched recently and many students already applied for internship programs.  Remaining amount can be transferred to students' stipend</t>
  </si>
  <si>
    <t>Some social events will take place duirng Fall 2022. The amount will be used to cover the expenses of these events.</t>
  </si>
  <si>
    <t>For S/W licenses renewal. Remaining amount can be transferred to students' stipend</t>
  </si>
  <si>
    <t>Will be used to cover expenses related to events either locally or internationally.</t>
  </si>
  <si>
    <t>Will be used for some initiatives related to graduate student recruitment, prizes for best thesis award, gifts for external examiners visiting KU in person.</t>
  </si>
  <si>
    <t>Will be used for Graduate Catalog Printing.  Remaining amount can be transferred to students' stipend</t>
  </si>
  <si>
    <t>The amount will be deducted for DTR8/24/2022-1387
and DTR9/16/2022-1507 whice were raised for SVP’s conference in US and business travel to Germany</t>
  </si>
  <si>
    <t>Available budget under Enrollment up to now is AED 92,000.
Najah Dubai: AED 180,000
Social Media Campaign: AED 100,000
We are expecting AED 200,000 to be transferred from Students Success.</t>
  </si>
  <si>
    <t>70, 000 dhs will be transferred.  The remainder will be used to purchase the ILM license.</t>
  </si>
  <si>
    <t>The funds will be use to pay the summer tuition of students on study abroad.  We are waiting for the invoices from the partner universities.</t>
  </si>
  <si>
    <t>This amount will be used to cover some expenses for upcoming events (Career Fair, Employer recognition ceremony and Alumni Reunion)</t>
  </si>
  <si>
    <t>This amuont will be used to cover any pending expenses for the international internships.  It will also be used to cover BIPA program</t>
  </si>
  <si>
    <t>To be used to cover events and other expenses</t>
  </si>
  <si>
    <t>Will be used in case of business travel</t>
  </si>
  <si>
    <t>Will be used for the Alumni Reunion event to purchase giveaways</t>
  </si>
  <si>
    <t xml:space="preserve">To be used to cover printing expenses for upcoming events </t>
  </si>
  <si>
    <t>National Day Event &amp; Gathering</t>
  </si>
  <si>
    <t xml:space="preserve">In October, we will process pending invoices  for the Q1 &amp; Q2 &amp; Q3 and Oct. </t>
  </si>
  <si>
    <t xml:space="preserve">Social events in the dorm  </t>
  </si>
  <si>
    <t xml:space="preserve">_WRO Competition. National Day Event </t>
  </si>
  <si>
    <t>_catering requests for small events</t>
  </si>
  <si>
    <t xml:space="preserve">_It will used to purchase gifts and prizes, trophies and medals for competitions and events </t>
  </si>
  <si>
    <t xml:space="preserve">_ It will be used for music items and arts. </t>
  </si>
  <si>
    <t xml:space="preserve">_It will be used to print out welcoming notes to KU Residents_ Roll-ups and Flyers for the Orientation Printing Materials &amp; posters for Club Day and National Day </t>
  </si>
  <si>
    <t>CTL brochure to finalized on Fall 2022</t>
  </si>
  <si>
    <t xml:space="preserve">PD week guest speakers' honorarium, food catering for Fall 2022 - In process. </t>
  </si>
  <si>
    <t>Conferences in the Fall 2022 - In process</t>
  </si>
  <si>
    <t xml:space="preserve">Teaching Awards Payment, Mini-grants payment, Advance HE Accreditation </t>
  </si>
  <si>
    <t>Experiential Learning Symposium &amp; Musabaqat Competition (website, fliers, roll-ups, catering, award, medals, and prizes)</t>
  </si>
  <si>
    <t>Subscription to other teaching tools (Monday.com, Kahoot, etc.,) are on process</t>
  </si>
  <si>
    <t>Tutoring &amp; Mentoring Event</t>
  </si>
  <si>
    <t>E-books to be recommended by CTL team/integrate in Bb so faculty can access it, to purchase by Library for CTL.</t>
  </si>
  <si>
    <t>Stationery not included in FM storeroom, staff offices' material requirements</t>
  </si>
  <si>
    <t xml:space="preserve">Amount to hold for the upcoming events such as author workshops, OA events  </t>
  </si>
  <si>
    <t xml:space="preserve">Amout needed for the upcoming  professional development conferences ALA, SLA &amp; IFLA  </t>
  </si>
  <si>
    <t xml:space="preserve">Amount needed to hold for pending payments to ACM ( 2021), ALMA ( 2022 project completion) and credit card purchases (50,000) for ILL Total amount 271,520 AED. </t>
  </si>
  <si>
    <t>Amout to hold for stationery purchases 50,000AED</t>
  </si>
  <si>
    <t>Refer to Sheet "Stipend" for calculation details</t>
  </si>
  <si>
    <t>All PRs have been submitted, and no more required in this year.</t>
  </si>
  <si>
    <t xml:space="preserve">All PRs have been submitted and PR - 8471111521 has been submitted on Oct.14 </t>
  </si>
  <si>
    <t>The funds were move in a transfer</t>
  </si>
  <si>
    <t>Extra amount left after paying the software renewal</t>
  </si>
  <si>
    <t>N/A</t>
  </si>
  <si>
    <t>Expected Shortage is AED 3,508,080</t>
  </si>
  <si>
    <t>More funds have been transferred recently from Acedemic Missions account.</t>
  </si>
  <si>
    <t>More funds have been transferred recently from Building Decoration account</t>
  </si>
  <si>
    <t>Transfer is on process to local events account</t>
  </si>
  <si>
    <t>Transfer is on process to higher education account</t>
  </si>
  <si>
    <t xml:space="preserve"> Oct-22 Utilization Plan</t>
  </si>
  <si>
    <t xml:space="preserve"> Nov-22 Utilization Plan</t>
  </si>
  <si>
    <t xml:space="preserve"> Dec-22 Utilization Plan</t>
  </si>
  <si>
    <t>Revised Budget - Nov-22</t>
  </si>
  <si>
    <t>Actual Amount - Nov-22</t>
  </si>
  <si>
    <t>PR - Nov-22</t>
  </si>
  <si>
    <t>PO - Nov-22</t>
  </si>
  <si>
    <t>Fund Available - Nov-22</t>
  </si>
  <si>
    <t>Revised Budget - Sep 22</t>
  </si>
  <si>
    <t>Actual Amount - Sep 22</t>
  </si>
  <si>
    <t>PR - Sep 22</t>
  </si>
  <si>
    <t>PO - Sep 22</t>
  </si>
  <si>
    <t>Fund Available - Sep 22</t>
  </si>
  <si>
    <t>KUST - SVP/ Support Services Office</t>
  </si>
  <si>
    <t>428090</t>
  </si>
  <si>
    <t>847.8470160.1.428090.000000.847001.200179</t>
  </si>
  <si>
    <t>435340</t>
  </si>
  <si>
    <t>847.8470310.1.435340.000000.847001.200179</t>
  </si>
  <si>
    <t>427710</t>
  </si>
  <si>
    <t>847.8470330.1.427710.000000.847001.200179</t>
  </si>
  <si>
    <t>425510</t>
  </si>
  <si>
    <t>847.8470445.1.425510.000000.847001.200179</t>
  </si>
  <si>
    <t>435410</t>
  </si>
  <si>
    <t>847.8470530.1.435410.000000.847020.200179</t>
  </si>
  <si>
    <t>422100</t>
  </si>
  <si>
    <t>847.8471160.1.422100.000000.847001.200179</t>
  </si>
  <si>
    <t>425761</t>
  </si>
  <si>
    <t>847.8471250.1.425761.000000.847001.200179</t>
  </si>
  <si>
    <t>436600</t>
  </si>
  <si>
    <t>847.8471305.1.436600.000000.847001.200179</t>
  </si>
  <si>
    <t xml:space="preserve">Budget Surplus Amount </t>
  </si>
  <si>
    <t>Revised Budget - Nov 22</t>
  </si>
  <si>
    <t>Actual Amount - Nov 22</t>
  </si>
  <si>
    <t>PR - Nov 22</t>
  </si>
  <si>
    <t>PO - Nov 22</t>
  </si>
  <si>
    <t>Fund Available - Nov 22</t>
  </si>
  <si>
    <t xml:space="preserve"> Revised Budget - Sep 22</t>
  </si>
  <si>
    <t xml:space="preserve"> Actual Amount - Sep 22</t>
  </si>
  <si>
    <t xml:space="preserve"> PR - Sep 22</t>
  </si>
  <si>
    <t xml:space="preserve"> PO - Sep 22</t>
  </si>
  <si>
    <t xml:space="preserve"> Fund Available - Sep 22</t>
  </si>
  <si>
    <t xml:space="preserve"> Revised Budget - Nov 22</t>
  </si>
  <si>
    <t xml:space="preserve"> Actual Amount - Nov 22</t>
  </si>
  <si>
    <t xml:space="preserve"> PR - Nov 22</t>
  </si>
  <si>
    <t xml:space="preserve"> PO - Nov 22</t>
  </si>
  <si>
    <t xml:space="preserve"> Fund Available - Nov 22</t>
  </si>
  <si>
    <t xml:space="preserve"> Expected Budget Surplus / Shortage Amount</t>
  </si>
  <si>
    <t>SVP/ Support Services Office</t>
  </si>
  <si>
    <t>office of the president</t>
  </si>
  <si>
    <t>EVP office</t>
  </si>
  <si>
    <t>Provost office</t>
  </si>
  <si>
    <t>Academic &amp; student service office</t>
  </si>
  <si>
    <t>College of engineering</t>
  </si>
  <si>
    <t>College of Art &amp; science</t>
  </si>
  <si>
    <t>Administrations, Facilities &amp; EHS office</t>
  </si>
  <si>
    <t>Finane &amp; Business development office</t>
  </si>
  <si>
    <t>Procurement office</t>
  </si>
  <si>
    <t>HR office</t>
  </si>
  <si>
    <t>Ankabut office</t>
  </si>
  <si>
    <t>Continuing Education office</t>
  </si>
  <si>
    <t>Research &amp; development office</t>
  </si>
  <si>
    <t>College of medicine</t>
  </si>
  <si>
    <t>KUST - Khalifa University of Science &amp; Technology - Gener</t>
  </si>
  <si>
    <t>Senior Vice President, Finance and Investment,</t>
  </si>
  <si>
    <t>Cost Center Grpup</t>
  </si>
  <si>
    <t>Cost Center Group</t>
  </si>
  <si>
    <t xml:space="preserve"> Budget Surplus Amount</t>
  </si>
  <si>
    <t xml:space="preserve"> Revised Budget - Nov-22</t>
  </si>
  <si>
    <t xml:space="preserve"> Actual Amount - Nov-22</t>
  </si>
  <si>
    <t xml:space="preserve"> PR - Nov-22</t>
  </si>
  <si>
    <t xml:space="preserve"> PO - Nov-22</t>
  </si>
  <si>
    <t xml:space="preserve"> Fund Available - Nov-22</t>
  </si>
  <si>
    <t xml:space="preserve"> Budget Surplus Amount </t>
  </si>
  <si>
    <t>10M Ankbout SLA</t>
  </si>
  <si>
    <t>fund required to cover the deficit full year audit</t>
  </si>
  <si>
    <t>Nov-22 salary payment inclusing airfare</t>
  </si>
  <si>
    <t>5.5M need</t>
  </si>
  <si>
    <t>1.9M  Q2 requested</t>
  </si>
  <si>
    <t>transferred</t>
  </si>
  <si>
    <t>847.8470530.1.425747.000000.847015.200179</t>
  </si>
  <si>
    <t>Masdar student accomadation FY22. 2022-2025 , AED 29,566,859</t>
  </si>
  <si>
    <t>2023 ARIC payment</t>
  </si>
  <si>
    <t>2023 EBTIC Payment</t>
  </si>
  <si>
    <t>Contingency</t>
  </si>
  <si>
    <t xml:space="preserve"> Forecast  </t>
  </si>
  <si>
    <t>10.5m SLA HPCC with KUA</t>
  </si>
  <si>
    <t>Student Transport Expected Shortage is AED 5,300,000</t>
  </si>
  <si>
    <t>Postgraduate Student Salaries for the Dec-22 P/r</t>
  </si>
  <si>
    <t>Total</t>
  </si>
  <si>
    <t>Budget performance - Capex</t>
  </si>
  <si>
    <t>8470110</t>
  </si>
  <si>
    <t>492316</t>
  </si>
  <si>
    <t>8470120</t>
  </si>
  <si>
    <t>495113</t>
  </si>
  <si>
    <t>8470140</t>
  </si>
  <si>
    <t>492310</t>
  </si>
  <si>
    <t>8470230</t>
  </si>
  <si>
    <t>8470310</t>
  </si>
  <si>
    <t>8470315</t>
  </si>
  <si>
    <t>8470320</t>
  </si>
  <si>
    <t>495140</t>
  </si>
  <si>
    <t>8470325</t>
  </si>
  <si>
    <t>8470330</t>
  </si>
  <si>
    <t>8470335</t>
  </si>
  <si>
    <t>8470340</t>
  </si>
  <si>
    <t>8470345</t>
  </si>
  <si>
    <t>8470350</t>
  </si>
  <si>
    <t>8470415</t>
  </si>
  <si>
    <t>8470425</t>
  </si>
  <si>
    <t>8470450</t>
  </si>
  <si>
    <t>8470455</t>
  </si>
  <si>
    <t>8470520</t>
  </si>
  <si>
    <t>492610</t>
  </si>
  <si>
    <t>8470720</t>
  </si>
  <si>
    <t>495110</t>
  </si>
  <si>
    <t>8470730</t>
  </si>
  <si>
    <t>8470810</t>
  </si>
  <si>
    <t>492352</t>
  </si>
  <si>
    <t>492354</t>
  </si>
  <si>
    <t>492356</t>
  </si>
  <si>
    <t>8471110</t>
  </si>
  <si>
    <t>8471140</t>
  </si>
  <si>
    <t>8471160</t>
  </si>
  <si>
    <t>8471170</t>
  </si>
  <si>
    <t>8471280</t>
  </si>
  <si>
    <t>8471305</t>
  </si>
  <si>
    <t xml:space="preserve"> Account Description</t>
  </si>
  <si>
    <t xml:space="preserve"> Fund Available</t>
  </si>
  <si>
    <t>Opex</t>
  </si>
  <si>
    <t>Capex</t>
  </si>
  <si>
    <t>Main subject</t>
  </si>
  <si>
    <t>sub subject</t>
  </si>
  <si>
    <t>Amount AED</t>
  </si>
  <si>
    <t>Comments</t>
  </si>
  <si>
    <t>Summary of required capital work for remaining year 2022:</t>
  </si>
  <si>
    <t>FM related budget (including shell&amp; core and infrastructure to Research)</t>
  </si>
  <si>
    <t>KUST</t>
  </si>
  <si>
    <t>Research related spend (KUST)</t>
  </si>
  <si>
    <t>Research related spend (KUST) - PRs issued</t>
  </si>
  <si>
    <t xml:space="preserve">KUS / already committed </t>
  </si>
  <si>
    <t>Research related spend (non KUST)</t>
  </si>
  <si>
    <t>KUX</t>
  </si>
  <si>
    <t>Research related spend (non KUST) - PRs issued</t>
  </si>
  <si>
    <t>KUX / already committed</t>
  </si>
  <si>
    <t>Budget sources to meet above spend:</t>
  </si>
  <si>
    <t>Existing surplus in Chapter 3 (all departments including Research)</t>
  </si>
  <si>
    <t>From inter budget transfer (from chapters 1&amp;2)</t>
  </si>
  <si>
    <t>From KUST (already committed / PRs issued)</t>
  </si>
  <si>
    <t xml:space="preserve">KUST / PRs issued </t>
  </si>
  <si>
    <t>Fund from Mubadala for Sponsorship Agreement</t>
  </si>
  <si>
    <t>Fund From Graphene project</t>
  </si>
  <si>
    <t>KUX / Graphene</t>
  </si>
  <si>
    <t>Fund from Leven Research / Belgium - PR issued</t>
  </si>
  <si>
    <t>KUX / Leuven</t>
  </si>
  <si>
    <t xml:space="preserve"> </t>
  </si>
  <si>
    <t>How KUST available budget can cover the additional capital cost?</t>
  </si>
  <si>
    <t xml:space="preserve">Additional capital expenses (FM related &amp; Research related) </t>
  </si>
  <si>
    <t>Funded from:</t>
  </si>
  <si>
    <t>Existing available budget in Chapter 3</t>
  </si>
  <si>
    <t xml:space="preserve">From inter budget transfer (from chapters 1&amp;2) </t>
  </si>
  <si>
    <t>Suggestion: Move the (Glovebox) Device Fabrication and Characterization Facility from KUST to KUX/ Graphene. The project is Graphene related.</t>
  </si>
  <si>
    <t>Suggestion: Adjust cash outflow by AED 8.9 million from cash projection from Animal Research Facility (total 55 million. this year 26 million) to next year</t>
  </si>
  <si>
    <t>Breakdown:</t>
  </si>
  <si>
    <t>Chapter 3 (Capex Budget (KUST):</t>
  </si>
  <si>
    <t>Research CAPEX budget</t>
  </si>
  <si>
    <t>Non research CAPEX budget</t>
  </si>
  <si>
    <t>Total approved CAPEX budget 2022</t>
  </si>
  <si>
    <t>Existing surplus (all departments including Research)</t>
  </si>
  <si>
    <t>as at 24/6/2022</t>
  </si>
  <si>
    <t>Additional expected spend in CPAEX (during 2nd half 2022):</t>
  </si>
  <si>
    <t>FM related:</t>
  </si>
  <si>
    <t xml:space="preserve">Arazenh variation &amp; remaining work </t>
  </si>
  <si>
    <t>contract variation + remaining from old contract ((AED 3,900,000+ 3,577,472)</t>
  </si>
  <si>
    <t>Shell &amp; Core (College of Medicine) (28,890,000 - 15,000,000)</t>
  </si>
  <si>
    <t>contract (assume he will work for total 18 million instead of 28.8 million) instead of 13,890,000</t>
  </si>
  <si>
    <t>Lab Furniture &amp; Fit Out (Completion of Shell &amp; Core) - Phase 2</t>
  </si>
  <si>
    <t>contract</t>
  </si>
  <si>
    <t>Furniture medical college phase 2</t>
  </si>
  <si>
    <t>PR returned (under update). PR might already raised</t>
  </si>
  <si>
    <t>Habshan modifications (demolishing)</t>
  </si>
  <si>
    <t>Manual PR raised</t>
  </si>
  <si>
    <t>Office modification (Arzanah and K building)</t>
  </si>
  <si>
    <t>Asset digitalization and Area Verification of Space Planning</t>
  </si>
  <si>
    <t xml:space="preserve">PR will be raised </t>
  </si>
  <si>
    <t>Design of Habshan Building- Fit out work</t>
  </si>
  <si>
    <t xml:space="preserve">PR will be raised (manual) </t>
  </si>
  <si>
    <t>Movement of Habshan Furniture</t>
  </si>
  <si>
    <t>Research related (from KUST):</t>
  </si>
  <si>
    <t xml:space="preserve">Wind Tunnel Equipment (last payment) with </t>
  </si>
  <si>
    <t>carry forward PO from last years. PR/PO to be raised</t>
  </si>
  <si>
    <t>Animal Research Facility (total 55 million. this year 26 million)</t>
  </si>
  <si>
    <t xml:space="preserve">BSL2 Tissue Culture, Virology &amp; Molecular Microbiology Laboratory, Civil and MEPs
</t>
  </si>
  <si>
    <t>Research related (from KUST) already PRs issued against KUST budget:</t>
  </si>
  <si>
    <t xml:space="preserve">BSL2 Tissue Culture, Virology &amp; Molecular Microbiology Laboratory, Freezer Room
</t>
  </si>
  <si>
    <t xml:space="preserve">PR already issued </t>
  </si>
  <si>
    <t>Cleanroom (Liquid nitrogen facility rectification)</t>
  </si>
  <si>
    <t>Device Fabrication and Characterization Facility (Glovebox)  (9 million)</t>
  </si>
  <si>
    <t>Supposed to be from KUX Graphene but PR already issued against KUST</t>
  </si>
  <si>
    <t>Research Related (non KUST - suggested to be funded by KUX Graphene):</t>
  </si>
  <si>
    <t>Electron Microscopy Facility (total 40 million)</t>
  </si>
  <si>
    <t>KUX Graphene</t>
  </si>
  <si>
    <t>Research Innovation Center in Graphene &amp; 2D Materials (RIC-2D) total AED 14,690,000</t>
  </si>
  <si>
    <t>Research Related (non KUST -already PR issued against KUX / Leuven Research):</t>
  </si>
  <si>
    <t xml:space="preserve">Biomedical Science Discovery Program (BIDSI) </t>
  </si>
  <si>
    <t xml:space="preserve">from Leuven Research /Belgium, PR issued already </t>
  </si>
  <si>
    <t>Some additional sources for funding (suggested):</t>
  </si>
  <si>
    <t>KUX accumulated surplus from closed projects</t>
  </si>
  <si>
    <t>KUX accumulated surplus from overhead charges / burden rates</t>
  </si>
  <si>
    <t>Graphene center</t>
  </si>
  <si>
    <t>Total received fund against Graphene project is AED 51 million, assume we can utilize 37 million against research projects as discussed before, deduced from which what allocated in above table</t>
  </si>
  <si>
    <t>Leuven research (Belgium)</t>
  </si>
  <si>
    <t>Total received fund is AED 20 million, assume we can utilize 11 million for research projects as discussed before. Around 9 million already used as PR for Biomedical Discovery Program (PIDSI)</t>
  </si>
  <si>
    <t>Amount</t>
  </si>
  <si>
    <t>VAT</t>
  </si>
  <si>
    <t>Net</t>
  </si>
  <si>
    <t>Total Contract Value</t>
  </si>
  <si>
    <t xml:space="preserve">            28,890,000.00 </t>
  </si>
  <si>
    <t xml:space="preserve">                1,444,500.00 </t>
  </si>
  <si>
    <t xml:space="preserve">  30,334,500.00 </t>
  </si>
  <si>
    <t>Variation 1 (no PO available)</t>
  </si>
  <si>
    <t xml:space="preserve">                 923,809.00 </t>
  </si>
  <si>
    <t xml:space="preserve">                     46,190.45 </t>
  </si>
  <si>
    <t xml:space="preserve">        969,999.45 </t>
  </si>
  <si>
    <t xml:space="preserve">           29,813,809.00 </t>
  </si>
  <si>
    <t xml:space="preserve">                1,490,690.45 </t>
  </si>
  <si>
    <t xml:space="preserve">  31,304,499.45 </t>
  </si>
  <si>
    <t>Advance paid (51.92%)</t>
  </si>
  <si>
    <t xml:space="preserve">            15,000,000.00 </t>
  </si>
  <si>
    <t xml:space="preserve">                   750,000.00 </t>
  </si>
  <si>
    <t xml:space="preserve">  15,750,000.00 </t>
  </si>
  <si>
    <t>Progress</t>
  </si>
  <si>
    <t>Progressive Adv recovery</t>
  </si>
  <si>
    <t>5% Retention</t>
  </si>
  <si>
    <t xml:space="preserve">VAT </t>
  </si>
  <si>
    <t>Status</t>
  </si>
  <si>
    <t>First Prgress Invoice</t>
  </si>
  <si>
    <t xml:space="preserve">              3,346,331.01 </t>
  </si>
  <si>
    <t>              (1,737,451.20)</t>
  </si>
  <si>
    <t>      (167,316.55)</t>
  </si>
  <si>
    <t xml:space="preserve">        72,078.16 </t>
  </si>
  <si>
    <t xml:space="preserve">    1,513,641.42 </t>
  </si>
  <si>
    <t>Paid</t>
  </si>
  <si>
    <t>Second Progress Invoice</t>
  </si>
  <si>
    <t xml:space="preserve">              3,662,058.70 </t>
  </si>
  <si>
    <t>              (1,901,380.43)</t>
  </si>
  <si>
    <t>      (183,102.94)</t>
  </si>
  <si>
    <t xml:space="preserve">        78,878.77 </t>
  </si>
  <si>
    <t xml:space="preserve">    1,656,454.11 </t>
  </si>
  <si>
    <t>Third Progress Invoice</t>
  </si>
  <si>
    <t xml:space="preserve">              2,163,967.92 </t>
  </si>
  <si>
    <t>              (1,123,555.51)</t>
  </si>
  <si>
    <t>      (108,198.40)</t>
  </si>
  <si>
    <t xml:space="preserve">        46,610.70 </t>
  </si>
  <si>
    <t xml:space="preserve">       978,824.71 </t>
  </si>
  <si>
    <t>Fourth Progress Invoice</t>
  </si>
  <si>
    <t xml:space="preserve">              2,028,235.34 </t>
  </si>
  <si>
    <t>              (1,053,081.69)</t>
  </si>
  <si>
    <t>      (101,411.77)</t>
  </si>
  <si>
    <t xml:space="preserve">        43,687.09 </t>
  </si>
  <si>
    <t xml:space="preserve">       917,428.97 </t>
  </si>
  <si>
    <t>Fifth Progress Invoice</t>
  </si>
  <si>
    <t xml:space="preserve">              2,949,986.60 </t>
  </si>
  <si>
    <t>              (1,531,664.90)</t>
  </si>
  <si>
    <t>      (147,499.33)</t>
  </si>
  <si>
    <t xml:space="preserve">        63,541.12 </t>
  </si>
  <si>
    <t xml:space="preserve">    1,334,363.49 </t>
  </si>
  <si>
    <t>Six Progress Invoice</t>
  </si>
  <si>
    <t xml:space="preserve">              1,290,218.35 </t>
  </si>
  <si>
    <t>                 (669,895.30)</t>
  </si>
  <si>
    <t>        (64,510.92)</t>
  </si>
  <si>
    <t xml:space="preserve">        27,790.62 </t>
  </si>
  <si>
    <t xml:space="preserve">       583,602.75 </t>
  </si>
  <si>
    <t>Seventh Progress Invoice</t>
  </si>
  <si>
    <t>      (144,430.00)</t>
  </si>
  <si>
    <t xml:space="preserve">        62,218.89 </t>
  </si>
  <si>
    <t xml:space="preserve">    1,306,596.61 </t>
  </si>
  <si>
    <t>Budget transfer required</t>
  </si>
  <si>
    <t xml:space="preserve">Total </t>
  </si>
  <si>
    <t xml:space="preserve">           18,329,398.01 </t>
  </si>
  <si>
    <t>              (9,516,821.40)</t>
  </si>
  <si>
    <t>      (916,469.90)</t>
  </si>
  <si>
    <t xml:space="preserve">      394,805.35 </t>
  </si>
  <si>
    <t xml:space="preserve">    8,290,912.06 </t>
  </si>
  <si>
    <t>Shell &amp; Core (College of Medicine) - White Crescent - Seventh Progress Invoice</t>
  </si>
  <si>
    <t>Vivirum</t>
  </si>
  <si>
    <t>cafm</t>
  </si>
  <si>
    <t>glovpox 30%</t>
  </si>
  <si>
    <t>glovpox 50%</t>
  </si>
  <si>
    <t>ECM</t>
  </si>
  <si>
    <t>PMR</t>
  </si>
  <si>
    <t>DTR</t>
  </si>
  <si>
    <t>Chapter -01</t>
  </si>
  <si>
    <t>SVP Level</t>
  </si>
  <si>
    <t>building</t>
  </si>
  <si>
    <t>Lab Equipment</t>
  </si>
  <si>
    <t>FMS</t>
  </si>
  <si>
    <t xml:space="preserve">President's Office </t>
  </si>
  <si>
    <t>Executive Vice President Office</t>
  </si>
  <si>
    <t>Provost</t>
  </si>
  <si>
    <t>Academic and Student Services Office</t>
  </si>
  <si>
    <t>College of Engineering</t>
  </si>
  <si>
    <t>College of Arts &amp; Science</t>
  </si>
  <si>
    <t>SVP - Support Services Office</t>
  </si>
  <si>
    <t>SVP - Finance and Investment</t>
  </si>
  <si>
    <t>Continuing Education</t>
  </si>
  <si>
    <t>SVP - Research Office</t>
  </si>
  <si>
    <t>College of Medicine &amp; Health Sciences</t>
  </si>
  <si>
    <t>XXRec-01</t>
  </si>
  <si>
    <t>XXReco-2</t>
  </si>
  <si>
    <t>XxRec-3</t>
  </si>
  <si>
    <t>Row Labels</t>
  </si>
  <si>
    <t>Forecast 09-Dec-2022</t>
  </si>
  <si>
    <t>Capex Shortage</t>
  </si>
  <si>
    <t>Surplus/ Shortage 09-Dec-2022</t>
  </si>
  <si>
    <t>Surplus</t>
  </si>
  <si>
    <t>Shortage</t>
  </si>
  <si>
    <t>XXXXForecast 09-Dec-2022</t>
  </si>
  <si>
    <t>Budget 10-Dec-2022</t>
  </si>
  <si>
    <t>Act 10-Dec-2022</t>
  </si>
  <si>
    <t>PO  10-Dec-2022</t>
  </si>
  <si>
    <t>Account Coed -- 2</t>
  </si>
  <si>
    <t>847.8470410.1.428090.000000.847001.200179</t>
  </si>
  <si>
    <t>847.8470520.1.428640.000000.847001.200179</t>
  </si>
  <si>
    <t>847.8470620.1.425900.000000.847001.200179</t>
  </si>
  <si>
    <t>847.8470720.1.421000.000000.847001.200179</t>
  </si>
  <si>
    <t>Fund Availbale  10-Dec-2022</t>
  </si>
  <si>
    <t>PR 10-Dec-2022</t>
  </si>
  <si>
    <t>Forecast 10-Dec-2022</t>
  </si>
  <si>
    <t>Sum of Budget 10-Dec-2022</t>
  </si>
  <si>
    <t>Sum of Forecast 10-Dec-2022</t>
  </si>
  <si>
    <t>Sum of Surplus</t>
  </si>
  <si>
    <t>Sum of Shortage</t>
  </si>
  <si>
    <t xml:space="preserve">Forecast including : Dec-22 payments AP + Dec-22 Depts &amp; Colleges Forecast + PR + PO + Shortga of budget </t>
  </si>
  <si>
    <t>Account Code -2</t>
  </si>
  <si>
    <t>Capex Surplus</t>
  </si>
  <si>
    <t>Sum of Capex Surplus</t>
  </si>
  <si>
    <t>Sum of Capex Shortage</t>
  </si>
  <si>
    <t xml:space="preserve">Forecast including : Dec-22 Depts &amp; Colleges Forecast + PR + PO + Shortga of budget </t>
  </si>
  <si>
    <t>XXCapex Surplus</t>
  </si>
  <si>
    <t>Fund available considered as surplus</t>
  </si>
  <si>
    <t>Chapter</t>
  </si>
  <si>
    <t xml:space="preserve">Chapter - 02 Opex </t>
  </si>
  <si>
    <t xml:space="preserve">Chapter - 03 Capex </t>
  </si>
  <si>
    <t>Chapter Summary</t>
  </si>
  <si>
    <t>Budget - 2022</t>
  </si>
  <si>
    <t>Budget -2022</t>
  </si>
  <si>
    <t xml:space="preserve">Forecast </t>
  </si>
  <si>
    <t>Forecast</t>
  </si>
  <si>
    <t>%</t>
  </si>
  <si>
    <t>Contigency AED 8.1M mapped to president group</t>
  </si>
  <si>
    <t>XX Surplus</t>
  </si>
  <si>
    <t>Account Level</t>
  </si>
  <si>
    <t>Other Expenses</t>
  </si>
  <si>
    <t>PR Cancellation</t>
  </si>
  <si>
    <t>XX</t>
  </si>
  <si>
    <t xml:space="preserve">Chapter - 01 Manpower </t>
  </si>
  <si>
    <t>Estimated Transfer Amount</t>
  </si>
  <si>
    <t>Estimated Shortage Amount</t>
  </si>
  <si>
    <t>IT Systems &amp; Support expenses-Application/Systems Operation
SLA KU Cloud Infrastructure and Network Services-2022 to 2024</t>
  </si>
  <si>
    <t>Account / Item Description</t>
  </si>
  <si>
    <t>IT Systems &amp; Support expenses-Application/Systems Operation
SLA for HPC and Cloud Services Support and Extension-2022 to 2024</t>
  </si>
  <si>
    <t>Academic Collaborative Partnership Services
ARIC Payment</t>
  </si>
  <si>
    <t>Academic Collaborative Partnership Services
EBTIC Payment</t>
  </si>
  <si>
    <t>Student Accommodation
MASDER payment</t>
  </si>
  <si>
    <t>2023</t>
  </si>
  <si>
    <t>2024</t>
  </si>
  <si>
    <t>2025</t>
  </si>
  <si>
    <t>2022</t>
  </si>
  <si>
    <t>Year Payment Related to</t>
  </si>
  <si>
    <t>Capital expense - Buildings
Shell &amp; Core (College of Medicine) - White Crescent - Seventh Progress Invoice</t>
  </si>
  <si>
    <t>Capital expense - Buildings
Integrated Facilities Management Solution - CAFM</t>
  </si>
  <si>
    <t>Capital expense - Buildings
Animal Research Facility - Vivarium lab</t>
  </si>
  <si>
    <t>Laboratory equipment
INSTALLATION OF GLOVEBOX FACILITY</t>
  </si>
  <si>
    <t xml:space="preserve">Account Level </t>
  </si>
  <si>
    <t xml:space="preserve">From Opex Budget Lines </t>
  </si>
  <si>
    <t>Up to AED Thousands</t>
  </si>
  <si>
    <t>ok</t>
  </si>
  <si>
    <t>building - 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</si>
</sst>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_);_(* \(#,##0\);_(* &quot;-&quot;??_);_(@_)"/>
    <numFmt numFmtId="165" formatCode="_(* #,##0.0_);_(* \(#,##0.0\);_(* &quot;-&quot;??_);_(@_)"/>
  </numFmts>
  <fonts count="41" x14ac:knownFonts="1">
    <font>
      <sz val="11"/>
      <color theme="1"/>
      <name val="Calibri"/>
    </font>
    <font>
      <sz val="11"/>
      <color theme="1"/>
      <name val="Calibri"/>
      <family val="2"/>
      <scheme val="minor"/>
    </font>
    <font>
      <sz val="11"/>
      <color theme="1"/>
      <name val="Calibri"/>
      <family val="2"/>
      <scheme val="minor"/>
    </font>
    <font>
      <sz val="8"/>
      <color theme="1"/>
      <name val="Calibri"/>
      <family val="2"/>
    </font>
    <font>
      <b/>
      <sz val="8"/>
      <color theme="1"/>
      <name val="Calibri"/>
      <family val="2"/>
    </font>
    <font>
      <sz val="6"/>
      <color theme="1"/>
      <name val="Calibri"/>
      <family val="2"/>
    </font>
    <font>
      <sz val="11"/>
      <color theme="1"/>
      <name val="Calibri"/>
      <family val="2"/>
    </font>
    <font>
      <sz val="11"/>
      <color theme="1"/>
      <name val="Calibri"/>
      <family val="2"/>
    </font>
    <font>
      <sz val="9"/>
      <color theme="1"/>
      <name val="Calibri"/>
      <family val="2"/>
    </font>
    <font>
      <sz val="8"/>
      <color theme="1"/>
      <name val="Calibri"/>
      <family val="2"/>
    </font>
    <font>
      <sz val="8"/>
      <color rgb="FFFF0000"/>
      <name val="Calibri"/>
      <family val="2"/>
    </font>
    <font>
      <b/>
      <sz val="11"/>
      <color theme="1"/>
      <name val="Calibri"/>
      <family val="2"/>
    </font>
    <font>
      <b/>
      <sz val="9"/>
      <color theme="1"/>
      <name val="Calibri"/>
      <family val="2"/>
    </font>
    <font>
      <b/>
      <sz val="8"/>
      <color theme="1"/>
      <name val="Calibri"/>
      <family val="2"/>
    </font>
    <font>
      <sz val="9"/>
      <color indexed="81"/>
      <name val="Tahoma"/>
      <family val="2"/>
    </font>
    <font>
      <b/>
      <sz val="9"/>
      <color indexed="81"/>
      <name val="Tahoma"/>
      <family val="2"/>
    </font>
    <font>
      <sz val="7"/>
      <color rgb="FF242424"/>
      <name val="Segoe UI"/>
      <family val="2"/>
    </font>
    <font>
      <b/>
      <sz val="10"/>
      <color theme="1"/>
      <name val="Calibri"/>
      <family val="2"/>
    </font>
    <font>
      <sz val="11"/>
      <color rgb="FFFF0000"/>
      <name val="Calibri"/>
      <family val="2"/>
    </font>
    <font>
      <b/>
      <sz val="11"/>
      <color rgb="FF333399"/>
      <name val="Calibri"/>
      <family val="2"/>
    </font>
    <font>
      <sz val="11"/>
      <color rgb="FFFF0000"/>
      <name val="Calibri"/>
      <family val="2"/>
      <scheme val="minor"/>
    </font>
    <font>
      <b/>
      <sz val="11"/>
      <color theme="1"/>
      <name val="Calibri"/>
      <family val="2"/>
      <scheme val="minor"/>
    </font>
    <font>
      <i/>
      <sz val="9"/>
      <color theme="1"/>
      <name val="Calibri"/>
      <family val="2"/>
      <scheme val="minor"/>
    </font>
    <font>
      <b/>
      <sz val="11"/>
      <color theme="4" tint="-0.249977111117893"/>
      <name val="Calibri"/>
      <family val="2"/>
      <scheme val="minor"/>
    </font>
    <font>
      <sz val="11"/>
      <color theme="4" tint="-0.249977111117893"/>
      <name val="Calibri"/>
      <family val="2"/>
      <scheme val="minor"/>
    </font>
    <font>
      <i/>
      <sz val="9"/>
      <color theme="4" tint="-0.249977111117893"/>
      <name val="Calibri"/>
      <family val="2"/>
      <scheme val="minor"/>
    </font>
    <font>
      <b/>
      <sz val="11"/>
      <color rgb="FF00B050"/>
      <name val="Calibri"/>
      <family val="2"/>
      <scheme val="minor"/>
    </font>
    <font>
      <sz val="11"/>
      <color rgb="FF00B050"/>
      <name val="Calibri"/>
      <family val="2"/>
      <scheme val="minor"/>
    </font>
    <font>
      <i/>
      <sz val="9"/>
      <color rgb="FF00B050"/>
      <name val="Calibri"/>
      <family val="2"/>
      <scheme val="minor"/>
    </font>
    <font>
      <sz val="9"/>
      <color theme="4" tint="-0.249977111117893"/>
      <name val="Calibri"/>
      <family val="2"/>
      <scheme val="minor"/>
    </font>
    <font>
      <b/>
      <sz val="11"/>
      <name val="Calibri"/>
      <family val="2"/>
      <scheme val="minor"/>
    </font>
    <font>
      <i/>
      <sz val="9"/>
      <name val="Calibri"/>
      <family val="2"/>
      <scheme val="minor"/>
    </font>
    <font>
      <sz val="11"/>
      <name val="Calibri"/>
      <family val="2"/>
      <scheme val="minor"/>
    </font>
    <font>
      <b/>
      <i/>
      <sz val="9"/>
      <color theme="1"/>
      <name val="Calibri"/>
      <family val="2"/>
      <scheme val="minor"/>
    </font>
    <font>
      <sz val="11"/>
      <color rgb="FF000000"/>
      <name val="Calibri"/>
      <family val="2"/>
      <scheme val="minor"/>
    </font>
    <font>
      <sz val="10"/>
      <color theme="1"/>
      <name val="Times New Roman"/>
      <family val="1"/>
    </font>
    <font>
      <sz val="11"/>
      <color rgb="FF000000"/>
      <name val="Calibri"/>
      <family val="2"/>
    </font>
    <font>
      <b/>
      <sz val="11"/>
      <color rgb="FF000000"/>
      <name val="Calibri"/>
      <family val="2"/>
    </font>
    <font>
      <sz val="11"/>
      <name val="Calibri"/>
      <family val="2"/>
    </font>
    <font>
      <sz val="10"/>
      <color theme="1"/>
      <name val="Calibri"/>
      <family val="2"/>
    </font>
    <font>
      <sz val="11"/>
      <color rgb="FFFF0000"/>
      <name val="Calibri"/>
      <family val="2"/>
    </font>
  </fonts>
  <fills count="22">
    <fill>
      <patternFill patternType="none"/>
    </fill>
    <fill>
      <patternFill patternType="gray125"/>
    </fill>
    <fill>
      <patternFill patternType="solid">
        <fgColor rgb="FFF0F4FA"/>
      </patternFill>
    </fill>
    <fill>
      <patternFill patternType="solid">
        <fgColor rgb="FFFFFFFF"/>
      </patternFill>
    </fill>
    <fill>
      <patternFill patternType="solid">
        <fgColor theme="4" tint="0.59999389629810485"/>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6" tint="0.79998168889431442"/>
        <bgColor indexed="64"/>
      </patternFill>
    </fill>
    <fill>
      <patternFill patternType="solid">
        <fgColor rgb="FF00B05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9" tint="0.59999389629810485"/>
        <bgColor indexed="64"/>
      </patternFill>
    </fill>
  </fills>
  <borders count="26">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979991"/>
      </left>
      <right/>
      <top style="thin">
        <color rgb="FF979991"/>
      </top>
      <bottom style="thin">
        <color rgb="FF979991"/>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rgb="FF000000"/>
      </left>
      <right/>
      <top style="thin">
        <color rgb="FF000000"/>
      </top>
      <bottom/>
      <diagonal/>
    </border>
    <border>
      <left style="thin">
        <color rgb="FF000000"/>
      </left>
      <right/>
      <top style="thin">
        <color indexed="64"/>
      </top>
      <bottom style="double">
        <color indexed="64"/>
      </bottom>
      <diagonal/>
    </border>
    <border>
      <left style="thin">
        <color rgb="FF000000"/>
      </left>
      <right/>
      <top/>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thin">
        <color rgb="FF00000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bottom style="double">
        <color indexed="64"/>
      </bottom>
      <diagonal/>
    </border>
  </borders>
  <cellStyleXfs count="5">
    <xf numFmtId="0" fontId="0" fillId="0" borderId="0"/>
    <xf numFmtId="43" fontId="6" fillId="0" borderId="0" applyFont="0" applyFill="0" applyBorder="0" applyAlignment="0" applyProtection="0"/>
    <xf numFmtId="0" fontId="7" fillId="0" borderId="0"/>
    <xf numFmtId="43" fontId="7" fillId="0" borderId="0" applyFont="0" applyFill="0" applyBorder="0" applyAlignment="0" applyProtection="0"/>
    <xf numFmtId="9" fontId="6" fillId="0" borderId="0" applyFont="0" applyFill="0" applyBorder="0" applyAlignment="0" applyProtection="0"/>
  </cellStyleXfs>
  <cellXfs count="561">
    <xf numFmtId="0" fontId="0" fillId="0" borderId="0" xfId="0"/>
    <xf numFmtId="0" fontId="0" fillId="0" borderId="0" xfId="0" applyAlignment="1"/>
    <xf numFmtId="0" fontId="3" fillId="3" borderId="5" xfId="0" applyFont="1" applyFill="1" applyBorder="1" applyAlignment="1">
      <alignment horizontal="left" vertical="top"/>
    </xf>
    <xf numFmtId="0" fontId="3" fillId="3" borderId="7" xfId="0" applyFont="1" applyFill="1" applyBorder="1" applyAlignment="1">
      <alignment horizontal="left" vertical="top"/>
    </xf>
    <xf numFmtId="3" fontId="3" fillId="3" borderId="7" xfId="0" applyNumberFormat="1" applyFont="1" applyFill="1" applyBorder="1" applyAlignment="1">
      <alignment horizontal="right" vertical="top"/>
    </xf>
    <xf numFmtId="3" fontId="3" fillId="3" borderId="8" xfId="0" applyNumberFormat="1" applyFont="1" applyFill="1" applyBorder="1" applyAlignment="1">
      <alignment horizontal="right" vertical="top"/>
    </xf>
    <xf numFmtId="0" fontId="0" fillId="3" borderId="5" xfId="0" applyFill="1" applyBorder="1" applyAlignment="1">
      <alignment horizontal="right" vertical="top"/>
    </xf>
    <xf numFmtId="0" fontId="0" fillId="3" borderId="6" xfId="0" applyFill="1" applyBorder="1" applyAlignment="1">
      <alignment horizontal="right" vertical="top"/>
    </xf>
    <xf numFmtId="0" fontId="0" fillId="3" borderId="8" xfId="0" applyFill="1" applyBorder="1" applyAlignment="1">
      <alignment horizontal="right" vertical="top"/>
    </xf>
    <xf numFmtId="3" fontId="3" fillId="3" borderId="6" xfId="0" applyNumberFormat="1" applyFont="1" applyFill="1" applyBorder="1" applyAlignment="1">
      <alignment horizontal="right" vertical="top"/>
    </xf>
    <xf numFmtId="0" fontId="0" fillId="3" borderId="7" xfId="0" applyFill="1" applyBorder="1" applyAlignment="1">
      <alignment horizontal="right" vertical="top"/>
    </xf>
    <xf numFmtId="3" fontId="3" fillId="3" borderId="5" xfId="0" applyNumberFormat="1" applyFont="1" applyFill="1" applyBorder="1" applyAlignment="1">
      <alignment horizontal="right" vertical="top"/>
    </xf>
    <xf numFmtId="1" fontId="3" fillId="3" borderId="6" xfId="0" applyNumberFormat="1" applyFont="1" applyFill="1" applyBorder="1" applyAlignment="1">
      <alignment horizontal="right" vertical="top"/>
    </xf>
    <xf numFmtId="0" fontId="4" fillId="2" borderId="5" xfId="0" applyFont="1"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3" fontId="4" fillId="2" borderId="7" xfId="0" applyNumberFormat="1" applyFont="1" applyFill="1" applyBorder="1" applyAlignment="1">
      <alignment horizontal="right" vertical="top"/>
    </xf>
    <xf numFmtId="3" fontId="4" fillId="2" borderId="8" xfId="0" applyNumberFormat="1" applyFont="1" applyFill="1" applyBorder="1" applyAlignment="1">
      <alignment horizontal="right" vertical="top"/>
    </xf>
    <xf numFmtId="3" fontId="4" fillId="2" borderId="5" xfId="0" applyNumberFormat="1" applyFont="1" applyFill="1" applyBorder="1" applyAlignment="1">
      <alignment horizontal="right" vertical="top"/>
    </xf>
    <xf numFmtId="1" fontId="4" fillId="2" borderId="6" xfId="0" applyNumberFormat="1" applyFont="1" applyFill="1" applyBorder="1" applyAlignment="1">
      <alignment horizontal="right" vertical="top"/>
    </xf>
    <xf numFmtId="3" fontId="4" fillId="2" borderId="6" xfId="0" applyNumberFormat="1" applyFont="1" applyFill="1" applyBorder="1" applyAlignment="1">
      <alignment horizontal="right" vertical="top"/>
    </xf>
    <xf numFmtId="0" fontId="0" fillId="2" borderId="7" xfId="0" applyFill="1" applyBorder="1" applyAlignment="1">
      <alignment horizontal="right" vertical="top"/>
    </xf>
    <xf numFmtId="0" fontId="4" fillId="2" borderId="8" xfId="0" applyFont="1" applyFill="1" applyBorder="1" applyAlignment="1">
      <alignment horizontal="left" vertical="top"/>
    </xf>
    <xf numFmtId="0" fontId="0" fillId="2" borderId="9" xfId="0" applyFill="1" applyBorder="1" applyAlignment="1">
      <alignment horizontal="left" vertical="top"/>
    </xf>
    <xf numFmtId="0" fontId="5" fillId="0" borderId="0" xfId="0" applyFont="1" applyAlignment="1">
      <alignment vertical="top"/>
    </xf>
    <xf numFmtId="0" fontId="0" fillId="0" borderId="0" xfId="0" applyAlignment="1">
      <alignment horizontal="center" vertical="top"/>
    </xf>
    <xf numFmtId="0" fontId="3" fillId="3" borderId="6" xfId="0" applyNumberFormat="1" applyFont="1" applyFill="1" applyBorder="1" applyAlignment="1">
      <alignment horizontal="left" vertical="top"/>
    </xf>
    <xf numFmtId="0" fontId="3" fillId="3" borderId="7" xfId="0" applyNumberFormat="1" applyFont="1" applyFill="1" applyBorder="1" applyAlignment="1">
      <alignment horizontal="left" vertical="top"/>
    </xf>
    <xf numFmtId="0" fontId="8" fillId="2" borderId="1" xfId="0" applyFont="1" applyFill="1" applyBorder="1" applyAlignment="1">
      <alignment horizontal="left" vertical="top"/>
    </xf>
    <xf numFmtId="0" fontId="8" fillId="2" borderId="2" xfId="0" applyFont="1" applyFill="1" applyBorder="1" applyAlignment="1">
      <alignment horizontal="left" vertical="top"/>
    </xf>
    <xf numFmtId="0" fontId="8" fillId="2" borderId="3" xfId="0" applyFont="1" applyFill="1" applyBorder="1" applyAlignment="1">
      <alignment horizontal="left" vertical="top"/>
    </xf>
    <xf numFmtId="0" fontId="8" fillId="2" borderId="4" xfId="0" applyFont="1" applyFill="1" applyBorder="1" applyAlignment="1">
      <alignment horizontal="left" vertical="top"/>
    </xf>
    <xf numFmtId="0" fontId="8" fillId="0" borderId="0" xfId="0" applyFont="1" applyAlignment="1"/>
    <xf numFmtId="0" fontId="3" fillId="0" borderId="5" xfId="0" applyFont="1" applyFill="1" applyBorder="1" applyAlignment="1">
      <alignment horizontal="left" vertical="top"/>
    </xf>
    <xf numFmtId="0" fontId="7" fillId="0" borderId="0" xfId="0" applyFont="1" applyFill="1" applyAlignment="1"/>
    <xf numFmtId="0" fontId="0" fillId="0" borderId="0" xfId="0" applyFill="1" applyAlignment="1"/>
    <xf numFmtId="0" fontId="3" fillId="4" borderId="6" xfId="0" applyNumberFormat="1" applyFont="1" applyFill="1" applyBorder="1" applyAlignment="1">
      <alignment horizontal="left" vertical="top"/>
    </xf>
    <xf numFmtId="0" fontId="3" fillId="4" borderId="7" xfId="0" applyFont="1" applyFill="1" applyBorder="1" applyAlignment="1">
      <alignment horizontal="left" vertical="top"/>
    </xf>
    <xf numFmtId="0" fontId="3" fillId="4" borderId="7" xfId="0" applyNumberFormat="1" applyFont="1" applyFill="1" applyBorder="1" applyAlignment="1">
      <alignment horizontal="left" vertical="top"/>
    </xf>
    <xf numFmtId="3" fontId="3" fillId="4" borderId="7" xfId="0" applyNumberFormat="1" applyFont="1" applyFill="1" applyBorder="1" applyAlignment="1">
      <alignment horizontal="right" vertical="top"/>
    </xf>
    <xf numFmtId="3" fontId="3" fillId="4" borderId="8" xfId="0" applyNumberFormat="1" applyFont="1" applyFill="1" applyBorder="1" applyAlignment="1">
      <alignment horizontal="right" vertical="top"/>
    </xf>
    <xf numFmtId="3" fontId="3" fillId="4" borderId="5" xfId="0" applyNumberFormat="1" applyFont="1" applyFill="1" applyBorder="1" applyAlignment="1">
      <alignment horizontal="right" vertical="top"/>
    </xf>
    <xf numFmtId="1" fontId="3" fillId="4" borderId="6" xfId="0" applyNumberFormat="1" applyFont="1" applyFill="1" applyBorder="1" applyAlignment="1">
      <alignment horizontal="right" vertical="top"/>
    </xf>
    <xf numFmtId="3" fontId="3" fillId="4" borderId="6" xfId="0" applyNumberFormat="1" applyFont="1" applyFill="1" applyBorder="1" applyAlignment="1">
      <alignment horizontal="right" vertical="top"/>
    </xf>
    <xf numFmtId="0" fontId="0" fillId="4" borderId="7" xfId="0" applyFill="1" applyBorder="1" applyAlignment="1">
      <alignment horizontal="right" vertical="top"/>
    </xf>
    <xf numFmtId="0" fontId="0" fillId="4" borderId="6" xfId="0" applyFill="1" applyBorder="1" applyAlignment="1">
      <alignment horizontal="right" vertical="top"/>
    </xf>
    <xf numFmtId="0" fontId="0" fillId="4" borderId="8" xfId="0" applyFill="1" applyBorder="1" applyAlignment="1">
      <alignment horizontal="right" vertical="top"/>
    </xf>
    <xf numFmtId="0" fontId="0" fillId="4" borderId="5" xfId="0" applyFill="1" applyBorder="1" applyAlignment="1">
      <alignment horizontal="right" vertical="top"/>
    </xf>
    <xf numFmtId="0" fontId="3" fillId="5" borderId="6" xfId="0" applyNumberFormat="1" applyFont="1" applyFill="1" applyBorder="1" applyAlignment="1">
      <alignment horizontal="left" vertical="top"/>
    </xf>
    <xf numFmtId="0" fontId="3" fillId="5" borderId="7" xfId="0" applyFont="1" applyFill="1" applyBorder="1" applyAlignment="1">
      <alignment horizontal="left" vertical="top"/>
    </xf>
    <xf numFmtId="0" fontId="3" fillId="5" borderId="7" xfId="0" applyNumberFormat="1" applyFont="1" applyFill="1" applyBorder="1" applyAlignment="1">
      <alignment horizontal="left" vertical="top"/>
    </xf>
    <xf numFmtId="3" fontId="3" fillId="5" borderId="7" xfId="0" applyNumberFormat="1" applyFont="1" applyFill="1" applyBorder="1" applyAlignment="1">
      <alignment horizontal="right" vertical="top"/>
    </xf>
    <xf numFmtId="3" fontId="3" fillId="5" borderId="8" xfId="0" applyNumberFormat="1" applyFont="1" applyFill="1" applyBorder="1" applyAlignment="1">
      <alignment horizontal="right" vertical="top"/>
    </xf>
    <xf numFmtId="3" fontId="3" fillId="5" borderId="5" xfId="0" applyNumberFormat="1" applyFont="1" applyFill="1" applyBorder="1" applyAlignment="1">
      <alignment horizontal="right" vertical="top"/>
    </xf>
    <xf numFmtId="1" fontId="3" fillId="5" borderId="6" xfId="0" applyNumberFormat="1" applyFont="1" applyFill="1" applyBorder="1" applyAlignment="1">
      <alignment horizontal="right" vertical="top"/>
    </xf>
    <xf numFmtId="3" fontId="3" fillId="5" borderId="6" xfId="0" applyNumberFormat="1" applyFont="1" applyFill="1" applyBorder="1" applyAlignment="1">
      <alignment horizontal="right" vertical="top"/>
    </xf>
    <xf numFmtId="0" fontId="0" fillId="5" borderId="7" xfId="0" applyFill="1" applyBorder="1" applyAlignment="1">
      <alignment horizontal="right" vertical="top"/>
    </xf>
    <xf numFmtId="0" fontId="0" fillId="5" borderId="6" xfId="0" applyFill="1" applyBorder="1" applyAlignment="1">
      <alignment horizontal="right" vertical="top"/>
    </xf>
    <xf numFmtId="0" fontId="0" fillId="5" borderId="8" xfId="0" applyFill="1" applyBorder="1" applyAlignment="1">
      <alignment horizontal="right" vertical="top"/>
    </xf>
    <xf numFmtId="0" fontId="0" fillId="5" borderId="5" xfId="0" applyFill="1" applyBorder="1" applyAlignment="1">
      <alignment horizontal="right" vertical="top"/>
    </xf>
    <xf numFmtId="0" fontId="8" fillId="2" borderId="3" xfId="0" applyFont="1" applyFill="1" applyBorder="1" applyAlignment="1">
      <alignment vertical="top"/>
    </xf>
    <xf numFmtId="0" fontId="0" fillId="3" borderId="7" xfId="0" applyFill="1" applyBorder="1" applyAlignment="1">
      <alignment vertical="top"/>
    </xf>
    <xf numFmtId="0" fontId="0" fillId="5" borderId="7" xfId="0" applyFill="1" applyBorder="1" applyAlignment="1">
      <alignment vertical="top" wrapText="1"/>
    </xf>
    <xf numFmtId="0" fontId="0" fillId="5" borderId="7" xfId="0" applyFill="1" applyBorder="1" applyAlignment="1">
      <alignment vertical="top"/>
    </xf>
    <xf numFmtId="0" fontId="0" fillId="2" borderId="7" xfId="0" applyFill="1" applyBorder="1" applyAlignment="1">
      <alignment vertical="top"/>
    </xf>
    <xf numFmtId="0" fontId="3" fillId="5" borderId="5" xfId="0" applyFont="1" applyFill="1" applyBorder="1" applyAlignment="1">
      <alignment horizontal="left" vertical="top"/>
    </xf>
    <xf numFmtId="43" fontId="0" fillId="5" borderId="7" xfId="1" applyFont="1" applyFill="1" applyBorder="1" applyAlignment="1">
      <alignment horizontal="right" vertical="top"/>
    </xf>
    <xf numFmtId="0" fontId="0" fillId="4" borderId="7" xfId="0" applyFill="1" applyBorder="1" applyAlignment="1">
      <alignment vertical="top"/>
    </xf>
    <xf numFmtId="0" fontId="9" fillId="6" borderId="5" xfId="0" applyFont="1" applyFill="1" applyBorder="1" applyAlignment="1">
      <alignment horizontal="left" vertical="center" wrapText="1"/>
    </xf>
    <xf numFmtId="0" fontId="9" fillId="6" borderId="6" xfId="0" applyNumberFormat="1" applyFont="1" applyFill="1" applyBorder="1" applyAlignment="1">
      <alignment horizontal="left" vertical="center" wrapText="1"/>
    </xf>
    <xf numFmtId="0" fontId="9" fillId="6" borderId="7" xfId="0" applyFont="1" applyFill="1" applyBorder="1" applyAlignment="1">
      <alignment horizontal="left" vertical="center" wrapText="1"/>
    </xf>
    <xf numFmtId="0" fontId="9" fillId="6" borderId="7" xfId="0" applyNumberFormat="1" applyFont="1" applyFill="1" applyBorder="1" applyAlignment="1">
      <alignment horizontal="left" vertical="center" wrapText="1"/>
    </xf>
    <xf numFmtId="3" fontId="9" fillId="6" borderId="8" xfId="0" applyNumberFormat="1" applyFont="1" applyFill="1" applyBorder="1" applyAlignment="1">
      <alignment horizontal="right" vertical="center" wrapText="1"/>
    </xf>
    <xf numFmtId="0" fontId="0" fillId="6" borderId="5" xfId="0" applyFill="1" applyBorder="1" applyAlignment="1">
      <alignment horizontal="right" vertical="center" wrapText="1"/>
    </xf>
    <xf numFmtId="0" fontId="0" fillId="6" borderId="6" xfId="0" applyFill="1" applyBorder="1" applyAlignment="1">
      <alignment horizontal="right" vertical="center" wrapText="1"/>
    </xf>
    <xf numFmtId="0" fontId="0" fillId="6" borderId="8" xfId="0" applyFill="1" applyBorder="1" applyAlignment="1">
      <alignment horizontal="right" vertical="center" wrapText="1"/>
    </xf>
    <xf numFmtId="3" fontId="9" fillId="6" borderId="6" xfId="0" applyNumberFormat="1" applyFont="1" applyFill="1" applyBorder="1" applyAlignment="1">
      <alignment horizontal="right" vertical="center" wrapText="1"/>
    </xf>
    <xf numFmtId="164" fontId="0" fillId="6" borderId="8" xfId="1" applyNumberFormat="1" applyFont="1" applyFill="1" applyBorder="1" applyAlignment="1">
      <alignment horizontal="right" vertical="center" wrapText="1"/>
    </xf>
    <xf numFmtId="164" fontId="0" fillId="6" borderId="10" xfId="1" applyNumberFormat="1" applyFont="1" applyFill="1" applyBorder="1" applyAlignment="1">
      <alignment horizontal="right" vertical="center" wrapText="1"/>
    </xf>
    <xf numFmtId="0" fontId="0" fillId="6" borderId="7" xfId="0" applyFill="1" applyBorder="1" applyAlignment="1">
      <alignment horizontal="left" vertical="center" wrapText="1"/>
    </xf>
    <xf numFmtId="3" fontId="7" fillId="6" borderId="7" xfId="0" applyNumberFormat="1" applyFont="1" applyFill="1" applyBorder="1" applyAlignment="1">
      <alignment horizontal="right" vertical="center" wrapText="1"/>
    </xf>
    <xf numFmtId="0" fontId="7" fillId="6" borderId="7" xfId="0" applyFont="1" applyFill="1" applyBorder="1" applyAlignment="1">
      <alignment horizontal="center" vertical="center" wrapText="1"/>
    </xf>
    <xf numFmtId="164" fontId="0" fillId="6" borderId="7" xfId="1" applyNumberFormat="1" applyFont="1" applyFill="1" applyBorder="1" applyAlignment="1">
      <alignment horizontal="right" vertical="center" wrapText="1"/>
    </xf>
    <xf numFmtId="164" fontId="0" fillId="6" borderId="11" xfId="1" applyNumberFormat="1" applyFont="1" applyFill="1" applyBorder="1" applyAlignment="1">
      <alignment horizontal="right" vertical="center" wrapText="1"/>
    </xf>
    <xf numFmtId="3" fontId="3" fillId="6" borderId="6" xfId="0" applyNumberFormat="1" applyFont="1" applyFill="1" applyBorder="1" applyAlignment="1">
      <alignment horizontal="left" vertical="center" wrapText="1"/>
    </xf>
    <xf numFmtId="0" fontId="3" fillId="6" borderId="5" xfId="0" applyFont="1" applyFill="1" applyBorder="1" applyAlignment="1">
      <alignment horizontal="left" vertical="top"/>
    </xf>
    <xf numFmtId="0" fontId="3" fillId="6" borderId="6" xfId="0" applyNumberFormat="1" applyFont="1" applyFill="1" applyBorder="1" applyAlignment="1">
      <alignment horizontal="left" vertical="top"/>
    </xf>
    <xf numFmtId="0" fontId="3" fillId="6" borderId="7" xfId="0" applyFont="1" applyFill="1" applyBorder="1" applyAlignment="1">
      <alignment horizontal="left" vertical="top"/>
    </xf>
    <xf numFmtId="0" fontId="3" fillId="6" borderId="7" xfId="0" applyNumberFormat="1" applyFont="1" applyFill="1" applyBorder="1" applyAlignment="1">
      <alignment horizontal="left" vertical="top"/>
    </xf>
    <xf numFmtId="3" fontId="3" fillId="6" borderId="8" xfId="0" applyNumberFormat="1" applyFont="1" applyFill="1" applyBorder="1" applyAlignment="1">
      <alignment horizontal="right" vertical="top"/>
    </xf>
    <xf numFmtId="0" fontId="0" fillId="6" borderId="5" xfId="0" applyFill="1" applyBorder="1" applyAlignment="1">
      <alignment horizontal="right" vertical="top"/>
    </xf>
    <xf numFmtId="0" fontId="0" fillId="6" borderId="8" xfId="0" applyFill="1" applyBorder="1" applyAlignment="1">
      <alignment horizontal="right" vertical="top"/>
    </xf>
    <xf numFmtId="0" fontId="0" fillId="6" borderId="0" xfId="0" applyFill="1" applyBorder="1" applyAlignment="1">
      <alignment horizontal="right" vertical="top"/>
    </xf>
    <xf numFmtId="0" fontId="0" fillId="6" borderId="7" xfId="0" applyFill="1" applyBorder="1" applyAlignment="1">
      <alignment vertical="top" wrapText="1"/>
    </xf>
    <xf numFmtId="0" fontId="0" fillId="3" borderId="7" xfId="0" applyFill="1" applyBorder="1" applyAlignment="1">
      <alignment horizontal="left" vertical="center" wrapText="1"/>
    </xf>
    <xf numFmtId="0" fontId="7" fillId="3" borderId="7" xfId="0" applyFont="1" applyFill="1" applyBorder="1" applyAlignment="1">
      <alignment horizontal="center" vertical="center" wrapText="1"/>
    </xf>
    <xf numFmtId="164" fontId="0" fillId="3" borderId="7" xfId="1" applyNumberFormat="1" applyFont="1" applyFill="1" applyBorder="1" applyAlignment="1">
      <alignment horizontal="right" vertical="top" wrapText="1"/>
    </xf>
    <xf numFmtId="0" fontId="0" fillId="6" borderId="7" xfId="0" applyFill="1" applyBorder="1" applyAlignment="1">
      <alignment horizontal="right" vertical="top" wrapText="1"/>
    </xf>
    <xf numFmtId="0" fontId="3" fillId="4" borderId="5" xfId="0" applyFont="1" applyFill="1" applyBorder="1" applyAlignment="1">
      <alignment horizontal="left" vertical="top"/>
    </xf>
    <xf numFmtId="0" fontId="3" fillId="7" borderId="6" xfId="0" applyNumberFormat="1" applyFont="1" applyFill="1" applyBorder="1" applyAlignment="1">
      <alignment horizontal="left" vertical="top"/>
    </xf>
    <xf numFmtId="0" fontId="3" fillId="7" borderId="7" xfId="0" applyFont="1" applyFill="1" applyBorder="1" applyAlignment="1">
      <alignment horizontal="left" vertical="top"/>
    </xf>
    <xf numFmtId="0" fontId="3" fillId="7" borderId="7" xfId="0" applyNumberFormat="1" applyFont="1" applyFill="1" applyBorder="1" applyAlignment="1">
      <alignment horizontal="left" vertical="top"/>
    </xf>
    <xf numFmtId="3" fontId="3" fillId="7" borderId="7" xfId="0" applyNumberFormat="1" applyFont="1" applyFill="1" applyBorder="1" applyAlignment="1">
      <alignment horizontal="right" vertical="top"/>
    </xf>
    <xf numFmtId="3" fontId="3" fillId="7" borderId="8" xfId="0" applyNumberFormat="1" applyFont="1" applyFill="1" applyBorder="1" applyAlignment="1">
      <alignment horizontal="right" vertical="top"/>
    </xf>
    <xf numFmtId="3" fontId="3" fillId="7" borderId="5" xfId="0" applyNumberFormat="1" applyFont="1" applyFill="1" applyBorder="1" applyAlignment="1">
      <alignment horizontal="right" vertical="top"/>
    </xf>
    <xf numFmtId="0" fontId="0" fillId="7" borderId="6" xfId="0" applyFill="1" applyBorder="1" applyAlignment="1">
      <alignment horizontal="right" vertical="top"/>
    </xf>
    <xf numFmtId="0" fontId="0" fillId="7" borderId="8" xfId="0" applyFill="1" applyBorder="1" applyAlignment="1">
      <alignment horizontal="right" vertical="top"/>
    </xf>
    <xf numFmtId="3" fontId="3" fillId="7" borderId="6" xfId="0" applyNumberFormat="1" applyFont="1" applyFill="1" applyBorder="1" applyAlignment="1">
      <alignment horizontal="right" vertical="top"/>
    </xf>
    <xf numFmtId="0" fontId="0" fillId="7" borderId="5" xfId="0" applyFill="1" applyBorder="1" applyAlignment="1">
      <alignment horizontal="right" vertical="top"/>
    </xf>
    <xf numFmtId="1" fontId="3" fillId="7" borderId="6" xfId="0" applyNumberFormat="1" applyFont="1" applyFill="1" applyBorder="1" applyAlignment="1">
      <alignment horizontal="right" vertical="top"/>
    </xf>
    <xf numFmtId="0" fontId="0" fillId="4" borderId="7" xfId="0" applyFill="1" applyBorder="1" applyAlignment="1">
      <alignment vertical="top" wrapText="1"/>
    </xf>
    <xf numFmtId="0" fontId="0" fillId="4" borderId="7" xfId="0" applyFill="1" applyBorder="1" applyAlignment="1">
      <alignment horizontal="left" vertical="top" wrapText="1"/>
    </xf>
    <xf numFmtId="3" fontId="9" fillId="4" borderId="7" xfId="0" applyNumberFormat="1" applyFont="1" applyFill="1" applyBorder="1" applyAlignment="1">
      <alignment horizontal="right" vertical="top" wrapText="1"/>
    </xf>
    <xf numFmtId="0" fontId="0" fillId="4" borderId="0" xfId="0" applyFill="1" applyAlignment="1"/>
    <xf numFmtId="43" fontId="0" fillId="4" borderId="5" xfId="1" applyFont="1" applyFill="1" applyBorder="1" applyAlignment="1">
      <alignment horizontal="right" vertical="top"/>
    </xf>
    <xf numFmtId="43" fontId="3" fillId="4" borderId="5" xfId="1" applyFont="1" applyFill="1" applyBorder="1" applyAlignment="1">
      <alignment horizontal="right" vertical="top"/>
    </xf>
    <xf numFmtId="43" fontId="0" fillId="4" borderId="7" xfId="0" applyNumberFormat="1" applyFill="1" applyBorder="1" applyAlignment="1">
      <alignment horizontal="right" vertical="top"/>
    </xf>
    <xf numFmtId="0" fontId="3" fillId="8" borderId="5" xfId="0" applyFont="1" applyFill="1" applyBorder="1" applyAlignment="1">
      <alignment horizontal="left" vertical="top"/>
    </xf>
    <xf numFmtId="0" fontId="3" fillId="8" borderId="6" xfId="0" applyNumberFormat="1" applyFont="1" applyFill="1" applyBorder="1" applyAlignment="1">
      <alignment horizontal="left" vertical="top"/>
    </xf>
    <xf numFmtId="0" fontId="3" fillId="8" borderId="7" xfId="0" applyFont="1" applyFill="1" applyBorder="1" applyAlignment="1">
      <alignment horizontal="left" vertical="top"/>
    </xf>
    <xf numFmtId="0" fontId="3" fillId="8" borderId="7" xfId="0" applyNumberFormat="1" applyFont="1" applyFill="1" applyBorder="1" applyAlignment="1">
      <alignment horizontal="left" vertical="top"/>
    </xf>
    <xf numFmtId="3" fontId="3" fillId="8" borderId="7" xfId="0" applyNumberFormat="1" applyFont="1" applyFill="1" applyBorder="1" applyAlignment="1">
      <alignment horizontal="right" vertical="top"/>
    </xf>
    <xf numFmtId="3" fontId="3" fillId="8" borderId="8" xfId="0" applyNumberFormat="1" applyFont="1" applyFill="1" applyBorder="1" applyAlignment="1">
      <alignment horizontal="right" vertical="top"/>
    </xf>
    <xf numFmtId="3" fontId="3" fillId="8" borderId="5" xfId="0" applyNumberFormat="1" applyFont="1" applyFill="1" applyBorder="1" applyAlignment="1">
      <alignment horizontal="right" vertical="top"/>
    </xf>
    <xf numFmtId="1" fontId="3" fillId="8" borderId="6" xfId="0" applyNumberFormat="1" applyFont="1" applyFill="1" applyBorder="1" applyAlignment="1">
      <alignment horizontal="right" vertical="top"/>
    </xf>
    <xf numFmtId="3" fontId="3" fillId="8" borderId="6" xfId="0" applyNumberFormat="1" applyFont="1" applyFill="1" applyBorder="1" applyAlignment="1">
      <alignment horizontal="right" vertical="top"/>
    </xf>
    <xf numFmtId="0" fontId="0" fillId="8" borderId="7" xfId="0" applyFill="1" applyBorder="1" applyAlignment="1">
      <alignment horizontal="right" vertical="top"/>
    </xf>
    <xf numFmtId="0" fontId="0" fillId="8" borderId="7" xfId="0" applyFill="1" applyBorder="1" applyAlignment="1">
      <alignment vertical="top"/>
    </xf>
    <xf numFmtId="0" fontId="0" fillId="8" borderId="0" xfId="0" applyFill="1" applyAlignment="1"/>
    <xf numFmtId="0" fontId="0" fillId="8" borderId="6" xfId="0" applyFill="1" applyBorder="1" applyAlignment="1">
      <alignment horizontal="right" vertical="top"/>
    </xf>
    <xf numFmtId="0" fontId="0" fillId="8" borderId="8" xfId="0" applyFill="1" applyBorder="1" applyAlignment="1">
      <alignment horizontal="right" vertical="top"/>
    </xf>
    <xf numFmtId="0" fontId="0" fillId="8" borderId="5" xfId="0" applyFill="1" applyBorder="1" applyAlignment="1">
      <alignment horizontal="right" vertical="top"/>
    </xf>
    <xf numFmtId="3" fontId="10" fillId="8" borderId="7" xfId="0" applyNumberFormat="1" applyFont="1" applyFill="1" applyBorder="1" applyAlignment="1">
      <alignment horizontal="right" vertical="top"/>
    </xf>
    <xf numFmtId="3" fontId="10" fillId="8" borderId="6" xfId="0" applyNumberFormat="1" applyFont="1" applyFill="1" applyBorder="1" applyAlignment="1">
      <alignment horizontal="right" vertical="top"/>
    </xf>
    <xf numFmtId="0" fontId="7" fillId="8" borderId="0" xfId="0" applyFont="1" applyFill="1" applyAlignment="1"/>
    <xf numFmtId="0" fontId="0" fillId="8" borderId="7" xfId="0" applyFill="1" applyBorder="1" applyAlignment="1">
      <alignment vertical="top" wrapText="1"/>
    </xf>
    <xf numFmtId="0" fontId="3" fillId="0" borderId="6" xfId="0" applyNumberFormat="1" applyFont="1" applyFill="1" applyBorder="1" applyAlignment="1">
      <alignment horizontal="left" vertical="top"/>
    </xf>
    <xf numFmtId="0" fontId="3" fillId="0" borderId="7" xfId="0" applyFont="1" applyFill="1" applyBorder="1" applyAlignment="1">
      <alignment horizontal="left" vertical="top"/>
    </xf>
    <xf numFmtId="0" fontId="3" fillId="0" borderId="7" xfId="0" applyNumberFormat="1" applyFont="1" applyFill="1" applyBorder="1" applyAlignment="1">
      <alignment horizontal="left" vertical="top"/>
    </xf>
    <xf numFmtId="3" fontId="3" fillId="0" borderId="7" xfId="0" applyNumberFormat="1" applyFont="1" applyFill="1" applyBorder="1" applyAlignment="1">
      <alignment horizontal="right" vertical="top"/>
    </xf>
    <xf numFmtId="3" fontId="3" fillId="0" borderId="8" xfId="0" applyNumberFormat="1" applyFont="1" applyFill="1" applyBorder="1" applyAlignment="1">
      <alignment horizontal="right" vertical="top"/>
    </xf>
    <xf numFmtId="3" fontId="3" fillId="0" borderId="5" xfId="0" applyNumberFormat="1" applyFont="1" applyFill="1" applyBorder="1" applyAlignment="1">
      <alignment horizontal="right" vertical="top"/>
    </xf>
    <xf numFmtId="0" fontId="0" fillId="0" borderId="6" xfId="0" applyFill="1" applyBorder="1" applyAlignment="1">
      <alignment horizontal="right" vertical="top"/>
    </xf>
    <xf numFmtId="0" fontId="0" fillId="0" borderId="8" xfId="0" applyFill="1" applyBorder="1" applyAlignment="1">
      <alignment horizontal="right" vertical="top"/>
    </xf>
    <xf numFmtId="3" fontId="3" fillId="0" borderId="6" xfId="0" applyNumberFormat="1" applyFont="1" applyFill="1" applyBorder="1" applyAlignment="1">
      <alignment horizontal="right" vertical="top"/>
    </xf>
    <xf numFmtId="0" fontId="0" fillId="0" borderId="7" xfId="0" applyFill="1" applyBorder="1" applyAlignment="1">
      <alignment horizontal="right" vertical="top"/>
    </xf>
    <xf numFmtId="0" fontId="0" fillId="0" borderId="7" xfId="0" applyFill="1" applyBorder="1" applyAlignment="1">
      <alignment vertical="top"/>
    </xf>
    <xf numFmtId="0" fontId="0" fillId="0" borderId="5" xfId="0" applyFill="1" applyBorder="1" applyAlignment="1">
      <alignment horizontal="right" vertical="top"/>
    </xf>
    <xf numFmtId="1" fontId="3" fillId="0" borderId="6" xfId="0" applyNumberFormat="1" applyFont="1" applyFill="1" applyBorder="1" applyAlignment="1">
      <alignment horizontal="right" vertical="top"/>
    </xf>
    <xf numFmtId="43" fontId="0" fillId="0" borderId="7" xfId="1" applyFont="1" applyFill="1" applyBorder="1" applyAlignment="1">
      <alignment horizontal="right" vertical="top"/>
    </xf>
    <xf numFmtId="0" fontId="0" fillId="0" borderId="7" xfId="0" applyFill="1" applyBorder="1" applyAlignment="1">
      <alignment vertical="top" wrapText="1"/>
    </xf>
    <xf numFmtId="164" fontId="0" fillId="0" borderId="7" xfId="1" applyNumberFormat="1" applyFont="1" applyFill="1" applyBorder="1" applyAlignment="1">
      <alignment horizontal="right" vertical="top" wrapText="1"/>
    </xf>
    <xf numFmtId="0" fontId="0" fillId="0" borderId="0" xfId="0" applyFill="1" applyBorder="1" applyAlignment="1">
      <alignment horizontal="right" vertical="top"/>
    </xf>
    <xf numFmtId="0" fontId="9" fillId="0" borderId="6" xfId="0" applyNumberFormat="1" applyFont="1" applyFill="1" applyBorder="1" applyAlignment="1">
      <alignment horizontal="left" vertical="center" wrapText="1"/>
    </xf>
    <xf numFmtId="0" fontId="9" fillId="0" borderId="7" xfId="0" applyFont="1" applyFill="1" applyBorder="1" applyAlignment="1">
      <alignment horizontal="left" vertical="center" wrapText="1"/>
    </xf>
    <xf numFmtId="0" fontId="9" fillId="0" borderId="7" xfId="0" applyNumberFormat="1" applyFont="1" applyFill="1" applyBorder="1" applyAlignment="1">
      <alignment horizontal="left" vertical="center" wrapText="1"/>
    </xf>
    <xf numFmtId="0" fontId="0" fillId="0" borderId="5" xfId="0" applyFill="1" applyBorder="1" applyAlignment="1">
      <alignment horizontal="right" vertical="center" wrapText="1"/>
    </xf>
    <xf numFmtId="0" fontId="0" fillId="0" borderId="6" xfId="0" applyFill="1" applyBorder="1" applyAlignment="1">
      <alignment horizontal="right" vertical="center" wrapText="1"/>
    </xf>
    <xf numFmtId="0" fontId="0" fillId="0" borderId="8" xfId="0" applyFill="1" applyBorder="1" applyAlignment="1">
      <alignment horizontal="right" vertical="center" wrapText="1"/>
    </xf>
    <xf numFmtId="3" fontId="9" fillId="0" borderId="6" xfId="0" applyNumberFormat="1" applyFont="1" applyFill="1" applyBorder="1" applyAlignment="1">
      <alignment horizontal="right" vertical="center" wrapText="1"/>
    </xf>
    <xf numFmtId="164" fontId="0" fillId="0" borderId="8" xfId="1" applyNumberFormat="1" applyFont="1" applyFill="1" applyBorder="1" applyAlignment="1">
      <alignment horizontal="right" vertical="center" wrapText="1"/>
    </xf>
    <xf numFmtId="164" fontId="0" fillId="0" borderId="10" xfId="1" applyNumberFormat="1" applyFont="1" applyFill="1" applyBorder="1" applyAlignment="1">
      <alignment horizontal="right" vertical="center" wrapText="1"/>
    </xf>
    <xf numFmtId="3" fontId="7" fillId="0" borderId="7" xfId="0" applyNumberFormat="1" applyFont="1" applyFill="1" applyBorder="1" applyAlignment="1">
      <alignment horizontal="right" vertical="center" wrapText="1"/>
    </xf>
    <xf numFmtId="164" fontId="0" fillId="0" borderId="7" xfId="1" applyNumberFormat="1" applyFont="1" applyFill="1" applyBorder="1" applyAlignment="1">
      <alignment horizontal="right" vertical="center" wrapText="1"/>
    </xf>
    <xf numFmtId="164" fontId="0" fillId="0" borderId="11" xfId="1" applyNumberFormat="1" applyFont="1" applyFill="1" applyBorder="1" applyAlignment="1">
      <alignment horizontal="right" vertical="center" wrapText="1"/>
    </xf>
    <xf numFmtId="3" fontId="3" fillId="0" borderId="6" xfId="0" applyNumberFormat="1" applyFont="1" applyFill="1" applyBorder="1" applyAlignment="1">
      <alignment horizontal="left" vertical="center" wrapText="1"/>
    </xf>
    <xf numFmtId="43" fontId="3" fillId="0" borderId="5" xfId="1" applyFont="1" applyFill="1" applyBorder="1" applyAlignment="1">
      <alignment horizontal="right" vertical="top"/>
    </xf>
    <xf numFmtId="43" fontId="0" fillId="0" borderId="7" xfId="0" applyNumberFormat="1" applyFill="1" applyBorder="1" applyAlignment="1">
      <alignment horizontal="right" vertical="top"/>
    </xf>
    <xf numFmtId="3" fontId="10" fillId="0" borderId="6" xfId="0" applyNumberFormat="1" applyFont="1" applyFill="1" applyBorder="1" applyAlignment="1">
      <alignment horizontal="right" vertical="top"/>
    </xf>
    <xf numFmtId="3" fontId="9" fillId="0" borderId="7" xfId="0" applyNumberFormat="1" applyFont="1" applyFill="1" applyBorder="1" applyAlignment="1">
      <alignment horizontal="right" vertical="top" wrapText="1"/>
    </xf>
    <xf numFmtId="0" fontId="0" fillId="0" borderId="7" xfId="0" applyFill="1" applyBorder="1" applyAlignment="1">
      <alignment horizontal="left" vertical="top" wrapText="1"/>
    </xf>
    <xf numFmtId="43" fontId="0" fillId="0" borderId="5" xfId="1" applyFont="1" applyFill="1" applyBorder="1" applyAlignment="1">
      <alignment horizontal="right" vertical="top"/>
    </xf>
    <xf numFmtId="0" fontId="0" fillId="0" borderId="8" xfId="0" applyFill="1" applyBorder="1" applyAlignment="1">
      <alignment vertical="top"/>
    </xf>
    <xf numFmtId="0" fontId="0" fillId="0" borderId="8" xfId="0" applyFill="1" applyBorder="1" applyAlignment="1">
      <alignment horizontal="left" vertical="center" wrapText="1"/>
    </xf>
    <xf numFmtId="0" fontId="7" fillId="0" borderId="8" xfId="0" applyFont="1" applyFill="1" applyBorder="1" applyAlignment="1">
      <alignment horizontal="center" vertical="center" wrapText="1"/>
    </xf>
    <xf numFmtId="0" fontId="0" fillId="0" borderId="8" xfId="0" applyFill="1" applyBorder="1" applyAlignment="1">
      <alignment vertical="top" wrapText="1"/>
    </xf>
    <xf numFmtId="0" fontId="0" fillId="0" borderId="10" xfId="0" applyFill="1" applyBorder="1" applyAlignment="1"/>
    <xf numFmtId="0" fontId="7" fillId="0" borderId="10" xfId="0" applyFont="1" applyFill="1" applyBorder="1" applyAlignment="1"/>
    <xf numFmtId="0" fontId="0" fillId="0" borderId="0" xfId="0" pivotButton="1"/>
    <xf numFmtId="0" fontId="0" fillId="0" borderId="0" xfId="0" applyNumberFormat="1"/>
    <xf numFmtId="3" fontId="5" fillId="0" borderId="0" xfId="0" applyNumberFormat="1" applyFont="1" applyAlignment="1">
      <alignment vertical="top"/>
    </xf>
    <xf numFmtId="43" fontId="4" fillId="2" borderId="6" xfId="1" applyFont="1" applyFill="1" applyBorder="1" applyAlignment="1">
      <alignment horizontal="right" vertical="top"/>
    </xf>
    <xf numFmtId="43" fontId="4" fillId="2" borderId="5" xfId="1" applyFont="1" applyFill="1" applyBorder="1" applyAlignment="1">
      <alignment horizontal="right" vertical="top"/>
    </xf>
    <xf numFmtId="43" fontId="0" fillId="0" borderId="0" xfId="1" applyFont="1"/>
    <xf numFmtId="43" fontId="0" fillId="0" borderId="0" xfId="1" applyFont="1" applyFill="1" applyAlignment="1"/>
    <xf numFmtId="4" fontId="0" fillId="0" borderId="0" xfId="0" applyNumberFormat="1" applyAlignment="1"/>
    <xf numFmtId="43" fontId="0" fillId="0" borderId="10" xfId="1" applyFont="1" applyFill="1" applyBorder="1" applyAlignment="1"/>
    <xf numFmtId="0" fontId="3" fillId="0" borderId="15" xfId="0" applyNumberFormat="1" applyFont="1" applyFill="1" applyBorder="1" applyAlignment="1">
      <alignment horizontal="left" vertical="top"/>
    </xf>
    <xf numFmtId="0" fontId="3" fillId="0" borderId="11" xfId="0" applyFont="1" applyFill="1" applyBorder="1" applyAlignment="1">
      <alignment horizontal="left" vertical="top"/>
    </xf>
    <xf numFmtId="0" fontId="3" fillId="0" borderId="11" xfId="0" applyNumberFormat="1" applyFont="1" applyFill="1" applyBorder="1" applyAlignment="1">
      <alignment horizontal="left" vertical="top"/>
    </xf>
    <xf numFmtId="3" fontId="3" fillId="0" borderId="11" xfId="0" applyNumberFormat="1" applyFont="1" applyFill="1" applyBorder="1" applyAlignment="1">
      <alignment horizontal="right" vertical="top"/>
    </xf>
    <xf numFmtId="3" fontId="3" fillId="0" borderId="0" xfId="0" applyNumberFormat="1" applyFont="1" applyFill="1" applyBorder="1" applyAlignment="1">
      <alignment horizontal="right" vertical="top"/>
    </xf>
    <xf numFmtId="0" fontId="0" fillId="0" borderId="14" xfId="0" applyFill="1" applyBorder="1" applyAlignment="1">
      <alignment horizontal="right" vertical="top"/>
    </xf>
    <xf numFmtId="0" fontId="0" fillId="0" borderId="15" xfId="0" applyFill="1" applyBorder="1" applyAlignment="1">
      <alignment horizontal="right" vertical="top"/>
    </xf>
    <xf numFmtId="3" fontId="3" fillId="0" borderId="15" xfId="0" applyNumberFormat="1" applyFont="1" applyFill="1" applyBorder="1" applyAlignment="1">
      <alignment horizontal="right" vertical="top"/>
    </xf>
    <xf numFmtId="0" fontId="0" fillId="0" borderId="11" xfId="0" applyFill="1" applyBorder="1" applyAlignment="1">
      <alignment horizontal="right" vertical="top"/>
    </xf>
    <xf numFmtId="0" fontId="0" fillId="0" borderId="11" xfId="0" applyFill="1" applyBorder="1" applyAlignment="1">
      <alignment vertical="top"/>
    </xf>
    <xf numFmtId="0" fontId="0" fillId="0" borderId="0" xfId="0" applyFill="1" applyBorder="1" applyAlignment="1">
      <alignment vertical="top"/>
    </xf>
    <xf numFmtId="0" fontId="0" fillId="0" borderId="16" xfId="0" applyFill="1" applyBorder="1" applyAlignment="1"/>
    <xf numFmtId="43" fontId="0" fillId="0" borderId="16" xfId="1" applyFont="1" applyFill="1" applyBorder="1" applyAlignment="1"/>
    <xf numFmtId="43" fontId="12" fillId="2" borderId="13" xfId="1" applyFont="1" applyFill="1" applyBorder="1" applyAlignment="1">
      <alignment horizontal="left" vertical="top"/>
    </xf>
    <xf numFmtId="3" fontId="3" fillId="8" borderId="11" xfId="0" applyNumberFormat="1" applyFont="1" applyFill="1" applyBorder="1" applyAlignment="1">
      <alignment horizontal="right" vertical="top"/>
    </xf>
    <xf numFmtId="0" fontId="12" fillId="2" borderId="1" xfId="0" applyFont="1" applyFill="1" applyBorder="1" applyAlignment="1">
      <alignment horizontal="left" vertical="top"/>
    </xf>
    <xf numFmtId="0" fontId="12" fillId="2" borderId="2" xfId="0" applyFont="1" applyFill="1" applyBorder="1" applyAlignment="1">
      <alignment horizontal="left" vertical="top"/>
    </xf>
    <xf numFmtId="0" fontId="12" fillId="2" borderId="3" xfId="0" applyFont="1" applyFill="1" applyBorder="1" applyAlignment="1">
      <alignment horizontal="left" vertical="top"/>
    </xf>
    <xf numFmtId="0" fontId="12" fillId="2" borderId="4" xfId="0" applyFont="1" applyFill="1" applyBorder="1" applyAlignment="1">
      <alignment horizontal="left" vertical="top"/>
    </xf>
    <xf numFmtId="0" fontId="12" fillId="2" borderId="3" xfId="0" applyFont="1" applyFill="1" applyBorder="1" applyAlignment="1">
      <alignment vertical="top"/>
    </xf>
    <xf numFmtId="3" fontId="13" fillId="8" borderId="7" xfId="0" applyNumberFormat="1" applyFont="1" applyFill="1" applyBorder="1" applyAlignment="1">
      <alignment horizontal="right" vertical="top"/>
    </xf>
    <xf numFmtId="0" fontId="12" fillId="2" borderId="12" xfId="0" applyFont="1" applyFill="1" applyBorder="1" applyAlignment="1">
      <alignment horizontal="left" vertical="top"/>
    </xf>
    <xf numFmtId="4" fontId="12" fillId="2" borderId="12" xfId="0" applyNumberFormat="1" applyFont="1" applyFill="1" applyBorder="1" applyAlignment="1">
      <alignment horizontal="left" vertical="top"/>
    </xf>
    <xf numFmtId="0" fontId="12" fillId="0" borderId="0" xfId="0" applyFont="1" applyAlignment="1"/>
    <xf numFmtId="43" fontId="0" fillId="0" borderId="0" xfId="1" applyFont="1" applyAlignment="1"/>
    <xf numFmtId="43" fontId="0" fillId="0" borderId="0" xfId="0" applyNumberFormat="1" applyFill="1" applyAlignment="1"/>
    <xf numFmtId="43" fontId="11" fillId="0" borderId="0" xfId="1" applyFont="1"/>
    <xf numFmtId="43" fontId="0" fillId="9" borderId="10" xfId="1" applyFont="1" applyFill="1" applyBorder="1" applyAlignment="1"/>
    <xf numFmtId="43" fontId="4" fillId="2" borderId="10" xfId="1" applyFont="1" applyFill="1" applyBorder="1" applyAlignment="1">
      <alignment horizontal="right" vertical="top"/>
    </xf>
    <xf numFmtId="43" fontId="7" fillId="0" borderId="10" xfId="1" applyFont="1" applyFill="1" applyBorder="1" applyAlignment="1"/>
    <xf numFmtId="3" fontId="0" fillId="0" borderId="0" xfId="0" applyNumberFormat="1"/>
    <xf numFmtId="3" fontId="0" fillId="0" borderId="0" xfId="0" applyNumberFormat="1" applyAlignment="1">
      <alignment horizontal="left"/>
    </xf>
    <xf numFmtId="3" fontId="0" fillId="0" borderId="0" xfId="1" applyNumberFormat="1" applyFont="1"/>
    <xf numFmtId="3" fontId="11" fillId="0" borderId="0" xfId="0" applyNumberFormat="1" applyFont="1"/>
    <xf numFmtId="3" fontId="11" fillId="0" borderId="0" xfId="1" applyNumberFormat="1" applyFont="1"/>
    <xf numFmtId="0" fontId="3" fillId="0" borderId="8" xfId="0" applyFont="1" applyFill="1" applyBorder="1" applyAlignment="1">
      <alignment horizontal="left" vertical="top"/>
    </xf>
    <xf numFmtId="0" fontId="9" fillId="0" borderId="8" xfId="0" applyFont="1" applyFill="1" applyBorder="1" applyAlignment="1">
      <alignment horizontal="left" vertical="center" wrapText="1"/>
    </xf>
    <xf numFmtId="0" fontId="0" fillId="0" borderId="10" xfId="0" applyFill="1" applyBorder="1" applyAlignment="1">
      <alignment wrapText="1"/>
    </xf>
    <xf numFmtId="0" fontId="0" fillId="0" borderId="10" xfId="0" applyBorder="1" applyAlignment="1">
      <alignment wrapText="1"/>
    </xf>
    <xf numFmtId="0" fontId="0" fillId="0" borderId="0" xfId="0" applyAlignment="1">
      <alignment wrapText="1"/>
    </xf>
    <xf numFmtId="0" fontId="3" fillId="0" borderId="0" xfId="0" applyFont="1" applyFill="1" applyBorder="1" applyAlignment="1">
      <alignment horizontal="left" vertical="top"/>
    </xf>
    <xf numFmtId="43" fontId="12" fillId="2" borderId="17" xfId="1" applyFont="1" applyFill="1" applyBorder="1" applyAlignment="1">
      <alignment horizontal="left" vertical="top"/>
    </xf>
    <xf numFmtId="43" fontId="0" fillId="0" borderId="0" xfId="0" applyNumberFormat="1"/>
    <xf numFmtId="0" fontId="0" fillId="0" borderId="0" xfId="0" applyAlignment="1">
      <alignment horizontal="right"/>
    </xf>
    <xf numFmtId="0" fontId="0" fillId="9" borderId="10" xfId="0" applyFill="1" applyBorder="1" applyAlignment="1">
      <alignment wrapText="1"/>
    </xf>
    <xf numFmtId="0" fontId="3" fillId="9" borderId="8" xfId="0" applyFont="1" applyFill="1" applyBorder="1" applyAlignment="1">
      <alignment horizontal="left" vertical="top"/>
    </xf>
    <xf numFmtId="0" fontId="3" fillId="9" borderId="6" xfId="0" applyNumberFormat="1" applyFont="1" applyFill="1" applyBorder="1" applyAlignment="1">
      <alignment horizontal="left" vertical="top"/>
    </xf>
    <xf numFmtId="0" fontId="3" fillId="9" borderId="7" xfId="0" applyFont="1" applyFill="1" applyBorder="1" applyAlignment="1">
      <alignment horizontal="left" vertical="top"/>
    </xf>
    <xf numFmtId="0" fontId="3" fillId="9" borderId="7" xfId="0" applyNumberFormat="1" applyFont="1" applyFill="1" applyBorder="1" applyAlignment="1">
      <alignment horizontal="left" vertical="top"/>
    </xf>
    <xf numFmtId="3" fontId="3" fillId="9" borderId="8" xfId="0" applyNumberFormat="1" applyFont="1" applyFill="1" applyBorder="1" applyAlignment="1">
      <alignment horizontal="right" vertical="top"/>
    </xf>
    <xf numFmtId="0" fontId="0" fillId="9" borderId="5" xfId="0" applyFill="1" applyBorder="1" applyAlignment="1">
      <alignment horizontal="right" vertical="top"/>
    </xf>
    <xf numFmtId="1" fontId="3" fillId="9" borderId="6" xfId="0" applyNumberFormat="1" applyFont="1" applyFill="1" applyBorder="1" applyAlignment="1">
      <alignment horizontal="right" vertical="top"/>
    </xf>
    <xf numFmtId="0" fontId="0" fillId="9" borderId="8" xfId="0" applyFill="1" applyBorder="1" applyAlignment="1">
      <alignment horizontal="right" vertical="top"/>
    </xf>
    <xf numFmtId="3" fontId="3" fillId="9" borderId="6" xfId="0" applyNumberFormat="1" applyFont="1" applyFill="1" applyBorder="1" applyAlignment="1">
      <alignment horizontal="right" vertical="top"/>
    </xf>
    <xf numFmtId="0" fontId="0" fillId="9" borderId="7" xfId="0" applyFill="1" applyBorder="1" applyAlignment="1">
      <alignment horizontal="right" vertical="top"/>
    </xf>
    <xf numFmtId="0" fontId="0" fillId="9" borderId="7" xfId="0" applyFill="1" applyBorder="1" applyAlignment="1">
      <alignment vertical="top"/>
    </xf>
    <xf numFmtId="3" fontId="3" fillId="9" borderId="7" xfId="0" applyNumberFormat="1" applyFont="1" applyFill="1" applyBorder="1" applyAlignment="1">
      <alignment horizontal="right" vertical="top"/>
    </xf>
    <xf numFmtId="0" fontId="0" fillId="9" borderId="8" xfId="0" applyFill="1" applyBorder="1" applyAlignment="1">
      <alignment vertical="top"/>
    </xf>
    <xf numFmtId="0" fontId="0" fillId="9" borderId="8" xfId="0" applyFill="1" applyBorder="1" applyAlignment="1">
      <alignment vertical="top" wrapText="1"/>
    </xf>
    <xf numFmtId="0" fontId="0" fillId="9" borderId="0" xfId="0" applyFill="1"/>
    <xf numFmtId="0" fontId="0" fillId="9" borderId="0" xfId="0" applyFill="1" applyAlignment="1">
      <alignment wrapText="1"/>
    </xf>
    <xf numFmtId="43" fontId="0" fillId="0" borderId="7" xfId="1" applyFont="1" applyFill="1" applyBorder="1" applyAlignment="1">
      <alignment horizontal="left" vertical="center" wrapText="1"/>
    </xf>
    <xf numFmtId="43" fontId="3" fillId="0" borderId="6" xfId="1" applyFont="1" applyFill="1" applyBorder="1" applyAlignment="1">
      <alignment horizontal="left" vertical="center" wrapText="1"/>
    </xf>
    <xf numFmtId="43" fontId="0" fillId="9" borderId="7" xfId="1" applyFont="1" applyFill="1" applyBorder="1" applyAlignment="1">
      <alignment horizontal="right" vertical="top"/>
    </xf>
    <xf numFmtId="0" fontId="0" fillId="9" borderId="10" xfId="0" applyFill="1" applyBorder="1" applyAlignment="1"/>
    <xf numFmtId="41" fontId="0" fillId="0" borderId="0" xfId="0" applyNumberFormat="1"/>
    <xf numFmtId="3" fontId="0" fillId="0" borderId="0" xfId="0" applyNumberFormat="1" applyAlignment="1">
      <alignment horizontal="left" indent="1"/>
    </xf>
    <xf numFmtId="43" fontId="3" fillId="0" borderId="7" xfId="1" applyFont="1" applyFill="1" applyBorder="1" applyAlignment="1">
      <alignment horizontal="right" vertical="top"/>
    </xf>
    <xf numFmtId="43" fontId="3" fillId="9" borderId="7" xfId="1" applyFont="1" applyFill="1" applyBorder="1" applyAlignment="1">
      <alignment horizontal="right" vertical="top"/>
    </xf>
    <xf numFmtId="43" fontId="7" fillId="0" borderId="7" xfId="1" applyFont="1" applyFill="1" applyBorder="1" applyAlignment="1">
      <alignment horizontal="right" vertical="center" wrapText="1"/>
    </xf>
    <xf numFmtId="43" fontId="10" fillId="0" borderId="7" xfId="1" applyFont="1" applyFill="1" applyBorder="1" applyAlignment="1">
      <alignment horizontal="right" vertical="top"/>
    </xf>
    <xf numFmtId="43" fontId="3" fillId="10" borderId="7" xfId="1" applyFont="1" applyFill="1" applyBorder="1" applyAlignment="1">
      <alignment horizontal="right" vertical="top"/>
    </xf>
    <xf numFmtId="43" fontId="7" fillId="0" borderId="7" xfId="1" applyFont="1" applyFill="1" applyBorder="1" applyAlignment="1">
      <alignment horizontal="right" vertical="top"/>
    </xf>
    <xf numFmtId="43" fontId="0" fillId="0" borderId="10" xfId="0" applyNumberFormat="1" applyFill="1" applyBorder="1" applyAlignment="1">
      <alignment vertical="top"/>
    </xf>
    <xf numFmtId="43" fontId="0" fillId="11" borderId="10" xfId="0" applyNumberFormat="1" applyFill="1" applyBorder="1" applyAlignment="1">
      <alignment vertical="top"/>
    </xf>
    <xf numFmtId="0" fontId="17" fillId="11" borderId="10" xfId="0" applyFont="1" applyFill="1" applyBorder="1" applyAlignment="1">
      <alignment horizontal="center" vertical="center" wrapText="1"/>
    </xf>
    <xf numFmtId="3" fontId="0" fillId="11" borderId="0" xfId="0" applyNumberFormat="1" applyFill="1" applyAlignment="1">
      <alignment horizontal="right"/>
    </xf>
    <xf numFmtId="0" fontId="0" fillId="0" borderId="0" xfId="0" applyAlignment="1">
      <alignment horizontal="left"/>
    </xf>
    <xf numFmtId="0" fontId="11" fillId="12" borderId="10" xfId="0" applyFont="1" applyFill="1" applyBorder="1"/>
    <xf numFmtId="3" fontId="11" fillId="12" borderId="10" xfId="0" applyNumberFormat="1" applyFont="1" applyFill="1" applyBorder="1" applyAlignment="1">
      <alignment horizontal="right"/>
    </xf>
    <xf numFmtId="3" fontId="11" fillId="12" borderId="10" xfId="0" applyNumberFormat="1" applyFont="1" applyFill="1" applyBorder="1" applyAlignment="1">
      <alignment horizontal="left"/>
    </xf>
    <xf numFmtId="3" fontId="7" fillId="0" borderId="10" xfId="0" applyNumberFormat="1" applyFont="1" applyFill="1" applyBorder="1" applyAlignment="1">
      <alignment horizontal="left"/>
    </xf>
    <xf numFmtId="3" fontId="7" fillId="0" borderId="10" xfId="0" applyNumberFormat="1" applyFont="1" applyFill="1" applyBorder="1"/>
    <xf numFmtId="0" fontId="19" fillId="0" borderId="0" xfId="2" applyFont="1" applyAlignment="1">
      <alignment horizontal="left" vertical="top"/>
    </xf>
    <xf numFmtId="0" fontId="7" fillId="0" borderId="0" xfId="2" applyAlignment="1"/>
    <xf numFmtId="0" fontId="9" fillId="2" borderId="4" xfId="2" applyFont="1" applyFill="1" applyBorder="1" applyAlignment="1">
      <alignment horizontal="left" vertical="top"/>
    </xf>
    <xf numFmtId="0" fontId="9" fillId="3" borderId="8" xfId="2" applyFont="1" applyFill="1" applyBorder="1" applyAlignment="1">
      <alignment horizontal="left" vertical="top"/>
    </xf>
    <xf numFmtId="3" fontId="9" fillId="3" borderId="8" xfId="2" applyNumberFormat="1" applyFont="1" applyFill="1" applyBorder="1" applyAlignment="1">
      <alignment horizontal="right" vertical="top"/>
    </xf>
    <xf numFmtId="0" fontId="7" fillId="3" borderId="8" xfId="2" applyFill="1" applyBorder="1" applyAlignment="1">
      <alignment horizontal="right" vertical="top"/>
    </xf>
    <xf numFmtId="164" fontId="7" fillId="0" borderId="0" xfId="1" applyNumberFormat="1" applyFont="1" applyAlignment="1"/>
    <xf numFmtId="164" fontId="0" fillId="0" borderId="0" xfId="1" applyNumberFormat="1" applyFont="1"/>
    <xf numFmtId="164" fontId="0" fillId="0" borderId="0" xfId="0" applyNumberFormat="1"/>
    <xf numFmtId="0" fontId="11" fillId="0" borderId="0" xfId="0" applyFont="1"/>
    <xf numFmtId="0" fontId="2" fillId="13" borderId="10" xfId="0" applyFont="1" applyFill="1" applyBorder="1" applyAlignment="1">
      <alignment horizontal="center"/>
    </xf>
    <xf numFmtId="0" fontId="2" fillId="13" borderId="10" xfId="0" applyFont="1" applyFill="1" applyBorder="1" applyAlignment="1">
      <alignment horizontal="left" indent="1"/>
    </xf>
    <xf numFmtId="164" fontId="2" fillId="13" borderId="10" xfId="3" applyNumberFormat="1" applyFont="1" applyFill="1" applyBorder="1" applyAlignment="1">
      <alignment horizontal="center"/>
    </xf>
    <xf numFmtId="164" fontId="2" fillId="13" borderId="10" xfId="3" applyNumberFormat="1" applyFont="1" applyFill="1" applyBorder="1" applyAlignment="1">
      <alignment horizontal="left"/>
    </xf>
    <xf numFmtId="43" fontId="2" fillId="0" borderId="0" xfId="3" applyFont="1" applyFill="1" applyBorder="1"/>
    <xf numFmtId="0" fontId="2" fillId="0" borderId="0" xfId="0" applyFont="1" applyFill="1" applyBorder="1"/>
    <xf numFmtId="0" fontId="21" fillId="0" borderId="0" xfId="0" applyFont="1" applyFill="1" applyBorder="1"/>
    <xf numFmtId="164" fontId="2" fillId="0" borderId="0" xfId="1" applyNumberFormat="1" applyFont="1" applyFill="1" applyBorder="1"/>
    <xf numFmtId="0" fontId="22" fillId="0" borderId="0" xfId="0" applyFont="1" applyFill="1" applyBorder="1"/>
    <xf numFmtId="0" fontId="23" fillId="0" borderId="0" xfId="0" applyFont="1" applyFill="1" applyBorder="1"/>
    <xf numFmtId="0" fontId="24" fillId="0" borderId="0" xfId="0" applyFont="1" applyFill="1" applyBorder="1"/>
    <xf numFmtId="164" fontId="24" fillId="0" borderId="0" xfId="3" applyNumberFormat="1" applyFont="1" applyFill="1" applyBorder="1"/>
    <xf numFmtId="164" fontId="25" fillId="0" borderId="0" xfId="3" applyNumberFormat="1" applyFont="1" applyFill="1" applyBorder="1"/>
    <xf numFmtId="0" fontId="24" fillId="0" borderId="10" xfId="0" applyFont="1" applyFill="1" applyBorder="1" applyAlignment="1">
      <alignment horizontal="left" vertical="center" wrapText="1" indent="1"/>
    </xf>
    <xf numFmtId="164" fontId="24" fillId="0" borderId="10" xfId="0" applyNumberFormat="1" applyFont="1" applyFill="1" applyBorder="1" applyAlignment="1">
      <alignment horizontal="left" vertical="center"/>
    </xf>
    <xf numFmtId="0" fontId="25" fillId="0" borderId="0" xfId="0" applyFont="1" applyFill="1" applyBorder="1" applyAlignment="1">
      <alignment horizontal="left" vertical="center"/>
    </xf>
    <xf numFmtId="0" fontId="24" fillId="0" borderId="10" xfId="0" applyFont="1" applyFill="1" applyBorder="1" applyAlignment="1">
      <alignment horizontal="left" vertical="center" indent="1"/>
    </xf>
    <xf numFmtId="0" fontId="26" fillId="0" borderId="0" xfId="0" applyFont="1" applyFill="1" applyBorder="1"/>
    <xf numFmtId="0" fontId="27" fillId="0" borderId="10" xfId="0" applyFont="1" applyFill="1" applyBorder="1" applyAlignment="1">
      <alignment horizontal="left" vertical="center" indent="1"/>
    </xf>
    <xf numFmtId="164" fontId="27" fillId="0" borderId="10" xfId="0" applyNumberFormat="1" applyFont="1" applyFill="1" applyBorder="1" applyAlignment="1">
      <alignment horizontal="left" vertical="center"/>
    </xf>
    <xf numFmtId="0" fontId="28" fillId="0" borderId="0" xfId="0" applyFont="1" applyFill="1" applyBorder="1" applyAlignment="1">
      <alignment horizontal="left" vertical="center"/>
    </xf>
    <xf numFmtId="0" fontId="27" fillId="0" borderId="0" xfId="0" applyFont="1" applyFill="1" applyBorder="1"/>
    <xf numFmtId="0" fontId="23" fillId="0" borderId="10" xfId="0" applyFont="1" applyFill="1" applyBorder="1" applyAlignment="1">
      <alignment horizontal="left" vertical="center"/>
    </xf>
    <xf numFmtId="164" fontId="23" fillId="0" borderId="10" xfId="0" applyNumberFormat="1" applyFont="1" applyFill="1" applyBorder="1" applyAlignment="1">
      <alignment horizontal="left" vertical="center"/>
    </xf>
    <xf numFmtId="0" fontId="25" fillId="0" borderId="0" xfId="0" applyFont="1" applyFill="1" applyBorder="1"/>
    <xf numFmtId="0" fontId="24" fillId="0" borderId="0" xfId="0" applyFont="1" applyFill="1" applyBorder="1" applyAlignment="1">
      <alignment horizontal="left" vertical="center"/>
    </xf>
    <xf numFmtId="164" fontId="24" fillId="0" borderId="0" xfId="3" applyNumberFormat="1" applyFont="1" applyFill="1" applyBorder="1" applyAlignment="1">
      <alignment horizontal="left" vertical="center"/>
    </xf>
    <xf numFmtId="43" fontId="24" fillId="0" borderId="0" xfId="3" applyFont="1" applyFill="1" applyBorder="1"/>
    <xf numFmtId="0" fontId="23" fillId="0" borderId="0" xfId="0" applyFont="1" applyFill="1" applyBorder="1" applyAlignment="1">
      <alignment horizontal="left" vertical="center"/>
    </xf>
    <xf numFmtId="164" fontId="24" fillId="0" borderId="10" xfId="1" applyNumberFormat="1" applyFont="1" applyFill="1" applyBorder="1" applyAlignment="1">
      <alignment horizontal="left" vertical="center"/>
    </xf>
    <xf numFmtId="164" fontId="27" fillId="0" borderId="10" xfId="1" applyNumberFormat="1" applyFont="1" applyFill="1" applyBorder="1" applyAlignment="1">
      <alignment horizontal="left" vertical="center"/>
    </xf>
    <xf numFmtId="43" fontId="27" fillId="0" borderId="0" xfId="3" applyFont="1" applyFill="1" applyBorder="1"/>
    <xf numFmtId="0" fontId="24" fillId="0" borderId="10" xfId="0" applyFont="1" applyFill="1" applyBorder="1" applyAlignment="1">
      <alignment horizontal="left" indent="1"/>
    </xf>
    <xf numFmtId="164" fontId="24" fillId="0" borderId="10" xfId="0" applyNumberFormat="1" applyFont="1" applyFill="1" applyBorder="1"/>
    <xf numFmtId="0" fontId="27" fillId="0" borderId="10" xfId="0" applyFont="1" applyFill="1" applyBorder="1" applyAlignment="1">
      <alignment horizontal="left" indent="1"/>
    </xf>
    <xf numFmtId="164" fontId="27" fillId="0" borderId="10" xfId="0" applyNumberFormat="1" applyFont="1" applyFill="1" applyBorder="1"/>
    <xf numFmtId="0" fontId="28" fillId="0" borderId="0" xfId="0" applyFont="1" applyFill="1" applyBorder="1"/>
    <xf numFmtId="164" fontId="23" fillId="0" borderId="10" xfId="0" applyNumberFormat="1" applyFont="1" applyFill="1" applyBorder="1" applyAlignment="1">
      <alignment vertical="center"/>
    </xf>
    <xf numFmtId="0" fontId="25" fillId="0" borderId="0" xfId="0" applyFont="1" applyFill="1" applyBorder="1" applyAlignment="1">
      <alignment horizontal="left" vertical="center" wrapText="1"/>
    </xf>
    <xf numFmtId="0" fontId="23" fillId="0" borderId="0" xfId="0" applyFont="1" applyFill="1" applyBorder="1" applyAlignment="1">
      <alignment vertical="center"/>
    </xf>
    <xf numFmtId="165" fontId="24" fillId="0" borderId="0" xfId="0" applyNumberFormat="1" applyFont="1" applyFill="1" applyBorder="1"/>
    <xf numFmtId="0" fontId="24" fillId="0" borderId="0" xfId="0" applyFont="1" applyFill="1" applyBorder="1" applyAlignment="1">
      <alignment vertical="center"/>
    </xf>
    <xf numFmtId="43" fontId="24" fillId="0" borderId="0" xfId="3" applyFont="1" applyFill="1" applyBorder="1" applyAlignment="1">
      <alignment vertical="center"/>
    </xf>
    <xf numFmtId="0" fontId="29" fillId="0" borderId="10" xfId="0" applyFont="1" applyFill="1" applyBorder="1" applyAlignment="1">
      <alignment horizontal="left" vertical="center" wrapText="1"/>
    </xf>
    <xf numFmtId="164" fontId="23" fillId="0" borderId="10" xfId="1" applyNumberFormat="1" applyFont="1" applyFill="1" applyBorder="1"/>
    <xf numFmtId="164" fontId="24" fillId="0" borderId="10" xfId="1" applyNumberFormat="1" applyFont="1" applyFill="1" applyBorder="1"/>
    <xf numFmtId="0" fontId="25" fillId="0" borderId="10" xfId="0" applyFont="1" applyFill="1" applyBorder="1" applyAlignment="1">
      <alignment horizontal="left" vertical="center" wrapText="1" indent="2"/>
    </xf>
    <xf numFmtId="0" fontId="30" fillId="0" borderId="0" xfId="0" applyFont="1" applyFill="1" applyBorder="1" applyAlignment="1">
      <alignment vertical="center"/>
    </xf>
    <xf numFmtId="0" fontId="31" fillId="0" borderId="0" xfId="0" applyFont="1" applyFill="1" applyBorder="1" applyAlignment="1">
      <alignment horizontal="left" vertical="center" wrapText="1"/>
    </xf>
    <xf numFmtId="164" fontId="32" fillId="0" borderId="0" xfId="1" applyNumberFormat="1" applyFont="1" applyFill="1" applyBorder="1"/>
    <xf numFmtId="0" fontId="31" fillId="0" borderId="0" xfId="0" applyFont="1" applyFill="1" applyBorder="1"/>
    <xf numFmtId="0" fontId="32" fillId="0" borderId="0" xfId="0" applyFont="1" applyFill="1" applyBorder="1" applyAlignment="1">
      <alignment vertical="center"/>
    </xf>
    <xf numFmtId="43" fontId="32" fillId="0" borderId="0" xfId="3" applyFont="1" applyFill="1" applyBorder="1" applyAlignment="1">
      <alignment vertical="center"/>
    </xf>
    <xf numFmtId="0" fontId="2" fillId="0" borderId="0" xfId="0" applyFont="1" applyFill="1" applyBorder="1" applyAlignment="1">
      <alignment horizontal="center"/>
    </xf>
    <xf numFmtId="164" fontId="2" fillId="0" borderId="0" xfId="3" applyNumberFormat="1" applyFont="1" applyFill="1" applyBorder="1" applyAlignment="1">
      <alignment horizontal="center"/>
    </xf>
    <xf numFmtId="0" fontId="21" fillId="0" borderId="0" xfId="0" applyFont="1" applyFill="1" applyBorder="1" applyAlignment="1">
      <alignment horizontal="left"/>
    </xf>
    <xf numFmtId="164" fontId="2" fillId="0" borderId="0" xfId="3" applyNumberFormat="1" applyFont="1" applyFill="1" applyBorder="1"/>
    <xf numFmtId="164" fontId="21" fillId="0" borderId="0" xfId="3" applyNumberFormat="1" applyFont="1" applyFill="1" applyBorder="1"/>
    <xf numFmtId="164" fontId="33" fillId="0" borderId="0" xfId="3" applyNumberFormat="1" applyFont="1" applyFill="1" applyBorder="1"/>
    <xf numFmtId="43" fontId="21" fillId="0" borderId="0" xfId="3" applyFont="1" applyFill="1" applyBorder="1"/>
    <xf numFmtId="0" fontId="2" fillId="0" borderId="10" xfId="0" applyFont="1" applyFill="1" applyBorder="1" applyAlignment="1">
      <alignment horizontal="left" indent="2"/>
    </xf>
    <xf numFmtId="3" fontId="2" fillId="0" borderId="10" xfId="0" applyNumberFormat="1" applyFont="1" applyFill="1" applyBorder="1"/>
    <xf numFmtId="164" fontId="22" fillId="0" borderId="0" xfId="3" applyNumberFormat="1" applyFont="1" applyFill="1" applyBorder="1"/>
    <xf numFmtId="3" fontId="32" fillId="0" borderId="10" xfId="0" applyNumberFormat="1" applyFont="1" applyFill="1" applyBorder="1" applyAlignment="1">
      <alignment horizontal="left" indent="2"/>
    </xf>
    <xf numFmtId="0" fontId="21" fillId="0" borderId="10" xfId="0" applyFont="1" applyFill="1" applyBorder="1"/>
    <xf numFmtId="3" fontId="21" fillId="0" borderId="10" xfId="0" applyNumberFormat="1" applyFont="1" applyFill="1" applyBorder="1"/>
    <xf numFmtId="3" fontId="32" fillId="0" borderId="0" xfId="0" applyNumberFormat="1" applyFont="1" applyFill="1" applyBorder="1"/>
    <xf numFmtId="3" fontId="2" fillId="0" borderId="0" xfId="0" applyNumberFormat="1" applyFont="1" applyFill="1" applyBorder="1"/>
    <xf numFmtId="3" fontId="30" fillId="0" borderId="10" xfId="0" applyNumberFormat="1" applyFont="1" applyFill="1" applyBorder="1"/>
    <xf numFmtId="0" fontId="21" fillId="0" borderId="0" xfId="0" applyFont="1" applyFill="1" applyBorder="1" applyAlignment="1">
      <alignment horizontal="left" indent="1"/>
    </xf>
    <xf numFmtId="0" fontId="2" fillId="0" borderId="10" xfId="0" applyFont="1" applyFill="1" applyBorder="1" applyAlignment="1">
      <alignment horizontal="left" indent="1"/>
    </xf>
    <xf numFmtId="164" fontId="2" fillId="0" borderId="10" xfId="1" applyNumberFormat="1" applyFont="1" applyFill="1" applyBorder="1"/>
    <xf numFmtId="0" fontId="34" fillId="0" borderId="10" xfId="0" applyFont="1" applyFill="1" applyBorder="1" applyAlignment="1">
      <alignment horizontal="left" indent="1"/>
    </xf>
    <xf numFmtId="164" fontId="32" fillId="0" borderId="10" xfId="1" applyNumberFormat="1" applyFont="1" applyFill="1" applyBorder="1" applyAlignment="1">
      <alignment horizontal="center"/>
    </xf>
    <xf numFmtId="0" fontId="30" fillId="0" borderId="0" xfId="0" applyFont="1" applyFill="1" applyBorder="1"/>
    <xf numFmtId="0" fontId="30" fillId="0" borderId="10" xfId="0" applyFont="1" applyFill="1" applyBorder="1" applyAlignment="1">
      <alignment horizontal="left"/>
    </xf>
    <xf numFmtId="164" fontId="30" fillId="0" borderId="10" xfId="1" applyNumberFormat="1" applyFont="1" applyFill="1" applyBorder="1" applyAlignment="1">
      <alignment horizontal="center"/>
    </xf>
    <xf numFmtId="0" fontId="32" fillId="0" borderId="0" xfId="0" applyFont="1" applyFill="1" applyBorder="1"/>
    <xf numFmtId="0" fontId="30" fillId="0" borderId="0" xfId="0" applyFont="1" applyFill="1" applyBorder="1" applyAlignment="1">
      <alignment horizontal="left"/>
    </xf>
    <xf numFmtId="164" fontId="30" fillId="0" borderId="0" xfId="1" applyNumberFormat="1" applyFont="1" applyFill="1" applyBorder="1" applyAlignment="1">
      <alignment horizontal="center"/>
    </xf>
    <xf numFmtId="0" fontId="32" fillId="0" borderId="0" xfId="0" applyFont="1" applyFill="1" applyBorder="1" applyAlignment="1">
      <alignment horizontal="left" indent="1"/>
    </xf>
    <xf numFmtId="164" fontId="32" fillId="0" borderId="0" xfId="1" applyNumberFormat="1" applyFont="1" applyFill="1" applyBorder="1" applyAlignment="1">
      <alignment horizontal="center"/>
    </xf>
    <xf numFmtId="164" fontId="31" fillId="0" borderId="0" xfId="0" applyNumberFormat="1" applyFont="1" applyFill="1" applyBorder="1"/>
    <xf numFmtId="164" fontId="20" fillId="0" borderId="0" xfId="1" applyNumberFormat="1" applyFont="1" applyFill="1" applyBorder="1" applyAlignment="1">
      <alignment horizontal="center"/>
    </xf>
    <xf numFmtId="164" fontId="22" fillId="0" borderId="0" xfId="0" applyNumberFormat="1" applyFont="1" applyFill="1" applyBorder="1"/>
    <xf numFmtId="164" fontId="32" fillId="0" borderId="10" xfId="1" applyNumberFormat="1" applyFont="1" applyFill="1" applyBorder="1"/>
    <xf numFmtId="0" fontId="26" fillId="0" borderId="0" xfId="0" applyFont="1" applyFill="1" applyBorder="1" applyAlignment="1">
      <alignment horizontal="left" indent="1"/>
    </xf>
    <xf numFmtId="164" fontId="27" fillId="0" borderId="0" xfId="1" applyNumberFormat="1" applyFont="1" applyFill="1" applyBorder="1" applyAlignment="1">
      <alignment horizontal="center"/>
    </xf>
    <xf numFmtId="164" fontId="28" fillId="0" borderId="0" xfId="0" applyNumberFormat="1" applyFont="1" applyFill="1" applyBorder="1"/>
    <xf numFmtId="164" fontId="27" fillId="0" borderId="10" xfId="1" applyNumberFormat="1" applyFont="1" applyFill="1" applyBorder="1"/>
    <xf numFmtId="0" fontId="26" fillId="0" borderId="10" xfId="0" applyFont="1" applyFill="1" applyBorder="1" applyAlignment="1">
      <alignment horizontal="left"/>
    </xf>
    <xf numFmtId="164" fontId="26" fillId="0" borderId="10" xfId="1" applyNumberFormat="1" applyFont="1" applyFill="1" applyBorder="1" applyAlignment="1">
      <alignment horizontal="center"/>
    </xf>
    <xf numFmtId="164" fontId="32" fillId="0" borderId="0" xfId="0" applyNumberFormat="1" applyFont="1" applyFill="1" applyBorder="1"/>
    <xf numFmtId="0" fontId="2" fillId="0" borderId="10" xfId="0" applyFont="1" applyFill="1" applyBorder="1"/>
    <xf numFmtId="0" fontId="21" fillId="0" borderId="10" xfId="0" applyFont="1" applyFill="1" applyBorder="1" applyAlignment="1">
      <alignment horizontal="left"/>
    </xf>
    <xf numFmtId="164" fontId="21" fillId="0" borderId="10" xfId="1" applyNumberFormat="1" applyFont="1" applyFill="1" applyBorder="1"/>
    <xf numFmtId="164" fontId="21" fillId="0" borderId="0" xfId="1" applyNumberFormat="1" applyFont="1" applyFill="1" applyBorder="1"/>
    <xf numFmtId="0" fontId="27" fillId="0" borderId="10" xfId="0" applyFont="1" applyFill="1" applyBorder="1"/>
    <xf numFmtId="164" fontId="26" fillId="0" borderId="10" xfId="1" applyNumberFormat="1" applyFont="1" applyFill="1" applyBorder="1"/>
    <xf numFmtId="0" fontId="2" fillId="0" borderId="0" xfId="0" applyFont="1" applyFill="1" applyBorder="1" applyAlignment="1">
      <alignment horizontal="left" indent="1"/>
    </xf>
    <xf numFmtId="165" fontId="2" fillId="0" borderId="0" xfId="0" applyNumberFormat="1" applyFont="1" applyFill="1" applyBorder="1"/>
    <xf numFmtId="0" fontId="2" fillId="0" borderId="10" xfId="0" applyFont="1" applyFill="1" applyBorder="1" applyAlignment="1">
      <alignment horizontal="left"/>
    </xf>
    <xf numFmtId="164" fontId="21" fillId="0" borderId="10" xfId="0" applyNumberFormat="1" applyFont="1" applyFill="1" applyBorder="1"/>
    <xf numFmtId="164" fontId="21" fillId="0" borderId="0" xfId="0" applyNumberFormat="1" applyFont="1" applyFill="1" applyBorder="1"/>
    <xf numFmtId="0" fontId="1" fillId="0" borderId="10" xfId="0" applyFont="1" applyFill="1" applyBorder="1" applyAlignment="1">
      <alignment horizontal="left" indent="1"/>
    </xf>
    <xf numFmtId="0" fontId="36" fillId="0" borderId="18" xfId="0" applyFont="1" applyBorder="1" applyAlignment="1">
      <alignment vertical="center"/>
    </xf>
    <xf numFmtId="0" fontId="36" fillId="0" borderId="19" xfId="0" applyFont="1" applyBorder="1" applyAlignment="1">
      <alignment vertical="center"/>
    </xf>
    <xf numFmtId="0" fontId="35" fillId="0" borderId="0" xfId="0" applyFont="1"/>
    <xf numFmtId="0" fontId="36" fillId="0" borderId="20" xfId="0" applyFont="1" applyBorder="1" applyAlignment="1">
      <alignment vertical="center"/>
    </xf>
    <xf numFmtId="0" fontId="36" fillId="0" borderId="21" xfId="0" applyFont="1" applyBorder="1" applyAlignment="1">
      <alignment vertical="center"/>
    </xf>
    <xf numFmtId="0" fontId="37" fillId="0" borderId="21" xfId="0" applyFont="1" applyBorder="1" applyAlignment="1">
      <alignment vertical="center"/>
    </xf>
    <xf numFmtId="0" fontId="36" fillId="0" borderId="19" xfId="0" applyFont="1" applyBorder="1" applyAlignment="1">
      <alignment vertical="center" wrapText="1"/>
    </xf>
    <xf numFmtId="4" fontId="36" fillId="0" borderId="21" xfId="0" applyNumberFormat="1" applyFont="1" applyBorder="1" applyAlignment="1">
      <alignment vertical="center"/>
    </xf>
    <xf numFmtId="43" fontId="18" fillId="0" borderId="0" xfId="1" applyFont="1"/>
    <xf numFmtId="0" fontId="7" fillId="0" borderId="0" xfId="0" applyFont="1" applyAlignment="1">
      <alignment wrapText="1"/>
    </xf>
    <xf numFmtId="0" fontId="7" fillId="0" borderId="0" xfId="0" applyFont="1"/>
    <xf numFmtId="43" fontId="0" fillId="14" borderId="0" xfId="0" applyNumberFormat="1" applyFill="1" applyAlignment="1"/>
    <xf numFmtId="0" fontId="7" fillId="14" borderId="0" xfId="0" applyFont="1" applyFill="1" applyAlignment="1"/>
    <xf numFmtId="0" fontId="0" fillId="14" borderId="10" xfId="0" applyFill="1" applyBorder="1" applyAlignment="1"/>
    <xf numFmtId="43" fontId="12" fillId="2" borderId="1" xfId="1" applyFont="1" applyFill="1" applyBorder="1" applyAlignment="1">
      <alignment horizontal="left" vertical="top"/>
    </xf>
    <xf numFmtId="43" fontId="3" fillId="0" borderId="6" xfId="1" applyFont="1" applyFill="1" applyBorder="1" applyAlignment="1">
      <alignment horizontal="right" vertical="top"/>
    </xf>
    <xf numFmtId="43" fontId="0" fillId="0" borderId="6" xfId="1" applyFont="1" applyFill="1" applyBorder="1" applyAlignment="1">
      <alignment horizontal="right" vertical="top"/>
    </xf>
    <xf numFmtId="0" fontId="8" fillId="2" borderId="4" xfId="0" applyFont="1" applyFill="1" applyBorder="1" applyAlignment="1">
      <alignment horizontal="left" vertical="center"/>
    </xf>
    <xf numFmtId="0" fontId="8" fillId="2" borderId="1" xfId="0" applyFont="1" applyFill="1" applyBorder="1" applyAlignment="1">
      <alignment horizontal="left" vertical="center"/>
    </xf>
    <xf numFmtId="0" fontId="8" fillId="2" borderId="2" xfId="0" applyFont="1" applyFill="1" applyBorder="1" applyAlignment="1">
      <alignment horizontal="left" vertical="center"/>
    </xf>
    <xf numFmtId="0" fontId="8" fillId="2" borderId="3" xfId="0" applyFont="1" applyFill="1" applyBorder="1" applyAlignment="1">
      <alignment horizontal="left" vertical="center"/>
    </xf>
    <xf numFmtId="43" fontId="8" fillId="2" borderId="3" xfId="1" applyFont="1" applyFill="1" applyBorder="1" applyAlignment="1">
      <alignment horizontal="lef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10" xfId="0" applyFont="1" applyFill="1" applyBorder="1" applyAlignment="1">
      <alignment vertical="center"/>
    </xf>
    <xf numFmtId="0" fontId="8" fillId="2" borderId="10" xfId="0" applyFont="1" applyFill="1" applyBorder="1" applyAlignment="1">
      <alignment vertical="center" wrapText="1"/>
    </xf>
    <xf numFmtId="43" fontId="8" fillId="2" borderId="10" xfId="1" applyFont="1" applyFill="1" applyBorder="1" applyAlignment="1">
      <alignment horizontal="left" vertical="center"/>
    </xf>
    <xf numFmtId="43" fontId="8" fillId="0" borderId="0" xfId="1" applyFont="1" applyAlignment="1">
      <alignment vertical="center"/>
    </xf>
    <xf numFmtId="0" fontId="8" fillId="0" borderId="0" xfId="0" applyFont="1" applyAlignment="1">
      <alignment vertical="center"/>
    </xf>
    <xf numFmtId="0" fontId="39" fillId="14" borderId="0" xfId="0" applyFont="1" applyFill="1" applyAlignment="1">
      <alignment vertical="center"/>
    </xf>
    <xf numFmtId="0" fontId="12" fillId="2" borderId="22" xfId="0" applyFont="1" applyFill="1" applyBorder="1" applyAlignment="1">
      <alignment vertical="top"/>
    </xf>
    <xf numFmtId="0" fontId="0" fillId="17" borderId="10" xfId="0" applyFill="1" applyBorder="1" applyAlignment="1"/>
    <xf numFmtId="43" fontId="0" fillId="17" borderId="10" xfId="1" applyFont="1" applyFill="1" applyBorder="1" applyAlignment="1"/>
    <xf numFmtId="4" fontId="9" fillId="17" borderId="9" xfId="2" applyNumberFormat="1" applyFont="1" applyFill="1" applyBorder="1" applyAlignment="1">
      <alignment horizontal="right" vertical="center" wrapText="1"/>
    </xf>
    <xf numFmtId="43" fontId="0" fillId="17" borderId="8" xfId="1" applyFont="1" applyFill="1" applyBorder="1" applyAlignment="1">
      <alignment vertical="top"/>
    </xf>
    <xf numFmtId="0" fontId="0" fillId="17" borderId="16" xfId="0" applyFill="1" applyBorder="1" applyAlignment="1"/>
    <xf numFmtId="4" fontId="9" fillId="17" borderId="0" xfId="2" applyNumberFormat="1" applyFont="1" applyFill="1" applyBorder="1" applyAlignment="1">
      <alignment horizontal="right" vertical="center" wrapText="1"/>
    </xf>
    <xf numFmtId="0" fontId="12" fillId="18" borderId="22" xfId="0" applyFont="1" applyFill="1" applyBorder="1" applyAlignment="1">
      <alignment vertical="top"/>
    </xf>
    <xf numFmtId="0" fontId="0" fillId="19" borderId="10" xfId="0" applyFill="1" applyBorder="1" applyAlignment="1"/>
    <xf numFmtId="0" fontId="0" fillId="19" borderId="10" xfId="0" applyFill="1" applyBorder="1" applyAlignment="1">
      <alignment wrapText="1"/>
    </xf>
    <xf numFmtId="0" fontId="3" fillId="19" borderId="8" xfId="0" applyFont="1" applyFill="1" applyBorder="1" applyAlignment="1">
      <alignment horizontal="left" vertical="top"/>
    </xf>
    <xf numFmtId="0" fontId="3" fillId="19" borderId="6" xfId="0" applyNumberFormat="1" applyFont="1" applyFill="1" applyBorder="1" applyAlignment="1">
      <alignment horizontal="left" vertical="top"/>
    </xf>
    <xf numFmtId="0" fontId="3" fillId="19" borderId="7" xfId="0" applyFont="1" applyFill="1" applyBorder="1" applyAlignment="1">
      <alignment horizontal="left" vertical="top"/>
    </xf>
    <xf numFmtId="0" fontId="3" fillId="19" borderId="7" xfId="0" applyNumberFormat="1" applyFont="1" applyFill="1" applyBorder="1" applyAlignment="1">
      <alignment horizontal="left" vertical="top"/>
    </xf>
    <xf numFmtId="3" fontId="3" fillId="19" borderId="7" xfId="0" applyNumberFormat="1" applyFont="1" applyFill="1" applyBorder="1" applyAlignment="1">
      <alignment horizontal="right" vertical="top"/>
    </xf>
    <xf numFmtId="3" fontId="3" fillId="19" borderId="8" xfId="0" applyNumberFormat="1" applyFont="1" applyFill="1" applyBorder="1" applyAlignment="1">
      <alignment horizontal="right" vertical="top"/>
    </xf>
    <xf numFmtId="3" fontId="3" fillId="19" borderId="5" xfId="0" applyNumberFormat="1" applyFont="1" applyFill="1" applyBorder="1" applyAlignment="1">
      <alignment horizontal="right" vertical="top"/>
    </xf>
    <xf numFmtId="43" fontId="3" fillId="19" borderId="6" xfId="1" applyFont="1" applyFill="1" applyBorder="1" applyAlignment="1">
      <alignment horizontal="right" vertical="top"/>
    </xf>
    <xf numFmtId="3" fontId="3" fillId="19" borderId="6" xfId="0" applyNumberFormat="1" applyFont="1" applyFill="1" applyBorder="1" applyAlignment="1">
      <alignment horizontal="right" vertical="top"/>
    </xf>
    <xf numFmtId="0" fontId="0" fillId="19" borderId="7" xfId="0" applyFill="1" applyBorder="1" applyAlignment="1">
      <alignment horizontal="right" vertical="top"/>
    </xf>
    <xf numFmtId="0" fontId="0" fillId="19" borderId="7" xfId="0" applyFill="1" applyBorder="1" applyAlignment="1">
      <alignment vertical="top" wrapText="1"/>
    </xf>
    <xf numFmtId="0" fontId="0" fillId="19" borderId="8" xfId="0" applyFill="1" applyBorder="1" applyAlignment="1">
      <alignment vertical="top"/>
    </xf>
    <xf numFmtId="4" fontId="9" fillId="19" borderId="9" xfId="2" applyNumberFormat="1" applyFont="1" applyFill="1" applyBorder="1" applyAlignment="1">
      <alignment horizontal="right" vertical="center" wrapText="1"/>
    </xf>
    <xf numFmtId="4" fontId="9" fillId="19" borderId="0" xfId="2" applyNumberFormat="1" applyFont="1" applyFill="1" applyBorder="1" applyAlignment="1">
      <alignment horizontal="right" vertical="center" wrapText="1"/>
    </xf>
    <xf numFmtId="43" fontId="0" fillId="19" borderId="10" xfId="1" applyFont="1" applyFill="1" applyBorder="1" applyAlignment="1"/>
    <xf numFmtId="3" fontId="0" fillId="17" borderId="10" xfId="0" applyNumberFormat="1" applyFill="1" applyBorder="1" applyAlignment="1"/>
    <xf numFmtId="43" fontId="0" fillId="17" borderId="10" xfId="0" applyNumberFormat="1" applyFill="1" applyBorder="1" applyAlignment="1"/>
    <xf numFmtId="3" fontId="40" fillId="0" borderId="0" xfId="0" applyNumberFormat="1" applyFont="1"/>
    <xf numFmtId="0" fontId="0" fillId="16" borderId="10" xfId="0" applyFill="1" applyBorder="1"/>
    <xf numFmtId="0" fontId="8" fillId="18" borderId="0" xfId="0" applyFont="1" applyFill="1" applyAlignment="1">
      <alignment vertical="center"/>
    </xf>
    <xf numFmtId="43" fontId="0" fillId="0" borderId="0" xfId="0" applyNumberFormat="1" applyFill="1" applyBorder="1" applyAlignment="1">
      <alignment vertical="top"/>
    </xf>
    <xf numFmtId="0" fontId="8" fillId="11" borderId="0" xfId="0" applyFont="1" applyFill="1" applyAlignment="1">
      <alignment vertical="center"/>
    </xf>
    <xf numFmtId="43" fontId="0" fillId="0" borderId="0" xfId="0" applyNumberFormat="1" applyAlignment="1"/>
    <xf numFmtId="43" fontId="0" fillId="15" borderId="0" xfId="0" applyNumberFormat="1" applyFill="1" applyAlignment="1"/>
    <xf numFmtId="0" fontId="0" fillId="20" borderId="0" xfId="0" applyFill="1" applyAlignment="1"/>
    <xf numFmtId="0" fontId="0" fillId="20" borderId="10" xfId="0" applyFill="1" applyBorder="1" applyAlignment="1">
      <alignment wrapText="1"/>
    </xf>
    <xf numFmtId="0" fontId="3" fillId="20" borderId="8" xfId="0" applyFont="1" applyFill="1" applyBorder="1" applyAlignment="1">
      <alignment horizontal="left" vertical="top"/>
    </xf>
    <xf numFmtId="0" fontId="3" fillId="20" borderId="6" xfId="0" applyNumberFormat="1" applyFont="1" applyFill="1" applyBorder="1" applyAlignment="1">
      <alignment horizontal="left" vertical="top"/>
    </xf>
    <xf numFmtId="0" fontId="3" fillId="20" borderId="7" xfId="0" applyFont="1" applyFill="1" applyBorder="1" applyAlignment="1">
      <alignment horizontal="left" vertical="top"/>
    </xf>
    <xf numFmtId="0" fontId="16" fillId="20" borderId="0" xfId="0" applyFont="1" applyFill="1" applyAlignment="1">
      <alignment horizontal="left"/>
    </xf>
    <xf numFmtId="0" fontId="16" fillId="20" borderId="10" xfId="0" applyFont="1" applyFill="1" applyBorder="1"/>
    <xf numFmtId="0" fontId="3" fillId="20" borderId="10" xfId="0" applyFont="1" applyFill="1" applyBorder="1" applyAlignment="1">
      <alignment horizontal="left" vertical="top"/>
    </xf>
    <xf numFmtId="3" fontId="3" fillId="20" borderId="8" xfId="0" applyNumberFormat="1" applyFont="1" applyFill="1" applyBorder="1" applyAlignment="1">
      <alignment horizontal="right" vertical="top"/>
    </xf>
    <xf numFmtId="3" fontId="3" fillId="20" borderId="5" xfId="0" applyNumberFormat="1" applyFont="1" applyFill="1" applyBorder="1" applyAlignment="1">
      <alignment horizontal="right" vertical="top"/>
    </xf>
    <xf numFmtId="0" fontId="0" fillId="20" borderId="6" xfId="0" applyFill="1" applyBorder="1" applyAlignment="1">
      <alignment horizontal="right" vertical="top"/>
    </xf>
    <xf numFmtId="0" fontId="0" fillId="20" borderId="8" xfId="0" applyFill="1" applyBorder="1" applyAlignment="1">
      <alignment horizontal="right" vertical="top"/>
    </xf>
    <xf numFmtId="3" fontId="3" fillId="20" borderId="6" xfId="0" applyNumberFormat="1" applyFont="1" applyFill="1" applyBorder="1" applyAlignment="1">
      <alignment horizontal="right" vertical="top"/>
    </xf>
    <xf numFmtId="0" fontId="0" fillId="20" borderId="7" xfId="0" applyFill="1" applyBorder="1" applyAlignment="1">
      <alignment horizontal="right" vertical="top"/>
    </xf>
    <xf numFmtId="43" fontId="0" fillId="20" borderId="7" xfId="1" applyFont="1" applyFill="1" applyBorder="1" applyAlignment="1">
      <alignment horizontal="right" vertical="top"/>
    </xf>
    <xf numFmtId="0" fontId="0" fillId="20" borderId="7" xfId="0" applyFill="1" applyBorder="1" applyAlignment="1">
      <alignment vertical="top"/>
    </xf>
    <xf numFmtId="43" fontId="3" fillId="20" borderId="7" xfId="1" applyFont="1" applyFill="1" applyBorder="1" applyAlignment="1">
      <alignment horizontal="right" vertical="top"/>
    </xf>
    <xf numFmtId="0" fontId="7" fillId="20" borderId="8" xfId="0" applyFont="1" applyFill="1" applyBorder="1" applyAlignment="1">
      <alignment vertical="top"/>
    </xf>
    <xf numFmtId="43" fontId="0" fillId="20" borderId="10" xfId="0" applyNumberFormat="1" applyFill="1" applyBorder="1" applyAlignment="1">
      <alignment vertical="top"/>
    </xf>
    <xf numFmtId="0" fontId="7" fillId="20" borderId="10" xfId="0" applyFont="1" applyFill="1" applyBorder="1" applyAlignment="1"/>
    <xf numFmtId="0" fontId="0" fillId="20" borderId="10" xfId="0" applyFill="1" applyBorder="1" applyAlignment="1"/>
    <xf numFmtId="43" fontId="0" fillId="20" borderId="10" xfId="1" applyFont="1" applyFill="1" applyBorder="1" applyAlignment="1"/>
    <xf numFmtId="43" fontId="0" fillId="20" borderId="0" xfId="0" applyNumberFormat="1" applyFill="1" applyAlignment="1"/>
    <xf numFmtId="43" fontId="0" fillId="0" borderId="10" xfId="0" applyNumberFormat="1" applyFill="1" applyBorder="1" applyAlignment="1"/>
    <xf numFmtId="43" fontId="0" fillId="6" borderId="0" xfId="0" applyNumberFormat="1" applyFill="1" applyAlignment="1"/>
    <xf numFmtId="4" fontId="7" fillId="11" borderId="10" xfId="0" applyNumberFormat="1" applyFont="1" applyFill="1" applyBorder="1" applyAlignment="1">
      <alignment vertical="top"/>
    </xf>
    <xf numFmtId="4" fontId="7" fillId="15" borderId="10" xfId="0" applyNumberFormat="1" applyFont="1" applyFill="1" applyBorder="1" applyAlignment="1">
      <alignment vertical="top"/>
    </xf>
    <xf numFmtId="0" fontId="8" fillId="0" borderId="0" xfId="0" applyFont="1" applyBorder="1" applyAlignment="1">
      <alignment vertical="center"/>
    </xf>
    <xf numFmtId="0" fontId="0" fillId="0" borderId="0" xfId="0" applyFill="1" applyBorder="1" applyAlignment="1"/>
    <xf numFmtId="43" fontId="0" fillId="0" borderId="0" xfId="0" applyNumberFormat="1" applyFill="1" applyBorder="1" applyAlignment="1"/>
    <xf numFmtId="0" fontId="0" fillId="0" borderId="0" xfId="0" applyBorder="1" applyAlignment="1"/>
    <xf numFmtId="10" fontId="0" fillId="0" borderId="0" xfId="4" applyNumberFormat="1" applyFont="1"/>
    <xf numFmtId="43" fontId="0" fillId="0" borderId="23" xfId="1" applyFont="1" applyFill="1" applyBorder="1" applyAlignment="1"/>
    <xf numFmtId="43" fontId="0" fillId="19" borderId="23" xfId="1" applyFont="1" applyFill="1" applyBorder="1" applyAlignment="1"/>
    <xf numFmtId="43" fontId="0" fillId="0" borderId="24" xfId="1" applyFont="1" applyFill="1" applyBorder="1" applyAlignment="1"/>
    <xf numFmtId="0" fontId="8" fillId="11" borderId="10" xfId="0" applyFont="1" applyFill="1" applyBorder="1" applyAlignment="1">
      <alignment vertical="center"/>
    </xf>
    <xf numFmtId="0" fontId="12" fillId="2" borderId="0" xfId="0" applyFont="1" applyFill="1" applyBorder="1" applyAlignment="1">
      <alignment horizontal="left" vertical="top"/>
    </xf>
    <xf numFmtId="43" fontId="8" fillId="11" borderId="10" xfId="1" applyFont="1" applyFill="1" applyBorder="1" applyAlignment="1">
      <alignment vertical="center"/>
    </xf>
    <xf numFmtId="4" fontId="0" fillId="17" borderId="10" xfId="0" applyNumberFormat="1" applyFill="1" applyBorder="1" applyAlignment="1"/>
    <xf numFmtId="43" fontId="3" fillId="0" borderId="8" xfId="1" applyFont="1" applyFill="1" applyBorder="1" applyAlignment="1">
      <alignment horizontal="right" vertical="top"/>
    </xf>
    <xf numFmtId="43" fontId="0" fillId="0" borderId="8" xfId="1" applyFont="1" applyFill="1" applyBorder="1" applyAlignment="1">
      <alignment horizontal="right" vertical="top"/>
    </xf>
    <xf numFmtId="0" fontId="0" fillId="0" borderId="10" xfId="0" applyBorder="1" applyAlignment="1">
      <alignment horizontal="left"/>
    </xf>
    <xf numFmtId="3" fontId="0" fillId="0" borderId="10" xfId="0" applyNumberFormat="1" applyBorder="1"/>
    <xf numFmtId="0" fontId="0" fillId="16" borderId="25" xfId="0" applyFill="1" applyBorder="1" applyAlignment="1"/>
    <xf numFmtId="164" fontId="0" fillId="0" borderId="10" xfId="0" applyNumberFormat="1" applyBorder="1"/>
    <xf numFmtId="3" fontId="0" fillId="16" borderId="25" xfId="0" applyNumberFormat="1" applyFill="1" applyBorder="1"/>
    <xf numFmtId="164" fontId="0" fillId="16" borderId="25" xfId="0" applyNumberFormat="1" applyFill="1" applyBorder="1"/>
    <xf numFmtId="0" fontId="7" fillId="0" borderId="10" xfId="0" applyFont="1" applyBorder="1"/>
    <xf numFmtId="0" fontId="11" fillId="16" borderId="17" xfId="0" applyFont="1" applyFill="1" applyBorder="1"/>
    <xf numFmtId="37" fontId="11" fillId="16" borderId="17" xfId="1" applyNumberFormat="1" applyFont="1" applyFill="1" applyBorder="1"/>
    <xf numFmtId="0" fontId="11" fillId="16" borderId="10" xfId="0" applyFont="1" applyFill="1" applyBorder="1" applyAlignment="1">
      <alignment horizontal="right"/>
    </xf>
    <xf numFmtId="37" fontId="7" fillId="0" borderId="10" xfId="1" applyNumberFormat="1" applyFont="1" applyBorder="1"/>
    <xf numFmtId="3" fontId="7" fillId="0" borderId="10" xfId="0" applyNumberFormat="1" applyFont="1" applyBorder="1"/>
    <xf numFmtId="0" fontId="11" fillId="16" borderId="10" xfId="0" applyFont="1" applyFill="1" applyBorder="1" applyAlignment="1">
      <alignment horizontal="left"/>
    </xf>
    <xf numFmtId="164" fontId="11" fillId="16" borderId="10" xfId="1" applyNumberFormat="1" applyFont="1" applyFill="1" applyBorder="1" applyAlignment="1">
      <alignment horizontal="right"/>
    </xf>
    <xf numFmtId="0" fontId="0" fillId="16" borderId="16" xfId="0" applyFill="1" applyBorder="1"/>
    <xf numFmtId="37" fontId="7" fillId="0" borderId="10" xfId="1" applyNumberFormat="1" applyFont="1" applyFill="1" applyBorder="1"/>
    <xf numFmtId="3" fontId="0" fillId="0" borderId="16" xfId="0" applyNumberFormat="1" applyBorder="1"/>
    <xf numFmtId="0" fontId="0" fillId="0" borderId="16" xfId="0" applyBorder="1" applyAlignment="1">
      <alignment horizontal="left"/>
    </xf>
    <xf numFmtId="43" fontId="0" fillId="10" borderId="10" xfId="1" applyFont="1" applyFill="1" applyBorder="1" applyAlignment="1"/>
    <xf numFmtId="3" fontId="0" fillId="17" borderId="0" xfId="0" applyNumberFormat="1" applyFill="1" applyBorder="1" applyAlignment="1"/>
    <xf numFmtId="3" fontId="0" fillId="17" borderId="16" xfId="0" applyNumberFormat="1" applyFill="1" applyBorder="1" applyAlignment="1"/>
    <xf numFmtId="0" fontId="0" fillId="16" borderId="25" xfId="0" applyFill="1" applyBorder="1" applyAlignment="1">
      <alignment horizontal="left"/>
    </xf>
    <xf numFmtId="0" fontId="0" fillId="0" borderId="0" xfId="0" applyFill="1"/>
    <xf numFmtId="3" fontId="7" fillId="0" borderId="10" xfId="0" applyNumberFormat="1" applyFont="1" applyFill="1" applyBorder="1" applyAlignment="1">
      <alignment horizontal="right"/>
    </xf>
    <xf numFmtId="0" fontId="7" fillId="0" borderId="10" xfId="0" applyFont="1" applyFill="1" applyBorder="1" applyAlignment="1">
      <alignment horizontal="right"/>
    </xf>
    <xf numFmtId="9" fontId="7" fillId="0" borderId="10" xfId="4" applyNumberFormat="1" applyFont="1" applyFill="1" applyBorder="1" applyAlignment="1">
      <alignment horizontal="right"/>
    </xf>
    <xf numFmtId="9" fontId="7" fillId="0" borderId="10" xfId="4" applyNumberFormat="1" applyFont="1" applyBorder="1"/>
    <xf numFmtId="9" fontId="11" fillId="16" borderId="17" xfId="4" applyNumberFormat="1" applyFont="1" applyFill="1" applyBorder="1"/>
    <xf numFmtId="9" fontId="11" fillId="16" borderId="10" xfId="0" applyNumberFormat="1" applyFont="1" applyFill="1" applyBorder="1" applyAlignment="1">
      <alignment horizontal="right"/>
    </xf>
    <xf numFmtId="9" fontId="11" fillId="16" borderId="10" xfId="4" applyNumberFormat="1" applyFont="1" applyFill="1" applyBorder="1" applyAlignment="1">
      <alignment horizontal="right"/>
    </xf>
    <xf numFmtId="9" fontId="7" fillId="0" borderId="0" xfId="0" applyNumberFormat="1" applyFont="1"/>
    <xf numFmtId="0" fontId="11" fillId="16" borderId="10" xfId="0" applyFont="1" applyFill="1" applyBorder="1" applyAlignment="1">
      <alignment horizontal="center" wrapText="1"/>
    </xf>
    <xf numFmtId="0" fontId="11" fillId="4" borderId="10" xfId="0" applyFont="1" applyFill="1" applyBorder="1"/>
    <xf numFmtId="3" fontId="11" fillId="4" borderId="10" xfId="0" applyNumberFormat="1" applyFont="1" applyFill="1" applyBorder="1" applyAlignment="1">
      <alignment horizontal="left"/>
    </xf>
    <xf numFmtId="3" fontId="38" fillId="0" borderId="10" xfId="0" applyNumberFormat="1" applyFont="1" applyBorder="1" applyAlignment="1">
      <alignment vertical="top"/>
    </xf>
    <xf numFmtId="3" fontId="38" fillId="0" borderId="10" xfId="0" applyNumberFormat="1" applyFont="1" applyBorder="1"/>
    <xf numFmtId="3" fontId="38" fillId="0" borderId="10" xfId="0" applyNumberFormat="1" applyFont="1" applyFill="1" applyBorder="1"/>
    <xf numFmtId="49" fontId="11" fillId="4" borderId="10" xfId="0" applyNumberFormat="1" applyFont="1" applyFill="1" applyBorder="1" applyAlignment="1">
      <alignment horizontal="center"/>
    </xf>
    <xf numFmtId="3" fontId="7" fillId="0" borderId="10" xfId="0" applyNumberFormat="1" applyFont="1" applyBorder="1" applyAlignment="1">
      <alignment horizontal="left" vertical="top" wrapText="1"/>
    </xf>
    <xf numFmtId="3" fontId="7" fillId="0" borderId="10" xfId="0" applyNumberFormat="1" applyFont="1" applyBorder="1" applyAlignment="1">
      <alignment horizontal="left" wrapText="1"/>
    </xf>
    <xf numFmtId="3" fontId="7" fillId="0" borderId="10" xfId="0" applyNumberFormat="1" applyFont="1" applyFill="1" applyBorder="1" applyAlignment="1">
      <alignment horizontal="left" wrapText="1"/>
    </xf>
    <xf numFmtId="3" fontId="38" fillId="4" borderId="10" xfId="0" applyNumberFormat="1" applyFont="1" applyFill="1" applyBorder="1"/>
    <xf numFmtId="0" fontId="11" fillId="4" borderId="10" xfId="0" applyFont="1" applyFill="1" applyBorder="1" applyAlignment="1"/>
    <xf numFmtId="9" fontId="11" fillId="16" borderId="10" xfId="4" applyFont="1" applyFill="1" applyBorder="1" applyAlignment="1">
      <alignment horizontal="right"/>
    </xf>
    <xf numFmtId="164" fontId="0" fillId="0" borderId="17" xfId="0" applyNumberFormat="1" applyBorder="1"/>
    <xf numFmtId="0" fontId="0" fillId="16" borderId="17" xfId="0" applyFill="1" applyBorder="1" applyAlignment="1"/>
    <xf numFmtId="37" fontId="7" fillId="0" borderId="0" xfId="1" applyNumberFormat="1" applyFont="1" applyFill="1" applyBorder="1"/>
    <xf numFmtId="37" fontId="7" fillId="0" borderId="0" xfId="0" applyNumberFormat="1" applyFont="1"/>
    <xf numFmtId="37" fontId="7" fillId="21" borderId="10" xfId="1" applyNumberFormat="1" applyFont="1" applyFill="1" applyBorder="1"/>
    <xf numFmtId="37" fontId="7" fillId="21" borderId="0" xfId="0" applyNumberFormat="1" applyFont="1" applyFill="1"/>
    <xf numFmtId="0" fontId="0" fillId="21" borderId="0" xfId="0" applyFill="1"/>
    <xf numFmtId="165" fontId="0" fillId="0" borderId="0" xfId="1" applyNumberFormat="1" applyFont="1"/>
    <xf numFmtId="3" fontId="38" fillId="9" borderId="10" xfId="0" applyNumberFormat="1" applyFont="1" applyFill="1" applyBorder="1"/>
    <xf numFmtId="43" fontId="0" fillId="9" borderId="0" xfId="1" applyFont="1" applyFill="1"/>
    <xf numFmtId="43" fontId="18" fillId="9" borderId="0" xfId="1" applyFont="1" applyFill="1"/>
    <xf numFmtId="37" fontId="7" fillId="9" borderId="10" xfId="1" applyNumberFormat="1" applyFont="1" applyFill="1" applyBorder="1"/>
    <xf numFmtId="3" fontId="0" fillId="9" borderId="0" xfId="0" applyNumberFormat="1" applyFill="1"/>
    <xf numFmtId="0" fontId="9" fillId="9" borderId="7" xfId="0" applyFont="1" applyFill="1" applyBorder="1" applyAlignment="1">
      <alignment horizontal="left" vertical="top"/>
    </xf>
    <xf numFmtId="43" fontId="0" fillId="0" borderId="0" xfId="1" applyFont="1" applyFill="1"/>
    <xf numFmtId="43" fontId="7" fillId="0" borderId="0" xfId="1" applyFont="1"/>
    <xf numFmtId="0" fontId="7" fillId="0" borderId="8" xfId="0" applyFont="1" applyFill="1" applyBorder="1" applyAlignment="1">
      <alignment vertical="top" wrapText="1"/>
    </xf>
    <xf numFmtId="0" fontId="8" fillId="2" borderId="0" xfId="0" applyFont="1" applyFill="1" applyBorder="1" applyAlignment="1">
      <alignment vertical="center"/>
    </xf>
    <xf numFmtId="43" fontId="4" fillId="2" borderId="0" xfId="1" applyFont="1" applyFill="1" applyBorder="1" applyAlignment="1">
      <alignment horizontal="right" vertical="top"/>
    </xf>
    <xf numFmtId="2" fontId="0" fillId="0" borderId="0" xfId="0" applyNumberFormat="1"/>
    <xf numFmtId="2" fontId="0" fillId="16" borderId="25" xfId="0" applyNumberFormat="1" applyFill="1" applyBorder="1"/>
    <xf numFmtId="43" fontId="6" fillId="0" borderId="0" xfId="1" applyFont="1"/>
    <xf numFmtId="0" fontId="6" fillId="0" borderId="0" xfId="0" applyFont="1"/>
    <xf numFmtId="3" fontId="0" fillId="0" borderId="0" xfId="0" applyNumberFormat="1" applyAlignment="1"/>
    <xf numFmtId="3" fontId="11" fillId="4" borderId="10" xfId="0" applyNumberFormat="1" applyFont="1" applyFill="1" applyBorder="1" applyAlignment="1">
      <alignment horizontal="center"/>
    </xf>
    <xf numFmtId="0" fontId="11" fillId="4" borderId="10" xfId="0" applyFont="1" applyFill="1" applyBorder="1" applyAlignment="1">
      <alignment horizontal="center"/>
    </xf>
    <xf numFmtId="0" fontId="7" fillId="9" borderId="10" xfId="0" applyFont="1" applyFill="1" applyBorder="1"/>
  </cellXfs>
  <cellStyles count="5">
    <cellStyle name="Comma" xfId="1" builtinId="3"/>
    <cellStyle name="Comma 2" xfId="3" xr:uid="{00000000-0005-0000-0000-000001000000}"/>
    <cellStyle name="Normal" xfId="0" builtinId="0"/>
    <cellStyle name="Normal 2" xfId="2" xr:uid="{00000000-0005-0000-0000-000003000000}"/>
    <cellStyle name="Percent" xfId="4" builtinId="5"/>
  </cellStyles>
  <dxfs count="153">
    <dxf>
      <numFmt numFmtId="35" formatCode="_(* #,##0.00_);_(* \(#,##0.00\);_(* &quot;-&quot;??_);_(@_)"/>
    </dxf>
    <dxf>
      <alignment horizontal="right" readingOrder="0"/>
    </dxf>
    <dxf>
      <numFmt numFmtId="33" formatCode="_(* #,##0_);_(* \(#,##0\);_(* &quot;-&quot;_);_(@_)"/>
    </dxf>
    <dxf>
      <numFmt numFmtId="166" formatCode="_(* #,##0.0_);_(* \(#,##0.0\);_(* &quot;-&quot;_);_(@_)"/>
    </dxf>
    <dxf>
      <numFmt numFmtId="167" formatCode="_(* #,##0.00_);_(* \(#,##0.00\);_(* &quot;-&quot;_);_(@_)"/>
    </dxf>
    <dxf>
      <numFmt numFmtId="168" formatCode="_(* #,##0.000_);_(* \(#,##0.000\);_(* &quot;-&quot;_);_(@_)"/>
    </dxf>
    <dxf>
      <numFmt numFmtId="169" formatCode="_(* #,##0.0000_);_(* \(#,##0.0000\);_(* &quot;-&quot;_);_(@_)"/>
    </dxf>
    <dxf>
      <numFmt numFmtId="168" formatCode="_(* #,##0.000_);_(* \(#,##0.000\);_(* &quot;-&quot;_);_(@_)"/>
    </dxf>
    <dxf>
      <numFmt numFmtId="167" formatCode="_(* #,##0.00_);_(* \(#,##0.00\);_(* &quot;-&quot;_);_(@_)"/>
    </dxf>
    <dxf>
      <numFmt numFmtId="166" formatCode="_(* #,##0.0_);_(* \(#,##0.0\);_(* &quot;-&quot;_);_(@_)"/>
    </dxf>
    <dxf>
      <numFmt numFmtId="3" formatCode="#,##0"/>
    </dxf>
    <dxf>
      <numFmt numFmtId="3" formatCode="#,##0"/>
    </dxf>
    <dxf>
      <numFmt numFmtId="3" formatCode="#,##0"/>
    </dxf>
    <dxf>
      <numFmt numFmtId="3" formatCode="#,##0"/>
    </dxf>
    <dxf>
      <numFmt numFmtId="3" formatCode="#,##0"/>
    </dxf>
    <dxf>
      <numFmt numFmtId="3" formatCode="#,##0"/>
    </dxf>
    <dxf>
      <alignment horizontal="right" readingOrder="0"/>
    </dxf>
    <dxf>
      <fill>
        <patternFill patternType="solid">
          <bgColor theme="6"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3" formatCode="#,##0"/>
    </dxf>
    <dxf>
      <numFmt numFmtId="3" formatCode="#,##0"/>
    </dxf>
    <dxf>
      <numFmt numFmtId="3" formatCode="#,##0"/>
    </dxf>
    <dxf>
      <numFmt numFmtId="3" formatCode="#,##0"/>
    </dxf>
    <dxf>
      <numFmt numFmtId="3" formatCode="#,##0"/>
    </dxf>
    <dxf>
      <numFmt numFmtId="3" formatCode="#,##0"/>
    </dxf>
    <dxf>
      <numFmt numFmtId="33" formatCode="_(* #,##0_);_(* \(#,##0\);_(* &quot;-&quot;_);_(@_)"/>
    </dxf>
    <dxf>
      <numFmt numFmtId="166" formatCode="_(* #,##0.0_);_(* \(#,##0.0\);_(* &quot;-&quot;_);_(@_)"/>
    </dxf>
    <dxf>
      <numFmt numFmtId="167" formatCode="_(* #,##0.00_);_(* \(#,##0.00\);_(* &quot;-&quot;_);_(@_)"/>
    </dxf>
    <dxf>
      <numFmt numFmtId="168" formatCode="_(* #,##0.000_);_(* \(#,##0.000\);_(* &quot;-&quot;_);_(@_)"/>
    </dxf>
    <dxf>
      <numFmt numFmtId="169" formatCode="_(* #,##0.0000_);_(* \(#,##0.0000\);_(* &quot;-&quot;_);_(@_)"/>
    </dxf>
    <dxf>
      <numFmt numFmtId="168" formatCode="_(* #,##0.000_);_(* \(#,##0.000\);_(* &quot;-&quot;_);_(@_)"/>
    </dxf>
    <dxf>
      <numFmt numFmtId="167" formatCode="_(* #,##0.00_);_(* \(#,##0.00\);_(* &quot;-&quot;_);_(@_)"/>
    </dxf>
    <dxf>
      <numFmt numFmtId="166" formatCode="_(* #,##0.0_);_(* \(#,##0.0\);_(* &quot;-&quot;_);_(@_)"/>
    </dxf>
    <dxf>
      <font>
        <color rgb="FFFF0000"/>
      </font>
    </dxf>
    <dxf>
      <font>
        <color rgb="FFFF0000"/>
      </font>
    </dxf>
    <dxf>
      <font>
        <color rgb="FFFF0000"/>
      </font>
    </dxf>
    <dxf>
      <font>
        <color rgb="FFFF0000"/>
      </font>
    </dxf>
    <dxf>
      <font>
        <color rgb="FFFF0000"/>
      </font>
    </dxf>
    <dxf>
      <alignment horizontal="right" readingOrder="0"/>
    </dxf>
    <dxf>
      <fill>
        <patternFill patternType="solid">
          <bgColor theme="6" tint="0.59999389629810485"/>
        </patternFill>
      </fill>
    </dxf>
    <dxf>
      <numFmt numFmtId="3" formatCode="#,##0"/>
    </dxf>
    <dxf>
      <numFmt numFmtId="3" formatCode="#,##0"/>
    </dxf>
    <dxf>
      <numFmt numFmtId="3" formatCode="#,##0"/>
    </dxf>
    <dxf>
      <numFmt numFmtId="3" formatCode="#,##0"/>
    </dxf>
    <dxf>
      <numFmt numFmtId="3" formatCode="#,##0"/>
    </dxf>
    <dxf>
      <numFmt numFmtId="3" formatCode="#,##0"/>
    </dxf>
    <dxf>
      <fill>
        <patternFill patternType="solid">
          <fgColor indexed="64"/>
          <bgColor theme="3" tint="0.59999389629810485"/>
        </patternFill>
      </fill>
      <alignment horizontal="general" vertical="bottom" textRotation="0" wrapText="0" indent="0" justifyLastLine="0" shrinkToFit="0" readingOrder="0"/>
    </dxf>
    <dxf>
      <fill>
        <patternFill patternType="solid">
          <bgColor theme="3" tint="0.59999389629810485"/>
        </patternFill>
      </fill>
    </dxf>
    <dxf>
      <fill>
        <patternFill patternType="solid">
          <bgColor theme="3" tint="0.59999389629810485"/>
        </patternFill>
      </fill>
    </dxf>
    <dxf>
      <numFmt numFmtId="164" formatCode="_(* #,##0_);_(* \(#,##0\);_(* &quot;-&quot;??_);_(@_)"/>
    </dxf>
    <dxf>
      <numFmt numFmtId="165" formatCode="_(* #,##0.0_);_(* \(#,##0.0\);_(* &quot;-&quot;??_);_(@_)"/>
    </dxf>
    <dxf>
      <numFmt numFmtId="35" formatCode="_(* #,##0.00_);_(* \(#,##0.00\);_(* &quot;-&quot;??_);_(@_)"/>
    </dxf>
    <dxf>
      <numFmt numFmtId="1" formatCode="0"/>
    </dxf>
    <dxf>
      <numFmt numFmtId="170" formatCode="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top style="thin">
          <color indexed="64"/>
        </top>
        <bottom style="double">
          <color indexed="64"/>
        </bottom>
      </border>
    </dxf>
    <dxf>
      <numFmt numFmtId="3" formatCode="#,##0"/>
    </dxf>
    <dxf>
      <numFmt numFmtId="35" formatCode="_(* #,##0.00_);_(* \(#,##0.00\);_(* &quot;-&quot;??_);_(@_)"/>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numFmt numFmtId="164" formatCode="_(* #,##0_);_(* \(#,##0\);_(* &quot;-&quot;??_);_(@_)"/>
    </dxf>
    <dxf>
      <numFmt numFmtId="165" formatCode="_(* #,##0.0_);_(* \(#,##0.0\);_(* &quot;-&quot;??_);_(@_)"/>
    </dxf>
    <dxf>
      <numFmt numFmtId="35" formatCode="_(* #,##0.00_);_(* \(#,##0.00\);_(* &quot;-&quot;??_);_(@_)"/>
    </dxf>
    <dxf>
      <numFmt numFmtId="171" formatCode="_(* #,##0.000_);_(* \(#,##0.000\);_(* &quot;-&quot;??_);_(@_)"/>
    </dxf>
    <dxf>
      <numFmt numFmtId="35" formatCode="_(* #,##0.00_);_(* \(#,##0.00\);_(* &quot;-&quot;??_);_(@_)"/>
    </dxf>
    <dxf>
      <border>
        <bottom style="double">
          <color indexed="64"/>
        </bottom>
      </bord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2" formatCode="0.00"/>
    </dxf>
    <dxf>
      <fill>
        <patternFill patternType="solid">
          <bgColor theme="3" tint="0.59999389629810485"/>
        </patternFill>
      </fill>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3" tint="0.59999389629810485"/>
        </patternFill>
      </fill>
      <alignment horizontal="general" vertical="bottom" textRotation="0" wrapText="0" indent="0" justifyLastLine="0" shrinkToFit="0" readingOrder="0"/>
    </dxf>
    <dxf>
      <fill>
        <patternFill patternType="solid">
          <bgColor theme="3" tint="0.59999389629810485"/>
        </patternFill>
      </fill>
    </dxf>
    <dxf>
      <numFmt numFmtId="35" formatCode="_(* #,##0.00_);_(* \(#,##0.00\);_(* &quot;-&quot;??_);_(@_)"/>
    </dxf>
    <dxf>
      <fill>
        <patternFill patternType="solid">
          <bgColor theme="3" tint="0.59999389629810485"/>
        </patternFill>
      </fill>
    </dxf>
    <dxf>
      <fill>
        <patternFill patternType="solid">
          <bgColor theme="3" tint="0.59999389629810485"/>
        </patternFill>
      </fill>
    </dxf>
    <dxf>
      <numFmt numFmtId="164" formatCode="_(* #,##0_);_(* \(#,##0\);_(* &quot;-&quot;??_);_(@_)"/>
    </dxf>
    <dxf>
      <numFmt numFmtId="165" formatCode="_(* #,##0.0_);_(* \(#,##0.0\);_(* &quot;-&quot;??_);_(@_)"/>
    </dxf>
    <dxf>
      <numFmt numFmtId="35" formatCode="_(* #,##0.00_);_(* \(#,##0.00\);_(* &quot;-&quot;??_);_(@_)"/>
    </dxf>
    <dxf>
      <numFmt numFmtId="1" formatCode="0"/>
    </dxf>
    <dxf>
      <numFmt numFmtId="170" formatCode="0.0"/>
    </dxf>
    <dxf>
      <numFmt numFmtId="164" formatCode="_(* #,##0_);_(* \(#,##0\);_(* &quot;-&quot;??_);_(@_)"/>
    </dxf>
    <dxf>
      <numFmt numFmtId="165" formatCode="_(* #,##0.0_);_(* \(#,##0.0\);_(* &quot;-&quot;??_);_(@_)"/>
    </dxf>
    <dxf>
      <border>
        <bottom style="double">
          <color indexed="64"/>
        </bottom>
      </border>
    </dxf>
    <dxf>
      <border>
        <bottom style="double">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3" tint="0.59999389629810485"/>
        </patternFill>
      </fill>
      <alignment horizontal="general" vertical="bottom" textRotation="0" wrapText="0" indent="0" justifyLastLine="0" shrinkToFit="0" readingOrder="0"/>
    </dxf>
    <dxf>
      <fill>
        <patternFill patternType="solid">
          <fgColor indexed="64"/>
          <bgColor theme="3" tint="0.59999389629810485"/>
        </patternFill>
      </fill>
    </dxf>
    <dxf>
      <numFmt numFmtId="35" formatCode="_(* #,##0.00_);_(* \(#,##0.00\);_(* &quot;-&quot;??_);_(@_)"/>
    </dxf>
    <dxf>
      <fill>
        <patternFill patternType="solid">
          <bgColor theme="3" tint="0.59999389629810485"/>
        </patternFill>
      </fill>
    </dxf>
    <dxf>
      <numFmt numFmtId="164" formatCode="_(* #,##0_);_(* \(#,##0\);_(* &quot;-&quot;??_);_(@_)"/>
    </dxf>
    <dxf>
      <numFmt numFmtId="165" formatCode="_(* #,##0.0_);_(* \(#,##0.0\);_(* &quot;-&quot;??_);_(@_)"/>
    </dxf>
    <dxf>
      <numFmt numFmtId="164" formatCode="_(* #,##0_);_(* \(#,##0\);_(* &quot;-&quot;??_);_(@_)"/>
    </dxf>
    <dxf>
      <numFmt numFmtId="165" formatCode="_(* #,##0.0_);_(* \(#,##0.0\);_(* &quot;-&quot;??_);_(@_)"/>
    </dxf>
    <dxf>
      <numFmt numFmtId="164" formatCode="_(* #,##0_);_(* \(#,##0\);_(* &quot;-&quot;??_);_(@_)"/>
    </dxf>
    <dxf>
      <numFmt numFmtId="165" formatCode="_(* #,##0.0_);_(* \(#,##0.0\);_(* &quot;-&quot;??_);_(@_)"/>
    </dxf>
    <dxf>
      <numFmt numFmtId="3" formatCode="#,##0"/>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3" tint="0.59999389629810485"/>
        </patternFill>
      </fill>
      <alignment horizontal="general" vertical="bottom" textRotation="0" wrapText="0" indent="0" justifyLastLine="0" shrinkToFit="0" readingOrder="0"/>
    </dxf>
    <dxf>
      <fill>
        <patternFill patternType="solid">
          <bgColor theme="3" tint="0.59999389629810485"/>
        </patternFill>
      </fill>
    </dxf>
    <dxf>
      <fill>
        <patternFill patternType="solid">
          <bgColor theme="3" tint="0.59999389629810485"/>
        </patternFill>
      </fill>
    </dxf>
    <dxf>
      <numFmt numFmtId="35" formatCode="_(* #,##0.00_);_(* \(#,##0.00\);_(* &quot;-&quot;??_);_(@_)"/>
    </dxf>
    <dxf>
      <numFmt numFmtId="164" formatCode="_(* #,##0_);_(* \(#,##0\);_(* &quot;-&quot;??_);_(@_)"/>
    </dxf>
    <dxf>
      <numFmt numFmtId="164" formatCode="_(* #,##0_);_(* \(#,##0\);_(* &quot;-&quot;??_);_(@_)"/>
    </dxf>
    <dxf>
      <numFmt numFmtId="164" formatCode="_(* #,##0_);_(* \(#,##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5" formatCode="_(* #,##0.0_);_(* \(#,##0.0\);_(* &quot;-&quot;??_);_(@_)"/>
    </dxf>
    <dxf>
      <numFmt numFmtId="165" formatCode="_(* #,##0.0_);_(* \(#,##0.0\);_(* &quot;-&quot;??_);_(@_)"/>
    </dxf>
    <dxf>
      <numFmt numFmtId="165" formatCode="_(* #,##0.0_);_(* \(#,##0.0\);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sheriff/Desktop/Budget%20Transfer/Dec%20-%202022%20Budget%20performance%20-%20Ope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3">
          <cell r="F3" t="str">
            <v>GL Account Combination</v>
          </cell>
          <cell r="G3" t="str">
            <v>Annual Budget</v>
          </cell>
          <cell r="H3" t="str">
            <v>Revised Budget</v>
          </cell>
          <cell r="I3" t="str">
            <v>Actual Amount</v>
          </cell>
          <cell r="J3" t="str">
            <v>PR</v>
          </cell>
          <cell r="K3" t="str">
            <v>PO</v>
          </cell>
          <cell r="L3" t="str">
            <v>Fund Available</v>
          </cell>
        </row>
        <row r="4">
          <cell r="F4" t="str">
            <v>847.8470110.1.420550.000000.847001.200179</v>
          </cell>
          <cell r="G4">
            <v>30000</v>
          </cell>
          <cell r="H4">
            <v>27000</v>
          </cell>
          <cell r="I4"/>
          <cell r="J4"/>
          <cell r="K4"/>
          <cell r="L4">
            <v>27000</v>
          </cell>
        </row>
        <row r="5">
          <cell r="F5" t="str">
            <v>847.8470110.1.420570.000000.847001.200179</v>
          </cell>
          <cell r="G5">
            <v>3705121</v>
          </cell>
          <cell r="H5">
            <v>1</v>
          </cell>
          <cell r="I5"/>
          <cell r="J5"/>
          <cell r="K5"/>
          <cell r="L5">
            <v>1</v>
          </cell>
        </row>
        <row r="6">
          <cell r="F6" t="str">
            <v>847.8470110.1.420900.000000.847001.200179</v>
          </cell>
          <cell r="G6">
            <v>1500</v>
          </cell>
          <cell r="H6">
            <v>4500</v>
          </cell>
          <cell r="I6"/>
          <cell r="J6"/>
          <cell r="K6"/>
          <cell r="L6">
            <v>4500</v>
          </cell>
        </row>
        <row r="7">
          <cell r="F7" t="str">
            <v>847.8470110.1.421000.000000.847001.200179</v>
          </cell>
          <cell r="G7">
            <v>200000</v>
          </cell>
          <cell r="H7">
            <v>149972</v>
          </cell>
          <cell r="I7"/>
          <cell r="J7"/>
          <cell r="K7"/>
          <cell r="L7">
            <v>149972</v>
          </cell>
        </row>
        <row r="8">
          <cell r="F8" t="str">
            <v>847.8470110.1.421700.000000.847001.200179</v>
          </cell>
          <cell r="G8">
            <v>25000</v>
          </cell>
          <cell r="H8">
            <v>25000</v>
          </cell>
          <cell r="I8"/>
          <cell r="J8"/>
          <cell r="K8"/>
          <cell r="L8">
            <v>25000</v>
          </cell>
        </row>
        <row r="9">
          <cell r="F9" t="str">
            <v>847.8470110.1.425510.000000.847001.200179</v>
          </cell>
          <cell r="G9">
            <v>300000</v>
          </cell>
          <cell r="H9">
            <v>300000</v>
          </cell>
          <cell r="I9">
            <v>49845</v>
          </cell>
          <cell r="J9"/>
          <cell r="K9"/>
          <cell r="L9">
            <v>250155</v>
          </cell>
        </row>
        <row r="10">
          <cell r="F10" t="str">
            <v>847.8470110.1.425550.000000.847001.200179</v>
          </cell>
          <cell r="G10">
            <v>300000</v>
          </cell>
          <cell r="H10">
            <v>300000</v>
          </cell>
          <cell r="I10">
            <v>2600</v>
          </cell>
          <cell r="J10"/>
          <cell r="K10"/>
          <cell r="L10">
            <v>297400</v>
          </cell>
        </row>
        <row r="11">
          <cell r="F11" t="str">
            <v>847.8470110.1.425900.000000.847001.200179</v>
          </cell>
          <cell r="G11">
            <v>10000</v>
          </cell>
          <cell r="H11">
            <v>39425</v>
          </cell>
          <cell r="I11">
            <v>7586.25</v>
          </cell>
          <cell r="J11"/>
          <cell r="K11"/>
          <cell r="L11">
            <v>31838.75</v>
          </cell>
        </row>
        <row r="12">
          <cell r="F12" t="str">
            <v>847.8470110.1.426610.000000.847001.200179</v>
          </cell>
          <cell r="G12">
            <v>518388</v>
          </cell>
          <cell r="H12">
            <v>508388</v>
          </cell>
          <cell r="I12">
            <v>42239.5</v>
          </cell>
          <cell r="J12"/>
          <cell r="K12"/>
          <cell r="L12">
            <v>466148.5</v>
          </cell>
        </row>
        <row r="13">
          <cell r="F13" t="str">
            <v>847.8470110.1.428090.000000.847001.200179</v>
          </cell>
          <cell r="G13">
            <v>1000000</v>
          </cell>
          <cell r="H13">
            <v>276463</v>
          </cell>
          <cell r="I13">
            <v>261940.5</v>
          </cell>
          <cell r="J13"/>
          <cell r="K13"/>
          <cell r="L13">
            <v>14522.5</v>
          </cell>
        </row>
        <row r="14">
          <cell r="F14" t="str">
            <v>847.8470110.1.428400.000000.847001.200179</v>
          </cell>
          <cell r="G14">
            <v>50000</v>
          </cell>
          <cell r="H14">
            <v>50000</v>
          </cell>
          <cell r="I14"/>
          <cell r="J14"/>
          <cell r="K14"/>
          <cell r="L14">
            <v>50000</v>
          </cell>
        </row>
        <row r="15">
          <cell r="F15" t="str">
            <v>847.8470110.1.428640.000000.847001.200179</v>
          </cell>
          <cell r="G15">
            <v>100000</v>
          </cell>
          <cell r="H15">
            <v>50745</v>
          </cell>
          <cell r="I15"/>
          <cell r="J15"/>
          <cell r="K15"/>
          <cell r="L15">
            <v>50745</v>
          </cell>
        </row>
        <row r="16">
          <cell r="F16" t="str">
            <v>847.8470120.1.420120.000000.847001.200179</v>
          </cell>
          <cell r="G16">
            <v>500000</v>
          </cell>
          <cell r="H16">
            <v>550028</v>
          </cell>
          <cell r="I16">
            <v>306043</v>
          </cell>
          <cell r="J16">
            <v>0</v>
          </cell>
          <cell r="K16">
            <v>243985</v>
          </cell>
          <cell r="L16">
            <v>0</v>
          </cell>
        </row>
        <row r="17">
          <cell r="F17" t="str">
            <v>847.8470130.1.421000.000000.847001.200179</v>
          </cell>
          <cell r="G17">
            <v>720000</v>
          </cell>
          <cell r="H17">
            <v>604900</v>
          </cell>
          <cell r="I17">
            <v>10000</v>
          </cell>
          <cell r="J17"/>
          <cell r="K17"/>
          <cell r="L17">
            <v>594900</v>
          </cell>
        </row>
        <row r="18">
          <cell r="F18" t="str">
            <v>847.8470130.1.426610.000000.847001.200179</v>
          </cell>
          <cell r="G18">
            <v>735000</v>
          </cell>
          <cell r="H18">
            <v>735000</v>
          </cell>
          <cell r="I18"/>
          <cell r="J18">
            <v>312205</v>
          </cell>
          <cell r="K18"/>
          <cell r="L18">
            <v>422795</v>
          </cell>
        </row>
        <row r="19">
          <cell r="F19" t="str">
            <v>847.8470130.1.427710.000000.847001.200179</v>
          </cell>
          <cell r="G19">
            <v>0</v>
          </cell>
          <cell r="H19">
            <v>115000</v>
          </cell>
          <cell r="I19">
            <v>114759</v>
          </cell>
          <cell r="J19"/>
          <cell r="K19"/>
          <cell r="L19">
            <v>241</v>
          </cell>
        </row>
        <row r="20">
          <cell r="F20" t="str">
            <v>847.8470130.1.428090.000000.847001.200179</v>
          </cell>
          <cell r="G20">
            <v>180000</v>
          </cell>
          <cell r="H20">
            <v>37543</v>
          </cell>
          <cell r="I20">
            <v>7480</v>
          </cell>
          <cell r="J20"/>
          <cell r="K20"/>
          <cell r="L20">
            <v>30063</v>
          </cell>
        </row>
        <row r="21">
          <cell r="F21" t="str">
            <v>847.8470140.1.425100.000000.847001.200179</v>
          </cell>
          <cell r="G21">
            <v>4578464</v>
          </cell>
          <cell r="H21">
            <v>5297464</v>
          </cell>
          <cell r="I21">
            <v>3128172.31</v>
          </cell>
          <cell r="J21">
            <v>1120343.3600000001</v>
          </cell>
          <cell r="K21">
            <v>890637.45</v>
          </cell>
          <cell r="L21">
            <v>158310.88</v>
          </cell>
        </row>
        <row r="22">
          <cell r="F22" t="str">
            <v>847.8470140.1.425510.000000.847001.200179</v>
          </cell>
          <cell r="G22">
            <v>5425358</v>
          </cell>
          <cell r="H22">
            <v>6467596</v>
          </cell>
          <cell r="I22">
            <v>5051607.4800000004</v>
          </cell>
          <cell r="J22">
            <v>699700</v>
          </cell>
          <cell r="K22">
            <v>642812.32999999996</v>
          </cell>
          <cell r="L22">
            <v>73476.189999999493</v>
          </cell>
        </row>
        <row r="23">
          <cell r="F23" t="str">
            <v>847.8470140.1.425550.000000.847001.200179</v>
          </cell>
          <cell r="G23">
            <v>791955</v>
          </cell>
          <cell r="H23">
            <v>59402</v>
          </cell>
          <cell r="I23">
            <v>2942.71</v>
          </cell>
          <cell r="J23">
            <v>0</v>
          </cell>
          <cell r="K23">
            <v>56458</v>
          </cell>
          <cell r="L23">
            <v>1.29000000000087</v>
          </cell>
        </row>
        <row r="24">
          <cell r="F24" t="str">
            <v>847.8470140.1.425763.000000.847050.200179</v>
          </cell>
          <cell r="G24">
            <v>0</v>
          </cell>
          <cell r="H24">
            <v>453663</v>
          </cell>
          <cell r="I24">
            <v>154662.9</v>
          </cell>
          <cell r="J24">
            <v>249000</v>
          </cell>
          <cell r="K24">
            <v>49975</v>
          </cell>
          <cell r="L24">
            <v>25.099999999976699</v>
          </cell>
        </row>
        <row r="25">
          <cell r="F25" t="str">
            <v>847.8470140.1.427100.000000.847001.200179</v>
          </cell>
          <cell r="G25">
            <v>1157850</v>
          </cell>
          <cell r="H25">
            <v>927677</v>
          </cell>
          <cell r="I25">
            <v>477456.84</v>
          </cell>
          <cell r="J25">
            <v>0</v>
          </cell>
          <cell r="K25">
            <v>432001.91</v>
          </cell>
          <cell r="L25">
            <v>0.74999999994179201</v>
          </cell>
        </row>
        <row r="26">
          <cell r="F26" t="str">
            <v>847.8470140.1.427200.000000.847001.200179</v>
          </cell>
          <cell r="G26">
            <v>750000</v>
          </cell>
          <cell r="H26">
            <v>23654</v>
          </cell>
          <cell r="I26">
            <v>23653.37</v>
          </cell>
          <cell r="J26"/>
          <cell r="K26"/>
          <cell r="L26">
            <v>0.63000000000101897</v>
          </cell>
        </row>
        <row r="27">
          <cell r="F27" t="str">
            <v>847.8470140.1.428640.000000.847001.200179</v>
          </cell>
          <cell r="G27">
            <v>998000</v>
          </cell>
          <cell r="H27">
            <v>221867</v>
          </cell>
          <cell r="I27">
            <v>21975.01</v>
          </cell>
          <cell r="J27">
            <v>0</v>
          </cell>
          <cell r="K27">
            <v>199891</v>
          </cell>
          <cell r="L27">
            <v>0.989999999990687</v>
          </cell>
        </row>
        <row r="28">
          <cell r="F28" t="str">
            <v>847.8470140.1.435310.000000.847001.200179</v>
          </cell>
          <cell r="G28">
            <v>10000</v>
          </cell>
          <cell r="H28">
            <v>1</v>
          </cell>
          <cell r="I28"/>
          <cell r="J28"/>
          <cell r="K28"/>
          <cell r="L28">
            <v>1</v>
          </cell>
        </row>
        <row r="29">
          <cell r="F29" t="str">
            <v>847.8470140.1.435519.000000.847001.200179</v>
          </cell>
          <cell r="G29">
            <v>135000</v>
          </cell>
          <cell r="H29">
            <v>43812</v>
          </cell>
          <cell r="I29">
            <v>43812</v>
          </cell>
          <cell r="J29">
            <v>0</v>
          </cell>
          <cell r="K29">
            <v>0</v>
          </cell>
          <cell r="L29">
            <v>0</v>
          </cell>
        </row>
        <row r="30">
          <cell r="F30" t="str">
            <v>847.8470150.1.420900.000000.847001.200179</v>
          </cell>
          <cell r="G30">
            <v>0</v>
          </cell>
          <cell r="H30">
            <v>82600</v>
          </cell>
          <cell r="I30">
            <v>25452.32</v>
          </cell>
          <cell r="J30"/>
          <cell r="K30"/>
          <cell r="L30">
            <v>57147.68</v>
          </cell>
        </row>
        <row r="31">
          <cell r="F31" t="str">
            <v>847.8470160.1.428090.000000.847001.200179</v>
          </cell>
          <cell r="G31">
            <v>0</v>
          </cell>
          <cell r="H31">
            <v>80000</v>
          </cell>
          <cell r="I31">
            <v>37589.800000000003</v>
          </cell>
          <cell r="J31"/>
          <cell r="K31"/>
          <cell r="L31">
            <v>42410.2</v>
          </cell>
        </row>
        <row r="32">
          <cell r="F32" t="str">
            <v>847.8470210.1.420570.000000.847001.200179</v>
          </cell>
          <cell r="G32">
            <v>0</v>
          </cell>
          <cell r="H32">
            <v>721634</v>
          </cell>
          <cell r="I32"/>
          <cell r="J32"/>
          <cell r="K32"/>
          <cell r="L32">
            <v>721634</v>
          </cell>
        </row>
        <row r="33">
          <cell r="F33" t="str">
            <v>847.8470210.1.425770.000000.847001.200179</v>
          </cell>
          <cell r="G33">
            <v>0</v>
          </cell>
          <cell r="H33">
            <v>680428</v>
          </cell>
          <cell r="I33"/>
          <cell r="J33"/>
          <cell r="K33"/>
          <cell r="L33">
            <v>680428</v>
          </cell>
        </row>
        <row r="34">
          <cell r="F34" t="str">
            <v>847.8470210.1.427200.000000.847001.200179</v>
          </cell>
          <cell r="G34">
            <v>0</v>
          </cell>
          <cell r="H34">
            <v>746464</v>
          </cell>
          <cell r="I34"/>
          <cell r="J34"/>
          <cell r="K34"/>
          <cell r="L34">
            <v>746464</v>
          </cell>
        </row>
        <row r="35">
          <cell r="F35" t="str">
            <v>847.8470210.1.428090.000000.847001.200179</v>
          </cell>
          <cell r="G35">
            <v>0</v>
          </cell>
          <cell r="H35">
            <v>657934</v>
          </cell>
          <cell r="I35"/>
          <cell r="J35"/>
          <cell r="K35"/>
          <cell r="L35">
            <v>657934</v>
          </cell>
        </row>
        <row r="36">
          <cell r="F36" t="str">
            <v>847.8470210.1.428640.000000.847001.200179</v>
          </cell>
          <cell r="G36">
            <v>0</v>
          </cell>
          <cell r="H36">
            <v>808440</v>
          </cell>
          <cell r="I36"/>
          <cell r="J36"/>
          <cell r="K36"/>
          <cell r="L36">
            <v>808440</v>
          </cell>
        </row>
        <row r="37">
          <cell r="F37" t="str">
            <v>847.8470210.1.435350.000000.847001.200179</v>
          </cell>
          <cell r="G37">
            <v>0</v>
          </cell>
          <cell r="H37">
            <v>831496</v>
          </cell>
          <cell r="I37"/>
          <cell r="J37"/>
          <cell r="K37"/>
          <cell r="L37">
            <v>831496</v>
          </cell>
        </row>
        <row r="38">
          <cell r="F38" t="str">
            <v>847.8470210.1.435523.000000.847001.200179</v>
          </cell>
          <cell r="G38">
            <v>0</v>
          </cell>
          <cell r="H38">
            <v>3688486</v>
          </cell>
          <cell r="I38"/>
          <cell r="J38"/>
          <cell r="K38"/>
          <cell r="L38">
            <v>3688486</v>
          </cell>
        </row>
        <row r="39">
          <cell r="F39" t="str">
            <v>847.8470220.1.420550.000000.847001.200179</v>
          </cell>
          <cell r="G39">
            <v>60000</v>
          </cell>
          <cell r="H39">
            <v>59500</v>
          </cell>
          <cell r="I39">
            <v>970.85</v>
          </cell>
          <cell r="J39"/>
          <cell r="K39"/>
          <cell r="L39">
            <v>58529.15</v>
          </cell>
        </row>
        <row r="40">
          <cell r="F40" t="str">
            <v>847.8470220.1.420570.000000.847001.200179</v>
          </cell>
          <cell r="G40">
            <v>492387</v>
          </cell>
          <cell r="H40">
            <v>373637</v>
          </cell>
          <cell r="I40">
            <v>163796.35</v>
          </cell>
          <cell r="J40">
            <v>0</v>
          </cell>
          <cell r="K40">
            <v>0</v>
          </cell>
          <cell r="L40">
            <v>209840.65</v>
          </cell>
        </row>
        <row r="41">
          <cell r="F41" t="str">
            <v>847.8470220.1.421700.000000.847001.200179</v>
          </cell>
          <cell r="G41">
            <v>375000</v>
          </cell>
          <cell r="H41">
            <v>375000</v>
          </cell>
          <cell r="I41"/>
          <cell r="J41"/>
          <cell r="K41"/>
          <cell r="L41">
            <v>375000</v>
          </cell>
        </row>
        <row r="42">
          <cell r="F42" t="str">
            <v>847.8470220.1.425510.000000.847001.200179</v>
          </cell>
          <cell r="G42">
            <v>10000</v>
          </cell>
          <cell r="H42">
            <v>23750</v>
          </cell>
          <cell r="I42">
            <v>13750</v>
          </cell>
          <cell r="J42"/>
          <cell r="K42"/>
          <cell r="L42">
            <v>10000</v>
          </cell>
        </row>
        <row r="43">
          <cell r="F43" t="str">
            <v>847.8470220.1.425550.000000.847001.200179</v>
          </cell>
          <cell r="G43">
            <v>25000</v>
          </cell>
          <cell r="H43">
            <v>25000</v>
          </cell>
          <cell r="I43">
            <v>13790</v>
          </cell>
          <cell r="J43"/>
          <cell r="K43"/>
          <cell r="L43">
            <v>11210</v>
          </cell>
        </row>
        <row r="44">
          <cell r="F44" t="str">
            <v>847.8470220.1.425740.000000.847001.200179</v>
          </cell>
          <cell r="G44">
            <v>694710</v>
          </cell>
          <cell r="H44">
            <v>694710</v>
          </cell>
          <cell r="I44"/>
          <cell r="J44"/>
          <cell r="K44"/>
          <cell r="L44">
            <v>694710</v>
          </cell>
        </row>
        <row r="45">
          <cell r="F45" t="str">
            <v>847.8470220.1.425900.000000.847001.200179</v>
          </cell>
          <cell r="G45">
            <v>12000</v>
          </cell>
          <cell r="H45">
            <v>17787</v>
          </cell>
          <cell r="I45">
            <v>17142.599999999999</v>
          </cell>
          <cell r="J45"/>
          <cell r="K45"/>
          <cell r="L45">
            <v>644.400000000001</v>
          </cell>
        </row>
        <row r="46">
          <cell r="F46" t="str">
            <v>847.8470220.1.426610.000000.847001.200179</v>
          </cell>
          <cell r="G46">
            <v>50000</v>
          </cell>
          <cell r="H46">
            <v>50000</v>
          </cell>
          <cell r="I46"/>
          <cell r="J46"/>
          <cell r="K46"/>
          <cell r="L46">
            <v>50000</v>
          </cell>
        </row>
        <row r="47">
          <cell r="F47" t="str">
            <v>847.8470220.1.428090.000000.847001.200179</v>
          </cell>
          <cell r="G47">
            <v>65500</v>
          </cell>
          <cell r="H47">
            <v>45092</v>
          </cell>
          <cell r="I47">
            <v>33100</v>
          </cell>
          <cell r="J47"/>
          <cell r="K47"/>
          <cell r="L47">
            <v>11992</v>
          </cell>
        </row>
        <row r="48">
          <cell r="F48" t="str">
            <v>847.8470220.1.428640.000000.847001.200179</v>
          </cell>
          <cell r="G48">
            <v>20000</v>
          </cell>
          <cell r="H48">
            <v>13262</v>
          </cell>
          <cell r="I48">
            <v>6320</v>
          </cell>
          <cell r="J48">
            <v>0</v>
          </cell>
          <cell r="K48">
            <v>0</v>
          </cell>
          <cell r="L48">
            <v>6942</v>
          </cell>
        </row>
        <row r="49">
          <cell r="F49" t="str">
            <v>847.8470220.1.432205.000000.847001.200179</v>
          </cell>
          <cell r="G49">
            <v>10000</v>
          </cell>
          <cell r="H49">
            <v>10000</v>
          </cell>
          <cell r="I49">
            <v>4648</v>
          </cell>
          <cell r="J49"/>
          <cell r="K49"/>
          <cell r="L49">
            <v>5352</v>
          </cell>
        </row>
        <row r="50">
          <cell r="F50" t="str">
            <v>847.8470230.1.420550.000000.847001.200179</v>
          </cell>
          <cell r="G50">
            <v>1020620</v>
          </cell>
          <cell r="H50">
            <v>1020620</v>
          </cell>
          <cell r="I50">
            <v>33110</v>
          </cell>
          <cell r="J50"/>
          <cell r="K50"/>
          <cell r="L50">
            <v>987510</v>
          </cell>
        </row>
        <row r="51">
          <cell r="F51" t="str">
            <v>847.8470230.1.425100.000000.847001.200179</v>
          </cell>
          <cell r="G51">
            <v>300000</v>
          </cell>
          <cell r="H51">
            <v>300000</v>
          </cell>
          <cell r="I51"/>
          <cell r="J51"/>
          <cell r="K51"/>
          <cell r="L51">
            <v>300000</v>
          </cell>
        </row>
        <row r="52">
          <cell r="F52" t="str">
            <v>847.8470230.1.425510.000000.847001.200179</v>
          </cell>
          <cell r="G52">
            <v>34000</v>
          </cell>
          <cell r="H52">
            <v>34000</v>
          </cell>
          <cell r="I52">
            <v>9463</v>
          </cell>
          <cell r="J52"/>
          <cell r="K52"/>
          <cell r="L52">
            <v>24537</v>
          </cell>
        </row>
        <row r="53">
          <cell r="F53" t="str">
            <v>847.8470230.1.425550.000000.847001.200179</v>
          </cell>
          <cell r="G53">
            <v>222000</v>
          </cell>
          <cell r="H53">
            <v>222000</v>
          </cell>
          <cell r="I53">
            <v>180813.12</v>
          </cell>
          <cell r="J53"/>
          <cell r="K53"/>
          <cell r="L53">
            <v>41186.879999999997</v>
          </cell>
        </row>
        <row r="54">
          <cell r="F54" t="str">
            <v>847.8470230.1.425743.000000.847001.200179</v>
          </cell>
          <cell r="G54">
            <v>240000</v>
          </cell>
          <cell r="H54">
            <v>240000</v>
          </cell>
          <cell r="I54">
            <v>240000</v>
          </cell>
          <cell r="J54"/>
          <cell r="K54"/>
          <cell r="L54">
            <v>0</v>
          </cell>
        </row>
        <row r="55">
          <cell r="F55" t="str">
            <v>847.8470230.1.425744.000000.847001.200179</v>
          </cell>
          <cell r="G55">
            <v>4816800</v>
          </cell>
          <cell r="H55">
            <v>4716106</v>
          </cell>
          <cell r="I55">
            <v>2899455.57</v>
          </cell>
          <cell r="J55"/>
          <cell r="K55"/>
          <cell r="L55">
            <v>1816650.43</v>
          </cell>
        </row>
        <row r="56">
          <cell r="F56" t="str">
            <v>847.8470230.1.425745.000000.847001.200179</v>
          </cell>
          <cell r="G56">
            <v>1971263</v>
          </cell>
          <cell r="H56">
            <v>1971263</v>
          </cell>
          <cell r="I56">
            <v>1741016.35</v>
          </cell>
          <cell r="J56"/>
          <cell r="K56"/>
          <cell r="L56">
            <v>230246.649999999</v>
          </cell>
        </row>
        <row r="57">
          <cell r="F57" t="str">
            <v>847.8470230.1.425749.000000.847001.200179</v>
          </cell>
          <cell r="G57">
            <v>110824684</v>
          </cell>
          <cell r="H57">
            <v>117580684</v>
          </cell>
          <cell r="I57">
            <v>106778498.65000001</v>
          </cell>
          <cell r="J57"/>
          <cell r="K57"/>
          <cell r="L57">
            <v>10802185.349999901</v>
          </cell>
        </row>
        <row r="58">
          <cell r="F58" t="str">
            <v>847.8470230.1.425761.000000.847001.200179</v>
          </cell>
          <cell r="G58">
            <v>150000</v>
          </cell>
          <cell r="H58">
            <v>150000</v>
          </cell>
          <cell r="I58"/>
          <cell r="J58"/>
          <cell r="K58"/>
          <cell r="L58">
            <v>150000</v>
          </cell>
        </row>
        <row r="59">
          <cell r="F59" t="str">
            <v>847.8470230.1.425762.000000.847001.200179</v>
          </cell>
          <cell r="G59">
            <v>150000</v>
          </cell>
          <cell r="H59">
            <v>150000</v>
          </cell>
          <cell r="I59">
            <v>63860.57</v>
          </cell>
          <cell r="J59"/>
          <cell r="K59"/>
          <cell r="L59">
            <v>86139.43</v>
          </cell>
        </row>
        <row r="60">
          <cell r="F60" t="str">
            <v>847.8470230.1.425900.000000.847001.200179</v>
          </cell>
          <cell r="G60">
            <v>45648</v>
          </cell>
          <cell r="H60">
            <v>45648</v>
          </cell>
          <cell r="I60">
            <v>1236.25</v>
          </cell>
          <cell r="J60"/>
          <cell r="K60"/>
          <cell r="L60">
            <v>44411.75</v>
          </cell>
        </row>
        <row r="61">
          <cell r="F61" t="str">
            <v>847.8470230.1.426610.000000.847001.200179</v>
          </cell>
          <cell r="G61">
            <v>10000</v>
          </cell>
          <cell r="H61">
            <v>10000</v>
          </cell>
          <cell r="I61"/>
          <cell r="J61"/>
          <cell r="K61"/>
          <cell r="L61">
            <v>10000</v>
          </cell>
        </row>
        <row r="62">
          <cell r="F62" t="str">
            <v>847.8470230.1.428090.000000.847001.200179</v>
          </cell>
          <cell r="G62">
            <v>97000</v>
          </cell>
          <cell r="H62">
            <v>26429</v>
          </cell>
          <cell r="I62"/>
          <cell r="J62"/>
          <cell r="K62"/>
          <cell r="L62">
            <v>26429</v>
          </cell>
        </row>
        <row r="63">
          <cell r="F63" t="str">
            <v>847.8470230.1.428640.000000.847001.200179</v>
          </cell>
          <cell r="G63">
            <v>80000</v>
          </cell>
          <cell r="H63">
            <v>40596</v>
          </cell>
          <cell r="I63"/>
          <cell r="J63"/>
          <cell r="K63"/>
          <cell r="L63">
            <v>40596</v>
          </cell>
        </row>
        <row r="64">
          <cell r="F64" t="str">
            <v>847.8470230.1.436110.000000.847001.200179</v>
          </cell>
          <cell r="G64">
            <v>5000</v>
          </cell>
          <cell r="H64">
            <v>5000</v>
          </cell>
          <cell r="I64"/>
          <cell r="J64"/>
          <cell r="K64"/>
          <cell r="L64">
            <v>5000</v>
          </cell>
        </row>
        <row r="65">
          <cell r="F65" t="str">
            <v>847.8470305.1.420550.000000.847001.200179</v>
          </cell>
          <cell r="G65">
            <v>10000</v>
          </cell>
          <cell r="H65">
            <v>100000</v>
          </cell>
          <cell r="I65">
            <v>93634.54</v>
          </cell>
          <cell r="J65"/>
          <cell r="K65"/>
          <cell r="L65">
            <v>6365.45999999999</v>
          </cell>
        </row>
        <row r="66">
          <cell r="F66" t="str">
            <v>847.8470305.1.420570.000000.847001.200179</v>
          </cell>
          <cell r="G66">
            <v>10000</v>
          </cell>
          <cell r="H66">
            <v>10000</v>
          </cell>
          <cell r="I66"/>
          <cell r="J66"/>
          <cell r="K66"/>
          <cell r="L66">
            <v>10000</v>
          </cell>
        </row>
        <row r="67">
          <cell r="F67" t="str">
            <v>847.8470305.1.421700.000000.847001.200179</v>
          </cell>
          <cell r="G67">
            <v>506004</v>
          </cell>
          <cell r="H67">
            <v>506004</v>
          </cell>
          <cell r="I67">
            <v>143070.39999999999</v>
          </cell>
          <cell r="J67"/>
          <cell r="K67"/>
          <cell r="L67">
            <v>362933.6</v>
          </cell>
        </row>
        <row r="68">
          <cell r="F68" t="str">
            <v>847.8470305.1.425510.000000.847001.200179</v>
          </cell>
          <cell r="G68">
            <v>20000</v>
          </cell>
          <cell r="H68">
            <v>20000</v>
          </cell>
          <cell r="I68">
            <v>12614.75</v>
          </cell>
          <cell r="J68"/>
          <cell r="K68"/>
          <cell r="L68">
            <v>7385.25</v>
          </cell>
        </row>
        <row r="69">
          <cell r="F69" t="str">
            <v>847.8470305.1.425763.000000.847001.200179</v>
          </cell>
          <cell r="G69">
            <v>100000</v>
          </cell>
          <cell r="H69">
            <v>170000</v>
          </cell>
          <cell r="I69">
            <v>52243.54</v>
          </cell>
          <cell r="J69">
            <v>112260.3</v>
          </cell>
          <cell r="K69"/>
          <cell r="L69">
            <v>5496.16</v>
          </cell>
        </row>
        <row r="70">
          <cell r="F70" t="str">
            <v>847.8470305.1.425770.000000.847001.200179</v>
          </cell>
          <cell r="G70">
            <v>704499</v>
          </cell>
          <cell r="H70">
            <v>544999</v>
          </cell>
          <cell r="I70">
            <v>121584.62</v>
          </cell>
          <cell r="J70"/>
          <cell r="K70"/>
          <cell r="L70">
            <v>423414.38</v>
          </cell>
        </row>
        <row r="71">
          <cell r="F71" t="str">
            <v>847.8470305.1.425900.000000.847001.200179</v>
          </cell>
          <cell r="G71">
            <v>18000</v>
          </cell>
          <cell r="H71">
            <v>18000</v>
          </cell>
          <cell r="I71">
            <v>9738.75</v>
          </cell>
          <cell r="J71"/>
          <cell r="K71"/>
          <cell r="L71">
            <v>5520.75</v>
          </cell>
        </row>
        <row r="72">
          <cell r="F72" t="str">
            <v>847.8470305.1.426610.000000.847001.200179</v>
          </cell>
          <cell r="G72">
            <v>100000</v>
          </cell>
          <cell r="H72">
            <v>100000</v>
          </cell>
          <cell r="I72">
            <v>46943.25</v>
          </cell>
          <cell r="J72">
            <v>0</v>
          </cell>
          <cell r="K72">
            <v>0</v>
          </cell>
          <cell r="L72">
            <v>53056.75</v>
          </cell>
        </row>
        <row r="73">
          <cell r="F73" t="str">
            <v>847.8470305.1.428090.000000.847001.200179</v>
          </cell>
          <cell r="G73">
            <v>35000</v>
          </cell>
          <cell r="H73">
            <v>25464</v>
          </cell>
          <cell r="I73"/>
          <cell r="J73"/>
          <cell r="K73"/>
          <cell r="L73">
            <v>25464</v>
          </cell>
        </row>
        <row r="74">
          <cell r="F74" t="str">
            <v>847.8470305.1.428640.000000.847001.200179</v>
          </cell>
          <cell r="G74">
            <v>45000</v>
          </cell>
          <cell r="H74">
            <v>22835</v>
          </cell>
          <cell r="I74"/>
          <cell r="J74"/>
          <cell r="K74"/>
          <cell r="L74">
            <v>22835</v>
          </cell>
        </row>
        <row r="75">
          <cell r="F75" t="str">
            <v>847.8470305.1.432209.000000.847001.200179</v>
          </cell>
          <cell r="G75">
            <v>45292</v>
          </cell>
          <cell r="H75">
            <v>45292</v>
          </cell>
          <cell r="I75">
            <v>43796.32</v>
          </cell>
          <cell r="J75"/>
          <cell r="K75">
            <v>0</v>
          </cell>
          <cell r="L75">
            <v>1495.68</v>
          </cell>
        </row>
        <row r="76">
          <cell r="F76" t="str">
            <v>847.8470305.1.435350.000000.847001.200179</v>
          </cell>
          <cell r="G76">
            <v>260000</v>
          </cell>
          <cell r="H76">
            <v>146906</v>
          </cell>
          <cell r="I76">
            <v>20510.169999999998</v>
          </cell>
          <cell r="J76"/>
          <cell r="K76"/>
          <cell r="L76">
            <v>126395.83</v>
          </cell>
        </row>
        <row r="77">
          <cell r="F77" t="str">
            <v>847.8470305.1.435508.000000.847001.200179</v>
          </cell>
          <cell r="G77">
            <v>100000</v>
          </cell>
          <cell r="H77">
            <v>65000</v>
          </cell>
          <cell r="I77">
            <v>60685</v>
          </cell>
          <cell r="J77">
            <v>0</v>
          </cell>
          <cell r="K77">
            <v>0</v>
          </cell>
          <cell r="L77">
            <v>4315</v>
          </cell>
        </row>
        <row r="78">
          <cell r="F78" t="str">
            <v>847.8470305.1.436600.000000.847001.200179</v>
          </cell>
          <cell r="G78">
            <v>25000</v>
          </cell>
          <cell r="H78">
            <v>25000</v>
          </cell>
          <cell r="I78"/>
          <cell r="J78"/>
          <cell r="K78"/>
          <cell r="L78">
            <v>25000</v>
          </cell>
        </row>
        <row r="79">
          <cell r="F79" t="str">
            <v>847.8470310.1.420550.000000.847001.200179</v>
          </cell>
          <cell r="G79">
            <v>20000</v>
          </cell>
          <cell r="H79">
            <v>20000</v>
          </cell>
          <cell r="I79"/>
          <cell r="J79"/>
          <cell r="K79"/>
          <cell r="L79">
            <v>20000</v>
          </cell>
        </row>
        <row r="80">
          <cell r="F80" t="str">
            <v>847.8470310.1.425510.000000.847001.200179</v>
          </cell>
          <cell r="G80">
            <v>15000</v>
          </cell>
          <cell r="H80">
            <v>15000</v>
          </cell>
          <cell r="I80">
            <v>5330</v>
          </cell>
          <cell r="J80"/>
          <cell r="K80"/>
          <cell r="L80">
            <v>9082</v>
          </cell>
        </row>
        <row r="81">
          <cell r="F81" t="str">
            <v>847.8470310.1.425760.000000.847001.200179</v>
          </cell>
          <cell r="G81">
            <v>150000</v>
          </cell>
          <cell r="H81">
            <v>142000</v>
          </cell>
          <cell r="I81">
            <v>142000</v>
          </cell>
          <cell r="J81"/>
          <cell r="K81"/>
          <cell r="L81">
            <v>0</v>
          </cell>
        </row>
        <row r="82">
          <cell r="F82" t="str">
            <v>847.8470310.1.425763.000000.847001.200179</v>
          </cell>
          <cell r="G82">
            <v>350000</v>
          </cell>
          <cell r="H82">
            <v>350000</v>
          </cell>
          <cell r="I82">
            <v>347979.89</v>
          </cell>
          <cell r="J82"/>
          <cell r="K82"/>
          <cell r="L82">
            <v>2020.1099999999899</v>
          </cell>
        </row>
        <row r="83">
          <cell r="F83" t="str">
            <v>847.8470310.1.425770.000000.847001.200179</v>
          </cell>
          <cell r="G83">
            <v>210000</v>
          </cell>
          <cell r="H83">
            <v>70188</v>
          </cell>
          <cell r="I83">
            <v>69894.84</v>
          </cell>
          <cell r="J83"/>
          <cell r="K83"/>
          <cell r="L83">
            <v>293.16000000000298</v>
          </cell>
        </row>
        <row r="84">
          <cell r="F84" t="str">
            <v>847.8470310.1.425900.000000.847001.200179</v>
          </cell>
          <cell r="G84">
            <v>8500</v>
          </cell>
          <cell r="H84">
            <v>8500</v>
          </cell>
          <cell r="I84">
            <v>4600</v>
          </cell>
          <cell r="J84"/>
          <cell r="K84"/>
          <cell r="L84">
            <v>3900</v>
          </cell>
        </row>
        <row r="85">
          <cell r="F85" t="str">
            <v>847.8470310.1.426610.000000.847001.200179</v>
          </cell>
          <cell r="G85">
            <v>9114</v>
          </cell>
          <cell r="H85">
            <v>9114</v>
          </cell>
          <cell r="I85">
            <v>8895.2800000000007</v>
          </cell>
          <cell r="J85"/>
          <cell r="K85"/>
          <cell r="L85">
            <v>218.719999999999</v>
          </cell>
        </row>
        <row r="86">
          <cell r="F86" t="str">
            <v>847.8470310.1.428090.000000.847001.200179</v>
          </cell>
          <cell r="G86">
            <v>40000</v>
          </cell>
          <cell r="H86">
            <v>14536</v>
          </cell>
          <cell r="I86">
            <v>3300</v>
          </cell>
          <cell r="J86"/>
          <cell r="K86"/>
          <cell r="L86">
            <v>11236</v>
          </cell>
        </row>
        <row r="87">
          <cell r="F87" t="str">
            <v>847.8470310.1.432209.000000.847001.200179</v>
          </cell>
          <cell r="G87">
            <v>80000</v>
          </cell>
          <cell r="H87">
            <v>5000</v>
          </cell>
          <cell r="I87"/>
          <cell r="J87"/>
          <cell r="K87"/>
          <cell r="L87">
            <v>5000</v>
          </cell>
        </row>
        <row r="88">
          <cell r="F88" t="str">
            <v>847.8470310.1.435340.000000.847001.200179</v>
          </cell>
          <cell r="G88">
            <v>0</v>
          </cell>
          <cell r="H88">
            <v>60000</v>
          </cell>
          <cell r="I88"/>
          <cell r="J88">
            <v>0</v>
          </cell>
          <cell r="K88">
            <v>56343.82</v>
          </cell>
          <cell r="L88">
            <v>3656.18</v>
          </cell>
        </row>
        <row r="89">
          <cell r="F89" t="str">
            <v>847.8470310.1.435350.000000.847001.200179</v>
          </cell>
          <cell r="G89">
            <v>182000</v>
          </cell>
          <cell r="H89">
            <v>99482</v>
          </cell>
          <cell r="I89">
            <v>88017.37</v>
          </cell>
          <cell r="J89">
            <v>0</v>
          </cell>
          <cell r="K89"/>
          <cell r="L89">
            <v>11464.63</v>
          </cell>
        </row>
        <row r="90">
          <cell r="F90" t="str">
            <v>847.8470310.1.435508.000000.847001.200179</v>
          </cell>
          <cell r="G90">
            <v>80000</v>
          </cell>
          <cell r="H90">
            <v>155000</v>
          </cell>
          <cell r="I90">
            <v>71789.460000000006</v>
          </cell>
          <cell r="J90">
            <v>0</v>
          </cell>
          <cell r="K90">
            <v>82595</v>
          </cell>
          <cell r="L90">
            <v>615.53999999999405</v>
          </cell>
        </row>
        <row r="91">
          <cell r="F91" t="str">
            <v>847.8470310.1.436110.000000.847001.200179</v>
          </cell>
          <cell r="G91">
            <v>4000</v>
          </cell>
          <cell r="H91">
            <v>4000</v>
          </cell>
          <cell r="I91"/>
          <cell r="J91"/>
          <cell r="K91"/>
          <cell r="L91">
            <v>4000</v>
          </cell>
        </row>
        <row r="92">
          <cell r="F92" t="str">
            <v>847.8470310.1.436600.000000.847001.200179</v>
          </cell>
          <cell r="G92">
            <v>5000</v>
          </cell>
          <cell r="H92">
            <v>5000</v>
          </cell>
          <cell r="I92"/>
          <cell r="J92"/>
          <cell r="K92"/>
          <cell r="L92">
            <v>5000</v>
          </cell>
        </row>
        <row r="93">
          <cell r="F93" t="str">
            <v>847.8470315.1.420550.000000.847001.200179</v>
          </cell>
          <cell r="G93">
            <v>1000</v>
          </cell>
          <cell r="H93">
            <v>20025</v>
          </cell>
          <cell r="I93"/>
          <cell r="J93"/>
          <cell r="K93"/>
          <cell r="L93">
            <v>20025</v>
          </cell>
        </row>
        <row r="94">
          <cell r="F94" t="str">
            <v>847.8470315.1.425510.000000.847001.200179</v>
          </cell>
          <cell r="G94">
            <v>4000</v>
          </cell>
          <cell r="H94">
            <v>25139</v>
          </cell>
          <cell r="I94"/>
          <cell r="J94"/>
          <cell r="K94"/>
          <cell r="L94">
            <v>25139</v>
          </cell>
        </row>
        <row r="95">
          <cell r="F95" t="str">
            <v>847.8470315.1.425760.000000.847001.200179</v>
          </cell>
          <cell r="G95">
            <v>20000</v>
          </cell>
          <cell r="H95">
            <v>6455</v>
          </cell>
          <cell r="I95">
            <v>6454.01</v>
          </cell>
          <cell r="J95"/>
          <cell r="K95"/>
          <cell r="L95">
            <v>0.98999999999978205</v>
          </cell>
        </row>
        <row r="96">
          <cell r="F96" t="str">
            <v>847.8470315.1.425763.000000.847001.200179</v>
          </cell>
          <cell r="G96">
            <v>180000</v>
          </cell>
          <cell r="H96">
            <v>180000</v>
          </cell>
          <cell r="I96">
            <v>123450.62</v>
          </cell>
          <cell r="J96"/>
          <cell r="K96"/>
          <cell r="L96">
            <v>56549.38</v>
          </cell>
        </row>
        <row r="97">
          <cell r="F97" t="str">
            <v>847.8470315.1.425770.000000.847001.200179</v>
          </cell>
          <cell r="G97">
            <v>180000</v>
          </cell>
          <cell r="H97">
            <v>97193</v>
          </cell>
          <cell r="I97">
            <v>62338.21</v>
          </cell>
          <cell r="J97"/>
          <cell r="K97"/>
          <cell r="L97">
            <v>34854.79</v>
          </cell>
        </row>
        <row r="98">
          <cell r="F98" t="str">
            <v>847.8470315.1.425900.000000.847001.200179</v>
          </cell>
          <cell r="G98">
            <v>10000</v>
          </cell>
          <cell r="H98">
            <v>17000</v>
          </cell>
          <cell r="I98">
            <v>13371.5</v>
          </cell>
          <cell r="J98"/>
          <cell r="K98"/>
          <cell r="L98">
            <v>3418.5</v>
          </cell>
        </row>
        <row r="99">
          <cell r="F99" t="str">
            <v>847.8470315.1.426610.000000.847001.200179</v>
          </cell>
          <cell r="G99">
            <v>99576</v>
          </cell>
          <cell r="H99">
            <v>7412</v>
          </cell>
          <cell r="I99">
            <v>7411.92</v>
          </cell>
          <cell r="J99">
            <v>0</v>
          </cell>
          <cell r="K99">
            <v>0</v>
          </cell>
          <cell r="L99">
            <v>7.9999999999927199E-2</v>
          </cell>
        </row>
        <row r="100">
          <cell r="F100" t="str">
            <v>847.8470315.1.428090.000000.847001.200179</v>
          </cell>
          <cell r="G100">
            <v>10000</v>
          </cell>
          <cell r="H100">
            <v>2725</v>
          </cell>
          <cell r="I100"/>
          <cell r="J100"/>
          <cell r="K100"/>
          <cell r="L100">
            <v>2725</v>
          </cell>
        </row>
        <row r="101">
          <cell r="F101" t="str">
            <v>847.8470315.1.432209.000000.847001.200179</v>
          </cell>
          <cell r="G101">
            <v>90250</v>
          </cell>
          <cell r="H101">
            <v>90250</v>
          </cell>
          <cell r="I101">
            <v>61876.12</v>
          </cell>
          <cell r="J101">
            <v>0</v>
          </cell>
          <cell r="K101">
            <v>26517.8</v>
          </cell>
          <cell r="L101">
            <v>1856.08</v>
          </cell>
        </row>
        <row r="102">
          <cell r="F102" t="str">
            <v>847.8470315.1.435350.000000.847001.200179</v>
          </cell>
          <cell r="G102">
            <v>38400</v>
          </cell>
          <cell r="H102">
            <v>38192</v>
          </cell>
          <cell r="I102">
            <v>32030.63</v>
          </cell>
          <cell r="J102"/>
          <cell r="K102"/>
          <cell r="L102">
            <v>6161.37</v>
          </cell>
        </row>
        <row r="103">
          <cell r="F103" t="str">
            <v>847.8470315.1.435508.000000.847001.200179</v>
          </cell>
          <cell r="G103">
            <v>150000</v>
          </cell>
          <cell r="H103">
            <v>195000</v>
          </cell>
          <cell r="I103">
            <v>171801.95</v>
          </cell>
          <cell r="J103">
            <v>0</v>
          </cell>
          <cell r="K103">
            <v>18853.28</v>
          </cell>
          <cell r="L103">
            <v>4344.7700000000004</v>
          </cell>
        </row>
        <row r="104">
          <cell r="F104" t="str">
            <v>847.8470315.1.436110.000000.847001.200179</v>
          </cell>
          <cell r="G104">
            <v>2000</v>
          </cell>
          <cell r="H104">
            <v>2000</v>
          </cell>
          <cell r="I104"/>
          <cell r="J104"/>
          <cell r="K104"/>
          <cell r="L104">
            <v>2000</v>
          </cell>
        </row>
        <row r="105">
          <cell r="F105" t="str">
            <v>847.8470315.1.436600.000000.847001.200179</v>
          </cell>
          <cell r="G105">
            <v>3000</v>
          </cell>
          <cell r="H105">
            <v>3000</v>
          </cell>
          <cell r="I105"/>
          <cell r="J105"/>
          <cell r="K105"/>
          <cell r="L105">
            <v>3000</v>
          </cell>
        </row>
        <row r="106">
          <cell r="F106" t="str">
            <v>847.8470320.1.420550.000000.847001.200179</v>
          </cell>
          <cell r="G106">
            <v>20000</v>
          </cell>
          <cell r="H106">
            <v>20000</v>
          </cell>
          <cell r="I106">
            <v>2362.5</v>
          </cell>
          <cell r="J106"/>
          <cell r="K106"/>
          <cell r="L106">
            <v>17637.5</v>
          </cell>
        </row>
        <row r="107">
          <cell r="F107" t="str">
            <v>847.8470320.1.425510.000000.847001.200179</v>
          </cell>
          <cell r="G107">
            <v>30000</v>
          </cell>
          <cell r="H107">
            <v>36600</v>
          </cell>
          <cell r="I107">
            <v>30230.33</v>
          </cell>
          <cell r="J107"/>
          <cell r="K107"/>
          <cell r="L107">
            <v>6369.67</v>
          </cell>
        </row>
        <row r="108">
          <cell r="F108" t="str">
            <v>847.8470320.1.425760.000000.847001.200179</v>
          </cell>
          <cell r="G108">
            <v>25000</v>
          </cell>
          <cell r="H108">
            <v>25000</v>
          </cell>
          <cell r="I108"/>
          <cell r="J108"/>
          <cell r="K108"/>
          <cell r="L108">
            <v>25000</v>
          </cell>
        </row>
        <row r="109">
          <cell r="F109" t="str">
            <v>847.8470320.1.425763.000000.847001.200179</v>
          </cell>
          <cell r="G109">
            <v>100000</v>
          </cell>
          <cell r="H109">
            <v>100000</v>
          </cell>
          <cell r="I109">
            <v>66226.5</v>
          </cell>
          <cell r="J109">
            <v>0</v>
          </cell>
          <cell r="K109">
            <v>0</v>
          </cell>
          <cell r="L109">
            <v>33773.5</v>
          </cell>
        </row>
        <row r="110">
          <cell r="F110" t="str">
            <v>847.8470320.1.425770.000000.847001.200179</v>
          </cell>
          <cell r="G110">
            <v>450000</v>
          </cell>
          <cell r="H110">
            <v>237519</v>
          </cell>
          <cell r="I110">
            <v>177673.07</v>
          </cell>
          <cell r="J110"/>
          <cell r="K110"/>
          <cell r="L110">
            <v>59845.93</v>
          </cell>
        </row>
        <row r="111">
          <cell r="F111" t="str">
            <v>847.8470320.1.425900.000000.847001.200179</v>
          </cell>
          <cell r="G111">
            <v>20000</v>
          </cell>
          <cell r="H111">
            <v>20000</v>
          </cell>
          <cell r="I111">
            <v>4750</v>
          </cell>
          <cell r="J111"/>
          <cell r="K111"/>
          <cell r="L111">
            <v>15250</v>
          </cell>
        </row>
        <row r="112">
          <cell r="F112" t="str">
            <v>847.8470320.1.426610.000000.847001.200179</v>
          </cell>
          <cell r="G112">
            <v>75000</v>
          </cell>
          <cell r="H112">
            <v>75000</v>
          </cell>
          <cell r="I112">
            <v>60384.12</v>
          </cell>
          <cell r="J112">
            <v>0</v>
          </cell>
          <cell r="K112">
            <v>0</v>
          </cell>
          <cell r="L112">
            <v>14615.88</v>
          </cell>
        </row>
        <row r="113">
          <cell r="F113" t="str">
            <v>847.8470320.1.428090.000000.847001.200179</v>
          </cell>
          <cell r="G113">
            <v>35000</v>
          </cell>
          <cell r="H113">
            <v>10401</v>
          </cell>
          <cell r="I113">
            <v>10400</v>
          </cell>
          <cell r="J113"/>
          <cell r="K113"/>
          <cell r="L113">
            <v>1</v>
          </cell>
        </row>
        <row r="114">
          <cell r="F114" t="str">
            <v>847.8470320.1.435350.000000.847001.200179</v>
          </cell>
          <cell r="G114">
            <v>50000</v>
          </cell>
          <cell r="H114">
            <v>29251</v>
          </cell>
          <cell r="I114">
            <v>22245.54</v>
          </cell>
          <cell r="J114"/>
          <cell r="K114"/>
          <cell r="L114">
            <v>7005.46</v>
          </cell>
        </row>
        <row r="115">
          <cell r="F115" t="str">
            <v>847.8470320.1.435508.000000.847001.200179</v>
          </cell>
          <cell r="G115">
            <v>200000</v>
          </cell>
          <cell r="H115">
            <v>212131</v>
          </cell>
          <cell r="I115">
            <v>194915</v>
          </cell>
          <cell r="J115">
            <v>0</v>
          </cell>
          <cell r="K115">
            <v>1613.70000000001</v>
          </cell>
          <cell r="L115">
            <v>15602.3</v>
          </cell>
        </row>
        <row r="116">
          <cell r="F116" t="str">
            <v>847.8470320.1.436110.000000.847001.200179</v>
          </cell>
          <cell r="G116">
            <v>35000</v>
          </cell>
          <cell r="H116">
            <v>35000</v>
          </cell>
          <cell r="I116">
            <v>20011.63</v>
          </cell>
          <cell r="J116"/>
          <cell r="K116"/>
          <cell r="L116">
            <v>14988.37</v>
          </cell>
        </row>
        <row r="117">
          <cell r="F117" t="str">
            <v>847.8470320.1.436600.000000.847001.200179</v>
          </cell>
          <cell r="G117">
            <v>45000</v>
          </cell>
          <cell r="H117">
            <v>38400</v>
          </cell>
          <cell r="I117">
            <v>12485</v>
          </cell>
          <cell r="J117"/>
          <cell r="K117"/>
          <cell r="L117">
            <v>25915</v>
          </cell>
        </row>
        <row r="118">
          <cell r="F118" t="str">
            <v>847.8470325.1.420550.000000.847001.200179</v>
          </cell>
          <cell r="G118">
            <v>4000</v>
          </cell>
          <cell r="H118">
            <v>4000</v>
          </cell>
          <cell r="I118"/>
          <cell r="J118"/>
          <cell r="K118"/>
          <cell r="L118">
            <v>4000</v>
          </cell>
        </row>
        <row r="119">
          <cell r="F119" t="str">
            <v>847.8470325.1.425510.000000.847001.200179</v>
          </cell>
          <cell r="G119">
            <v>6600</v>
          </cell>
          <cell r="H119">
            <v>6600</v>
          </cell>
          <cell r="I119">
            <v>6300</v>
          </cell>
          <cell r="J119"/>
          <cell r="K119"/>
          <cell r="L119">
            <v>299.99999999999898</v>
          </cell>
        </row>
        <row r="120">
          <cell r="F120" t="str">
            <v>847.8470325.1.425760.000000.847001.200179</v>
          </cell>
          <cell r="G120">
            <v>5000</v>
          </cell>
          <cell r="H120">
            <v>5000</v>
          </cell>
          <cell r="I120"/>
          <cell r="J120"/>
          <cell r="K120"/>
          <cell r="L120">
            <v>5000</v>
          </cell>
        </row>
        <row r="121">
          <cell r="F121" t="str">
            <v>847.8470325.1.425763.000000.847001.200179</v>
          </cell>
          <cell r="G121">
            <v>370000</v>
          </cell>
          <cell r="H121">
            <v>345000</v>
          </cell>
          <cell r="I121">
            <v>254324.33</v>
          </cell>
          <cell r="J121"/>
          <cell r="K121"/>
          <cell r="L121">
            <v>90675.67</v>
          </cell>
        </row>
        <row r="122">
          <cell r="F122" t="str">
            <v>847.8470325.1.425770.000000.847001.200179</v>
          </cell>
          <cell r="G122">
            <v>165000</v>
          </cell>
          <cell r="H122">
            <v>108156</v>
          </cell>
          <cell r="I122">
            <v>95314.48</v>
          </cell>
          <cell r="J122"/>
          <cell r="K122"/>
          <cell r="L122">
            <v>12841.52</v>
          </cell>
        </row>
        <row r="123">
          <cell r="F123" t="str">
            <v>847.8470325.1.426610.000000.847001.200179</v>
          </cell>
          <cell r="G123">
            <v>34910</v>
          </cell>
          <cell r="H123">
            <v>39910</v>
          </cell>
          <cell r="I123">
            <v>12928.8</v>
          </cell>
          <cell r="J123">
            <v>0</v>
          </cell>
          <cell r="K123">
            <v>11753.6</v>
          </cell>
          <cell r="L123">
            <v>15227.6</v>
          </cell>
        </row>
        <row r="124">
          <cell r="F124" t="str">
            <v>847.8470325.1.428090.000000.847001.200179</v>
          </cell>
          <cell r="G124">
            <v>30000</v>
          </cell>
          <cell r="H124">
            <v>0</v>
          </cell>
          <cell r="I124"/>
          <cell r="J124"/>
          <cell r="K124"/>
          <cell r="L124">
            <v>0</v>
          </cell>
        </row>
        <row r="125">
          <cell r="F125" t="str">
            <v>847.8470325.1.432209.000000.847001.200179</v>
          </cell>
          <cell r="G125">
            <v>171550</v>
          </cell>
          <cell r="H125">
            <v>201550</v>
          </cell>
          <cell r="I125">
            <v>167232</v>
          </cell>
          <cell r="J125">
            <v>0</v>
          </cell>
          <cell r="K125">
            <v>8450</v>
          </cell>
          <cell r="L125">
            <v>25868</v>
          </cell>
        </row>
        <row r="126">
          <cell r="F126" t="str">
            <v>847.8470325.1.435350.000000.847001.200179</v>
          </cell>
          <cell r="G126">
            <v>80000</v>
          </cell>
          <cell r="H126">
            <v>43337</v>
          </cell>
          <cell r="I126">
            <v>15857</v>
          </cell>
          <cell r="J126"/>
          <cell r="K126"/>
          <cell r="L126">
            <v>27480</v>
          </cell>
        </row>
        <row r="127">
          <cell r="F127" t="str">
            <v>847.8470325.1.435508.000000.847001.200179</v>
          </cell>
          <cell r="G127">
            <v>92573</v>
          </cell>
          <cell r="H127">
            <v>92573</v>
          </cell>
          <cell r="I127">
            <v>52728.94</v>
          </cell>
          <cell r="J127">
            <v>0</v>
          </cell>
          <cell r="K127">
            <v>32830</v>
          </cell>
          <cell r="L127">
            <v>7014.06</v>
          </cell>
        </row>
        <row r="128">
          <cell r="F128" t="str">
            <v>847.8470330.1.420550.000000.847001.200179</v>
          </cell>
          <cell r="G128">
            <v>3000</v>
          </cell>
          <cell r="H128">
            <v>3000</v>
          </cell>
          <cell r="I128"/>
          <cell r="J128"/>
          <cell r="K128"/>
          <cell r="L128">
            <v>3000</v>
          </cell>
        </row>
        <row r="129">
          <cell r="F129" t="str">
            <v>847.8470330.1.425510.000000.847001.200179</v>
          </cell>
          <cell r="G129">
            <v>42000</v>
          </cell>
          <cell r="H129">
            <v>42000</v>
          </cell>
          <cell r="I129">
            <v>12820.96</v>
          </cell>
          <cell r="J129"/>
          <cell r="K129"/>
          <cell r="L129">
            <v>28234.04</v>
          </cell>
        </row>
        <row r="130">
          <cell r="F130" t="str">
            <v>847.8470330.1.425760.000000.847001.200179</v>
          </cell>
          <cell r="G130">
            <v>72000</v>
          </cell>
          <cell r="H130">
            <v>42000</v>
          </cell>
          <cell r="I130">
            <v>4400</v>
          </cell>
          <cell r="J130"/>
          <cell r="K130"/>
          <cell r="L130">
            <v>37600</v>
          </cell>
        </row>
        <row r="131">
          <cell r="F131" t="str">
            <v>847.8470330.1.425763.000000.847001.200179</v>
          </cell>
          <cell r="G131">
            <v>405000</v>
          </cell>
          <cell r="H131">
            <v>405000</v>
          </cell>
          <cell r="I131">
            <v>172000</v>
          </cell>
          <cell r="J131"/>
          <cell r="K131"/>
          <cell r="L131">
            <v>233000</v>
          </cell>
        </row>
        <row r="132">
          <cell r="F132" t="str">
            <v>847.8470330.1.425770.000000.847001.200179</v>
          </cell>
          <cell r="G132">
            <v>650000</v>
          </cell>
          <cell r="H132">
            <v>261686</v>
          </cell>
          <cell r="I132">
            <v>247268.21</v>
          </cell>
          <cell r="J132"/>
          <cell r="K132"/>
          <cell r="L132">
            <v>14417.79</v>
          </cell>
        </row>
        <row r="133">
          <cell r="F133" t="str">
            <v>847.8470330.1.425900.000000.847001.200179</v>
          </cell>
          <cell r="G133">
            <v>16000</v>
          </cell>
          <cell r="H133">
            <v>36000</v>
          </cell>
          <cell r="I133">
            <v>21190</v>
          </cell>
          <cell r="J133"/>
          <cell r="K133"/>
          <cell r="L133">
            <v>14054</v>
          </cell>
        </row>
        <row r="134">
          <cell r="F134" t="str">
            <v>847.8470330.1.426610.000000.847001.200179</v>
          </cell>
          <cell r="G134">
            <v>720500</v>
          </cell>
          <cell r="H134">
            <v>720500</v>
          </cell>
          <cell r="I134">
            <v>391033.15</v>
          </cell>
          <cell r="J134">
            <v>0</v>
          </cell>
          <cell r="K134">
            <v>23700</v>
          </cell>
          <cell r="L134">
            <v>305766.84999999998</v>
          </cell>
        </row>
        <row r="135">
          <cell r="F135" t="str">
            <v>847.8470330.1.427710.000000.847001.200179</v>
          </cell>
          <cell r="G135">
            <v>0</v>
          </cell>
          <cell r="H135">
            <v>10000</v>
          </cell>
          <cell r="I135"/>
          <cell r="J135"/>
          <cell r="K135"/>
          <cell r="L135">
            <v>10000</v>
          </cell>
        </row>
        <row r="136">
          <cell r="F136" t="str">
            <v>847.8470330.1.428640.000000.847001.200179</v>
          </cell>
          <cell r="G136">
            <v>302000</v>
          </cell>
          <cell r="H136">
            <v>153251</v>
          </cell>
          <cell r="I136"/>
          <cell r="J136"/>
          <cell r="K136"/>
          <cell r="L136">
            <v>153251</v>
          </cell>
        </row>
        <row r="137">
          <cell r="F137" t="str">
            <v>847.8470330.1.432209.000000.847001.200179</v>
          </cell>
          <cell r="G137">
            <v>67400</v>
          </cell>
          <cell r="H137">
            <v>67400</v>
          </cell>
          <cell r="I137">
            <v>4550</v>
          </cell>
          <cell r="J137"/>
          <cell r="K137"/>
          <cell r="L137">
            <v>62850</v>
          </cell>
        </row>
        <row r="138">
          <cell r="F138" t="str">
            <v>847.8470330.1.435340.000000.847001.200179</v>
          </cell>
          <cell r="G138"/>
          <cell r="H138"/>
          <cell r="I138">
            <v>0</v>
          </cell>
          <cell r="J138"/>
          <cell r="K138"/>
          <cell r="L138">
            <v>0</v>
          </cell>
        </row>
        <row r="139">
          <cell r="F139" t="str">
            <v>847.8470330.1.435350.000000.847001.200179</v>
          </cell>
          <cell r="G139">
            <v>420000</v>
          </cell>
          <cell r="H139">
            <v>240114</v>
          </cell>
          <cell r="I139">
            <v>147709.06</v>
          </cell>
          <cell r="J139"/>
          <cell r="K139"/>
          <cell r="L139">
            <v>92404.94</v>
          </cell>
        </row>
        <row r="140">
          <cell r="F140" t="str">
            <v>847.8470330.1.435508.000000.847001.200179</v>
          </cell>
          <cell r="G140">
            <v>20000</v>
          </cell>
          <cell r="H140">
            <v>20000</v>
          </cell>
          <cell r="I140"/>
          <cell r="J140">
            <v>0</v>
          </cell>
          <cell r="K140">
            <v>14673.64</v>
          </cell>
          <cell r="L140">
            <v>5326.36</v>
          </cell>
        </row>
        <row r="141">
          <cell r="F141" t="str">
            <v>847.8470330.1.436600.000000.847001.200179</v>
          </cell>
          <cell r="G141">
            <v>60000</v>
          </cell>
          <cell r="H141">
            <v>60000</v>
          </cell>
          <cell r="I141"/>
          <cell r="J141"/>
          <cell r="K141">
            <v>15740</v>
          </cell>
          <cell r="L141">
            <v>44260</v>
          </cell>
        </row>
        <row r="142">
          <cell r="F142" t="str">
            <v>847.8470335.1.420550.000000.847001.200179</v>
          </cell>
          <cell r="G142">
            <v>10000</v>
          </cell>
          <cell r="H142">
            <v>10000</v>
          </cell>
          <cell r="I142">
            <v>7346</v>
          </cell>
          <cell r="J142"/>
          <cell r="K142"/>
          <cell r="L142">
            <v>2654</v>
          </cell>
        </row>
        <row r="143">
          <cell r="F143" t="str">
            <v>847.8470335.1.425510.000000.847001.200179</v>
          </cell>
          <cell r="G143">
            <v>20000</v>
          </cell>
          <cell r="H143">
            <v>24500</v>
          </cell>
          <cell r="I143">
            <v>3750</v>
          </cell>
          <cell r="J143"/>
          <cell r="K143"/>
          <cell r="L143">
            <v>20750</v>
          </cell>
        </row>
        <row r="144">
          <cell r="F144" t="str">
            <v>847.8470335.1.425760.000000.847001.200179</v>
          </cell>
          <cell r="G144">
            <v>10000</v>
          </cell>
          <cell r="H144">
            <v>10000</v>
          </cell>
          <cell r="I144">
            <v>5433.75</v>
          </cell>
          <cell r="J144"/>
          <cell r="K144"/>
          <cell r="L144">
            <v>4566.25</v>
          </cell>
        </row>
        <row r="145">
          <cell r="F145" t="str">
            <v>847.8470335.1.425763.000000.847001.200179</v>
          </cell>
          <cell r="G145">
            <v>50000</v>
          </cell>
          <cell r="H145">
            <v>50000</v>
          </cell>
          <cell r="I145">
            <v>50000</v>
          </cell>
          <cell r="J145"/>
          <cell r="K145"/>
          <cell r="L145">
            <v>0</v>
          </cell>
        </row>
        <row r="146">
          <cell r="F146" t="str">
            <v>847.8470335.1.425770.000000.847001.200179</v>
          </cell>
          <cell r="G146">
            <v>270000</v>
          </cell>
          <cell r="H146">
            <v>92634</v>
          </cell>
          <cell r="I146">
            <v>90701.1</v>
          </cell>
          <cell r="J146"/>
          <cell r="K146"/>
          <cell r="L146">
            <v>1932.8999999999901</v>
          </cell>
        </row>
        <row r="147">
          <cell r="F147" t="str">
            <v>847.8470335.1.425900.000000.847001.200179</v>
          </cell>
          <cell r="G147">
            <v>20000</v>
          </cell>
          <cell r="H147">
            <v>15500</v>
          </cell>
          <cell r="I147">
            <v>4095</v>
          </cell>
          <cell r="J147"/>
          <cell r="K147"/>
          <cell r="L147">
            <v>11405</v>
          </cell>
        </row>
        <row r="148">
          <cell r="F148" t="str">
            <v>847.8470335.1.426610.000000.847001.200179</v>
          </cell>
          <cell r="G148">
            <v>150257</v>
          </cell>
          <cell r="H148">
            <v>160257</v>
          </cell>
          <cell r="I148">
            <v>141786.19</v>
          </cell>
          <cell r="J148">
            <v>0</v>
          </cell>
          <cell r="K148">
            <v>12794.53</v>
          </cell>
          <cell r="L148">
            <v>5676.28</v>
          </cell>
        </row>
        <row r="149">
          <cell r="F149" t="str">
            <v>847.8470335.1.428090.000000.847001.200179</v>
          </cell>
          <cell r="G149">
            <v>40000</v>
          </cell>
          <cell r="H149">
            <v>5898</v>
          </cell>
          <cell r="I149"/>
          <cell r="J149"/>
          <cell r="K149"/>
          <cell r="L149">
            <v>5898</v>
          </cell>
        </row>
        <row r="150">
          <cell r="F150" t="str">
            <v>847.8470335.1.435350.000000.847001.200179</v>
          </cell>
          <cell r="G150">
            <v>51520</v>
          </cell>
          <cell r="H150">
            <v>30484</v>
          </cell>
          <cell r="I150">
            <v>23639.71</v>
          </cell>
          <cell r="J150"/>
          <cell r="K150"/>
          <cell r="L150">
            <v>6844.29</v>
          </cell>
        </row>
        <row r="151">
          <cell r="F151" t="str">
            <v>847.8470335.1.435508.000000.847001.200179</v>
          </cell>
          <cell r="G151">
            <v>139000</v>
          </cell>
          <cell r="H151">
            <v>246500</v>
          </cell>
          <cell r="I151">
            <v>231258.61</v>
          </cell>
          <cell r="J151">
            <v>0</v>
          </cell>
          <cell r="K151">
            <v>11024.51</v>
          </cell>
          <cell r="L151">
            <v>4216.8800000000101</v>
          </cell>
        </row>
        <row r="152">
          <cell r="F152" t="str">
            <v>847.8470335.1.436110.000000.847001.200179</v>
          </cell>
          <cell r="G152">
            <v>4000</v>
          </cell>
          <cell r="H152">
            <v>500</v>
          </cell>
          <cell r="I152"/>
          <cell r="J152"/>
          <cell r="K152"/>
          <cell r="L152">
            <v>500</v>
          </cell>
        </row>
        <row r="153">
          <cell r="F153" t="str">
            <v>847.8470335.1.436600.000000.847001.200179</v>
          </cell>
          <cell r="G153">
            <v>12000</v>
          </cell>
          <cell r="H153">
            <v>12000</v>
          </cell>
          <cell r="I153">
            <v>11500</v>
          </cell>
          <cell r="J153">
            <v>0</v>
          </cell>
          <cell r="K153">
            <v>0</v>
          </cell>
          <cell r="L153">
            <v>500</v>
          </cell>
        </row>
        <row r="154">
          <cell r="F154" t="str">
            <v>847.8470340.1.420550.000000.847001.200179</v>
          </cell>
          <cell r="G154">
            <v>3000</v>
          </cell>
          <cell r="H154">
            <v>0</v>
          </cell>
          <cell r="I154"/>
          <cell r="J154"/>
          <cell r="K154"/>
          <cell r="L154">
            <v>0</v>
          </cell>
        </row>
        <row r="155">
          <cell r="F155" t="str">
            <v>847.8470340.1.425510.000000.847001.200179</v>
          </cell>
          <cell r="G155">
            <v>10000</v>
          </cell>
          <cell r="H155">
            <v>10000</v>
          </cell>
          <cell r="I155"/>
          <cell r="J155"/>
          <cell r="K155"/>
          <cell r="L155">
            <v>10000</v>
          </cell>
        </row>
        <row r="156">
          <cell r="F156" t="str">
            <v>847.8470340.1.425720.000000.847001.200179</v>
          </cell>
          <cell r="G156">
            <v>30000</v>
          </cell>
          <cell r="H156">
            <v>30000</v>
          </cell>
          <cell r="I156"/>
          <cell r="J156">
            <v>0</v>
          </cell>
          <cell r="K156">
            <v>29766.77</v>
          </cell>
          <cell r="L156">
            <v>233.23</v>
          </cell>
        </row>
        <row r="157">
          <cell r="F157" t="str">
            <v>847.8470340.1.425760.000000.847001.200179</v>
          </cell>
          <cell r="G157">
            <v>12000</v>
          </cell>
          <cell r="H157">
            <v>12000</v>
          </cell>
          <cell r="I157"/>
          <cell r="J157"/>
          <cell r="K157"/>
          <cell r="L157">
            <v>12000</v>
          </cell>
        </row>
        <row r="158">
          <cell r="F158" t="str">
            <v>847.8470340.1.425763.000000.847001.200179</v>
          </cell>
          <cell r="G158">
            <v>480000</v>
          </cell>
          <cell r="H158">
            <v>460000</v>
          </cell>
          <cell r="I158">
            <v>430253.35</v>
          </cell>
          <cell r="J158"/>
          <cell r="K158"/>
          <cell r="L158">
            <v>29746.65</v>
          </cell>
        </row>
        <row r="159">
          <cell r="F159" t="str">
            <v>847.8470340.1.425770.000000.847001.200179</v>
          </cell>
          <cell r="G159">
            <v>630000</v>
          </cell>
          <cell r="H159">
            <v>325724</v>
          </cell>
          <cell r="I159">
            <v>178561.8</v>
          </cell>
          <cell r="J159"/>
          <cell r="K159"/>
          <cell r="L159">
            <v>147162.20000000001</v>
          </cell>
        </row>
        <row r="160">
          <cell r="F160" t="str">
            <v>847.8470340.1.425900.000000.847001.200179</v>
          </cell>
          <cell r="G160">
            <v>54000</v>
          </cell>
          <cell r="H160">
            <v>54000</v>
          </cell>
          <cell r="I160">
            <v>11997.25</v>
          </cell>
          <cell r="J160">
            <v>8800</v>
          </cell>
          <cell r="K160">
            <v>0</v>
          </cell>
          <cell r="L160">
            <v>33202.75</v>
          </cell>
        </row>
        <row r="161">
          <cell r="F161" t="str">
            <v>847.8470340.1.426610.000000.847001.200179</v>
          </cell>
          <cell r="G161">
            <v>210000</v>
          </cell>
          <cell r="H161">
            <v>185000</v>
          </cell>
          <cell r="I161">
            <v>177089.64</v>
          </cell>
          <cell r="J161">
            <v>0</v>
          </cell>
          <cell r="K161">
            <v>0</v>
          </cell>
          <cell r="L161">
            <v>7910.3600000000197</v>
          </cell>
        </row>
        <row r="162">
          <cell r="F162" t="str">
            <v>847.8470340.1.432209.000000.847001.200179</v>
          </cell>
          <cell r="G162">
            <v>80000</v>
          </cell>
          <cell r="H162">
            <v>94500</v>
          </cell>
          <cell r="I162">
            <v>20000</v>
          </cell>
          <cell r="J162">
            <v>0</v>
          </cell>
          <cell r="K162">
            <v>74500</v>
          </cell>
          <cell r="L162">
            <v>0</v>
          </cell>
        </row>
        <row r="163">
          <cell r="F163" t="str">
            <v>847.8470340.1.435350.000000.847001.200179</v>
          </cell>
          <cell r="G163">
            <v>336000</v>
          </cell>
          <cell r="H163">
            <v>199569</v>
          </cell>
          <cell r="I163">
            <v>157002.1</v>
          </cell>
          <cell r="J163"/>
          <cell r="K163"/>
          <cell r="L163">
            <v>42566.9</v>
          </cell>
        </row>
        <row r="164">
          <cell r="F164" t="str">
            <v>847.8470340.1.435508.000000.847001.200179</v>
          </cell>
          <cell r="G164">
            <v>264000</v>
          </cell>
          <cell r="H164">
            <v>297500</v>
          </cell>
          <cell r="I164">
            <v>262530.05</v>
          </cell>
          <cell r="J164">
            <v>0</v>
          </cell>
          <cell r="K164">
            <v>21000</v>
          </cell>
          <cell r="L164">
            <v>13969.95</v>
          </cell>
        </row>
        <row r="165">
          <cell r="F165" t="str">
            <v>847.8470345.1.420550.000000.847001.200179</v>
          </cell>
          <cell r="G165">
            <v>20000</v>
          </cell>
          <cell r="H165">
            <v>20000</v>
          </cell>
          <cell r="I165"/>
          <cell r="J165"/>
          <cell r="K165"/>
          <cell r="L165">
            <v>20000</v>
          </cell>
        </row>
        <row r="166">
          <cell r="F166" t="str">
            <v>847.8470345.1.425510.000000.847001.200179</v>
          </cell>
          <cell r="G166">
            <v>30000</v>
          </cell>
          <cell r="H166">
            <v>29700</v>
          </cell>
          <cell r="I166">
            <v>6485</v>
          </cell>
          <cell r="J166"/>
          <cell r="K166"/>
          <cell r="L166">
            <v>23215</v>
          </cell>
        </row>
        <row r="167">
          <cell r="F167" t="str">
            <v>847.8470345.1.425760.000000.847001.200179</v>
          </cell>
          <cell r="G167">
            <v>120000</v>
          </cell>
          <cell r="H167">
            <v>95000</v>
          </cell>
          <cell r="I167"/>
          <cell r="J167"/>
          <cell r="K167"/>
          <cell r="L167">
            <v>95000</v>
          </cell>
        </row>
        <row r="168">
          <cell r="F168" t="str">
            <v>847.8470345.1.425770.000000.847001.200179</v>
          </cell>
          <cell r="G168">
            <v>105000</v>
          </cell>
          <cell r="H168">
            <v>54987</v>
          </cell>
          <cell r="I168">
            <v>23552.77</v>
          </cell>
          <cell r="J168"/>
          <cell r="K168"/>
          <cell r="L168">
            <v>31434.23</v>
          </cell>
        </row>
        <row r="169">
          <cell r="F169" t="str">
            <v>847.8470345.1.425900.000000.847001.200179</v>
          </cell>
          <cell r="G169">
            <v>3000</v>
          </cell>
          <cell r="H169">
            <v>3000</v>
          </cell>
          <cell r="I169"/>
          <cell r="J169"/>
          <cell r="K169"/>
          <cell r="L169">
            <v>3000</v>
          </cell>
        </row>
        <row r="170">
          <cell r="F170" t="str">
            <v>847.8470345.1.426610.000000.847001.200179</v>
          </cell>
          <cell r="G170">
            <v>146983</v>
          </cell>
          <cell r="H170">
            <v>146983</v>
          </cell>
          <cell r="I170">
            <v>33069.589999999997</v>
          </cell>
          <cell r="J170">
            <v>61004.25</v>
          </cell>
          <cell r="K170">
            <v>49585.5</v>
          </cell>
          <cell r="L170">
            <v>3323.66</v>
          </cell>
        </row>
        <row r="171">
          <cell r="F171" t="str">
            <v>847.8470345.1.428090.000000.847001.200179</v>
          </cell>
          <cell r="G171">
            <v>44592</v>
          </cell>
          <cell r="H171">
            <v>12617</v>
          </cell>
          <cell r="I171">
            <v>9042.6200000000008</v>
          </cell>
          <cell r="J171"/>
          <cell r="K171"/>
          <cell r="L171">
            <v>3574.38</v>
          </cell>
        </row>
        <row r="172">
          <cell r="F172" t="str">
            <v>847.8470345.1.435350.000000.847001.200179</v>
          </cell>
          <cell r="G172">
            <v>70000</v>
          </cell>
          <cell r="H172">
            <v>63220</v>
          </cell>
          <cell r="I172">
            <v>52403.38</v>
          </cell>
          <cell r="J172"/>
          <cell r="K172"/>
          <cell r="L172">
            <v>10816.62</v>
          </cell>
        </row>
        <row r="173">
          <cell r="F173" t="str">
            <v>847.8470345.1.435508.000000.847001.200179</v>
          </cell>
          <cell r="G173">
            <v>197477</v>
          </cell>
          <cell r="H173">
            <v>197477</v>
          </cell>
          <cell r="I173">
            <v>24674.09</v>
          </cell>
          <cell r="J173">
            <v>0</v>
          </cell>
          <cell r="K173">
            <v>47935.5</v>
          </cell>
          <cell r="L173">
            <v>124867.41</v>
          </cell>
        </row>
        <row r="174">
          <cell r="F174" t="str">
            <v>847.8470345.1.436110.000000.847001.200179</v>
          </cell>
          <cell r="G174">
            <v>5742</v>
          </cell>
          <cell r="H174">
            <v>5742</v>
          </cell>
          <cell r="I174">
            <v>3328</v>
          </cell>
          <cell r="J174">
            <v>0</v>
          </cell>
          <cell r="K174">
            <v>0</v>
          </cell>
          <cell r="L174">
            <v>2414</v>
          </cell>
        </row>
        <row r="175">
          <cell r="F175" t="str">
            <v>847.8470345.1.436600.000000.847001.200179</v>
          </cell>
          <cell r="G175">
            <v>9640</v>
          </cell>
          <cell r="H175">
            <v>9640</v>
          </cell>
          <cell r="I175">
            <v>4897.28</v>
          </cell>
          <cell r="J175"/>
          <cell r="K175"/>
          <cell r="L175">
            <v>4742.72</v>
          </cell>
        </row>
        <row r="176">
          <cell r="F176" t="str">
            <v>847.8470350.1.425510.000000.847001.200179</v>
          </cell>
          <cell r="G176">
            <v>16000</v>
          </cell>
          <cell r="H176">
            <v>19448</v>
          </cell>
          <cell r="I176">
            <v>8764.2199999999993</v>
          </cell>
          <cell r="J176"/>
          <cell r="K176"/>
          <cell r="L176">
            <v>10683.78</v>
          </cell>
        </row>
        <row r="177">
          <cell r="F177" t="str">
            <v>847.8470350.1.425760.000000.847001.200179</v>
          </cell>
          <cell r="G177">
            <v>25000</v>
          </cell>
          <cell r="H177">
            <v>25000</v>
          </cell>
          <cell r="I177">
            <v>5522</v>
          </cell>
          <cell r="J177"/>
          <cell r="K177"/>
          <cell r="L177">
            <v>19478</v>
          </cell>
        </row>
        <row r="178">
          <cell r="F178" t="str">
            <v>847.8470350.1.425763.000000.847001.200179</v>
          </cell>
          <cell r="G178">
            <v>30000</v>
          </cell>
          <cell r="H178">
            <v>0</v>
          </cell>
          <cell r="I178"/>
          <cell r="J178"/>
          <cell r="K178"/>
          <cell r="L178">
            <v>0</v>
          </cell>
        </row>
        <row r="179">
          <cell r="F179" t="str">
            <v>847.8470350.1.425770.000000.847001.200179</v>
          </cell>
          <cell r="G179">
            <v>150000</v>
          </cell>
          <cell r="H179">
            <v>93739</v>
          </cell>
          <cell r="I179">
            <v>76948.259999999995</v>
          </cell>
          <cell r="J179"/>
          <cell r="K179"/>
          <cell r="L179">
            <v>16790.740000000002</v>
          </cell>
        </row>
        <row r="180">
          <cell r="F180" t="str">
            <v>847.8470350.1.425900.000000.847001.200179</v>
          </cell>
          <cell r="G180">
            <v>8500</v>
          </cell>
          <cell r="H180">
            <v>8500</v>
          </cell>
          <cell r="I180">
            <v>3418.37</v>
          </cell>
          <cell r="J180"/>
          <cell r="K180"/>
          <cell r="L180">
            <v>5081.63</v>
          </cell>
        </row>
        <row r="181">
          <cell r="F181" t="str">
            <v>847.8470350.1.426610.000000.847001.200179</v>
          </cell>
          <cell r="G181">
            <v>210200</v>
          </cell>
          <cell r="H181">
            <v>210200</v>
          </cell>
          <cell r="I181">
            <v>199954.87</v>
          </cell>
          <cell r="J181">
            <v>0</v>
          </cell>
          <cell r="K181">
            <v>0</v>
          </cell>
          <cell r="L181">
            <v>10245.129999999999</v>
          </cell>
        </row>
        <row r="182">
          <cell r="F182" t="str">
            <v>847.8470350.1.432209.000000.847001.200179</v>
          </cell>
          <cell r="G182">
            <v>305000</v>
          </cell>
          <cell r="H182">
            <v>305000</v>
          </cell>
          <cell r="I182">
            <v>80402</v>
          </cell>
          <cell r="J182">
            <v>0</v>
          </cell>
          <cell r="K182">
            <v>212412</v>
          </cell>
          <cell r="L182">
            <v>12186</v>
          </cell>
        </row>
        <row r="183">
          <cell r="F183" t="str">
            <v>847.8470350.1.435340.000000.847001.200179</v>
          </cell>
          <cell r="G183">
            <v>10000</v>
          </cell>
          <cell r="H183">
            <v>10000</v>
          </cell>
          <cell r="I183"/>
          <cell r="J183"/>
          <cell r="K183"/>
          <cell r="L183">
            <v>10000</v>
          </cell>
        </row>
        <row r="184">
          <cell r="F184" t="str">
            <v>847.8470350.1.435350.000000.847001.200179</v>
          </cell>
          <cell r="G184">
            <v>50000</v>
          </cell>
          <cell r="H184">
            <v>57086</v>
          </cell>
          <cell r="I184">
            <v>36148</v>
          </cell>
          <cell r="J184"/>
          <cell r="K184"/>
          <cell r="L184">
            <v>20938</v>
          </cell>
        </row>
        <row r="185">
          <cell r="F185" t="str">
            <v>847.8470350.1.435508.000000.847001.200179</v>
          </cell>
          <cell r="G185">
            <v>100000</v>
          </cell>
          <cell r="H185">
            <v>100000</v>
          </cell>
          <cell r="I185">
            <v>59025.93</v>
          </cell>
          <cell r="J185">
            <v>0</v>
          </cell>
          <cell r="K185">
            <v>3976.22</v>
          </cell>
          <cell r="L185">
            <v>36997.85</v>
          </cell>
        </row>
        <row r="186">
          <cell r="F186" t="str">
            <v>847.8470350.1.436110.000000.847001.200179</v>
          </cell>
          <cell r="G186">
            <v>7500</v>
          </cell>
          <cell r="H186">
            <v>0</v>
          </cell>
          <cell r="I186"/>
          <cell r="J186"/>
          <cell r="K186"/>
          <cell r="L186">
            <v>0</v>
          </cell>
        </row>
        <row r="187">
          <cell r="F187" t="str">
            <v>847.8470350.1.436600.000000.847001.200179</v>
          </cell>
          <cell r="G187">
            <v>60000</v>
          </cell>
          <cell r="H187">
            <v>64052</v>
          </cell>
          <cell r="I187">
            <v>43500</v>
          </cell>
          <cell r="J187">
            <v>18216</v>
          </cell>
          <cell r="K187">
            <v>0</v>
          </cell>
          <cell r="L187">
            <v>2336</v>
          </cell>
        </row>
        <row r="188">
          <cell r="F188" t="str">
            <v>847.8470405.1.420550.000000.847001.200179</v>
          </cell>
          <cell r="G188">
            <v>0</v>
          </cell>
          <cell r="H188">
            <v>65692</v>
          </cell>
          <cell r="I188">
            <v>64718.46</v>
          </cell>
          <cell r="J188"/>
          <cell r="K188"/>
          <cell r="L188">
            <v>973.54000000000099</v>
          </cell>
        </row>
        <row r="189">
          <cell r="F189" t="str">
            <v>847.8470405.1.421700.000000.847001.200179</v>
          </cell>
          <cell r="G189">
            <v>560000</v>
          </cell>
          <cell r="H189">
            <v>451019</v>
          </cell>
          <cell r="I189">
            <v>118354.26</v>
          </cell>
          <cell r="J189"/>
          <cell r="K189"/>
          <cell r="L189">
            <v>332664.74</v>
          </cell>
        </row>
        <row r="190">
          <cell r="F190" t="str">
            <v>847.8470405.1.425510.000000.847001.200179</v>
          </cell>
          <cell r="G190">
            <v>15000</v>
          </cell>
          <cell r="H190">
            <v>15000</v>
          </cell>
          <cell r="I190">
            <v>22966.65</v>
          </cell>
          <cell r="J190"/>
          <cell r="K190"/>
          <cell r="L190">
            <v>26783.15</v>
          </cell>
        </row>
        <row r="191">
          <cell r="F191" t="str">
            <v>847.8470405.1.425550.000000.847001.200179</v>
          </cell>
          <cell r="G191">
            <v>15000</v>
          </cell>
          <cell r="H191">
            <v>19800</v>
          </cell>
          <cell r="I191">
            <v>18757.900000000001</v>
          </cell>
          <cell r="J191"/>
          <cell r="K191"/>
          <cell r="L191">
            <v>1042.0999999999999</v>
          </cell>
        </row>
        <row r="192">
          <cell r="F192" t="str">
            <v>847.8470405.1.425770.000000.847001.200179</v>
          </cell>
          <cell r="G192">
            <v>50000</v>
          </cell>
          <cell r="H192">
            <v>32848</v>
          </cell>
          <cell r="I192">
            <v>30551.57</v>
          </cell>
          <cell r="J192"/>
          <cell r="K192"/>
          <cell r="L192">
            <v>2296.4299999999998</v>
          </cell>
        </row>
        <row r="193">
          <cell r="F193" t="str">
            <v>847.8470405.1.427710.000000.847001.200179</v>
          </cell>
          <cell r="G193">
            <v>12000</v>
          </cell>
          <cell r="H193">
            <v>20175</v>
          </cell>
          <cell r="I193">
            <v>20174.88</v>
          </cell>
          <cell r="J193"/>
          <cell r="K193"/>
          <cell r="L193">
            <v>0.11999999999898101</v>
          </cell>
        </row>
        <row r="194">
          <cell r="F194" t="str">
            <v>847.8470405.1.432209.000000.847001.200179</v>
          </cell>
          <cell r="G194">
            <v>200000</v>
          </cell>
          <cell r="H194">
            <v>200000</v>
          </cell>
          <cell r="I194"/>
          <cell r="J194"/>
          <cell r="K194"/>
          <cell r="L194">
            <v>200000</v>
          </cell>
        </row>
        <row r="195">
          <cell r="F195" t="str">
            <v>847.8470405.1.435350.000000.847001.200179</v>
          </cell>
          <cell r="G195">
            <v>30000</v>
          </cell>
          <cell r="H195">
            <v>28100</v>
          </cell>
          <cell r="I195">
            <v>28033.25</v>
          </cell>
          <cell r="J195"/>
          <cell r="K195"/>
          <cell r="L195">
            <v>66.75</v>
          </cell>
        </row>
        <row r="196">
          <cell r="F196" t="str">
            <v>847.8470410.1.425761.000000.847001.200179</v>
          </cell>
          <cell r="G196">
            <v>162000</v>
          </cell>
          <cell r="H196">
            <v>118170</v>
          </cell>
          <cell r="I196"/>
          <cell r="J196"/>
          <cell r="K196"/>
          <cell r="L196">
            <v>118170</v>
          </cell>
        </row>
        <row r="197">
          <cell r="F197" t="str">
            <v>847.8470410.1.425770.000000.847001.200179</v>
          </cell>
          <cell r="G197">
            <v>120000</v>
          </cell>
          <cell r="H197">
            <v>75704</v>
          </cell>
          <cell r="I197">
            <v>72529</v>
          </cell>
          <cell r="J197"/>
          <cell r="K197"/>
          <cell r="L197">
            <v>3175</v>
          </cell>
        </row>
        <row r="198">
          <cell r="F198" t="str">
            <v>847.8470410.1.426610.000000.847001.200179</v>
          </cell>
          <cell r="G198">
            <v>5600</v>
          </cell>
          <cell r="H198">
            <v>5600</v>
          </cell>
          <cell r="I198">
            <v>1612</v>
          </cell>
          <cell r="J198"/>
          <cell r="K198"/>
          <cell r="L198">
            <v>3988</v>
          </cell>
        </row>
        <row r="199">
          <cell r="F199" t="str">
            <v>847.8470410.1.428090.000000.847001.200179</v>
          </cell>
          <cell r="G199">
            <v>0</v>
          </cell>
          <cell r="H199">
            <v>4529</v>
          </cell>
          <cell r="I199">
            <v>4529</v>
          </cell>
          <cell r="J199"/>
          <cell r="K199"/>
          <cell r="L199">
            <v>0</v>
          </cell>
        </row>
        <row r="200">
          <cell r="F200" t="str">
            <v>847.8470410.1.435310.000000.847001.200179</v>
          </cell>
          <cell r="G200">
            <v>85229</v>
          </cell>
          <cell r="H200">
            <v>85229</v>
          </cell>
          <cell r="I200">
            <v>12957.33</v>
          </cell>
          <cell r="J200">
            <v>0</v>
          </cell>
          <cell r="K200"/>
          <cell r="L200">
            <v>72271.67</v>
          </cell>
        </row>
        <row r="201">
          <cell r="F201" t="str">
            <v>847.8470410.1.435350.000000.847001.200179</v>
          </cell>
          <cell r="G201">
            <v>17900</v>
          </cell>
          <cell r="H201">
            <v>45384</v>
          </cell>
          <cell r="I201">
            <v>13988.2</v>
          </cell>
          <cell r="J201"/>
          <cell r="K201"/>
          <cell r="L201">
            <v>31395.8</v>
          </cell>
        </row>
        <row r="202">
          <cell r="F202" t="str">
            <v>847.8470415.1.421700.000000.847001.200179</v>
          </cell>
          <cell r="G202">
            <v>150000</v>
          </cell>
          <cell r="H202">
            <v>150000</v>
          </cell>
          <cell r="I202"/>
          <cell r="J202"/>
          <cell r="K202"/>
          <cell r="L202">
            <v>150000</v>
          </cell>
        </row>
        <row r="203">
          <cell r="F203" t="str">
            <v>847.8470415.1.425100.000000.847001.200179</v>
          </cell>
          <cell r="G203">
            <v>50000</v>
          </cell>
          <cell r="H203">
            <v>50000</v>
          </cell>
          <cell r="I203"/>
          <cell r="J203"/>
          <cell r="K203"/>
          <cell r="L203">
            <v>50000</v>
          </cell>
        </row>
        <row r="204">
          <cell r="F204" t="str">
            <v>847.8470415.1.425760.000000.847001.200179</v>
          </cell>
          <cell r="G204">
            <v>5000</v>
          </cell>
          <cell r="H204">
            <v>5000</v>
          </cell>
          <cell r="I204"/>
          <cell r="J204"/>
          <cell r="K204"/>
          <cell r="L204">
            <v>5000</v>
          </cell>
        </row>
        <row r="205">
          <cell r="F205" t="str">
            <v>847.8470415.1.425763.000000.847001.200179</v>
          </cell>
          <cell r="G205">
            <v>80000</v>
          </cell>
          <cell r="H205">
            <v>80000</v>
          </cell>
          <cell r="I205">
            <v>37063.160000000003</v>
          </cell>
          <cell r="J205">
            <v>0</v>
          </cell>
          <cell r="K205">
            <v>12430</v>
          </cell>
          <cell r="L205">
            <v>30506.84</v>
          </cell>
        </row>
        <row r="206">
          <cell r="F206" t="str">
            <v>847.8470415.1.425770.000000.847001.200179</v>
          </cell>
          <cell r="G206">
            <v>285000</v>
          </cell>
          <cell r="H206">
            <v>316248</v>
          </cell>
          <cell r="I206">
            <v>274693.67</v>
          </cell>
          <cell r="J206"/>
          <cell r="K206"/>
          <cell r="L206">
            <v>41554.33</v>
          </cell>
        </row>
        <row r="207">
          <cell r="F207" t="str">
            <v>847.8470415.1.425900.000000.847001.200179</v>
          </cell>
          <cell r="G207">
            <v>140000</v>
          </cell>
          <cell r="H207">
            <v>30000</v>
          </cell>
          <cell r="I207">
            <v>7839.73</v>
          </cell>
          <cell r="J207"/>
          <cell r="K207"/>
          <cell r="L207">
            <v>22160.27</v>
          </cell>
        </row>
        <row r="208">
          <cell r="F208" t="str">
            <v>847.8470415.1.426610.000000.847001.200179</v>
          </cell>
          <cell r="G208">
            <v>229511</v>
          </cell>
          <cell r="H208">
            <v>199511</v>
          </cell>
          <cell r="I208">
            <v>92696.94</v>
          </cell>
          <cell r="J208">
            <v>0</v>
          </cell>
          <cell r="K208">
            <v>37806.980000000003</v>
          </cell>
          <cell r="L208">
            <v>69007.08</v>
          </cell>
        </row>
        <row r="209">
          <cell r="F209" t="str">
            <v>847.8470415.1.428640.000000.847001.200179</v>
          </cell>
          <cell r="G209">
            <v>15000</v>
          </cell>
          <cell r="H209">
            <v>7612</v>
          </cell>
          <cell r="I209"/>
          <cell r="J209"/>
          <cell r="K209"/>
          <cell r="L209">
            <v>7612</v>
          </cell>
        </row>
        <row r="210">
          <cell r="F210" t="str">
            <v>847.8470415.1.432209.000000.847001.200179</v>
          </cell>
          <cell r="G210">
            <v>301000</v>
          </cell>
          <cell r="H210">
            <v>301000</v>
          </cell>
          <cell r="I210">
            <v>203796.71</v>
          </cell>
          <cell r="J210">
            <v>0</v>
          </cell>
          <cell r="K210">
            <v>899.99999999999602</v>
          </cell>
          <cell r="L210">
            <v>96303.29</v>
          </cell>
        </row>
        <row r="211">
          <cell r="F211" t="str">
            <v>847.8470415.1.435350.000000.847001.200179</v>
          </cell>
          <cell r="G211">
            <v>70000</v>
          </cell>
          <cell r="H211">
            <v>40275</v>
          </cell>
          <cell r="I211">
            <v>5138</v>
          </cell>
          <cell r="J211"/>
          <cell r="K211"/>
          <cell r="L211">
            <v>35137</v>
          </cell>
        </row>
        <row r="212">
          <cell r="F212" t="str">
            <v>847.8470415.1.435508.000000.847001.200179</v>
          </cell>
          <cell r="G212">
            <v>525000</v>
          </cell>
          <cell r="H212">
            <v>525000</v>
          </cell>
          <cell r="I212">
            <v>276301.45</v>
          </cell>
          <cell r="J212">
            <v>39712.74</v>
          </cell>
          <cell r="K212">
            <v>131373.94</v>
          </cell>
          <cell r="L212">
            <v>77611.87</v>
          </cell>
        </row>
        <row r="213">
          <cell r="F213" t="str">
            <v>847.8470415.1.435519.000000.847001.200179</v>
          </cell>
          <cell r="G213">
            <v>20000</v>
          </cell>
          <cell r="H213">
            <v>20000</v>
          </cell>
          <cell r="I213"/>
          <cell r="J213"/>
          <cell r="K213"/>
          <cell r="L213">
            <v>20000</v>
          </cell>
        </row>
        <row r="214">
          <cell r="F214" t="str">
            <v>847.8470425.1.425510.000000.847001.200179</v>
          </cell>
          <cell r="G214">
            <v>45000</v>
          </cell>
          <cell r="H214">
            <v>45000</v>
          </cell>
          <cell r="I214">
            <v>1890</v>
          </cell>
          <cell r="J214"/>
          <cell r="K214"/>
          <cell r="L214">
            <v>41220</v>
          </cell>
        </row>
        <row r="215">
          <cell r="F215" t="str">
            <v>847.8470425.1.425550.000000.847001.200179</v>
          </cell>
          <cell r="G215">
            <v>225000</v>
          </cell>
          <cell r="H215">
            <v>225000</v>
          </cell>
          <cell r="I215">
            <v>51685.17</v>
          </cell>
          <cell r="J215"/>
          <cell r="K215"/>
          <cell r="L215">
            <v>173314.83</v>
          </cell>
        </row>
        <row r="216">
          <cell r="F216" t="str">
            <v>847.8470425.1.425770.000000.847001.200179</v>
          </cell>
          <cell r="G216">
            <v>60000</v>
          </cell>
          <cell r="H216">
            <v>39943</v>
          </cell>
          <cell r="I216">
            <v>39895</v>
          </cell>
          <cell r="J216"/>
          <cell r="K216"/>
          <cell r="L216">
            <v>48</v>
          </cell>
        </row>
        <row r="217">
          <cell r="F217" t="str">
            <v>847.8470425.1.425900.000000.847001.200179</v>
          </cell>
          <cell r="G217">
            <v>10116</v>
          </cell>
          <cell r="H217">
            <v>10116</v>
          </cell>
          <cell r="I217">
            <v>1823</v>
          </cell>
          <cell r="J217"/>
          <cell r="K217"/>
          <cell r="L217">
            <v>8293</v>
          </cell>
        </row>
        <row r="218">
          <cell r="F218" t="str">
            <v>847.8470425.1.426610.000000.847001.200179</v>
          </cell>
          <cell r="G218">
            <v>212000</v>
          </cell>
          <cell r="H218">
            <v>89237</v>
          </cell>
          <cell r="I218">
            <v>22497.13</v>
          </cell>
          <cell r="J218">
            <v>0</v>
          </cell>
          <cell r="K218">
            <v>0</v>
          </cell>
          <cell r="L218">
            <v>66739.87</v>
          </cell>
        </row>
        <row r="219">
          <cell r="F219" t="str">
            <v>847.8470425.1.428090.000000.847001.200179</v>
          </cell>
          <cell r="G219">
            <v>128000</v>
          </cell>
          <cell r="H219">
            <v>34875</v>
          </cell>
          <cell r="I219">
            <v>6445</v>
          </cell>
          <cell r="J219"/>
          <cell r="K219"/>
          <cell r="L219">
            <v>28430</v>
          </cell>
        </row>
        <row r="220">
          <cell r="F220" t="str">
            <v>847.8470425.1.435350.000000.847001.200179</v>
          </cell>
          <cell r="G220">
            <v>120000</v>
          </cell>
          <cell r="H220">
            <v>90748</v>
          </cell>
          <cell r="I220">
            <v>87983.98</v>
          </cell>
          <cell r="J220"/>
          <cell r="K220"/>
          <cell r="L220">
            <v>2764.01999999999</v>
          </cell>
        </row>
        <row r="221">
          <cell r="F221" t="str">
            <v>847.8470425.1.435508.000000.847001.200179</v>
          </cell>
          <cell r="G221">
            <v>551566</v>
          </cell>
          <cell r="H221">
            <v>551566</v>
          </cell>
          <cell r="I221">
            <v>171607.93</v>
          </cell>
          <cell r="J221">
            <v>0</v>
          </cell>
          <cell r="K221">
            <v>29995</v>
          </cell>
          <cell r="L221">
            <v>349963.07</v>
          </cell>
        </row>
        <row r="222">
          <cell r="F222" t="str">
            <v>847.8470430.1.425761.000000.847001.200179</v>
          </cell>
          <cell r="G222">
            <v>8500</v>
          </cell>
          <cell r="H222">
            <v>8500</v>
          </cell>
          <cell r="I222"/>
          <cell r="J222"/>
          <cell r="K222"/>
          <cell r="L222">
            <v>8500</v>
          </cell>
        </row>
        <row r="223">
          <cell r="F223" t="str">
            <v>847.8470430.1.425770.000000.847001.200179</v>
          </cell>
          <cell r="G223">
            <v>375000</v>
          </cell>
          <cell r="H223">
            <v>189463</v>
          </cell>
          <cell r="I223">
            <v>35433.79</v>
          </cell>
          <cell r="J223"/>
          <cell r="K223"/>
          <cell r="L223">
            <v>154029.21</v>
          </cell>
        </row>
        <row r="224">
          <cell r="F224" t="str">
            <v>847.8470430.1.425900.000000.847001.200179</v>
          </cell>
          <cell r="G224">
            <v>12000</v>
          </cell>
          <cell r="H224">
            <v>12000</v>
          </cell>
          <cell r="I224"/>
          <cell r="J224"/>
          <cell r="K224"/>
          <cell r="L224">
            <v>12000</v>
          </cell>
        </row>
        <row r="225">
          <cell r="F225" t="str">
            <v>847.8470430.1.426610.000000.847001.200179</v>
          </cell>
          <cell r="G225">
            <v>26152</v>
          </cell>
          <cell r="H225">
            <v>26152</v>
          </cell>
          <cell r="I225">
            <v>49362.03</v>
          </cell>
          <cell r="J225">
            <v>0</v>
          </cell>
          <cell r="K225">
            <v>-26381.32</v>
          </cell>
          <cell r="L225">
            <v>3171.29</v>
          </cell>
        </row>
        <row r="226">
          <cell r="F226" t="str">
            <v>847.8470430.1.432209.000000.847001.200179</v>
          </cell>
          <cell r="G226">
            <v>0</v>
          </cell>
          <cell r="H226">
            <v>1575</v>
          </cell>
          <cell r="I226">
            <v>1500</v>
          </cell>
          <cell r="J226"/>
          <cell r="K226"/>
          <cell r="L226">
            <v>75</v>
          </cell>
        </row>
        <row r="227">
          <cell r="F227" t="str">
            <v>847.8470430.1.435508.000000.847001.200179</v>
          </cell>
          <cell r="G227">
            <v>84600</v>
          </cell>
          <cell r="H227">
            <v>84600</v>
          </cell>
          <cell r="I227"/>
          <cell r="J227">
            <v>0</v>
          </cell>
          <cell r="K227">
            <v>9789.4</v>
          </cell>
          <cell r="L227">
            <v>74810.600000000006</v>
          </cell>
        </row>
        <row r="228">
          <cell r="F228" t="str">
            <v>847.8470435.1.425770.000000.847001.200179</v>
          </cell>
          <cell r="G228">
            <v>100000</v>
          </cell>
          <cell r="H228">
            <v>97738</v>
          </cell>
          <cell r="I228">
            <v>97502.41</v>
          </cell>
          <cell r="J228"/>
          <cell r="K228"/>
          <cell r="L228">
            <v>235.58999999999699</v>
          </cell>
        </row>
        <row r="229">
          <cell r="F229" t="str">
            <v>847.8470435.1.426610.000000.847001.200179</v>
          </cell>
          <cell r="G229">
            <v>30000</v>
          </cell>
          <cell r="H229">
            <v>30000</v>
          </cell>
          <cell r="I229">
            <v>29106</v>
          </cell>
          <cell r="J229">
            <v>0</v>
          </cell>
          <cell r="K229">
            <v>0</v>
          </cell>
          <cell r="L229">
            <v>894</v>
          </cell>
        </row>
        <row r="230">
          <cell r="F230" t="str">
            <v>847.8470435.1.435340.000000.847001.200179</v>
          </cell>
          <cell r="G230">
            <v>35000</v>
          </cell>
          <cell r="H230">
            <v>19000</v>
          </cell>
          <cell r="I230"/>
          <cell r="J230"/>
          <cell r="K230"/>
          <cell r="L230">
            <v>19000</v>
          </cell>
        </row>
        <row r="231">
          <cell r="F231" t="str">
            <v>847.8470435.1.436600.000000.847001.200179</v>
          </cell>
          <cell r="G231">
            <v>30000</v>
          </cell>
          <cell r="H231">
            <v>30000</v>
          </cell>
          <cell r="I231"/>
          <cell r="J231"/>
          <cell r="K231"/>
          <cell r="L231">
            <v>30000</v>
          </cell>
        </row>
        <row r="232">
          <cell r="F232" t="str">
            <v>847.8470440.1.420550.000000.847001.200179</v>
          </cell>
          <cell r="G232">
            <v>560000</v>
          </cell>
          <cell r="H232">
            <v>560000</v>
          </cell>
          <cell r="I232">
            <v>13237.09</v>
          </cell>
          <cell r="J232"/>
          <cell r="K232"/>
          <cell r="L232">
            <v>546762.91</v>
          </cell>
        </row>
        <row r="233">
          <cell r="F233" t="str">
            <v>847.8470440.1.420570.000000.847001.200179</v>
          </cell>
          <cell r="G233">
            <v>150000</v>
          </cell>
          <cell r="H233">
            <v>135000</v>
          </cell>
          <cell r="I233"/>
          <cell r="J233"/>
          <cell r="K233"/>
          <cell r="L233">
            <v>135000</v>
          </cell>
        </row>
        <row r="234">
          <cell r="F234" t="str">
            <v>847.8470440.1.421700.000000.847001.200179</v>
          </cell>
          <cell r="G234">
            <v>280000</v>
          </cell>
          <cell r="H234">
            <v>280000</v>
          </cell>
          <cell r="I234"/>
          <cell r="J234"/>
          <cell r="K234"/>
          <cell r="L234">
            <v>280000</v>
          </cell>
        </row>
        <row r="235">
          <cell r="F235" t="str">
            <v>847.8470440.1.425100.000000.847001.200179</v>
          </cell>
          <cell r="G235">
            <v>10000</v>
          </cell>
          <cell r="H235">
            <v>10000</v>
          </cell>
          <cell r="I235"/>
          <cell r="J235"/>
          <cell r="K235"/>
          <cell r="L235">
            <v>10000</v>
          </cell>
        </row>
        <row r="236">
          <cell r="F236" t="str">
            <v>847.8470440.1.425510.000000.847001.200179</v>
          </cell>
          <cell r="G236">
            <v>225000</v>
          </cell>
          <cell r="H236">
            <v>225000</v>
          </cell>
          <cell r="I236">
            <v>6610</v>
          </cell>
          <cell r="J236"/>
          <cell r="K236"/>
          <cell r="L236">
            <v>218390</v>
          </cell>
        </row>
        <row r="237">
          <cell r="F237" t="str">
            <v>847.8470440.1.425550.000000.847001.200179</v>
          </cell>
          <cell r="G237">
            <v>225000</v>
          </cell>
          <cell r="H237">
            <v>225000</v>
          </cell>
          <cell r="I237">
            <v>24421.71</v>
          </cell>
          <cell r="J237"/>
          <cell r="K237"/>
          <cell r="L237">
            <v>200578.29</v>
          </cell>
        </row>
        <row r="238">
          <cell r="F238" t="str">
            <v>847.8470440.1.425761.000000.847001.200179</v>
          </cell>
          <cell r="G238">
            <v>750000</v>
          </cell>
          <cell r="H238">
            <v>750000</v>
          </cell>
          <cell r="I238"/>
          <cell r="J238"/>
          <cell r="K238"/>
          <cell r="L238">
            <v>750000</v>
          </cell>
        </row>
        <row r="239">
          <cell r="F239" t="str">
            <v>847.8470440.1.425770.000000.847001.200179</v>
          </cell>
          <cell r="G239">
            <v>300000</v>
          </cell>
          <cell r="H239">
            <v>170408</v>
          </cell>
          <cell r="I239">
            <v>169094</v>
          </cell>
          <cell r="J239"/>
          <cell r="K239"/>
          <cell r="L239">
            <v>1314</v>
          </cell>
        </row>
        <row r="240">
          <cell r="F240" t="str">
            <v>847.8470440.1.425900.000000.847001.200179</v>
          </cell>
          <cell r="G240">
            <v>24000</v>
          </cell>
          <cell r="H240">
            <v>24000</v>
          </cell>
          <cell r="I240"/>
          <cell r="J240"/>
          <cell r="K240"/>
          <cell r="L240">
            <v>24000</v>
          </cell>
        </row>
        <row r="241">
          <cell r="F241" t="str">
            <v>847.8470440.1.426610.000000.847001.200179</v>
          </cell>
          <cell r="G241">
            <v>120000</v>
          </cell>
          <cell r="H241">
            <v>120000</v>
          </cell>
          <cell r="I241">
            <v>8988.7800000000007</v>
          </cell>
          <cell r="J241">
            <v>13590.1</v>
          </cell>
          <cell r="K241">
            <v>0</v>
          </cell>
          <cell r="L241">
            <v>97421.119999999995</v>
          </cell>
        </row>
        <row r="242">
          <cell r="F242" t="str">
            <v>847.8470440.1.427710.000000.847001.200179</v>
          </cell>
          <cell r="G242">
            <v>15000</v>
          </cell>
          <cell r="H242">
            <v>15000</v>
          </cell>
          <cell r="I242"/>
          <cell r="J242"/>
          <cell r="K242"/>
          <cell r="L242">
            <v>15000</v>
          </cell>
        </row>
        <row r="243">
          <cell r="F243" t="str">
            <v>847.8470440.1.428090.000000.847001.200179</v>
          </cell>
          <cell r="G243">
            <v>225000</v>
          </cell>
          <cell r="H243">
            <v>61304</v>
          </cell>
          <cell r="I243"/>
          <cell r="J243"/>
          <cell r="K243"/>
          <cell r="L243">
            <v>61304</v>
          </cell>
        </row>
        <row r="244">
          <cell r="F244" t="str">
            <v>847.8470440.1.428640.000000.847001.200179</v>
          </cell>
          <cell r="G244">
            <v>100000</v>
          </cell>
          <cell r="H244">
            <v>50745</v>
          </cell>
          <cell r="I244">
            <v>2173.5</v>
          </cell>
          <cell r="J244"/>
          <cell r="K244"/>
          <cell r="L244">
            <v>48571.5</v>
          </cell>
        </row>
        <row r="245">
          <cell r="F245" t="str">
            <v>847.8470440.1.435340.000000.847001.200179</v>
          </cell>
          <cell r="G245">
            <v>120000</v>
          </cell>
          <cell r="H245">
            <v>120000</v>
          </cell>
          <cell r="I245"/>
          <cell r="J245"/>
          <cell r="K245"/>
          <cell r="L245">
            <v>120000</v>
          </cell>
        </row>
        <row r="246">
          <cell r="F246" t="str">
            <v>847.8470440.1.435350.000000.847001.200179</v>
          </cell>
          <cell r="G246">
            <v>40000</v>
          </cell>
          <cell r="H246">
            <v>45000</v>
          </cell>
          <cell r="I246">
            <v>56644.7</v>
          </cell>
          <cell r="J246"/>
          <cell r="K246"/>
          <cell r="L246">
            <v>3.6379788070917101E-12</v>
          </cell>
        </row>
        <row r="247">
          <cell r="F247" t="str">
            <v>847.8470440.1.436600.000000.847001.200179</v>
          </cell>
          <cell r="G247">
            <v>22500</v>
          </cell>
          <cell r="H247">
            <v>22500</v>
          </cell>
          <cell r="I247">
            <v>4195</v>
          </cell>
          <cell r="J247">
            <v>0</v>
          </cell>
          <cell r="K247">
            <v>0</v>
          </cell>
          <cell r="L247">
            <v>18305</v>
          </cell>
        </row>
        <row r="248">
          <cell r="F248" t="str">
            <v>847.8470445.1.425100.000000.847001.200179</v>
          </cell>
          <cell r="G248">
            <v>150000</v>
          </cell>
          <cell r="H248">
            <v>150000</v>
          </cell>
          <cell r="I248"/>
          <cell r="J248"/>
          <cell r="K248"/>
          <cell r="L248">
            <v>150000</v>
          </cell>
        </row>
        <row r="249">
          <cell r="F249" t="str">
            <v>847.8470445.1.425510.000000.847001.200179</v>
          </cell>
          <cell r="G249">
            <v>0</v>
          </cell>
          <cell r="H249">
            <v>10000</v>
          </cell>
          <cell r="I249"/>
          <cell r="J249"/>
          <cell r="K249"/>
          <cell r="L249">
            <v>10000</v>
          </cell>
        </row>
        <row r="250">
          <cell r="F250" t="str">
            <v>847.8470445.1.425720.000000.847001.200179</v>
          </cell>
          <cell r="G250">
            <v>18350</v>
          </cell>
          <cell r="H250">
            <v>19350</v>
          </cell>
          <cell r="I250">
            <v>825</v>
          </cell>
          <cell r="J250"/>
          <cell r="K250"/>
          <cell r="L250">
            <v>18525</v>
          </cell>
        </row>
        <row r="251">
          <cell r="F251" t="str">
            <v>847.8470445.1.425760.000000.847001.200179</v>
          </cell>
          <cell r="G251">
            <v>36630</v>
          </cell>
          <cell r="H251">
            <v>25630</v>
          </cell>
          <cell r="I251"/>
          <cell r="J251"/>
          <cell r="K251"/>
          <cell r="L251">
            <v>25630</v>
          </cell>
        </row>
        <row r="252">
          <cell r="F252" t="str">
            <v>847.8470445.1.425763.000000.847001.200179</v>
          </cell>
          <cell r="G252">
            <v>7590</v>
          </cell>
          <cell r="H252">
            <v>7590</v>
          </cell>
          <cell r="I252"/>
          <cell r="J252"/>
          <cell r="K252"/>
          <cell r="L252">
            <v>7590</v>
          </cell>
        </row>
        <row r="253">
          <cell r="F253" t="str">
            <v>847.8470445.1.425770.000000.847001.200179</v>
          </cell>
          <cell r="G253">
            <v>570000</v>
          </cell>
          <cell r="H253">
            <v>299950</v>
          </cell>
          <cell r="I253">
            <v>258889.86</v>
          </cell>
          <cell r="J253"/>
          <cell r="K253"/>
          <cell r="L253">
            <v>41060.14</v>
          </cell>
        </row>
        <row r="254">
          <cell r="F254" t="str">
            <v>847.8470445.1.426610.000000.847001.200179</v>
          </cell>
          <cell r="G254">
            <v>37650</v>
          </cell>
          <cell r="H254">
            <v>37650</v>
          </cell>
          <cell r="I254">
            <v>21927.29</v>
          </cell>
          <cell r="J254">
            <v>0</v>
          </cell>
          <cell r="K254">
            <v>0</v>
          </cell>
          <cell r="L254">
            <v>15722.71</v>
          </cell>
        </row>
        <row r="255">
          <cell r="F255" t="str">
            <v>847.8470445.1.435350.000000.847001.200179</v>
          </cell>
          <cell r="G255">
            <v>600000</v>
          </cell>
          <cell r="H255">
            <v>325029</v>
          </cell>
          <cell r="I255">
            <v>182703.09</v>
          </cell>
          <cell r="J255"/>
          <cell r="K255"/>
          <cell r="L255">
            <v>142325.91</v>
          </cell>
        </row>
        <row r="256">
          <cell r="F256" t="str">
            <v>847.8470450.1.425761.000000.847001.200179</v>
          </cell>
          <cell r="G256">
            <v>500000</v>
          </cell>
          <cell r="H256">
            <v>500000</v>
          </cell>
          <cell r="I256">
            <v>314421.74</v>
          </cell>
          <cell r="J256"/>
          <cell r="K256"/>
          <cell r="L256">
            <v>185578.26</v>
          </cell>
        </row>
        <row r="257">
          <cell r="F257" t="str">
            <v>847.8470450.1.425770.000000.847001.200179</v>
          </cell>
          <cell r="G257">
            <v>180000</v>
          </cell>
          <cell r="H257">
            <v>134417</v>
          </cell>
          <cell r="I257">
            <v>124948.83</v>
          </cell>
          <cell r="J257"/>
          <cell r="K257"/>
          <cell r="L257">
            <v>9468.17</v>
          </cell>
        </row>
        <row r="258">
          <cell r="F258" t="str">
            <v>847.8470450.1.426610.000000.847001.200179</v>
          </cell>
          <cell r="G258">
            <v>313605</v>
          </cell>
          <cell r="H258">
            <v>313605</v>
          </cell>
          <cell r="I258">
            <v>35628.1</v>
          </cell>
          <cell r="J258">
            <v>0</v>
          </cell>
          <cell r="K258">
            <v>0</v>
          </cell>
          <cell r="L258">
            <v>277976.90000000002</v>
          </cell>
        </row>
        <row r="259">
          <cell r="F259" t="str">
            <v>847.8470450.1.428090.000000.847001.200179</v>
          </cell>
          <cell r="G259">
            <v>30000</v>
          </cell>
          <cell r="H259">
            <v>2201</v>
          </cell>
          <cell r="I259">
            <v>2200</v>
          </cell>
          <cell r="J259"/>
          <cell r="K259"/>
          <cell r="L259">
            <v>1</v>
          </cell>
        </row>
        <row r="260">
          <cell r="F260" t="str">
            <v>847.8470450.1.432209.000000.847001.200179</v>
          </cell>
          <cell r="G260">
            <v>118157</v>
          </cell>
          <cell r="H260">
            <v>118157</v>
          </cell>
          <cell r="I260">
            <v>12898.45</v>
          </cell>
          <cell r="J260">
            <v>39200</v>
          </cell>
          <cell r="K260">
            <v>21744.959999999999</v>
          </cell>
          <cell r="L260">
            <v>44313.59</v>
          </cell>
        </row>
        <row r="261">
          <cell r="F261" t="str">
            <v>847.8470450.1.435350.000000.847001.200179</v>
          </cell>
          <cell r="G261">
            <v>40000</v>
          </cell>
          <cell r="H261">
            <v>21669</v>
          </cell>
          <cell r="I261">
            <v>10027.290000000001</v>
          </cell>
          <cell r="J261"/>
          <cell r="K261"/>
          <cell r="L261">
            <v>11641.71</v>
          </cell>
        </row>
        <row r="262">
          <cell r="F262" t="str">
            <v>847.8470450.1.435508.000000.847001.200179</v>
          </cell>
          <cell r="G262">
            <v>6500</v>
          </cell>
          <cell r="H262">
            <v>16500</v>
          </cell>
          <cell r="I262">
            <v>9101.4599999999991</v>
          </cell>
          <cell r="J262">
            <v>-235</v>
          </cell>
          <cell r="K262">
            <v>0</v>
          </cell>
          <cell r="L262">
            <v>7633.54</v>
          </cell>
        </row>
        <row r="263">
          <cell r="F263" t="str">
            <v>847.8470455.1.425760.000000.847001.200179</v>
          </cell>
          <cell r="G263">
            <v>10000</v>
          </cell>
          <cell r="H263">
            <v>10000</v>
          </cell>
          <cell r="I263"/>
          <cell r="J263"/>
          <cell r="K263"/>
          <cell r="L263">
            <v>10000</v>
          </cell>
        </row>
        <row r="264">
          <cell r="F264" t="str">
            <v>847.8470455.1.425770.000000.847001.200179</v>
          </cell>
          <cell r="G264">
            <v>80000</v>
          </cell>
          <cell r="H264">
            <v>43337</v>
          </cell>
          <cell r="I264">
            <v>29264.39</v>
          </cell>
          <cell r="J264"/>
          <cell r="K264"/>
          <cell r="L264">
            <v>14072.61</v>
          </cell>
        </row>
        <row r="265">
          <cell r="F265" t="str">
            <v>847.8470455.1.425900.000000.847001.200179</v>
          </cell>
          <cell r="G265">
            <v>15000</v>
          </cell>
          <cell r="H265">
            <v>15000</v>
          </cell>
          <cell r="I265">
            <v>5020.0200000000004</v>
          </cell>
          <cell r="J265"/>
          <cell r="K265"/>
          <cell r="L265">
            <v>9979.98</v>
          </cell>
        </row>
        <row r="266">
          <cell r="F266" t="str">
            <v>847.8470455.1.426610.000000.847001.200179</v>
          </cell>
          <cell r="G266">
            <v>50000</v>
          </cell>
          <cell r="H266">
            <v>50000</v>
          </cell>
          <cell r="I266">
            <v>30435.24</v>
          </cell>
          <cell r="J266">
            <v>0</v>
          </cell>
          <cell r="K266">
            <v>0</v>
          </cell>
          <cell r="L266">
            <v>19564.759999999998</v>
          </cell>
        </row>
        <row r="267">
          <cell r="F267" t="str">
            <v>847.8470455.1.428090.000000.847001.200179</v>
          </cell>
          <cell r="G267">
            <v>50000</v>
          </cell>
          <cell r="H267">
            <v>48000</v>
          </cell>
          <cell r="I267"/>
          <cell r="J267"/>
          <cell r="K267"/>
          <cell r="L267">
            <v>48000</v>
          </cell>
        </row>
        <row r="268">
          <cell r="F268" t="str">
            <v>847.8470455.1.428640.000000.847001.200179</v>
          </cell>
          <cell r="G268">
            <v>5000</v>
          </cell>
          <cell r="H268">
            <v>2537</v>
          </cell>
          <cell r="I268"/>
          <cell r="J268"/>
          <cell r="K268"/>
          <cell r="L268">
            <v>2537</v>
          </cell>
        </row>
        <row r="269">
          <cell r="F269" t="str">
            <v>847.8470455.1.432209.000000.847001.200179</v>
          </cell>
          <cell r="G269">
            <v>300000</v>
          </cell>
          <cell r="H269">
            <v>300000</v>
          </cell>
          <cell r="I269">
            <v>2200</v>
          </cell>
          <cell r="J269">
            <v>0</v>
          </cell>
          <cell r="K269">
            <v>295500</v>
          </cell>
          <cell r="L269">
            <v>2300</v>
          </cell>
        </row>
        <row r="270">
          <cell r="F270" t="str">
            <v>847.8470455.1.435350.000000.847001.200179</v>
          </cell>
          <cell r="G270">
            <v>80000</v>
          </cell>
          <cell r="H270">
            <v>80000</v>
          </cell>
          <cell r="I270">
            <v>33189.379999999997</v>
          </cell>
          <cell r="J270"/>
          <cell r="K270"/>
          <cell r="L270">
            <v>46810.62</v>
          </cell>
        </row>
        <row r="271">
          <cell r="F271" t="str">
            <v>847.8470455.1.435508.000000.847001.200179</v>
          </cell>
          <cell r="G271">
            <v>675000</v>
          </cell>
          <cell r="H271">
            <v>675000</v>
          </cell>
          <cell r="I271">
            <v>279480.03000000003</v>
          </cell>
          <cell r="J271">
            <v>0</v>
          </cell>
          <cell r="K271">
            <v>210965</v>
          </cell>
          <cell r="L271">
            <v>184554.97</v>
          </cell>
        </row>
        <row r="272">
          <cell r="F272" t="str">
            <v>847.8470455.1.436110.000000.847001.200179</v>
          </cell>
          <cell r="G272">
            <v>5000</v>
          </cell>
          <cell r="H272">
            <v>5000</v>
          </cell>
          <cell r="I272"/>
          <cell r="J272"/>
          <cell r="K272"/>
          <cell r="L272">
            <v>5000</v>
          </cell>
        </row>
        <row r="273">
          <cell r="F273" t="str">
            <v>847.8470520.1.425510.000000.847001.200179</v>
          </cell>
          <cell r="G273">
            <v>29519</v>
          </cell>
          <cell r="H273">
            <v>29519</v>
          </cell>
          <cell r="I273">
            <v>3329.25</v>
          </cell>
          <cell r="J273"/>
          <cell r="K273"/>
          <cell r="L273">
            <v>26189.75</v>
          </cell>
        </row>
        <row r="274">
          <cell r="F274" t="str">
            <v>847.8470520.1.426100.000000.847001.200179</v>
          </cell>
          <cell r="G274">
            <v>20000</v>
          </cell>
          <cell r="H274">
            <v>20000</v>
          </cell>
          <cell r="I274"/>
          <cell r="J274"/>
          <cell r="K274"/>
          <cell r="L274">
            <v>20000</v>
          </cell>
        </row>
        <row r="275">
          <cell r="F275" t="str">
            <v>847.8470520.1.427710.000000.847001.200179</v>
          </cell>
          <cell r="G275">
            <v>42000</v>
          </cell>
          <cell r="H275">
            <v>42000</v>
          </cell>
          <cell r="I275">
            <v>10510</v>
          </cell>
          <cell r="J275">
            <v>0</v>
          </cell>
          <cell r="K275">
            <v>0</v>
          </cell>
          <cell r="L275">
            <v>31490</v>
          </cell>
        </row>
        <row r="276">
          <cell r="F276" t="str">
            <v>847.8470520.1.428200.000000.847001.200179</v>
          </cell>
          <cell r="G276">
            <v>616900</v>
          </cell>
          <cell r="H276">
            <v>591900</v>
          </cell>
          <cell r="I276">
            <v>576994.68999999994</v>
          </cell>
          <cell r="J276">
            <v>2540</v>
          </cell>
          <cell r="K276">
            <v>-36006</v>
          </cell>
          <cell r="L276">
            <v>48371.309999999801</v>
          </cell>
        </row>
        <row r="277">
          <cell r="F277" t="str">
            <v>847.8470520.1.428200.000000.847951.200179</v>
          </cell>
          <cell r="G277">
            <v>23100</v>
          </cell>
          <cell r="H277">
            <v>23100</v>
          </cell>
          <cell r="I277">
            <v>23100</v>
          </cell>
          <cell r="J277"/>
          <cell r="K277">
            <v>0</v>
          </cell>
          <cell r="L277">
            <v>0</v>
          </cell>
        </row>
        <row r="278">
          <cell r="F278" t="str">
            <v>847.8470520.1.428640.000000.847001.200179</v>
          </cell>
          <cell r="G278">
            <v>0</v>
          </cell>
          <cell r="H278">
            <v>25000</v>
          </cell>
          <cell r="I278"/>
          <cell r="J278"/>
          <cell r="K278"/>
          <cell r="L278">
            <v>25000</v>
          </cell>
        </row>
        <row r="279">
          <cell r="F279" t="str">
            <v>847.8470530.1.420310.000000.847010.200179</v>
          </cell>
          <cell r="G279">
            <v>4056439</v>
          </cell>
          <cell r="H279">
            <v>4081439</v>
          </cell>
          <cell r="I279">
            <v>3202410.89</v>
          </cell>
          <cell r="J279">
            <v>0</v>
          </cell>
          <cell r="K279">
            <v>873806.2</v>
          </cell>
          <cell r="L279">
            <v>5221.9099999999198</v>
          </cell>
        </row>
        <row r="280">
          <cell r="F280" t="str">
            <v>847.8470530.1.420310.000000.847015.200179</v>
          </cell>
          <cell r="G280">
            <v>747242</v>
          </cell>
          <cell r="H280">
            <v>747242</v>
          </cell>
          <cell r="I280">
            <v>403891.03</v>
          </cell>
          <cell r="J280">
            <v>0</v>
          </cell>
          <cell r="K280">
            <v>343350.97</v>
          </cell>
          <cell r="L280">
            <v>-5.8207660913467401E-11</v>
          </cell>
        </row>
        <row r="281">
          <cell r="F281" t="str">
            <v>847.8470530.1.420310.000000.847020.200179</v>
          </cell>
          <cell r="G281">
            <v>4118107</v>
          </cell>
          <cell r="H281">
            <v>4364107</v>
          </cell>
          <cell r="I281">
            <v>3781466.01</v>
          </cell>
          <cell r="J281">
            <v>0</v>
          </cell>
          <cell r="K281">
            <v>566411.71</v>
          </cell>
          <cell r="L281">
            <v>16229.28</v>
          </cell>
        </row>
        <row r="282">
          <cell r="F282" t="str">
            <v>847.8470530.1.421000.000000.847010.200179</v>
          </cell>
          <cell r="G282">
            <v>350000</v>
          </cell>
          <cell r="H282">
            <v>850000</v>
          </cell>
          <cell r="I282"/>
          <cell r="J282">
            <v>0</v>
          </cell>
          <cell r="K282">
            <v>850000</v>
          </cell>
          <cell r="L282">
            <v>0</v>
          </cell>
        </row>
        <row r="283">
          <cell r="F283" t="str">
            <v>847.8470530.1.421100.000000.847010.200179</v>
          </cell>
          <cell r="G283">
            <v>0</v>
          </cell>
          <cell r="H283">
            <v>-42048</v>
          </cell>
          <cell r="I283">
            <v>-46720</v>
          </cell>
          <cell r="J283"/>
          <cell r="K283"/>
          <cell r="L283">
            <v>4672</v>
          </cell>
        </row>
        <row r="284">
          <cell r="F284" t="str">
            <v>847.8470530.1.421600.000000.847010.200179</v>
          </cell>
          <cell r="G284">
            <v>4137480</v>
          </cell>
          <cell r="H284">
            <v>3767662</v>
          </cell>
          <cell r="I284">
            <v>3615061.42</v>
          </cell>
          <cell r="J284">
            <v>0</v>
          </cell>
          <cell r="K284">
            <v>152600</v>
          </cell>
          <cell r="L284">
            <v>0.58000000007450603</v>
          </cell>
        </row>
        <row r="285">
          <cell r="F285" t="str">
            <v>847.8470530.1.421600.000000.847015.200179</v>
          </cell>
          <cell r="G285">
            <v>2649480</v>
          </cell>
          <cell r="H285">
            <v>2421019</v>
          </cell>
          <cell r="I285">
            <v>2305257.31</v>
          </cell>
          <cell r="J285">
            <v>0</v>
          </cell>
          <cell r="K285">
            <v>115760.96000000001</v>
          </cell>
          <cell r="L285">
            <v>0.72999999998137399</v>
          </cell>
        </row>
        <row r="286">
          <cell r="F286" t="str">
            <v>847.8470530.1.421600.000000.847020.200179</v>
          </cell>
          <cell r="G286">
            <v>2601720</v>
          </cell>
          <cell r="H286">
            <v>2054143</v>
          </cell>
          <cell r="I286">
            <v>1574226.74</v>
          </cell>
          <cell r="J286">
            <v>0</v>
          </cell>
          <cell r="K286">
            <v>378492.89</v>
          </cell>
          <cell r="L286">
            <v>101423.37</v>
          </cell>
        </row>
        <row r="287">
          <cell r="F287" t="str">
            <v>847.8470530.1.421600.000000.847030.200179</v>
          </cell>
          <cell r="G287">
            <v>0</v>
          </cell>
          <cell r="H287">
            <v>635219</v>
          </cell>
          <cell r="I287">
            <v>446286.18</v>
          </cell>
          <cell r="J287">
            <v>0</v>
          </cell>
          <cell r="K287">
            <v>96978</v>
          </cell>
          <cell r="L287">
            <v>91954.819999999905</v>
          </cell>
        </row>
        <row r="288">
          <cell r="F288" t="str">
            <v>847.8470530.1.421700.000000.847010.200179</v>
          </cell>
          <cell r="G288">
            <v>0</v>
          </cell>
          <cell r="H288">
            <v>328000</v>
          </cell>
          <cell r="I288">
            <v>99000</v>
          </cell>
          <cell r="J288">
            <v>30000</v>
          </cell>
          <cell r="K288">
            <v>197000</v>
          </cell>
          <cell r="L288">
            <v>2000</v>
          </cell>
        </row>
        <row r="289">
          <cell r="F289" t="str">
            <v>847.8470530.1.425510.000000.847010.200179</v>
          </cell>
          <cell r="G289">
            <v>20000</v>
          </cell>
          <cell r="H289">
            <v>20000</v>
          </cell>
          <cell r="I289">
            <v>16693.37</v>
          </cell>
          <cell r="J289"/>
          <cell r="K289"/>
          <cell r="L289">
            <v>3306.63</v>
          </cell>
        </row>
        <row r="290">
          <cell r="F290" t="str">
            <v>847.8470530.1.425900.000000.847010.200179</v>
          </cell>
          <cell r="G290">
            <v>30000</v>
          </cell>
          <cell r="H290">
            <v>30000</v>
          </cell>
          <cell r="I290">
            <v>16443</v>
          </cell>
          <cell r="J290"/>
          <cell r="K290"/>
          <cell r="L290">
            <v>12927</v>
          </cell>
        </row>
        <row r="291">
          <cell r="F291" t="str">
            <v>847.8470530.1.426220.000000.847010.200179</v>
          </cell>
          <cell r="G291">
            <v>960437</v>
          </cell>
          <cell r="H291">
            <v>960437</v>
          </cell>
          <cell r="I291">
            <v>558196.81000000006</v>
          </cell>
          <cell r="J291"/>
          <cell r="K291"/>
          <cell r="L291">
            <v>402240.19</v>
          </cell>
        </row>
        <row r="292">
          <cell r="F292" t="str">
            <v>847.8470530.1.426220.000000.847030.200179</v>
          </cell>
          <cell r="G292">
            <v>23714</v>
          </cell>
          <cell r="H292">
            <v>23714</v>
          </cell>
          <cell r="I292"/>
          <cell r="J292"/>
          <cell r="K292"/>
          <cell r="L292">
            <v>23714</v>
          </cell>
        </row>
        <row r="293">
          <cell r="F293" t="str">
            <v>847.8470530.1.426250.000000.847010.200179</v>
          </cell>
          <cell r="G293">
            <v>50000</v>
          </cell>
          <cell r="H293">
            <v>50000</v>
          </cell>
          <cell r="I293">
            <v>14718</v>
          </cell>
          <cell r="J293"/>
          <cell r="K293"/>
          <cell r="L293">
            <v>35282</v>
          </cell>
        </row>
        <row r="294">
          <cell r="F294" t="str">
            <v>847.8470530.1.428090.000000.847001.200179</v>
          </cell>
          <cell r="G294">
            <v>50000</v>
          </cell>
          <cell r="H294">
            <v>0</v>
          </cell>
          <cell r="I294"/>
          <cell r="J294"/>
          <cell r="K294"/>
          <cell r="L294">
            <v>0</v>
          </cell>
        </row>
        <row r="295">
          <cell r="F295" t="str">
            <v>847.8470530.1.430110.000000.847020.200179</v>
          </cell>
          <cell r="G295">
            <v>0</v>
          </cell>
          <cell r="H295">
            <v>200211</v>
          </cell>
          <cell r="I295">
            <v>199212.79999999999</v>
          </cell>
          <cell r="J295"/>
          <cell r="K295"/>
          <cell r="L295">
            <v>998.19999999998299</v>
          </cell>
        </row>
        <row r="296">
          <cell r="F296" t="str">
            <v>847.8470530.1.432120.000000.847010.200179</v>
          </cell>
          <cell r="G296">
            <v>11946037</v>
          </cell>
          <cell r="H296">
            <v>11446037</v>
          </cell>
          <cell r="I296">
            <v>10079288.35</v>
          </cell>
          <cell r="J296">
            <v>162501</v>
          </cell>
          <cell r="K296">
            <v>961199.54</v>
          </cell>
          <cell r="L296">
            <v>243048.11</v>
          </cell>
        </row>
        <row r="297">
          <cell r="F297" t="str">
            <v>847.8470530.1.432120.000000.847015.200179</v>
          </cell>
          <cell r="G297">
            <v>5071140</v>
          </cell>
          <cell r="H297">
            <v>4984740</v>
          </cell>
          <cell r="I297">
            <v>4644337.99</v>
          </cell>
          <cell r="J297">
            <v>0</v>
          </cell>
          <cell r="K297">
            <v>337211.29</v>
          </cell>
          <cell r="L297">
            <v>3190.7200000006701</v>
          </cell>
        </row>
        <row r="298">
          <cell r="F298" t="str">
            <v>847.8470530.1.432120.000000.847020.200179</v>
          </cell>
          <cell r="G298">
            <v>5573134</v>
          </cell>
          <cell r="H298">
            <v>5735416</v>
          </cell>
          <cell r="I298">
            <v>5183381.6399999997</v>
          </cell>
          <cell r="J298">
            <v>200000</v>
          </cell>
          <cell r="K298">
            <v>328638.94</v>
          </cell>
          <cell r="L298">
            <v>23395.420000000198</v>
          </cell>
        </row>
        <row r="299">
          <cell r="F299" t="str">
            <v>847.8470530.1.432120.000000.847030.200179</v>
          </cell>
          <cell r="G299">
            <v>1207678</v>
          </cell>
          <cell r="H299">
            <v>1207678</v>
          </cell>
          <cell r="I299">
            <v>910754.96</v>
          </cell>
          <cell r="J299">
            <v>62070</v>
          </cell>
          <cell r="K299">
            <v>104720.5</v>
          </cell>
          <cell r="L299">
            <v>130132.54</v>
          </cell>
        </row>
        <row r="300">
          <cell r="F300" t="str">
            <v>847.8470530.1.432170.000000.847010.200179</v>
          </cell>
          <cell r="G300">
            <v>30000</v>
          </cell>
          <cell r="H300">
            <v>30000</v>
          </cell>
          <cell r="I300">
            <v>20638</v>
          </cell>
          <cell r="J300">
            <v>0</v>
          </cell>
          <cell r="K300">
            <v>0</v>
          </cell>
          <cell r="L300">
            <v>9362</v>
          </cell>
        </row>
        <row r="301">
          <cell r="F301" t="str">
            <v>847.8470530.1.432320.000000.847010.200179</v>
          </cell>
          <cell r="G301">
            <v>26000</v>
          </cell>
          <cell r="H301">
            <v>26000</v>
          </cell>
          <cell r="I301">
            <v>5024</v>
          </cell>
          <cell r="J301"/>
          <cell r="K301"/>
          <cell r="L301">
            <v>20976</v>
          </cell>
        </row>
        <row r="302">
          <cell r="F302" t="str">
            <v>847.8470530.1.435410.000000.847020.200179</v>
          </cell>
          <cell r="G302">
            <v>0</v>
          </cell>
          <cell r="H302">
            <v>11750</v>
          </cell>
          <cell r="I302"/>
          <cell r="J302"/>
          <cell r="K302"/>
          <cell r="L302">
            <v>11750</v>
          </cell>
        </row>
        <row r="303">
          <cell r="F303" t="str">
            <v>847.8470530.1.436340.000000.847001.200179</v>
          </cell>
          <cell r="G303">
            <v>0</v>
          </cell>
          <cell r="H303">
            <v>20000</v>
          </cell>
          <cell r="I303"/>
          <cell r="J303"/>
          <cell r="K303"/>
          <cell r="L303">
            <v>20000</v>
          </cell>
        </row>
        <row r="304">
          <cell r="F304" t="str">
            <v>847.8470540.1.421100.000000.847010.200179</v>
          </cell>
          <cell r="G304">
            <v>3589128</v>
          </cell>
          <cell r="H304">
            <v>351171</v>
          </cell>
          <cell r="I304">
            <v>168512.62</v>
          </cell>
          <cell r="J304">
            <v>50005.48</v>
          </cell>
          <cell r="K304">
            <v>56917.31</v>
          </cell>
          <cell r="L304">
            <v>75735.59</v>
          </cell>
        </row>
        <row r="305">
          <cell r="F305" t="str">
            <v>847.8470540.1.426800.000000.847010.200179</v>
          </cell>
          <cell r="G305">
            <v>10000</v>
          </cell>
          <cell r="H305">
            <v>10000</v>
          </cell>
          <cell r="I305">
            <v>848</v>
          </cell>
          <cell r="J305"/>
          <cell r="K305"/>
          <cell r="L305">
            <v>9152</v>
          </cell>
        </row>
        <row r="306">
          <cell r="F306" t="str">
            <v>847.8470540.1.426900.000000.847010.200179</v>
          </cell>
          <cell r="G306">
            <v>30000</v>
          </cell>
          <cell r="H306">
            <v>6000</v>
          </cell>
          <cell r="I306">
            <v>3000</v>
          </cell>
          <cell r="J306"/>
          <cell r="K306"/>
          <cell r="L306">
            <v>3000</v>
          </cell>
        </row>
        <row r="307">
          <cell r="F307" t="str">
            <v>847.8470540.1.427710.000000.847001.200179</v>
          </cell>
          <cell r="G307">
            <v>0</v>
          </cell>
          <cell r="H307">
            <v>7000</v>
          </cell>
          <cell r="I307">
            <v>5106</v>
          </cell>
          <cell r="J307">
            <v>0</v>
          </cell>
          <cell r="K307">
            <v>0</v>
          </cell>
          <cell r="L307">
            <v>1894</v>
          </cell>
        </row>
        <row r="308">
          <cell r="F308" t="str">
            <v>847.8470540.1.428111.000000.847010.200179</v>
          </cell>
          <cell r="G308">
            <v>7349560</v>
          </cell>
          <cell r="H308">
            <v>7538560</v>
          </cell>
          <cell r="I308">
            <v>6816334.6600000001</v>
          </cell>
          <cell r="J308"/>
          <cell r="K308"/>
          <cell r="L308">
            <v>722225.34</v>
          </cell>
        </row>
        <row r="309">
          <cell r="F309" t="str">
            <v>847.8470540.1.428111.000000.847015.200179</v>
          </cell>
          <cell r="G309">
            <v>4615084</v>
          </cell>
          <cell r="H309">
            <v>4457384</v>
          </cell>
          <cell r="I309">
            <v>3941179.14</v>
          </cell>
          <cell r="J309"/>
          <cell r="K309"/>
          <cell r="L309">
            <v>516204.859999999</v>
          </cell>
        </row>
        <row r="310">
          <cell r="F310" t="str">
            <v>847.8470540.1.428111.000000.847020.200179</v>
          </cell>
          <cell r="G310">
            <v>3058446</v>
          </cell>
          <cell r="H310">
            <v>4843573</v>
          </cell>
          <cell r="I310">
            <v>4347580.5999999996</v>
          </cell>
          <cell r="J310"/>
          <cell r="K310"/>
          <cell r="L310">
            <v>495992.39999999898</v>
          </cell>
        </row>
        <row r="311">
          <cell r="F311" t="str">
            <v>847.8470540.1.428111.000000.847030.200179</v>
          </cell>
          <cell r="G311">
            <v>442627</v>
          </cell>
          <cell r="H311">
            <v>0</v>
          </cell>
          <cell r="I311"/>
          <cell r="J311"/>
          <cell r="K311"/>
          <cell r="L311">
            <v>0</v>
          </cell>
        </row>
        <row r="312">
          <cell r="F312" t="str">
            <v>847.8470540.1.428112.000000.847010.200179</v>
          </cell>
          <cell r="G312">
            <v>1153128</v>
          </cell>
          <cell r="H312">
            <v>1153128</v>
          </cell>
          <cell r="I312">
            <v>979183.52</v>
          </cell>
          <cell r="J312"/>
          <cell r="K312"/>
          <cell r="L312">
            <v>173944.48</v>
          </cell>
        </row>
        <row r="313">
          <cell r="F313" t="str">
            <v>847.8470540.1.428112.000000.847015.200179</v>
          </cell>
          <cell r="G313">
            <v>1681399</v>
          </cell>
          <cell r="H313">
            <v>1681399</v>
          </cell>
          <cell r="I313">
            <v>1190796.5900000001</v>
          </cell>
          <cell r="J313"/>
          <cell r="K313"/>
          <cell r="L313">
            <v>490602.41</v>
          </cell>
        </row>
        <row r="314">
          <cell r="F314" t="str">
            <v>847.8470540.1.428112.000000.847020.200179</v>
          </cell>
          <cell r="G314">
            <v>1703132</v>
          </cell>
          <cell r="H314">
            <v>1703132</v>
          </cell>
          <cell r="I314">
            <v>1270064.1299999999</v>
          </cell>
          <cell r="J314"/>
          <cell r="K314"/>
          <cell r="L314">
            <v>433067.87</v>
          </cell>
        </row>
        <row r="315">
          <cell r="F315" t="str">
            <v>847.8470540.1.428112.000000.847030.200179</v>
          </cell>
          <cell r="G315">
            <v>153570</v>
          </cell>
          <cell r="H315">
            <v>153570</v>
          </cell>
          <cell r="I315"/>
          <cell r="J315"/>
          <cell r="K315"/>
          <cell r="L315">
            <v>153570</v>
          </cell>
        </row>
        <row r="316">
          <cell r="F316" t="str">
            <v>847.8470540.1.429900.000000.847010.200179</v>
          </cell>
          <cell r="G316">
            <v>44000</v>
          </cell>
          <cell r="H316">
            <v>44000</v>
          </cell>
          <cell r="I316">
            <v>41250</v>
          </cell>
          <cell r="J316"/>
          <cell r="K316"/>
          <cell r="L316">
            <v>2750</v>
          </cell>
        </row>
        <row r="317">
          <cell r="F317" t="str">
            <v>847.8470540.1.430230.000000.847001.200179</v>
          </cell>
          <cell r="G317">
            <v>0</v>
          </cell>
          <cell r="H317">
            <v>64000</v>
          </cell>
          <cell r="I317">
            <v>24415</v>
          </cell>
          <cell r="J317">
            <v>0</v>
          </cell>
          <cell r="K317">
            <v>0</v>
          </cell>
          <cell r="L317">
            <v>39585</v>
          </cell>
        </row>
        <row r="318">
          <cell r="F318" t="str">
            <v>847.8470540.1.430330.000000.847010.200179</v>
          </cell>
          <cell r="G318">
            <v>967680</v>
          </cell>
          <cell r="H318">
            <v>1044290</v>
          </cell>
          <cell r="I318">
            <v>668045.88</v>
          </cell>
          <cell r="J318">
            <v>0</v>
          </cell>
          <cell r="K318">
            <v>309813.08</v>
          </cell>
          <cell r="L318">
            <v>66431.039999999994</v>
          </cell>
        </row>
        <row r="319">
          <cell r="F319" t="str">
            <v>847.8470540.1.432120.000000.847010.200179</v>
          </cell>
          <cell r="G319">
            <v>0</v>
          </cell>
          <cell r="H319">
            <v>-367211</v>
          </cell>
          <cell r="I319">
            <v>-367211.82</v>
          </cell>
          <cell r="J319"/>
          <cell r="K319">
            <v>-7.0000000006984905E-2</v>
          </cell>
          <cell r="L319">
            <v>0.89000000001396995</v>
          </cell>
        </row>
        <row r="320">
          <cell r="F320" t="str">
            <v>847.8470540.1.432120.000000.847020.200179</v>
          </cell>
          <cell r="G320">
            <v>0</v>
          </cell>
          <cell r="H320">
            <v>-241882</v>
          </cell>
          <cell r="I320">
            <v>-242103.6</v>
          </cell>
          <cell r="J320">
            <v>2</v>
          </cell>
          <cell r="K320">
            <v>0</v>
          </cell>
          <cell r="L320">
            <v>219.60000000000599</v>
          </cell>
        </row>
        <row r="321">
          <cell r="F321" t="str">
            <v>847.8470540.1.432540.000000.847010.200179</v>
          </cell>
          <cell r="G321">
            <v>140000</v>
          </cell>
          <cell r="H321">
            <v>140000</v>
          </cell>
          <cell r="I321">
            <v>23171.84</v>
          </cell>
          <cell r="J321">
            <v>66430</v>
          </cell>
          <cell r="K321"/>
          <cell r="L321">
            <v>50398.16</v>
          </cell>
        </row>
        <row r="322">
          <cell r="F322" t="str">
            <v>847.8470540.1.435410.000000.847020.200179</v>
          </cell>
          <cell r="G322">
            <v>0</v>
          </cell>
          <cell r="H322">
            <v>1477395</v>
          </cell>
          <cell r="I322">
            <v>1441006.98</v>
          </cell>
          <cell r="J322">
            <v>2</v>
          </cell>
          <cell r="K322">
            <v>11386.0800000001</v>
          </cell>
          <cell r="L322">
            <v>24999.94</v>
          </cell>
        </row>
        <row r="323">
          <cell r="F323" t="str">
            <v>847.8470540.1.435740.000000.847010.200179</v>
          </cell>
          <cell r="G323">
            <v>336000</v>
          </cell>
          <cell r="H323">
            <v>336000</v>
          </cell>
          <cell r="I323">
            <v>266719.75</v>
          </cell>
          <cell r="J323"/>
          <cell r="K323"/>
          <cell r="L323">
            <v>69280.25</v>
          </cell>
        </row>
        <row r="324">
          <cell r="F324" t="str">
            <v>847.8470540.1.436110.000000.847010.200179</v>
          </cell>
          <cell r="G324">
            <v>193910</v>
          </cell>
          <cell r="H324">
            <v>107110</v>
          </cell>
          <cell r="I324">
            <v>107100.78</v>
          </cell>
          <cell r="J324">
            <v>0</v>
          </cell>
          <cell r="K324">
            <v>0</v>
          </cell>
          <cell r="L324">
            <v>9.2200000000011606</v>
          </cell>
        </row>
        <row r="325">
          <cell r="F325" t="str">
            <v>847.8470610.1.428090.000000.847001.200179</v>
          </cell>
          <cell r="G325">
            <v>0</v>
          </cell>
          <cell r="H325">
            <v>6445</v>
          </cell>
          <cell r="I325">
            <v>5845</v>
          </cell>
          <cell r="J325"/>
          <cell r="K325"/>
          <cell r="L325">
            <v>600</v>
          </cell>
        </row>
        <row r="326">
          <cell r="F326" t="str">
            <v>847.8470620.1.420130.000000.847001.200179</v>
          </cell>
          <cell r="G326">
            <v>295000</v>
          </cell>
          <cell r="H326">
            <v>383200</v>
          </cell>
          <cell r="I326">
            <v>264525</v>
          </cell>
          <cell r="J326"/>
          <cell r="K326"/>
          <cell r="L326">
            <v>118675</v>
          </cell>
        </row>
        <row r="327">
          <cell r="F327" t="str">
            <v>847.8470620.1.421100.000000.847001.200179</v>
          </cell>
          <cell r="G327">
            <v>431160</v>
          </cell>
          <cell r="H327">
            <v>31160</v>
          </cell>
          <cell r="I327">
            <v>31000</v>
          </cell>
          <cell r="J327"/>
          <cell r="K327"/>
          <cell r="L327">
            <v>160</v>
          </cell>
        </row>
        <row r="328">
          <cell r="F328" t="str">
            <v>847.8470620.1.422900.000000.847001.200179</v>
          </cell>
          <cell r="G328">
            <v>310500</v>
          </cell>
          <cell r="H328">
            <v>520230</v>
          </cell>
          <cell r="I328">
            <v>386410</v>
          </cell>
          <cell r="J328">
            <v>0</v>
          </cell>
          <cell r="K328">
            <v>132860</v>
          </cell>
          <cell r="L328">
            <v>960</v>
          </cell>
        </row>
        <row r="329">
          <cell r="F329" t="str">
            <v>847.8470620.1.425300.000000.847001.200179</v>
          </cell>
          <cell r="G329">
            <v>3600</v>
          </cell>
          <cell r="H329">
            <v>3600</v>
          </cell>
          <cell r="I329">
            <v>536.14</v>
          </cell>
          <cell r="J329"/>
          <cell r="K329"/>
          <cell r="L329">
            <v>3063.86</v>
          </cell>
        </row>
        <row r="330">
          <cell r="F330" t="str">
            <v>847.8470620.1.425350.000000.847001.200179</v>
          </cell>
          <cell r="G330">
            <v>90000</v>
          </cell>
          <cell r="H330">
            <v>124500</v>
          </cell>
          <cell r="I330">
            <v>99123.96</v>
          </cell>
          <cell r="J330"/>
          <cell r="K330"/>
          <cell r="L330">
            <v>25376.04</v>
          </cell>
        </row>
        <row r="331">
          <cell r="F331" t="str">
            <v>847.8470620.1.425900.000000.847001.200179</v>
          </cell>
          <cell r="G331">
            <v>0</v>
          </cell>
          <cell r="H331">
            <v>5000</v>
          </cell>
          <cell r="I331">
            <v>1000</v>
          </cell>
          <cell r="J331"/>
          <cell r="K331"/>
          <cell r="L331">
            <v>4000</v>
          </cell>
        </row>
        <row r="332">
          <cell r="F332" t="str">
            <v>847.8470620.1.426610.000000.847001.200179</v>
          </cell>
          <cell r="G332">
            <v>31680</v>
          </cell>
          <cell r="H332">
            <v>31680</v>
          </cell>
          <cell r="I332">
            <v>31680</v>
          </cell>
          <cell r="J332">
            <v>0</v>
          </cell>
          <cell r="K332">
            <v>0</v>
          </cell>
          <cell r="L332">
            <v>0</v>
          </cell>
        </row>
        <row r="333">
          <cell r="F333" t="str">
            <v>847.8470620.1.436110.000000.847001.200179</v>
          </cell>
          <cell r="G333"/>
          <cell r="H333"/>
          <cell r="I333">
            <v>0</v>
          </cell>
          <cell r="J333"/>
          <cell r="K333"/>
          <cell r="L333">
            <v>0</v>
          </cell>
        </row>
        <row r="334">
          <cell r="F334" t="str">
            <v>847.8470620.1.436120.000000.847001.200179</v>
          </cell>
          <cell r="G334">
            <v>2500</v>
          </cell>
          <cell r="H334">
            <v>10870</v>
          </cell>
          <cell r="I334">
            <v>6150</v>
          </cell>
          <cell r="J334"/>
          <cell r="K334"/>
          <cell r="L334">
            <v>4720</v>
          </cell>
        </row>
        <row r="335">
          <cell r="F335" t="str">
            <v>847.8470720.1.421000.000000.847001.200179</v>
          </cell>
          <cell r="G335"/>
          <cell r="H335"/>
          <cell r="I335">
            <v>-177900.66</v>
          </cell>
          <cell r="J335"/>
          <cell r="K335"/>
          <cell r="L335">
            <v>177900.66</v>
          </cell>
        </row>
        <row r="336">
          <cell r="F336" t="str">
            <v>847.8470720.1.421700.000000.847001.200179</v>
          </cell>
          <cell r="G336">
            <v>2000</v>
          </cell>
          <cell r="H336">
            <v>24000</v>
          </cell>
          <cell r="I336"/>
          <cell r="J336">
            <v>0</v>
          </cell>
          <cell r="K336">
            <v>12000</v>
          </cell>
          <cell r="L336">
            <v>12000</v>
          </cell>
        </row>
        <row r="337">
          <cell r="F337" t="str">
            <v>847.8470720.1.426610.000000.847001.200179</v>
          </cell>
          <cell r="G337">
            <v>0</v>
          </cell>
          <cell r="H337">
            <v>7300</v>
          </cell>
          <cell r="I337">
            <v>6271</v>
          </cell>
          <cell r="J337">
            <v>0</v>
          </cell>
          <cell r="K337">
            <v>0</v>
          </cell>
          <cell r="L337">
            <v>1029</v>
          </cell>
        </row>
        <row r="338">
          <cell r="F338" t="str">
            <v>847.8470720.1.426900.000000.847001.200179</v>
          </cell>
          <cell r="G338">
            <v>10000</v>
          </cell>
          <cell r="H338">
            <v>15000</v>
          </cell>
          <cell r="I338">
            <v>9933.27</v>
          </cell>
          <cell r="J338"/>
          <cell r="K338"/>
          <cell r="L338">
            <v>5050.7299999999996</v>
          </cell>
        </row>
        <row r="339">
          <cell r="F339" t="str">
            <v>847.8470720.1.428200.000000.847001.200179</v>
          </cell>
          <cell r="G339">
            <v>250000</v>
          </cell>
          <cell r="H339">
            <v>350000</v>
          </cell>
          <cell r="I339">
            <v>291642.99</v>
          </cell>
          <cell r="J339">
            <v>0</v>
          </cell>
          <cell r="K339">
            <v>52668</v>
          </cell>
          <cell r="L339">
            <v>5689.0100000000102</v>
          </cell>
        </row>
        <row r="340">
          <cell r="F340" t="str">
            <v>847.8470720.1.432120.000000.847001.200179</v>
          </cell>
          <cell r="G340">
            <v>236400</v>
          </cell>
          <cell r="H340">
            <v>54400</v>
          </cell>
          <cell r="I340">
            <v>50950</v>
          </cell>
          <cell r="J340">
            <v>0</v>
          </cell>
          <cell r="K340">
            <v>0</v>
          </cell>
          <cell r="L340">
            <v>3450</v>
          </cell>
        </row>
        <row r="341">
          <cell r="F341" t="str">
            <v>847.8470720.1.435410.000000.847001.200179</v>
          </cell>
          <cell r="G341">
            <v>840000</v>
          </cell>
          <cell r="H341">
            <v>164310</v>
          </cell>
          <cell r="I341">
            <v>163340.39000000001</v>
          </cell>
          <cell r="J341">
            <v>0</v>
          </cell>
          <cell r="K341">
            <v>450</v>
          </cell>
          <cell r="L341">
            <v>519.60999999998603</v>
          </cell>
        </row>
        <row r="342">
          <cell r="F342" t="str">
            <v>847.8470720.1.436110.000000.847001.200179</v>
          </cell>
          <cell r="G342">
            <v>50000</v>
          </cell>
          <cell r="H342">
            <v>12854</v>
          </cell>
          <cell r="I342">
            <v>12853.5</v>
          </cell>
          <cell r="J342">
            <v>0</v>
          </cell>
          <cell r="K342"/>
          <cell r="L342">
            <v>0.5</v>
          </cell>
        </row>
        <row r="343">
          <cell r="F343" t="str">
            <v>847.8470720.1.436120.000000.847001.200179</v>
          </cell>
          <cell r="G343">
            <v>120000</v>
          </cell>
          <cell r="H343">
            <v>180000</v>
          </cell>
          <cell r="I343">
            <v>171250.88</v>
          </cell>
          <cell r="J343">
            <v>53.01</v>
          </cell>
          <cell r="K343">
            <v>-2.18278728425503E-11</v>
          </cell>
          <cell r="L343">
            <v>8696.1099999999897</v>
          </cell>
        </row>
        <row r="344">
          <cell r="F344" t="str">
            <v>847.8470730.1.421000.000000.847001.200179</v>
          </cell>
          <cell r="G344">
            <v>300000</v>
          </cell>
          <cell r="H344">
            <v>600000</v>
          </cell>
          <cell r="I344">
            <v>6026</v>
          </cell>
          <cell r="J344">
            <v>0</v>
          </cell>
          <cell r="K344">
            <v>554766.9</v>
          </cell>
          <cell r="L344">
            <v>39207.1</v>
          </cell>
        </row>
        <row r="345">
          <cell r="F345" t="str">
            <v>847.8470730.1.425510.000000.847001.200179</v>
          </cell>
          <cell r="G345">
            <v>50000</v>
          </cell>
          <cell r="H345">
            <v>42000</v>
          </cell>
          <cell r="I345">
            <v>13190</v>
          </cell>
          <cell r="J345"/>
          <cell r="K345"/>
          <cell r="L345">
            <v>28810</v>
          </cell>
        </row>
        <row r="346">
          <cell r="F346" t="str">
            <v>847.8470730.1.425900.000000.847001.200179</v>
          </cell>
          <cell r="G346">
            <v>250000</v>
          </cell>
          <cell r="H346">
            <v>176273</v>
          </cell>
          <cell r="I346">
            <v>650</v>
          </cell>
          <cell r="J346">
            <v>7140</v>
          </cell>
          <cell r="K346">
            <v>144600</v>
          </cell>
          <cell r="L346">
            <v>23883</v>
          </cell>
        </row>
        <row r="347">
          <cell r="F347" t="str">
            <v>847.8470730.1.426610.000000.847001.200179</v>
          </cell>
          <cell r="G347">
            <v>600000</v>
          </cell>
          <cell r="H347">
            <v>300000</v>
          </cell>
          <cell r="I347">
            <v>165285</v>
          </cell>
          <cell r="J347">
            <v>0</v>
          </cell>
          <cell r="K347">
            <v>18000</v>
          </cell>
          <cell r="L347">
            <v>116715</v>
          </cell>
        </row>
        <row r="348">
          <cell r="F348" t="str">
            <v>847.8470730.1.427900.000000.847001.200179</v>
          </cell>
          <cell r="G348">
            <v>10000</v>
          </cell>
          <cell r="H348">
            <v>4000</v>
          </cell>
          <cell r="I348"/>
          <cell r="J348"/>
          <cell r="K348"/>
          <cell r="L348">
            <v>4000</v>
          </cell>
        </row>
        <row r="349">
          <cell r="F349" t="str">
            <v>847.8470730.1.428090.000000.847001.200179</v>
          </cell>
          <cell r="G349">
            <v>0</v>
          </cell>
          <cell r="H349">
            <v>8000</v>
          </cell>
          <cell r="I349">
            <v>8000</v>
          </cell>
          <cell r="J349"/>
          <cell r="K349"/>
          <cell r="L349">
            <v>0</v>
          </cell>
        </row>
        <row r="350">
          <cell r="F350" t="str">
            <v>847.8470730.1.428640.000000.847001.200179</v>
          </cell>
          <cell r="G350">
            <v>250000</v>
          </cell>
          <cell r="H350">
            <v>205861</v>
          </cell>
          <cell r="I350">
            <v>47510.1</v>
          </cell>
          <cell r="J350">
            <v>156850</v>
          </cell>
          <cell r="K350">
            <v>0</v>
          </cell>
          <cell r="L350">
            <v>1500.8999999999901</v>
          </cell>
        </row>
        <row r="351">
          <cell r="F351" t="str">
            <v>847.8470730.1.436110.000000.847001.200179</v>
          </cell>
          <cell r="G351">
            <v>50000</v>
          </cell>
          <cell r="H351">
            <v>56000</v>
          </cell>
          <cell r="I351">
            <v>15780</v>
          </cell>
          <cell r="J351">
            <v>4875</v>
          </cell>
          <cell r="K351">
            <v>29600</v>
          </cell>
          <cell r="L351">
            <v>5745</v>
          </cell>
        </row>
        <row r="352">
          <cell r="F352" t="str">
            <v>847.8470810.1.420810.000000.847001.200179</v>
          </cell>
          <cell r="G352">
            <v>10351793</v>
          </cell>
          <cell r="H352">
            <v>0</v>
          </cell>
          <cell r="I352"/>
          <cell r="J352"/>
          <cell r="K352"/>
          <cell r="L352">
            <v>0</v>
          </cell>
        </row>
        <row r="353">
          <cell r="F353" t="str">
            <v>847.8470810.1.420811.000000.847001.200179</v>
          </cell>
          <cell r="G353">
            <v>0</v>
          </cell>
          <cell r="H353">
            <v>10351793</v>
          </cell>
          <cell r="I353">
            <v>10226277.23</v>
          </cell>
          <cell r="J353"/>
          <cell r="K353"/>
          <cell r="L353">
            <v>125515.77000000099</v>
          </cell>
        </row>
        <row r="354">
          <cell r="F354" t="str">
            <v>847.8470810.1.421100.000000.847001.200179</v>
          </cell>
          <cell r="G354">
            <v>7465192</v>
          </cell>
          <cell r="H354">
            <v>387192</v>
          </cell>
          <cell r="I354">
            <v>-189882.07</v>
          </cell>
          <cell r="J354">
            <v>0</v>
          </cell>
          <cell r="K354">
            <v>563543.22</v>
          </cell>
          <cell r="L354">
            <v>13530.8500000001</v>
          </cell>
        </row>
        <row r="355">
          <cell r="F355" t="str">
            <v>847.8470810.1.426610.000000.847001.200179</v>
          </cell>
          <cell r="G355">
            <v>8612571</v>
          </cell>
          <cell r="H355">
            <v>7653071</v>
          </cell>
          <cell r="I355">
            <v>6008318.3600000003</v>
          </cell>
          <cell r="J355">
            <v>331866.23</v>
          </cell>
          <cell r="K355">
            <v>1309861.3500000001</v>
          </cell>
          <cell r="L355">
            <v>3025.0600000007498</v>
          </cell>
        </row>
        <row r="356">
          <cell r="F356" t="str">
            <v>847.8470810.1.427810.000000.847001.200179</v>
          </cell>
          <cell r="G356">
            <v>800000</v>
          </cell>
          <cell r="H356">
            <v>2620114</v>
          </cell>
          <cell r="I356">
            <v>2229255.09</v>
          </cell>
          <cell r="J356"/>
          <cell r="K356"/>
          <cell r="L356">
            <v>417273.16</v>
          </cell>
        </row>
        <row r="357">
          <cell r="F357" t="str">
            <v>847.8470810.1.427850.000000.847001.200179</v>
          </cell>
          <cell r="G357">
            <v>2618028</v>
          </cell>
          <cell r="H357">
            <v>2198728</v>
          </cell>
          <cell r="I357">
            <v>1892538.54</v>
          </cell>
          <cell r="J357"/>
          <cell r="K357"/>
          <cell r="L357">
            <v>306189.46000000002</v>
          </cell>
        </row>
        <row r="358">
          <cell r="F358" t="str">
            <v>847.8470810.1.428090.000000.847001.200179</v>
          </cell>
          <cell r="G358">
            <v>11500</v>
          </cell>
          <cell r="H358">
            <v>27451</v>
          </cell>
          <cell r="I358">
            <v>4400</v>
          </cell>
          <cell r="J358"/>
          <cell r="K358"/>
          <cell r="L358">
            <v>23051</v>
          </cell>
        </row>
        <row r="359">
          <cell r="F359" t="str">
            <v>847.8470810.1.430230.000000.847001.200179</v>
          </cell>
          <cell r="G359">
            <v>1021317</v>
          </cell>
          <cell r="H359">
            <v>0</v>
          </cell>
          <cell r="I359"/>
          <cell r="J359"/>
          <cell r="K359"/>
          <cell r="L359">
            <v>0</v>
          </cell>
        </row>
        <row r="360">
          <cell r="F360" t="str">
            <v>847.8470810.1.430250.000000.847001.200179</v>
          </cell>
          <cell r="G360">
            <v>0</v>
          </cell>
          <cell r="H360">
            <v>1022000</v>
          </cell>
          <cell r="I360">
            <v>754866.67</v>
          </cell>
          <cell r="J360">
            <v>0</v>
          </cell>
          <cell r="K360">
            <v>265899.09999999998</v>
          </cell>
          <cell r="L360">
            <v>1234.22999999992</v>
          </cell>
        </row>
        <row r="361">
          <cell r="F361" t="str">
            <v>847.8470810.1.432205.000000.847001.200179</v>
          </cell>
          <cell r="G361">
            <v>1475000</v>
          </cell>
          <cell r="H361">
            <v>1505000</v>
          </cell>
          <cell r="I361">
            <v>1304827.54</v>
          </cell>
          <cell r="J361">
            <v>0</v>
          </cell>
          <cell r="K361">
            <v>150606.59999999899</v>
          </cell>
          <cell r="L361">
            <v>49565.860000000503</v>
          </cell>
        </row>
        <row r="362">
          <cell r="F362" t="str">
            <v>847.8470810.1.432226.000000.847001.200179</v>
          </cell>
          <cell r="G362">
            <v>0</v>
          </cell>
          <cell r="H362">
            <v>360000</v>
          </cell>
          <cell r="I362">
            <v>352209.35</v>
          </cell>
          <cell r="J362"/>
          <cell r="K362"/>
          <cell r="L362">
            <v>7790.6499999999696</v>
          </cell>
        </row>
        <row r="363">
          <cell r="F363" t="str">
            <v>847.8470810.1.436110.000000.847001.200179</v>
          </cell>
          <cell r="G363">
            <v>360000</v>
          </cell>
          <cell r="H363">
            <v>0</v>
          </cell>
          <cell r="I363"/>
          <cell r="J363"/>
          <cell r="K363"/>
          <cell r="L363">
            <v>0</v>
          </cell>
        </row>
        <row r="364">
          <cell r="F364" t="str">
            <v>847.8471010.1.425100.000000.847001.200179</v>
          </cell>
          <cell r="G364">
            <v>107500</v>
          </cell>
          <cell r="H364">
            <v>107500</v>
          </cell>
          <cell r="I364"/>
          <cell r="J364">
            <v>0</v>
          </cell>
          <cell r="K364">
            <v>105000</v>
          </cell>
          <cell r="L364">
            <v>2500</v>
          </cell>
        </row>
        <row r="365">
          <cell r="F365" t="str">
            <v>847.8471010.1.425510.000000.847001.200179</v>
          </cell>
          <cell r="G365">
            <v>100000</v>
          </cell>
          <cell r="H365">
            <v>94000</v>
          </cell>
          <cell r="I365">
            <v>5876.8</v>
          </cell>
          <cell r="J365"/>
          <cell r="K365"/>
          <cell r="L365">
            <v>88123.199999999997</v>
          </cell>
        </row>
        <row r="366">
          <cell r="F366" t="str">
            <v>847.8471010.1.425550.000000.847001.200179</v>
          </cell>
          <cell r="G366">
            <v>0</v>
          </cell>
          <cell r="H366">
            <v>6000</v>
          </cell>
          <cell r="I366"/>
          <cell r="J366"/>
          <cell r="K366"/>
          <cell r="L366">
            <v>6000</v>
          </cell>
        </row>
        <row r="367">
          <cell r="F367" t="str">
            <v>847.8471010.1.425720.000000.847001.200179</v>
          </cell>
          <cell r="G367">
            <v>76120</v>
          </cell>
          <cell r="H367">
            <v>96120</v>
          </cell>
          <cell r="I367">
            <v>83040</v>
          </cell>
          <cell r="J367"/>
          <cell r="K367"/>
          <cell r="L367">
            <v>13080</v>
          </cell>
        </row>
        <row r="368">
          <cell r="F368" t="str">
            <v>847.8471010.1.425900.000000.847001.200179</v>
          </cell>
          <cell r="G368">
            <v>162500</v>
          </cell>
          <cell r="H368">
            <v>113075</v>
          </cell>
          <cell r="I368">
            <v>10290</v>
          </cell>
          <cell r="J368"/>
          <cell r="K368"/>
          <cell r="L368">
            <v>96485</v>
          </cell>
        </row>
        <row r="369">
          <cell r="F369" t="str">
            <v>847.8471010.1.436110.000000.847001.200179</v>
          </cell>
          <cell r="G369">
            <v>50625</v>
          </cell>
          <cell r="H369">
            <v>50625</v>
          </cell>
          <cell r="I369">
            <v>4450</v>
          </cell>
          <cell r="J369"/>
          <cell r="K369"/>
          <cell r="L369">
            <v>46175</v>
          </cell>
        </row>
        <row r="370">
          <cell r="F370" t="str">
            <v>847.8471010.1.436120.000000.847001.200179</v>
          </cell>
          <cell r="G370">
            <v>5625</v>
          </cell>
          <cell r="H370">
            <v>5625</v>
          </cell>
          <cell r="I370"/>
          <cell r="J370"/>
          <cell r="K370"/>
          <cell r="L370">
            <v>5625</v>
          </cell>
        </row>
        <row r="371">
          <cell r="F371" t="str">
            <v>847.8471110.1.425900.000000.847001.200179</v>
          </cell>
          <cell r="G371">
            <v>30000</v>
          </cell>
          <cell r="H371">
            <v>28000</v>
          </cell>
          <cell r="I371"/>
          <cell r="J371"/>
          <cell r="K371"/>
          <cell r="L371">
            <v>28000</v>
          </cell>
        </row>
        <row r="372">
          <cell r="F372" t="str">
            <v>847.8471110.1.427710.000000.847001.200179</v>
          </cell>
          <cell r="G372">
            <v>428951</v>
          </cell>
          <cell r="H372">
            <v>403951</v>
          </cell>
          <cell r="I372">
            <v>30706.28</v>
          </cell>
          <cell r="J372">
            <v>0</v>
          </cell>
          <cell r="K372">
            <v>299294.42</v>
          </cell>
          <cell r="L372">
            <v>73950.3</v>
          </cell>
        </row>
        <row r="373">
          <cell r="F373" t="str">
            <v>847.8471110.1.428090.000000.847001.200179</v>
          </cell>
          <cell r="G373">
            <v>100000</v>
          </cell>
          <cell r="H373">
            <v>52246</v>
          </cell>
          <cell r="I373">
            <v>48418.080000000002</v>
          </cell>
          <cell r="J373"/>
          <cell r="K373"/>
          <cell r="L373">
            <v>3827.92</v>
          </cell>
        </row>
        <row r="374">
          <cell r="F374" t="str">
            <v>847.8471110.1.435508.000000.847001.200179</v>
          </cell>
          <cell r="G374">
            <v>0</v>
          </cell>
          <cell r="H374">
            <v>2000</v>
          </cell>
          <cell r="I374">
            <v>1875</v>
          </cell>
          <cell r="J374"/>
          <cell r="K374"/>
          <cell r="L374">
            <v>125</v>
          </cell>
        </row>
        <row r="375">
          <cell r="F375" t="str">
            <v>847.8471120.1.425900.000000.847001.200179</v>
          </cell>
          <cell r="G375">
            <v>110000</v>
          </cell>
          <cell r="H375">
            <v>110000</v>
          </cell>
          <cell r="I375"/>
          <cell r="J375"/>
          <cell r="K375"/>
          <cell r="L375">
            <v>110000</v>
          </cell>
        </row>
        <row r="376">
          <cell r="F376" t="str">
            <v>847.8471120.1.428090.000000.847001.200179</v>
          </cell>
          <cell r="G376">
            <v>220000</v>
          </cell>
          <cell r="H376">
            <v>59942</v>
          </cell>
          <cell r="I376">
            <v>8721</v>
          </cell>
          <cell r="J376"/>
          <cell r="K376"/>
          <cell r="L376">
            <v>51221</v>
          </cell>
        </row>
        <row r="377">
          <cell r="F377" t="str">
            <v>847.8471120.1.429900.000000.847001.200179</v>
          </cell>
          <cell r="G377">
            <v>55510</v>
          </cell>
          <cell r="H377">
            <v>55510</v>
          </cell>
          <cell r="I377"/>
          <cell r="J377"/>
          <cell r="K377"/>
          <cell r="L377">
            <v>55510</v>
          </cell>
        </row>
        <row r="378">
          <cell r="F378" t="str">
            <v>847.8471120.1.435523.000000.847001.200179</v>
          </cell>
          <cell r="G378">
            <v>25510</v>
          </cell>
          <cell r="H378">
            <v>0</v>
          </cell>
          <cell r="I378"/>
          <cell r="J378"/>
          <cell r="K378"/>
          <cell r="L378">
            <v>0</v>
          </cell>
        </row>
        <row r="379">
          <cell r="F379" t="str">
            <v>847.8471121.1.425510.000000.847001.200179</v>
          </cell>
          <cell r="G379">
            <v>50000</v>
          </cell>
          <cell r="H379">
            <v>50000</v>
          </cell>
          <cell r="I379"/>
          <cell r="J379"/>
          <cell r="K379"/>
          <cell r="L379">
            <v>50000</v>
          </cell>
        </row>
        <row r="380">
          <cell r="F380" t="str">
            <v>847.8471121.1.425900.000000.847001.200179</v>
          </cell>
          <cell r="G380">
            <v>15000</v>
          </cell>
          <cell r="H380">
            <v>15000</v>
          </cell>
          <cell r="I380"/>
          <cell r="J380"/>
          <cell r="K380"/>
          <cell r="L380">
            <v>15000</v>
          </cell>
        </row>
        <row r="381">
          <cell r="F381" t="str">
            <v>847.8471121.1.428090.000000.847001.200179</v>
          </cell>
          <cell r="G381">
            <v>50000</v>
          </cell>
          <cell r="H381">
            <v>13623</v>
          </cell>
          <cell r="I381"/>
          <cell r="J381"/>
          <cell r="K381"/>
          <cell r="L381">
            <v>13623</v>
          </cell>
        </row>
        <row r="382">
          <cell r="F382" t="str">
            <v>847.8471121.1.432170.000000.847001.200179</v>
          </cell>
          <cell r="G382">
            <v>500000</v>
          </cell>
          <cell r="H382">
            <v>0</v>
          </cell>
          <cell r="I382"/>
          <cell r="J382"/>
          <cell r="K382"/>
          <cell r="L382">
            <v>0</v>
          </cell>
        </row>
        <row r="383">
          <cell r="F383" t="str">
            <v>847.8471121.1.435523.000000.847001.200179</v>
          </cell>
          <cell r="G383">
            <v>926280</v>
          </cell>
          <cell r="H383">
            <v>826280</v>
          </cell>
          <cell r="I383"/>
          <cell r="J383"/>
          <cell r="K383"/>
          <cell r="L383">
            <v>826280</v>
          </cell>
        </row>
        <row r="384">
          <cell r="F384" t="str">
            <v>847.8471122.1.425900.000000.847001.200179</v>
          </cell>
          <cell r="G384">
            <v>0</v>
          </cell>
          <cell r="H384">
            <v>50000</v>
          </cell>
          <cell r="I384"/>
          <cell r="J384"/>
          <cell r="K384"/>
          <cell r="L384">
            <v>50000</v>
          </cell>
        </row>
        <row r="385">
          <cell r="F385" t="str">
            <v>847.8471122.1.428090.000000.847001.200179</v>
          </cell>
          <cell r="G385">
            <v>0</v>
          </cell>
          <cell r="H385">
            <v>13623</v>
          </cell>
          <cell r="I385"/>
          <cell r="J385"/>
          <cell r="K385"/>
          <cell r="L385">
            <v>13623</v>
          </cell>
        </row>
        <row r="386">
          <cell r="F386" t="str">
            <v>847.8471130.1.420811.000000.847001.200179</v>
          </cell>
          <cell r="G386">
            <v>0</v>
          </cell>
          <cell r="H386">
            <v>306385</v>
          </cell>
          <cell r="I386"/>
          <cell r="J386">
            <v>276944.2</v>
          </cell>
          <cell r="K386"/>
          <cell r="L386">
            <v>29440.799999999999</v>
          </cell>
        </row>
        <row r="387">
          <cell r="F387" t="str">
            <v>847.8471130.1.426610.000000.847001.200179</v>
          </cell>
          <cell r="G387">
            <v>0</v>
          </cell>
          <cell r="H387">
            <v>171900</v>
          </cell>
          <cell r="I387">
            <v>171712.75</v>
          </cell>
          <cell r="J387"/>
          <cell r="K387"/>
          <cell r="L387">
            <v>187.25</v>
          </cell>
        </row>
        <row r="388">
          <cell r="F388" t="str">
            <v>847.8471130.1.427900.000000.847001.200179</v>
          </cell>
          <cell r="G388">
            <v>5000</v>
          </cell>
          <cell r="H388">
            <v>0</v>
          </cell>
          <cell r="I388"/>
          <cell r="J388"/>
          <cell r="K388"/>
          <cell r="L388">
            <v>0</v>
          </cell>
        </row>
        <row r="389">
          <cell r="F389" t="str">
            <v>847.8471130.1.428090.000000.847001.200179</v>
          </cell>
          <cell r="G389">
            <v>70000</v>
          </cell>
          <cell r="H389">
            <v>66459</v>
          </cell>
          <cell r="I389">
            <v>23760.37</v>
          </cell>
          <cell r="J389"/>
          <cell r="K389"/>
          <cell r="L389">
            <v>42698.63</v>
          </cell>
        </row>
        <row r="390">
          <cell r="F390" t="str">
            <v>847.8471130.1.435523.000000.847001.200179</v>
          </cell>
          <cell r="G390">
            <v>205962</v>
          </cell>
          <cell r="H390">
            <v>157190</v>
          </cell>
          <cell r="I390">
            <v>157599.53</v>
          </cell>
          <cell r="J390"/>
          <cell r="K390">
            <v>-409.91</v>
          </cell>
          <cell r="L390">
            <v>0.38000000000124601</v>
          </cell>
        </row>
        <row r="391">
          <cell r="F391" t="str">
            <v>847.8471140.1.420570.000000.847001.200179</v>
          </cell>
          <cell r="G391">
            <v>231840</v>
          </cell>
          <cell r="H391">
            <v>231840</v>
          </cell>
          <cell r="I391">
            <v>103329.59</v>
          </cell>
          <cell r="J391"/>
          <cell r="K391"/>
          <cell r="L391">
            <v>128510.41</v>
          </cell>
        </row>
        <row r="392">
          <cell r="F392" t="str">
            <v>847.8471140.1.428090.000000.847001.200179</v>
          </cell>
          <cell r="G392">
            <v>80000</v>
          </cell>
          <cell r="H392">
            <v>85693</v>
          </cell>
          <cell r="I392">
            <v>78188.97</v>
          </cell>
          <cell r="J392"/>
          <cell r="K392"/>
          <cell r="L392">
            <v>7504.03</v>
          </cell>
        </row>
        <row r="393">
          <cell r="F393" t="str">
            <v>847.8471140.1.435523.000000.847001.200179</v>
          </cell>
          <cell r="G393">
            <v>99831748</v>
          </cell>
          <cell r="H393">
            <v>89786458</v>
          </cell>
          <cell r="I393">
            <v>76465079.940000206</v>
          </cell>
          <cell r="J393">
            <v>517174.64</v>
          </cell>
          <cell r="K393">
            <v>2943127.77</v>
          </cell>
          <cell r="L393">
            <v>9889597.6099998001</v>
          </cell>
        </row>
        <row r="394">
          <cell r="F394" t="str">
            <v>847.8471150.1.420900.000000.847001.200179</v>
          </cell>
          <cell r="G394">
            <v>3332844</v>
          </cell>
          <cell r="H394">
            <v>3946963</v>
          </cell>
          <cell r="I394">
            <v>2533983.27</v>
          </cell>
          <cell r="J394">
            <v>895461.22</v>
          </cell>
          <cell r="K394">
            <v>0</v>
          </cell>
          <cell r="L394">
            <v>517518.51</v>
          </cell>
        </row>
        <row r="395">
          <cell r="F395" t="str">
            <v>847.8471150.1.425510.000000.847001.200179</v>
          </cell>
          <cell r="G395">
            <v>100002</v>
          </cell>
          <cell r="H395">
            <v>100002</v>
          </cell>
          <cell r="I395"/>
          <cell r="J395"/>
          <cell r="K395"/>
          <cell r="L395">
            <v>100002</v>
          </cell>
        </row>
        <row r="396">
          <cell r="F396" t="str">
            <v>847.8471150.1.425550.000000.847001.200179</v>
          </cell>
          <cell r="G396">
            <v>100002</v>
          </cell>
          <cell r="H396">
            <v>100002</v>
          </cell>
          <cell r="I396">
            <v>26095</v>
          </cell>
          <cell r="J396"/>
          <cell r="K396"/>
          <cell r="L396">
            <v>73907</v>
          </cell>
        </row>
        <row r="397">
          <cell r="F397" t="str">
            <v>847.8471150.1.425900.000000.847001.200179</v>
          </cell>
          <cell r="G397">
            <v>0</v>
          </cell>
          <cell r="H397">
            <v>2000</v>
          </cell>
          <cell r="I397">
            <v>918.75</v>
          </cell>
          <cell r="J397"/>
          <cell r="K397"/>
          <cell r="L397">
            <v>1081.25</v>
          </cell>
        </row>
        <row r="398">
          <cell r="F398" t="str">
            <v>847.8471150.1.426610.000000.847001.200179</v>
          </cell>
          <cell r="G398">
            <v>120000</v>
          </cell>
          <cell r="H398">
            <v>3881</v>
          </cell>
          <cell r="I398">
            <v>3880.12</v>
          </cell>
          <cell r="J398">
            <v>0</v>
          </cell>
          <cell r="K398"/>
          <cell r="L398">
            <v>0.88000000000010903</v>
          </cell>
        </row>
        <row r="399">
          <cell r="F399" t="str">
            <v>847.8471150.1.428090.000000.847001.200179</v>
          </cell>
          <cell r="G399">
            <v>50001</v>
          </cell>
          <cell r="H399">
            <v>13623</v>
          </cell>
          <cell r="I399"/>
          <cell r="J399"/>
          <cell r="K399"/>
          <cell r="L399">
            <v>13623</v>
          </cell>
        </row>
        <row r="400">
          <cell r="F400" t="str">
            <v>847.8471160.1.420810.000000.847001.200179</v>
          </cell>
          <cell r="G400">
            <v>588000</v>
          </cell>
          <cell r="H400">
            <v>0</v>
          </cell>
          <cell r="I400"/>
          <cell r="J400"/>
          <cell r="K400"/>
          <cell r="L400">
            <v>0</v>
          </cell>
        </row>
        <row r="401">
          <cell r="F401" t="str">
            <v>847.8471160.1.420811.000000.847001.200179</v>
          </cell>
          <cell r="G401">
            <v>0</v>
          </cell>
          <cell r="H401">
            <v>588000</v>
          </cell>
          <cell r="I401"/>
          <cell r="J401"/>
          <cell r="K401"/>
          <cell r="L401">
            <v>588000</v>
          </cell>
        </row>
        <row r="402">
          <cell r="F402" t="str">
            <v>847.8471160.1.422100.000000.847001.200179</v>
          </cell>
          <cell r="G402">
            <v>0</v>
          </cell>
          <cell r="H402">
            <v>160400</v>
          </cell>
          <cell r="I402">
            <v>160400</v>
          </cell>
          <cell r="J402"/>
          <cell r="K402"/>
          <cell r="L402">
            <v>0</v>
          </cell>
        </row>
        <row r="403">
          <cell r="F403" t="str">
            <v>847.8471160.1.426610.000000.847001.200179</v>
          </cell>
          <cell r="G403">
            <v>161375</v>
          </cell>
          <cell r="H403">
            <v>507375</v>
          </cell>
          <cell r="I403">
            <v>171015</v>
          </cell>
          <cell r="J403">
            <v>0</v>
          </cell>
          <cell r="K403">
            <v>265024.2</v>
          </cell>
          <cell r="L403">
            <v>71335.8</v>
          </cell>
        </row>
        <row r="404">
          <cell r="F404" t="str">
            <v>847.8471160.1.432209.000000.847001.200179</v>
          </cell>
          <cell r="G404">
            <v>15319303</v>
          </cell>
          <cell r="H404">
            <v>12849303</v>
          </cell>
          <cell r="I404">
            <v>7215057.6900000004</v>
          </cell>
          <cell r="J404">
            <v>1102830.8600000001</v>
          </cell>
          <cell r="K404">
            <v>4376281.7</v>
          </cell>
          <cell r="L404">
            <v>155132.75000000099</v>
          </cell>
        </row>
        <row r="405">
          <cell r="F405" t="str">
            <v>847.8471160.1.435508.000000.847001.200179</v>
          </cell>
          <cell r="G405">
            <v>2753398</v>
          </cell>
          <cell r="H405">
            <v>4696998</v>
          </cell>
          <cell r="I405">
            <v>1037843.99</v>
          </cell>
          <cell r="J405">
            <v>1602317.74</v>
          </cell>
          <cell r="K405">
            <v>1620727.39</v>
          </cell>
          <cell r="L405">
            <v>436108.88</v>
          </cell>
        </row>
        <row r="406">
          <cell r="F406" t="str">
            <v>847.8471160.1.436600.000000.847001.200179</v>
          </cell>
          <cell r="G406">
            <v>0</v>
          </cell>
          <cell r="H406">
            <v>20000</v>
          </cell>
          <cell r="I406">
            <v>15359</v>
          </cell>
          <cell r="J406"/>
          <cell r="K406"/>
          <cell r="L406">
            <v>4641</v>
          </cell>
        </row>
        <row r="407">
          <cell r="F407" t="str">
            <v>847.8471170.1.420810.000000.847001.200179</v>
          </cell>
          <cell r="G407">
            <v>1709607</v>
          </cell>
          <cell r="H407">
            <v>319000</v>
          </cell>
          <cell r="I407"/>
          <cell r="J407"/>
          <cell r="K407"/>
          <cell r="L407">
            <v>319000</v>
          </cell>
        </row>
        <row r="408">
          <cell r="F408" t="str">
            <v>847.8471170.1.420811.000000.847001.200179</v>
          </cell>
          <cell r="G408">
            <v>0</v>
          </cell>
          <cell r="H408">
            <v>1709607</v>
          </cell>
          <cell r="I408"/>
          <cell r="J408">
            <v>0</v>
          </cell>
          <cell r="K408">
            <v>871932.8</v>
          </cell>
          <cell r="L408">
            <v>837674.2</v>
          </cell>
        </row>
        <row r="409">
          <cell r="F409" t="str">
            <v>847.8471170.1.425900.000000.847001.200179</v>
          </cell>
          <cell r="G409">
            <v>10000</v>
          </cell>
          <cell r="H409">
            <v>10000</v>
          </cell>
          <cell r="I409"/>
          <cell r="J409"/>
          <cell r="K409"/>
          <cell r="L409">
            <v>10000</v>
          </cell>
        </row>
        <row r="410">
          <cell r="F410" t="str">
            <v>847.8471170.1.426610.000000.847001.200179</v>
          </cell>
          <cell r="G410">
            <v>2618576</v>
          </cell>
          <cell r="H410">
            <v>2269576</v>
          </cell>
          <cell r="I410">
            <v>1040409.21</v>
          </cell>
          <cell r="J410">
            <v>-1.3099999999976699</v>
          </cell>
          <cell r="K410">
            <v>614440</v>
          </cell>
          <cell r="L410">
            <v>614728.1</v>
          </cell>
        </row>
        <row r="411">
          <cell r="F411" t="str">
            <v>847.8471170.1.428090.000000.847001.200179</v>
          </cell>
          <cell r="G411">
            <v>45000</v>
          </cell>
          <cell r="H411">
            <v>42261</v>
          </cell>
          <cell r="I411">
            <v>31751.27</v>
          </cell>
          <cell r="J411"/>
          <cell r="K411"/>
          <cell r="L411">
            <v>10509.73</v>
          </cell>
        </row>
        <row r="412">
          <cell r="F412" t="str">
            <v>847.8471210.1.425900.000000.847001.200179</v>
          </cell>
          <cell r="G412">
            <v>15000</v>
          </cell>
          <cell r="H412">
            <v>15000</v>
          </cell>
          <cell r="I412">
            <v>14792.5</v>
          </cell>
          <cell r="J412">
            <v>0</v>
          </cell>
          <cell r="K412">
            <v>0</v>
          </cell>
          <cell r="L412">
            <v>207.5</v>
          </cell>
        </row>
        <row r="413">
          <cell r="F413" t="str">
            <v>847.8471210.1.428090.000000.847001.200179</v>
          </cell>
          <cell r="G413">
            <v>100000</v>
          </cell>
          <cell r="H413">
            <v>57246</v>
          </cell>
          <cell r="I413">
            <v>56700</v>
          </cell>
          <cell r="J413"/>
          <cell r="K413"/>
          <cell r="L413">
            <v>546</v>
          </cell>
        </row>
        <row r="414">
          <cell r="F414" t="str">
            <v>847.8471210.1.428640.000000.847001.200179</v>
          </cell>
          <cell r="G414">
            <v>20000</v>
          </cell>
          <cell r="H414">
            <v>149</v>
          </cell>
          <cell r="I414"/>
          <cell r="J414"/>
          <cell r="K414"/>
          <cell r="L414">
            <v>149</v>
          </cell>
        </row>
        <row r="415">
          <cell r="F415" t="str">
            <v>847.8471210.1.435530.000000.847001.200179</v>
          </cell>
          <cell r="G415">
            <v>20000</v>
          </cell>
          <cell r="H415">
            <v>0</v>
          </cell>
          <cell r="I415"/>
          <cell r="J415"/>
          <cell r="K415"/>
          <cell r="L415">
            <v>0</v>
          </cell>
        </row>
        <row r="416">
          <cell r="F416" t="str">
            <v>847.8471220.1.425510.000000.847001.200179</v>
          </cell>
          <cell r="G416">
            <v>2200</v>
          </cell>
          <cell r="H416">
            <v>22200</v>
          </cell>
          <cell r="I416">
            <v>8800</v>
          </cell>
          <cell r="J416"/>
          <cell r="K416"/>
          <cell r="L416">
            <v>13400</v>
          </cell>
        </row>
        <row r="417">
          <cell r="F417" t="str">
            <v>847.8471220.1.425741.000000.847001.200179</v>
          </cell>
          <cell r="G417">
            <v>80501600</v>
          </cell>
          <cell r="H417">
            <v>80825600</v>
          </cell>
          <cell r="I417">
            <v>69771996.379999995</v>
          </cell>
          <cell r="J417"/>
          <cell r="K417"/>
          <cell r="L417">
            <v>11053603.619999999</v>
          </cell>
        </row>
        <row r="418">
          <cell r="F418" t="str">
            <v>847.8471220.1.425745.000000.847001.200179</v>
          </cell>
          <cell r="G418"/>
          <cell r="H418"/>
          <cell r="I418">
            <v>-15194</v>
          </cell>
          <cell r="J418"/>
          <cell r="K418"/>
          <cell r="L418">
            <v>15194</v>
          </cell>
        </row>
        <row r="419">
          <cell r="F419" t="str">
            <v>847.8471220.1.426900.000000.847001.200179</v>
          </cell>
          <cell r="G419">
            <v>11000</v>
          </cell>
          <cell r="H419">
            <v>11000</v>
          </cell>
          <cell r="I419"/>
          <cell r="J419"/>
          <cell r="K419"/>
          <cell r="L419">
            <v>11000</v>
          </cell>
        </row>
        <row r="420">
          <cell r="F420" t="str">
            <v>847.8471220.1.435340.000000.847001.200179</v>
          </cell>
          <cell r="G420">
            <v>9500000</v>
          </cell>
          <cell r="H420">
            <v>9500000</v>
          </cell>
          <cell r="I420">
            <v>9132706.3499999996</v>
          </cell>
          <cell r="J420">
            <v>0</v>
          </cell>
          <cell r="K420">
            <v>0</v>
          </cell>
          <cell r="L420">
            <v>367293.65</v>
          </cell>
        </row>
        <row r="421">
          <cell r="F421" t="str">
            <v>847.8471220.1.436110.000000.847001.200179</v>
          </cell>
          <cell r="G421">
            <v>300000</v>
          </cell>
          <cell r="H421">
            <v>280000</v>
          </cell>
          <cell r="I421">
            <v>115500</v>
          </cell>
          <cell r="J421">
            <v>0</v>
          </cell>
          <cell r="K421">
            <v>15800</v>
          </cell>
          <cell r="L421">
            <v>148700</v>
          </cell>
        </row>
        <row r="422">
          <cell r="F422" t="str">
            <v>847.8471220.1.436120.000000.847001.200179</v>
          </cell>
          <cell r="G422">
            <v>6000</v>
          </cell>
          <cell r="H422">
            <v>6000</v>
          </cell>
          <cell r="I422"/>
          <cell r="J422"/>
          <cell r="K422"/>
          <cell r="L422">
            <v>6000</v>
          </cell>
        </row>
        <row r="423">
          <cell r="F423" t="str">
            <v>847.8471230.1.425742.000000.847001.200179</v>
          </cell>
          <cell r="G423">
            <v>2000000</v>
          </cell>
          <cell r="H423">
            <v>1552520</v>
          </cell>
          <cell r="I423">
            <v>1366366.08</v>
          </cell>
          <cell r="J423">
            <v>0</v>
          </cell>
          <cell r="K423">
            <v>94651.33</v>
          </cell>
          <cell r="L423">
            <v>91502.589999999895</v>
          </cell>
        </row>
        <row r="424">
          <cell r="F424" t="str">
            <v>847.8471230.1.426610.000000.847001.200179</v>
          </cell>
          <cell r="G424">
            <v>120000</v>
          </cell>
          <cell r="H424">
            <v>14480</v>
          </cell>
          <cell r="I424">
            <v>14479.23</v>
          </cell>
          <cell r="J424"/>
          <cell r="K424"/>
          <cell r="L424">
            <v>0.770000000000437</v>
          </cell>
        </row>
        <row r="425">
          <cell r="F425" t="str">
            <v>847.8471240.1.425510.000000.847001.200179</v>
          </cell>
          <cell r="G425">
            <v>220000</v>
          </cell>
          <cell r="H425">
            <v>85000</v>
          </cell>
          <cell r="I425">
            <v>67336.44</v>
          </cell>
          <cell r="J425">
            <v>0</v>
          </cell>
          <cell r="K425">
            <v>0</v>
          </cell>
          <cell r="L425">
            <v>16193.56</v>
          </cell>
        </row>
        <row r="426">
          <cell r="F426" t="str">
            <v>847.8471240.1.425720.000000.847001.200179</v>
          </cell>
          <cell r="G426">
            <v>128000</v>
          </cell>
          <cell r="H426">
            <v>246000</v>
          </cell>
          <cell r="I426"/>
          <cell r="J426"/>
          <cell r="K426"/>
          <cell r="L426">
            <v>246000</v>
          </cell>
        </row>
        <row r="427">
          <cell r="F427" t="str">
            <v>847.8471240.1.425750.000000.847001.200179</v>
          </cell>
          <cell r="G427">
            <v>23000</v>
          </cell>
          <cell r="H427">
            <v>23000</v>
          </cell>
          <cell r="I427"/>
          <cell r="J427"/>
          <cell r="K427"/>
          <cell r="L427">
            <v>23000</v>
          </cell>
        </row>
        <row r="428">
          <cell r="F428" t="str">
            <v>847.8471240.1.425761.000000.847001.200179</v>
          </cell>
          <cell r="G428">
            <v>800000</v>
          </cell>
          <cell r="H428">
            <v>792290</v>
          </cell>
          <cell r="I428">
            <v>325555.34999999998</v>
          </cell>
          <cell r="J428"/>
          <cell r="K428"/>
          <cell r="L428">
            <v>466734.65</v>
          </cell>
        </row>
        <row r="429">
          <cell r="F429" t="str">
            <v>847.8471240.1.425900.000000.847001.200179</v>
          </cell>
          <cell r="G429">
            <v>24000</v>
          </cell>
          <cell r="H429">
            <v>24000</v>
          </cell>
          <cell r="I429">
            <v>7722.75</v>
          </cell>
          <cell r="J429"/>
          <cell r="K429"/>
          <cell r="L429">
            <v>16277.25</v>
          </cell>
        </row>
        <row r="430">
          <cell r="F430" t="str">
            <v>847.8471240.1.426610.000000.847001.200179</v>
          </cell>
          <cell r="G430">
            <v>0</v>
          </cell>
          <cell r="H430">
            <v>363000</v>
          </cell>
          <cell r="I430">
            <v>145112.88</v>
          </cell>
          <cell r="J430">
            <v>0</v>
          </cell>
          <cell r="K430">
            <v>217669.33</v>
          </cell>
          <cell r="L430">
            <v>217.78999999997899</v>
          </cell>
        </row>
        <row r="431">
          <cell r="F431" t="str">
            <v>847.8471240.1.427710.000000.847001.200179</v>
          </cell>
          <cell r="G431">
            <v>0</v>
          </cell>
          <cell r="H431">
            <v>11020</v>
          </cell>
          <cell r="I431">
            <v>11019</v>
          </cell>
          <cell r="J431"/>
          <cell r="K431"/>
          <cell r="L431">
            <v>1</v>
          </cell>
        </row>
        <row r="432">
          <cell r="F432" t="str">
            <v>847.8471240.1.428090.000000.847001.200179</v>
          </cell>
          <cell r="G432">
            <v>60000</v>
          </cell>
          <cell r="H432">
            <v>20092</v>
          </cell>
          <cell r="I432">
            <v>20091.18</v>
          </cell>
          <cell r="J432"/>
          <cell r="K432"/>
          <cell r="L432">
            <v>0.81999999999970896</v>
          </cell>
        </row>
        <row r="433">
          <cell r="F433" t="str">
            <v>847.8471240.1.428640.000000.847001.200179</v>
          </cell>
          <cell r="G433">
            <v>14000</v>
          </cell>
          <cell r="H433">
            <v>7104</v>
          </cell>
          <cell r="I433"/>
          <cell r="J433"/>
          <cell r="K433"/>
          <cell r="L433">
            <v>7104</v>
          </cell>
        </row>
        <row r="434">
          <cell r="F434" t="str">
            <v>847.8471240.1.435330.000000.847001.200179</v>
          </cell>
          <cell r="G434">
            <v>4750</v>
          </cell>
          <cell r="H434">
            <v>4750</v>
          </cell>
          <cell r="I434"/>
          <cell r="J434"/>
          <cell r="K434"/>
          <cell r="L434">
            <v>4750</v>
          </cell>
        </row>
        <row r="435">
          <cell r="F435" t="str">
            <v>847.8471240.1.436110.000000.847001.200179</v>
          </cell>
          <cell r="G435">
            <v>42000</v>
          </cell>
          <cell r="H435">
            <v>12000</v>
          </cell>
          <cell r="I435"/>
          <cell r="J435"/>
          <cell r="K435"/>
          <cell r="L435">
            <v>12000</v>
          </cell>
        </row>
        <row r="436">
          <cell r="F436" t="str">
            <v>847.8471240.1.436120.000000.847001.200179</v>
          </cell>
          <cell r="G436">
            <v>35000</v>
          </cell>
          <cell r="H436">
            <v>25000</v>
          </cell>
          <cell r="I436"/>
          <cell r="J436"/>
          <cell r="K436"/>
          <cell r="L436">
            <v>25000</v>
          </cell>
        </row>
        <row r="437">
          <cell r="F437" t="str">
            <v>847.8471250.1.425510.000000.847001.200179</v>
          </cell>
          <cell r="G437">
            <v>317500</v>
          </cell>
          <cell r="H437">
            <v>992474</v>
          </cell>
          <cell r="I437">
            <v>471715</v>
          </cell>
          <cell r="J437">
            <v>365000</v>
          </cell>
          <cell r="K437">
            <v>0</v>
          </cell>
          <cell r="L437">
            <v>155759</v>
          </cell>
        </row>
        <row r="438">
          <cell r="F438" t="str">
            <v>847.8471250.1.425720.000000.847001.200179</v>
          </cell>
          <cell r="G438">
            <v>560000</v>
          </cell>
          <cell r="H438">
            <v>0</v>
          </cell>
          <cell r="I438"/>
          <cell r="J438"/>
          <cell r="K438"/>
          <cell r="L438">
            <v>0</v>
          </cell>
        </row>
        <row r="439">
          <cell r="F439" t="str">
            <v>847.8471250.1.425761.000000.847001.200179</v>
          </cell>
          <cell r="G439">
            <v>0</v>
          </cell>
          <cell r="H439">
            <v>80600</v>
          </cell>
          <cell r="I439">
            <v>60245</v>
          </cell>
          <cell r="J439"/>
          <cell r="K439"/>
          <cell r="L439">
            <v>20355</v>
          </cell>
        </row>
        <row r="440">
          <cell r="F440" t="str">
            <v>847.8471250.1.425762.000000.847001.200179</v>
          </cell>
          <cell r="G440">
            <v>520000</v>
          </cell>
          <cell r="H440">
            <v>462420</v>
          </cell>
          <cell r="I440">
            <v>462418.95</v>
          </cell>
          <cell r="J440"/>
          <cell r="K440"/>
          <cell r="L440">
            <v>1.0499999999865399</v>
          </cell>
        </row>
        <row r="441">
          <cell r="F441" t="str">
            <v>847.8471250.1.425900.000000.847001.200179</v>
          </cell>
          <cell r="G441">
            <v>51000</v>
          </cell>
          <cell r="H441">
            <v>31400</v>
          </cell>
          <cell r="I441">
            <v>31400</v>
          </cell>
          <cell r="J441"/>
          <cell r="K441"/>
          <cell r="L441">
            <v>0</v>
          </cell>
        </row>
        <row r="442">
          <cell r="F442" t="str">
            <v>847.8471250.1.426610.000000.847001.200179</v>
          </cell>
          <cell r="G442">
            <v>60608</v>
          </cell>
          <cell r="H442">
            <v>60608</v>
          </cell>
          <cell r="I442">
            <v>60604.5</v>
          </cell>
          <cell r="J442">
            <v>0</v>
          </cell>
          <cell r="K442">
            <v>0</v>
          </cell>
          <cell r="L442">
            <v>3.5</v>
          </cell>
        </row>
        <row r="443">
          <cell r="F443" t="str">
            <v>847.8471250.1.428090.000000.847001.200179</v>
          </cell>
          <cell r="G443">
            <v>0</v>
          </cell>
          <cell r="H443">
            <v>7536</v>
          </cell>
          <cell r="I443">
            <v>7535</v>
          </cell>
          <cell r="J443"/>
          <cell r="K443"/>
          <cell r="L443">
            <v>1</v>
          </cell>
        </row>
        <row r="444">
          <cell r="F444" t="str">
            <v>847.8471250.1.428640.000000.847001.200179</v>
          </cell>
          <cell r="G444">
            <v>46500</v>
          </cell>
          <cell r="H444">
            <v>1</v>
          </cell>
          <cell r="I444"/>
          <cell r="J444"/>
          <cell r="K444"/>
          <cell r="L444">
            <v>1</v>
          </cell>
        </row>
        <row r="445">
          <cell r="F445" t="str">
            <v>847.8471250.1.436110.000000.847001.200179</v>
          </cell>
          <cell r="G445">
            <v>10000</v>
          </cell>
          <cell r="H445">
            <v>12170</v>
          </cell>
          <cell r="I445"/>
          <cell r="J445"/>
          <cell r="K445"/>
          <cell r="L445">
            <v>12170</v>
          </cell>
        </row>
        <row r="446">
          <cell r="F446" t="str">
            <v>847.8471260.1.421100.000000.847001.200179</v>
          </cell>
          <cell r="G446">
            <v>2058000</v>
          </cell>
          <cell r="H446">
            <v>353000</v>
          </cell>
          <cell r="I446">
            <v>352238.57</v>
          </cell>
          <cell r="J446"/>
          <cell r="K446"/>
          <cell r="L446">
            <v>761.42999999999302</v>
          </cell>
        </row>
        <row r="447">
          <cell r="F447" t="str">
            <v>847.8471260.1.425510.000000.847001.200179</v>
          </cell>
          <cell r="G447">
            <v>205000</v>
          </cell>
          <cell r="H447">
            <v>99000</v>
          </cell>
          <cell r="I447">
            <v>98773.75</v>
          </cell>
          <cell r="J447">
            <v>0</v>
          </cell>
          <cell r="K447">
            <v>0</v>
          </cell>
          <cell r="L447">
            <v>226.25</v>
          </cell>
        </row>
        <row r="448">
          <cell r="F448" t="str">
            <v>847.8471260.1.425720.000000.847001.200179</v>
          </cell>
          <cell r="G448">
            <v>0</v>
          </cell>
          <cell r="H448">
            <v>0</v>
          </cell>
          <cell r="I448"/>
          <cell r="J448"/>
          <cell r="K448"/>
          <cell r="L448">
            <v>0</v>
          </cell>
        </row>
        <row r="449">
          <cell r="F449" t="str">
            <v>847.8471260.1.425746.000000.847001.200179</v>
          </cell>
          <cell r="G449">
            <v>9349361</v>
          </cell>
          <cell r="H449">
            <v>9349361</v>
          </cell>
          <cell r="I449">
            <v>98990.26</v>
          </cell>
          <cell r="J449">
            <v>0</v>
          </cell>
          <cell r="K449">
            <v>8745000</v>
          </cell>
          <cell r="L449">
            <v>505370.74</v>
          </cell>
        </row>
        <row r="450">
          <cell r="F450" t="str">
            <v>847.8471260.1.425747.000000.847001.200179</v>
          </cell>
          <cell r="G450">
            <v>225000</v>
          </cell>
          <cell r="H450">
            <v>586812</v>
          </cell>
          <cell r="I450">
            <v>401793.6</v>
          </cell>
          <cell r="J450">
            <v>0</v>
          </cell>
          <cell r="K450">
            <v>0</v>
          </cell>
          <cell r="L450">
            <v>185018.4</v>
          </cell>
        </row>
        <row r="451">
          <cell r="F451" t="str">
            <v>847.8471260.1.425760.000000.847001.200179</v>
          </cell>
          <cell r="G451">
            <v>936870</v>
          </cell>
          <cell r="H451">
            <v>575970</v>
          </cell>
          <cell r="I451">
            <v>457648.93</v>
          </cell>
          <cell r="J451">
            <v>0</v>
          </cell>
          <cell r="K451">
            <v>47450</v>
          </cell>
          <cell r="L451">
            <v>70871.069999999905</v>
          </cell>
        </row>
        <row r="452">
          <cell r="F452" t="str">
            <v>847.8471260.1.425900.000000.847001.200179</v>
          </cell>
          <cell r="G452">
            <v>70800</v>
          </cell>
          <cell r="H452">
            <v>144988</v>
          </cell>
          <cell r="I452">
            <v>137684.41</v>
          </cell>
          <cell r="J452">
            <v>0</v>
          </cell>
          <cell r="K452">
            <v>0</v>
          </cell>
          <cell r="L452">
            <v>6253.59</v>
          </cell>
        </row>
        <row r="453">
          <cell r="F453" t="str">
            <v>847.8471260.1.428640.000000.847001.200179</v>
          </cell>
          <cell r="G453">
            <v>32500</v>
          </cell>
          <cell r="H453">
            <v>63492</v>
          </cell>
          <cell r="I453">
            <v>61287.44</v>
          </cell>
          <cell r="J453">
            <v>0</v>
          </cell>
          <cell r="K453">
            <v>0</v>
          </cell>
          <cell r="L453">
            <v>2204.5600000000099</v>
          </cell>
        </row>
        <row r="454">
          <cell r="F454" t="str">
            <v>847.8471260.1.435530.000000.847001.200179</v>
          </cell>
          <cell r="G454">
            <v>12000</v>
          </cell>
          <cell r="H454">
            <v>117000</v>
          </cell>
          <cell r="I454">
            <v>106121.25</v>
          </cell>
          <cell r="J454">
            <v>0</v>
          </cell>
          <cell r="K454">
            <v>9050</v>
          </cell>
          <cell r="L454">
            <v>1828.74999999999</v>
          </cell>
        </row>
        <row r="455">
          <cell r="F455" t="str">
            <v>847.8471260.1.436110.000000.847001.200179</v>
          </cell>
          <cell r="G455">
            <v>13500</v>
          </cell>
          <cell r="H455">
            <v>13500</v>
          </cell>
          <cell r="I455">
            <v>7039.73</v>
          </cell>
          <cell r="J455"/>
          <cell r="K455"/>
          <cell r="L455">
            <v>6460.27</v>
          </cell>
        </row>
        <row r="456">
          <cell r="F456" t="str">
            <v>847.8471270.1.425900.000000.847001.200179</v>
          </cell>
          <cell r="G456">
            <v>50000</v>
          </cell>
          <cell r="H456">
            <v>15000</v>
          </cell>
          <cell r="I456"/>
          <cell r="J456"/>
          <cell r="K456"/>
          <cell r="L456">
            <v>12039</v>
          </cell>
        </row>
        <row r="457">
          <cell r="F457" t="str">
            <v>847.8471270.1.428090.000000.847001.200179</v>
          </cell>
          <cell r="G457">
            <v>300000</v>
          </cell>
          <cell r="H457">
            <v>81738</v>
          </cell>
          <cell r="I457"/>
          <cell r="J457"/>
          <cell r="K457"/>
          <cell r="L457">
            <v>81738</v>
          </cell>
        </row>
        <row r="458">
          <cell r="F458" t="str">
            <v>847.8471270.1.435330.000000.847001.200179</v>
          </cell>
          <cell r="G458">
            <v>15199430</v>
          </cell>
          <cell r="H458">
            <v>15139430</v>
          </cell>
          <cell r="I458">
            <v>13533104.15</v>
          </cell>
          <cell r="J458">
            <v>73143.000000000495</v>
          </cell>
          <cell r="K458">
            <v>1305980.06</v>
          </cell>
          <cell r="L458">
            <v>227202.78999999599</v>
          </cell>
        </row>
        <row r="459">
          <cell r="F459" t="str">
            <v>847.8471270.1.436110.000000.847001.200179</v>
          </cell>
          <cell r="G459">
            <v>50000</v>
          </cell>
          <cell r="H459">
            <v>10000</v>
          </cell>
          <cell r="I459"/>
          <cell r="J459"/>
          <cell r="K459"/>
          <cell r="L459">
            <v>10000</v>
          </cell>
        </row>
        <row r="460">
          <cell r="F460" t="str">
            <v>847.8471280.1.425100.000000.847001.200179</v>
          </cell>
          <cell r="G460">
            <v>2500</v>
          </cell>
          <cell r="H460">
            <v>2500</v>
          </cell>
          <cell r="I460"/>
          <cell r="J460"/>
          <cell r="K460"/>
          <cell r="L460">
            <v>2500</v>
          </cell>
        </row>
        <row r="461">
          <cell r="F461" t="str">
            <v>847.8471280.1.425510.000000.847001.200179</v>
          </cell>
          <cell r="G461">
            <v>30000</v>
          </cell>
          <cell r="H461">
            <v>157078</v>
          </cell>
          <cell r="I461">
            <v>129204.37</v>
          </cell>
          <cell r="J461">
            <v>0</v>
          </cell>
          <cell r="K461">
            <v>0</v>
          </cell>
          <cell r="L461">
            <v>26928.63</v>
          </cell>
        </row>
        <row r="462">
          <cell r="F462" t="str">
            <v>847.8471280.1.425550.000000.847001.200179</v>
          </cell>
          <cell r="G462">
            <v>60000</v>
          </cell>
          <cell r="H462">
            <v>60000</v>
          </cell>
          <cell r="I462">
            <v>28416.86</v>
          </cell>
          <cell r="J462"/>
          <cell r="K462"/>
          <cell r="L462">
            <v>31583.14</v>
          </cell>
        </row>
        <row r="463">
          <cell r="F463" t="str">
            <v>847.8471280.1.425710.000000.847001.200179</v>
          </cell>
          <cell r="G463">
            <v>0</v>
          </cell>
          <cell r="H463">
            <v>200000</v>
          </cell>
          <cell r="I463">
            <v>157500</v>
          </cell>
          <cell r="J463"/>
          <cell r="K463"/>
          <cell r="L463">
            <v>42500</v>
          </cell>
        </row>
        <row r="464">
          <cell r="F464" t="str">
            <v>847.8471280.1.425760.000000.847001.200179</v>
          </cell>
          <cell r="G464">
            <v>30000</v>
          </cell>
          <cell r="H464">
            <v>30000</v>
          </cell>
          <cell r="I464">
            <v>3000</v>
          </cell>
          <cell r="J464"/>
          <cell r="K464"/>
          <cell r="L464">
            <v>27000</v>
          </cell>
        </row>
        <row r="465">
          <cell r="F465" t="str">
            <v>847.8471280.1.425770.000000.847001.200179</v>
          </cell>
          <cell r="G465">
            <v>500000</v>
          </cell>
          <cell r="H465">
            <v>82743</v>
          </cell>
          <cell r="I465">
            <v>82742.5</v>
          </cell>
          <cell r="J465">
            <v>0</v>
          </cell>
          <cell r="K465">
            <v>0</v>
          </cell>
          <cell r="L465">
            <v>0.5</v>
          </cell>
        </row>
        <row r="466">
          <cell r="F466" t="str">
            <v>847.8471280.1.426610.000000.847001.200179</v>
          </cell>
          <cell r="G466">
            <v>321000</v>
          </cell>
          <cell r="H466">
            <v>321000</v>
          </cell>
          <cell r="I466">
            <v>271991.93</v>
          </cell>
          <cell r="J466">
            <v>14692</v>
          </cell>
          <cell r="K466">
            <v>0</v>
          </cell>
          <cell r="L466">
            <v>34316.07</v>
          </cell>
        </row>
        <row r="467">
          <cell r="F467" t="str">
            <v>847.8471280.1.428640.000000.847001.200179</v>
          </cell>
          <cell r="G467">
            <v>15000</v>
          </cell>
          <cell r="H467">
            <v>7612</v>
          </cell>
          <cell r="I467"/>
          <cell r="J467"/>
          <cell r="K467"/>
          <cell r="L467">
            <v>7612</v>
          </cell>
        </row>
        <row r="468">
          <cell r="F468" t="str">
            <v>847.8471280.1.432170.000000.847001.200179</v>
          </cell>
          <cell r="G468">
            <v>200000</v>
          </cell>
          <cell r="H468">
            <v>0</v>
          </cell>
          <cell r="I468"/>
          <cell r="J468"/>
          <cell r="K468"/>
          <cell r="L468">
            <v>0</v>
          </cell>
        </row>
        <row r="469">
          <cell r="F469" t="str">
            <v>847.8471280.1.435340.000000.847001.200179</v>
          </cell>
          <cell r="G469">
            <v>10000</v>
          </cell>
          <cell r="H469">
            <v>10000</v>
          </cell>
          <cell r="I469"/>
          <cell r="J469"/>
          <cell r="K469"/>
          <cell r="L469">
            <v>10000</v>
          </cell>
        </row>
        <row r="470">
          <cell r="F470" t="str">
            <v>847.8471280.1.435530.000000.847001.200179</v>
          </cell>
          <cell r="G470">
            <v>5000</v>
          </cell>
          <cell r="H470">
            <v>5000</v>
          </cell>
          <cell r="I470">
            <v>1014</v>
          </cell>
          <cell r="J470"/>
          <cell r="K470"/>
          <cell r="L470">
            <v>3986</v>
          </cell>
        </row>
        <row r="471">
          <cell r="F471" t="str">
            <v>847.8471305.1.420570.000000.847001.200179</v>
          </cell>
          <cell r="G471">
            <v>21895944</v>
          </cell>
          <cell r="H471">
            <v>21895944</v>
          </cell>
          <cell r="I471">
            <v>18866430</v>
          </cell>
          <cell r="J471"/>
          <cell r="K471"/>
          <cell r="L471">
            <v>3029514</v>
          </cell>
        </row>
        <row r="472">
          <cell r="F472" t="str">
            <v>847.8471305.1.420810.000000.847001.200179</v>
          </cell>
          <cell r="G472">
            <v>263385</v>
          </cell>
          <cell r="H472">
            <v>0</v>
          </cell>
          <cell r="I472"/>
          <cell r="J472"/>
          <cell r="K472"/>
          <cell r="L472">
            <v>0</v>
          </cell>
        </row>
        <row r="473">
          <cell r="F473" t="str">
            <v>847.8471305.1.420811.000000.847001.200179</v>
          </cell>
          <cell r="G473">
            <v>0</v>
          </cell>
          <cell r="H473">
            <v>0</v>
          </cell>
          <cell r="I473"/>
          <cell r="J473"/>
          <cell r="K473"/>
          <cell r="L473">
            <v>0</v>
          </cell>
        </row>
        <row r="474">
          <cell r="F474" t="str">
            <v>847.8471305.1.421000.000000.847001.200179</v>
          </cell>
          <cell r="G474">
            <v>271000</v>
          </cell>
          <cell r="H474">
            <v>271000</v>
          </cell>
          <cell r="I474">
            <v>147834.06</v>
          </cell>
          <cell r="J474">
            <v>0</v>
          </cell>
          <cell r="K474">
            <v>0</v>
          </cell>
          <cell r="L474">
            <v>123165.94</v>
          </cell>
        </row>
        <row r="475">
          <cell r="F475" t="str">
            <v>847.8471305.1.421700.000000.847001.200179</v>
          </cell>
          <cell r="G475">
            <v>170000</v>
          </cell>
          <cell r="H475">
            <v>170000</v>
          </cell>
          <cell r="I475">
            <v>73837.02</v>
          </cell>
          <cell r="J475"/>
          <cell r="K475"/>
          <cell r="L475">
            <v>96162.98</v>
          </cell>
        </row>
        <row r="476">
          <cell r="F476" t="str">
            <v>847.8471305.1.422100.000000.847001.200179</v>
          </cell>
          <cell r="G476">
            <v>12000</v>
          </cell>
          <cell r="H476">
            <v>12000</v>
          </cell>
          <cell r="I476"/>
          <cell r="J476"/>
          <cell r="K476"/>
          <cell r="L476">
            <v>12000</v>
          </cell>
        </row>
        <row r="477">
          <cell r="F477" t="str">
            <v>847.8471305.1.425510.000000.847001.200179</v>
          </cell>
          <cell r="G477">
            <v>820000</v>
          </cell>
          <cell r="H477">
            <v>601500</v>
          </cell>
          <cell r="I477">
            <v>316404.98</v>
          </cell>
          <cell r="J477">
            <v>0</v>
          </cell>
          <cell r="K477">
            <v>0</v>
          </cell>
          <cell r="L477">
            <v>270972.52</v>
          </cell>
        </row>
        <row r="478">
          <cell r="F478" t="str">
            <v>847.8471305.1.425550.000000.847001.200179</v>
          </cell>
          <cell r="G478">
            <v>780000</v>
          </cell>
          <cell r="H478">
            <v>607000</v>
          </cell>
          <cell r="I478">
            <v>367413.63</v>
          </cell>
          <cell r="J478"/>
          <cell r="K478"/>
          <cell r="L478">
            <v>239586.37</v>
          </cell>
        </row>
        <row r="479">
          <cell r="F479" t="str">
            <v>847.8471305.1.425720.000000.847001.200179</v>
          </cell>
          <cell r="G479">
            <v>2494345</v>
          </cell>
          <cell r="H479">
            <v>2449345</v>
          </cell>
          <cell r="I479">
            <v>1297431.3</v>
          </cell>
          <cell r="J479">
            <v>0</v>
          </cell>
          <cell r="K479">
            <v>841579.26</v>
          </cell>
          <cell r="L479">
            <v>310334.44</v>
          </cell>
        </row>
        <row r="480">
          <cell r="F480" t="str">
            <v>847.8471305.1.425742.000000.847001.200179</v>
          </cell>
          <cell r="G480">
            <v>180000</v>
          </cell>
          <cell r="H480">
            <v>180000</v>
          </cell>
          <cell r="I480">
            <v>179039.58</v>
          </cell>
          <cell r="J480"/>
          <cell r="K480"/>
          <cell r="L480">
            <v>960.41999999998404</v>
          </cell>
        </row>
        <row r="481">
          <cell r="F481" t="str">
            <v>847.8471305.1.425744.000000.847001.200179</v>
          </cell>
          <cell r="G481">
            <v>0</v>
          </cell>
          <cell r="H481">
            <v>100694</v>
          </cell>
          <cell r="I481">
            <v>100002</v>
          </cell>
          <cell r="J481"/>
          <cell r="K481"/>
          <cell r="L481">
            <v>692</v>
          </cell>
        </row>
        <row r="482">
          <cell r="F482" t="str">
            <v>847.8471305.1.425745.000000.847001.200179</v>
          </cell>
          <cell r="G482">
            <v>0</v>
          </cell>
          <cell r="H482">
            <v>55400</v>
          </cell>
          <cell r="I482">
            <v>54543</v>
          </cell>
          <cell r="J482"/>
          <cell r="K482"/>
          <cell r="L482">
            <v>857</v>
          </cell>
        </row>
        <row r="483">
          <cell r="F483" t="str">
            <v>847.8471305.1.425746.000000.847001.200179</v>
          </cell>
          <cell r="G483">
            <v>312600</v>
          </cell>
          <cell r="H483">
            <v>292600</v>
          </cell>
          <cell r="I483"/>
          <cell r="J483"/>
          <cell r="K483"/>
          <cell r="L483">
            <v>292600</v>
          </cell>
        </row>
        <row r="484">
          <cell r="F484" t="str">
            <v>847.8471305.1.425749.000000.847001.200179</v>
          </cell>
          <cell r="G484">
            <v>24213178</v>
          </cell>
          <cell r="H484">
            <v>26413178</v>
          </cell>
          <cell r="I484">
            <v>26231200.030000001</v>
          </cell>
          <cell r="J484"/>
          <cell r="K484"/>
          <cell r="L484">
            <v>181977.969999995</v>
          </cell>
        </row>
        <row r="485">
          <cell r="F485" t="str">
            <v>847.8471305.1.425750.000000.847001.200179</v>
          </cell>
          <cell r="G485">
            <v>864069</v>
          </cell>
          <cell r="H485">
            <v>864069</v>
          </cell>
          <cell r="I485">
            <v>131112.59</v>
          </cell>
          <cell r="J485"/>
          <cell r="K485"/>
          <cell r="L485">
            <v>732956.41</v>
          </cell>
        </row>
        <row r="486">
          <cell r="F486" t="str">
            <v>847.8471305.1.425762.000000.847001.200179</v>
          </cell>
          <cell r="G486">
            <v>2759974</v>
          </cell>
          <cell r="H486">
            <v>1907974</v>
          </cell>
          <cell r="I486">
            <v>276740.03999999998</v>
          </cell>
          <cell r="J486">
            <v>0</v>
          </cell>
          <cell r="K486">
            <v>0</v>
          </cell>
          <cell r="L486">
            <v>1631233.96</v>
          </cell>
        </row>
        <row r="487">
          <cell r="F487" t="str">
            <v>847.8471305.1.425763.000000.847001.200179</v>
          </cell>
          <cell r="G487">
            <v>200000</v>
          </cell>
          <cell r="H487">
            <v>200000</v>
          </cell>
          <cell r="I487">
            <v>2940</v>
          </cell>
          <cell r="J487"/>
          <cell r="K487"/>
          <cell r="L487">
            <v>197060</v>
          </cell>
        </row>
        <row r="488">
          <cell r="F488" t="str">
            <v>847.8471305.1.425900.000000.847001.200179</v>
          </cell>
          <cell r="G488">
            <v>185000</v>
          </cell>
          <cell r="H488">
            <v>185000</v>
          </cell>
          <cell r="I488">
            <v>57008.33</v>
          </cell>
          <cell r="J488">
            <v>0</v>
          </cell>
          <cell r="K488">
            <v>0</v>
          </cell>
          <cell r="L488">
            <v>122237.67</v>
          </cell>
        </row>
        <row r="489">
          <cell r="F489" t="str">
            <v>847.8471305.1.426100.000000.847001.200179</v>
          </cell>
          <cell r="G489">
            <v>90000</v>
          </cell>
          <cell r="H489">
            <v>90000</v>
          </cell>
          <cell r="I489"/>
          <cell r="J489"/>
          <cell r="K489"/>
          <cell r="L489">
            <v>90000</v>
          </cell>
        </row>
        <row r="490">
          <cell r="F490" t="str">
            <v>847.8471305.1.426610.000000.847001.200179</v>
          </cell>
          <cell r="G490">
            <v>777363</v>
          </cell>
          <cell r="H490">
            <v>977363</v>
          </cell>
          <cell r="I490">
            <v>855139.77</v>
          </cell>
          <cell r="J490">
            <v>0</v>
          </cell>
          <cell r="K490">
            <v>7390</v>
          </cell>
          <cell r="L490">
            <v>114833.23</v>
          </cell>
        </row>
        <row r="491">
          <cell r="F491" t="str">
            <v>847.8471305.1.426900.000000.847001.200179</v>
          </cell>
          <cell r="G491">
            <v>21000</v>
          </cell>
          <cell r="H491">
            <v>21000</v>
          </cell>
          <cell r="I491">
            <v>235</v>
          </cell>
          <cell r="J491"/>
          <cell r="K491"/>
          <cell r="L491">
            <v>20765</v>
          </cell>
        </row>
        <row r="492">
          <cell r="F492" t="str">
            <v>847.8471305.1.427200.000000.847001.200179</v>
          </cell>
          <cell r="G492">
            <v>903674</v>
          </cell>
          <cell r="H492">
            <v>81210</v>
          </cell>
          <cell r="I492"/>
          <cell r="J492"/>
          <cell r="K492"/>
          <cell r="L492">
            <v>81210</v>
          </cell>
        </row>
        <row r="493">
          <cell r="F493" t="str">
            <v>847.8471305.1.427710.000000.847001.200179</v>
          </cell>
          <cell r="G493">
            <v>153178</v>
          </cell>
          <cell r="H493">
            <v>153178</v>
          </cell>
          <cell r="I493">
            <v>50517.43</v>
          </cell>
          <cell r="J493">
            <v>0</v>
          </cell>
          <cell r="K493">
            <v>0</v>
          </cell>
          <cell r="L493">
            <v>102660.57</v>
          </cell>
        </row>
        <row r="494">
          <cell r="F494" t="str">
            <v>847.8471305.1.427810.000000.847001.200179</v>
          </cell>
          <cell r="G494">
            <v>10000</v>
          </cell>
          <cell r="H494">
            <v>10000</v>
          </cell>
          <cell r="I494"/>
          <cell r="J494"/>
          <cell r="K494"/>
          <cell r="L494">
            <v>10000</v>
          </cell>
        </row>
        <row r="495">
          <cell r="F495" t="str">
            <v>847.8471305.1.428090.000000.847001.200179</v>
          </cell>
          <cell r="G495">
            <v>419000</v>
          </cell>
          <cell r="H495">
            <v>69339</v>
          </cell>
          <cell r="I495">
            <v>43037.5</v>
          </cell>
          <cell r="J495"/>
          <cell r="K495"/>
          <cell r="L495">
            <v>26301.5</v>
          </cell>
        </row>
        <row r="496">
          <cell r="F496" t="str">
            <v>847.8471305.1.428640.000000.847001.200179</v>
          </cell>
          <cell r="G496">
            <v>5000</v>
          </cell>
          <cell r="H496">
            <v>2887</v>
          </cell>
          <cell r="I496">
            <v>2819.61</v>
          </cell>
          <cell r="J496"/>
          <cell r="K496"/>
          <cell r="L496">
            <v>67.389999999999901</v>
          </cell>
        </row>
        <row r="497">
          <cell r="F497" t="str">
            <v>847.8471305.1.432205.000000.847001.200179</v>
          </cell>
          <cell r="G497">
            <v>26000</v>
          </cell>
          <cell r="H497">
            <v>565385</v>
          </cell>
          <cell r="I497">
            <v>522981</v>
          </cell>
          <cell r="J497">
            <v>0</v>
          </cell>
          <cell r="K497">
            <v>0</v>
          </cell>
          <cell r="L497">
            <v>42404</v>
          </cell>
        </row>
        <row r="498">
          <cell r="F498" t="str">
            <v>847.8471305.1.432209.000000.847001.200179</v>
          </cell>
          <cell r="G498">
            <v>516900</v>
          </cell>
          <cell r="H498">
            <v>586900</v>
          </cell>
          <cell r="I498">
            <v>570068.61</v>
          </cell>
          <cell r="J498">
            <v>0</v>
          </cell>
          <cell r="K498">
            <v>4161</v>
          </cell>
          <cell r="L498">
            <v>12670.39</v>
          </cell>
        </row>
        <row r="499">
          <cell r="F499" t="str">
            <v>847.8471305.1.432210.000000.847001.200179</v>
          </cell>
          <cell r="G499">
            <v>35000</v>
          </cell>
          <cell r="H499">
            <v>35000</v>
          </cell>
          <cell r="I499"/>
          <cell r="J499"/>
          <cell r="K499"/>
          <cell r="L499">
            <v>35000</v>
          </cell>
        </row>
        <row r="500">
          <cell r="F500" t="str">
            <v>847.8471305.1.435330.000000.847001.200179</v>
          </cell>
          <cell r="G500">
            <v>72000</v>
          </cell>
          <cell r="H500">
            <v>1312390</v>
          </cell>
          <cell r="I500">
            <v>257634.35</v>
          </cell>
          <cell r="J500">
            <v>148095.35999999999</v>
          </cell>
          <cell r="K500">
            <v>631025.18000000005</v>
          </cell>
          <cell r="L500">
            <v>275635.11</v>
          </cell>
        </row>
        <row r="501">
          <cell r="F501" t="str">
            <v>847.8471305.1.435340.000000.847001.200179</v>
          </cell>
          <cell r="G501">
            <v>591905</v>
          </cell>
          <cell r="H501">
            <v>6515</v>
          </cell>
          <cell r="I501">
            <v>305.68</v>
          </cell>
          <cell r="J501"/>
          <cell r="K501"/>
          <cell r="L501">
            <v>6209.32</v>
          </cell>
        </row>
        <row r="502">
          <cell r="F502" t="str">
            <v>847.8471305.1.435350.000000.847001.200179</v>
          </cell>
          <cell r="G502">
            <v>120000</v>
          </cell>
          <cell r="H502">
            <v>520499</v>
          </cell>
          <cell r="I502">
            <v>341492.34</v>
          </cell>
          <cell r="J502"/>
          <cell r="K502"/>
          <cell r="L502">
            <v>179006.66</v>
          </cell>
        </row>
        <row r="503">
          <cell r="F503" t="str">
            <v>847.8471305.1.435508.000000.847001.200179</v>
          </cell>
          <cell r="G503">
            <v>1592072</v>
          </cell>
          <cell r="H503">
            <v>1892072</v>
          </cell>
          <cell r="I503">
            <v>1141371.99</v>
          </cell>
          <cell r="J503">
            <v>106452.52</v>
          </cell>
          <cell r="K503">
            <v>524687</v>
          </cell>
          <cell r="L503">
            <v>119560.49</v>
          </cell>
        </row>
        <row r="504">
          <cell r="F504" t="str">
            <v>847.8471305.1.435530.000000.847001.200179</v>
          </cell>
          <cell r="G504">
            <v>10000</v>
          </cell>
          <cell r="H504">
            <v>10000</v>
          </cell>
          <cell r="I504">
            <v>80</v>
          </cell>
          <cell r="J504"/>
          <cell r="K504"/>
          <cell r="L504">
            <v>9920</v>
          </cell>
        </row>
        <row r="505">
          <cell r="F505" t="str">
            <v>847.8471305.1.436110.000000.847001.200179</v>
          </cell>
          <cell r="G505">
            <v>200000</v>
          </cell>
          <cell r="H505">
            <v>0</v>
          </cell>
          <cell r="I505"/>
          <cell r="J505"/>
          <cell r="K505"/>
          <cell r="L505">
            <v>0</v>
          </cell>
        </row>
        <row r="506">
          <cell r="F506" t="str">
            <v>847.8471305.1.436120.000000.847001.200179</v>
          </cell>
          <cell r="G506">
            <v>112000</v>
          </cell>
          <cell r="H506">
            <v>87000</v>
          </cell>
          <cell r="I506">
            <v>3165.75</v>
          </cell>
          <cell r="J506"/>
          <cell r="K506"/>
          <cell r="L506">
            <v>83834.25</v>
          </cell>
        </row>
        <row r="507">
          <cell r="F507" t="str">
            <v>847.8471305.1.436600.000000.847001.200179</v>
          </cell>
          <cell r="G507">
            <v>0</v>
          </cell>
          <cell r="H507">
            <v>6000</v>
          </cell>
          <cell r="I507"/>
          <cell r="J507"/>
          <cell r="K507"/>
          <cell r="L507">
            <v>6000</v>
          </cell>
        </row>
        <row r="508">
          <cell r="F508"/>
          <cell r="G508">
            <v>592955000</v>
          </cell>
          <cell r="H508">
            <v>579850000</v>
          </cell>
          <cell r="I508">
            <v>453931899.87</v>
          </cell>
          <cell r="J508">
            <v>8850241.6999999993</v>
          </cell>
          <cell r="K508">
            <v>36418948.619999997</v>
          </cell>
          <cell r="L508">
            <v>80691645.019999593</v>
          </cell>
        </row>
        <row r="509">
          <cell r="F509"/>
          <cell r="G509"/>
          <cell r="H509"/>
          <cell r="I509"/>
          <cell r="J509"/>
          <cell r="K509"/>
          <cell r="L509"/>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905.652586805554" createdVersion="6" refreshedVersion="6" minRefreshableVersion="3" recordCount="51" xr:uid="{00000000-000A-0000-FFFF-FFFF06000000}">
  <cacheSource type="worksheet">
    <worksheetSource ref="A2:K53" sheet="Capex 06-12-2022"/>
  </cacheSource>
  <cacheFields count="11">
    <cacheField name="Cost Center Code" numFmtId="0">
      <sharedItems/>
    </cacheField>
    <cacheField name="Cost Center Description" numFmtId="0">
      <sharedItems/>
    </cacheField>
    <cacheField name="Account Code" numFmtId="0">
      <sharedItems/>
    </cacheField>
    <cacheField name="Account Description" numFmtId="0">
      <sharedItems count="10">
        <s v="Laboratory equipment"/>
        <s v="Computer software-Application, Platform"/>
        <s v="Hardware &amp; peripherals"/>
        <s v="Copyrights, patents and licenses"/>
        <s v="Capital expense - Buildings"/>
        <s v="Furniture &amp; Fixtures - Offices"/>
        <s v="Computer software"/>
        <s v="Hardware &amp; peripherals-Network Devices"/>
        <s v="Hardware &amp; peripherals-Peripherals &amp; Infrastructure Components"/>
        <s v="Hardware &amp; peripherals-Conferencing &amp; AV"/>
      </sharedItems>
    </cacheField>
    <cacheField name="GL Account Combination" numFmtId="0">
      <sharedItems/>
    </cacheField>
    <cacheField name="Annual Budget" numFmtId="3">
      <sharedItems containsSemiMixedTypes="0" containsString="0" containsNumber="1" containsInteger="1" minValue="0" maxValue="19458929"/>
    </cacheField>
    <cacheField name="Revised Budget" numFmtId="3">
      <sharedItems containsSemiMixedTypes="0" containsString="0" containsNumber="1" containsInteger="1" minValue="0" maxValue="23531949"/>
    </cacheField>
    <cacheField name="Actual Amount" numFmtId="0">
      <sharedItems containsString="0" containsBlank="1" containsNumber="1" minValue="0" maxValue="20990255.739999998"/>
    </cacheField>
    <cacheField name="PR" numFmtId="0">
      <sharedItems containsString="0" containsBlank="1" containsNumber="1" minValue="0" maxValue="1470000"/>
    </cacheField>
    <cacheField name="PO" numFmtId="0">
      <sharedItems containsString="0" containsBlank="1" containsNumber="1" minValue="-29844.44" maxValue="2575971.6"/>
    </cacheField>
    <cacheField name="Fund Available" numFmtId="3">
      <sharedItems containsSemiMixedTypes="0" containsString="0" containsNumber="1" minValue="0" maxValue="8203957.6299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905.652588078701" createdVersion="6" refreshedVersion="6" minRefreshableVersion="3" recordCount="505" xr:uid="{00000000-000A-0000-FFFF-FFFF07000000}">
  <cacheSource type="worksheet">
    <worksheetSource ref="B1:AE505" sheet="Q3 OPEX_Detail"/>
  </cacheSource>
  <cacheFields count="27">
    <cacheField name="Cost Center Grpup" numFmtId="0">
      <sharedItems containsBlank="1" count="18">
        <s v="office of the president"/>
        <s v="EVP office"/>
        <s v="KUST - Khalifa University of Science &amp; Technology - Gener"/>
        <s v="Provost office"/>
        <s v="Academic &amp; student service office"/>
        <s v="College of engineering"/>
        <s v="College of Art &amp; science"/>
        <s v="Administrations, Facilities &amp; EHS office"/>
        <s v="Senior Vice President, Finance and Investment,"/>
        <s v="Finane &amp; Business development office"/>
        <s v="Procurement office"/>
        <s v="HR office"/>
        <s v="Ankabut office"/>
        <s v="Continuing Education office"/>
        <s v="Research &amp; development office"/>
        <s v="College of medicine"/>
        <s v="SVP/ Support Services Office"/>
        <m u="1"/>
      </sharedItems>
    </cacheField>
    <cacheField name="Chapter Name" numFmtId="0">
      <sharedItems containsBlank="1"/>
    </cacheField>
    <cacheField name="Cost Center Code" numFmtId="0">
      <sharedItems containsSemiMixedTypes="0" containsString="0" containsNumber="1" containsInteger="1" minValue="8470110" maxValue="8471305"/>
    </cacheField>
    <cacheField name="Cost Center Description" numFmtId="0">
      <sharedItems containsBlank="1" count="57">
        <s v="KUST - Office of the President"/>
        <s v="KUST - Audit"/>
        <s v="KUST - Institutional Research &amp; Planning"/>
        <s v="KUST - Communication"/>
        <s v="KUST - General Counsel"/>
        <s v="KUST - Khalifa University of Science &amp; Technology - General Administration"/>
        <s v="KUST - Office of the Provost"/>
        <s v="KUST - Graduate Studies"/>
        <s v="KUST - Dean Of Engineering"/>
        <s v="KUST - Aerospace Engineering"/>
        <s v="KUST - Biomedical Engineering"/>
        <s v="KUST - Chemical Engineering"/>
        <s v="KUST - Civil Engineering"/>
        <s v="KUST - Electrical &amp; Computer Engineering"/>
        <s v="KUST - Industrial &amp; Systems Engineering"/>
        <s v="KUST - Mechanical Engineering"/>
        <s v="KUST - Nuclear Engineering"/>
        <s v="KUST - Petroleum Engineering"/>
        <s v="KUST - Dean Of Arts &amp; Science"/>
        <s v="KUST - Institute of International &amp; Civil Security"/>
        <s v="KUST - Chemistry"/>
        <s v="KUST - Physics"/>
        <s v="KUST - Preparatory Program"/>
        <s v="KUST - Department of English"/>
        <s v="KUST - Humanities &amp; Social Sciences"/>
        <s v="KUST - Mathematics"/>
        <s v="KUST - Earth Science"/>
        <s v="KUST – Biology"/>
        <s v="KUST - Environment, Health &amp; Safety"/>
        <s v="KUST - Facilities Management"/>
        <s v="KUST - Administration"/>
        <s v="KUST - VP/ Finance and Budget Office"/>
        <s v="KUST - Finance Operations"/>
        <s v="KUST - Procurement and Contracts"/>
        <s v="KUST - Human Resources"/>
        <s v="KUST - Ankabut office"/>
        <s v="KUST - Continuing Education Office"/>
        <s v="KUST - SVP/ Research &amp; Development Office"/>
        <s v="KUST - Institute for Automation, Information Science &amp; Communication"/>
        <s v="KUST - Petroleum Institute"/>
        <s v="KUST - Masdar Institute"/>
        <s v="KUST - Research Service"/>
        <s v="KUST - University Sponsored Research"/>
        <s v="KUST - Technology Management &amp; Innovation"/>
        <s v="KUST - Research Laboratories"/>
        <s v="KUST - Research Computing"/>
        <s v="KUST - SVP/ Academic &amp; Student Services Office"/>
        <s v="KUST - Registrar"/>
        <s v="KUST - Student Enrollment"/>
        <s v="KUST - Student Success"/>
        <s v="KUST - Career Services"/>
        <s v="KUST - Student Life"/>
        <s v="KUST - Libraries"/>
        <s v="KUST - Center for Teaching &amp; Learning"/>
        <s v="KUST - Dean Of Medicine"/>
        <s v="KUST - SVP/ Support Services Office"/>
        <m u="1"/>
      </sharedItems>
    </cacheField>
    <cacheField name="Account Code" numFmtId="0">
      <sharedItems containsMixedTypes="1" containsNumber="1" containsInteger="1" minValue="420120" maxValue="436600"/>
    </cacheField>
    <cacheField name="Account Description" numFmtId="0">
      <sharedItems containsBlank="1" count="84">
        <s v="Academic Advisory Service"/>
        <s v="Academic Collaborative Partnership Services"/>
        <s v="Legal services"/>
        <s v="Management consultancy"/>
        <s v="Standards Certification Services (e.g. ISO)"/>
        <s v="Conferences, seminars and exhibitions and other events: - Local Events"/>
        <s v="Conferences, seminars and exhibitions and other events: - Overseas event"/>
        <s v="Entertainment and hospitality"/>
        <s v="Computer software licenses-Software License Renewal"/>
        <s v="Business Travel - Combined expenses"/>
        <s v="Sponsorship expenses/contributions"/>
        <s v="Events - Awards, prizes &amp; gifts"/>
        <s v="Internal Audit service"/>
        <s v="Subscriptions and membership fees: Trade organisations"/>
        <s v="Advertising Services (General)"/>
        <s v="Student Project Expenses"/>
        <s v="Public relations"/>
        <s v="Printing and publishing"/>
        <s v="Newspapers, magazines, journals, etc"/>
        <s v="Photography - Consumable materials /Tools"/>
        <s v="Academic Missions - Combined expenses"/>
        <s v="Academic Publications"/>
        <s v="Scientific"/>
        <s v="Scholarships &amp; other financial aid"/>
        <s v="Maintenance: Computers and peripherals-End user and Infrastructure components maintenance and support"/>
        <s v="Graduation rewards"/>
        <s v="Student medical insurance"/>
        <s v="Student relocation &amp; travel exps"/>
        <s v="Postgraduate Student Salaries"/>
        <s v="Student Field trips"/>
        <s v="Student Internship"/>
        <s v="Printing supplies"/>
        <s v="Laboratory equipment"/>
        <s v="Laboratory - Scientific"/>
        <s v="Training/Teaching equipment and other educational aid"/>
        <s v="Student activities &amp; field trip expenses"/>
        <s v="Text books and library books"/>
        <s v="Education-Outsourced training service"/>
        <s v="Freight and shipping costs, not included elsewhere under purchase costs"/>
        <s v="Health,safety&amp;environment awareness"/>
        <s v="Cleaning Services: Business premises"/>
        <s v="Manpower supply &quot;Other Than IT Related&quot;"/>
        <s v="Security service"/>
        <s v="Insurance - Fire and allied perils"/>
        <s v="Insurance - Motor vehicles"/>
        <s v="Rental - Land"/>
        <s v="Bldg maintenance-Business premises"/>
        <s v="Bldg decoration &amp; minor improvements"/>
        <s v="Maintenance: Residential Furniture and fixtures"/>
        <s v="Sports and other recreational supplies: Students"/>
        <s v="Motor vehicle registration and inspection charges"/>
        <s v="Postal, courier and other document delivery expenses"/>
        <s v="Electricity consumption charges"/>
        <s v="Water consumption charges"/>
        <s v="Student Accommodation"/>
        <s v="Other services, not specifically mentioned elsewhere"/>
        <s v="Rental - Equipment"/>
        <s v="Rental - Motor vehicles"/>
        <s v="Motor vehicles (non-military)"/>
        <s v="Catering supplies: Offices"/>
        <s v="Fuel, oil and lubricants: Motor vehicles"/>
        <s v="External Audit service"/>
        <s v="Other specialised professional services, not mentioned elsewhere"/>
        <s v="Banking service charges / Fees"/>
        <s v="Fees for processing e-payments-e-Payment operation"/>
        <s v="Stationery"/>
        <s v="Entertanment"/>
        <s v="Translation and interpretation service"/>
        <s v="IT Systems &amp; Support expenses-Application/Systems Operation"/>
        <s v="Telephone and telefax charges-Telecommunication, Satellite services"/>
        <s v="Data Transmission charges-Data Transmission charges"/>
        <s v="Rental - Computer hardware-Rental/Subscription - Computer hardware"/>
        <s v="Computers and peripherals-Printers maintenance and support"/>
        <s v="Maintenance: IT Systems &amp; Support expenses"/>
        <s v="Student stipend"/>
        <s v="Enrollment expenses"/>
        <s v="Skill assessment service"/>
        <s v="Library books"/>
        <s v="Student Transport"/>
        <s v="School consumables, not specifically mentioned elsewhere"/>
        <s v="Higher education and specialisation incentives"/>
        <s v="Waste management service"/>
        <s v="Medical equipment"/>
        <m u="1"/>
      </sharedItems>
    </cacheField>
    <cacheField name="GL Account Combination" numFmtId="0">
      <sharedItems/>
    </cacheField>
    <cacheField name="Annual Budget" numFmtId="0">
      <sharedItems containsString="0" containsBlank="1" containsNumber="1" containsInteger="1" minValue="0" maxValue="110824684"/>
    </cacheField>
    <cacheField name="Revised Budget - Sep 22" numFmtId="0">
      <sharedItems containsString="0" containsBlank="1" containsNumber="1" containsInteger="1" minValue="-367211" maxValue="110824684"/>
    </cacheField>
    <cacheField name="Actual Amount - Sep 22" numFmtId="0">
      <sharedItems containsString="0" containsBlank="1" containsNumber="1" minValue="-367211.82" maxValue="81132195.440000102"/>
    </cacheField>
    <cacheField name="PR - Sep 22" numFmtId="0">
      <sharedItems containsString="0" containsBlank="1" containsNumber="1" minValue="-2.6193447411060302E-10" maxValue="4852865.17"/>
    </cacheField>
    <cacheField name="PO - Sep 22" numFmtId="0">
      <sharedItems containsString="0" containsBlank="1" containsNumber="1" minValue="-409.91000000000298" maxValue="5181508.41"/>
    </cacheField>
    <cacheField name="Fund Available - Sep 22" numFmtId="3">
      <sharedItems containsString="0" containsBlank="1" containsNumber="1" minValue="-7341.9000000000015" maxValue="31301198.619999997"/>
    </cacheField>
    <cacheField name="Oct-22 Utilization Plan" numFmtId="0">
      <sharedItems containsString="0" containsBlank="1" containsNumber="1" minValue="0" maxValue="13954529.623199953"/>
    </cacheField>
    <cacheField name="Nov-22 Utilization Plan" numFmtId="0">
      <sharedItems containsString="0" containsBlank="1" containsNumber="1" minValue="0" maxValue="11876195.423999961"/>
    </cacheField>
    <cacheField name="Dec-22 Utilization Plan" numFmtId="0">
      <sharedItems containsString="0" containsBlank="1" containsNumber="1" minValue="0" maxValue="11500000"/>
    </cacheField>
    <cacheField name="Utilization Justification" numFmtId="0">
      <sharedItems containsBlank="1" containsMixedTypes="1" containsNumber="1" containsInteger="1" minValue="0" maxValue="162500" longText="1"/>
    </cacheField>
    <cacheField name="Budget Surplus Amount " numFmtId="0">
      <sharedItems containsString="0" containsBlank="1" containsNumber="1" minValue="-10489500" maxValue="10000000"/>
    </cacheField>
    <cacheField name="Surplus Justification" numFmtId="0">
      <sharedItems containsBlank="1" longText="1"/>
    </cacheField>
    <cacheField name="Forecast  " numFmtId="43">
      <sharedItems containsSemiMixedTypes="0" containsString="0" containsNumber="1" minValue="-10489500" maxValue="4799886"/>
    </cacheField>
    <cacheField name="Feedback" numFmtId="0">
      <sharedItems/>
    </cacheField>
    <cacheField name=" Expected Budget Surplus / Shortage Amount" numFmtId="0">
      <sharedItems containsNonDate="0" containsString="0" containsBlank="1"/>
    </cacheField>
    <cacheField name="Revised Budget - Nov 22" numFmtId="43">
      <sharedItems containsString="0" containsBlank="1" containsNumber="1" containsInteger="1" minValue="-367211" maxValue="117580684"/>
    </cacheField>
    <cacheField name="Actual Amount - Nov 22" numFmtId="43">
      <sharedItems containsString="0" containsBlank="1" containsNumber="1" minValue="-367211.82" maxValue="95323813.510000095"/>
    </cacheField>
    <cacheField name="PR - Nov 22" numFmtId="0">
      <sharedItems containsString="0" containsBlank="1" containsNumber="1" minValue="-235" maxValue="2423461.2999999998"/>
    </cacheField>
    <cacheField name="PO - Nov 22" numFmtId="0">
      <sharedItems containsString="0" containsBlank="1" containsNumber="1" minValue="-26381.32" maxValue="9407298.5099999998"/>
    </cacheField>
    <cacheField name="Fund Available - Nov 22" numFmtId="43">
      <sharedItems containsString="0" containsBlank="1" containsNumber="1" minValue="-8654.6999999999971" maxValue="21299130.6199999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905.652588888886" createdVersion="6" refreshedVersion="6" minRefreshableVersion="3" recordCount="51" xr:uid="{00000000-000A-0000-FFFF-FFFF08000000}">
  <cacheSource type="worksheet">
    <worksheetSource ref="B1:AF52" sheet="Q3 CAPEX_Detail"/>
  </cacheSource>
  <cacheFields count="27">
    <cacheField name="Cost Center Group" numFmtId="0">
      <sharedItems count="11">
        <s v="office of the president"/>
        <s v="EVP office"/>
        <s v="Academic &amp; student service office"/>
        <s v="College of engineering"/>
        <s v="College of Art &amp; science"/>
        <s v="Administrations, Facilities &amp; EHS office"/>
        <s v="Procurement office"/>
        <s v="HR office"/>
        <s v="Ankabut office"/>
        <s v="Research &amp; development office"/>
        <s v="College of medicine"/>
      </sharedItems>
    </cacheField>
    <cacheField name="Chapter Name" numFmtId="0">
      <sharedItems/>
    </cacheField>
    <cacheField name="Cost Center Code" numFmtId="0">
      <sharedItems containsSemiMixedTypes="0" containsString="0" containsNumber="1" containsInteger="1" minValue="8470110" maxValue="8471305"/>
    </cacheField>
    <cacheField name="Cost Center Description" numFmtId="0">
      <sharedItems/>
    </cacheField>
    <cacheField name="Account Code" numFmtId="0">
      <sharedItems containsMixedTypes="1" containsNumber="1" containsInteger="1" minValue="492200" maxValue="495140"/>
    </cacheField>
    <cacheField name="Account Description" numFmtId="0">
      <sharedItems count="10">
        <s v="Laboratory equipment"/>
        <s v="Computer software-Application, Platform"/>
        <s v="Hardware &amp; peripherals"/>
        <s v="Copyrights, patents and licenses"/>
        <s v="Capital expense - Buildings"/>
        <s v="Furniture &amp; Fixtures - Offices"/>
        <s v="Computer software"/>
        <s v="Hardware &amp; peripherals-Network Devices"/>
        <s v="Hardware &amp; peripherals-Peripherals &amp; Infrastructure Components"/>
        <s v="Hardware &amp; peripherals-Conferencing &amp; AV"/>
      </sharedItems>
    </cacheField>
    <cacheField name="GL Account Combination" numFmtId="0">
      <sharedItems/>
    </cacheField>
    <cacheField name="Annual Budget" numFmtId="3">
      <sharedItems containsSemiMixedTypes="0" containsString="0" containsNumber="1" containsInteger="1" minValue="0" maxValue="19458929"/>
    </cacheField>
    <cacheField name="Revised Budget - Sep 22" numFmtId="3">
      <sharedItems containsSemiMixedTypes="0" containsString="0" containsNumber="1" containsInteger="1" minValue="0" maxValue="25123643"/>
    </cacheField>
    <cacheField name="Actual Amount - Sep 22" numFmtId="0">
      <sharedItems containsString="0" containsBlank="1" containsNumber="1" minValue="0" maxValue="14827479.25"/>
    </cacheField>
    <cacheField name="PR - Sep 22" numFmtId="0">
      <sharedItems containsString="0" containsBlank="1" containsNumber="1" minValue="-8.0035533756017698E-11" maxValue="10861838.17"/>
    </cacheField>
    <cacheField name="PO - Sep 22" numFmtId="0">
      <sharedItems containsString="0" containsBlank="1" containsNumber="1" minValue="-15631.86" maxValue="8974286.5999999996"/>
    </cacheField>
    <cacheField name="Fund Available - Sep 22" numFmtId="3">
      <sharedItems containsSemiMixedTypes="0" containsString="0" containsNumber="1" minValue="0" maxValue="2786015"/>
    </cacheField>
    <cacheField name="Oct-22 Utilization Plan" numFmtId="0">
      <sharedItems containsString="0" containsBlank="1" containsNumber="1" containsInteger="1" minValue="60000" maxValue="60000"/>
    </cacheField>
    <cacheField name="Nov-22 Utilization Plan" numFmtId="0">
      <sharedItems containsString="0" containsBlank="1" containsNumber="1" containsInteger="1" minValue="0" maxValue="0"/>
    </cacheField>
    <cacheField name="Dec-22 Utilization Plan" numFmtId="0">
      <sharedItems containsString="0" containsBlank="1" containsNumber="1" containsInteger="1" minValue="0" maxValue="0"/>
    </cacheField>
    <cacheField name="Utilization Justification" numFmtId="0">
      <sharedItems containsBlank="1" longText="1"/>
    </cacheField>
    <cacheField name="Budget Surplus Amount" numFmtId="3">
      <sharedItems containsSemiMixedTypes="0" containsString="0" containsNumber="1" minValue="0" maxValue="2786015"/>
    </cacheField>
    <cacheField name="Surplus Justification" numFmtId="0">
      <sharedItems containsBlank="1"/>
    </cacheField>
    <cacheField name="Feedback" numFmtId="0">
      <sharedItems/>
    </cacheField>
    <cacheField name="Capex Shortage/Surplus" numFmtId="0">
      <sharedItems containsString="0" containsBlank="1" containsNumber="1" minValue="-8988807.7300000004" maxValue="1000000"/>
    </cacheField>
    <cacheField name="Forecast 09-Dec-2022" numFmtId="0">
      <sharedItems containsSemiMixedTypes="0" containsString="0" containsNumber="1" minValue="-8672568.9100000001" maxValue="5403957.6299999999"/>
    </cacheField>
    <cacheField name="Revised Budget - Nov-22" numFmtId="43">
      <sharedItems containsSemiMixedTypes="0" containsString="0" containsNumber="1" containsInteger="1" minValue="0" maxValue="23531949"/>
    </cacheField>
    <cacheField name="Actual Amount - Nov-22" numFmtId="43">
      <sharedItems containsSemiMixedTypes="0" containsString="0" containsNumber="1" minValue="0" maxValue="17687599.25"/>
    </cacheField>
    <cacheField name="PR - Nov-22" numFmtId="43">
      <sharedItems containsSemiMixedTypes="0" containsString="0" containsNumber="1" minValue="-3426" maxValue="1320000"/>
    </cacheField>
    <cacheField name="PO - Nov-22" numFmtId="43">
      <sharedItems containsSemiMixedTypes="0" containsString="0" containsNumber="1" minValue="-29844.44" maxValue="5469572.2199999997"/>
    </cacheField>
    <cacheField name="Fund Available - Nov-22" numFmtId="43">
      <sharedItems containsSemiMixedTypes="0" containsString="0" containsNumber="1" minValue="0" maxValue="8203957.629999999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907.814827893519" createdVersion="6" refreshedVersion="6" minRefreshableVersion="3" recordCount="508" xr:uid="{00000000-000A-0000-FFFF-FFFF09000000}">
  <cacheSource type="worksheet">
    <worksheetSource ref="A1:AT509" sheet="Q3 OPEX_Detail"/>
  </cacheSource>
  <cacheFields count="45">
    <cacheField name="SVP Level" numFmtId="0">
      <sharedItems containsBlank="1" count="12">
        <s v="President's Office "/>
        <s v="Executive Vice President Office"/>
        <s v="Provost"/>
        <s v="Academic and Student Services Office"/>
        <s v="College of Engineering"/>
        <s v="College of Arts &amp; Science"/>
        <s v="SVP - Support Services Office"/>
        <s v="SVP - Finance and Investment"/>
        <s v="Continuing Education"/>
        <s v="SVP - Research Office"/>
        <s v="College of Medicine &amp; Health Sciences"/>
        <m u="1"/>
      </sharedItems>
    </cacheField>
    <cacheField name="Cost Center Grpup" numFmtId="0">
      <sharedItems containsBlank="1"/>
    </cacheField>
    <cacheField name="Chapter Name" numFmtId="0">
      <sharedItems containsBlank="1"/>
    </cacheField>
    <cacheField name="Cost Center Code" numFmtId="0">
      <sharedItems containsSemiMixedTypes="0" containsString="0" containsNumber="1" containsInteger="1" minValue="8470110" maxValue="8471305"/>
    </cacheField>
    <cacheField name="Cost Center Description" numFmtId="0">
      <sharedItems/>
    </cacheField>
    <cacheField name="Account Code" numFmtId="0">
      <sharedItems containsMixedTypes="1" containsNumber="1" containsInteger="1" minValue="420120" maxValue="436600"/>
    </cacheField>
    <cacheField name="Account Description" numFmtId="0">
      <sharedItems count="83">
        <s v="Academic Advisory Service"/>
        <s v="Academic Collaborative Partnership Services"/>
        <s v="Legal services"/>
        <s v="Management consultancy"/>
        <s v="Standards Certification Services (e.g. ISO)"/>
        <s v="Conferences, seminars and exhibitions and other events: - Local Events"/>
        <s v="Conferences, seminars and exhibitions and other events: - Overseas event"/>
        <s v="Entertainment and hospitality"/>
        <s v="Computer software licenses-Software License Renewal"/>
        <s v="Business Travel - Combined expenses"/>
        <s v="Sponsorship expenses/contributions"/>
        <s v="Events - Awards, prizes &amp; gifts"/>
        <s v="Internal Audit service"/>
        <s v="Subscriptions and membership fees: Trade organisations"/>
        <s v="Advertising Services (General)"/>
        <s v="Student Project Expenses"/>
        <s v="Public relations"/>
        <s v="Printing and publishing"/>
        <s v="Newspapers, magazines, journals, etc"/>
        <s v="Photography - Consumable materials /Tools"/>
        <s v="Academic Missions - Combined expenses"/>
        <s v="Academic Publications"/>
        <s v="Scientific"/>
        <s v="Scholarships &amp; other financial aid"/>
        <s v="Maintenance: Computers and peripherals-End user and Infrastructure components maintenance and support"/>
        <s v="Graduation rewards"/>
        <s v="Student medical insurance"/>
        <s v="Student relocation &amp; travel exps"/>
        <s v="Postgraduate Student Salaries"/>
        <s v="Student Field trips"/>
        <s v="Student Internship"/>
        <s v="Printing supplies"/>
        <s v="Laboratory equipment"/>
        <s v="Laboratory - Scientific"/>
        <s v="Training/Teaching equipment and other educational aid"/>
        <s v="Student activities &amp; field trip expenses"/>
        <s v="Text books and library books"/>
        <s v="Education-Outsourced training service"/>
        <s v="Freight and shipping costs, not included elsewhere under purchase costs"/>
        <s v="Health,safety&amp;environment awareness"/>
        <s v="Cleaning Services: Business premises"/>
        <s v="Manpower supply &quot;Other Than IT Related&quot;"/>
        <s v="Security service"/>
        <s v="Insurance - Fire and allied perils"/>
        <s v="Insurance - Motor vehicles"/>
        <s v="Rental - Land"/>
        <s v="Bldg maintenance-Business premises"/>
        <s v="Bldg decoration &amp; minor improvements"/>
        <s v="Maintenance: Residential Furniture and fixtures"/>
        <s v="Sports and other recreational supplies: Students"/>
        <s v="Motor vehicle registration and inspection charges"/>
        <s v="Postal, courier and other document delivery expenses"/>
        <s v="Electricity consumption charges"/>
        <s v="Water consumption charges"/>
        <s v="Student Accommodation"/>
        <s v="Other services, not specifically mentioned elsewhere"/>
        <s v="Rental - Equipment"/>
        <s v="Rental - Motor vehicles"/>
        <s v="Motor vehicles (non-military)"/>
        <s v="Catering supplies: Offices"/>
        <s v="Fuel, oil and lubricants: Motor vehicles"/>
        <s v="External Audit service"/>
        <s v="Other specialised professional services, not mentioned elsewhere"/>
        <s v="Banking service charges / Fees"/>
        <s v="Fees for processing e-payments-e-Payment operation"/>
        <s v="Stationery"/>
        <s v="Entertanment"/>
        <s v="Translation and interpretation service"/>
        <s v="IT Systems &amp; Support expenses-Application/Systems Operation"/>
        <s v="Telephone and telefax charges-Telecommunication, Satellite services"/>
        <s v="Data Transmission charges-Data Transmission charges"/>
        <s v="Rental - Computer hardware-Rental/Subscription - Computer hardware"/>
        <s v="Computers and peripherals-Printers maintenance and support"/>
        <s v="Maintenance: IT Systems &amp; Support expenses"/>
        <s v="Student stipend"/>
        <s v="Enrollment expenses"/>
        <s v="Skill assessment service"/>
        <s v="Library books"/>
        <s v="Student Transport"/>
        <s v="School consumables, not specifically mentioned elsewhere"/>
        <s v="Higher education and specialisation incentives"/>
        <s v="Waste management service"/>
        <s v="Medical equipment"/>
      </sharedItems>
    </cacheField>
    <cacheField name="GL Account Combination" numFmtId="0">
      <sharedItems count="506">
        <s v="847.8470110.1.420550.000000.847001.200179"/>
        <s v="847.8470110.1.420570.000000.847001.200179"/>
        <s v="847.8470110.1.420900.000000.847001.200179"/>
        <s v="847.8470110.1.421000.000000.847001.200179"/>
        <s v="847.8470110.1.421700.000000.847001.200179"/>
        <s v="847.8470110.1.425510.000000.847001.200179"/>
        <s v="847.8470110.1.425550.000000.847001.200179"/>
        <s v="847.8470110.1.425900.000000.847001.200179"/>
        <s v="847.8470110.1.426610.000000.847001.200179"/>
        <s v="847.8470110.1.428090.000000.847001.200179"/>
        <s v="847.8470110.1.428400.000000.847001.200179"/>
        <s v="847.8470110.1.428640.000000.847001.200179"/>
        <s v="847.8470120.1.420120.000000.847001.200179"/>
        <s v="847.8470130.1.421000.000000.847001.200179"/>
        <s v="847.8470130.1.426610.000000.847001.200179"/>
        <s v="847.8470130.1.427710.000000.847001.200179"/>
        <s v="847.8470130.1.428090.000000.847001.200179"/>
        <s v="847.8470140.1.425100.000000.847001.200179"/>
        <s v="847.8470140.1.425510.000000.847001.200179"/>
        <s v="847.8470140.1.425550.000000.847001.200179"/>
        <s v="847.8470140.1.425763.000000.847050.200179"/>
        <s v="847.8470140.1.427100.000000.847001.200179"/>
        <s v="847.8470140.1.427200.000000.847001.200179"/>
        <s v="847.8470140.1.428640.000000.847001.200179"/>
        <s v="847.8470140.1.435310.000000.847001.200179"/>
        <s v="847.8470140.1.435519.000000.847001.200179"/>
        <s v="847.8470150.1.420900.000000.847001.200179"/>
        <s v="847.8470210.1.420570.000000.847001.200179"/>
        <s v="847.8470210.1.425770.000000.847001.200179"/>
        <s v="847.8470210.1.427200.000000.847001.200179"/>
        <s v="847.8470210.1.428090.000000.847001.200179"/>
        <s v="847.8470210.1.428640.000000.847001.200179"/>
        <s v="847.8470210.1.435350.000000.847001.200179"/>
        <s v="847.8470210.1.435523.000000.847001.200179"/>
        <s v="847.8470220.1.420550.000000.847001.200179"/>
        <s v="847.8470220.1.420570.000000.847001.200179"/>
        <s v="847.8470220.1.421700.000000.847001.200179"/>
        <s v="847.8470220.1.425510.000000.847001.200179"/>
        <s v="847.8470220.1.425550.000000.847001.200179"/>
        <s v="847.8470220.1.425740.000000.847001.200179"/>
        <s v="847.8470220.1.425900.000000.847001.200179"/>
        <s v="847.8470220.1.426610.000000.847001.200179"/>
        <s v="847.8470220.1.428090.000000.847001.200179"/>
        <s v="847.8470220.1.428640.000000.847001.200179"/>
        <s v="847.8470220.1.432205.000000.847001.200179"/>
        <s v="847.8470230.1.420550.000000.847001.200179"/>
        <s v="847.8470230.1.425100.000000.847001.200179"/>
        <s v="847.8470230.1.425510.000000.847001.200179"/>
        <s v="847.8470230.1.425550.000000.847001.200179"/>
        <s v="847.8470230.1.425743.000000.847001.200179"/>
        <s v="847.8470230.1.425744.000000.847001.200179"/>
        <s v="847.8470230.1.425745.000000.847001.200179"/>
        <s v="847.8470230.1.425749.000000.847001.200179"/>
        <s v="847.8470230.1.425761.000000.847001.200179"/>
        <s v="847.8470230.1.425762.000000.847001.200179"/>
        <s v="847.8470230.1.425900.000000.847001.200179"/>
        <s v="847.8470230.1.426610.000000.847001.200179"/>
        <s v="847.8470230.1.428090.000000.847001.200179"/>
        <s v="847.8470230.1.428640.000000.847001.200179"/>
        <s v="847.8470230.1.436110.000000.847001.200179"/>
        <s v="847.8470305.1.420550.000000.847001.200179"/>
        <s v="847.8470305.1.420570.000000.847001.200179"/>
        <s v="847.8470305.1.421700.000000.847001.200179"/>
        <s v="847.8470305.1.425510.000000.847001.200179"/>
        <s v="847.8470305.1.425763.000000.847001.200179"/>
        <s v="847.8470305.1.425770.000000.847001.200179"/>
        <s v="847.8470305.1.425900.000000.847001.200179"/>
        <s v="847.8470305.1.426610.000000.847001.200179"/>
        <s v="847.8470305.1.428090.000000.847001.200179"/>
        <s v="847.8470305.1.428640.000000.847001.200179"/>
        <s v="847.8470305.1.432209.000000.847001.200179"/>
        <s v="847.8470305.1.435350.000000.847001.200179"/>
        <s v="847.8470305.1.435508.000000.847001.200179"/>
        <s v="847.8470305.1.436600.000000.847001.200179"/>
        <s v="847.8470310.1.420550.000000.847001.200179"/>
        <s v="847.8470310.1.425510.000000.847001.200179"/>
        <s v="847.8470310.1.425760.000000.847001.200179"/>
        <s v="847.8470310.1.425763.000000.847001.200179"/>
        <s v="847.8470310.1.425770.000000.847001.200179"/>
        <s v="847.8470310.1.425900.000000.847001.200179"/>
        <s v="847.8470310.1.426610.000000.847001.200179"/>
        <s v="847.8470310.1.428090.000000.847001.200179"/>
        <s v="847.8470310.1.432209.000000.847001.200179"/>
        <s v="847.8470310.1.435350.000000.847001.200179"/>
        <s v="847.8470310.1.435508.000000.847001.200179"/>
        <s v="847.8470310.1.436110.000000.847001.200179"/>
        <s v="847.8470310.1.436600.000000.847001.200179"/>
        <s v="847.8470315.1.420550.000000.847001.200179"/>
        <s v="847.8470315.1.425510.000000.847001.200179"/>
        <s v="847.8470315.1.425760.000000.847001.200179"/>
        <s v="847.8470315.1.425763.000000.847001.200179"/>
        <s v="847.8470315.1.425770.000000.847001.200179"/>
        <s v="847.8470315.1.425900.000000.847001.200179"/>
        <s v="847.8470315.1.426610.000000.847001.200179"/>
        <s v="847.8470315.1.428090.000000.847001.200179"/>
        <s v="847.8470315.1.432209.000000.847001.200179"/>
        <s v="847.8470315.1.435350.000000.847001.200179"/>
        <s v="847.8470315.1.435508.000000.847001.200179"/>
        <s v="847.8470315.1.436110.000000.847001.200179"/>
        <s v="847.8470315.1.436600.000000.847001.200179"/>
        <s v="847.8470320.1.420550.000000.847001.200179"/>
        <s v="847.8470320.1.425510.000000.847001.200179"/>
        <s v="847.8470320.1.425760.000000.847001.200179"/>
        <s v="847.8470320.1.425763.000000.847001.200179"/>
        <s v="847.8470320.1.425770.000000.847001.200179"/>
        <s v="847.8470320.1.425900.000000.847001.200179"/>
        <s v="847.8470320.1.426610.000000.847001.200179"/>
        <s v="847.8470320.1.428090.000000.847001.200179"/>
        <s v="847.8470320.1.435350.000000.847001.200179"/>
        <s v="847.8470320.1.435508.000000.847001.200179"/>
        <s v="847.8470320.1.436110.000000.847001.200179"/>
        <s v="847.8470320.1.436600.000000.847001.200179"/>
        <s v="847.8470325.1.420550.000000.847001.200179"/>
        <s v="847.8470325.1.425510.000000.847001.200179"/>
        <s v="847.8470325.1.425760.000000.847001.200179"/>
        <s v="847.8470325.1.425763.000000.847001.200179"/>
        <s v="847.8470325.1.425770.000000.847001.200179"/>
        <s v="847.8470325.1.426610.000000.847001.200179"/>
        <s v="847.8470325.1.428090.000000.847001.200179"/>
        <s v="847.8470325.1.432209.000000.847001.200179"/>
        <s v="847.8470325.1.435350.000000.847001.200179"/>
        <s v="847.8470325.1.435508.000000.847001.200179"/>
        <s v="847.8470330.1.420550.000000.847001.200179"/>
        <s v="847.8470330.1.425510.000000.847001.200179"/>
        <s v="847.8470330.1.425760.000000.847001.200179"/>
        <s v="847.8470330.1.425763.000000.847001.200179"/>
        <s v="847.8470330.1.425770.000000.847001.200179"/>
        <s v="847.8470330.1.425900.000000.847001.200179"/>
        <s v="847.8470330.1.426610.000000.847001.200179"/>
        <s v="847.8470330.1.428640.000000.847001.200179"/>
        <s v="847.8470330.1.432209.000000.847001.200179"/>
        <s v="847.8470330.1.435340.000000.847001.200179"/>
        <s v="847.8470330.1.435350.000000.847001.200179"/>
        <s v="847.8470330.1.435508.000000.847001.200179"/>
        <s v="847.8470330.1.436600.000000.847001.200179"/>
        <s v="847.8470335.1.420550.000000.847001.200179"/>
        <s v="847.8470335.1.425510.000000.847001.200179"/>
        <s v="847.8470335.1.425760.000000.847001.200179"/>
        <s v="847.8470335.1.425763.000000.847001.200179"/>
        <s v="847.8470335.1.425770.000000.847001.200179"/>
        <s v="847.8470335.1.425900.000000.847001.200179"/>
        <s v="847.8470335.1.426610.000000.847001.200179"/>
        <s v="847.8470335.1.428090.000000.847001.200179"/>
        <s v="847.8470335.1.435350.000000.847001.200179"/>
        <s v="847.8470335.1.435508.000000.847001.200179"/>
        <s v="847.8470335.1.436110.000000.847001.200179"/>
        <s v="847.8470335.1.436600.000000.847001.200179"/>
        <s v="847.8470340.1.420550.000000.847001.200179"/>
        <s v="847.8470340.1.425510.000000.847001.200179"/>
        <s v="847.8470340.1.425720.000000.847001.200179"/>
        <s v="847.8470340.1.425760.000000.847001.200179"/>
        <s v="847.8470340.1.425763.000000.847001.200179"/>
        <s v="847.8470340.1.425770.000000.847001.200179"/>
        <s v="847.8470340.1.425900.000000.847001.200179"/>
        <s v="847.8470340.1.426610.000000.847001.200179"/>
        <s v="847.8470340.1.432209.000000.847001.200179"/>
        <s v="847.8470340.1.435350.000000.847001.200179"/>
        <s v="847.8470340.1.435508.000000.847001.200179"/>
        <s v="847.8470345.1.420550.000000.847001.200179"/>
        <s v="847.8470345.1.425510.000000.847001.200179"/>
        <s v="847.8470345.1.425760.000000.847001.200179"/>
        <s v="847.8470345.1.425770.000000.847001.200179"/>
        <s v="847.8470345.1.425900.000000.847001.200179"/>
        <s v="847.8470345.1.426610.000000.847001.200179"/>
        <s v="847.8470345.1.428090.000000.847001.200179"/>
        <s v="847.8470345.1.435350.000000.847001.200179"/>
        <s v="847.8470345.1.435508.000000.847001.200179"/>
        <s v="847.8470345.1.436110.000000.847001.200179"/>
        <s v="847.8470345.1.436600.000000.847001.200179"/>
        <s v="847.8470350.1.425510.000000.847001.200179"/>
        <s v="847.8470350.1.425760.000000.847001.200179"/>
        <s v="847.8470350.1.425763.000000.847001.200179"/>
        <s v="847.8470350.1.425770.000000.847001.200179"/>
        <s v="847.8470350.1.425900.000000.847001.200179"/>
        <s v="847.8470350.1.426610.000000.847001.200179"/>
        <s v="847.8470350.1.432209.000000.847001.200179"/>
        <s v="847.8470350.1.435340.000000.847001.200179"/>
        <s v="847.8470350.1.435350.000000.847001.200179"/>
        <s v="847.8470350.1.435508.000000.847001.200179"/>
        <s v="847.8470350.1.436110.000000.847001.200179"/>
        <s v="847.8470350.1.436600.000000.847001.200179"/>
        <s v="847.8470405.1.420550.000000.847001.200179"/>
        <s v="847.8470405.1.421700.000000.847001.200179"/>
        <s v="847.8470405.1.425510.000000.847001.200179"/>
        <s v="847.8470405.1.425550.000000.847001.200179"/>
        <s v="847.8470405.1.425770.000000.847001.200179"/>
        <s v="847.8470405.1.427710.000000.847001.200179"/>
        <s v="847.8470405.1.432209.000000.847001.200179"/>
        <s v="847.8470405.1.435350.000000.847001.200179"/>
        <s v="847.8470410.1.425761.000000.847001.200179"/>
        <s v="847.8470410.1.425770.000000.847001.200179"/>
        <s v="847.8470410.1.426610.000000.847001.200179"/>
        <s v="847.8470410.1.435310.000000.847001.200179"/>
        <s v="847.8470410.1.435350.000000.847001.200179"/>
        <s v="847.8470415.1.421700.000000.847001.200179"/>
        <s v="847.8470415.1.425100.000000.847001.200179"/>
        <s v="847.8470415.1.425760.000000.847001.200179"/>
        <s v="847.8470415.1.425763.000000.847001.200179"/>
        <s v="847.8470415.1.425770.000000.847001.200179"/>
        <s v="847.8470415.1.425900.000000.847001.200179"/>
        <s v="847.8470415.1.426610.000000.847001.200179"/>
        <s v="847.8470415.1.428640.000000.847001.200179"/>
        <s v="847.8470415.1.432209.000000.847001.200179"/>
        <s v="847.8470415.1.435350.000000.847001.200179"/>
        <s v="847.8470415.1.435508.000000.847001.200179"/>
        <s v="847.8470415.1.435519.000000.847001.200179"/>
        <s v="847.8470425.1.425510.000000.847001.200179"/>
        <s v="847.8470425.1.425550.000000.847001.200179"/>
        <s v="847.8470425.1.425770.000000.847001.200179"/>
        <s v="847.8470425.1.425900.000000.847001.200179"/>
        <s v="847.8470425.1.426610.000000.847001.200179"/>
        <s v="847.8470425.1.428090.000000.847001.200179"/>
        <s v="847.8470425.1.435350.000000.847001.200179"/>
        <s v="847.8470425.1.435508.000000.847001.200179"/>
        <s v="847.8470430.1.425761.000000.847001.200179"/>
        <s v="847.8470430.1.425770.000000.847001.200179"/>
        <s v="847.8470430.1.425900.000000.847001.200179"/>
        <s v="847.8470430.1.426610.000000.847001.200179"/>
        <s v="847.8470430.1.432209.000000.847001.200179"/>
        <s v="847.8470430.1.435508.000000.847001.200179"/>
        <s v="847.8470435.1.425770.000000.847001.200179"/>
        <s v="847.8470435.1.426610.000000.847001.200179"/>
        <s v="847.8470435.1.435340.000000.847001.200179"/>
        <s v="847.8470435.1.436600.000000.847001.200179"/>
        <s v="847.8470440.1.420550.000000.847001.200179"/>
        <s v="847.8470440.1.420570.000000.847001.200179"/>
        <s v="847.8470440.1.421700.000000.847001.200179"/>
        <s v="847.8470440.1.425100.000000.847001.200179"/>
        <s v="847.8470440.1.425510.000000.847001.200179"/>
        <s v="847.8470440.1.425550.000000.847001.200179"/>
        <s v="847.8470440.1.425761.000000.847001.200179"/>
        <s v="847.8470440.1.425770.000000.847001.200179"/>
        <s v="847.8470440.1.425900.000000.847001.200179"/>
        <s v="847.8470440.1.426610.000000.847001.200179"/>
        <s v="847.8470440.1.427710.000000.847001.200179"/>
        <s v="847.8470440.1.428090.000000.847001.200179"/>
        <s v="847.8470440.1.428640.000000.847001.200179"/>
        <s v="847.8470440.1.435340.000000.847001.200179"/>
        <s v="847.8470440.1.435350.000000.847001.200179"/>
        <s v="847.8470440.1.436600.000000.847001.200179"/>
        <s v="847.8470445.1.425100.000000.847001.200179"/>
        <s v="847.8470445.1.425720.000000.847001.200179"/>
        <s v="847.8470445.1.425760.000000.847001.200179"/>
        <s v="847.8470445.1.425763.000000.847001.200179"/>
        <s v="847.8470445.1.425770.000000.847001.200179"/>
        <s v="847.8470445.1.426610.000000.847001.200179"/>
        <s v="847.8470445.1.435350.000000.847001.200179"/>
        <s v="847.8470450.1.425761.000000.847001.200179"/>
        <s v="847.8470450.1.425770.000000.847001.200179"/>
        <s v="847.8470450.1.426610.000000.847001.200179"/>
        <s v="847.8470450.1.428090.000000.847001.200179"/>
        <s v="847.8470450.1.432209.000000.847001.200179"/>
        <s v="847.8470450.1.435350.000000.847001.200179"/>
        <s v="847.8470450.1.435508.000000.847001.200179"/>
        <s v="847.8470455.1.425760.000000.847001.200179"/>
        <s v="847.8470455.1.425770.000000.847001.200179"/>
        <s v="847.8470455.1.425900.000000.847001.200179"/>
        <s v="847.8470455.1.426610.000000.847001.200179"/>
        <s v="847.8470455.1.428090.000000.847001.200179"/>
        <s v="847.8470455.1.428640.000000.847001.200179"/>
        <s v="847.8470455.1.432209.000000.847001.200179"/>
        <s v="847.8470455.1.435350.000000.847001.200179"/>
        <s v="847.8470455.1.435508.000000.847001.200179"/>
        <s v="847.8470455.1.436110.000000.847001.200179"/>
        <s v="847.8470520.1.425510.000000.847001.200179"/>
        <s v="847.8470520.1.426100.000000.847001.200179"/>
        <s v="847.8470520.1.427710.000000.847001.200179"/>
        <s v="847.8470520.1.428200.000000.847001.200179"/>
        <s v="847.8470520.1.428200.000000.847951.200179"/>
        <s v="847.8470530.1.420310.000000.847010.200179"/>
        <s v="847.8470530.1.420310.000000.847015.200179"/>
        <s v="847.8470530.1.420310.000000.847020.200179"/>
        <s v="847.8470530.1.421000.000000.847010.200179"/>
        <s v="847.8470530.1.421100.000000.847010.200179"/>
        <s v="847.8470530.1.421600.000000.847010.200179"/>
        <s v="847.8470530.1.421600.000000.847015.200179"/>
        <s v="847.8470530.1.421600.000000.847020.200179"/>
        <s v="847.8470530.1.421600.000000.847030.200179"/>
        <s v="847.8470530.1.421700.000000.847010.200179"/>
        <s v="847.8470530.1.425510.000000.847010.200179"/>
        <s v="847.8470530.1.425900.000000.847010.200179"/>
        <s v="847.8470530.1.426220.000000.847010.200179"/>
        <s v="847.8470530.1.426220.000000.847030.200179"/>
        <s v="847.8470530.1.426250.000000.847010.200179"/>
        <s v="847.8470530.1.428090.000000.847001.200179"/>
        <s v="847.8470530.1.430110.000000.847020.200179"/>
        <s v="847.8470530.1.432120.000000.847010.200179"/>
        <s v="847.8470530.1.432120.000000.847015.200179"/>
        <s v="847.8470530.1.432120.000000.847020.200179"/>
        <s v="847.8470530.1.432120.000000.847030.200179"/>
        <s v="847.8470530.1.432170.000000.847010.200179"/>
        <s v="847.8470530.1.432320.000000.847010.200179"/>
        <s v="847.8470530.1.436340.000000.847001.200179"/>
        <s v="847.8470540.1.421100.000000.847010.200179"/>
        <s v="847.8470540.1.426800.000000.847010.200179"/>
        <s v="847.8470540.1.426900.000000.847010.200179"/>
        <s v="847.8470540.1.427710.000000.847001.200179"/>
        <s v="847.8470540.1.428111.000000.847010.200179"/>
        <s v="847.8470540.1.428111.000000.847015.200179"/>
        <s v="847.8470540.1.428111.000000.847020.200179"/>
        <s v="847.8470540.1.428111.000000.847030.200179"/>
        <s v="847.8470540.1.428112.000000.847010.200179"/>
        <s v="847.8470530.1.425747.000000.847015.200179"/>
        <s v="847.8470540.1.428112.000000.847015.200179"/>
        <s v="847.8470540.1.428112.000000.847020.200179"/>
        <s v="847.8470540.1.428112.000000.847030.200179"/>
        <s v="847.8470540.1.429900.000000.847010.200179"/>
        <s v="847.8470540.1.430230.000000.847001.200179"/>
        <s v="847.8470540.1.430330.000000.847010.200179"/>
        <s v="847.8470540.1.432120.000000.847010.200179"/>
        <s v="847.8470540.1.432120.000000.847020.200179"/>
        <s v="847.8470540.1.432540.000000.847010.200179"/>
        <s v="847.8470540.1.435410.000000.847020.200179"/>
        <s v="847.8470540.1.435740.000000.847010.200179"/>
        <s v="847.8470540.1.436110.000000.847010.200179"/>
        <s v="847.8470610.1.428090.000000.847001.200179"/>
        <s v="847.8470620.1.420130.000000.847001.200179"/>
        <s v="847.8470620.1.421100.000000.847001.200179"/>
        <s v="847.8470620.1.422900.000000.847001.200179"/>
        <s v="847.8470620.1.425300.000000.847001.200179"/>
        <s v="847.8470620.1.425350.000000.847001.200179"/>
        <s v="847.8470620.1.426610.000000.847001.200179"/>
        <s v="847.8470620.1.436110.000000.847001.200179"/>
        <s v="847.8470620.1.436120.000000.847001.200179"/>
        <s v="847.8470610.1.425900.000000.847001.200179"/>
        <s v="847.8470620.1.428090.000000.847001.200179"/>
        <s v="847.8470720.1.421700.000000.847001.200179"/>
        <s v="847.8470720.1.426610.000000.847001.200179"/>
        <s v="847.8470720.1.426900.000000.847001.200179"/>
        <s v="847.8470720.1.428200.000000.847001.200179"/>
        <s v="847.8470720.1.432120.000000.847001.200179"/>
        <s v="847.8470720.1.435410.000000.847001.200179"/>
        <s v="847.8470720.1.436110.000000.847001.200179"/>
        <s v="847.8470720.1.436120.000000.847001.200179"/>
        <s v="847.8470730.1.421000.000000.847001.200179"/>
        <s v="847.8470730.1.425510.000000.847001.200179"/>
        <s v="847.8470730.1.425900.000000.847001.200179"/>
        <s v="847.8470730.1.426610.000000.847001.200179"/>
        <s v="847.8470730.1.427900.000000.847001.200179"/>
        <s v="847.8470730.1.428090.000000.847001.200179"/>
        <s v="847.8470730.1.428640.000000.847001.200179"/>
        <s v="847.8470730.1.436110.000000.847001.200179"/>
        <s v="847.8470810.1.420811.000000.847001.200179"/>
        <s v="847.8470810.1.421100.000000.847001.200179"/>
        <s v="847.8470810.1.426610.000000.847001.200179"/>
        <s v="847.8470810.1.427810.000000.847001.200179"/>
        <s v="847.8470810.1.427850.000000.847001.200179"/>
        <s v="847.8470810.1.428090.000000.847001.200179"/>
        <s v="847.8470810.1.430250.000000.847001.200179"/>
        <s v="847.8470810.1.432205.000000.847001.200179"/>
        <s v="847.8470810.1.432226.000000.847001.200179"/>
        <s v="847.8471010.1.425100.000000.847001.200179"/>
        <s v="847.8471010.1.425510.000000.847001.200179"/>
        <s v="847.8471010.1.425550.000000.847001.200179"/>
        <s v="847.8471010.1.425720.000000.847001.200179"/>
        <s v="847.8471010.1.425900.000000.847001.200179"/>
        <s v="847.8471010.1.436110.000000.847001.200179"/>
        <s v="847.8471010.1.436120.000000.847001.200179"/>
        <s v="847.8471110.1.425900.000000.847001.200179"/>
        <s v="847.8471110.1.427710.000000.847001.200179"/>
        <s v="847.8471110.1.428090.000000.847001.200179"/>
        <s v="847.8471110.1.435508.000000.847001.200179"/>
        <s v="847.8471120.1.425900.000000.847001.200179"/>
        <s v="847.8471120.1.428090.000000.847001.200179"/>
        <s v="847.8471120.1.429900.000000.847001.200179"/>
        <s v="847.8471120.1.435523.000000.847001.200179"/>
        <s v="847.8471121.1.425510.000000.847001.200179"/>
        <s v="847.8471121.1.425900.000000.847001.200179"/>
        <s v="847.8471121.1.428090.000000.847001.200179"/>
        <s v="847.8471121.1.432170.000000.847001.200179"/>
        <s v="847.8471121.1.435523.000000.847001.200179"/>
        <s v="847.8471122.1.425900.000000.847001.200179"/>
        <s v="847.8471122.1.428090.000000.847001.200179"/>
        <s v="847.8471130.1.420811.000000.847001.200179"/>
        <s v="847.8471130.1.426610.000000.847001.200179"/>
        <s v="847.8471130.1.427900.000000.847001.200179"/>
        <s v="847.8471130.1.428090.000000.847001.200179"/>
        <s v="847.8471130.1.435523.000000.847001.200179"/>
        <s v="847.8471140.1.420570.000000.847001.200179"/>
        <s v="847.8471140.1.428090.000000.847001.200179"/>
        <s v="847.8471140.1.435523.000000.847001.200179"/>
        <s v="847.8471150.1.420900.000000.847001.200179"/>
        <s v="847.8471150.1.425510.000000.847001.200179"/>
        <s v="847.8471150.1.425550.000000.847001.200179"/>
        <s v="847.8471150.1.425900.000000.847001.200179"/>
        <s v="847.8471150.1.426610.000000.847001.200179"/>
        <s v="847.8471150.1.428090.000000.847001.200179"/>
        <s v="847.8471160.1.420810.000000.847001.200179"/>
        <s v="847.8471160.1.420811.000000.847001.200179"/>
        <s v="847.8471160.1.426610.000000.847001.200179"/>
        <s v="847.8471160.1.432209.000000.847001.200179"/>
        <s v="847.8471160.1.435508.000000.847001.200179"/>
        <s v="847.8471160.1.436600.000000.847001.200179"/>
        <s v="847.8471170.1.420810.000000.847001.200179"/>
        <s v="847.8471170.1.420811.000000.847001.200179"/>
        <s v="847.8471170.1.425900.000000.847001.200179"/>
        <s v="847.8471170.1.426610.000000.847001.200179"/>
        <s v="847.8471170.1.428090.000000.847001.200179"/>
        <s v="847.8471210.1.425900.000000.847001.200179"/>
        <s v="847.8471210.1.428090.000000.847001.200179"/>
        <s v="847.8471210.1.428640.000000.847001.200179"/>
        <s v="847.8471220.1.425510.000000.847001.200179"/>
        <s v="847.8471220.1.425741.000000.847001.200179"/>
        <s v="847.8471220.1.425745.000000.847001.200179"/>
        <s v="847.8471220.1.426900.000000.847001.200179"/>
        <s v="847.8471220.1.435340.000000.847001.200179"/>
        <s v="847.8471220.1.436110.000000.847001.200179"/>
        <s v="847.8471220.1.436120.000000.847001.200179"/>
        <s v="847.8471230.1.425742.000000.847001.200179"/>
        <s v="847.8471230.1.426610.000000.847001.200179"/>
        <s v="847.8471240.1.425510.000000.847001.200179"/>
        <s v="847.8471240.1.425720.000000.847001.200179"/>
        <s v="847.8471240.1.425750.000000.847001.200179"/>
        <s v="847.8471240.1.425761.000000.847001.200179"/>
        <s v="847.8471240.1.425900.000000.847001.200179"/>
        <s v="847.8471240.1.426610.000000.847001.200179"/>
        <s v="847.8471240.1.427710.000000.847001.200179"/>
        <s v="847.8471240.1.428090.000000.847001.200179"/>
        <s v="847.8471240.1.428640.000000.847001.200179"/>
        <s v="847.8471240.1.435330.000000.847001.200179"/>
        <s v="847.8471240.1.436110.000000.847001.200179"/>
        <s v="847.8471240.1.436120.000000.847001.200179"/>
        <s v="847.8471250.1.425510.000000.847001.200179"/>
        <s v="847.8471250.1.425762.000000.847001.200179"/>
        <s v="847.8471250.1.425900.000000.847001.200179"/>
        <s v="847.8471250.1.426610.000000.847001.200179"/>
        <s v="847.8471250.1.428090.000000.847001.200179"/>
        <s v="847.8471250.1.428640.000000.847001.200179"/>
        <s v="847.8471250.1.436110.000000.847001.200179"/>
        <s v="847.8471260.1.421100.000000.847001.200179"/>
        <s v="847.8471260.1.425510.000000.847001.200179"/>
        <s v="847.8471260.1.425746.000000.847001.200179"/>
        <s v="847.8471260.1.425747.000000.847001.200179"/>
        <s v="847.8471260.1.425760.000000.847001.200179"/>
        <s v="847.8471260.1.425900.000000.847001.200179"/>
        <s v="847.8471260.1.428640.000000.847001.200179"/>
        <s v="847.8471260.1.435530.000000.847001.200179"/>
        <s v="847.8471260.1.436110.000000.847001.200179"/>
        <s v="847.8471270.1.425900.000000.847001.200179"/>
        <s v="847.8471270.1.428090.000000.847001.200179"/>
        <s v="847.8471270.1.435330.000000.847001.200179"/>
        <s v="847.8471270.1.436110.000000.847001.200179"/>
        <s v="847.8471280.1.425100.000000.847001.200179"/>
        <s v="847.8471280.1.425510.000000.847001.200179"/>
        <s v="847.8471280.1.425550.000000.847001.200179"/>
        <s v="847.8471280.1.425710.000000.847001.200179"/>
        <s v="847.8471280.1.425760.000000.847001.200179"/>
        <s v="847.8471280.1.425770.000000.847001.200179"/>
        <s v="847.8471280.1.426610.000000.847001.200179"/>
        <s v="847.8471280.1.428640.000000.847001.200179"/>
        <s v="847.8471280.1.432170.000000.847001.200179"/>
        <s v="847.8471280.1.435340.000000.847001.200179"/>
        <s v="847.8471280.1.435530.000000.847001.200179"/>
        <s v="847.8471305.1.420570.000000.847001.200179"/>
        <s v="847.8471305.1.421000.000000.847001.200179"/>
        <s v="847.8471305.1.421700.000000.847001.200179"/>
        <s v="847.8471305.1.422100.000000.847001.200179"/>
        <s v="847.8471305.1.425510.000000.847001.200179"/>
        <s v="847.8471305.1.425550.000000.847001.200179"/>
        <s v="847.8471305.1.425720.000000.847001.200179"/>
        <s v="847.8471305.1.425742.000000.847001.200179"/>
        <s v="847.8471305.1.425744.000000.847001.200179"/>
        <s v="847.8471305.1.425745.000000.847001.200179"/>
        <s v="847.8471305.1.425746.000000.847001.200179"/>
        <s v="847.8471305.1.425749.000000.847001.200179"/>
        <s v="847.8471305.1.425750.000000.847001.200179"/>
        <s v="847.8471305.1.425762.000000.847001.200179"/>
        <s v="847.8471305.1.425763.000000.847001.200179"/>
        <s v="847.8471305.1.425900.000000.847001.200179"/>
        <s v="847.8471305.1.426100.000000.847001.200179"/>
        <s v="847.8471305.1.426610.000000.847001.200179"/>
        <s v="847.8471305.1.426900.000000.847001.200179"/>
        <s v="847.8471305.1.427200.000000.847001.200179"/>
        <s v="847.8471305.1.427710.000000.847001.200179"/>
        <s v="847.8471305.1.427810.000000.847001.200179"/>
        <s v="847.8471305.1.428090.000000.847001.200179"/>
        <s v="847.8471305.1.428640.000000.847001.200179"/>
        <s v="847.8471305.1.432205.000000.847001.200179"/>
        <s v="847.8471305.1.432209.000000.847001.200179"/>
        <s v="847.8471305.1.432210.000000.847001.200179"/>
        <s v="847.8471305.1.435330.000000.847001.200179"/>
        <s v="847.8471305.1.435340.000000.847001.200179"/>
        <s v="847.8471305.1.435350.000000.847001.200179"/>
        <s v="847.8471305.1.435508.000000.847001.200179"/>
        <s v="847.8471305.1.435530.000000.847001.200179"/>
        <s v="847.8471305.1.436120.000000.847001.200179"/>
        <s v="847.8470810.1.420810.000000.847001.200179"/>
        <s v="847.8470810.1.430230.000000.847001.200179"/>
        <s v="847.8470810.1.436110.000000.847001.200179"/>
        <s v="847.8471210.1.435530.000000.847001.200179"/>
        <s v="847.8471250.1.425720.000000.847001.200179"/>
        <s v="847.8471305.1.420810.000000.847001.200179"/>
        <s v="847.8471305.1.420811.000000.847001.200179"/>
        <s v="847.8471305.1.436110.000000.847001.200179"/>
        <s v="847.8470160.1.428090.000000.847001.200179"/>
        <s v="847.8470310.1.435340.000000.847001.200179"/>
        <s v="847.8470330.1.427710.000000.847001.200179"/>
        <s v="847.8470445.1.425510.000000.847001.200179"/>
        <s v="847.8470530.1.435410.000000.847020.200179"/>
        <s v="847.8471160.1.422100.000000.847001.200179"/>
        <s v="847.8471250.1.425761.000000.847001.200179"/>
        <s v="847.8471305.1.436600.000000.847001.200179"/>
        <s v="847.8470410.1.428090.000000.847001.200179"/>
        <s v="847.8470520.1.428640.000000.847001.200179"/>
        <s v="847.8470620.1.425900.000000.847001.200179"/>
        <s v="847.8470720.1.421000.000000.847001.200179"/>
      </sharedItems>
    </cacheField>
    <cacheField name="Annual Budget" numFmtId="0">
      <sharedItems containsString="0" containsBlank="1" containsNumber="1" containsInteger="1" minValue="0" maxValue="110824684"/>
    </cacheField>
    <cacheField name="Revised Budget - Sep 22" numFmtId="0">
      <sharedItems containsString="0" containsBlank="1" containsNumber="1" containsInteger="1" minValue="-367211" maxValue="110824684"/>
    </cacheField>
    <cacheField name="Actual Amount - Sep 22" numFmtId="0">
      <sharedItems containsString="0" containsBlank="1" containsNumber="1" minValue="-367211.82" maxValue="81132195.440000102"/>
    </cacheField>
    <cacheField name="PR - Sep 22" numFmtId="0">
      <sharedItems containsString="0" containsBlank="1" containsNumber="1" minValue="-2.6193447411060302E-10" maxValue="4852865.17"/>
    </cacheField>
    <cacheField name="PO - Sep 22" numFmtId="0">
      <sharedItems containsString="0" containsBlank="1" containsNumber="1" minValue="-409.91000000000298" maxValue="5181508.41"/>
    </cacheField>
    <cacheField name="Fund Available - Sep 22" numFmtId="3">
      <sharedItems containsString="0" containsBlank="1" containsNumber="1" minValue="-7341.9000000000015" maxValue="31301198.619999997"/>
    </cacheField>
    <cacheField name="Oct-22 Utilization Plan" numFmtId="0">
      <sharedItems containsString="0" containsBlank="1" containsNumber="1" minValue="0" maxValue="13954529.623199953"/>
    </cacheField>
    <cacheField name="Nov-22 Utilization Plan" numFmtId="0">
      <sharedItems containsString="0" containsBlank="1" containsNumber="1" minValue="0" maxValue="11876195.423999961"/>
    </cacheField>
    <cacheField name="Dec-22 Utilization Plan" numFmtId="0">
      <sharedItems containsString="0" containsBlank="1" containsNumber="1" minValue="0" maxValue="11500000"/>
    </cacheField>
    <cacheField name="Utilization Justification" numFmtId="0">
      <sharedItems containsBlank="1" containsMixedTypes="1" containsNumber="1" containsInteger="1" minValue="0" maxValue="162500" longText="1"/>
    </cacheField>
    <cacheField name="Budget Surplus Amount " numFmtId="0">
      <sharedItems containsString="0" containsBlank="1" containsNumber="1" minValue="-10489500" maxValue="10000000"/>
    </cacheField>
    <cacheField name="Surplus Justification" numFmtId="0">
      <sharedItems containsBlank="1" longText="1"/>
    </cacheField>
    <cacheField name="XX Surplus" numFmtId="43">
      <sharedItems containsString="0" containsBlank="1" containsNumber="1" minValue="-853.27999999999884" maxValue="4799886"/>
    </cacheField>
    <cacheField name="Surplus" numFmtId="43">
      <sharedItems containsSemiMixedTypes="0" containsString="0" containsNumber="1" minValue="-1058054.22" maxValue="4799886"/>
    </cacheField>
    <cacheField name="Shortage" numFmtId="0">
      <sharedItems containsString="0" containsBlank="1" containsNumber="1" minValue="2000" maxValue="10489500"/>
    </cacheField>
    <cacheField name="Feedback" numFmtId="0">
      <sharedItems containsBlank="1"/>
    </cacheField>
    <cacheField name=" Expected Budget Surplus / Shortage Amount" numFmtId="0">
      <sharedItems containsNonDate="0" containsString="0" containsBlank="1"/>
    </cacheField>
    <cacheField name="Revised Budget - Nov 22" numFmtId="43">
      <sharedItems containsString="0" containsBlank="1" containsNumber="1" containsInteger="1" minValue="-367211" maxValue="117580684"/>
    </cacheField>
    <cacheField name="Actual Amount - Nov 22" numFmtId="43">
      <sharedItems containsString="0" containsBlank="1" containsNumber="1" minValue="-367211.82" maxValue="95323813.510000095"/>
    </cacheField>
    <cacheField name="PR - Nov 22" numFmtId="0">
      <sharedItems containsString="0" containsBlank="1" containsNumber="1" minValue="-235" maxValue="2423461.2999999998"/>
    </cacheField>
    <cacheField name="PO - Nov 22" numFmtId="0">
      <sharedItems containsString="0" containsBlank="1" containsNumber="1" minValue="-26381.32" maxValue="9407298.5099999998"/>
    </cacheField>
    <cacheField name="Fund Available - Nov 22" numFmtId="43">
      <sharedItems containsString="0" containsBlank="1" containsNumber="1" minValue="-8654.6999999999971" maxValue="21299130.619999997"/>
    </cacheField>
    <cacheField name="XXRec-01" numFmtId="0">
      <sharedItems containsBlank="1" containsMixedTypes="1" containsNumber="1" minValue="-5.8207660913467401E-11" maxValue="22256870.489999902"/>
    </cacheField>
    <cacheField name="XXReco-2" numFmtId="43">
      <sharedItems containsBlank="1" containsMixedTypes="1" containsNumber="1" minValue="-34749.800000000003" maxValue="16"/>
    </cacheField>
    <cacheField name="XxRec-3" numFmtId="43">
      <sharedItems containsString="0" containsBlank="1" containsNumber="1" minValue="-513215.30000000005" maxValue="18002981.933333334"/>
    </cacheField>
    <cacheField name="Account Coed -- 2" numFmtId="43">
      <sharedItems/>
    </cacheField>
    <cacheField name="Budget 10-Dec-2022" numFmtId="43">
      <sharedItems containsString="0" containsBlank="1" containsNumber="1" containsInteger="1" minValue="-367211" maxValue="117580684"/>
    </cacheField>
    <cacheField name="Act 10-Dec-2022" numFmtId="43">
      <sharedItems containsString="0" containsBlank="1" containsNumber="1" minValue="-367211.82" maxValue="106778498.65000001"/>
    </cacheField>
    <cacheField name="PR 10-Dec-2022" numFmtId="43">
      <sharedItems containsSemiMixedTypes="0" containsString="0" containsNumber="1" minValue="-235" maxValue="1602317.74"/>
    </cacheField>
    <cacheField name="PO  10-Dec-2022" numFmtId="43">
      <sharedItems containsSemiMixedTypes="0" containsString="0" containsNumber="1" minValue="-36006" maxValue="8745000"/>
    </cacheField>
    <cacheField name="Fund Availbale  10-Dec-2022" numFmtId="43">
      <sharedItems containsString="0" containsBlank="1" containsNumber="1" minValue="-5.8207660913467401E-11" maxValue="11053603.619999999"/>
    </cacheField>
    <cacheField name="ECM" numFmtId="0">
      <sharedItems containsString="0" containsBlank="1" containsNumber="1" minValue="0" maxValue="235933.73999999996"/>
    </cacheField>
    <cacheField name="PMR" numFmtId="0">
      <sharedItems containsString="0" containsBlank="1" containsNumber="1" minValue="0" maxValue="1358179.65075"/>
    </cacheField>
    <cacheField name="DTR" numFmtId="0">
      <sharedItems containsString="0" containsBlank="1" containsNumber="1" minValue="0" maxValue="680563.13000000012"/>
    </cacheField>
    <cacheField name="Surplus/ Shortage 09-Dec-2022" numFmtId="43">
      <sharedItems containsString="0" containsBlank="1" containsNumber="1" minValue="-1058054.22" maxValue="4799886"/>
    </cacheField>
    <cacheField name="XXXXForecast 09-Dec-2022" numFmtId="43">
      <sharedItems containsString="0" containsBlank="1" containsNumber="1" minValue="-367211.89" maxValue="106823813.51000009"/>
    </cacheField>
    <cacheField name="Forecast 10-Dec-2022" numFmtId="43">
      <sharedItems containsSemiMixedTypes="0" containsString="0" containsNumber="1" minValue="-4799886" maxValue="118978498.6500000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907.823102199072" createdVersion="6" refreshedVersion="6" minRefreshableVersion="3" recordCount="51" xr:uid="{00000000-000A-0000-FFFF-FFFF0A000000}">
  <cacheSource type="worksheet">
    <worksheetSource ref="A1:AM52" sheet="Q3 CAPEX_Detail"/>
  </cacheSource>
  <cacheFields count="39">
    <cacheField name="SVP Level" numFmtId="0">
      <sharedItems count="8">
        <s v="President's Office "/>
        <s v="Executive Vice President Office"/>
        <s v="Academic and Student Services Office"/>
        <s v="College of Engineering"/>
        <s v="College of Arts &amp; Science"/>
        <s v="SVP - Support Services Office"/>
        <s v="SVP - Research Office"/>
        <s v="College of Medicine &amp; Health Sciences"/>
      </sharedItems>
    </cacheField>
    <cacheField name="Cost Center Group" numFmtId="0">
      <sharedItems/>
    </cacheField>
    <cacheField name="Chapter Name" numFmtId="0">
      <sharedItems/>
    </cacheField>
    <cacheField name="Cost Center Code" numFmtId="0">
      <sharedItems containsSemiMixedTypes="0" containsString="0" containsNumber="1" containsInteger="1" minValue="8470110" maxValue="8471305"/>
    </cacheField>
    <cacheField name="Cost Center Description" numFmtId="0">
      <sharedItems/>
    </cacheField>
    <cacheField name="Account Code" numFmtId="0">
      <sharedItems containsMixedTypes="1" containsNumber="1" containsInteger="1" minValue="492200" maxValue="495140"/>
    </cacheField>
    <cacheField name="Account Description" numFmtId="0">
      <sharedItems count="10">
        <s v="Laboratory equipment"/>
        <s v="Computer software-Application, Platform"/>
        <s v="Hardware &amp; peripherals"/>
        <s v="Copyrights, patents and licenses"/>
        <s v="Capital expense - Buildings"/>
        <s v="Furniture &amp; Fixtures - Offices"/>
        <s v="Computer software"/>
        <s v="Hardware &amp; peripherals-Network Devices"/>
        <s v="Hardware &amp; peripherals-Peripherals &amp; Infrastructure Components"/>
        <s v="Hardware &amp; peripherals-Conferencing &amp; AV"/>
      </sharedItems>
    </cacheField>
    <cacheField name="GL Account Combination" numFmtId="0">
      <sharedItems/>
    </cacheField>
    <cacheField name="Annual Budget" numFmtId="3">
      <sharedItems containsSemiMixedTypes="0" containsString="0" containsNumber="1" containsInteger="1" minValue="0" maxValue="19458929"/>
    </cacheField>
    <cacheField name="Revised Budget - Sep 22" numFmtId="3">
      <sharedItems containsSemiMixedTypes="0" containsString="0" containsNumber="1" containsInteger="1" minValue="0" maxValue="25123643"/>
    </cacheField>
    <cacheField name="Actual Amount - Sep 22" numFmtId="0">
      <sharedItems containsString="0" containsBlank="1" containsNumber="1" minValue="0" maxValue="14827479.25"/>
    </cacheField>
    <cacheField name="PR - Sep 22" numFmtId="0">
      <sharedItems containsString="0" containsBlank="1" containsNumber="1" minValue="-8.0035533756017698E-11" maxValue="10861838.17"/>
    </cacheField>
    <cacheField name="PO - Sep 22" numFmtId="0">
      <sharedItems containsString="0" containsBlank="1" containsNumber="1" minValue="-15631.86" maxValue="8974286.5999999996"/>
    </cacheField>
    <cacheField name="Fund Available - Sep 22" numFmtId="3">
      <sharedItems containsSemiMixedTypes="0" containsString="0" containsNumber="1" minValue="0" maxValue="2786015"/>
    </cacheField>
    <cacheField name="Oct-22 Utilization Plan" numFmtId="0">
      <sharedItems containsString="0" containsBlank="1" containsNumber="1" containsInteger="1" minValue="60000" maxValue="60000"/>
    </cacheField>
    <cacheField name="Nov-22 Utilization Plan" numFmtId="0">
      <sharedItems containsString="0" containsBlank="1" containsNumber="1" containsInteger="1" minValue="0" maxValue="0"/>
    </cacheField>
    <cacheField name="Dec-22 Utilization Plan" numFmtId="0">
      <sharedItems containsString="0" containsBlank="1" containsNumber="1" containsInteger="1" minValue="0" maxValue="0"/>
    </cacheField>
    <cacheField name="Utilization Justification" numFmtId="0">
      <sharedItems containsBlank="1" longText="1"/>
    </cacheField>
    <cacheField name="Budget Surplus Amount" numFmtId="3">
      <sharedItems containsSemiMixedTypes="0" containsString="0" containsNumber="1" minValue="0" maxValue="2786015"/>
    </cacheField>
    <cacheField name="Surplus Justification" numFmtId="0">
      <sharedItems containsBlank="1"/>
    </cacheField>
    <cacheField name="Feedback" numFmtId="0">
      <sharedItems/>
    </cacheField>
    <cacheField name="PR Cancellation" numFmtId="0">
      <sharedItems containsSemiMixedTypes="0" containsString="0" containsNumber="1" minValue="0" maxValue="1000000"/>
    </cacheField>
    <cacheField name="XXCapex Surplus" numFmtId="0">
      <sharedItems containsString="0" containsBlank="1" containsNumber="1" minValue="0" maxValue="2921015"/>
    </cacheField>
    <cacheField name="Capex Surplus" numFmtId="3">
      <sharedItems containsSemiMixedTypes="0" containsString="0" containsNumber="1" minValue="0" maxValue="8222322.6299999999"/>
    </cacheField>
    <cacheField name="XX" numFmtId="3">
      <sharedItems containsNonDate="0" containsString="0" containsBlank="1"/>
    </cacheField>
    <cacheField name="Capex Shortage" numFmtId="0">
      <sharedItems containsString="0" containsBlank="1" containsNumber="1" minValue="2800000" maxValue="8988807.7300000004"/>
    </cacheField>
    <cacheField name="Forecast 09-Dec-2022" numFmtId="0">
      <sharedItems containsSemiMixedTypes="0" containsString="0" containsNumber="1" minValue="0" maxValue="8211390.8099999996"/>
    </cacheField>
    <cacheField name="Revised Budget - Nov-22" numFmtId="43">
      <sharedItems containsSemiMixedTypes="0" containsString="0" containsNumber="1" containsInteger="1" minValue="0" maxValue="23531949"/>
    </cacheField>
    <cacheField name="Actual Amount - Nov-22" numFmtId="43">
      <sharedItems containsSemiMixedTypes="0" containsString="0" containsNumber="1" minValue="0" maxValue="17687599.25"/>
    </cacheField>
    <cacheField name="PR - Nov-22" numFmtId="43">
      <sharedItems containsSemiMixedTypes="0" containsString="0" containsNumber="1" minValue="-3426" maxValue="1320000"/>
    </cacheField>
    <cacheField name="PO - Nov-22" numFmtId="43">
      <sharedItems containsSemiMixedTypes="0" containsString="0" containsNumber="1" minValue="-29844.44" maxValue="5469572.2199999997"/>
    </cacheField>
    <cacheField name="Fund Available - Nov-22" numFmtId="43">
      <sharedItems containsSemiMixedTypes="0" containsString="0" containsNumber="1" minValue="0" maxValue="8203957.6299999999"/>
    </cacheField>
    <cacheField name="Account Code -2" numFmtId="43">
      <sharedItems/>
    </cacheField>
    <cacheField name="Budget 10-Dec-2022" numFmtId="43">
      <sharedItems containsSemiMixedTypes="0" containsString="0" containsNumber="1" containsInteger="1" minValue="0" maxValue="23531949"/>
    </cacheField>
    <cacheField name="Act 10-Dec-2022" numFmtId="0">
      <sharedItems containsSemiMixedTypes="0" containsString="0" containsNumber="1" minValue="0" maxValue="20990255.739999998"/>
    </cacheField>
    <cacheField name="PR 10-Dec-2022" numFmtId="43">
      <sharedItems containsSemiMixedTypes="0" containsString="0" containsNumber="1" minValue="-153426" maxValue="1470000"/>
    </cacheField>
    <cacheField name="PO  10-Dec-2022" numFmtId="43">
      <sharedItems containsSemiMixedTypes="0" containsString="0" containsNumber="1" minValue="-29844.44" maxValue="1827322.22"/>
    </cacheField>
    <cacheField name="Fund Availbale  10-Dec-2022" numFmtId="43">
      <sharedItems containsSemiMixedTypes="0" containsString="0" containsNumber="1" minValue="0" maxValue="8222322.6299999999"/>
    </cacheField>
    <cacheField name="Forecast 10-Dec-2022" numFmtId="43">
      <sharedItems containsSemiMixedTypes="0" containsString="0" containsNumber="1" minValue="-1000000" maxValue="27083573.0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1">
  <r>
    <s v="8470110"/>
    <s v="KUST - Office of the President"/>
    <s v="492316"/>
    <x v="0"/>
    <s v="847.8470110.1.492316.000000.847001.300180"/>
    <n v="1220302"/>
    <n v="1220302"/>
    <n v="1220301.8"/>
    <m/>
    <n v="1.16415321826935E-10"/>
    <n v="0.19999999983701899"/>
  </r>
  <r>
    <s v="8470120"/>
    <s v="KUST - Audit"/>
    <s v="495113"/>
    <x v="1"/>
    <s v="847.8470120.1.495113.000000.847001.300180"/>
    <n v="0"/>
    <n v="56000"/>
    <m/>
    <n v="11245.5"/>
    <n v="44351.48"/>
    <n v="403.01999999999703"/>
  </r>
  <r>
    <s v="8470140"/>
    <s v="KUST - Communication"/>
    <s v="492310"/>
    <x v="2"/>
    <s v="847.8470140.1.492310.000000.847001.300180"/>
    <n v="137589"/>
    <n v="27589"/>
    <m/>
    <m/>
    <m/>
    <n v="27589"/>
  </r>
  <r>
    <s v="8470230"/>
    <s v="KUST - Graduate Studies"/>
    <s v="492310"/>
    <x v="2"/>
    <s v="847.8470230.1.492310.000000.847001.300180"/>
    <n v="1380709"/>
    <n v="1380709"/>
    <n v="1333260"/>
    <n v="0"/>
    <n v="0"/>
    <n v="47449"/>
  </r>
  <r>
    <s v="8470310"/>
    <s v="KUST - Aerospace Engineering"/>
    <s v="492316"/>
    <x v="0"/>
    <s v="847.8470310.1.492316.000000.847001.300180"/>
    <n v="1174460"/>
    <n v="1174460"/>
    <n v="364703.32"/>
    <n v="0"/>
    <n v="805100"/>
    <n v="4656.6799999998202"/>
  </r>
  <r>
    <s v="8470315"/>
    <s v="KUST - Biomedical Engineering"/>
    <s v="492316"/>
    <x v="0"/>
    <s v="847.8470315.1.492316.000000.847001.300180"/>
    <n v="700693"/>
    <n v="700693"/>
    <n v="657144.79"/>
    <n v="0"/>
    <n v="-15631.86"/>
    <n v="59180.07"/>
  </r>
  <r>
    <s v="8470320"/>
    <s v="KUST - Chemical Engineering"/>
    <s v="492316"/>
    <x v="0"/>
    <s v="847.8470320.1.492316.000000.847001.300180"/>
    <n v="1813427"/>
    <n v="834674"/>
    <n v="267018"/>
    <n v="70800"/>
    <n v="476820"/>
    <n v="20036"/>
  </r>
  <r>
    <s v="8470320"/>
    <s v="KUST - Chemical Engineering"/>
    <s v="495140"/>
    <x v="3"/>
    <s v="847.8470320.1.495140.000000.847001.300180"/>
    <n v="16097"/>
    <n v="16097"/>
    <m/>
    <m/>
    <m/>
    <n v="16097"/>
  </r>
  <r>
    <s v="8470325"/>
    <s v="KUST - Civil Engineering"/>
    <s v="492316"/>
    <x v="0"/>
    <s v="847.8470325.1.492316.000000.847001.300180"/>
    <n v="611783"/>
    <n v="611783"/>
    <n v="559410"/>
    <n v="0"/>
    <n v="13410"/>
    <n v="38963"/>
  </r>
  <r>
    <s v="8470330"/>
    <s v="KUST - Electrical &amp; Computer Engineering"/>
    <s v="492316"/>
    <x v="0"/>
    <s v="847.8470330.1.492316.000000.847001.300180"/>
    <n v="456796"/>
    <n v="456796"/>
    <n v="394225"/>
    <n v="0"/>
    <n v="44235"/>
    <n v="18336"/>
  </r>
  <r>
    <s v="8470335"/>
    <s v="KUST - Industrial &amp; Systems Engineering"/>
    <s v="492316"/>
    <x v="0"/>
    <s v="847.8470335.1.492316.000000.847001.300180"/>
    <n v="234334"/>
    <n v="234334"/>
    <n v="11026.05"/>
    <n v="0"/>
    <n v="223066"/>
    <n v="241.95000000001201"/>
  </r>
  <r>
    <s v="8470340"/>
    <s v="KUST - Mechanical Engineering"/>
    <s v="492316"/>
    <x v="0"/>
    <s v="847.8470340.1.492316.000000.847001.300180"/>
    <n v="533159"/>
    <n v="533159"/>
    <m/>
    <n v="0"/>
    <n v="532460"/>
    <n v="699"/>
  </r>
  <r>
    <s v="8470345"/>
    <s v="KUST - Nuclear Engineering"/>
    <s v="492316"/>
    <x v="0"/>
    <s v="847.8470345.1.492316.000000.847001.300180"/>
    <n v="551330"/>
    <n v="551330"/>
    <n v="367320"/>
    <n v="0"/>
    <n v="183379.27"/>
    <n v="630.72999999998103"/>
  </r>
  <r>
    <s v="8470350"/>
    <s v="KUST - Petroleum Engineering"/>
    <s v="492316"/>
    <x v="0"/>
    <s v="847.8470350.1.492316.000000.847001.300180"/>
    <n v="1446520"/>
    <n v="1436520"/>
    <n v="942948.2"/>
    <n v="440666.76"/>
    <n v="-29844.44"/>
    <n v="82749.48"/>
  </r>
  <r>
    <s v="8470415"/>
    <s v="KUST - Chemistry"/>
    <s v="492316"/>
    <x v="0"/>
    <s v="847.8470415.1.492316.000000.847001.300180"/>
    <n v="1891417"/>
    <n v="1891417"/>
    <n v="169546"/>
    <n v="0"/>
    <n v="1707536"/>
    <n v="14335"/>
  </r>
  <r>
    <s v="8470425"/>
    <s v="KUST - Physics"/>
    <s v="492310"/>
    <x v="2"/>
    <s v="847.8470425.1.492310.000000.847001.300180"/>
    <n v="151348"/>
    <n v="127348"/>
    <n v="35280"/>
    <n v="0"/>
    <n v="0"/>
    <n v="92068"/>
  </r>
  <r>
    <s v="8470425"/>
    <s v="KUST - Physics"/>
    <s v="492316"/>
    <x v="0"/>
    <s v="847.8470425.1.492316.000000.847001.300180"/>
    <n v="1551340"/>
    <n v="682340"/>
    <n v="408512.58"/>
    <n v="0"/>
    <n v="224881.73"/>
    <n v="48945.69"/>
  </r>
  <r>
    <s v="8470450"/>
    <s v="KUST - Earth Science"/>
    <s v="492310"/>
    <x v="2"/>
    <s v="847.8470450.1.492310.000000.847001.300180"/>
    <n v="126346"/>
    <n v="126346"/>
    <n v="80205"/>
    <n v="0"/>
    <n v="0"/>
    <n v="46141"/>
  </r>
  <r>
    <s v="8470450"/>
    <s v="KUST - Earth Science"/>
    <s v="492316"/>
    <x v="0"/>
    <s v="847.8470450.1.492316.000000.847001.300180"/>
    <n v="146498"/>
    <n v="146498"/>
    <n v="309.52"/>
    <n v="26600"/>
    <n v="64865"/>
    <n v="54723.48"/>
  </r>
  <r>
    <s v="8470455"/>
    <s v="KUST – Biology"/>
    <s v="492316"/>
    <x v="0"/>
    <s v="847.8470455.1.492316.000000.847001.300180"/>
    <n v="1754263"/>
    <n v="1489263"/>
    <n v="1319960"/>
    <n v="1"/>
    <n v="101107.5"/>
    <n v="68194.5"/>
  </r>
  <r>
    <s v="8470520"/>
    <s v="KUST - Environment, Health &amp; Safety"/>
    <s v="492316"/>
    <x v="0"/>
    <s v="847.8470520.1.492316.000000.847001.300180"/>
    <n v="171987"/>
    <n v="987"/>
    <m/>
    <n v="0"/>
    <m/>
    <n v="987"/>
  </r>
  <r>
    <s v="8470530"/>
    <s v="KUST - Facilities Management"/>
    <s v="492200"/>
    <x v="4"/>
    <s v="847.8470530.1.492200.000000.847001.300180"/>
    <n v="2910350"/>
    <n v="1923650"/>
    <n v="1431816.56"/>
    <n v="155700"/>
    <n v="192391.44"/>
    <n v="143742"/>
  </r>
  <r>
    <s v="8470530"/>
    <s v="KUST - Facilities Management"/>
    <s v="492200"/>
    <x v="4"/>
    <s v="847.8470530.1.492200.000000.847010.300180"/>
    <n v="18425319"/>
    <n v="22363643"/>
    <n v="19474858.579999998"/>
    <n v="245574"/>
    <n v="2575971.6"/>
    <n v="67238.820000003994"/>
  </r>
  <r>
    <s v="8470530"/>
    <s v="KUST - Facilities Management"/>
    <s v="492200"/>
    <x v="4"/>
    <s v="847.8470530.1.492200.000000.847015.300180"/>
    <n v="3580020"/>
    <n v="0"/>
    <m/>
    <m/>
    <m/>
    <n v="0"/>
  </r>
  <r>
    <s v="8470530"/>
    <s v="KUST - Facilities Management"/>
    <s v="492200"/>
    <x v="4"/>
    <s v="847.8470530.1.492200.000000.847020.300180"/>
    <n v="19458929"/>
    <n v="23531949"/>
    <n v="20990255.739999998"/>
    <n v="1470000"/>
    <n v="994077"/>
    <n v="77616.259999999806"/>
  </r>
  <r>
    <s v="8470530"/>
    <s v="KUST - Facilities Management"/>
    <s v="492610"/>
    <x v="5"/>
    <s v="847.8470530.1.492610.000000.847010.300180"/>
    <n v="1136050"/>
    <n v="6379911"/>
    <n v="6077200"/>
    <n v="0"/>
    <n v="213720"/>
    <n v="88991"/>
  </r>
  <r>
    <s v="8470530"/>
    <s v="KUST - Facilities Management"/>
    <s v="492610"/>
    <x v="5"/>
    <s v="847.8470530.1.492610.000000.847015.300180"/>
    <n v="32800"/>
    <n v="32800"/>
    <n v="31488"/>
    <m/>
    <n v="0"/>
    <n v="1312"/>
  </r>
  <r>
    <s v="8470530"/>
    <s v="KUST - Facilities Management"/>
    <s v="492610"/>
    <x v="5"/>
    <s v="847.8470530.1.492610.000000.847020.300180"/>
    <n v="1375893"/>
    <n v="82893"/>
    <n v="41141"/>
    <n v="0"/>
    <n v="0"/>
    <n v="41752"/>
  </r>
  <r>
    <s v="8470530"/>
    <s v="KUST - Facilities Management"/>
    <s v="495113"/>
    <x v="1"/>
    <s v="847.8470530.1.495113.000000.847010.300180"/>
    <n v="0"/>
    <n v="1000000"/>
    <m/>
    <n v="1000000"/>
    <m/>
    <n v="0"/>
  </r>
  <r>
    <s v="8470530"/>
    <s v="KUST - Facilities Management"/>
    <s v="495140"/>
    <x v="3"/>
    <s v="847.8470530.1.495140.000000.847010.300180"/>
    <n v="30302"/>
    <n v="30312"/>
    <m/>
    <n v="30302.25"/>
    <n v="0"/>
    <n v="9.75"/>
  </r>
  <r>
    <s v="8470720"/>
    <s v="KUST - Procurement and Contracts"/>
    <s v="495110"/>
    <x v="6"/>
    <s v="847.8470720.1.495110.000000.847001.300180"/>
    <n v="69286"/>
    <n v="0"/>
    <m/>
    <m/>
    <m/>
    <n v="0"/>
  </r>
  <r>
    <s v="8470720"/>
    <s v="KUST - Procurement and Contracts"/>
    <s v="495113"/>
    <x v="1"/>
    <s v="847.8470720.1.495113.000000.847001.300180"/>
    <n v="0"/>
    <n v="69286"/>
    <n v="69286"/>
    <n v="0"/>
    <n v="0"/>
    <n v="0"/>
  </r>
  <r>
    <s v="8470730"/>
    <s v="KUST - Human Resources"/>
    <s v="492610"/>
    <x v="5"/>
    <s v="847.8470730.1.492610.000000.847001.300180"/>
    <n v="1135112"/>
    <n v="0"/>
    <m/>
    <m/>
    <m/>
    <n v="0"/>
  </r>
  <r>
    <s v="8470810"/>
    <s v="KUST - Ankabut office"/>
    <s v="492310"/>
    <x v="2"/>
    <s v="847.8470810.1.492310.000000.847001.300180"/>
    <n v="2800802"/>
    <n v="185000"/>
    <n v="172335"/>
    <n v="0"/>
    <n v="8715"/>
    <n v="3950"/>
  </r>
  <r>
    <s v="8470810"/>
    <s v="KUST - Ankabut office"/>
    <s v="492352"/>
    <x v="7"/>
    <s v="847.8470810.1.492352.000000.847001.300180"/>
    <n v="0"/>
    <n v="2016302"/>
    <n v="1935144.01"/>
    <n v="0"/>
    <n v="64228.6"/>
    <n v="16929.39"/>
  </r>
  <r>
    <s v="8470810"/>
    <s v="KUST - Ankabut office"/>
    <s v="492354"/>
    <x v="8"/>
    <s v="847.8470810.1.492354.000000.847001.300180"/>
    <n v="0"/>
    <n v="321500"/>
    <n v="321320"/>
    <n v="0"/>
    <n v="0"/>
    <n v="180"/>
  </r>
  <r>
    <s v="8470810"/>
    <s v="KUST - Ankabut office"/>
    <s v="492356"/>
    <x v="9"/>
    <s v="847.8470810.1.492356.000000.847001.300180"/>
    <n v="0"/>
    <n v="650000"/>
    <n v="566741"/>
    <n v="0"/>
    <n v="2"/>
    <n v="83257"/>
  </r>
  <r>
    <s v="8470810"/>
    <s v="KUST - Ankabut office"/>
    <s v="495110"/>
    <x v="6"/>
    <s v="847.8470810.1.495110.000000.847001.300180"/>
    <n v="646670"/>
    <n v="0"/>
    <m/>
    <m/>
    <m/>
    <n v="0"/>
  </r>
  <r>
    <s v="8470810"/>
    <s v="KUST - Ankabut office"/>
    <s v="495113"/>
    <x v="1"/>
    <s v="847.8470810.1.495113.000000.847001.300180"/>
    <n v="0"/>
    <n v="104670"/>
    <n v="23965"/>
    <n v="73772.210000000006"/>
    <n v="0"/>
    <n v="6932.78999999999"/>
  </r>
  <r>
    <s v="8471110"/>
    <s v="KUST - SVP/ Research &amp; Development Office"/>
    <s v="492316"/>
    <x v="0"/>
    <s v="847.8471110.1.492316.000000.847001.300180"/>
    <n v="2998678"/>
    <n v="2998678"/>
    <n v="2998678.09"/>
    <m/>
    <n v="-3749.9999999997699"/>
    <n v="3749.9099999999198"/>
  </r>
  <r>
    <s v="8471140"/>
    <s v="KUST - University Sponsored Research"/>
    <s v="492316"/>
    <x v="0"/>
    <s v="847.8471140.1.492316.000000.847001.300180"/>
    <n v="358538"/>
    <n v="358538"/>
    <n v="353642.9"/>
    <n v="0"/>
    <n v="-3.6379788070917101E-12"/>
    <n v="4895.0999999999804"/>
  </r>
  <r>
    <s v="8471160"/>
    <s v="KUST - Research Laboratories"/>
    <s v="492200"/>
    <x v="4"/>
    <s v="847.8471160.1.492200.000000.847001.300180"/>
    <n v="1304891"/>
    <n v="1337891"/>
    <n v="1304890.5"/>
    <n v="0"/>
    <n v="32500"/>
    <n v="500.5"/>
  </r>
  <r>
    <s v="8471160"/>
    <s v="KUST - Research Laboratories"/>
    <s v="492316"/>
    <x v="0"/>
    <s v="847.8471160.1.492316.000000.847001.300180"/>
    <n v="15928069"/>
    <n v="14988665"/>
    <n v="5585960.2400000002"/>
    <n v="22062.52"/>
    <n v="1176684.6100000001"/>
    <n v="8203957.6299999999"/>
  </r>
  <r>
    <s v="8471170"/>
    <s v="KUST - Research Computing"/>
    <s v="492316"/>
    <x v="0"/>
    <s v="847.8471170.1.492316.000000.847001.300180"/>
    <n v="2751786"/>
    <n v="32942"/>
    <m/>
    <m/>
    <m/>
    <n v="32942"/>
  </r>
  <r>
    <s v="8471170"/>
    <s v="KUST - Research Computing"/>
    <s v="495110"/>
    <x v="6"/>
    <s v="847.8471170.1.495110.000000.847001.300180"/>
    <n v="833665"/>
    <n v="0"/>
    <n v="0"/>
    <m/>
    <n v="0"/>
    <n v="0"/>
  </r>
  <r>
    <s v="8471170"/>
    <s v="KUST - Research Computing"/>
    <s v="495113"/>
    <x v="1"/>
    <s v="847.8471170.1.495113.000000.847001.300180"/>
    <n v="0"/>
    <n v="138509"/>
    <n v="138508.82999999999"/>
    <m/>
    <m/>
    <n v="0.16999999998370199"/>
  </r>
  <r>
    <s v="8471280"/>
    <s v="KUST - Center for Teaching &amp; Learning"/>
    <s v="492316"/>
    <x v="0"/>
    <s v="847.8471280.1.492316.000000.847001.300180"/>
    <n v="6879"/>
    <n v="6879"/>
    <m/>
    <m/>
    <m/>
    <n v="6879"/>
  </r>
  <r>
    <s v="8471305"/>
    <s v="KUST - Dean Of Medicine"/>
    <s v="492310"/>
    <x v="2"/>
    <s v="847.8471305.1.492310.000000.847001.300180"/>
    <n v="466679"/>
    <n v="913656"/>
    <n v="810672"/>
    <n v="0"/>
    <n v="13411.9999999999"/>
    <n v="89572.000000000102"/>
  </r>
  <r>
    <s v="8471305"/>
    <s v="KUST - Dean Of Medicine"/>
    <s v="492316"/>
    <x v="0"/>
    <s v="847.8471305.1.492316.000000.847001.300180"/>
    <n v="17788291"/>
    <n v="17115075"/>
    <n v="14929538.359999999"/>
    <n v="0"/>
    <n v="2150175.2200000002"/>
    <n v="35361.419999999001"/>
  </r>
  <r>
    <s v="8471305"/>
    <s v="KUST - Dean Of Medicine"/>
    <s v="492610"/>
    <x v="5"/>
    <s v="847.8471305.1.492610.000000.847001.300180"/>
    <n v="19606"/>
    <n v="19606"/>
    <n v="728.67"/>
    <m/>
    <m/>
    <n v="18877.330000000002"/>
  </r>
  <r>
    <s v="8471305"/>
    <s v="KUST - Dean Of Medicine"/>
    <s v="495140"/>
    <x v="3"/>
    <s v="847.8471305.1.495140.000000.847001.300180"/>
    <n v="171987"/>
    <n v="0"/>
    <m/>
    <m/>
    <m/>
    <n v="0"/>
  </r>
</pivotCacheRecords>
</file>

<file path=xl/pivotCache/pivotCacheRecords2.xml><?xml version="1.0" encoding="utf-8"?>
<pivotCacheRecords xmlns="http://schemas.openxmlformats.org/spreadsheetml/2006/main" xmlns:r="http://schemas.openxmlformats.org/officeDocument/2006/relationships" count="505">
  <r>
    <x v="0"/>
    <s v="2 Other Operating Costs"/>
    <n v="8470110"/>
    <x v="0"/>
    <n v="420550"/>
    <x v="0"/>
    <s v="847.8470110.1.420550.000000.847001.200179"/>
    <n v="30000"/>
    <n v="27000"/>
    <m/>
    <m/>
    <m/>
    <n v="27000"/>
    <m/>
    <m/>
    <m/>
    <m/>
    <n v="27000"/>
    <m/>
    <n v="21600"/>
    <s v="N"/>
    <m/>
    <n v="27000"/>
    <n v="0"/>
    <n v="0"/>
    <n v="0"/>
    <n v="27000"/>
  </r>
  <r>
    <x v="0"/>
    <s v="2 Other Operating Costs"/>
    <n v="8470110"/>
    <x v="0"/>
    <n v="420570"/>
    <x v="1"/>
    <s v="847.8470110.1.420570.000000.847001.200179"/>
    <n v="3705121"/>
    <n v="1"/>
    <m/>
    <m/>
    <m/>
    <n v="1"/>
    <m/>
    <m/>
    <m/>
    <m/>
    <n v="1"/>
    <m/>
    <n v="0.8"/>
    <s v="N"/>
    <m/>
    <n v="1"/>
    <n v="0"/>
    <n v="0"/>
    <n v="0"/>
    <n v="1"/>
  </r>
  <r>
    <x v="0"/>
    <s v="2 Other Operating Costs"/>
    <n v="8470110"/>
    <x v="0"/>
    <n v="420900"/>
    <x v="2"/>
    <s v="847.8470110.1.420900.000000.847001.200179"/>
    <n v="1500"/>
    <n v="4500"/>
    <m/>
    <m/>
    <m/>
    <n v="4500"/>
    <m/>
    <m/>
    <m/>
    <m/>
    <n v="4500"/>
    <m/>
    <n v="3600"/>
    <s v="N"/>
    <m/>
    <n v="4500"/>
    <n v="0"/>
    <n v="0"/>
    <n v="0"/>
    <n v="4500"/>
  </r>
  <r>
    <x v="0"/>
    <s v="2 Other Operating Costs"/>
    <n v="8470110"/>
    <x v="0"/>
    <n v="421000"/>
    <x v="3"/>
    <s v="847.8470110.1.421000.000000.847001.200179"/>
    <n v="200000"/>
    <n v="149972"/>
    <m/>
    <m/>
    <m/>
    <n v="149972"/>
    <m/>
    <m/>
    <m/>
    <m/>
    <n v="149972"/>
    <m/>
    <n v="119977.60000000001"/>
    <s v="N"/>
    <m/>
    <n v="149972"/>
    <n v="0"/>
    <n v="0"/>
    <n v="0"/>
    <n v="149972"/>
  </r>
  <r>
    <x v="0"/>
    <s v="2 Other Operating Costs"/>
    <n v="8470110"/>
    <x v="0"/>
    <n v="421700"/>
    <x v="4"/>
    <s v="847.8470110.1.421700.000000.847001.200179"/>
    <n v="25000"/>
    <n v="25000"/>
    <m/>
    <m/>
    <m/>
    <n v="25000"/>
    <m/>
    <m/>
    <m/>
    <m/>
    <n v="25000"/>
    <m/>
    <n v="20000"/>
    <s v="N"/>
    <m/>
    <n v="25000"/>
    <n v="0"/>
    <n v="0"/>
    <n v="0"/>
    <n v="25000"/>
  </r>
  <r>
    <x v="0"/>
    <s v="2 Other Operating Costs"/>
    <n v="8470110"/>
    <x v="0"/>
    <n v="425510"/>
    <x v="5"/>
    <s v="847.8470110.1.425510.000000.847001.200179"/>
    <n v="300000"/>
    <n v="300000"/>
    <n v="40110"/>
    <m/>
    <m/>
    <n v="259890"/>
    <m/>
    <m/>
    <m/>
    <m/>
    <n v="259890"/>
    <m/>
    <n v="206152"/>
    <s v="N"/>
    <m/>
    <n v="300000"/>
    <n v="42310"/>
    <n v="0"/>
    <n v="0"/>
    <n v="257690"/>
  </r>
  <r>
    <x v="0"/>
    <s v="2 Other Operating Costs"/>
    <n v="8470110"/>
    <x v="0"/>
    <n v="425550"/>
    <x v="6"/>
    <s v="847.8470110.1.425550.000000.847001.200179"/>
    <n v="300000"/>
    <n v="300000"/>
    <n v="6600"/>
    <m/>
    <m/>
    <n v="293400"/>
    <m/>
    <m/>
    <m/>
    <m/>
    <n v="293400"/>
    <m/>
    <n v="240000"/>
    <s v="N"/>
    <m/>
    <n v="300000"/>
    <n v="0"/>
    <n v="0"/>
    <n v="0"/>
    <n v="300000"/>
  </r>
  <r>
    <x v="0"/>
    <s v="2 Other Operating Costs"/>
    <n v="8470110"/>
    <x v="0"/>
    <n v="425900"/>
    <x v="7"/>
    <s v="847.8470110.1.425900.000000.847001.200179"/>
    <n v="10000"/>
    <n v="10000"/>
    <n v="5302.5"/>
    <m/>
    <m/>
    <n v="4697.5"/>
    <m/>
    <m/>
    <m/>
    <m/>
    <n v="4697.5"/>
    <m/>
    <n v="27298"/>
    <s v="N"/>
    <m/>
    <n v="39425"/>
    <n v="5302.5"/>
    <n v="0"/>
    <n v="0"/>
    <n v="34122.5"/>
  </r>
  <r>
    <x v="0"/>
    <s v="2 Other Operating Costs"/>
    <n v="8470110"/>
    <x v="0"/>
    <n v="426610"/>
    <x v="8"/>
    <s v="847.8470110.1.426610.000000.847001.200179"/>
    <n v="518388"/>
    <n v="508388"/>
    <n v="42239.5"/>
    <m/>
    <m/>
    <n v="466148.5"/>
    <m/>
    <m/>
    <m/>
    <m/>
    <n v="466148.5"/>
    <m/>
    <n v="372918.80000000005"/>
    <s v="N"/>
    <m/>
    <n v="508388"/>
    <n v="42239.5"/>
    <n v="0"/>
    <n v="0"/>
    <n v="466148.5"/>
  </r>
  <r>
    <x v="0"/>
    <s v="2 Other Operating Costs"/>
    <n v="8470110"/>
    <x v="0"/>
    <n v="428090"/>
    <x v="9"/>
    <s v="847.8470110.1.428090.000000.847001.200179"/>
    <n v="1000000"/>
    <n v="276463"/>
    <n v="137470.5"/>
    <m/>
    <m/>
    <n v="138992.5"/>
    <m/>
    <m/>
    <m/>
    <m/>
    <n v="138992.5"/>
    <m/>
    <n v="30114"/>
    <s v="N"/>
    <m/>
    <n v="276463"/>
    <n v="238820.5"/>
    <n v="0"/>
    <n v="0"/>
    <n v="37642.5"/>
  </r>
  <r>
    <x v="0"/>
    <s v="2 Other Operating Costs"/>
    <n v="8470110"/>
    <x v="0"/>
    <n v="428400"/>
    <x v="10"/>
    <s v="847.8470110.1.428400.000000.847001.200179"/>
    <n v="50000"/>
    <n v="50000"/>
    <m/>
    <m/>
    <m/>
    <n v="50000"/>
    <m/>
    <m/>
    <m/>
    <m/>
    <n v="50000"/>
    <m/>
    <n v="40000"/>
    <s v="N"/>
    <m/>
    <n v="50000"/>
    <n v="0"/>
    <n v="0"/>
    <n v="0"/>
    <n v="50000"/>
  </r>
  <r>
    <x v="0"/>
    <s v="2 Other Operating Costs"/>
    <n v="8470110"/>
    <x v="0"/>
    <n v="428640"/>
    <x v="11"/>
    <s v="847.8470110.1.428640.000000.847001.200179"/>
    <n v="100000"/>
    <n v="50745"/>
    <m/>
    <m/>
    <m/>
    <n v="50745"/>
    <m/>
    <m/>
    <m/>
    <m/>
    <n v="50745"/>
    <m/>
    <n v="40596"/>
    <s v="N"/>
    <m/>
    <n v="50745"/>
    <n v="0"/>
    <n v="0"/>
    <n v="0"/>
    <n v="50745"/>
  </r>
  <r>
    <x v="0"/>
    <s v="2 Other Operating Costs"/>
    <n v="8470120"/>
    <x v="1"/>
    <n v="420120"/>
    <x v="12"/>
    <s v="847.8470120.1.420120.000000.847001.200179"/>
    <n v="500000"/>
    <n v="550028"/>
    <n v="79851"/>
    <n v="0"/>
    <n v="470177"/>
    <n v="0"/>
    <m/>
    <m/>
    <m/>
    <m/>
    <n v="0"/>
    <m/>
    <n v="0"/>
    <s v="N"/>
    <m/>
    <n v="550028"/>
    <n v="124262"/>
    <n v="0"/>
    <n v="425766"/>
    <n v="0"/>
  </r>
  <r>
    <x v="1"/>
    <s v="2 Other Operating Costs"/>
    <n v="8470130"/>
    <x v="2"/>
    <n v="421000"/>
    <x v="3"/>
    <s v="847.8470130.1.421000.000000.847001.200179"/>
    <n v="720000"/>
    <n v="604900"/>
    <m/>
    <m/>
    <m/>
    <n v="604900"/>
    <m/>
    <m/>
    <m/>
    <m/>
    <n v="604900"/>
    <m/>
    <n v="604900"/>
    <s v="Y"/>
    <m/>
    <n v="604900"/>
    <n v="10000"/>
    <n v="0"/>
    <n v="0"/>
    <n v="594900"/>
  </r>
  <r>
    <x v="1"/>
    <s v="2 Other Operating Costs"/>
    <n v="8470130"/>
    <x v="2"/>
    <n v="426610"/>
    <x v="8"/>
    <s v="847.8470130.1.426610.000000.847001.200179"/>
    <n v="735000"/>
    <n v="735000"/>
    <m/>
    <m/>
    <m/>
    <n v="735000"/>
    <m/>
    <m/>
    <m/>
    <m/>
    <n v="735000"/>
    <m/>
    <n v="735000"/>
    <s v="Y"/>
    <m/>
    <n v="735000"/>
    <n v="0"/>
    <n v="312205"/>
    <n v="0"/>
    <n v="422795"/>
  </r>
  <r>
    <x v="1"/>
    <s v="2 Other Operating Costs"/>
    <n v="8470130"/>
    <x v="2"/>
    <n v="427710"/>
    <x v="13"/>
    <s v="847.8470130.1.427710.000000.847001.200179"/>
    <n v="0"/>
    <n v="115000"/>
    <n v="114759"/>
    <m/>
    <m/>
    <n v="241"/>
    <m/>
    <m/>
    <m/>
    <m/>
    <n v="241"/>
    <m/>
    <n v="241"/>
    <s v="Y"/>
    <m/>
    <n v="115000"/>
    <n v="114759"/>
    <n v="0"/>
    <n v="0"/>
    <n v="241"/>
  </r>
  <r>
    <x v="1"/>
    <s v="2 Other Operating Costs"/>
    <n v="8470130"/>
    <x v="2"/>
    <n v="428090"/>
    <x v="9"/>
    <s v="847.8470130.1.428090.000000.847001.200179"/>
    <n v="180000"/>
    <n v="37543"/>
    <n v="1650"/>
    <m/>
    <m/>
    <n v="35893"/>
    <m/>
    <m/>
    <m/>
    <m/>
    <n v="35893"/>
    <m/>
    <n v="35893"/>
    <s v="Y"/>
    <m/>
    <n v="37543"/>
    <n v="7480"/>
    <n v="0"/>
    <n v="0"/>
    <n v="30063"/>
  </r>
  <r>
    <x v="1"/>
    <s v="2 Other Operating Costs"/>
    <n v="8470140"/>
    <x v="3"/>
    <n v="425100"/>
    <x v="14"/>
    <s v="847.8470140.1.425100.000000.847001.200179"/>
    <n v="4578464"/>
    <n v="5227464"/>
    <n v="2057917.4399999999"/>
    <n v="2056990"/>
    <n v="622131.75"/>
    <n v="490424.81000000006"/>
    <n v="160000"/>
    <n v="250000"/>
    <n v="80425"/>
    <s v="Amount will cover branding &amp; advertising KU news in different channels"/>
    <n v="-0.18999999994412065"/>
    <m/>
    <n v="-0.18999999994412065"/>
    <s v="Y"/>
    <m/>
    <n v="5297464"/>
    <n v="2587112.62"/>
    <n v="1346800"/>
    <n v="999823"/>
    <n v="363728.37999999989"/>
  </r>
  <r>
    <x v="1"/>
    <s v="2 Other Operating Costs"/>
    <n v="8470140"/>
    <x v="3"/>
    <n v="425510"/>
    <x v="5"/>
    <s v="847.8470140.1.425510.000000.847001.200179"/>
    <n v="5425358"/>
    <n v="6216546"/>
    <n v="2569677.79"/>
    <n v="2206800"/>
    <n v="1089369.49"/>
    <n v="350698.72"/>
    <n v="100699"/>
    <n v="250000"/>
    <m/>
    <s v="Amount will cover Graduation Ceremony "/>
    <n v="-0.28000000002793968"/>
    <m/>
    <n v="-0.28000000002793968"/>
    <s v="Y"/>
    <m/>
    <n v="6256444"/>
    <n v="4019855.79"/>
    <n v="681500"/>
    <n v="1323021.29"/>
    <n v="232066.91999999993"/>
  </r>
  <r>
    <x v="1"/>
    <s v="2 Other Operating Costs"/>
    <n v="8470140"/>
    <x v="3"/>
    <n v="425550"/>
    <x v="6"/>
    <s v="847.8470140.1.425550.000000.847001.200179"/>
    <n v="791955"/>
    <n v="2955"/>
    <n v="2942.71"/>
    <m/>
    <m/>
    <n v="12.289999999999964"/>
    <m/>
    <m/>
    <m/>
    <m/>
    <n v="12.289999999999964"/>
    <m/>
    <n v="12.289999999999964"/>
    <s v="Y"/>
    <m/>
    <n v="59402"/>
    <n v="2942.71"/>
    <n v="0"/>
    <n v="56458"/>
    <n v="1.2900000000008731"/>
  </r>
  <r>
    <x v="1"/>
    <s v="2 Other Operating Costs"/>
    <n v="8470140"/>
    <x v="3"/>
    <n v="425763"/>
    <x v="15"/>
    <s v="847.8470140.1.425763.000000.847050.200179"/>
    <n v="0"/>
    <n v="453163"/>
    <n v="154662.9"/>
    <n v="298500"/>
    <n v="0"/>
    <n v="9.9999999976716936E-2"/>
    <m/>
    <m/>
    <m/>
    <m/>
    <n v="9.9999999976716936E-2"/>
    <m/>
    <n v="9.9999999976716936E-2"/>
    <s v="Y"/>
    <m/>
    <n v="453163"/>
    <n v="154662.9"/>
    <n v="298500"/>
    <n v="0"/>
    <n v="9.9999999976716936E-2"/>
  </r>
  <r>
    <x v="1"/>
    <s v="2 Other Operating Costs"/>
    <n v="8470140"/>
    <x v="3"/>
    <n v="427100"/>
    <x v="16"/>
    <s v="847.8470140.1.427100.000000.847001.200179"/>
    <n v="1157850"/>
    <n v="1157850"/>
    <m/>
    <n v="909458.75"/>
    <m/>
    <n v="248391.25"/>
    <n v="156000"/>
    <n v="92391"/>
    <m/>
    <s v="Amount will cover international and local media relations for Q4"/>
    <n v="0.25"/>
    <m/>
    <n v="0.25"/>
    <s v="Y"/>
    <m/>
    <n v="1097850"/>
    <n v="477456.84"/>
    <n v="0"/>
    <n v="432001.91"/>
    <n v="188391.24999999994"/>
  </r>
  <r>
    <x v="1"/>
    <s v="2 Other Operating Costs"/>
    <n v="8470140"/>
    <x v="3"/>
    <n v="427200"/>
    <x v="17"/>
    <s v="847.8470140.1.427200.000000.847001.200179"/>
    <n v="750000"/>
    <n v="50000"/>
    <n v="20841.47"/>
    <m/>
    <m/>
    <n v="29158.53"/>
    <m/>
    <m/>
    <m/>
    <m/>
    <n v="29158.53"/>
    <m/>
    <n v="29158.53"/>
    <s v="Y"/>
    <m/>
    <n v="23654"/>
    <n v="23653.37"/>
    <n v="0"/>
    <n v="0"/>
    <n v="0.63000000000101863"/>
  </r>
  <r>
    <x v="1"/>
    <s v="2 Other Operating Costs"/>
    <n v="8470140"/>
    <x v="3"/>
    <n v="428640"/>
    <x v="11"/>
    <s v="847.8470140.1.428640.000000.847001.200179"/>
    <n v="998000"/>
    <n v="238000"/>
    <n v="20594.009999999998"/>
    <n v="0"/>
    <n v="177011"/>
    <n v="40394.989999999991"/>
    <m/>
    <m/>
    <m/>
    <m/>
    <n v="40394.989999999991"/>
    <m/>
    <n v="40394.989999999991"/>
    <s v="Y"/>
    <m/>
    <n v="238000"/>
    <n v="21975.01"/>
    <n v="0"/>
    <n v="199891"/>
    <n v="16133.989999999991"/>
  </r>
  <r>
    <x v="1"/>
    <s v="2 Other Operating Costs"/>
    <n v="8470140"/>
    <x v="3"/>
    <n v="435310"/>
    <x v="18"/>
    <s v="847.8470140.1.435310.000000.847001.200179"/>
    <n v="10000"/>
    <n v="10000"/>
    <m/>
    <m/>
    <m/>
    <n v="10000"/>
    <m/>
    <m/>
    <m/>
    <m/>
    <n v="10000"/>
    <m/>
    <n v="10000"/>
    <s v="Y"/>
    <m/>
    <n v="1"/>
    <n v="0"/>
    <n v="0"/>
    <n v="0"/>
    <n v="1"/>
  </r>
  <r>
    <x v="1"/>
    <s v="2 Other Operating Costs"/>
    <n v="8470140"/>
    <x v="3"/>
    <n v="435519"/>
    <x v="19"/>
    <s v="847.8470140.1.435519.000000.847001.200179"/>
    <n v="135000"/>
    <n v="43812"/>
    <n v="43812"/>
    <n v="0"/>
    <n v="0"/>
    <n v="0"/>
    <m/>
    <m/>
    <m/>
    <m/>
    <n v="0"/>
    <m/>
    <n v="0"/>
    <s v="Y"/>
    <m/>
    <n v="43812"/>
    <n v="43812"/>
    <n v="0"/>
    <n v="0"/>
    <n v="0"/>
  </r>
  <r>
    <x v="0"/>
    <s v="2 Other Operating Costs"/>
    <n v="8470150"/>
    <x v="4"/>
    <n v="420900"/>
    <x v="2"/>
    <s v="847.8470150.1.420900.000000.847001.200179"/>
    <n v="0"/>
    <n v="32600"/>
    <n v="24142.82"/>
    <m/>
    <m/>
    <n v="8457.18"/>
    <m/>
    <m/>
    <m/>
    <m/>
    <n v="8457.18"/>
    <m/>
    <n v="46765.744000000006"/>
    <s v="N"/>
    <m/>
    <n v="82600"/>
    <n v="24142.82"/>
    <n v="0"/>
    <n v="0"/>
    <n v="58457.18"/>
  </r>
  <r>
    <x v="2"/>
    <s v="2 Other Operating Costs"/>
    <n v="8470210"/>
    <x v="5"/>
    <n v="420570"/>
    <x v="1"/>
    <s v="847.8470210.1.420570.000000.847001.200179"/>
    <n v="0"/>
    <n v="2603121"/>
    <m/>
    <m/>
    <m/>
    <n v="2603121"/>
    <m/>
    <m/>
    <m/>
    <m/>
    <n v="2603121"/>
    <m/>
    <n v="721634"/>
    <s v="Contingency"/>
    <m/>
    <n v="721634"/>
    <n v="0"/>
    <n v="0"/>
    <n v="0"/>
    <n v="721634"/>
  </r>
  <r>
    <x v="2"/>
    <s v="2 Other Operating Costs"/>
    <n v="8470210"/>
    <x v="5"/>
    <n v="425770"/>
    <x v="20"/>
    <s v="847.8470210.1.425770.000000.847001.200179"/>
    <n v="0"/>
    <n v="2973778"/>
    <m/>
    <m/>
    <m/>
    <n v="2973778"/>
    <m/>
    <m/>
    <m/>
    <m/>
    <n v="2973778"/>
    <m/>
    <n v="954528"/>
    <s v="Contingency"/>
    <m/>
    <n v="954528"/>
    <n v="0"/>
    <n v="0"/>
    <n v="0"/>
    <n v="954528"/>
  </r>
  <r>
    <x v="2"/>
    <s v="2 Other Operating Costs"/>
    <n v="8470210"/>
    <x v="5"/>
    <n v="427200"/>
    <x v="17"/>
    <s v="847.8470210.1.427200.000000.847001.200179"/>
    <n v="0"/>
    <n v="746464"/>
    <m/>
    <m/>
    <m/>
    <n v="746464"/>
    <m/>
    <m/>
    <m/>
    <m/>
    <n v="746464"/>
    <m/>
    <n v="746464"/>
    <s v="Contingency"/>
    <m/>
    <n v="746464"/>
    <n v="0"/>
    <n v="0"/>
    <n v="0"/>
    <n v="746464"/>
  </r>
  <r>
    <x v="2"/>
    <s v="2 Other Operating Costs"/>
    <n v="8470210"/>
    <x v="5"/>
    <n v="428090"/>
    <x v="9"/>
    <s v="847.8470210.1.428090.000000.847001.200179"/>
    <n v="0"/>
    <n v="2670379"/>
    <m/>
    <m/>
    <m/>
    <n v="2670379"/>
    <m/>
    <m/>
    <m/>
    <m/>
    <n v="2670379"/>
    <m/>
    <n v="657934"/>
    <s v="Contingency"/>
    <m/>
    <n v="657934"/>
    <n v="0"/>
    <n v="0"/>
    <n v="0"/>
    <n v="657934"/>
  </r>
  <r>
    <x v="2"/>
    <s v="2 Other Operating Costs"/>
    <n v="8470210"/>
    <x v="5"/>
    <n v="428640"/>
    <x v="11"/>
    <s v="847.8470210.1.428640.000000.847001.200179"/>
    <n v="0"/>
    <n v="808440"/>
    <m/>
    <m/>
    <m/>
    <n v="808440"/>
    <m/>
    <m/>
    <m/>
    <m/>
    <n v="808440"/>
    <m/>
    <n v="808440"/>
    <s v="Contingency"/>
    <m/>
    <n v="808440"/>
    <n v="0"/>
    <n v="0"/>
    <n v="0"/>
    <n v="808440"/>
  </r>
  <r>
    <x v="2"/>
    <s v="2 Other Operating Costs"/>
    <n v="8470210"/>
    <x v="5"/>
    <n v="435350"/>
    <x v="21"/>
    <s v="847.8470210.1.435350.000000.847001.200179"/>
    <n v="0"/>
    <n v="1081496"/>
    <m/>
    <m/>
    <m/>
    <n v="1081496"/>
    <m/>
    <m/>
    <m/>
    <m/>
    <n v="1081496"/>
    <m/>
    <n v="831496"/>
    <s v="Contingency"/>
    <m/>
    <n v="831496"/>
    <n v="0"/>
    <n v="0"/>
    <n v="0"/>
    <n v="831496"/>
  </r>
  <r>
    <x v="2"/>
    <s v="2 Other Operating Costs"/>
    <n v="8470210"/>
    <x v="5"/>
    <n v="435523"/>
    <x v="22"/>
    <s v="847.8470210.1.435523.000000.847001.200179"/>
    <n v="0"/>
    <n v="10000000"/>
    <m/>
    <m/>
    <m/>
    <n v="10000000"/>
    <m/>
    <m/>
    <m/>
    <m/>
    <n v="10000000"/>
    <m/>
    <n v="4799886"/>
    <s v="Contingency"/>
    <m/>
    <n v="4799886"/>
    <n v="0"/>
    <n v="0"/>
    <n v="0"/>
    <n v="4799886"/>
  </r>
  <r>
    <x v="3"/>
    <s v="2 Other Operating Costs"/>
    <n v="8470220"/>
    <x v="6"/>
    <n v="420550"/>
    <x v="0"/>
    <s v="847.8470220.1.420550.000000.847001.200179"/>
    <n v="60000"/>
    <n v="60000"/>
    <n v="970.85"/>
    <m/>
    <m/>
    <n v="59029.15"/>
    <m/>
    <m/>
    <m/>
    <m/>
    <n v="59029.15"/>
    <m/>
    <n v="47223.320000000007"/>
    <s v="N"/>
    <m/>
    <n v="60000"/>
    <n v="970.85"/>
    <n v="0"/>
    <n v="0"/>
    <n v="59029.15"/>
  </r>
  <r>
    <x v="3"/>
    <s v="2 Other Operating Costs"/>
    <n v="8470220"/>
    <x v="6"/>
    <n v="420570"/>
    <x v="1"/>
    <s v="847.8470220.1.420570.000000.847001.200179"/>
    <n v="492387"/>
    <n v="373637"/>
    <n v="50000"/>
    <n v="0"/>
    <n v="0"/>
    <n v="323637"/>
    <m/>
    <m/>
    <m/>
    <m/>
    <n v="323637"/>
    <m/>
    <n v="167872.52000000002"/>
    <s v="N"/>
    <m/>
    <n v="373637"/>
    <n v="163796.35"/>
    <n v="0"/>
    <n v="0"/>
    <n v="209840.65"/>
  </r>
  <r>
    <x v="3"/>
    <s v="2 Other Operating Costs"/>
    <n v="8470220"/>
    <x v="6"/>
    <n v="421700"/>
    <x v="4"/>
    <s v="847.8470220.1.421700.000000.847001.200179"/>
    <n v="375000"/>
    <n v="375000"/>
    <m/>
    <m/>
    <m/>
    <n v="375000"/>
    <m/>
    <m/>
    <m/>
    <m/>
    <n v="375000"/>
    <m/>
    <n v="300000"/>
    <s v="N"/>
    <m/>
    <n v="375000"/>
    <n v="0"/>
    <n v="0"/>
    <n v="0"/>
    <n v="375000"/>
  </r>
  <r>
    <x v="3"/>
    <s v="2 Other Operating Costs"/>
    <n v="8470220"/>
    <x v="6"/>
    <n v="425510"/>
    <x v="5"/>
    <s v="847.8470220.1.425510.000000.847001.200179"/>
    <n v="10000"/>
    <n v="23750"/>
    <n v="13750"/>
    <m/>
    <m/>
    <n v="10000"/>
    <m/>
    <m/>
    <m/>
    <m/>
    <n v="10000"/>
    <m/>
    <n v="8000"/>
    <s v="N"/>
    <m/>
    <n v="23750"/>
    <n v="13750"/>
    <n v="0"/>
    <n v="0"/>
    <n v="10000"/>
  </r>
  <r>
    <x v="3"/>
    <s v="2 Other Operating Costs"/>
    <n v="8470220"/>
    <x v="6"/>
    <n v="425550"/>
    <x v="6"/>
    <s v="847.8470220.1.425550.000000.847001.200179"/>
    <n v="25000"/>
    <n v="25000"/>
    <n v="13790"/>
    <m/>
    <m/>
    <n v="11210"/>
    <m/>
    <m/>
    <m/>
    <m/>
    <n v="11210"/>
    <m/>
    <n v="8968"/>
    <s v="N"/>
    <m/>
    <n v="25000"/>
    <n v="13790"/>
    <n v="0"/>
    <n v="0"/>
    <n v="11210"/>
  </r>
  <r>
    <x v="3"/>
    <s v="2 Other Operating Costs"/>
    <n v="8470220"/>
    <x v="6"/>
    <n v="425740"/>
    <x v="23"/>
    <s v="847.8470220.1.425740.000000.847001.200179"/>
    <n v="694710"/>
    <n v="694710"/>
    <m/>
    <m/>
    <m/>
    <n v="694710"/>
    <m/>
    <m/>
    <m/>
    <m/>
    <n v="694710"/>
    <m/>
    <n v="555768"/>
    <s v="N"/>
    <m/>
    <n v="694710"/>
    <n v="0"/>
    <n v="0"/>
    <n v="0"/>
    <n v="694710"/>
  </r>
  <r>
    <x v="3"/>
    <s v="2 Other Operating Costs"/>
    <n v="8470220"/>
    <x v="6"/>
    <n v="425900"/>
    <x v="7"/>
    <s v="847.8470220.1.425900.000000.847001.200179"/>
    <n v="12000"/>
    <n v="17000"/>
    <n v="16314.6"/>
    <m/>
    <m/>
    <n v="685.39999999999964"/>
    <m/>
    <m/>
    <m/>
    <m/>
    <n v="685.39999999999964"/>
    <m/>
    <n v="345.1200000000012"/>
    <s v="N"/>
    <m/>
    <n v="17287"/>
    <n v="16855.599999999999"/>
    <n v="0"/>
    <n v="0"/>
    <n v="431.40000000000146"/>
  </r>
  <r>
    <x v="3"/>
    <s v="2 Other Operating Costs"/>
    <n v="8470220"/>
    <x v="6"/>
    <n v="426610"/>
    <x v="8"/>
    <s v="847.8470220.1.426610.000000.847001.200179"/>
    <n v="50000"/>
    <n v="50000"/>
    <m/>
    <m/>
    <m/>
    <n v="50000"/>
    <m/>
    <m/>
    <m/>
    <m/>
    <n v="50000"/>
    <m/>
    <n v="40000"/>
    <s v="N"/>
    <m/>
    <n v="50000"/>
    <n v="0"/>
    <n v="0"/>
    <n v="0"/>
    <n v="50000"/>
  </r>
  <r>
    <x v="3"/>
    <s v="2 Other Operating Costs"/>
    <n v="8470220"/>
    <x v="6"/>
    <n v="428090"/>
    <x v="9"/>
    <s v="847.8470220.1.428090.000000.847001.200179"/>
    <n v="65500"/>
    <n v="45092"/>
    <n v="33100"/>
    <m/>
    <m/>
    <n v="11992"/>
    <m/>
    <m/>
    <m/>
    <m/>
    <n v="11992"/>
    <m/>
    <n v="9593.6"/>
    <s v="N"/>
    <m/>
    <n v="45092"/>
    <n v="33100"/>
    <n v="0"/>
    <n v="0"/>
    <n v="11992"/>
  </r>
  <r>
    <x v="3"/>
    <s v="2 Other Operating Costs"/>
    <n v="8470220"/>
    <x v="6"/>
    <n v="428640"/>
    <x v="11"/>
    <s v="847.8470220.1.428640.000000.847001.200179"/>
    <n v="20000"/>
    <n v="13262"/>
    <n v="6320"/>
    <n v="0"/>
    <n v="0"/>
    <n v="6942"/>
    <m/>
    <m/>
    <m/>
    <m/>
    <n v="6942"/>
    <m/>
    <n v="5553.6"/>
    <s v="N"/>
    <m/>
    <n v="13262"/>
    <n v="6320"/>
    <n v="0"/>
    <n v="0"/>
    <n v="6942"/>
  </r>
  <r>
    <x v="3"/>
    <s v="2 Other Operating Costs"/>
    <n v="8470220"/>
    <x v="6"/>
    <n v="432205"/>
    <x v="24"/>
    <s v="847.8470220.1.432205.000000.847001.200179"/>
    <n v="10000"/>
    <n v="10000"/>
    <n v="1813"/>
    <m/>
    <m/>
    <n v="8187"/>
    <m/>
    <m/>
    <m/>
    <m/>
    <n v="8187"/>
    <m/>
    <n v="6549.6"/>
    <s v="N"/>
    <m/>
    <n v="10000"/>
    <n v="1813"/>
    <n v="0"/>
    <n v="0"/>
    <n v="8187"/>
  </r>
  <r>
    <x v="4"/>
    <s v="2 Other Operating Costs"/>
    <n v="8470230"/>
    <x v="7"/>
    <n v="420550"/>
    <x v="0"/>
    <s v="847.8470230.1.420550.000000.847001.200179"/>
    <n v="1020620"/>
    <n v="1020620"/>
    <n v="33110"/>
    <m/>
    <m/>
    <n v="987510"/>
    <n v="197502"/>
    <n v="296253"/>
    <n v="493755"/>
    <s v="The amount will be used to cover external examiners expenses for PhD students which include airline tickets (economy/business), visa, insurance, accommodation and meals.  Remaining amount can be transferred to students' stipend"/>
    <n v="0"/>
    <m/>
    <n v="0"/>
    <s v="Y"/>
    <m/>
    <n v="1020620"/>
    <n v="33110"/>
    <n v="0"/>
    <n v="0"/>
    <n v="987510"/>
  </r>
  <r>
    <x v="4"/>
    <s v="2 Other Operating Costs"/>
    <n v="8470230"/>
    <x v="7"/>
    <n v="425100"/>
    <x v="14"/>
    <s v="847.8470230.1.425100.000000.847001.200179"/>
    <n v="300000"/>
    <n v="300000"/>
    <m/>
    <m/>
    <m/>
    <n v="300000"/>
    <n v="0"/>
    <n v="0"/>
    <n v="300000"/>
    <s v="There will be a deficient of student's stipend.  The amount can be transferred to cover part of it."/>
    <n v="0"/>
    <m/>
    <n v="0"/>
    <s v="Y"/>
    <m/>
    <n v="300000"/>
    <n v="0"/>
    <n v="0"/>
    <n v="0"/>
    <n v="300000"/>
  </r>
  <r>
    <x v="4"/>
    <s v="2 Other Operating Costs"/>
    <n v="8470230"/>
    <x v="7"/>
    <n v="425510"/>
    <x v="5"/>
    <s v="847.8470230.1.425510.000000.847001.200179"/>
    <n v="34000"/>
    <n v="34000"/>
    <n v="9463"/>
    <m/>
    <m/>
    <n v="24537"/>
    <n v="7361.0999999999995"/>
    <n v="7361.0999999999995"/>
    <n v="9814.8000000000011"/>
    <s v="Will be used to cover the expenses of students attending local conferences and events.  Remaining amount can be transferred to students' stipend"/>
    <n v="0"/>
    <m/>
    <n v="0"/>
    <s v="Y"/>
    <m/>
    <n v="34000"/>
    <n v="9463"/>
    <n v="0"/>
    <n v="0"/>
    <n v="24537"/>
  </r>
  <r>
    <x v="4"/>
    <s v="2 Other Operating Costs"/>
    <n v="8470230"/>
    <x v="7"/>
    <n v="425550"/>
    <x v="6"/>
    <s v="847.8470230.1.425550.000000.847001.200179"/>
    <n v="222000"/>
    <n v="222000"/>
    <n v="122474.17"/>
    <m/>
    <m/>
    <n v="99525.83"/>
    <n v="29857.749"/>
    <n v="29857.749"/>
    <n v="39810.332000000002"/>
    <s v="Will be used to cover the expenses of students attending International conferences and events. Remaining amount can be transferred to students' stipend"/>
    <n v="0"/>
    <m/>
    <n v="0"/>
    <s v="Y"/>
    <m/>
    <n v="222000"/>
    <n v="164563.12"/>
    <n v="0"/>
    <n v="0"/>
    <n v="57436.880000000005"/>
  </r>
  <r>
    <x v="4"/>
    <s v="2 Other Operating Costs"/>
    <n v="8470230"/>
    <x v="7"/>
    <n v="425743"/>
    <x v="25"/>
    <s v="847.8470230.1.425743.000000.847001.200179"/>
    <n v="240000"/>
    <n v="240000"/>
    <n v="240000"/>
    <m/>
    <m/>
    <n v="0"/>
    <m/>
    <m/>
    <m/>
    <m/>
    <n v="0"/>
    <m/>
    <n v="0"/>
    <s v="Y"/>
    <m/>
    <n v="240000"/>
    <n v="240000"/>
    <n v="0"/>
    <n v="0"/>
    <n v="0"/>
  </r>
  <r>
    <x v="4"/>
    <s v="2 Other Operating Costs"/>
    <n v="8470230"/>
    <x v="7"/>
    <n v="425744"/>
    <x v="26"/>
    <s v="847.8470230.1.425744.000000.847001.200179"/>
    <n v="4816800"/>
    <n v="4716106"/>
    <n v="2899455.57"/>
    <m/>
    <m/>
    <n v="1816650.4300000002"/>
    <n v="363330.08600000001"/>
    <n v="908325.21499999997"/>
    <n v="544995.12899999996"/>
    <s v="Will be used to pay students medical insurance.  The payment will be made mainly in Fall 2022 semester and for students whom visas are expired and need to be renewed. Remaining amount can be transferred to students' stipend"/>
    <n v="0"/>
    <m/>
    <n v="0"/>
    <s v="Y"/>
    <m/>
    <n v="4716106"/>
    <n v="2899455.57"/>
    <n v="0"/>
    <n v="0"/>
    <n v="1816650.4300000002"/>
  </r>
  <r>
    <x v="4"/>
    <s v="2 Other Operating Costs"/>
    <n v="8470230"/>
    <x v="7"/>
    <n v="425745"/>
    <x v="27"/>
    <s v="847.8470230.1.425745.000000.847001.200179"/>
    <n v="1971263"/>
    <n v="1971263"/>
    <n v="933228.17"/>
    <m/>
    <m/>
    <n v="1038034.83"/>
    <n v="226281.95200000002"/>
    <n v="339422.92800000001"/>
    <n v="472331"/>
    <s v="The amount will be used for mobilization (Spring 2023) and demobilization of students (who graduated in Spring 2022 and Summer 2022), as well as annual travel allowance payments in November.  Remaining amount can be transferred to students' stipend"/>
    <n v="-1.0500000001047738"/>
    <m/>
    <n v="-1.0500000001047738"/>
    <s v="Y"/>
    <m/>
    <n v="1971263"/>
    <n v="1122445.5"/>
    <n v="0"/>
    <n v="0"/>
    <n v="848817.5"/>
  </r>
  <r>
    <x v="4"/>
    <s v="2 Other Operating Costs"/>
    <n v="8470230"/>
    <x v="7"/>
    <n v="425749"/>
    <x v="28"/>
    <s v="847.8470230.1.425749.000000.847001.200179"/>
    <n v="110824684"/>
    <n v="110824684"/>
    <n v="81132195.440000102"/>
    <m/>
    <m/>
    <n v="29692488.559999898"/>
    <n v="13954529.623199953"/>
    <n v="11876195.423999961"/>
    <n v="11500000"/>
    <s v="Almost 75% of funds is already consumed during Q1 and Q2 and Q3 to pay student stipends.  Many new students are added recently to the payroll and will be paid from 28 August.  There will be a shortage of stipend that needs to be covered from other GSO accounts."/>
    <n v="-700000"/>
    <s v="Postgraduate Student Salaries for the Dec-22 P/r"/>
    <n v="-700000"/>
    <s v="Y"/>
    <m/>
    <n v="117580684"/>
    <n v="95323813.510000095"/>
    <n v="0"/>
    <n v="0"/>
    <n v="10800000"/>
  </r>
  <r>
    <x v="4"/>
    <s v="2 Other Operating Costs"/>
    <n v="8470230"/>
    <x v="7"/>
    <n v="425761"/>
    <x v="29"/>
    <s v="847.8470230.1.425761.000000.847001.200179"/>
    <n v="150000"/>
    <n v="150000"/>
    <m/>
    <m/>
    <m/>
    <n v="150000"/>
    <n v="30000"/>
    <n v="45000"/>
    <n v="75000"/>
    <s v="To cover field trips for graduate students.  Remaining amount can be transferred to students' stipend"/>
    <n v="0"/>
    <m/>
    <n v="0"/>
    <s v="Y"/>
    <m/>
    <n v="150000"/>
    <n v="0"/>
    <n v="0"/>
    <n v="0"/>
    <n v="150000"/>
  </r>
  <r>
    <x v="4"/>
    <s v="2 Other Operating Costs"/>
    <n v="8470230"/>
    <x v="7"/>
    <n v="425762"/>
    <x v="30"/>
    <s v="847.8470230.1.425762.000000.847001.200179"/>
    <n v="150000"/>
    <n v="150000"/>
    <n v="56629.1"/>
    <m/>
    <m/>
    <n v="93370.9"/>
    <n v="46685.45"/>
    <n v="28011.269999999997"/>
    <n v="18674.18"/>
    <s v="Will be used to cover the expenses of student internships. The internship program was launched recently and many students already applied for internship programs.  Remaining amount can be transferred to students' stipend"/>
    <n v="0"/>
    <m/>
    <n v="0"/>
    <s v="Y"/>
    <m/>
    <n v="150000"/>
    <n v="63860.57"/>
    <n v="0"/>
    <n v="0"/>
    <n v="86139.43"/>
  </r>
  <r>
    <x v="4"/>
    <s v="2 Other Operating Costs"/>
    <n v="8470230"/>
    <x v="7"/>
    <n v="425900"/>
    <x v="7"/>
    <s v="847.8470230.1.425900.000000.847001.200179"/>
    <n v="45648"/>
    <n v="45648"/>
    <n v="236.25"/>
    <m/>
    <m/>
    <n v="45411.75"/>
    <n v="9082.35"/>
    <n v="13623.525"/>
    <n v="22705.875"/>
    <s v="Some social events will take place duirng Fall 2022. The amount will be used to cover the expenses of these events."/>
    <n v="0"/>
    <m/>
    <n v="0"/>
    <s v="Y"/>
    <m/>
    <n v="45648"/>
    <n v="1236.25"/>
    <n v="0"/>
    <n v="0"/>
    <n v="44411.75"/>
  </r>
  <r>
    <x v="4"/>
    <s v="2 Other Operating Costs"/>
    <n v="8470230"/>
    <x v="7"/>
    <n v="426610"/>
    <x v="8"/>
    <s v="847.8470230.1.426610.000000.847001.200179"/>
    <n v="10000"/>
    <n v="10000"/>
    <m/>
    <m/>
    <m/>
    <n v="10000"/>
    <n v="0"/>
    <n v="0"/>
    <n v="10000"/>
    <s v="For S/W licenses renewal. Remaining amount can be transferred to students' stipend"/>
    <n v="0"/>
    <m/>
    <n v="0"/>
    <s v="Y"/>
    <m/>
    <n v="10000"/>
    <n v="0"/>
    <n v="0"/>
    <n v="0"/>
    <n v="10000"/>
  </r>
  <r>
    <x v="4"/>
    <s v="2 Other Operating Costs"/>
    <n v="8470230"/>
    <x v="7"/>
    <n v="428090"/>
    <x v="9"/>
    <s v="847.8470230.1.428090.000000.847001.200179"/>
    <n v="97000"/>
    <n v="26429"/>
    <m/>
    <m/>
    <m/>
    <n v="26429"/>
    <n v="0"/>
    <n v="21143.200000000001"/>
    <n v="5285.8"/>
    <s v="Will be used to cover expenses related to events either locally or internationally."/>
    <n v="0"/>
    <m/>
    <n v="0"/>
    <s v="Y"/>
    <m/>
    <n v="26429"/>
    <n v="0"/>
    <n v="0"/>
    <n v="0"/>
    <n v="26429"/>
  </r>
  <r>
    <x v="4"/>
    <s v="2 Other Operating Costs"/>
    <n v="8470230"/>
    <x v="7"/>
    <n v="428640"/>
    <x v="11"/>
    <s v="847.8470230.1.428640.000000.847001.200179"/>
    <n v="80000"/>
    <n v="40596"/>
    <m/>
    <m/>
    <m/>
    <n v="40596"/>
    <n v="0"/>
    <n v="16238.400000000001"/>
    <n v="24357.599999999999"/>
    <s v="Will be used for some initiatives related to graduate student recruitment, prizes for best thesis award, gifts for external examiners visiting KU in person."/>
    <n v="0"/>
    <m/>
    <n v="0"/>
    <s v="Y"/>
    <m/>
    <n v="40596"/>
    <n v="0"/>
    <n v="0"/>
    <n v="0"/>
    <n v="40596"/>
  </r>
  <r>
    <x v="4"/>
    <s v="2 Other Operating Costs"/>
    <n v="8470230"/>
    <x v="7"/>
    <n v="436110"/>
    <x v="31"/>
    <s v="847.8470230.1.436110.000000.847001.200179"/>
    <n v="5000"/>
    <n v="5000"/>
    <m/>
    <m/>
    <m/>
    <n v="5000"/>
    <n v="0"/>
    <n v="2500"/>
    <n v="2500"/>
    <s v="Will be used for Graduate Catalog Printing.  Remaining amount can be transferred to students' stipend"/>
    <n v="0"/>
    <m/>
    <n v="0"/>
    <s v="Y"/>
    <m/>
    <n v="5000"/>
    <n v="0"/>
    <n v="0"/>
    <n v="0"/>
    <n v="5000"/>
  </r>
  <r>
    <x v="5"/>
    <s v="2 Other Operating Costs"/>
    <n v="8470305"/>
    <x v="8"/>
    <n v="420550"/>
    <x v="0"/>
    <s v="847.8470305.1.420550.000000.847001.200179"/>
    <n v="10000"/>
    <n v="100000"/>
    <n v="92165.34"/>
    <m/>
    <m/>
    <n v="7834.6600000000035"/>
    <m/>
    <m/>
    <m/>
    <m/>
    <n v="7834.6600000000035"/>
    <m/>
    <n v="6267.7280000000028"/>
    <s v="N"/>
    <m/>
    <n v="100000"/>
    <n v="92165.34"/>
    <n v="0"/>
    <n v="0"/>
    <n v="7834.6600000000035"/>
  </r>
  <r>
    <x v="5"/>
    <s v="2 Other Operating Costs"/>
    <n v="8470305"/>
    <x v="8"/>
    <n v="420570"/>
    <x v="1"/>
    <s v="847.8470305.1.420570.000000.847001.200179"/>
    <n v="10000"/>
    <n v="10000"/>
    <m/>
    <m/>
    <m/>
    <n v="10000"/>
    <m/>
    <m/>
    <m/>
    <m/>
    <n v="10000"/>
    <m/>
    <n v="8000"/>
    <s v="N"/>
    <m/>
    <n v="10000"/>
    <n v="0"/>
    <n v="0"/>
    <n v="0"/>
    <n v="10000"/>
  </r>
  <r>
    <x v="5"/>
    <s v="2 Other Operating Costs"/>
    <n v="8470305"/>
    <x v="8"/>
    <n v="421700"/>
    <x v="4"/>
    <s v="847.8470305.1.421700.000000.847001.200179"/>
    <n v="506004"/>
    <n v="506004"/>
    <n v="85210"/>
    <m/>
    <m/>
    <n v="420794"/>
    <m/>
    <m/>
    <m/>
    <m/>
    <n v="420794"/>
    <m/>
    <n v="292866.88"/>
    <s v="N"/>
    <m/>
    <n v="506004"/>
    <n v="139920.4"/>
    <n v="0"/>
    <n v="0"/>
    <n v="366083.6"/>
  </r>
  <r>
    <x v="5"/>
    <s v="2 Other Operating Costs"/>
    <n v="8470305"/>
    <x v="8"/>
    <n v="425510"/>
    <x v="5"/>
    <s v="847.8470305.1.425510.000000.847001.200179"/>
    <n v="20000"/>
    <n v="20000"/>
    <n v="5286"/>
    <m/>
    <m/>
    <n v="14714"/>
    <m/>
    <m/>
    <m/>
    <m/>
    <n v="14714"/>
    <m/>
    <n v="10171.200000000001"/>
    <s v="N"/>
    <m/>
    <n v="20000"/>
    <n v="7286"/>
    <n v="0"/>
    <n v="0"/>
    <n v="12714"/>
  </r>
  <r>
    <x v="5"/>
    <s v="2 Other Operating Costs"/>
    <n v="8470305"/>
    <x v="8"/>
    <n v="425763"/>
    <x v="15"/>
    <s v="847.8470305.1.425763.000000.847001.200179"/>
    <n v="100000"/>
    <n v="170000"/>
    <n v="14243.54"/>
    <n v="112260.3"/>
    <m/>
    <n v="43496.159999999989"/>
    <m/>
    <m/>
    <m/>
    <m/>
    <n v="43496.159999999989"/>
    <m/>
    <n v="4396.9279999999917"/>
    <s v="N"/>
    <m/>
    <n v="170000"/>
    <n v="52243.54"/>
    <n v="112260.3"/>
    <n v="0"/>
    <n v="5496.1599999999889"/>
  </r>
  <r>
    <x v="5"/>
    <s v="2 Other Operating Costs"/>
    <n v="8470305"/>
    <x v="8"/>
    <n v="425770"/>
    <x v="20"/>
    <s v="847.8470305.1.425770.000000.847001.200179"/>
    <n v="704499"/>
    <n v="579499"/>
    <n v="109975.62"/>
    <m/>
    <m/>
    <n v="469523.38"/>
    <m/>
    <m/>
    <m/>
    <m/>
    <n v="469523.38"/>
    <m/>
    <n v="344451.50400000002"/>
    <s v="N"/>
    <m/>
    <n v="544999"/>
    <n v="114434.62"/>
    <n v="0"/>
    <n v="0"/>
    <n v="430564.38"/>
  </r>
  <r>
    <x v="5"/>
    <s v="2 Other Operating Costs"/>
    <n v="8470305"/>
    <x v="8"/>
    <n v="425900"/>
    <x v="7"/>
    <s v="847.8470305.1.425900.000000.847001.200179"/>
    <n v="18000"/>
    <n v="18000"/>
    <n v="9738.75"/>
    <m/>
    <m/>
    <n v="8261.25"/>
    <m/>
    <m/>
    <m/>
    <m/>
    <n v="8261.25"/>
    <m/>
    <n v="6609"/>
    <s v="N"/>
    <m/>
    <n v="18000"/>
    <n v="9738.75"/>
    <n v="0"/>
    <n v="0"/>
    <n v="8261.25"/>
  </r>
  <r>
    <x v="5"/>
    <s v="2 Other Operating Costs"/>
    <n v="8470305"/>
    <x v="8"/>
    <n v="426610"/>
    <x v="8"/>
    <s v="847.8470305.1.426610.000000.847001.200179"/>
    <n v="100000"/>
    <n v="100000"/>
    <n v="46943.25"/>
    <n v="0"/>
    <n v="0"/>
    <n v="53056.75"/>
    <m/>
    <m/>
    <m/>
    <m/>
    <n v="53056.75"/>
    <m/>
    <n v="42445.4"/>
    <s v="N"/>
    <m/>
    <n v="100000"/>
    <n v="46943.25"/>
    <n v="0"/>
    <n v="0"/>
    <n v="53056.75"/>
  </r>
  <r>
    <x v="5"/>
    <s v="2 Other Operating Costs"/>
    <n v="8470305"/>
    <x v="8"/>
    <n v="428090"/>
    <x v="9"/>
    <s v="847.8470305.1.428090.000000.847001.200179"/>
    <n v="35000"/>
    <n v="25464"/>
    <m/>
    <m/>
    <m/>
    <n v="25464"/>
    <m/>
    <m/>
    <m/>
    <m/>
    <n v="25464"/>
    <m/>
    <n v="20371.2"/>
    <s v="N"/>
    <m/>
    <n v="25464"/>
    <n v="0"/>
    <n v="0"/>
    <n v="0"/>
    <n v="25464"/>
  </r>
  <r>
    <x v="5"/>
    <s v="2 Other Operating Costs"/>
    <n v="8470305"/>
    <x v="8"/>
    <n v="428640"/>
    <x v="11"/>
    <s v="847.8470305.1.428640.000000.847001.200179"/>
    <n v="45000"/>
    <n v="22835"/>
    <m/>
    <m/>
    <m/>
    <n v="22835"/>
    <m/>
    <m/>
    <m/>
    <m/>
    <n v="22835"/>
    <m/>
    <n v="18268"/>
    <s v="N"/>
    <m/>
    <n v="22835"/>
    <n v="0"/>
    <n v="0"/>
    <n v="0"/>
    <n v="22835"/>
  </r>
  <r>
    <x v="5"/>
    <s v="2 Other Operating Costs"/>
    <n v="8470305"/>
    <x v="8"/>
    <n v="432209"/>
    <x v="32"/>
    <s v="847.8470305.1.432209.000000.847001.200179"/>
    <n v="45292"/>
    <n v="45292"/>
    <n v="35796.32"/>
    <m/>
    <n v="8000"/>
    <n v="1495.6800000000003"/>
    <m/>
    <m/>
    <m/>
    <m/>
    <n v="1495.6800000000003"/>
    <m/>
    <n v="1196.5440000000003"/>
    <s v="N"/>
    <m/>
    <n v="45292"/>
    <n v="43796.32"/>
    <n v="0"/>
    <n v="0"/>
    <n v="1495.6800000000003"/>
  </r>
  <r>
    <x v="5"/>
    <s v="2 Other Operating Costs"/>
    <n v="8470305"/>
    <x v="8"/>
    <n v="435350"/>
    <x v="21"/>
    <s v="847.8470305.1.435350.000000.847001.200179"/>
    <n v="260000"/>
    <n v="146906"/>
    <n v="20510.169999999998"/>
    <m/>
    <m/>
    <n v="126395.83"/>
    <m/>
    <m/>
    <m/>
    <m/>
    <n v="126395.83"/>
    <m/>
    <n v="101116.664"/>
    <s v="N"/>
    <m/>
    <n v="146906"/>
    <n v="20510.169999999998"/>
    <n v="0"/>
    <n v="0"/>
    <n v="126395.83"/>
  </r>
  <r>
    <x v="5"/>
    <s v="2 Other Operating Costs"/>
    <n v="8470305"/>
    <x v="8"/>
    <n v="435508"/>
    <x v="33"/>
    <s v="847.8470305.1.435508.000000.847001.200179"/>
    <n v="100000"/>
    <n v="65000"/>
    <n v="38360"/>
    <n v="24110"/>
    <n v="0"/>
    <n v="2530"/>
    <m/>
    <m/>
    <m/>
    <m/>
    <n v="2530"/>
    <m/>
    <n v="3452"/>
    <s v="N"/>
    <m/>
    <n v="65000"/>
    <n v="60685"/>
    <n v="0"/>
    <n v="0"/>
    <n v="4315"/>
  </r>
  <r>
    <x v="5"/>
    <s v="2 Other Operating Costs"/>
    <n v="8470305"/>
    <x v="8"/>
    <n v="436600"/>
    <x v="34"/>
    <s v="847.8470305.1.436600.000000.847001.200179"/>
    <n v="25000"/>
    <n v="25000"/>
    <m/>
    <m/>
    <m/>
    <n v="25000"/>
    <m/>
    <m/>
    <m/>
    <m/>
    <n v="25000"/>
    <m/>
    <n v="20000"/>
    <s v="N"/>
    <m/>
    <n v="25000"/>
    <n v="0"/>
    <n v="0"/>
    <n v="0"/>
    <n v="25000"/>
  </r>
  <r>
    <x v="5"/>
    <s v="2 Other Operating Costs"/>
    <n v="8470310"/>
    <x v="9"/>
    <n v="420550"/>
    <x v="0"/>
    <s v="847.8470310.1.420550.000000.847001.200179"/>
    <n v="20000"/>
    <n v="20000"/>
    <m/>
    <m/>
    <m/>
    <n v="20000"/>
    <m/>
    <m/>
    <m/>
    <m/>
    <n v="20000"/>
    <m/>
    <n v="16000"/>
    <s v="N"/>
    <m/>
    <n v="20000"/>
    <n v="0"/>
    <n v="0"/>
    <n v="0"/>
    <n v="20000"/>
  </r>
  <r>
    <x v="5"/>
    <s v="2 Other Operating Costs"/>
    <n v="8470310"/>
    <x v="9"/>
    <n v="425510"/>
    <x v="5"/>
    <s v="847.8470310.1.425510.000000.847001.200179"/>
    <n v="15000"/>
    <n v="15000"/>
    <n v="5330"/>
    <m/>
    <m/>
    <n v="9670"/>
    <m/>
    <m/>
    <m/>
    <m/>
    <n v="9670"/>
    <m/>
    <n v="7736"/>
    <s v="N"/>
    <m/>
    <n v="15000"/>
    <n v="5330"/>
    <n v="0"/>
    <n v="0"/>
    <n v="9670"/>
  </r>
  <r>
    <x v="5"/>
    <s v="2 Other Operating Costs"/>
    <n v="8470310"/>
    <x v="9"/>
    <n v="425760"/>
    <x v="35"/>
    <s v="847.8470310.1.425760.000000.847001.200179"/>
    <n v="150000"/>
    <n v="150000"/>
    <m/>
    <m/>
    <m/>
    <n v="150000"/>
    <m/>
    <m/>
    <m/>
    <m/>
    <n v="150000"/>
    <m/>
    <n v="16000"/>
    <s v="N"/>
    <m/>
    <n v="100000"/>
    <n v="80000"/>
    <n v="0"/>
    <n v="0"/>
    <n v="20000"/>
  </r>
  <r>
    <x v="5"/>
    <s v="2 Other Operating Costs"/>
    <n v="8470310"/>
    <x v="9"/>
    <n v="425763"/>
    <x v="15"/>
    <s v="847.8470310.1.425763.000000.847001.200179"/>
    <n v="350000"/>
    <n v="350000"/>
    <n v="209189.08"/>
    <m/>
    <m/>
    <n v="140810.92000000001"/>
    <m/>
    <m/>
    <m/>
    <m/>
    <n v="140810.92000000001"/>
    <m/>
    <n v="786.62400000002242"/>
    <s v="N"/>
    <m/>
    <n v="350000"/>
    <n v="349016.72"/>
    <n v="0"/>
    <n v="0"/>
    <n v="983.28000000002794"/>
  </r>
  <r>
    <x v="5"/>
    <s v="2 Other Operating Costs"/>
    <n v="8470310"/>
    <x v="9"/>
    <n v="425770"/>
    <x v="20"/>
    <s v="847.8470310.1.425770.000000.847001.200179"/>
    <n v="210000"/>
    <n v="112188"/>
    <n v="49603.27"/>
    <m/>
    <m/>
    <n v="62584.73"/>
    <m/>
    <m/>
    <m/>
    <m/>
    <n v="62584.73"/>
    <m/>
    <n v="33834.528000000006"/>
    <s v="N"/>
    <m/>
    <n v="112188"/>
    <n v="69894.84"/>
    <n v="0"/>
    <n v="0"/>
    <n v="42293.16"/>
  </r>
  <r>
    <x v="5"/>
    <s v="2 Other Operating Costs"/>
    <n v="8470310"/>
    <x v="9"/>
    <n v="425900"/>
    <x v="7"/>
    <s v="847.8470310.1.425900.000000.847001.200179"/>
    <n v="8500"/>
    <n v="8500"/>
    <m/>
    <m/>
    <m/>
    <n v="8500"/>
    <m/>
    <m/>
    <m/>
    <m/>
    <n v="8500"/>
    <m/>
    <n v="3120"/>
    <s v="N"/>
    <m/>
    <n v="8500"/>
    <n v="4600"/>
    <n v="0"/>
    <n v="0"/>
    <n v="3900"/>
  </r>
  <r>
    <x v="5"/>
    <s v="2 Other Operating Costs"/>
    <n v="8470310"/>
    <x v="9"/>
    <n v="426610"/>
    <x v="8"/>
    <s v="847.8470310.1.426610.000000.847001.200179"/>
    <n v="9114"/>
    <n v="9114"/>
    <n v="8895.2800000000007"/>
    <m/>
    <m/>
    <n v="218.71999999999935"/>
    <m/>
    <m/>
    <m/>
    <m/>
    <n v="218.71999999999935"/>
    <m/>
    <n v="174.97599999999949"/>
    <s v="N"/>
    <m/>
    <n v="9114"/>
    <n v="8895.2800000000007"/>
    <n v="0"/>
    <n v="0"/>
    <n v="218.71999999999935"/>
  </r>
  <r>
    <x v="5"/>
    <s v="2 Other Operating Costs"/>
    <n v="8470310"/>
    <x v="9"/>
    <n v="428090"/>
    <x v="9"/>
    <s v="847.8470310.1.428090.000000.847001.200179"/>
    <n v="40000"/>
    <n v="14536"/>
    <m/>
    <m/>
    <m/>
    <n v="14536"/>
    <m/>
    <m/>
    <m/>
    <m/>
    <n v="14536"/>
    <m/>
    <n v="8988.8000000000011"/>
    <s v="N"/>
    <m/>
    <n v="14536"/>
    <n v="3300"/>
    <n v="0"/>
    <n v="0"/>
    <n v="11236"/>
  </r>
  <r>
    <x v="5"/>
    <s v="2 Other Operating Costs"/>
    <n v="8470310"/>
    <x v="9"/>
    <n v="432209"/>
    <x v="32"/>
    <s v="847.8470310.1.432209.000000.847001.200179"/>
    <n v="80000"/>
    <n v="5000"/>
    <m/>
    <m/>
    <m/>
    <n v="5000"/>
    <m/>
    <m/>
    <m/>
    <m/>
    <n v="5000"/>
    <m/>
    <n v="4000"/>
    <s v="N"/>
    <m/>
    <n v="5000"/>
    <n v="0"/>
    <n v="0"/>
    <n v="0"/>
    <n v="5000"/>
  </r>
  <r>
    <x v="5"/>
    <s v="2 Other Operating Costs"/>
    <n v="8470310"/>
    <x v="9"/>
    <n v="435350"/>
    <x v="21"/>
    <s v="847.8470310.1.435350.000000.847001.200179"/>
    <n v="182000"/>
    <n v="109482"/>
    <n v="34729.18"/>
    <m/>
    <m/>
    <n v="74752.820000000007"/>
    <m/>
    <m/>
    <m/>
    <m/>
    <n v="74752.820000000007"/>
    <m/>
    <n v="22564.231999999996"/>
    <s v="N"/>
    <m/>
    <n v="99482"/>
    <n v="71276.710000000006"/>
    <n v="0"/>
    <n v="0"/>
    <n v="28205.289999999994"/>
  </r>
  <r>
    <x v="5"/>
    <s v="2 Other Operating Costs"/>
    <n v="8470310"/>
    <x v="9"/>
    <n v="435508"/>
    <x v="33"/>
    <s v="847.8470310.1.435508.000000.847001.200179"/>
    <n v="80000"/>
    <n v="155000"/>
    <n v="31585"/>
    <n v="0"/>
    <n v="119219"/>
    <n v="4196"/>
    <m/>
    <m/>
    <m/>
    <m/>
    <n v="4196"/>
    <m/>
    <n v="492.43200000000655"/>
    <s v="N"/>
    <m/>
    <n v="155000"/>
    <n v="35165.46"/>
    <n v="0"/>
    <n v="119219"/>
    <n v="615.54000000000815"/>
  </r>
  <r>
    <x v="5"/>
    <s v="2 Other Operating Costs"/>
    <n v="8470310"/>
    <x v="9"/>
    <n v="436110"/>
    <x v="31"/>
    <s v="847.8470310.1.436110.000000.847001.200179"/>
    <n v="4000"/>
    <n v="4000"/>
    <m/>
    <m/>
    <m/>
    <n v="4000"/>
    <m/>
    <m/>
    <m/>
    <m/>
    <n v="4000"/>
    <m/>
    <n v="3200"/>
    <s v="N"/>
    <m/>
    <n v="4000"/>
    <n v="0"/>
    <n v="0"/>
    <n v="0"/>
    <n v="4000"/>
  </r>
  <r>
    <x v="5"/>
    <s v="2 Other Operating Costs"/>
    <n v="8470310"/>
    <x v="9"/>
    <n v="436600"/>
    <x v="34"/>
    <s v="847.8470310.1.436600.000000.847001.200179"/>
    <n v="5000"/>
    <n v="5000"/>
    <m/>
    <m/>
    <m/>
    <n v="5000"/>
    <m/>
    <m/>
    <m/>
    <m/>
    <n v="5000"/>
    <m/>
    <n v="4000"/>
    <s v="N"/>
    <m/>
    <n v="5000"/>
    <n v="0"/>
    <n v="0"/>
    <n v="0"/>
    <n v="5000"/>
  </r>
  <r>
    <x v="5"/>
    <s v="2 Other Operating Costs"/>
    <n v="8470315"/>
    <x v="10"/>
    <n v="420550"/>
    <x v="0"/>
    <s v="847.8470315.1.420550.000000.847001.200179"/>
    <n v="1000"/>
    <n v="1000"/>
    <m/>
    <m/>
    <m/>
    <n v="1000"/>
    <m/>
    <m/>
    <m/>
    <m/>
    <n v="1000"/>
    <m/>
    <n v="16020"/>
    <s v="N"/>
    <m/>
    <n v="20025"/>
    <n v="0"/>
    <n v="0"/>
    <n v="0"/>
    <n v="20025"/>
  </r>
  <r>
    <x v="5"/>
    <s v="2 Other Operating Costs"/>
    <n v="8470315"/>
    <x v="10"/>
    <n v="425510"/>
    <x v="5"/>
    <s v="847.8470315.1.425510.000000.847001.200179"/>
    <n v="4000"/>
    <n v="4000"/>
    <m/>
    <m/>
    <m/>
    <n v="4000"/>
    <m/>
    <m/>
    <m/>
    <m/>
    <n v="4000"/>
    <m/>
    <n v="20111.2"/>
    <s v="N"/>
    <m/>
    <n v="25139"/>
    <n v="0"/>
    <n v="0"/>
    <n v="0"/>
    <n v="25139"/>
  </r>
  <r>
    <x v="5"/>
    <s v="2 Other Operating Costs"/>
    <n v="8470315"/>
    <x v="10"/>
    <n v="425760"/>
    <x v="35"/>
    <s v="847.8470315.1.425760.000000.847001.200179"/>
    <n v="20000"/>
    <n v="20000"/>
    <n v="1496.04"/>
    <m/>
    <m/>
    <n v="18503.96"/>
    <m/>
    <m/>
    <m/>
    <m/>
    <n v="18503.96"/>
    <m/>
    <n v="0.7919999999998254"/>
    <s v="N"/>
    <m/>
    <n v="6455"/>
    <n v="6454.01"/>
    <n v="0"/>
    <n v="0"/>
    <n v="0.98999999999978172"/>
  </r>
  <r>
    <x v="5"/>
    <s v="2 Other Operating Costs"/>
    <n v="8470315"/>
    <x v="10"/>
    <n v="425763"/>
    <x v="15"/>
    <s v="847.8470315.1.425763.000000.847001.200179"/>
    <n v="180000"/>
    <n v="180000"/>
    <n v="114185.63"/>
    <m/>
    <m/>
    <n v="65814.37"/>
    <m/>
    <m/>
    <m/>
    <m/>
    <n v="65814.37"/>
    <m/>
    <n v="45239.504000000008"/>
    <s v="N"/>
    <m/>
    <n v="180000"/>
    <n v="123450.62"/>
    <n v="0"/>
    <n v="0"/>
    <n v="56549.380000000005"/>
  </r>
  <r>
    <x v="5"/>
    <s v="2 Other Operating Costs"/>
    <n v="8470315"/>
    <x v="10"/>
    <n v="425770"/>
    <x v="20"/>
    <s v="847.8470315.1.425770.000000.847001.200179"/>
    <n v="180000"/>
    <n v="97193"/>
    <n v="34541.660000000003"/>
    <m/>
    <m/>
    <n v="62651.34"/>
    <m/>
    <m/>
    <m/>
    <m/>
    <n v="62651.34"/>
    <m/>
    <n v="27883.832000000002"/>
    <s v="N"/>
    <m/>
    <n v="97193"/>
    <n v="62338.21"/>
    <n v="0"/>
    <n v="0"/>
    <n v="34854.79"/>
  </r>
  <r>
    <x v="5"/>
    <s v="2 Other Operating Costs"/>
    <n v="8470315"/>
    <x v="10"/>
    <n v="425900"/>
    <x v="7"/>
    <s v="847.8470315.1.425900.000000.847001.200179"/>
    <n v="10000"/>
    <n v="10000"/>
    <n v="8004"/>
    <m/>
    <m/>
    <n v="1996"/>
    <m/>
    <m/>
    <m/>
    <m/>
    <n v="1996"/>
    <m/>
    <n v="7196.8"/>
    <s v="N"/>
    <m/>
    <n v="17000"/>
    <n v="8004"/>
    <n v="0"/>
    <n v="0"/>
    <n v="8996"/>
  </r>
  <r>
    <x v="5"/>
    <s v="2 Other Operating Costs"/>
    <n v="8470315"/>
    <x v="10"/>
    <n v="426610"/>
    <x v="8"/>
    <s v="847.8470315.1.426610.000000.847001.200179"/>
    <n v="99576"/>
    <n v="54576"/>
    <n v="6253.28"/>
    <n v="0"/>
    <n v="0"/>
    <n v="48322.720000000001"/>
    <m/>
    <m/>
    <m/>
    <m/>
    <n v="48322.720000000001"/>
    <m/>
    <n v="6.3999999999941798E-2"/>
    <s v="N"/>
    <m/>
    <n v="7412"/>
    <n v="7411.92"/>
    <n v="0"/>
    <n v="0"/>
    <n v="7.999999999992724E-2"/>
  </r>
  <r>
    <x v="5"/>
    <s v="2 Other Operating Costs"/>
    <n v="8470315"/>
    <x v="10"/>
    <n v="428090"/>
    <x v="9"/>
    <s v="847.8470315.1.428090.000000.847001.200179"/>
    <n v="10000"/>
    <n v="2725"/>
    <m/>
    <m/>
    <m/>
    <n v="2725"/>
    <m/>
    <m/>
    <m/>
    <m/>
    <n v="2725"/>
    <m/>
    <n v="2180"/>
    <s v="N"/>
    <m/>
    <n v="2725"/>
    <n v="0"/>
    <n v="0"/>
    <n v="0"/>
    <n v="2725"/>
  </r>
  <r>
    <x v="5"/>
    <s v="2 Other Operating Costs"/>
    <n v="8470315"/>
    <x v="10"/>
    <n v="432209"/>
    <x v="32"/>
    <s v="847.8470315.1.432209.000000.847001.200179"/>
    <n v="90250"/>
    <n v="90250"/>
    <n v="35500"/>
    <n v="0"/>
    <n v="52893.919999999998"/>
    <n v="1856.0800000000017"/>
    <m/>
    <m/>
    <m/>
    <m/>
    <n v="1856.0800000000017"/>
    <m/>
    <n v="1484.8639999999987"/>
    <s v="N"/>
    <m/>
    <n v="90250"/>
    <n v="61876.12"/>
    <n v="0"/>
    <n v="26517.8"/>
    <n v="1856.0799999999981"/>
  </r>
  <r>
    <x v="5"/>
    <s v="2 Other Operating Costs"/>
    <n v="8470315"/>
    <x v="10"/>
    <n v="435350"/>
    <x v="21"/>
    <s v="847.8470315.1.435350.000000.847001.200179"/>
    <n v="38400"/>
    <n v="24647"/>
    <n v="24646.04"/>
    <m/>
    <m/>
    <n v="0.95999999999912689"/>
    <m/>
    <m/>
    <m/>
    <m/>
    <n v="0.95999999999912689"/>
    <m/>
    <n v="4929.0959999999995"/>
    <s v="N"/>
    <m/>
    <n v="38192"/>
    <n v="32030.63"/>
    <n v="0"/>
    <n v="0"/>
    <n v="6161.369999999999"/>
  </r>
  <r>
    <x v="5"/>
    <s v="2 Other Operating Costs"/>
    <n v="8470315"/>
    <x v="10"/>
    <n v="435508"/>
    <x v="33"/>
    <s v="847.8470315.1.435508.000000.847001.200179"/>
    <n v="150000"/>
    <n v="195000"/>
    <n v="124792.68"/>
    <n v="-7.2759576141834308E-12"/>
    <n v="49868.5"/>
    <n v="20338.820000000007"/>
    <m/>
    <m/>
    <m/>
    <m/>
    <n v="20338.820000000007"/>
    <m/>
    <n v="3475.8159999999916"/>
    <s v="N"/>
    <m/>
    <n v="195000"/>
    <n v="171801.95"/>
    <n v="0"/>
    <n v="18853.28"/>
    <n v="4344.7699999999895"/>
  </r>
  <r>
    <x v="5"/>
    <s v="2 Other Operating Costs"/>
    <n v="8470315"/>
    <x v="10"/>
    <n v="436110"/>
    <x v="31"/>
    <s v="847.8470315.1.436110.000000.847001.200179"/>
    <n v="2000"/>
    <n v="2000"/>
    <m/>
    <m/>
    <m/>
    <n v="2000"/>
    <m/>
    <m/>
    <m/>
    <m/>
    <n v="2000"/>
    <m/>
    <n v="1600"/>
    <s v="N"/>
    <m/>
    <n v="2000"/>
    <n v="0"/>
    <n v="0"/>
    <n v="0"/>
    <n v="2000"/>
  </r>
  <r>
    <x v="5"/>
    <s v="2 Other Operating Costs"/>
    <n v="8470315"/>
    <x v="10"/>
    <n v="436600"/>
    <x v="34"/>
    <s v="847.8470315.1.436600.000000.847001.200179"/>
    <n v="3000"/>
    <n v="3000"/>
    <m/>
    <m/>
    <m/>
    <n v="3000"/>
    <m/>
    <m/>
    <m/>
    <m/>
    <n v="3000"/>
    <m/>
    <n v="2400"/>
    <s v="N"/>
    <m/>
    <n v="3000"/>
    <n v="0"/>
    <n v="0"/>
    <n v="0"/>
    <n v="3000"/>
  </r>
  <r>
    <x v="5"/>
    <s v="2 Other Operating Costs"/>
    <n v="8470320"/>
    <x v="11"/>
    <n v="420550"/>
    <x v="0"/>
    <s v="847.8470320.1.420550.000000.847001.200179"/>
    <n v="20000"/>
    <n v="20000"/>
    <m/>
    <m/>
    <m/>
    <n v="20000"/>
    <m/>
    <m/>
    <m/>
    <m/>
    <n v="20000"/>
    <m/>
    <n v="16000"/>
    <s v="N"/>
    <m/>
    <n v="20000"/>
    <n v="0"/>
    <n v="0"/>
    <n v="0"/>
    <n v="20000"/>
  </r>
  <r>
    <x v="5"/>
    <s v="2 Other Operating Costs"/>
    <n v="8470320"/>
    <x v="11"/>
    <n v="425510"/>
    <x v="5"/>
    <s v="847.8470320.1.425510.000000.847001.200179"/>
    <n v="30000"/>
    <n v="30000"/>
    <m/>
    <m/>
    <m/>
    <n v="30000"/>
    <m/>
    <m/>
    <m/>
    <m/>
    <n v="30000"/>
    <m/>
    <n v="15402.647999999999"/>
    <s v="N"/>
    <m/>
    <n v="30000"/>
    <n v="10746.69"/>
    <n v="0"/>
    <n v="0"/>
    <n v="19253.309999999998"/>
  </r>
  <r>
    <x v="5"/>
    <s v="2 Other Operating Costs"/>
    <n v="8470320"/>
    <x v="11"/>
    <n v="425760"/>
    <x v="35"/>
    <s v="847.8470320.1.425760.000000.847001.200179"/>
    <n v="25000"/>
    <n v="25000"/>
    <m/>
    <m/>
    <m/>
    <n v="25000"/>
    <m/>
    <m/>
    <m/>
    <m/>
    <n v="25000"/>
    <m/>
    <n v="20000"/>
    <s v="N"/>
    <m/>
    <n v="25000"/>
    <n v="0"/>
    <n v="0"/>
    <n v="0"/>
    <n v="25000"/>
  </r>
  <r>
    <x v="5"/>
    <s v="2 Other Operating Costs"/>
    <n v="8470320"/>
    <x v="11"/>
    <n v="425763"/>
    <x v="15"/>
    <s v="847.8470320.1.425763.000000.847001.200179"/>
    <n v="100000"/>
    <n v="100000"/>
    <n v="65000"/>
    <n v="0"/>
    <n v="1226.5"/>
    <n v="33773.5"/>
    <m/>
    <m/>
    <m/>
    <m/>
    <n v="33773.5"/>
    <m/>
    <n v="27018.800000000003"/>
    <s v="N"/>
    <m/>
    <n v="100000"/>
    <n v="66226.5"/>
    <n v="0"/>
    <n v="0"/>
    <n v="33773.5"/>
  </r>
  <r>
    <x v="5"/>
    <s v="2 Other Operating Costs"/>
    <n v="8470320"/>
    <x v="11"/>
    <n v="425770"/>
    <x v="20"/>
    <s v="847.8470320.1.425770.000000.847001.200179"/>
    <n v="450000"/>
    <n v="237519"/>
    <n v="101100.4"/>
    <m/>
    <m/>
    <n v="136418.6"/>
    <m/>
    <m/>
    <m/>
    <m/>
    <n v="136418.6"/>
    <m/>
    <n v="47876.743999999999"/>
    <s v="N"/>
    <m/>
    <n v="237519"/>
    <n v="177673.07"/>
    <n v="0"/>
    <n v="0"/>
    <n v="59845.929999999993"/>
  </r>
  <r>
    <x v="5"/>
    <s v="2 Other Operating Costs"/>
    <n v="8470320"/>
    <x v="11"/>
    <n v="425900"/>
    <x v="7"/>
    <s v="847.8470320.1.425900.000000.847001.200179"/>
    <n v="20000"/>
    <n v="20000"/>
    <n v="4750"/>
    <m/>
    <m/>
    <n v="15250"/>
    <m/>
    <m/>
    <m/>
    <m/>
    <n v="15250"/>
    <m/>
    <n v="12200"/>
    <s v="N"/>
    <m/>
    <n v="20000"/>
    <n v="4750"/>
    <n v="0"/>
    <n v="0"/>
    <n v="15250"/>
  </r>
  <r>
    <x v="5"/>
    <s v="2 Other Operating Costs"/>
    <n v="8470320"/>
    <x v="11"/>
    <n v="426610"/>
    <x v="8"/>
    <s v="847.8470320.1.426610.000000.847001.200179"/>
    <n v="75000"/>
    <n v="75000"/>
    <n v="60384.12"/>
    <n v="-2.7284841053187799E-12"/>
    <n v="9.0949470177292804E-13"/>
    <n v="14615.880000000001"/>
    <m/>
    <m/>
    <m/>
    <m/>
    <n v="14615.880000000001"/>
    <m/>
    <n v="11692.703999999998"/>
    <s v="N"/>
    <m/>
    <n v="75000"/>
    <n v="60384.12"/>
    <n v="0"/>
    <n v="0"/>
    <n v="14615.879999999997"/>
  </r>
  <r>
    <x v="5"/>
    <s v="2 Other Operating Costs"/>
    <n v="8470320"/>
    <x v="11"/>
    <n v="428090"/>
    <x v="9"/>
    <s v="847.8470320.1.428090.000000.847001.200179"/>
    <n v="35000"/>
    <n v="10401"/>
    <n v="10400"/>
    <m/>
    <m/>
    <n v="1"/>
    <m/>
    <m/>
    <m/>
    <m/>
    <n v="1"/>
    <m/>
    <n v="0.8"/>
    <s v="N"/>
    <m/>
    <n v="10401"/>
    <n v="10400"/>
    <n v="0"/>
    <n v="0"/>
    <n v="1"/>
  </r>
  <r>
    <x v="5"/>
    <s v="2 Other Operating Costs"/>
    <n v="8470320"/>
    <x v="11"/>
    <n v="435350"/>
    <x v="21"/>
    <s v="847.8470320.1.435350.000000.847001.200179"/>
    <n v="50000"/>
    <n v="29251"/>
    <n v="22245.54"/>
    <m/>
    <m/>
    <n v="7005.4599999999991"/>
    <m/>
    <m/>
    <m/>
    <m/>
    <n v="7005.4599999999991"/>
    <m/>
    <n v="5604.3679999999995"/>
    <s v="N"/>
    <m/>
    <n v="29251"/>
    <n v="22245.54"/>
    <n v="0"/>
    <n v="0"/>
    <n v="7005.4599999999991"/>
  </r>
  <r>
    <x v="5"/>
    <s v="2 Other Operating Costs"/>
    <n v="8470320"/>
    <x v="11"/>
    <n v="435508"/>
    <x v="33"/>
    <s v="847.8470320.1.435508.000000.847001.200179"/>
    <n v="200000"/>
    <n v="212131"/>
    <m/>
    <n v="0"/>
    <n v="196528.7"/>
    <n v="15602.299999999988"/>
    <m/>
    <m/>
    <m/>
    <m/>
    <n v="15602.299999999988"/>
    <m/>
    <n v="12481.839999999993"/>
    <s v="N"/>
    <m/>
    <n v="212131"/>
    <n v="194915"/>
    <n v="0"/>
    <n v="1613.70000000001"/>
    <n v="15602.29999999999"/>
  </r>
  <r>
    <x v="5"/>
    <s v="2 Other Operating Costs"/>
    <n v="8470320"/>
    <x v="11"/>
    <n v="436110"/>
    <x v="31"/>
    <s v="847.8470320.1.436110.000000.847001.200179"/>
    <n v="35000"/>
    <n v="35000"/>
    <n v="9881.9"/>
    <m/>
    <m/>
    <n v="25118.1"/>
    <m/>
    <m/>
    <m/>
    <m/>
    <n v="25118.1"/>
    <m/>
    <n v="11990.696"/>
    <s v="N"/>
    <m/>
    <n v="35000"/>
    <n v="20011.63"/>
    <n v="0"/>
    <n v="0"/>
    <n v="14988.369999999999"/>
  </r>
  <r>
    <x v="5"/>
    <s v="2 Other Operating Costs"/>
    <n v="8470320"/>
    <x v="11"/>
    <n v="436600"/>
    <x v="34"/>
    <s v="847.8470320.1.436600.000000.847001.200179"/>
    <n v="45000"/>
    <n v="45000"/>
    <n v="12485"/>
    <m/>
    <m/>
    <n v="32515"/>
    <m/>
    <m/>
    <m/>
    <m/>
    <n v="32515"/>
    <m/>
    <n v="26012"/>
    <s v="N"/>
    <m/>
    <n v="45000"/>
    <n v="12485"/>
    <n v="0"/>
    <n v="0"/>
    <n v="32515"/>
  </r>
  <r>
    <x v="5"/>
    <s v="2 Other Operating Costs"/>
    <n v="8470325"/>
    <x v="12"/>
    <n v="420550"/>
    <x v="0"/>
    <s v="847.8470325.1.420550.000000.847001.200179"/>
    <n v="4000"/>
    <n v="4000"/>
    <m/>
    <m/>
    <m/>
    <n v="4000"/>
    <m/>
    <m/>
    <m/>
    <m/>
    <n v="4000"/>
    <m/>
    <n v="3200"/>
    <s v="N"/>
    <m/>
    <n v="4000"/>
    <n v="0"/>
    <n v="0"/>
    <n v="0"/>
    <n v="4000"/>
  </r>
  <r>
    <x v="5"/>
    <s v="2 Other Operating Costs"/>
    <n v="8470325"/>
    <x v="12"/>
    <n v="425510"/>
    <x v="5"/>
    <s v="847.8470325.1.425510.000000.847001.200179"/>
    <n v="6600"/>
    <n v="6600"/>
    <n v="2550"/>
    <m/>
    <m/>
    <n v="4050"/>
    <m/>
    <m/>
    <m/>
    <m/>
    <n v="4050"/>
    <m/>
    <n v="240"/>
    <s v="N"/>
    <m/>
    <n v="6600"/>
    <n v="6300"/>
    <n v="0"/>
    <n v="0"/>
    <n v="300"/>
  </r>
  <r>
    <x v="5"/>
    <s v="2 Other Operating Costs"/>
    <n v="8470325"/>
    <x v="12"/>
    <n v="425760"/>
    <x v="35"/>
    <s v="847.8470325.1.425760.000000.847001.200179"/>
    <n v="5000"/>
    <n v="5000"/>
    <m/>
    <m/>
    <m/>
    <n v="5000"/>
    <m/>
    <m/>
    <m/>
    <m/>
    <n v="5000"/>
    <m/>
    <n v="4000"/>
    <s v="N"/>
    <m/>
    <n v="5000"/>
    <n v="0"/>
    <n v="0"/>
    <n v="0"/>
    <n v="5000"/>
  </r>
  <r>
    <x v="5"/>
    <s v="2 Other Operating Costs"/>
    <n v="8470325"/>
    <x v="12"/>
    <n v="425763"/>
    <x v="15"/>
    <s v="847.8470325.1.425763.000000.847001.200179"/>
    <n v="370000"/>
    <n v="370000"/>
    <n v="204324.33"/>
    <m/>
    <m/>
    <n v="165675.67000000001"/>
    <m/>
    <m/>
    <m/>
    <m/>
    <n v="165675.67000000001"/>
    <m/>
    <n v="92540.536000000022"/>
    <s v="N"/>
    <m/>
    <n v="370000"/>
    <n v="254324.33"/>
    <n v="0"/>
    <n v="0"/>
    <n v="115675.67000000001"/>
  </r>
  <r>
    <x v="5"/>
    <s v="2 Other Operating Costs"/>
    <n v="8470325"/>
    <x v="12"/>
    <n v="425770"/>
    <x v="20"/>
    <s v="847.8470325.1.425770.000000.847001.200179"/>
    <n v="165000"/>
    <n v="88156"/>
    <n v="63135.35"/>
    <m/>
    <m/>
    <n v="25020.65"/>
    <m/>
    <m/>
    <m/>
    <m/>
    <n v="25020.65"/>
    <m/>
    <n v="630.04799999999818"/>
    <s v="N"/>
    <m/>
    <n v="88156"/>
    <n v="87368.44"/>
    <n v="0"/>
    <n v="0"/>
    <n v="787.55999999999767"/>
  </r>
  <r>
    <x v="5"/>
    <s v="2 Other Operating Costs"/>
    <n v="8470325"/>
    <x v="12"/>
    <n v="426610"/>
    <x v="8"/>
    <s v="847.8470325.1.426610.000000.847001.200179"/>
    <n v="34910"/>
    <n v="34910"/>
    <n v="5509.5"/>
    <n v="0"/>
    <n v="11753.6"/>
    <n v="17646.900000000001"/>
    <m/>
    <m/>
    <m/>
    <m/>
    <n v="17646.900000000001"/>
    <m/>
    <n v="8182.0800000000008"/>
    <s v="N"/>
    <m/>
    <n v="34910"/>
    <n v="12928.8"/>
    <n v="0"/>
    <n v="11753.6"/>
    <n v="10227.6"/>
  </r>
  <r>
    <x v="5"/>
    <s v="2 Other Operating Costs"/>
    <n v="8470325"/>
    <x v="12"/>
    <n v="428090"/>
    <x v="9"/>
    <s v="847.8470325.1.428090.000000.847001.200179"/>
    <n v="30000"/>
    <n v="0"/>
    <m/>
    <m/>
    <m/>
    <n v="0"/>
    <m/>
    <m/>
    <m/>
    <m/>
    <n v="0"/>
    <m/>
    <n v="0"/>
    <s v="N"/>
    <m/>
    <n v="0"/>
    <n v="0"/>
    <n v="0"/>
    <n v="0"/>
    <n v="0"/>
  </r>
  <r>
    <x v="5"/>
    <s v="2 Other Operating Costs"/>
    <n v="8470325"/>
    <x v="12"/>
    <n v="432209"/>
    <x v="32"/>
    <s v="847.8470325.1.432209.000000.847001.200179"/>
    <n v="171550"/>
    <n v="201550"/>
    <n v="142722"/>
    <n v="-9.0949470177292808E-12"/>
    <n v="30950"/>
    <n v="27878.000000000007"/>
    <m/>
    <m/>
    <m/>
    <m/>
    <n v="27878.000000000007"/>
    <m/>
    <n v="22302.400000000001"/>
    <s v="N"/>
    <m/>
    <n v="201550"/>
    <n v="165222"/>
    <n v="0"/>
    <n v="8450"/>
    <n v="27878"/>
  </r>
  <r>
    <x v="5"/>
    <s v="2 Other Operating Costs"/>
    <n v="8470325"/>
    <x v="12"/>
    <n v="435350"/>
    <x v="21"/>
    <s v="847.8470325.1.435350.000000.847001.200179"/>
    <n v="80000"/>
    <n v="43337"/>
    <n v="15857"/>
    <m/>
    <m/>
    <n v="27480"/>
    <m/>
    <m/>
    <m/>
    <m/>
    <n v="27480"/>
    <m/>
    <n v="21984"/>
    <s v="N"/>
    <m/>
    <n v="43337"/>
    <n v="15857"/>
    <n v="0"/>
    <n v="0"/>
    <n v="27480"/>
  </r>
  <r>
    <x v="5"/>
    <s v="2 Other Operating Costs"/>
    <n v="8470325"/>
    <x v="12"/>
    <n v="435508"/>
    <x v="33"/>
    <s v="847.8470325.1.435508.000000.847001.200179"/>
    <n v="92573"/>
    <n v="92573"/>
    <n v="37796.97"/>
    <n v="0"/>
    <n v="46312.06"/>
    <n v="8463.9700000000012"/>
    <m/>
    <m/>
    <m/>
    <m/>
    <n v="8463.9700000000012"/>
    <m/>
    <n v="5611.2479999999987"/>
    <s v="N"/>
    <m/>
    <n v="92573"/>
    <n v="52728.94"/>
    <n v="0"/>
    <n v="32830"/>
    <n v="7014.0599999999977"/>
  </r>
  <r>
    <x v="5"/>
    <s v="2 Other Operating Costs"/>
    <n v="8470330"/>
    <x v="13"/>
    <n v="420550"/>
    <x v="0"/>
    <s v="847.8470330.1.420550.000000.847001.200179"/>
    <n v="3000"/>
    <n v="3000"/>
    <m/>
    <m/>
    <m/>
    <n v="3000"/>
    <m/>
    <m/>
    <m/>
    <m/>
    <n v="3000"/>
    <m/>
    <n v="2400"/>
    <s v="N"/>
    <m/>
    <n v="3000"/>
    <n v="0"/>
    <n v="0"/>
    <n v="0"/>
    <n v="3000"/>
  </r>
  <r>
    <x v="5"/>
    <s v="2 Other Operating Costs"/>
    <n v="8470330"/>
    <x v="13"/>
    <n v="425510"/>
    <x v="5"/>
    <s v="847.8470330.1.425510.000000.847001.200179"/>
    <n v="42000"/>
    <n v="42000"/>
    <n v="4400"/>
    <m/>
    <m/>
    <n v="37600"/>
    <m/>
    <m/>
    <m/>
    <m/>
    <n v="37600"/>
    <m/>
    <n v="23343.232000000004"/>
    <s v="N"/>
    <m/>
    <n v="42000"/>
    <n v="12820.96"/>
    <n v="0"/>
    <n v="0"/>
    <n v="29179.040000000001"/>
  </r>
  <r>
    <x v="5"/>
    <s v="2 Other Operating Costs"/>
    <n v="8470330"/>
    <x v="13"/>
    <n v="425760"/>
    <x v="35"/>
    <s v="847.8470330.1.425760.000000.847001.200179"/>
    <n v="72000"/>
    <n v="72000"/>
    <m/>
    <m/>
    <m/>
    <n v="72000"/>
    <m/>
    <m/>
    <m/>
    <m/>
    <n v="72000"/>
    <m/>
    <n v="33600"/>
    <s v="N"/>
    <m/>
    <n v="42000"/>
    <n v="0"/>
    <n v="0"/>
    <n v="0"/>
    <n v="42000"/>
  </r>
  <r>
    <x v="5"/>
    <s v="2 Other Operating Costs"/>
    <n v="8470330"/>
    <x v="13"/>
    <n v="425763"/>
    <x v="15"/>
    <s v="847.8470330.1.425763.000000.847001.200179"/>
    <n v="405000"/>
    <n v="405000"/>
    <n v="107000"/>
    <m/>
    <m/>
    <n v="298000"/>
    <m/>
    <m/>
    <m/>
    <m/>
    <n v="298000"/>
    <m/>
    <n v="186400"/>
    <s v="N"/>
    <m/>
    <n v="405000"/>
    <n v="172000"/>
    <n v="0"/>
    <n v="0"/>
    <n v="233000"/>
  </r>
  <r>
    <x v="5"/>
    <s v="2 Other Operating Costs"/>
    <n v="8470330"/>
    <x v="13"/>
    <n v="425770"/>
    <x v="20"/>
    <s v="847.8470330.1.425770.000000.847001.200179"/>
    <n v="650000"/>
    <n v="261686"/>
    <n v="115081.41"/>
    <m/>
    <m/>
    <n v="146604.59"/>
    <m/>
    <m/>
    <m/>
    <m/>
    <n v="146604.59"/>
    <m/>
    <n v="21000.504000000004"/>
    <s v="N"/>
    <m/>
    <n v="261686"/>
    <n v="235435.37"/>
    <n v="0"/>
    <n v="0"/>
    <n v="26250.630000000005"/>
  </r>
  <r>
    <x v="5"/>
    <s v="2 Other Operating Costs"/>
    <n v="8470330"/>
    <x v="13"/>
    <n v="425900"/>
    <x v="7"/>
    <s v="847.8470330.1.425900.000000.847001.200179"/>
    <n v="16000"/>
    <n v="16000"/>
    <n v="1390"/>
    <m/>
    <m/>
    <n v="14610"/>
    <m/>
    <m/>
    <m/>
    <m/>
    <n v="14610"/>
    <m/>
    <n v="23848"/>
    <s v="N"/>
    <m/>
    <n v="36000"/>
    <n v="6190"/>
    <n v="0"/>
    <n v="0"/>
    <n v="29810"/>
  </r>
  <r>
    <x v="5"/>
    <s v="2 Other Operating Costs"/>
    <n v="8470330"/>
    <x v="13"/>
    <n v="426610"/>
    <x v="8"/>
    <s v="847.8470330.1.426610.000000.847001.200179"/>
    <n v="720500"/>
    <n v="720500"/>
    <n v="391033.15"/>
    <n v="5.8207660913467401E-11"/>
    <n v="0"/>
    <n v="329466.84999999992"/>
    <m/>
    <m/>
    <m/>
    <m/>
    <n v="329466.84999999992"/>
    <m/>
    <n v="244925.47999999998"/>
    <s v="N"/>
    <m/>
    <n v="720500"/>
    <n v="391033.15"/>
    <n v="23310"/>
    <n v="0"/>
    <n v="306156.84999999998"/>
  </r>
  <r>
    <x v="5"/>
    <s v="2 Other Operating Costs"/>
    <n v="8470330"/>
    <x v="13"/>
    <n v="428640"/>
    <x v="11"/>
    <s v="847.8470330.1.428640.000000.847001.200179"/>
    <n v="302000"/>
    <n v="153251"/>
    <m/>
    <m/>
    <m/>
    <n v="153251"/>
    <m/>
    <m/>
    <m/>
    <m/>
    <n v="153251"/>
    <m/>
    <n v="122600.8"/>
    <s v="N"/>
    <m/>
    <n v="153251"/>
    <n v="0"/>
    <n v="0"/>
    <n v="0"/>
    <n v="153251"/>
  </r>
  <r>
    <x v="5"/>
    <s v="2 Other Operating Costs"/>
    <n v="8470330"/>
    <x v="13"/>
    <n v="432209"/>
    <x v="32"/>
    <s v="847.8470330.1.432209.000000.847001.200179"/>
    <n v="67400"/>
    <n v="67400"/>
    <m/>
    <m/>
    <m/>
    <n v="67400"/>
    <m/>
    <m/>
    <m/>
    <m/>
    <n v="67400"/>
    <m/>
    <n v="50280"/>
    <s v="N"/>
    <m/>
    <n v="67400"/>
    <n v="4550"/>
    <n v="0"/>
    <n v="0"/>
    <n v="62850"/>
  </r>
  <r>
    <x v="5"/>
    <s v="2 Other Operating Costs"/>
    <n v="8470330"/>
    <x v="13"/>
    <n v="435340"/>
    <x v="36"/>
    <s v="847.8470330.1.435340.000000.847001.200179"/>
    <n v="0"/>
    <m/>
    <n v="0"/>
    <m/>
    <m/>
    <n v="0"/>
    <m/>
    <m/>
    <m/>
    <m/>
    <n v="0"/>
    <m/>
    <n v="0"/>
    <s v="N"/>
    <m/>
    <n v="0"/>
    <n v="0"/>
    <n v="0"/>
    <n v="0"/>
    <n v="0"/>
  </r>
  <r>
    <x v="5"/>
    <s v="2 Other Operating Costs"/>
    <n v="8470330"/>
    <x v="13"/>
    <n v="435350"/>
    <x v="21"/>
    <s v="847.8470330.1.435350.000000.847001.200179"/>
    <n v="420000"/>
    <n v="240114"/>
    <n v="100558.8"/>
    <m/>
    <m/>
    <n v="139555.20000000001"/>
    <m/>
    <m/>
    <m/>
    <m/>
    <n v="139555.20000000001"/>
    <m/>
    <n v="85082.304000000004"/>
    <s v="N"/>
    <m/>
    <n v="240114"/>
    <n v="133761.12"/>
    <n v="0"/>
    <n v="0"/>
    <n v="106352.88"/>
  </r>
  <r>
    <x v="5"/>
    <s v="2 Other Operating Costs"/>
    <n v="8470330"/>
    <x v="13"/>
    <n v="435508"/>
    <x v="33"/>
    <s v="847.8470330.1.435508.000000.847001.200179"/>
    <n v="20000"/>
    <n v="20000"/>
    <m/>
    <n v="-9.0949470177292804E-13"/>
    <n v="14673.64"/>
    <n v="5326.3600000000006"/>
    <m/>
    <m/>
    <m/>
    <m/>
    <n v="5326.3600000000006"/>
    <m/>
    <n v="4261.0880000000006"/>
    <s v="N"/>
    <m/>
    <n v="20000"/>
    <n v="0"/>
    <n v="0"/>
    <n v="14673.64"/>
    <n v="5326.3600000000006"/>
  </r>
  <r>
    <x v="5"/>
    <s v="2 Other Operating Costs"/>
    <n v="8470330"/>
    <x v="13"/>
    <n v="436600"/>
    <x v="34"/>
    <s v="847.8470330.1.436600.000000.847001.200179"/>
    <n v="60000"/>
    <n v="60000"/>
    <m/>
    <m/>
    <n v="15740"/>
    <n v="44260"/>
    <m/>
    <m/>
    <m/>
    <m/>
    <n v="44260"/>
    <m/>
    <n v="35408"/>
    <s v="N"/>
    <m/>
    <n v="60000"/>
    <n v="0"/>
    <n v="0"/>
    <n v="15740"/>
    <n v="44260"/>
  </r>
  <r>
    <x v="5"/>
    <s v="2 Other Operating Costs"/>
    <n v="8470335"/>
    <x v="14"/>
    <n v="420550"/>
    <x v="0"/>
    <s v="847.8470335.1.420550.000000.847001.200179"/>
    <n v="10000"/>
    <n v="10000"/>
    <n v="7346"/>
    <m/>
    <m/>
    <n v="2654"/>
    <m/>
    <m/>
    <m/>
    <m/>
    <n v="2654"/>
    <m/>
    <n v="2123.2000000000003"/>
    <s v="N"/>
    <m/>
    <n v="10000"/>
    <n v="7346"/>
    <n v="0"/>
    <n v="0"/>
    <n v="2654"/>
  </r>
  <r>
    <x v="5"/>
    <s v="2 Other Operating Costs"/>
    <n v="8470335"/>
    <x v="14"/>
    <n v="425510"/>
    <x v="5"/>
    <s v="847.8470335.1.425510.000000.847001.200179"/>
    <n v="20000"/>
    <n v="20000"/>
    <m/>
    <m/>
    <m/>
    <n v="20000"/>
    <m/>
    <m/>
    <m/>
    <m/>
    <n v="20000"/>
    <m/>
    <n v="16000"/>
    <s v="N"/>
    <m/>
    <n v="20000"/>
    <n v="0"/>
    <n v="0"/>
    <n v="0"/>
    <n v="20000"/>
  </r>
  <r>
    <x v="5"/>
    <s v="2 Other Operating Costs"/>
    <n v="8470335"/>
    <x v="14"/>
    <n v="425760"/>
    <x v="35"/>
    <s v="847.8470335.1.425760.000000.847001.200179"/>
    <n v="10000"/>
    <n v="10000"/>
    <m/>
    <m/>
    <m/>
    <n v="10000"/>
    <m/>
    <m/>
    <m/>
    <m/>
    <n v="10000"/>
    <m/>
    <n v="8000"/>
    <s v="N"/>
    <m/>
    <n v="10000"/>
    <n v="0"/>
    <n v="0"/>
    <n v="0"/>
    <n v="10000"/>
  </r>
  <r>
    <x v="5"/>
    <s v="2 Other Operating Costs"/>
    <n v="8470335"/>
    <x v="14"/>
    <n v="425763"/>
    <x v="15"/>
    <s v="847.8470335.1.425763.000000.847001.200179"/>
    <n v="50000"/>
    <n v="50000"/>
    <n v="30000"/>
    <m/>
    <m/>
    <n v="20000"/>
    <m/>
    <m/>
    <m/>
    <m/>
    <n v="20000"/>
    <m/>
    <n v="0"/>
    <s v="N"/>
    <m/>
    <n v="50000"/>
    <n v="50000"/>
    <n v="0"/>
    <n v="0"/>
    <n v="0"/>
  </r>
  <r>
    <x v="5"/>
    <s v="2 Other Operating Costs"/>
    <n v="8470335"/>
    <x v="14"/>
    <n v="425770"/>
    <x v="20"/>
    <s v="847.8470335.1.425770.000000.847001.200179"/>
    <n v="270000"/>
    <n v="92634"/>
    <n v="69491.100000000006"/>
    <m/>
    <m/>
    <n v="23142.899999999994"/>
    <m/>
    <m/>
    <m/>
    <m/>
    <n v="23142.899999999994"/>
    <m/>
    <n v="1546.3199999999954"/>
    <s v="N"/>
    <m/>
    <n v="92634"/>
    <n v="90701.1"/>
    <n v="0"/>
    <n v="0"/>
    <n v="1932.8999999999942"/>
  </r>
  <r>
    <x v="5"/>
    <s v="2 Other Operating Costs"/>
    <n v="8470335"/>
    <x v="14"/>
    <n v="425900"/>
    <x v="7"/>
    <s v="847.8470335.1.425900.000000.847001.200179"/>
    <n v="20000"/>
    <n v="20000"/>
    <m/>
    <m/>
    <m/>
    <n v="20000"/>
    <m/>
    <m/>
    <m/>
    <m/>
    <n v="20000"/>
    <m/>
    <n v="16000"/>
    <s v="N"/>
    <m/>
    <n v="20000"/>
    <n v="0"/>
    <n v="0"/>
    <n v="0"/>
    <n v="20000"/>
  </r>
  <r>
    <x v="5"/>
    <s v="2 Other Operating Costs"/>
    <n v="8470335"/>
    <x v="14"/>
    <n v="426610"/>
    <x v="8"/>
    <s v="847.8470335.1.426610.000000.847001.200179"/>
    <n v="150257"/>
    <n v="160257"/>
    <n v="120819.09"/>
    <n v="15473.61"/>
    <n v="17672.54"/>
    <n v="6291.760000000002"/>
    <m/>
    <m/>
    <m/>
    <m/>
    <n v="6291.760000000002"/>
    <m/>
    <n v="7120.6720000000032"/>
    <s v="N"/>
    <m/>
    <n v="160257"/>
    <n v="131289.09"/>
    <n v="0"/>
    <n v="20067.07"/>
    <n v="8900.8400000000038"/>
  </r>
  <r>
    <x v="5"/>
    <s v="2 Other Operating Costs"/>
    <n v="8470335"/>
    <x v="14"/>
    <n v="428090"/>
    <x v="9"/>
    <s v="847.8470335.1.428090.000000.847001.200179"/>
    <n v="40000"/>
    <n v="5898"/>
    <m/>
    <m/>
    <m/>
    <n v="5898"/>
    <m/>
    <m/>
    <m/>
    <m/>
    <n v="5898"/>
    <m/>
    <n v="4718.4000000000005"/>
    <s v="N"/>
    <m/>
    <n v="5898"/>
    <n v="0"/>
    <n v="0"/>
    <n v="0"/>
    <n v="5898"/>
  </r>
  <r>
    <x v="5"/>
    <s v="2 Other Operating Costs"/>
    <n v="8470335"/>
    <x v="14"/>
    <n v="435350"/>
    <x v="21"/>
    <s v="847.8470335.1.435350.000000.847001.200179"/>
    <n v="51520"/>
    <n v="30484"/>
    <n v="14432.71"/>
    <m/>
    <m/>
    <n v="16051.29"/>
    <m/>
    <m/>
    <m/>
    <m/>
    <n v="16051.29"/>
    <m/>
    <n v="12841.032000000001"/>
    <s v="N"/>
    <m/>
    <n v="30484"/>
    <n v="14432.71"/>
    <n v="0"/>
    <n v="0"/>
    <n v="16051.29"/>
  </r>
  <r>
    <x v="5"/>
    <s v="2 Other Operating Costs"/>
    <n v="8470335"/>
    <x v="14"/>
    <n v="435508"/>
    <x v="33"/>
    <s v="847.8470335.1.435508.000000.847001.200179"/>
    <n v="139000"/>
    <n v="243000"/>
    <n v="230323.61"/>
    <n v="-5.4569682106375702E-12"/>
    <n v="11024.51"/>
    <n v="1651.8800000000192"/>
    <m/>
    <m/>
    <m/>
    <m/>
    <n v="1651.8800000000192"/>
    <m/>
    <n v="4121.5040000000108"/>
    <s v="N"/>
    <m/>
    <n v="246500"/>
    <n v="230323.61"/>
    <n v="0"/>
    <n v="11024.51"/>
    <n v="5151.8800000000138"/>
  </r>
  <r>
    <x v="5"/>
    <s v="2 Other Operating Costs"/>
    <n v="8470335"/>
    <x v="14"/>
    <n v="436110"/>
    <x v="31"/>
    <s v="847.8470335.1.436110.000000.847001.200179"/>
    <n v="4000"/>
    <n v="4000"/>
    <m/>
    <m/>
    <m/>
    <n v="4000"/>
    <m/>
    <m/>
    <m/>
    <m/>
    <n v="4000"/>
    <m/>
    <n v="400"/>
    <s v="N"/>
    <m/>
    <n v="500"/>
    <n v="0"/>
    <n v="0"/>
    <n v="0"/>
    <n v="500"/>
  </r>
  <r>
    <x v="5"/>
    <s v="2 Other Operating Costs"/>
    <n v="8470335"/>
    <x v="14"/>
    <n v="436600"/>
    <x v="34"/>
    <s v="847.8470335.1.436600.000000.847001.200179"/>
    <n v="12000"/>
    <n v="12000"/>
    <n v="11500"/>
    <n v="0"/>
    <n v="0"/>
    <n v="500"/>
    <m/>
    <m/>
    <m/>
    <m/>
    <n v="500"/>
    <m/>
    <n v="400"/>
    <s v="N"/>
    <m/>
    <n v="12000"/>
    <n v="11500"/>
    <n v="0"/>
    <n v="0"/>
    <n v="500"/>
  </r>
  <r>
    <x v="5"/>
    <s v="2 Other Operating Costs"/>
    <n v="8470340"/>
    <x v="15"/>
    <n v="420550"/>
    <x v="0"/>
    <s v="847.8470340.1.420550.000000.847001.200179"/>
    <n v="3000"/>
    <n v="3000"/>
    <m/>
    <m/>
    <m/>
    <n v="3000"/>
    <m/>
    <m/>
    <m/>
    <m/>
    <n v="3000"/>
    <m/>
    <n v="0"/>
    <s v="N"/>
    <m/>
    <n v="0"/>
    <n v="0"/>
    <n v="0"/>
    <n v="0"/>
    <n v="0"/>
  </r>
  <r>
    <x v="5"/>
    <s v="2 Other Operating Costs"/>
    <n v="8470340"/>
    <x v="15"/>
    <n v="425510"/>
    <x v="5"/>
    <s v="847.8470340.1.425510.000000.847001.200179"/>
    <n v="10000"/>
    <n v="10000"/>
    <m/>
    <m/>
    <m/>
    <n v="10000"/>
    <m/>
    <m/>
    <m/>
    <m/>
    <n v="10000"/>
    <m/>
    <n v="8000"/>
    <s v="N"/>
    <m/>
    <n v="10000"/>
    <n v="0"/>
    <n v="0"/>
    <n v="0"/>
    <n v="10000"/>
  </r>
  <r>
    <x v="5"/>
    <s v="2 Other Operating Costs"/>
    <n v="8470340"/>
    <x v="15"/>
    <n v="425720"/>
    <x v="37"/>
    <s v="847.8470340.1.425720.000000.847001.200179"/>
    <n v="30000"/>
    <n v="30000"/>
    <m/>
    <m/>
    <m/>
    <n v="30000"/>
    <m/>
    <m/>
    <m/>
    <m/>
    <n v="30000"/>
    <m/>
    <n v="40"/>
    <s v="N"/>
    <m/>
    <n v="30000"/>
    <n v="0"/>
    <n v="29950"/>
    <n v="0"/>
    <n v="50"/>
  </r>
  <r>
    <x v="5"/>
    <s v="2 Other Operating Costs"/>
    <n v="8470340"/>
    <x v="15"/>
    <n v="425760"/>
    <x v="35"/>
    <s v="847.8470340.1.425760.000000.847001.200179"/>
    <n v="12000"/>
    <n v="12000"/>
    <m/>
    <m/>
    <m/>
    <n v="12000"/>
    <m/>
    <m/>
    <m/>
    <m/>
    <n v="12000"/>
    <m/>
    <n v="9600"/>
    <s v="N"/>
    <m/>
    <n v="12000"/>
    <n v="0"/>
    <n v="0"/>
    <n v="0"/>
    <n v="12000"/>
  </r>
  <r>
    <x v="5"/>
    <s v="2 Other Operating Costs"/>
    <n v="8470340"/>
    <x v="15"/>
    <n v="425763"/>
    <x v="15"/>
    <s v="847.8470340.1.425763.000000.847001.200179"/>
    <n v="480000"/>
    <n v="460000"/>
    <n v="304083.32"/>
    <m/>
    <m/>
    <n v="155916.68"/>
    <m/>
    <m/>
    <m/>
    <m/>
    <n v="155916.68"/>
    <m/>
    <n v="66122.960000000006"/>
    <s v="N"/>
    <m/>
    <n v="460000"/>
    <n v="377346.3"/>
    <n v="0"/>
    <n v="0"/>
    <n v="82653.700000000012"/>
  </r>
  <r>
    <x v="5"/>
    <s v="2 Other Operating Costs"/>
    <n v="8470340"/>
    <x v="15"/>
    <n v="425770"/>
    <x v="20"/>
    <s v="847.8470340.1.425770.000000.847001.200179"/>
    <n v="630000"/>
    <n v="325724"/>
    <n v="108520.2"/>
    <m/>
    <m/>
    <n v="217203.8"/>
    <m/>
    <m/>
    <m/>
    <m/>
    <n v="217203.8"/>
    <m/>
    <n v="132465.76"/>
    <s v="N"/>
    <m/>
    <n v="325724"/>
    <n v="160141.79999999999"/>
    <n v="0"/>
    <n v="0"/>
    <n v="165582.20000000001"/>
  </r>
  <r>
    <x v="5"/>
    <s v="2 Other Operating Costs"/>
    <n v="8470340"/>
    <x v="15"/>
    <n v="425900"/>
    <x v="7"/>
    <s v="847.8470340.1.425900.000000.847001.200179"/>
    <n v="54000"/>
    <n v="54000"/>
    <n v="11997.25"/>
    <n v="8800"/>
    <n v="0"/>
    <n v="33202.75"/>
    <m/>
    <m/>
    <m/>
    <m/>
    <n v="33202.75"/>
    <m/>
    <n v="26562.2"/>
    <s v="N"/>
    <m/>
    <n v="54000"/>
    <n v="11997.25"/>
    <n v="8800"/>
    <n v="0"/>
    <n v="33202.75"/>
  </r>
  <r>
    <x v="5"/>
    <s v="2 Other Operating Costs"/>
    <n v="8470340"/>
    <x v="15"/>
    <n v="426610"/>
    <x v="8"/>
    <s v="847.8470340.1.426610.000000.847001.200179"/>
    <n v="210000"/>
    <n v="210000"/>
    <n v="149475.72"/>
    <n v="0"/>
    <n v="26251.34"/>
    <n v="34272.94"/>
    <m/>
    <m/>
    <m/>
    <m/>
    <n v="34272.94"/>
    <m/>
    <n v="7418.3520000000026"/>
    <s v="N"/>
    <m/>
    <n v="185000"/>
    <n v="175727.06"/>
    <n v="0"/>
    <n v="0"/>
    <n v="9272.9400000000023"/>
  </r>
  <r>
    <x v="5"/>
    <s v="2 Other Operating Costs"/>
    <n v="8470340"/>
    <x v="15"/>
    <n v="432209"/>
    <x v="32"/>
    <s v="847.8470340.1.432209.000000.847001.200179"/>
    <n v="80000"/>
    <n v="100000"/>
    <n v="20000"/>
    <n v="0"/>
    <n v="74500"/>
    <n v="5500"/>
    <m/>
    <m/>
    <m/>
    <m/>
    <n v="5500"/>
    <m/>
    <n v="0"/>
    <s v="N"/>
    <m/>
    <n v="94500"/>
    <n v="20000"/>
    <n v="0"/>
    <n v="74500"/>
    <n v="0"/>
  </r>
  <r>
    <x v="5"/>
    <s v="2 Other Operating Costs"/>
    <n v="8470340"/>
    <x v="15"/>
    <n v="435350"/>
    <x v="21"/>
    <s v="847.8470340.1.435350.000000.847001.200179"/>
    <n v="336000"/>
    <n v="199569"/>
    <n v="138526.07999999999"/>
    <m/>
    <m/>
    <n v="61042.920000000013"/>
    <m/>
    <m/>
    <m/>
    <m/>
    <n v="61042.920000000013"/>
    <m/>
    <n v="34053.519999999997"/>
    <s v="N"/>
    <m/>
    <n v="199569"/>
    <n v="157002.1"/>
    <n v="0"/>
    <n v="0"/>
    <n v="42566.899999999994"/>
  </r>
  <r>
    <x v="5"/>
    <s v="2 Other Operating Costs"/>
    <n v="8470340"/>
    <x v="15"/>
    <n v="435508"/>
    <x v="33"/>
    <s v="847.8470340.1.435508.000000.847001.200179"/>
    <n v="264000"/>
    <n v="264000"/>
    <n v="239114.72"/>
    <n v="0"/>
    <n v="21000"/>
    <n v="3885.2799999999988"/>
    <m/>
    <m/>
    <m/>
    <m/>
    <n v="3885.2799999999988"/>
    <m/>
    <n v="26367.96000000001"/>
    <s v="N"/>
    <m/>
    <n v="297500"/>
    <n v="243540.05"/>
    <n v="0"/>
    <n v="21000"/>
    <n v="32959.950000000012"/>
  </r>
  <r>
    <x v="5"/>
    <s v="2 Other Operating Costs"/>
    <n v="8470345"/>
    <x v="16"/>
    <n v="420550"/>
    <x v="0"/>
    <s v="847.8470345.1.420550.000000.847001.200179"/>
    <n v="20000"/>
    <n v="20000"/>
    <m/>
    <m/>
    <m/>
    <n v="20000"/>
    <m/>
    <m/>
    <m/>
    <m/>
    <n v="20000"/>
    <m/>
    <n v="16000"/>
    <s v="N"/>
    <m/>
    <n v="20000"/>
    <n v="0"/>
    <n v="0"/>
    <n v="0"/>
    <n v="20000"/>
  </r>
  <r>
    <x v="5"/>
    <s v="2 Other Operating Costs"/>
    <n v="8470345"/>
    <x v="16"/>
    <n v="425510"/>
    <x v="5"/>
    <s v="847.8470345.1.425510.000000.847001.200179"/>
    <n v="30000"/>
    <n v="29700"/>
    <n v="6485"/>
    <m/>
    <m/>
    <n v="23215"/>
    <m/>
    <m/>
    <m/>
    <m/>
    <n v="23215"/>
    <m/>
    <n v="18572"/>
    <s v="N"/>
    <m/>
    <n v="29700"/>
    <n v="6485"/>
    <n v="0"/>
    <n v="0"/>
    <n v="23215"/>
  </r>
  <r>
    <x v="5"/>
    <s v="2 Other Operating Costs"/>
    <n v="8470345"/>
    <x v="16"/>
    <n v="425760"/>
    <x v="35"/>
    <s v="847.8470345.1.425760.000000.847001.200179"/>
    <n v="120000"/>
    <n v="120000"/>
    <m/>
    <m/>
    <m/>
    <n v="120000"/>
    <m/>
    <m/>
    <m/>
    <m/>
    <n v="120000"/>
    <m/>
    <n v="76000"/>
    <s v="N"/>
    <m/>
    <n v="95000"/>
    <n v="0"/>
    <n v="0"/>
    <n v="0"/>
    <n v="95000"/>
  </r>
  <r>
    <x v="5"/>
    <s v="2 Other Operating Costs"/>
    <n v="8470345"/>
    <x v="16"/>
    <n v="425770"/>
    <x v="20"/>
    <s v="847.8470345.1.425770.000000.847001.200179"/>
    <n v="105000"/>
    <n v="54987"/>
    <n v="4972.7700000000004"/>
    <m/>
    <m/>
    <n v="50014.229999999996"/>
    <m/>
    <m/>
    <m/>
    <m/>
    <n v="50014.229999999996"/>
    <m/>
    <n v="25147.384000000002"/>
    <s v="N"/>
    <m/>
    <n v="54987"/>
    <n v="23552.77"/>
    <n v="0"/>
    <n v="0"/>
    <n v="31434.23"/>
  </r>
  <r>
    <x v="5"/>
    <s v="2 Other Operating Costs"/>
    <n v="8470345"/>
    <x v="16"/>
    <n v="425900"/>
    <x v="7"/>
    <s v="847.8470345.1.425900.000000.847001.200179"/>
    <n v="3000"/>
    <n v="3000"/>
    <m/>
    <m/>
    <m/>
    <n v="3000"/>
    <m/>
    <m/>
    <m/>
    <m/>
    <n v="3000"/>
    <m/>
    <n v="2400"/>
    <s v="N"/>
    <m/>
    <n v="3000"/>
    <n v="0"/>
    <n v="0"/>
    <n v="0"/>
    <n v="3000"/>
  </r>
  <r>
    <x v="5"/>
    <s v="2 Other Operating Costs"/>
    <n v="8470345"/>
    <x v="16"/>
    <n v="426610"/>
    <x v="8"/>
    <s v="847.8470345.1.426610.000000.847001.200179"/>
    <n v="146983"/>
    <n v="146983"/>
    <n v="33069.589999999997"/>
    <n v="0"/>
    <n v="49585.5"/>
    <n v="64327.91"/>
    <m/>
    <m/>
    <m/>
    <m/>
    <n v="64327.91"/>
    <m/>
    <n v="2658.9280000000031"/>
    <s v="N"/>
    <m/>
    <n v="146983"/>
    <n v="33069.589999999997"/>
    <n v="61004.25"/>
    <n v="49585.5"/>
    <n v="3323.6600000000035"/>
  </r>
  <r>
    <x v="5"/>
    <s v="2 Other Operating Costs"/>
    <n v="8470345"/>
    <x v="16"/>
    <n v="428090"/>
    <x v="9"/>
    <s v="847.8470345.1.428090.000000.847001.200179"/>
    <n v="44592"/>
    <n v="12617"/>
    <n v="1342.62"/>
    <m/>
    <m/>
    <n v="11274.380000000001"/>
    <m/>
    <m/>
    <m/>
    <m/>
    <n v="11274.380000000001"/>
    <m/>
    <n v="2859.5039999999995"/>
    <s v="N"/>
    <m/>
    <n v="12617"/>
    <n v="9042.6200000000008"/>
    <n v="0"/>
    <n v="0"/>
    <n v="3574.3799999999992"/>
  </r>
  <r>
    <x v="5"/>
    <s v="2 Other Operating Costs"/>
    <n v="8470345"/>
    <x v="16"/>
    <n v="435350"/>
    <x v="21"/>
    <s v="847.8470345.1.435350.000000.847001.200179"/>
    <n v="70000"/>
    <n v="38220"/>
    <n v="36455.15"/>
    <m/>
    <m/>
    <n v="1764.8499999999985"/>
    <m/>
    <m/>
    <m/>
    <m/>
    <n v="1764.8499999999985"/>
    <m/>
    <n v="8653.2960000000021"/>
    <s v="N"/>
    <m/>
    <n v="63220"/>
    <n v="52403.38"/>
    <n v="0"/>
    <n v="0"/>
    <n v="10816.620000000003"/>
  </r>
  <r>
    <x v="5"/>
    <s v="2 Other Operating Costs"/>
    <n v="8470345"/>
    <x v="16"/>
    <n v="435508"/>
    <x v="33"/>
    <s v="847.8470345.1.435508.000000.847001.200179"/>
    <n v="197477"/>
    <n v="197477"/>
    <n v="9458.35"/>
    <n v="-3.6379788070917101E-12"/>
    <n v="52884.67"/>
    <n v="135133.97999999998"/>
    <m/>
    <m/>
    <m/>
    <m/>
    <n v="135133.97999999998"/>
    <m/>
    <n v="106419.38400000002"/>
    <s v="N"/>
    <m/>
    <n v="197477"/>
    <n v="15161.93"/>
    <n v="0"/>
    <n v="49290.84"/>
    <n v="133024.23000000001"/>
  </r>
  <r>
    <x v="5"/>
    <s v="2 Other Operating Costs"/>
    <n v="8470345"/>
    <x v="16"/>
    <n v="436110"/>
    <x v="31"/>
    <s v="847.8470345.1.436110.000000.847001.200179"/>
    <n v="5742"/>
    <n v="5742"/>
    <n v="3328"/>
    <n v="0"/>
    <n v="0"/>
    <n v="2414"/>
    <m/>
    <m/>
    <m/>
    <m/>
    <n v="2414"/>
    <m/>
    <n v="1931.2"/>
    <s v="N"/>
    <m/>
    <n v="5742"/>
    <n v="3328"/>
    <n v="0"/>
    <n v="0"/>
    <n v="2414"/>
  </r>
  <r>
    <x v="5"/>
    <s v="2 Other Operating Costs"/>
    <n v="8470345"/>
    <x v="16"/>
    <n v="436600"/>
    <x v="34"/>
    <s v="847.8470345.1.436600.000000.847001.200179"/>
    <n v="9640"/>
    <n v="9640"/>
    <m/>
    <m/>
    <m/>
    <n v="9640"/>
    <m/>
    <m/>
    <m/>
    <m/>
    <n v="9640"/>
    <m/>
    <n v="7712"/>
    <s v="N"/>
    <m/>
    <n v="9640"/>
    <n v="0"/>
    <n v="0"/>
    <n v="0"/>
    <n v="9640"/>
  </r>
  <r>
    <x v="5"/>
    <s v="2 Other Operating Costs"/>
    <n v="8470350"/>
    <x v="17"/>
    <n v="425510"/>
    <x v="5"/>
    <s v="847.8470350.1.425510.000000.847001.200179"/>
    <n v="16000"/>
    <n v="16000"/>
    <n v="8414.2199999999993"/>
    <m/>
    <m/>
    <n v="7585.7800000000007"/>
    <m/>
    <m/>
    <m/>
    <m/>
    <n v="7585.7800000000007"/>
    <m/>
    <n v="8547.0240000000013"/>
    <s v="N"/>
    <m/>
    <n v="19448"/>
    <n v="8764.2199999999993"/>
    <n v="0"/>
    <n v="0"/>
    <n v="10683.78"/>
  </r>
  <r>
    <x v="5"/>
    <s v="2 Other Operating Costs"/>
    <n v="8470350"/>
    <x v="17"/>
    <n v="425760"/>
    <x v="35"/>
    <s v="847.8470350.1.425760.000000.847001.200179"/>
    <n v="25000"/>
    <n v="25000"/>
    <n v="682"/>
    <m/>
    <m/>
    <n v="24318"/>
    <m/>
    <m/>
    <m/>
    <m/>
    <n v="24318"/>
    <m/>
    <n v="19454.400000000001"/>
    <s v="N"/>
    <m/>
    <n v="25000"/>
    <n v="682"/>
    <n v="0"/>
    <n v="0"/>
    <n v="24318"/>
  </r>
  <r>
    <x v="5"/>
    <s v="2 Other Operating Costs"/>
    <n v="8470350"/>
    <x v="17"/>
    <n v="425763"/>
    <x v="15"/>
    <s v="847.8470350.1.425763.000000.847001.200179"/>
    <n v="30000"/>
    <n v="30000"/>
    <m/>
    <m/>
    <m/>
    <n v="30000"/>
    <m/>
    <m/>
    <m/>
    <m/>
    <n v="30000"/>
    <m/>
    <n v="0"/>
    <s v="N"/>
    <m/>
    <n v="0"/>
    <n v="0"/>
    <n v="0"/>
    <n v="0"/>
    <n v="0"/>
  </r>
  <r>
    <x v="5"/>
    <s v="2 Other Operating Costs"/>
    <n v="8470350"/>
    <x v="17"/>
    <n v="425770"/>
    <x v="20"/>
    <s v="847.8470350.1.425770.000000.847001.200179"/>
    <n v="150000"/>
    <n v="93739"/>
    <n v="52293.79"/>
    <m/>
    <m/>
    <n v="41445.21"/>
    <m/>
    <m/>
    <m/>
    <m/>
    <n v="41445.21"/>
    <m/>
    <n v="13432.592000000004"/>
    <s v="N"/>
    <m/>
    <n v="93739"/>
    <n v="76948.259999999995"/>
    <n v="0"/>
    <n v="0"/>
    <n v="16790.740000000005"/>
  </r>
  <r>
    <x v="5"/>
    <s v="2 Other Operating Costs"/>
    <n v="8470350"/>
    <x v="17"/>
    <n v="425900"/>
    <x v="7"/>
    <s v="847.8470350.1.425900.000000.847001.200179"/>
    <n v="8500"/>
    <n v="8500"/>
    <n v="2200"/>
    <m/>
    <m/>
    <n v="6300"/>
    <m/>
    <m/>
    <m/>
    <m/>
    <n v="6300"/>
    <m/>
    <n v="4240.5039999999999"/>
    <s v="N"/>
    <m/>
    <n v="8500"/>
    <n v="3199.37"/>
    <n v="0"/>
    <n v="0"/>
    <n v="5300.63"/>
  </r>
  <r>
    <x v="5"/>
    <s v="2 Other Operating Costs"/>
    <n v="8470350"/>
    <x v="17"/>
    <n v="426610"/>
    <x v="8"/>
    <s v="847.8470350.1.426610.000000.847001.200179"/>
    <n v="210200"/>
    <n v="210200"/>
    <n v="199954.87"/>
    <n v="0"/>
    <n v="-2.91038304567337E-11"/>
    <n v="10245.130000000034"/>
    <m/>
    <m/>
    <m/>
    <m/>
    <n v="10245.130000000034"/>
    <m/>
    <n v="8196.1040000000048"/>
    <s v="N"/>
    <m/>
    <n v="210200"/>
    <n v="199954.87"/>
    <n v="0"/>
    <n v="0"/>
    <n v="10245.130000000005"/>
  </r>
  <r>
    <x v="5"/>
    <s v="2 Other Operating Costs"/>
    <n v="8470350"/>
    <x v="17"/>
    <n v="432209"/>
    <x v="32"/>
    <s v="847.8470350.1.432209.000000.847001.200179"/>
    <n v="305000"/>
    <n v="305000"/>
    <n v="15432"/>
    <n v="0"/>
    <n v="135365.45000000001"/>
    <n v="154202.54999999999"/>
    <m/>
    <m/>
    <m/>
    <m/>
    <n v="154202.54999999999"/>
    <m/>
    <n v="9748.8000000000011"/>
    <s v="N"/>
    <m/>
    <n v="305000"/>
    <n v="80402"/>
    <n v="0"/>
    <n v="212412"/>
    <n v="12186"/>
  </r>
  <r>
    <x v="5"/>
    <s v="2 Other Operating Costs"/>
    <n v="8470350"/>
    <x v="17"/>
    <n v="435340"/>
    <x v="36"/>
    <s v="847.8470350.1.435340.000000.847001.200179"/>
    <n v="10000"/>
    <n v="10000"/>
    <m/>
    <m/>
    <m/>
    <n v="10000"/>
    <m/>
    <m/>
    <m/>
    <m/>
    <n v="10000"/>
    <m/>
    <n v="8000"/>
    <s v="N"/>
    <m/>
    <n v="10000"/>
    <n v="0"/>
    <n v="0"/>
    <n v="0"/>
    <n v="10000"/>
  </r>
  <r>
    <x v="5"/>
    <s v="2 Other Operating Costs"/>
    <n v="8470350"/>
    <x v="17"/>
    <n v="435350"/>
    <x v="21"/>
    <s v="847.8470350.1.435350.000000.847001.200179"/>
    <n v="50000"/>
    <n v="27086"/>
    <n v="14298.4"/>
    <m/>
    <m/>
    <n v="12787.6"/>
    <m/>
    <m/>
    <m/>
    <m/>
    <n v="12787.6"/>
    <m/>
    <n v="16750.400000000001"/>
    <s v="N"/>
    <m/>
    <n v="57086"/>
    <n v="36148"/>
    <n v="0"/>
    <n v="0"/>
    <n v="20938"/>
  </r>
  <r>
    <x v="5"/>
    <s v="2 Other Operating Costs"/>
    <n v="8470350"/>
    <x v="17"/>
    <n v="435508"/>
    <x v="33"/>
    <s v="847.8470350.1.435508.000000.847001.200179"/>
    <n v="100000"/>
    <n v="100000"/>
    <n v="16073.55"/>
    <n v="1.8189894035458601E-12"/>
    <n v="18121.38"/>
    <n v="65805.069999999992"/>
    <m/>
    <m/>
    <m/>
    <m/>
    <n v="65805.069999999992"/>
    <m/>
    <n v="37376.056000000004"/>
    <s v="N"/>
    <m/>
    <n v="100000"/>
    <n v="45924.56"/>
    <n v="0"/>
    <n v="7355.37"/>
    <n v="46720.07"/>
  </r>
  <r>
    <x v="5"/>
    <s v="2 Other Operating Costs"/>
    <n v="8470350"/>
    <x v="17"/>
    <n v="436110"/>
    <x v="31"/>
    <s v="847.8470350.1.436110.000000.847001.200179"/>
    <n v="7500"/>
    <n v="7500"/>
    <m/>
    <m/>
    <m/>
    <n v="7500"/>
    <m/>
    <m/>
    <m/>
    <m/>
    <n v="7500"/>
    <m/>
    <n v="0"/>
    <s v="N"/>
    <m/>
    <n v="0"/>
    <n v="0"/>
    <n v="0"/>
    <n v="0"/>
    <n v="0"/>
  </r>
  <r>
    <x v="5"/>
    <s v="2 Other Operating Costs"/>
    <n v="8470350"/>
    <x v="17"/>
    <n v="436600"/>
    <x v="34"/>
    <s v="847.8470350.1.436600.000000.847001.200179"/>
    <n v="60000"/>
    <n v="60000"/>
    <n v="6600"/>
    <n v="0"/>
    <n v="27500"/>
    <n v="25900"/>
    <m/>
    <m/>
    <m/>
    <m/>
    <n v="25900"/>
    <m/>
    <n v="1140"/>
    <s v="N"/>
    <m/>
    <n v="64052"/>
    <n v="43500"/>
    <n v="19127"/>
    <n v="0"/>
    <n v="1425"/>
  </r>
  <r>
    <x v="6"/>
    <s v="2 Other Operating Costs"/>
    <n v="8470405"/>
    <x v="18"/>
    <n v="420550"/>
    <x v="0"/>
    <s v="847.8470405.1.420550.000000.847001.200179"/>
    <n v="0"/>
    <n v="65692"/>
    <n v="64718.46"/>
    <m/>
    <m/>
    <n v="973.54000000000087"/>
    <m/>
    <m/>
    <m/>
    <m/>
    <n v="973.54000000000087"/>
    <m/>
    <n v="778.83200000000079"/>
    <s v="N"/>
    <m/>
    <n v="65692"/>
    <n v="64718.46"/>
    <n v="0"/>
    <n v="0"/>
    <n v="973.54000000000087"/>
  </r>
  <r>
    <x v="6"/>
    <s v="2 Other Operating Costs"/>
    <n v="8470405"/>
    <x v="18"/>
    <n v="421700"/>
    <x v="4"/>
    <s v="847.8470405.1.421700.000000.847001.200179"/>
    <n v="560000"/>
    <n v="500308"/>
    <n v="118354.26"/>
    <m/>
    <m/>
    <n v="381953.74"/>
    <m/>
    <m/>
    <m/>
    <m/>
    <n v="381953.74"/>
    <m/>
    <n v="305562.99200000003"/>
    <s v="N"/>
    <m/>
    <n v="500308"/>
    <n v="118354.26"/>
    <n v="0"/>
    <n v="0"/>
    <n v="381953.74"/>
  </r>
  <r>
    <x v="6"/>
    <s v="2 Other Operating Costs"/>
    <n v="8470405"/>
    <x v="18"/>
    <n v="425510"/>
    <x v="5"/>
    <s v="847.8470405.1.425510.000000.847001.200179"/>
    <n v="15000"/>
    <n v="15000"/>
    <n v="22341.9"/>
    <m/>
    <m/>
    <n v="-7341.9000000000015"/>
    <m/>
    <m/>
    <m/>
    <m/>
    <n v="-7341.9000000000015"/>
    <m/>
    <n v="-5873.5200000000013"/>
    <s v="N"/>
    <m/>
    <n v="15000"/>
    <n v="22341.9"/>
    <n v="0"/>
    <n v="0"/>
    <n v="-7341.9000000000015"/>
  </r>
  <r>
    <x v="6"/>
    <s v="2 Other Operating Costs"/>
    <n v="8470405"/>
    <x v="18"/>
    <n v="425550"/>
    <x v="6"/>
    <s v="847.8470405.1.425550.000000.847001.200179"/>
    <n v="15000"/>
    <n v="15000"/>
    <n v="13957.9"/>
    <m/>
    <m/>
    <n v="1042.1000000000004"/>
    <m/>
    <m/>
    <m/>
    <m/>
    <n v="1042.1000000000004"/>
    <m/>
    <n v="833.67999999999893"/>
    <s v="N"/>
    <m/>
    <n v="19800"/>
    <n v="18757.900000000001"/>
    <n v="0"/>
    <n v="0"/>
    <n v="1042.0999999999985"/>
  </r>
  <r>
    <x v="6"/>
    <s v="2 Other Operating Costs"/>
    <n v="8470405"/>
    <x v="18"/>
    <n v="425770"/>
    <x v="20"/>
    <s v="847.8470405.1.425770.000000.847001.200179"/>
    <n v="50000"/>
    <n v="32848"/>
    <n v="15471.72"/>
    <m/>
    <m/>
    <n v="17376.28"/>
    <m/>
    <m/>
    <m/>
    <m/>
    <n v="17376.28"/>
    <m/>
    <n v="1837.1440000000002"/>
    <s v="N"/>
    <m/>
    <n v="32848"/>
    <n v="30551.57"/>
    <n v="0"/>
    <n v="0"/>
    <n v="2296.4300000000003"/>
  </r>
  <r>
    <x v="6"/>
    <s v="2 Other Operating Costs"/>
    <n v="8470405"/>
    <x v="18"/>
    <n v="427710"/>
    <x v="13"/>
    <s v="847.8470405.1.427710.000000.847001.200179"/>
    <n v="12000"/>
    <n v="20175"/>
    <n v="20174.88"/>
    <m/>
    <m/>
    <n v="0.11999999999898137"/>
    <m/>
    <m/>
    <m/>
    <m/>
    <n v="0.11999999999898137"/>
    <m/>
    <n v="9.5999999999185098E-2"/>
    <s v="N"/>
    <m/>
    <n v="20175"/>
    <n v="20174.88"/>
    <n v="0"/>
    <n v="0"/>
    <n v="0.11999999999898137"/>
  </r>
  <r>
    <x v="6"/>
    <s v="2 Other Operating Costs"/>
    <n v="8470405"/>
    <x v="18"/>
    <n v="432209"/>
    <x v="32"/>
    <s v="847.8470405.1.432209.000000.847001.200179"/>
    <n v="200000"/>
    <n v="200000"/>
    <m/>
    <m/>
    <m/>
    <n v="200000"/>
    <m/>
    <m/>
    <m/>
    <m/>
    <n v="200000"/>
    <m/>
    <n v="160000"/>
    <s v="N"/>
    <m/>
    <n v="200000"/>
    <n v="0"/>
    <n v="0"/>
    <n v="0"/>
    <n v="200000"/>
  </r>
  <r>
    <x v="6"/>
    <s v="2 Other Operating Costs"/>
    <n v="8470405"/>
    <x v="18"/>
    <n v="435350"/>
    <x v="21"/>
    <s v="847.8470405.1.435350.000000.847001.200179"/>
    <n v="30000"/>
    <n v="28100"/>
    <n v="28033.25"/>
    <m/>
    <m/>
    <n v="66.75"/>
    <m/>
    <m/>
    <m/>
    <m/>
    <n v="66.75"/>
    <m/>
    <n v="53.400000000000006"/>
    <s v="N"/>
    <m/>
    <n v="28100"/>
    <n v="28033.25"/>
    <n v="0"/>
    <n v="0"/>
    <n v="66.75"/>
  </r>
  <r>
    <x v="6"/>
    <s v="2 Other Operating Costs"/>
    <n v="8470410"/>
    <x v="19"/>
    <n v="425761"/>
    <x v="29"/>
    <s v="847.8470410.1.425761.000000.847001.200179"/>
    <n v="162000"/>
    <n v="162000"/>
    <m/>
    <m/>
    <m/>
    <n v="162000"/>
    <m/>
    <m/>
    <m/>
    <m/>
    <n v="162000"/>
    <m/>
    <n v="94536"/>
    <s v="N"/>
    <m/>
    <n v="118170"/>
    <n v="0"/>
    <n v="0"/>
    <n v="0"/>
    <n v="118170"/>
  </r>
  <r>
    <x v="6"/>
    <s v="2 Other Operating Costs"/>
    <n v="8470410"/>
    <x v="19"/>
    <n v="425770"/>
    <x v="20"/>
    <s v="847.8470410.1.425770.000000.847001.200179"/>
    <n v="120000"/>
    <n v="72566"/>
    <n v="42591"/>
    <m/>
    <m/>
    <n v="29975"/>
    <m/>
    <m/>
    <m/>
    <m/>
    <n v="29975"/>
    <m/>
    <n v="29.6"/>
    <s v="N"/>
    <m/>
    <n v="72566"/>
    <n v="72529"/>
    <n v="0"/>
    <n v="0"/>
    <n v="37"/>
  </r>
  <r>
    <x v="6"/>
    <s v="2 Other Operating Costs"/>
    <n v="8470410"/>
    <x v="19"/>
    <n v="426610"/>
    <x v="8"/>
    <s v="847.8470410.1.426610.000000.847001.200179"/>
    <n v="5600"/>
    <n v="5600"/>
    <n v="1612"/>
    <m/>
    <m/>
    <n v="3988"/>
    <m/>
    <m/>
    <m/>
    <m/>
    <n v="3988"/>
    <m/>
    <n v="3190.4"/>
    <s v="N"/>
    <m/>
    <n v="5600"/>
    <n v="1612"/>
    <n v="0"/>
    <n v="0"/>
    <n v="3988"/>
  </r>
  <r>
    <x v="6"/>
    <s v="2 Other Operating Costs"/>
    <n v="8470410"/>
    <x v="19"/>
    <n v="435310"/>
    <x v="18"/>
    <s v="847.8470410.1.435310.000000.847001.200179"/>
    <n v="85229"/>
    <n v="85229"/>
    <n v="12957.33"/>
    <n v="0"/>
    <m/>
    <n v="72271.67"/>
    <m/>
    <m/>
    <m/>
    <m/>
    <n v="72271.67"/>
    <m/>
    <n v="57817.336000000003"/>
    <s v="N"/>
    <m/>
    <n v="85229"/>
    <n v="12957.33"/>
    <n v="0"/>
    <n v="0"/>
    <n v="72271.67"/>
  </r>
  <r>
    <x v="6"/>
    <s v="2 Other Operating Costs"/>
    <n v="8470410"/>
    <x v="19"/>
    <n v="435350"/>
    <x v="21"/>
    <s v="847.8470410.1.435350.000000.847001.200179"/>
    <n v="17900"/>
    <n v="10384"/>
    <n v="1500"/>
    <m/>
    <m/>
    <n v="8884"/>
    <m/>
    <m/>
    <m/>
    <m/>
    <n v="8884"/>
    <m/>
    <n v="25116.639999999999"/>
    <s v="N"/>
    <m/>
    <n v="45384"/>
    <n v="13988.2"/>
    <n v="0"/>
    <n v="0"/>
    <n v="31395.8"/>
  </r>
  <r>
    <x v="6"/>
    <s v="2 Other Operating Costs"/>
    <n v="8470415"/>
    <x v="20"/>
    <n v="421700"/>
    <x v="4"/>
    <s v="847.8470415.1.421700.000000.847001.200179"/>
    <n v="150000"/>
    <n v="150000"/>
    <m/>
    <m/>
    <m/>
    <n v="150000"/>
    <m/>
    <m/>
    <m/>
    <m/>
    <n v="150000"/>
    <m/>
    <n v="120000"/>
    <s v="N"/>
    <m/>
    <n v="150000"/>
    <n v="0"/>
    <n v="0"/>
    <n v="0"/>
    <n v="150000"/>
  </r>
  <r>
    <x v="6"/>
    <s v="2 Other Operating Costs"/>
    <n v="8470415"/>
    <x v="20"/>
    <n v="425100"/>
    <x v="14"/>
    <s v="847.8470415.1.425100.000000.847001.200179"/>
    <n v="50000"/>
    <n v="50000"/>
    <m/>
    <m/>
    <m/>
    <n v="50000"/>
    <m/>
    <m/>
    <m/>
    <m/>
    <n v="50000"/>
    <m/>
    <n v="40000"/>
    <s v="N"/>
    <m/>
    <n v="50000"/>
    <n v="0"/>
    <n v="0"/>
    <n v="0"/>
    <n v="50000"/>
  </r>
  <r>
    <x v="6"/>
    <s v="2 Other Operating Costs"/>
    <n v="8470415"/>
    <x v="20"/>
    <n v="425760"/>
    <x v="35"/>
    <s v="847.8470415.1.425760.000000.847001.200179"/>
    <n v="5000"/>
    <n v="5000"/>
    <m/>
    <m/>
    <m/>
    <n v="5000"/>
    <m/>
    <m/>
    <m/>
    <m/>
    <n v="5000"/>
    <m/>
    <n v="4000"/>
    <s v="N"/>
    <m/>
    <n v="5000"/>
    <n v="0"/>
    <n v="0"/>
    <n v="0"/>
    <n v="5000"/>
  </r>
  <r>
    <x v="6"/>
    <s v="2 Other Operating Costs"/>
    <n v="8470415"/>
    <x v="20"/>
    <n v="425763"/>
    <x v="15"/>
    <s v="847.8470415.1.425763.000000.847001.200179"/>
    <n v="80000"/>
    <n v="80000"/>
    <n v="12355"/>
    <n v="0"/>
    <n v="12430"/>
    <n v="55215"/>
    <m/>
    <m/>
    <m/>
    <m/>
    <n v="55215"/>
    <m/>
    <n v="28081.471999999998"/>
    <s v="N"/>
    <m/>
    <n v="80000"/>
    <n v="32468.16"/>
    <n v="0"/>
    <n v="12430"/>
    <n v="35101.839999999997"/>
  </r>
  <r>
    <x v="6"/>
    <s v="2 Other Operating Costs"/>
    <n v="8470415"/>
    <x v="20"/>
    <n v="425770"/>
    <x v="20"/>
    <s v="847.8470415.1.425770.000000.847001.200179"/>
    <n v="285000"/>
    <n v="246248"/>
    <n v="220962.16"/>
    <m/>
    <m/>
    <n v="25285.839999999997"/>
    <m/>
    <m/>
    <m/>
    <m/>
    <n v="25285.839999999997"/>
    <m/>
    <n v="1403.4640000000131"/>
    <s v="N"/>
    <m/>
    <n v="276248"/>
    <n v="274493.67"/>
    <n v="0"/>
    <n v="0"/>
    <n v="1754.3300000000163"/>
  </r>
  <r>
    <x v="6"/>
    <s v="2 Other Operating Costs"/>
    <n v="8470415"/>
    <x v="20"/>
    <n v="425900"/>
    <x v="7"/>
    <s v="847.8470415.1.425900.000000.847001.200179"/>
    <n v="140000"/>
    <n v="70000"/>
    <n v="7839.73"/>
    <m/>
    <m/>
    <n v="62160.270000000004"/>
    <m/>
    <m/>
    <m/>
    <m/>
    <n v="62160.270000000004"/>
    <m/>
    <n v="49728.216000000008"/>
    <s v="N"/>
    <m/>
    <n v="70000"/>
    <n v="7839.73"/>
    <n v="0"/>
    <n v="0"/>
    <n v="62160.270000000004"/>
  </r>
  <r>
    <x v="6"/>
    <s v="2 Other Operating Costs"/>
    <n v="8470415"/>
    <x v="20"/>
    <n v="426610"/>
    <x v="8"/>
    <s v="847.8470415.1.426610.000000.847001.200179"/>
    <n v="229511"/>
    <n v="229511"/>
    <n v="61384.61"/>
    <n v="0"/>
    <n v="68752.009999999995"/>
    <n v="99374.380000000019"/>
    <m/>
    <m/>
    <m/>
    <m/>
    <n v="99374.380000000019"/>
    <m/>
    <n v="55205.66399999999"/>
    <s v="N"/>
    <m/>
    <n v="199511"/>
    <n v="92696.94"/>
    <n v="0"/>
    <n v="37806.980000000003"/>
    <n v="69007.079999999987"/>
  </r>
  <r>
    <x v="6"/>
    <s v="2 Other Operating Costs"/>
    <n v="8470415"/>
    <x v="20"/>
    <n v="428640"/>
    <x v="11"/>
    <s v="847.8470415.1.428640.000000.847001.200179"/>
    <n v="15000"/>
    <n v="7612"/>
    <m/>
    <m/>
    <m/>
    <n v="7612"/>
    <m/>
    <m/>
    <m/>
    <m/>
    <n v="7612"/>
    <m/>
    <n v="6089.6"/>
    <s v="N"/>
    <m/>
    <n v="7612"/>
    <n v="0"/>
    <n v="0"/>
    <n v="0"/>
    <n v="7612"/>
  </r>
  <r>
    <x v="6"/>
    <s v="2 Other Operating Costs"/>
    <n v="8470415"/>
    <x v="20"/>
    <n v="432209"/>
    <x v="32"/>
    <s v="847.8470415.1.432209.000000.847001.200179"/>
    <n v="301000"/>
    <n v="301000"/>
    <n v="143758.60999999999"/>
    <n v="7.2759576141834308E-12"/>
    <n v="60938.1"/>
    <n v="96303.290000000008"/>
    <m/>
    <m/>
    <m/>
    <m/>
    <n v="96303.290000000008"/>
    <m/>
    <n v="77042.632000000012"/>
    <s v="N"/>
    <m/>
    <n v="301000"/>
    <n v="158539.60999999999"/>
    <n v="0"/>
    <n v="46157.1"/>
    <n v="96303.290000000008"/>
  </r>
  <r>
    <x v="6"/>
    <s v="2 Other Operating Costs"/>
    <n v="8470415"/>
    <x v="20"/>
    <n v="435350"/>
    <x v="21"/>
    <s v="847.8470415.1.435350.000000.847001.200179"/>
    <n v="70000"/>
    <n v="40275"/>
    <n v="5138"/>
    <m/>
    <m/>
    <n v="35137"/>
    <m/>
    <m/>
    <m/>
    <m/>
    <n v="35137"/>
    <m/>
    <n v="28109.600000000002"/>
    <s v="N"/>
    <m/>
    <n v="40275"/>
    <n v="5138"/>
    <n v="0"/>
    <n v="0"/>
    <n v="35137"/>
  </r>
  <r>
    <x v="6"/>
    <s v="2 Other Operating Costs"/>
    <n v="8470415"/>
    <x v="20"/>
    <n v="435508"/>
    <x v="33"/>
    <s v="847.8470415.1.435508.000000.847001.200179"/>
    <n v="525000"/>
    <n v="525000"/>
    <n v="182253.07"/>
    <n v="49714.35"/>
    <n v="156367.39000000001"/>
    <n v="136665.19"/>
    <m/>
    <m/>
    <m/>
    <m/>
    <n v="136665.19"/>
    <m/>
    <n v="75796.64800000003"/>
    <s v="N"/>
    <m/>
    <n v="525000"/>
    <n v="248519.05"/>
    <n v="36437.269999999997"/>
    <n v="145297.87"/>
    <n v="94745.810000000027"/>
  </r>
  <r>
    <x v="6"/>
    <s v="2 Other Operating Costs"/>
    <n v="8470415"/>
    <x v="20"/>
    <n v="435519"/>
    <x v="19"/>
    <s v="847.8470415.1.435519.000000.847001.200179"/>
    <n v="20000"/>
    <n v="20000"/>
    <m/>
    <m/>
    <m/>
    <n v="20000"/>
    <m/>
    <m/>
    <m/>
    <m/>
    <n v="20000"/>
    <m/>
    <n v="16000"/>
    <s v="N"/>
    <m/>
    <n v="20000"/>
    <n v="0"/>
    <n v="0"/>
    <n v="0"/>
    <n v="20000"/>
  </r>
  <r>
    <x v="6"/>
    <s v="2 Other Operating Costs"/>
    <n v="8470425"/>
    <x v="21"/>
    <n v="425510"/>
    <x v="5"/>
    <s v="847.8470425.1.425510.000000.847001.200179"/>
    <n v="45000"/>
    <n v="45000"/>
    <m/>
    <m/>
    <m/>
    <n v="45000"/>
    <m/>
    <m/>
    <m/>
    <m/>
    <n v="45000"/>
    <m/>
    <n v="36000"/>
    <s v="N"/>
    <m/>
    <n v="45000"/>
    <n v="0"/>
    <n v="0"/>
    <n v="0"/>
    <n v="45000"/>
  </r>
  <r>
    <x v="6"/>
    <s v="2 Other Operating Costs"/>
    <n v="8470425"/>
    <x v="21"/>
    <n v="425550"/>
    <x v="6"/>
    <s v="847.8470425.1.425550.000000.847001.200179"/>
    <n v="225000"/>
    <n v="225000"/>
    <n v="10515.17"/>
    <m/>
    <m/>
    <n v="214484.83"/>
    <m/>
    <m/>
    <m/>
    <m/>
    <n v="214484.83"/>
    <m/>
    <n v="138651.86400000003"/>
    <s v="N"/>
    <m/>
    <n v="225000"/>
    <n v="51685.17"/>
    <n v="0"/>
    <n v="0"/>
    <n v="173314.83000000002"/>
  </r>
  <r>
    <x v="6"/>
    <s v="2 Other Operating Costs"/>
    <n v="8470425"/>
    <x v="21"/>
    <n v="425770"/>
    <x v="20"/>
    <s v="847.8470425.1.425770.000000.847001.200179"/>
    <n v="60000"/>
    <n v="39943"/>
    <n v="39895"/>
    <m/>
    <m/>
    <n v="48"/>
    <m/>
    <m/>
    <m/>
    <m/>
    <n v="48"/>
    <m/>
    <n v="38.400000000000006"/>
    <s v="N"/>
    <m/>
    <n v="39943"/>
    <n v="39895"/>
    <n v="0"/>
    <n v="0"/>
    <n v="48"/>
  </r>
  <r>
    <x v="6"/>
    <s v="2 Other Operating Costs"/>
    <n v="8470425"/>
    <x v="21"/>
    <n v="425900"/>
    <x v="7"/>
    <s v="847.8470425.1.425900.000000.847001.200179"/>
    <n v="10116"/>
    <n v="10116"/>
    <n v="1823"/>
    <m/>
    <m/>
    <n v="8293"/>
    <m/>
    <m/>
    <m/>
    <m/>
    <n v="8293"/>
    <m/>
    <n v="6634.4000000000005"/>
    <s v="N"/>
    <m/>
    <n v="10116"/>
    <n v="1823"/>
    <n v="0"/>
    <n v="0"/>
    <n v="8293"/>
  </r>
  <r>
    <x v="6"/>
    <s v="2 Other Operating Costs"/>
    <n v="8470425"/>
    <x v="21"/>
    <n v="426610"/>
    <x v="8"/>
    <s v="847.8470425.1.426610.000000.847001.200179"/>
    <n v="212000"/>
    <n v="212000"/>
    <n v="22497.13"/>
    <n v="0"/>
    <n v="0"/>
    <n v="189502.87"/>
    <m/>
    <m/>
    <m/>
    <m/>
    <n v="189502.87"/>
    <m/>
    <n v="76638.296000000002"/>
    <s v="N"/>
    <m/>
    <n v="118295"/>
    <n v="22497.13"/>
    <n v="0"/>
    <n v="0"/>
    <n v="95797.87"/>
  </r>
  <r>
    <x v="6"/>
    <s v="2 Other Operating Costs"/>
    <n v="8470425"/>
    <x v="21"/>
    <n v="428090"/>
    <x v="9"/>
    <s v="847.8470425.1.428090.000000.847001.200179"/>
    <n v="128000"/>
    <n v="34875"/>
    <n v="6445"/>
    <m/>
    <m/>
    <n v="28430"/>
    <m/>
    <m/>
    <m/>
    <m/>
    <n v="28430"/>
    <m/>
    <n v="22744"/>
    <s v="N"/>
    <m/>
    <n v="34875"/>
    <n v="6445"/>
    <n v="0"/>
    <n v="0"/>
    <n v="28430"/>
  </r>
  <r>
    <x v="6"/>
    <s v="2 Other Operating Costs"/>
    <n v="8470425"/>
    <x v="21"/>
    <n v="435350"/>
    <x v="21"/>
    <s v="847.8470425.1.435350.000000.847001.200179"/>
    <n v="120000"/>
    <n v="84748"/>
    <n v="52961.14"/>
    <m/>
    <m/>
    <n v="31786.86"/>
    <m/>
    <m/>
    <m/>
    <m/>
    <n v="31786.86"/>
    <m/>
    <n v="8635.735999999999"/>
    <s v="N"/>
    <m/>
    <n v="84748"/>
    <n v="73953.33"/>
    <n v="0"/>
    <n v="0"/>
    <n v="10794.669999999998"/>
  </r>
  <r>
    <x v="6"/>
    <s v="2 Other Operating Costs"/>
    <n v="8470425"/>
    <x v="21"/>
    <n v="435508"/>
    <x v="33"/>
    <s v="847.8470425.1.435508.000000.847001.200179"/>
    <n v="551566"/>
    <n v="551566"/>
    <n v="122680"/>
    <n v="0"/>
    <n v="29995"/>
    <n v="398891"/>
    <m/>
    <m/>
    <m/>
    <m/>
    <n v="398891"/>
    <m/>
    <n v="283773.65600000002"/>
    <s v="N"/>
    <m/>
    <n v="551566"/>
    <n v="166853.93"/>
    <n v="0"/>
    <n v="29995"/>
    <n v="354717.07"/>
  </r>
  <r>
    <x v="6"/>
    <s v="2 Other Operating Costs"/>
    <n v="8470430"/>
    <x v="22"/>
    <n v="425761"/>
    <x v="29"/>
    <s v="847.8470430.1.425761.000000.847001.200179"/>
    <n v="8500"/>
    <n v="8500"/>
    <m/>
    <m/>
    <m/>
    <n v="8500"/>
    <m/>
    <m/>
    <m/>
    <m/>
    <n v="8500"/>
    <m/>
    <n v="6800"/>
    <s v="N"/>
    <m/>
    <n v="8500"/>
    <n v="0"/>
    <n v="0"/>
    <n v="0"/>
    <n v="8500"/>
  </r>
  <r>
    <x v="6"/>
    <s v="2 Other Operating Costs"/>
    <n v="8470430"/>
    <x v="22"/>
    <n v="425770"/>
    <x v="20"/>
    <s v="847.8470430.1.425770.000000.847001.200179"/>
    <n v="375000"/>
    <n v="189463"/>
    <n v="14690"/>
    <m/>
    <m/>
    <n v="174773"/>
    <m/>
    <m/>
    <m/>
    <m/>
    <n v="174773"/>
    <m/>
    <n v="123061.728"/>
    <s v="N"/>
    <m/>
    <n v="189463"/>
    <n v="35635.839999999997"/>
    <n v="0"/>
    <n v="0"/>
    <n v="153827.16"/>
  </r>
  <r>
    <x v="6"/>
    <s v="2 Other Operating Costs"/>
    <n v="8470430"/>
    <x v="22"/>
    <n v="425900"/>
    <x v="7"/>
    <s v="847.8470430.1.425900.000000.847001.200179"/>
    <n v="12000"/>
    <n v="12000"/>
    <m/>
    <m/>
    <m/>
    <n v="12000"/>
    <m/>
    <m/>
    <m/>
    <m/>
    <n v="12000"/>
    <m/>
    <n v="9600"/>
    <s v="N"/>
    <m/>
    <n v="12000"/>
    <n v="0"/>
    <n v="0"/>
    <n v="0"/>
    <n v="12000"/>
  </r>
  <r>
    <x v="6"/>
    <s v="2 Other Operating Costs"/>
    <n v="8470430"/>
    <x v="22"/>
    <n v="426610"/>
    <x v="8"/>
    <s v="847.8470430.1.426610.000000.847001.200179"/>
    <n v="26152"/>
    <n v="26152"/>
    <n v="7462.28"/>
    <n v="0"/>
    <n v="15518.43"/>
    <n v="3171.2900000000009"/>
    <m/>
    <m/>
    <m/>
    <m/>
    <n v="3171.2900000000009"/>
    <m/>
    <n v="2537.0320000000011"/>
    <s v="N"/>
    <m/>
    <n v="26152"/>
    <n v="49362.03"/>
    <n v="0"/>
    <n v="-26381.32"/>
    <n v="3171.2900000000009"/>
  </r>
  <r>
    <x v="6"/>
    <s v="2 Other Operating Costs"/>
    <n v="8470430"/>
    <x v="22"/>
    <n v="432209"/>
    <x v="32"/>
    <s v="847.8470430.1.432209.000000.847001.200179"/>
    <n v="0"/>
    <n v="1575"/>
    <n v="1500"/>
    <m/>
    <m/>
    <n v="75"/>
    <m/>
    <m/>
    <m/>
    <m/>
    <n v="75"/>
    <m/>
    <n v="60"/>
    <s v="N"/>
    <m/>
    <n v="1575"/>
    <n v="1500"/>
    <n v="0"/>
    <n v="0"/>
    <n v="75"/>
  </r>
  <r>
    <x v="6"/>
    <s v="2 Other Operating Costs"/>
    <n v="8470430"/>
    <x v="22"/>
    <n v="435508"/>
    <x v="33"/>
    <s v="847.8470430.1.435508.000000.847001.200179"/>
    <n v="84600"/>
    <n v="84600"/>
    <m/>
    <n v="9789.4"/>
    <m/>
    <n v="74810.600000000006"/>
    <m/>
    <m/>
    <m/>
    <m/>
    <n v="74810.600000000006"/>
    <m/>
    <n v="59848.48000000001"/>
    <s v="N"/>
    <m/>
    <n v="84600"/>
    <n v="0"/>
    <n v="0"/>
    <n v="9789.4"/>
    <n v="74810.600000000006"/>
  </r>
  <r>
    <x v="6"/>
    <s v="2 Other Operating Costs"/>
    <n v="8470435"/>
    <x v="23"/>
    <n v="425770"/>
    <x v="20"/>
    <s v="847.8470435.1.425770.000000.847001.200179"/>
    <n v="100000"/>
    <n v="62348"/>
    <n v="60121.03"/>
    <m/>
    <m/>
    <n v="2226.9700000000012"/>
    <m/>
    <m/>
    <m/>
    <m/>
    <n v="2226.9700000000012"/>
    <m/>
    <n v="188.47199999999722"/>
    <s v="N"/>
    <m/>
    <n v="82378"/>
    <n v="82142.41"/>
    <n v="0"/>
    <n v="0"/>
    <n v="235.58999999999651"/>
  </r>
  <r>
    <x v="6"/>
    <s v="2 Other Operating Costs"/>
    <n v="8470435"/>
    <x v="23"/>
    <n v="426610"/>
    <x v="8"/>
    <s v="847.8470435.1.426610.000000.847001.200179"/>
    <n v="30000"/>
    <n v="30000"/>
    <n v="1156"/>
    <n v="27950"/>
    <m/>
    <n v="894"/>
    <m/>
    <m/>
    <m/>
    <m/>
    <n v="894"/>
    <m/>
    <n v="715.2"/>
    <s v="N"/>
    <m/>
    <n v="30000"/>
    <n v="29106"/>
    <n v="0"/>
    <n v="0"/>
    <n v="894"/>
  </r>
  <r>
    <x v="6"/>
    <s v="2 Other Operating Costs"/>
    <n v="8470435"/>
    <x v="23"/>
    <n v="435340"/>
    <x v="36"/>
    <s v="847.8470435.1.435340.000000.847001.200179"/>
    <n v="35000"/>
    <n v="35000"/>
    <m/>
    <m/>
    <m/>
    <n v="35000"/>
    <m/>
    <m/>
    <m/>
    <m/>
    <n v="35000"/>
    <m/>
    <n v="15200"/>
    <s v="N"/>
    <m/>
    <n v="19000"/>
    <n v="0"/>
    <n v="0"/>
    <n v="0"/>
    <n v="19000"/>
  </r>
  <r>
    <x v="6"/>
    <s v="2 Other Operating Costs"/>
    <n v="8470435"/>
    <x v="23"/>
    <n v="436600"/>
    <x v="34"/>
    <s v="847.8470435.1.436600.000000.847001.200179"/>
    <n v="30000"/>
    <n v="30000"/>
    <m/>
    <m/>
    <m/>
    <n v="30000"/>
    <m/>
    <m/>
    <m/>
    <m/>
    <n v="30000"/>
    <m/>
    <n v="24000"/>
    <s v="N"/>
    <m/>
    <n v="30000"/>
    <n v="0"/>
    <n v="0"/>
    <n v="0"/>
    <n v="30000"/>
  </r>
  <r>
    <x v="6"/>
    <s v="2 Other Operating Costs"/>
    <n v="8470440"/>
    <x v="24"/>
    <n v="420550"/>
    <x v="0"/>
    <s v="847.8470440.1.420550.000000.847001.200179"/>
    <n v="560000"/>
    <n v="560000"/>
    <m/>
    <m/>
    <m/>
    <n v="560000"/>
    <m/>
    <m/>
    <m/>
    <m/>
    <n v="560000"/>
    <m/>
    <n v="448000"/>
    <s v="N"/>
    <m/>
    <n v="560000"/>
    <n v="0"/>
    <n v="0"/>
    <n v="0"/>
    <n v="560000"/>
  </r>
  <r>
    <x v="6"/>
    <s v="2 Other Operating Costs"/>
    <n v="8470440"/>
    <x v="24"/>
    <n v="420570"/>
    <x v="1"/>
    <s v="847.8470440.1.420570.000000.847001.200179"/>
    <n v="150000"/>
    <n v="135000"/>
    <m/>
    <m/>
    <m/>
    <n v="135000"/>
    <m/>
    <m/>
    <m/>
    <m/>
    <n v="135000"/>
    <m/>
    <n v="108000"/>
    <s v="N"/>
    <m/>
    <n v="135000"/>
    <n v="0"/>
    <n v="0"/>
    <n v="0"/>
    <n v="135000"/>
  </r>
  <r>
    <x v="6"/>
    <s v="2 Other Operating Costs"/>
    <n v="8470440"/>
    <x v="24"/>
    <n v="421700"/>
    <x v="4"/>
    <s v="847.8470440.1.421700.000000.847001.200179"/>
    <n v="280000"/>
    <n v="280000"/>
    <m/>
    <m/>
    <m/>
    <n v="280000"/>
    <m/>
    <m/>
    <m/>
    <m/>
    <n v="280000"/>
    <m/>
    <n v="224000"/>
    <s v="N"/>
    <m/>
    <n v="280000"/>
    <n v="0"/>
    <n v="0"/>
    <n v="0"/>
    <n v="280000"/>
  </r>
  <r>
    <x v="6"/>
    <s v="2 Other Operating Costs"/>
    <n v="8470440"/>
    <x v="24"/>
    <n v="425100"/>
    <x v="14"/>
    <s v="847.8470440.1.425100.000000.847001.200179"/>
    <n v="10000"/>
    <n v="10000"/>
    <m/>
    <m/>
    <m/>
    <n v="10000"/>
    <m/>
    <m/>
    <m/>
    <m/>
    <n v="10000"/>
    <m/>
    <n v="8000"/>
    <s v="N"/>
    <m/>
    <n v="10000"/>
    <n v="0"/>
    <n v="0"/>
    <n v="0"/>
    <n v="10000"/>
  </r>
  <r>
    <x v="6"/>
    <s v="2 Other Operating Costs"/>
    <n v="8470440"/>
    <x v="24"/>
    <n v="425510"/>
    <x v="5"/>
    <s v="847.8470440.1.425510.000000.847001.200179"/>
    <n v="225000"/>
    <n v="225000"/>
    <m/>
    <m/>
    <m/>
    <n v="225000"/>
    <m/>
    <m/>
    <m/>
    <m/>
    <n v="225000"/>
    <m/>
    <n v="174712"/>
    <s v="N"/>
    <m/>
    <n v="225000"/>
    <n v="6610"/>
    <n v="0"/>
    <n v="0"/>
    <n v="218390"/>
  </r>
  <r>
    <x v="6"/>
    <s v="2 Other Operating Costs"/>
    <n v="8470440"/>
    <x v="24"/>
    <n v="425550"/>
    <x v="6"/>
    <s v="847.8470440.1.425550.000000.847001.200179"/>
    <n v="225000"/>
    <n v="225000"/>
    <m/>
    <m/>
    <m/>
    <n v="225000"/>
    <m/>
    <m/>
    <m/>
    <m/>
    <n v="225000"/>
    <m/>
    <n v="165656"/>
    <s v="N"/>
    <m/>
    <n v="225000"/>
    <n v="17930"/>
    <n v="0"/>
    <n v="0"/>
    <n v="207070"/>
  </r>
  <r>
    <x v="6"/>
    <s v="2 Other Operating Costs"/>
    <n v="8470440"/>
    <x v="24"/>
    <n v="425761"/>
    <x v="29"/>
    <s v="847.8470440.1.425761.000000.847001.200179"/>
    <n v="750000"/>
    <n v="750000"/>
    <m/>
    <m/>
    <m/>
    <n v="750000"/>
    <m/>
    <m/>
    <m/>
    <m/>
    <n v="750000"/>
    <m/>
    <n v="600000"/>
    <s v="N"/>
    <m/>
    <n v="750000"/>
    <n v="0"/>
    <n v="0"/>
    <n v="0"/>
    <n v="750000"/>
  </r>
  <r>
    <x v="6"/>
    <s v="2 Other Operating Costs"/>
    <n v="8470440"/>
    <x v="24"/>
    <n v="425770"/>
    <x v="20"/>
    <s v="847.8470440.1.425770.000000.847001.200179"/>
    <n v="300000"/>
    <n v="170408"/>
    <n v="104827.92"/>
    <m/>
    <m/>
    <n v="65580.08"/>
    <m/>
    <m/>
    <m/>
    <m/>
    <n v="65580.08"/>
    <m/>
    <n v="14690.66399999999"/>
    <s v="N"/>
    <m/>
    <n v="170408"/>
    <n v="152044.67000000001"/>
    <n v="0"/>
    <n v="0"/>
    <n v="18363.329999999987"/>
  </r>
  <r>
    <x v="6"/>
    <s v="2 Other Operating Costs"/>
    <n v="8470440"/>
    <x v="24"/>
    <n v="425900"/>
    <x v="7"/>
    <s v="847.8470440.1.425900.000000.847001.200179"/>
    <n v="24000"/>
    <n v="24000"/>
    <m/>
    <m/>
    <m/>
    <n v="24000"/>
    <m/>
    <m/>
    <m/>
    <m/>
    <n v="24000"/>
    <m/>
    <n v="19200"/>
    <s v="N"/>
    <m/>
    <n v="24000"/>
    <n v="0"/>
    <n v="0"/>
    <n v="0"/>
    <n v="24000"/>
  </r>
  <r>
    <x v="6"/>
    <s v="2 Other Operating Costs"/>
    <n v="8470440"/>
    <x v="24"/>
    <n v="426610"/>
    <x v="8"/>
    <s v="847.8470440.1.426610.000000.847001.200179"/>
    <n v="120000"/>
    <n v="120000"/>
    <n v="8988.7800000000007"/>
    <n v="0"/>
    <n v="0"/>
    <n v="111011.22"/>
    <m/>
    <m/>
    <m/>
    <m/>
    <n v="111011.22"/>
    <m/>
    <n v="88808.97600000001"/>
    <s v="N"/>
    <m/>
    <n v="120000"/>
    <n v="8988.7800000000007"/>
    <n v="0"/>
    <n v="0"/>
    <n v="111011.22"/>
  </r>
  <r>
    <x v="6"/>
    <s v="2 Other Operating Costs"/>
    <n v="8470440"/>
    <x v="24"/>
    <n v="427710"/>
    <x v="13"/>
    <s v="847.8470440.1.427710.000000.847001.200179"/>
    <n v="15000"/>
    <n v="15000"/>
    <m/>
    <m/>
    <m/>
    <n v="15000"/>
    <m/>
    <m/>
    <m/>
    <m/>
    <n v="15000"/>
    <m/>
    <n v="12000"/>
    <s v="N"/>
    <m/>
    <n v="15000"/>
    <n v="0"/>
    <n v="0"/>
    <n v="0"/>
    <n v="15000"/>
  </r>
  <r>
    <x v="6"/>
    <s v="2 Other Operating Costs"/>
    <n v="8470440"/>
    <x v="24"/>
    <n v="428090"/>
    <x v="9"/>
    <s v="847.8470440.1.428090.000000.847001.200179"/>
    <n v="225000"/>
    <n v="61304"/>
    <m/>
    <m/>
    <m/>
    <n v="61304"/>
    <m/>
    <m/>
    <m/>
    <m/>
    <n v="61304"/>
    <m/>
    <n v="49043.200000000004"/>
    <s v="N"/>
    <m/>
    <n v="61304"/>
    <n v="0"/>
    <n v="0"/>
    <n v="0"/>
    <n v="61304"/>
  </r>
  <r>
    <x v="6"/>
    <s v="2 Other Operating Costs"/>
    <n v="8470440"/>
    <x v="24"/>
    <n v="428640"/>
    <x v="11"/>
    <s v="847.8470440.1.428640.000000.847001.200179"/>
    <n v="100000"/>
    <n v="50745"/>
    <m/>
    <m/>
    <m/>
    <n v="50745"/>
    <m/>
    <m/>
    <m/>
    <m/>
    <n v="50745"/>
    <m/>
    <n v="38940"/>
    <s v="N"/>
    <m/>
    <n v="50745"/>
    <n v="2070"/>
    <n v="0"/>
    <n v="0"/>
    <n v="48675"/>
  </r>
  <r>
    <x v="6"/>
    <s v="2 Other Operating Costs"/>
    <n v="8470440"/>
    <x v="24"/>
    <n v="435340"/>
    <x v="36"/>
    <s v="847.8470440.1.435340.000000.847001.200179"/>
    <n v="120000"/>
    <n v="120000"/>
    <m/>
    <m/>
    <m/>
    <n v="120000"/>
    <m/>
    <m/>
    <m/>
    <m/>
    <n v="120000"/>
    <m/>
    <n v="96000"/>
    <s v="N"/>
    <m/>
    <n v="120000"/>
    <n v="0"/>
    <n v="0"/>
    <n v="0"/>
    <n v="120000"/>
  </r>
  <r>
    <x v="6"/>
    <s v="2 Other Operating Costs"/>
    <n v="8470440"/>
    <x v="24"/>
    <n v="435350"/>
    <x v="21"/>
    <s v="847.8470440.1.435350.000000.847001.200179"/>
    <n v="40000"/>
    <n v="45000"/>
    <n v="42010"/>
    <m/>
    <m/>
    <n v="2990"/>
    <m/>
    <m/>
    <m/>
    <m/>
    <n v="2990"/>
    <m/>
    <n v="-6923.7599999999984"/>
    <s v="N"/>
    <m/>
    <n v="45000"/>
    <n v="53654.7"/>
    <n v="0"/>
    <n v="0"/>
    <n v="-8654.6999999999971"/>
  </r>
  <r>
    <x v="6"/>
    <s v="2 Other Operating Costs"/>
    <n v="8470440"/>
    <x v="24"/>
    <n v="436600"/>
    <x v="34"/>
    <s v="847.8470440.1.436600.000000.847001.200179"/>
    <n v="22500"/>
    <n v="22500"/>
    <n v="4195"/>
    <n v="0"/>
    <n v="0"/>
    <n v="18305"/>
    <m/>
    <m/>
    <m/>
    <m/>
    <n v="18305"/>
    <m/>
    <n v="14644"/>
    <s v="N"/>
    <m/>
    <n v="22500"/>
    <n v="4195"/>
    <n v="0"/>
    <n v="0"/>
    <n v="18305"/>
  </r>
  <r>
    <x v="6"/>
    <s v="2 Other Operating Costs"/>
    <n v="8470445"/>
    <x v="25"/>
    <n v="425100"/>
    <x v="14"/>
    <s v="847.8470445.1.425100.000000.847001.200179"/>
    <n v="150000"/>
    <n v="150000"/>
    <m/>
    <m/>
    <m/>
    <n v="150000"/>
    <m/>
    <m/>
    <m/>
    <m/>
    <n v="150000"/>
    <m/>
    <n v="120000"/>
    <s v="N"/>
    <m/>
    <n v="150000"/>
    <n v="0"/>
    <n v="0"/>
    <n v="0"/>
    <n v="150000"/>
  </r>
  <r>
    <x v="6"/>
    <s v="2 Other Operating Costs"/>
    <n v="8470445"/>
    <x v="25"/>
    <n v="425720"/>
    <x v="37"/>
    <s v="847.8470445.1.425720.000000.847001.200179"/>
    <n v="18350"/>
    <n v="19350"/>
    <n v="825"/>
    <m/>
    <m/>
    <n v="18525"/>
    <m/>
    <m/>
    <m/>
    <m/>
    <n v="18525"/>
    <m/>
    <n v="14820"/>
    <s v="N"/>
    <m/>
    <n v="19350"/>
    <n v="825"/>
    <n v="0"/>
    <n v="0"/>
    <n v="18525"/>
  </r>
  <r>
    <x v="6"/>
    <s v="2 Other Operating Costs"/>
    <n v="8470445"/>
    <x v="25"/>
    <n v="425760"/>
    <x v="35"/>
    <s v="847.8470445.1.425760.000000.847001.200179"/>
    <n v="36630"/>
    <n v="35630"/>
    <m/>
    <m/>
    <m/>
    <n v="35630"/>
    <m/>
    <m/>
    <m/>
    <m/>
    <n v="35630"/>
    <m/>
    <n v="20504"/>
    <s v="N"/>
    <m/>
    <n v="25630"/>
    <n v="0"/>
    <n v="0"/>
    <n v="0"/>
    <n v="25630"/>
  </r>
  <r>
    <x v="6"/>
    <s v="2 Other Operating Costs"/>
    <n v="8470445"/>
    <x v="25"/>
    <n v="425763"/>
    <x v="15"/>
    <s v="847.8470445.1.425763.000000.847001.200179"/>
    <n v="7590"/>
    <n v="7590"/>
    <m/>
    <m/>
    <m/>
    <n v="7590"/>
    <m/>
    <m/>
    <m/>
    <m/>
    <n v="7590"/>
    <m/>
    <n v="6072"/>
    <s v="N"/>
    <m/>
    <n v="7590"/>
    <n v="0"/>
    <n v="0"/>
    <n v="0"/>
    <n v="7590"/>
  </r>
  <r>
    <x v="6"/>
    <s v="2 Other Operating Costs"/>
    <n v="8470445"/>
    <x v="25"/>
    <n v="425770"/>
    <x v="20"/>
    <s v="847.8470445.1.425770.000000.847001.200179"/>
    <n v="570000"/>
    <n v="299950"/>
    <n v="141798.62"/>
    <m/>
    <m/>
    <n v="158151.38"/>
    <m/>
    <m/>
    <m/>
    <m/>
    <n v="158151.38"/>
    <m/>
    <n v="48008.112000000016"/>
    <s v="N"/>
    <m/>
    <n v="299950"/>
    <n v="239939.86"/>
    <n v="0"/>
    <n v="0"/>
    <n v="60010.140000000014"/>
  </r>
  <r>
    <x v="6"/>
    <s v="2 Other Operating Costs"/>
    <n v="8470445"/>
    <x v="25"/>
    <n v="426610"/>
    <x v="8"/>
    <s v="847.8470445.1.426610.000000.847001.200179"/>
    <n v="37650"/>
    <n v="37650"/>
    <n v="13814.8"/>
    <n v="0"/>
    <n v="8951.9699999999993"/>
    <n v="14883.230000000001"/>
    <m/>
    <m/>
    <m/>
    <m/>
    <n v="14883.230000000001"/>
    <m/>
    <n v="12578.168"/>
    <s v="N"/>
    <m/>
    <n v="37650"/>
    <n v="21927.29"/>
    <n v="0"/>
    <n v="0"/>
    <n v="15722.71"/>
  </r>
  <r>
    <x v="6"/>
    <s v="2 Other Operating Costs"/>
    <n v="8470445"/>
    <x v="25"/>
    <n v="435350"/>
    <x v="21"/>
    <s v="847.8470445.1.435350.000000.847001.200179"/>
    <n v="600000"/>
    <n v="325029"/>
    <n v="101616.56"/>
    <m/>
    <m/>
    <n v="223412.44"/>
    <m/>
    <m/>
    <m/>
    <m/>
    <n v="223412.44"/>
    <m/>
    <n v="124903.68799999999"/>
    <s v="N"/>
    <m/>
    <n v="325029"/>
    <n v="168899.39"/>
    <n v="0"/>
    <n v="0"/>
    <n v="156129.60999999999"/>
  </r>
  <r>
    <x v="6"/>
    <s v="2 Other Operating Costs"/>
    <n v="8470450"/>
    <x v="26"/>
    <n v="425761"/>
    <x v="29"/>
    <s v="847.8470450.1.425761.000000.847001.200179"/>
    <n v="500000"/>
    <n v="500000"/>
    <n v="218851.74"/>
    <m/>
    <m/>
    <n v="281148.26"/>
    <m/>
    <m/>
    <m/>
    <m/>
    <n v="281148.26"/>
    <m/>
    <n v="169758.60800000001"/>
    <s v="N"/>
    <m/>
    <n v="500000"/>
    <n v="287801.74"/>
    <n v="0"/>
    <n v="0"/>
    <n v="212198.26"/>
  </r>
  <r>
    <x v="6"/>
    <s v="2 Other Operating Costs"/>
    <n v="8470450"/>
    <x v="26"/>
    <n v="425770"/>
    <x v="20"/>
    <s v="847.8470450.1.425770.000000.847001.200179"/>
    <n v="180000"/>
    <n v="108155"/>
    <n v="49460"/>
    <m/>
    <m/>
    <n v="58695"/>
    <m/>
    <m/>
    <m/>
    <m/>
    <n v="58695"/>
    <m/>
    <n v="2084.9359999999988"/>
    <s v="N"/>
    <m/>
    <n v="108155"/>
    <n v="105548.83"/>
    <n v="0"/>
    <n v="0"/>
    <n v="2606.1699999999983"/>
  </r>
  <r>
    <x v="6"/>
    <s v="2 Other Operating Costs"/>
    <n v="8470450"/>
    <x v="26"/>
    <n v="426610"/>
    <x v="8"/>
    <s v="847.8470450.1.426610.000000.847001.200179"/>
    <n v="313605"/>
    <n v="313605"/>
    <m/>
    <n v="0"/>
    <n v="35628.1"/>
    <n v="277976.90000000002"/>
    <m/>
    <m/>
    <m/>
    <m/>
    <n v="277976.90000000002"/>
    <m/>
    <n v="222381.52000000002"/>
    <s v="N"/>
    <m/>
    <n v="313605"/>
    <n v="35628.1"/>
    <n v="0"/>
    <n v="0"/>
    <n v="277976.90000000002"/>
  </r>
  <r>
    <x v="6"/>
    <s v="2 Other Operating Costs"/>
    <n v="8470450"/>
    <x v="26"/>
    <n v="428090"/>
    <x v="9"/>
    <s v="847.8470450.1.428090.000000.847001.200179"/>
    <n v="30000"/>
    <n v="2201"/>
    <n v="2200"/>
    <m/>
    <m/>
    <n v="1"/>
    <m/>
    <m/>
    <m/>
    <m/>
    <n v="1"/>
    <m/>
    <n v="0.8"/>
    <s v="N"/>
    <m/>
    <n v="2201"/>
    <n v="2200"/>
    <n v="0"/>
    <n v="0"/>
    <n v="1"/>
  </r>
  <r>
    <x v="6"/>
    <s v="2 Other Operating Costs"/>
    <n v="8470450"/>
    <x v="26"/>
    <n v="432209"/>
    <x v="32"/>
    <s v="847.8470450.1.432209.000000.847001.200179"/>
    <n v="118157"/>
    <n v="118157"/>
    <n v="5022.49"/>
    <n v="39200"/>
    <n v="29025.69"/>
    <n v="44908.819999999992"/>
    <m/>
    <m/>
    <m/>
    <m/>
    <n v="44908.819999999992"/>
    <m/>
    <n v="35927.056000000004"/>
    <s v="N"/>
    <m/>
    <n v="118157"/>
    <n v="12303.22"/>
    <n v="39200"/>
    <n v="21744.959999999999"/>
    <n v="44908.82"/>
  </r>
  <r>
    <x v="6"/>
    <s v="2 Other Operating Costs"/>
    <n v="8470450"/>
    <x v="26"/>
    <n v="435350"/>
    <x v="21"/>
    <s v="847.8470450.1.435350.000000.847001.200179"/>
    <n v="40000"/>
    <n v="21669"/>
    <m/>
    <m/>
    <m/>
    <n v="21669"/>
    <m/>
    <m/>
    <m/>
    <m/>
    <n v="21669"/>
    <m/>
    <n v="17335.2"/>
    <s v="N"/>
    <m/>
    <n v="21669"/>
    <n v="0"/>
    <n v="0"/>
    <n v="0"/>
    <n v="21669"/>
  </r>
  <r>
    <x v="6"/>
    <s v="2 Other Operating Costs"/>
    <n v="8470450"/>
    <x v="26"/>
    <n v="435508"/>
    <x v="33"/>
    <s v="847.8470450.1.435508.000000.847001.200179"/>
    <n v="6500"/>
    <n v="16500"/>
    <m/>
    <n v="7272.54"/>
    <n v="4700"/>
    <n v="4527.4599999999991"/>
    <m/>
    <m/>
    <m/>
    <m/>
    <n v="4527.4599999999991"/>
    <m/>
    <n v="6106.8319999999994"/>
    <s v="N"/>
    <m/>
    <n v="16500"/>
    <n v="194.43"/>
    <n v="-235"/>
    <n v="8907.0300000000007"/>
    <n v="7633.5399999999991"/>
  </r>
  <r>
    <x v="6"/>
    <s v="2 Other Operating Costs"/>
    <n v="8470455"/>
    <x v="27"/>
    <n v="425760"/>
    <x v="35"/>
    <s v="847.8470455.1.425760.000000.847001.200179"/>
    <n v="10000"/>
    <n v="10000"/>
    <m/>
    <m/>
    <m/>
    <n v="10000"/>
    <m/>
    <m/>
    <m/>
    <m/>
    <n v="10000"/>
    <m/>
    <n v="8000"/>
    <s v="N"/>
    <m/>
    <n v="10000"/>
    <n v="0"/>
    <n v="0"/>
    <n v="0"/>
    <n v="10000"/>
  </r>
  <r>
    <x v="6"/>
    <s v="2 Other Operating Costs"/>
    <n v="8470455"/>
    <x v="27"/>
    <n v="425770"/>
    <x v="20"/>
    <s v="847.8470455.1.425770.000000.847001.200179"/>
    <n v="80000"/>
    <n v="43337"/>
    <n v="14292.39"/>
    <m/>
    <m/>
    <n v="29044.61"/>
    <m/>
    <m/>
    <m/>
    <m/>
    <n v="29044.61"/>
    <m/>
    <n v="18098.088"/>
    <s v="N"/>
    <m/>
    <n v="43337"/>
    <n v="20714.39"/>
    <n v="0"/>
    <n v="0"/>
    <n v="22622.61"/>
  </r>
  <r>
    <x v="6"/>
    <s v="2 Other Operating Costs"/>
    <n v="8470455"/>
    <x v="27"/>
    <n v="425900"/>
    <x v="7"/>
    <s v="847.8470455.1.425900.000000.847001.200179"/>
    <n v="15000"/>
    <n v="15000"/>
    <n v="1800"/>
    <m/>
    <m/>
    <n v="13200"/>
    <m/>
    <m/>
    <m/>
    <m/>
    <n v="13200"/>
    <m/>
    <n v="10383.984"/>
    <s v="N"/>
    <m/>
    <n v="15000"/>
    <n v="2020.02"/>
    <n v="0"/>
    <n v="0"/>
    <n v="12979.98"/>
  </r>
  <r>
    <x v="6"/>
    <s v="2 Other Operating Costs"/>
    <n v="8470455"/>
    <x v="27"/>
    <n v="426610"/>
    <x v="8"/>
    <s v="847.8470455.1.426610.000000.847001.200179"/>
    <n v="50000"/>
    <n v="50000"/>
    <n v="119.56"/>
    <n v="0"/>
    <n v="27088.38"/>
    <n v="22792.06"/>
    <m/>
    <m/>
    <m/>
    <m/>
    <n v="22792.06"/>
    <m/>
    <n v="18233.648000000001"/>
    <s v="N"/>
    <m/>
    <n v="50000"/>
    <n v="27207.94"/>
    <n v="0"/>
    <n v="0"/>
    <n v="22792.06"/>
  </r>
  <r>
    <x v="6"/>
    <s v="2 Other Operating Costs"/>
    <n v="8470455"/>
    <x v="27"/>
    <n v="428090"/>
    <x v="9"/>
    <s v="847.8470455.1.428090.000000.847001.200179"/>
    <n v="50000"/>
    <n v="48000"/>
    <m/>
    <m/>
    <m/>
    <n v="48000"/>
    <m/>
    <m/>
    <m/>
    <m/>
    <n v="48000"/>
    <m/>
    <n v="38400"/>
    <s v="N"/>
    <m/>
    <n v="48000"/>
    <n v="0"/>
    <n v="0"/>
    <n v="0"/>
    <n v="48000"/>
  </r>
  <r>
    <x v="6"/>
    <s v="2 Other Operating Costs"/>
    <n v="8470455"/>
    <x v="27"/>
    <n v="428640"/>
    <x v="11"/>
    <s v="847.8470455.1.428640.000000.847001.200179"/>
    <n v="5000"/>
    <n v="2537"/>
    <m/>
    <m/>
    <m/>
    <n v="2537"/>
    <m/>
    <m/>
    <m/>
    <m/>
    <n v="2537"/>
    <m/>
    <n v="2029.6000000000001"/>
    <s v="N"/>
    <m/>
    <n v="2537"/>
    <n v="0"/>
    <n v="0"/>
    <n v="0"/>
    <n v="2537"/>
  </r>
  <r>
    <x v="6"/>
    <s v="2 Other Operating Costs"/>
    <n v="8470455"/>
    <x v="27"/>
    <n v="432209"/>
    <x v="32"/>
    <s v="847.8470455.1.432209.000000.847001.200179"/>
    <n v="300000"/>
    <n v="300000"/>
    <m/>
    <m/>
    <m/>
    <n v="300000"/>
    <m/>
    <m/>
    <m/>
    <m/>
    <n v="300000"/>
    <m/>
    <n v="1840"/>
    <s v="N"/>
    <m/>
    <n v="300000"/>
    <n v="2200"/>
    <n v="0"/>
    <n v="295500"/>
    <n v="2300"/>
  </r>
  <r>
    <x v="6"/>
    <s v="2 Other Operating Costs"/>
    <n v="8470455"/>
    <x v="27"/>
    <n v="435350"/>
    <x v="21"/>
    <s v="847.8470455.1.435350.000000.847001.200179"/>
    <n v="80000"/>
    <n v="80000"/>
    <n v="25142.2"/>
    <m/>
    <m/>
    <n v="54857.8"/>
    <m/>
    <m/>
    <m/>
    <m/>
    <n v="54857.8"/>
    <m/>
    <n v="37448.496000000006"/>
    <s v="N"/>
    <m/>
    <n v="80000"/>
    <n v="33189.379999999997"/>
    <n v="0"/>
    <n v="0"/>
    <n v="46810.62"/>
  </r>
  <r>
    <x v="6"/>
    <s v="2 Other Operating Costs"/>
    <n v="8470455"/>
    <x v="27"/>
    <n v="435508"/>
    <x v="33"/>
    <s v="847.8470455.1.435508.000000.847001.200179"/>
    <n v="675000"/>
    <n v="675000"/>
    <n v="42948.14"/>
    <n v="264300"/>
    <n v="189167.27"/>
    <n v="178584.59"/>
    <m/>
    <m/>
    <m/>
    <m/>
    <n v="178584.59"/>
    <m/>
    <n v="161023.51200000002"/>
    <s v="N"/>
    <m/>
    <n v="675000"/>
    <n v="134218.60999999999"/>
    <n v="0"/>
    <n v="339502"/>
    <n v="201279.39"/>
  </r>
  <r>
    <x v="6"/>
    <s v="2 Other Operating Costs"/>
    <n v="8470455"/>
    <x v="27"/>
    <n v="436110"/>
    <x v="31"/>
    <s v="847.8470455.1.436110.000000.847001.200179"/>
    <n v="5000"/>
    <n v="5000"/>
    <m/>
    <m/>
    <m/>
    <n v="5000"/>
    <m/>
    <m/>
    <m/>
    <m/>
    <n v="5000"/>
    <m/>
    <n v="4000"/>
    <s v="N"/>
    <m/>
    <n v="5000"/>
    <n v="0"/>
    <n v="0"/>
    <n v="0"/>
    <n v="5000"/>
  </r>
  <r>
    <x v="7"/>
    <s v="2 Other Operating Costs"/>
    <n v="8470520"/>
    <x v="28"/>
    <n v="425510"/>
    <x v="5"/>
    <s v="847.8470520.1.425510.000000.847001.200179"/>
    <n v="29519"/>
    <n v="29519"/>
    <n v="3329.25"/>
    <m/>
    <m/>
    <n v="26189.75"/>
    <m/>
    <m/>
    <m/>
    <m/>
    <n v="26189.75"/>
    <m/>
    <n v="26189.75"/>
    <s v="Y"/>
    <m/>
    <n v="29519"/>
    <n v="3329.25"/>
    <n v="0"/>
    <n v="0"/>
    <n v="26189.75"/>
  </r>
  <r>
    <x v="7"/>
    <s v="2 Other Operating Costs"/>
    <n v="8470520"/>
    <x v="28"/>
    <n v="426100"/>
    <x v="38"/>
    <s v="847.8470520.1.426100.000000.847001.200179"/>
    <n v="20000"/>
    <n v="20000"/>
    <m/>
    <m/>
    <m/>
    <n v="20000"/>
    <m/>
    <m/>
    <m/>
    <m/>
    <n v="20000"/>
    <m/>
    <n v="20000"/>
    <s v="Y"/>
    <m/>
    <n v="20000"/>
    <n v="0"/>
    <n v="0"/>
    <n v="0"/>
    <n v="20000"/>
  </r>
  <r>
    <x v="7"/>
    <s v="2 Other Operating Costs"/>
    <n v="8470520"/>
    <x v="28"/>
    <n v="427710"/>
    <x v="13"/>
    <s v="847.8470520.1.427710.000000.847001.200179"/>
    <n v="42000"/>
    <n v="42000"/>
    <m/>
    <n v="0"/>
    <n v="10510"/>
    <n v="31490"/>
    <m/>
    <m/>
    <m/>
    <m/>
    <n v="31490"/>
    <m/>
    <n v="31490"/>
    <s v="Y"/>
    <m/>
    <n v="42000"/>
    <n v="10510"/>
    <n v="0"/>
    <n v="0"/>
    <n v="31490"/>
  </r>
  <r>
    <x v="7"/>
    <s v="2 Other Operating Costs"/>
    <n v="8470520"/>
    <x v="28"/>
    <n v="428200"/>
    <x v="39"/>
    <s v="847.8470520.1.428200.000000.847001.200179"/>
    <n v="616900"/>
    <n v="616900"/>
    <n v="303042.33"/>
    <n v="28304.5"/>
    <n v="248137.28"/>
    <n v="37415.889999999985"/>
    <n v="23000"/>
    <n v="23000"/>
    <n v="23000"/>
    <m/>
    <n v="-31584.110000000015"/>
    <m/>
    <n v="-31584.110000000015"/>
    <s v="Y"/>
    <m/>
    <n v="616900"/>
    <n v="367107.85"/>
    <n v="3234"/>
    <n v="227084.32"/>
    <n v="19473.830000000016"/>
  </r>
  <r>
    <x v="7"/>
    <s v="2 Other Operating Costs"/>
    <n v="8470520"/>
    <x v="28"/>
    <n v="428200"/>
    <x v="39"/>
    <s v="847.8470520.1.428200.000000.847951.200179"/>
    <n v="23100"/>
    <n v="23100"/>
    <n v="23100"/>
    <m/>
    <n v="0"/>
    <n v="0"/>
    <m/>
    <m/>
    <m/>
    <m/>
    <n v="0"/>
    <m/>
    <n v="0"/>
    <s v="Y"/>
    <m/>
    <n v="23100"/>
    <n v="23100"/>
    <n v="0"/>
    <n v="0"/>
    <n v="0"/>
  </r>
  <r>
    <x v="7"/>
    <s v="2 Other Operating Costs"/>
    <n v="8470530"/>
    <x v="29"/>
    <n v="420310"/>
    <x v="40"/>
    <s v="847.8470530.1.420310.000000.847010.200179"/>
    <n v="4056439"/>
    <n v="4056439"/>
    <n v="2160397.2000000002"/>
    <n v="0"/>
    <n v="1870859.89"/>
    <n v="25181.909999999916"/>
    <m/>
    <m/>
    <m/>
    <m/>
    <n v="25181.909999999916"/>
    <m/>
    <n v="25181.909999999916"/>
    <s v="Y"/>
    <m/>
    <n v="4081439"/>
    <n v="3157450.89"/>
    <n v="0"/>
    <n v="918766.2"/>
    <n v="5221.9099999999162"/>
  </r>
  <r>
    <x v="7"/>
    <s v="2 Other Operating Costs"/>
    <n v="8470530"/>
    <x v="29"/>
    <n v="420310"/>
    <x v="40"/>
    <s v="847.8470530.1.420310.000000.847015.200179"/>
    <n v="747242"/>
    <n v="747242"/>
    <n v="403891.03"/>
    <n v="0"/>
    <n v="343350.97"/>
    <n v="0"/>
    <m/>
    <m/>
    <m/>
    <m/>
    <n v="0"/>
    <m/>
    <n v="0"/>
    <s v="Y"/>
    <m/>
    <n v="747242"/>
    <n v="403891.03"/>
    <n v="0"/>
    <n v="343350.97"/>
    <n v="0"/>
  </r>
  <r>
    <x v="7"/>
    <s v="2 Other Operating Costs"/>
    <n v="8470530"/>
    <x v="29"/>
    <n v="420310"/>
    <x v="40"/>
    <s v="847.8470530.1.420310.000000.847020.200179"/>
    <n v="4118107"/>
    <n v="4364107"/>
    <n v="2467129.4700000002"/>
    <n v="0"/>
    <n v="1880748.25"/>
    <n v="16229.279999999795"/>
    <m/>
    <m/>
    <m/>
    <m/>
    <n v="16229.279999999795"/>
    <m/>
    <n v="16229.279999999795"/>
    <s v="Y"/>
    <m/>
    <n v="4364107"/>
    <n v="3781466.01"/>
    <n v="0"/>
    <n v="566411.71"/>
    <n v="16229.280000000261"/>
  </r>
  <r>
    <x v="7"/>
    <s v="2 Other Operating Costs"/>
    <n v="8470530"/>
    <x v="29"/>
    <n v="421000"/>
    <x v="3"/>
    <s v="847.8470530.1.421000.000000.847010.200179"/>
    <n v="350000"/>
    <n v="850000"/>
    <m/>
    <n v="0"/>
    <n v="850000"/>
    <n v="0"/>
    <m/>
    <m/>
    <m/>
    <m/>
    <n v="0"/>
    <m/>
    <n v="0"/>
    <s v="Y"/>
    <m/>
    <n v="850000"/>
    <n v="0"/>
    <n v="0"/>
    <n v="850000"/>
    <n v="0"/>
  </r>
  <r>
    <x v="7"/>
    <s v="2 Other Operating Costs"/>
    <n v="8470530"/>
    <x v="29"/>
    <n v="421100"/>
    <x v="41"/>
    <s v="847.8470530.1.421100.000000.847010.200179"/>
    <n v="0"/>
    <n v="-28032"/>
    <n v="-42048"/>
    <m/>
    <m/>
    <n v="14016"/>
    <m/>
    <m/>
    <m/>
    <m/>
    <n v="14016"/>
    <m/>
    <n v="3737.6000000000004"/>
    <s v="N"/>
    <m/>
    <n v="-42048"/>
    <n v="-46720"/>
    <n v="0"/>
    <n v="0"/>
    <n v="4672"/>
  </r>
  <r>
    <x v="7"/>
    <s v="2 Other Operating Costs"/>
    <n v="8470530"/>
    <x v="29"/>
    <n v="421600"/>
    <x v="42"/>
    <s v="847.8470530.1.421600.000000.847010.200179"/>
    <n v="4137480"/>
    <n v="3767662"/>
    <n v="2618461.42"/>
    <n v="0"/>
    <n v="1149200"/>
    <n v="0.58000000007450581"/>
    <m/>
    <m/>
    <m/>
    <m/>
    <n v="0.58000000007450581"/>
    <m/>
    <n v="0.58000000007450581"/>
    <s v="Y"/>
    <m/>
    <n v="3767662"/>
    <n v="2618461.42"/>
    <n v="0"/>
    <n v="1149200"/>
    <n v="0.58000000007450581"/>
  </r>
  <r>
    <x v="7"/>
    <s v="2 Other Operating Costs"/>
    <n v="8470530"/>
    <x v="29"/>
    <n v="421600"/>
    <x v="42"/>
    <s v="847.8470530.1.421600.000000.847015.200179"/>
    <n v="2649480"/>
    <n v="2453019"/>
    <n v="795109.05"/>
    <n v="1634640"/>
    <n v="23269.48"/>
    <n v="0.46999999995387043"/>
    <m/>
    <m/>
    <m/>
    <m/>
    <n v="0.46999999995387043"/>
    <m/>
    <n v="0.46999999995387043"/>
    <s v="Y"/>
    <m/>
    <n v="2421019"/>
    <n v="2305266.79"/>
    <n v="0"/>
    <n v="62211.74"/>
    <n v="53540.469999999965"/>
  </r>
  <r>
    <x v="7"/>
    <s v="2 Other Operating Costs"/>
    <n v="8470530"/>
    <x v="29"/>
    <n v="421600"/>
    <x v="42"/>
    <s v="847.8470530.1.421600.000000.847020.200179"/>
    <n v="2601720"/>
    <n v="2017720"/>
    <n v="470781.74"/>
    <n v="1385720"/>
    <n v="161217.89000000001"/>
    <n v="0.36999999999534339"/>
    <m/>
    <m/>
    <m/>
    <m/>
    <n v="0.36999999999534339"/>
    <m/>
    <n v="0.36999999999534339"/>
    <s v="Y"/>
    <m/>
    <n v="1952720"/>
    <n v="470781.74"/>
    <n v="0"/>
    <n v="161217.89000000001"/>
    <n v="1320720.3700000001"/>
  </r>
  <r>
    <x v="7"/>
    <s v="2 Other Operating Costs"/>
    <n v="8470530"/>
    <x v="29"/>
    <n v="421600"/>
    <x v="42"/>
    <s v="847.8470530.1.421600.000000.847030.200179"/>
    <n v="0"/>
    <n v="635219"/>
    <n v="446286.18"/>
    <m/>
    <m/>
    <n v="188932.82"/>
    <n v="62977"/>
    <n v="62977"/>
    <n v="62977"/>
    <s v="Security manpower cost"/>
    <n v="1.8200000000069849"/>
    <m/>
    <n v="1.8200000000069849"/>
    <s v="Y"/>
    <m/>
    <n v="635219"/>
    <n v="446286.18"/>
    <n v="0"/>
    <n v="0"/>
    <n v="188932.82"/>
  </r>
  <r>
    <x v="7"/>
    <s v="2 Other Operating Costs"/>
    <n v="8470530"/>
    <x v="29"/>
    <n v="421700"/>
    <x v="4"/>
    <s v="847.8470530.1.421700.000000.847010.200179"/>
    <n v="0"/>
    <n v="263000"/>
    <n v="49500"/>
    <n v="0"/>
    <n v="181500"/>
    <n v="32000"/>
    <m/>
    <m/>
    <m/>
    <m/>
    <n v="32000"/>
    <m/>
    <n v="32000"/>
    <s v="Y"/>
    <m/>
    <n v="328000"/>
    <n v="99000"/>
    <n v="96000"/>
    <n v="132000"/>
    <n v="1000"/>
  </r>
  <r>
    <x v="7"/>
    <s v="2 Other Operating Costs"/>
    <n v="8470530"/>
    <x v="29"/>
    <n v="425510"/>
    <x v="5"/>
    <s v="847.8470530.1.425510.000000.847010.200179"/>
    <n v="20000"/>
    <n v="20000"/>
    <n v="1280.3699999999999"/>
    <m/>
    <m/>
    <n v="18719.63"/>
    <m/>
    <m/>
    <m/>
    <m/>
    <n v="18719.63"/>
    <m/>
    <n v="4521.3039999999992"/>
    <s v="N"/>
    <m/>
    <n v="20000"/>
    <n v="14348.37"/>
    <n v="0"/>
    <n v="0"/>
    <n v="5651.6299999999992"/>
  </r>
  <r>
    <x v="7"/>
    <s v="2 Other Operating Costs"/>
    <n v="8470530"/>
    <x v="29"/>
    <n v="425900"/>
    <x v="7"/>
    <s v="847.8470530.1.425900.000000.847010.200179"/>
    <n v="30000"/>
    <n v="30000"/>
    <n v="11571"/>
    <m/>
    <m/>
    <n v="18429"/>
    <m/>
    <m/>
    <m/>
    <m/>
    <n v="18429"/>
    <m/>
    <n v="18429"/>
    <s v="Y"/>
    <m/>
    <n v="30000"/>
    <n v="11571"/>
    <n v="0"/>
    <n v="0"/>
    <n v="18429"/>
  </r>
  <r>
    <x v="7"/>
    <s v="2 Other Operating Costs"/>
    <n v="8470530"/>
    <x v="29"/>
    <n v="426220"/>
    <x v="43"/>
    <s v="847.8470530.1.426220.000000.847010.200179"/>
    <n v="960437"/>
    <n v="960437"/>
    <n v="44981.51"/>
    <m/>
    <m/>
    <n v="915455.49"/>
    <m/>
    <m/>
    <m/>
    <m/>
    <n v="915455.49"/>
    <m/>
    <n v="915455.49"/>
    <s v="Y"/>
    <m/>
    <n v="960437"/>
    <n v="558196.81000000006"/>
    <n v="0"/>
    <n v="0"/>
    <n v="402240.18999999994"/>
  </r>
  <r>
    <x v="7"/>
    <s v="2 Other Operating Costs"/>
    <n v="8470530"/>
    <x v="29"/>
    <n v="426220"/>
    <x v="43"/>
    <s v="847.8470530.1.426220.000000.847030.200179"/>
    <n v="23714"/>
    <n v="23714"/>
    <m/>
    <m/>
    <m/>
    <n v="23714"/>
    <m/>
    <m/>
    <m/>
    <m/>
    <n v="23714"/>
    <m/>
    <n v="23714"/>
    <s v="Y"/>
    <m/>
    <n v="23714"/>
    <n v="0"/>
    <n v="0"/>
    <n v="0"/>
    <n v="23714"/>
  </r>
  <r>
    <x v="7"/>
    <s v="2 Other Operating Costs"/>
    <n v="8470530"/>
    <x v="29"/>
    <n v="426250"/>
    <x v="44"/>
    <s v="847.8470530.1.426250.000000.847010.200179"/>
    <n v="50000"/>
    <n v="50000"/>
    <n v="14718"/>
    <m/>
    <m/>
    <n v="35282"/>
    <m/>
    <m/>
    <m/>
    <m/>
    <n v="35282"/>
    <m/>
    <n v="35282"/>
    <s v="Y"/>
    <m/>
    <n v="50000"/>
    <n v="14718"/>
    <n v="0"/>
    <n v="0"/>
    <n v="35282"/>
  </r>
  <r>
    <x v="7"/>
    <s v="2 Other Operating Costs"/>
    <n v="8470530"/>
    <x v="29"/>
    <n v="428090"/>
    <x v="9"/>
    <s v="847.8470530.1.428090.000000.847001.200179"/>
    <n v="50000"/>
    <n v="13623"/>
    <m/>
    <m/>
    <m/>
    <n v="13623"/>
    <m/>
    <m/>
    <m/>
    <m/>
    <n v="13623"/>
    <m/>
    <n v="13623"/>
    <s v="Y"/>
    <m/>
    <n v="101423"/>
    <n v="0"/>
    <n v="0"/>
    <n v="0"/>
    <n v="101423"/>
  </r>
  <r>
    <x v="7"/>
    <s v="2 Other Operating Costs"/>
    <n v="8470530"/>
    <x v="29"/>
    <n v="430110"/>
    <x v="45"/>
    <s v="847.8470530.1.430110.000000.847020.200179"/>
    <n v="0"/>
    <n v="200211"/>
    <n v="199212.79999999999"/>
    <m/>
    <m/>
    <n v="998.20000000001164"/>
    <m/>
    <m/>
    <m/>
    <m/>
    <n v="998.20000000001164"/>
    <m/>
    <n v="998.20000000001164"/>
    <s v="Y"/>
    <m/>
    <n v="200211"/>
    <n v="199212.79999999999"/>
    <n v="0"/>
    <n v="0"/>
    <n v="998.20000000001164"/>
  </r>
  <r>
    <x v="7"/>
    <s v="2 Other Operating Costs"/>
    <n v="8470530"/>
    <x v="29"/>
    <n v="432120"/>
    <x v="46"/>
    <s v="847.8470530.1.432120.000000.847010.200179"/>
    <n v="11946037"/>
    <n v="11446037"/>
    <n v="5878366.3899999997"/>
    <n v="100501"/>
    <n v="5181508.41"/>
    <n v="285661.20000000019"/>
    <m/>
    <m/>
    <n v="285661"/>
    <s v="Maintenance cost"/>
    <n v="0.20000000018626451"/>
    <m/>
    <n v="0.20000000018626451"/>
    <s v="Y"/>
    <m/>
    <n v="11446037"/>
    <n v="6393327.1500000004"/>
    <n v="162501"/>
    <n v="4603433.74"/>
    <n v="286775.1099999994"/>
  </r>
  <r>
    <x v="7"/>
    <s v="2 Other Operating Costs"/>
    <n v="8470530"/>
    <x v="29"/>
    <n v="432120"/>
    <x v="46"/>
    <s v="847.8470530.1.432120.000000.847015.200179"/>
    <n v="5071140"/>
    <n v="4977140"/>
    <n v="2280318.2200000002"/>
    <n v="0"/>
    <n v="2579272.12"/>
    <n v="117549.65999999968"/>
    <m/>
    <m/>
    <n v="161404"/>
    <s v="Maintenance cost"/>
    <n v="-43854.340000000317"/>
    <m/>
    <n v="-43854.340000000317"/>
    <s v="Y"/>
    <m/>
    <n v="4977140"/>
    <n v="2628812.29"/>
    <n v="0"/>
    <n v="2288120.62"/>
    <n v="60207.089999999851"/>
  </r>
  <r>
    <x v="7"/>
    <s v="2 Other Operating Costs"/>
    <n v="8470530"/>
    <x v="29"/>
    <n v="432120"/>
    <x v="46"/>
    <s v="847.8470530.1.432120.000000.847020.200179"/>
    <n v="5573134"/>
    <n v="5540416"/>
    <n v="2537013.4300000002"/>
    <n v="57015.000000000502"/>
    <n v="2934727.69"/>
    <n v="11659.879999999423"/>
    <m/>
    <m/>
    <n v="11660"/>
    <s v="Maintenance cost"/>
    <n v="-0.12000000057742"/>
    <m/>
    <n v="-0.12000000057742"/>
    <s v="Y"/>
    <m/>
    <n v="5740416"/>
    <n v="3876391.44"/>
    <n v="0"/>
    <n v="1615249.68"/>
    <n v="248774.88000000012"/>
  </r>
  <r>
    <x v="7"/>
    <s v="2 Other Operating Costs"/>
    <n v="8470530"/>
    <x v="29"/>
    <n v="432120"/>
    <x v="46"/>
    <s v="847.8470530.1.432120.000000.847030.200179"/>
    <n v="1207678"/>
    <n v="1207678"/>
    <n v="611011.55000000005"/>
    <n v="24830"/>
    <n v="78120.210000000006"/>
    <n v="493716.23999999993"/>
    <m/>
    <m/>
    <n v="493716"/>
    <s v="Maintenance cost"/>
    <n v="0.23999999993247911"/>
    <m/>
    <n v="275624.984"/>
    <s v="N"/>
    <m/>
    <n v="1207678"/>
    <n v="628246.77"/>
    <n v="161543"/>
    <n v="73357"/>
    <n v="344531.23"/>
  </r>
  <r>
    <x v="7"/>
    <s v="2 Other Operating Costs"/>
    <n v="8470530"/>
    <x v="29"/>
    <n v="432170"/>
    <x v="47"/>
    <s v="847.8470530.1.432170.000000.847010.200179"/>
    <n v="30000"/>
    <n v="30000"/>
    <n v="12166"/>
    <n v="0"/>
    <n v="0"/>
    <n v="17834"/>
    <m/>
    <m/>
    <m/>
    <m/>
    <n v="17834"/>
    <m/>
    <n v="17834"/>
    <s v="Y"/>
    <m/>
    <n v="30000"/>
    <n v="12166"/>
    <n v="0"/>
    <n v="0"/>
    <n v="17834"/>
  </r>
  <r>
    <x v="7"/>
    <s v="2 Other Operating Costs"/>
    <n v="8470530"/>
    <x v="29"/>
    <n v="432320"/>
    <x v="48"/>
    <s v="847.8470530.1.432320.000000.847010.200179"/>
    <n v="26000"/>
    <n v="26000"/>
    <n v="5024"/>
    <m/>
    <m/>
    <n v="20976"/>
    <m/>
    <m/>
    <m/>
    <m/>
    <n v="20976"/>
    <m/>
    <n v="20976"/>
    <s v="Y"/>
    <m/>
    <n v="26000"/>
    <n v="5024"/>
    <n v="0"/>
    <n v="0"/>
    <n v="20976"/>
  </r>
  <r>
    <x v="7"/>
    <s v="2 Other Operating Costs"/>
    <n v="8470530"/>
    <x v="29"/>
    <n v="436340"/>
    <x v="49"/>
    <s v="847.8470530.1.436340.000000.847001.200179"/>
    <n v="0"/>
    <n v="20000"/>
    <m/>
    <m/>
    <m/>
    <n v="20000"/>
    <m/>
    <m/>
    <m/>
    <m/>
    <n v="20000"/>
    <m/>
    <n v="20000"/>
    <s v="Y"/>
    <m/>
    <n v="20000"/>
    <n v="0"/>
    <n v="0"/>
    <n v="0"/>
    <n v="20000"/>
  </r>
  <r>
    <x v="7"/>
    <s v="2 Other Operating Costs"/>
    <n v="8470540"/>
    <x v="30"/>
    <n v="421100"/>
    <x v="41"/>
    <s v="847.8470540.1.421100.000000.847010.200179"/>
    <n v="3589128"/>
    <n v="489128"/>
    <n v="168512.62"/>
    <n v="1"/>
    <n v="253016.89"/>
    <n v="67597.489999999991"/>
    <m/>
    <m/>
    <n v="67597"/>
    <s v="to be BT manpower account"/>
    <n v="0.48999999999068677"/>
    <m/>
    <n v="0.48999999999068677"/>
    <s v="Y"/>
    <m/>
    <n v="409781"/>
    <n v="168512.62"/>
    <n v="50005.48"/>
    <n v="191257.31"/>
    <n v="5.5899999999965075"/>
  </r>
  <r>
    <x v="7"/>
    <s v="2 Other Operating Costs"/>
    <n v="8470540"/>
    <x v="30"/>
    <n v="426800"/>
    <x v="50"/>
    <s v="847.8470540.1.426800.000000.847010.200179"/>
    <n v="10000"/>
    <n v="10000"/>
    <n v="848"/>
    <m/>
    <m/>
    <n v="9152"/>
    <m/>
    <m/>
    <m/>
    <m/>
    <n v="9152"/>
    <m/>
    <n v="9152"/>
    <s v="Y"/>
    <m/>
    <n v="10000"/>
    <n v="848"/>
    <n v="0"/>
    <n v="0"/>
    <n v="9152"/>
  </r>
  <r>
    <x v="7"/>
    <s v="2 Other Operating Costs"/>
    <n v="8470540"/>
    <x v="30"/>
    <n v="426900"/>
    <x v="51"/>
    <s v="847.8470540.1.426900.000000.847010.200179"/>
    <n v="30000"/>
    <n v="30000"/>
    <n v="3000"/>
    <m/>
    <m/>
    <n v="27000"/>
    <m/>
    <m/>
    <m/>
    <m/>
    <n v="27000"/>
    <m/>
    <n v="27000"/>
    <s v="Y"/>
    <m/>
    <n v="6000"/>
    <n v="3000"/>
    <n v="0"/>
    <n v="0"/>
    <n v="3000"/>
  </r>
  <r>
    <x v="7"/>
    <s v="2 Other Operating Costs"/>
    <n v="8470540"/>
    <x v="30"/>
    <n v="427710"/>
    <x v="13"/>
    <s v="847.8470540.1.427710.000000.847001.200179"/>
    <n v="0"/>
    <n v="7000"/>
    <n v="5106"/>
    <n v="0"/>
    <n v="0"/>
    <n v="1894"/>
    <m/>
    <m/>
    <m/>
    <m/>
    <n v="1894"/>
    <m/>
    <n v="1894"/>
    <s v="Y"/>
    <m/>
    <n v="7000"/>
    <n v="5106"/>
    <n v="0"/>
    <n v="0"/>
    <n v="1894"/>
  </r>
  <r>
    <x v="7"/>
    <s v="2 Other Operating Costs"/>
    <n v="8470540"/>
    <x v="30"/>
    <n v="428111"/>
    <x v="52"/>
    <s v="847.8470540.1.428111.000000.847010.200179"/>
    <n v="7349560"/>
    <n v="7349560"/>
    <n v="5212427.82"/>
    <m/>
    <m/>
    <n v="2137132.1799999997"/>
    <m/>
    <m/>
    <n v="2137132"/>
    <s v="Electricity"/>
    <n v="0.17999999970197678"/>
    <m/>
    <n v="0.17999999970197678"/>
    <s v="Y"/>
    <m/>
    <n v="7099560"/>
    <n v="5845824.0199999996"/>
    <n v="0"/>
    <n v="0"/>
    <n v="1253735.9800000004"/>
  </r>
  <r>
    <x v="7"/>
    <s v="2 Other Operating Costs"/>
    <n v="8470540"/>
    <x v="30"/>
    <n v="428111"/>
    <x v="52"/>
    <s v="847.8470540.1.428111.000000.847015.200179"/>
    <n v="4615084"/>
    <n v="4524084"/>
    <n v="3033573.52"/>
    <m/>
    <m/>
    <n v="1490510.48"/>
    <m/>
    <m/>
    <n v="1490510"/>
    <s v="Electricity"/>
    <n v="0.47999999998137355"/>
    <m/>
    <n v="0.47999999998137355"/>
    <s v="Y"/>
    <m/>
    <n v="4274084"/>
    <n v="3542965.05"/>
    <n v="0"/>
    <n v="0"/>
    <n v="731118.95000000019"/>
  </r>
  <r>
    <x v="7"/>
    <s v="2 Other Operating Costs"/>
    <n v="8470540"/>
    <x v="30"/>
    <n v="428111"/>
    <x v="52"/>
    <s v="847.8470540.1.428111.000000.847020.200179"/>
    <n v="3058446"/>
    <n v="3149446"/>
    <n v="3148690.2"/>
    <m/>
    <m/>
    <n v="755.79999999981374"/>
    <m/>
    <m/>
    <n v="756"/>
    <s v="Electricity"/>
    <n v="-0.20000000018626451"/>
    <m/>
    <n v="-0.20000000018626451"/>
    <s v="Y"/>
    <m/>
    <n v="3709446"/>
    <n v="3700307.8"/>
    <n v="0"/>
    <n v="0"/>
    <n v="9138.2000000001863"/>
  </r>
  <r>
    <x v="7"/>
    <s v="2 Other Operating Costs"/>
    <n v="8470540"/>
    <x v="30"/>
    <n v="428111"/>
    <x v="52"/>
    <s v="847.8470540.1.428111.000000.847030.200179"/>
    <n v="442627"/>
    <n v="442627"/>
    <m/>
    <m/>
    <m/>
    <n v="442627"/>
    <m/>
    <m/>
    <n v="442627"/>
    <s v="Electricity"/>
    <n v="0"/>
    <m/>
    <n v="0"/>
    <s v="Y"/>
    <m/>
    <n v="382627"/>
    <n v="0"/>
    <n v="0"/>
    <n v="0"/>
    <n v="382627"/>
  </r>
  <r>
    <x v="7"/>
    <s v="2 Other Operating Costs"/>
    <n v="8470540"/>
    <x v="30"/>
    <n v="428112"/>
    <x v="53"/>
    <s v="847.8470540.1.428112.000000.847010.200179"/>
    <n v="1153128"/>
    <n v="1153128"/>
    <n v="711620.8"/>
    <m/>
    <m/>
    <n v="441507.19999999995"/>
    <m/>
    <m/>
    <n v="441507"/>
    <s v="Water"/>
    <n v="0.19999999995343387"/>
    <m/>
    <n v="0.19999999995343387"/>
    <s v="Y"/>
    <m/>
    <n v="1153128"/>
    <n v="860822"/>
    <n v="0"/>
    <n v="0"/>
    <n v="292306"/>
  </r>
  <r>
    <x v="7"/>
    <s v="2 Other Operating Costs"/>
    <n v="8470530"/>
    <x v="29"/>
    <n v="425747"/>
    <x v="54"/>
    <s v="847.8470530.1.425747.000000.847015.200179"/>
    <m/>
    <m/>
    <m/>
    <m/>
    <m/>
    <m/>
    <m/>
    <m/>
    <m/>
    <m/>
    <n v="-3900000"/>
    <s v="Masdar student accomadation FY22. 2022-2025 , AED 29,566,859"/>
    <n v="-3900000"/>
    <s v="Y"/>
    <m/>
    <m/>
    <m/>
    <m/>
    <m/>
    <m/>
  </r>
  <r>
    <x v="7"/>
    <s v="2 Other Operating Costs"/>
    <n v="8470540"/>
    <x v="30"/>
    <n v="428112"/>
    <x v="53"/>
    <s v="847.8470540.1.428112.000000.847015.200179"/>
    <n v="1681399"/>
    <n v="1681399"/>
    <n v="910484.04"/>
    <m/>
    <m/>
    <n v="770914.96"/>
    <m/>
    <m/>
    <n v="770915"/>
    <s v="Water"/>
    <n v="-4.0000000037252903E-2"/>
    <m/>
    <n v="-4.0000000037252903E-2"/>
    <s v="Y"/>
    <m/>
    <n v="1681399"/>
    <n v="1051177.02"/>
    <n v="0"/>
    <n v="0"/>
    <n v="630221.98"/>
  </r>
  <r>
    <x v="7"/>
    <s v="2 Other Operating Costs"/>
    <n v="8470540"/>
    <x v="30"/>
    <n v="428112"/>
    <x v="53"/>
    <s v="847.8470540.1.428112.000000.847020.200179"/>
    <n v="1703132"/>
    <n v="1703132"/>
    <n v="961105.55"/>
    <m/>
    <m/>
    <n v="742026.45"/>
    <m/>
    <m/>
    <n v="742026"/>
    <s v="Water"/>
    <n v="0.44999999995343387"/>
    <m/>
    <n v="0.44999999995343387"/>
    <s v="Y"/>
    <m/>
    <n v="1703132"/>
    <n v="1117309.57"/>
    <n v="0"/>
    <n v="0"/>
    <n v="585822.42999999993"/>
  </r>
  <r>
    <x v="7"/>
    <s v="2 Other Operating Costs"/>
    <n v="8470540"/>
    <x v="30"/>
    <n v="428112"/>
    <x v="53"/>
    <s v="847.8470540.1.428112.000000.847030.200179"/>
    <n v="153570"/>
    <n v="153570"/>
    <m/>
    <m/>
    <m/>
    <n v="153570"/>
    <m/>
    <m/>
    <n v="153570"/>
    <s v="Water"/>
    <n v="0"/>
    <m/>
    <n v="0"/>
    <s v="Y"/>
    <m/>
    <n v="153570"/>
    <n v="0"/>
    <n v="0"/>
    <n v="0"/>
    <n v="153570"/>
  </r>
  <r>
    <x v="7"/>
    <s v="2 Other Operating Costs"/>
    <n v="8470540"/>
    <x v="30"/>
    <n v="429900"/>
    <x v="55"/>
    <s v="847.8470540.1.429900.000000.847010.200179"/>
    <n v="44000"/>
    <n v="44000"/>
    <n v="41250"/>
    <m/>
    <m/>
    <n v="2750"/>
    <m/>
    <m/>
    <m/>
    <m/>
    <n v="2750"/>
    <m/>
    <n v="2750"/>
    <s v="Y"/>
    <m/>
    <n v="44000"/>
    <n v="41250"/>
    <n v="0"/>
    <n v="0"/>
    <n v="2750"/>
  </r>
  <r>
    <x v="7"/>
    <s v="2 Other Operating Costs"/>
    <n v="8470540"/>
    <x v="30"/>
    <n v="430230"/>
    <x v="56"/>
    <s v="847.8470540.1.430230.000000.847001.200179"/>
    <n v="0"/>
    <n v="100000"/>
    <n v="24415"/>
    <n v="0"/>
    <n v="0"/>
    <n v="75585"/>
    <m/>
    <m/>
    <m/>
    <m/>
    <n v="75585"/>
    <m/>
    <n v="75585"/>
    <s v="Y"/>
    <m/>
    <n v="100000"/>
    <n v="24415"/>
    <n v="0"/>
    <n v="0"/>
    <n v="75585"/>
  </r>
  <r>
    <x v="7"/>
    <s v="2 Other Operating Costs"/>
    <n v="8470540"/>
    <x v="30"/>
    <n v="430330"/>
    <x v="57"/>
    <s v="847.8470540.1.430330.000000.847010.200179"/>
    <n v="967680"/>
    <n v="967680"/>
    <n v="14000"/>
    <n v="901610"/>
    <n v="7000"/>
    <n v="45070"/>
    <m/>
    <m/>
    <m/>
    <m/>
    <n v="45070"/>
    <m/>
    <n v="45070"/>
    <s v="Y"/>
    <m/>
    <n v="967680"/>
    <n v="21000"/>
    <n v="20486"/>
    <n v="924512.96"/>
    <n v="1681.0400000000373"/>
  </r>
  <r>
    <x v="7"/>
    <s v="2 Other Operating Costs"/>
    <n v="8470540"/>
    <x v="30"/>
    <n v="432120"/>
    <x v="46"/>
    <s v="847.8470540.1.432120.000000.847010.200179"/>
    <n v="0"/>
    <n v="-367211"/>
    <n v="-367211.82"/>
    <m/>
    <n v="-7.0000000006984905E-2"/>
    <n v="0.89000000001396984"/>
    <m/>
    <m/>
    <m/>
    <m/>
    <n v="0.89000000001396984"/>
    <m/>
    <n v="0.89000000001396984"/>
    <s v="Y"/>
    <m/>
    <n v="-367211"/>
    <n v="-367211.82"/>
    <n v="0"/>
    <n v="-7.0000000006984905E-2"/>
    <n v="0.89000000001396984"/>
  </r>
  <r>
    <x v="7"/>
    <s v="2 Other Operating Costs"/>
    <n v="8470540"/>
    <x v="30"/>
    <n v="432120"/>
    <x v="46"/>
    <s v="847.8470540.1.432120.000000.847020.200179"/>
    <n v="0"/>
    <n v="-241882"/>
    <n v="-242103.6"/>
    <n v="3"/>
    <n v="0"/>
    <n v="218.60000000000582"/>
    <m/>
    <m/>
    <m/>
    <m/>
    <n v="218.60000000000582"/>
    <m/>
    <n v="218.60000000000582"/>
    <s v="Y"/>
    <m/>
    <n v="-241882"/>
    <n v="-242103.6"/>
    <n v="2"/>
    <n v="0"/>
    <n v="219.60000000000582"/>
  </r>
  <r>
    <x v="7"/>
    <s v="2 Other Operating Costs"/>
    <n v="8470540"/>
    <x v="30"/>
    <n v="432540"/>
    <x v="58"/>
    <s v="847.8470540.1.432540.000000.847010.200179"/>
    <n v="140000"/>
    <n v="140000"/>
    <n v="23171.84"/>
    <n v="0"/>
    <m/>
    <n v="116828.16"/>
    <n v="30000"/>
    <n v="30000"/>
    <n v="30000"/>
    <s v="regular car Maintenance"/>
    <n v="26828.160000000003"/>
    <m/>
    <n v="26828.160000000003"/>
    <s v="Y"/>
    <m/>
    <n v="140000"/>
    <n v="23171.84"/>
    <n v="0"/>
    <n v="0"/>
    <n v="116828.16"/>
  </r>
  <r>
    <x v="7"/>
    <s v="2 Other Operating Costs"/>
    <n v="8470540"/>
    <x v="30"/>
    <n v="435410"/>
    <x v="59"/>
    <s v="847.8470540.1.435410.000000.847020.200179"/>
    <n v="0"/>
    <n v="1112782"/>
    <n v="688516.35"/>
    <n v="2.0000000000363798"/>
    <n v="-3.6379788070917097E-11"/>
    <n v="424263.65"/>
    <n v="141421"/>
    <n v="141421"/>
    <n v="141422"/>
    <s v="Catering supplies"/>
    <n v="-0.34999999997671694"/>
    <m/>
    <n v="-0.34999999997671694"/>
    <s v="Y"/>
    <m/>
    <n v="1459395"/>
    <n v="1049921.06"/>
    <n v="2"/>
    <n v="-3.6379788070917097E-11"/>
    <n v="409471.94"/>
  </r>
  <r>
    <x v="7"/>
    <s v="2 Other Operating Costs"/>
    <n v="8470540"/>
    <x v="30"/>
    <n v="435740"/>
    <x v="60"/>
    <s v="847.8470540.1.435740.000000.847010.200179"/>
    <n v="336000"/>
    <n v="336000"/>
    <n v="266719.75"/>
    <m/>
    <m/>
    <n v="69280.25"/>
    <n v="20000"/>
    <n v="20000"/>
    <n v="20000"/>
    <s v="Fuel"/>
    <n v="9280.25"/>
    <m/>
    <n v="9280.25"/>
    <s v="Y"/>
    <m/>
    <n v="336000"/>
    <n v="266719.75"/>
    <n v="0"/>
    <n v="0"/>
    <n v="69280.25"/>
  </r>
  <r>
    <x v="7"/>
    <s v="2 Other Operating Costs"/>
    <n v="8470540"/>
    <x v="30"/>
    <n v="436110"/>
    <x v="31"/>
    <s v="847.8470540.1.436110.000000.847010.200179"/>
    <n v="193910"/>
    <n v="193910"/>
    <n v="107100.78"/>
    <n v="0"/>
    <n v="0"/>
    <n v="86809.22"/>
    <n v="5000"/>
    <n v="5000"/>
    <n v="5000"/>
    <s v="printing cost"/>
    <n v="71809.22"/>
    <m/>
    <n v="71809.22"/>
    <s v="Y"/>
    <m/>
    <n v="107110"/>
    <n v="107100.78"/>
    <n v="0"/>
    <n v="0"/>
    <n v="9.2200000000011642"/>
  </r>
  <r>
    <x v="8"/>
    <s v="2 Other Operating Costs"/>
    <n v="8470610"/>
    <x v="31"/>
    <n v="428090"/>
    <x v="9"/>
    <s v="847.8470610.1.428090.000000.847001.200179"/>
    <n v="0"/>
    <n v="2000"/>
    <m/>
    <m/>
    <m/>
    <n v="2000"/>
    <n v="350"/>
    <m/>
    <m/>
    <m/>
    <n v="1650"/>
    <m/>
    <n v="1650"/>
    <s v="Y"/>
    <m/>
    <n v="6445"/>
    <n v="5845"/>
    <n v="0"/>
    <n v="0"/>
    <n v="600"/>
  </r>
  <r>
    <x v="9"/>
    <s v="2 Other Operating Costs"/>
    <n v="8470620"/>
    <x v="32"/>
    <n v="420130"/>
    <x v="61"/>
    <s v="847.8470620.1.420130.000000.847001.200179"/>
    <n v="295000"/>
    <n v="295000"/>
    <n v="171100"/>
    <m/>
    <m/>
    <n v="123900"/>
    <n v="75750"/>
    <n v="136350"/>
    <m/>
    <s v="*full year audit 2021 50% remaining payment AED 45,450 expected in Q4_x000a__x000a_*ICFR year 2021 50% remaining payment AED 30,300 expected in Q4_x000a_*Mid year 2022 AED 35,350 in Q4_x000a_* full year audit 2022 50% advance AED 70,700 in Q4_x000a_*ICFR year 2022 50% advance AED 30,300 in Q4_x000a_"/>
    <n v="-88200"/>
    <s v="fund required to cover the deficit full year audit"/>
    <n v="-88200"/>
    <s v="Y"/>
    <m/>
    <n v="383200"/>
    <n v="171100"/>
    <n v="0"/>
    <n v="0"/>
    <n v="212100"/>
  </r>
  <r>
    <x v="9"/>
    <s v="2 Other Operating Costs"/>
    <n v="8470620"/>
    <x v="32"/>
    <n v="421100"/>
    <x v="41"/>
    <s v="847.8470620.1.421100.000000.847001.200179"/>
    <n v="431160"/>
    <n v="31160"/>
    <n v="31000"/>
    <m/>
    <m/>
    <n v="160"/>
    <n v="0"/>
    <n v="0"/>
    <n v="0"/>
    <m/>
    <n v="160"/>
    <s v="surplus "/>
    <n v="160"/>
    <s v="Y"/>
    <m/>
    <n v="31160"/>
    <n v="31000"/>
    <n v="0"/>
    <n v="0"/>
    <n v="160"/>
  </r>
  <r>
    <x v="9"/>
    <s v="2 Other Operating Costs"/>
    <n v="8470620"/>
    <x v="32"/>
    <n v="422900"/>
    <x v="62"/>
    <s v="847.8470620.1.422900.000000.847001.200179"/>
    <n v="310500"/>
    <n v="426100"/>
    <n v="322075"/>
    <n v="0"/>
    <n v="104025"/>
    <n v="0"/>
    <n v="91250"/>
    <n v="2880"/>
    <n v="0"/>
    <s v="*required to cover an additional 25,000 assets to be scanned. _x000a_* AED 2880 for assets verification in stores."/>
    <n v="-94130"/>
    <s v="fund required to cover the deficit "/>
    <n v="-94130"/>
    <s v="Y"/>
    <m/>
    <n v="520230"/>
    <n v="384490"/>
    <n v="0"/>
    <n v="132860"/>
    <n v="2880"/>
  </r>
  <r>
    <x v="9"/>
    <s v="2 Other Operating Costs"/>
    <n v="8470620"/>
    <x v="32"/>
    <n v="425300"/>
    <x v="63"/>
    <s v="847.8470620.1.425300.000000.847001.200179"/>
    <n v="3600"/>
    <n v="3600"/>
    <n v="288.14"/>
    <m/>
    <m/>
    <n v="3311.86"/>
    <n v="100"/>
    <n v="100"/>
    <n v="100"/>
    <s v="bank auto charges for the daily transaction"/>
    <n v="3011.86"/>
    <m/>
    <n v="2523.4880000000003"/>
    <s v="N"/>
    <m/>
    <n v="3600"/>
    <n v="445.64"/>
    <n v="0"/>
    <n v="0"/>
    <n v="3154.36"/>
  </r>
  <r>
    <x v="9"/>
    <s v="2 Other Operating Costs"/>
    <n v="8470620"/>
    <x v="32"/>
    <n v="425350"/>
    <x v="64"/>
    <s v="847.8470620.1.425350.000000.847001.200179"/>
    <n v="90000"/>
    <n v="90000"/>
    <n v="72397.169999999896"/>
    <m/>
    <m/>
    <n v="17602.830000000104"/>
    <n v="5867"/>
    <n v="5867"/>
    <n v="5869"/>
    <s v="bank auto charges for the daily transaction"/>
    <n v="-0.16999999989639036"/>
    <m/>
    <n v="-0.16999999989639036"/>
    <s v="Y"/>
    <m/>
    <n v="124500"/>
    <n v="94431.34"/>
    <n v="0"/>
    <n v="0"/>
    <n v="30068.660000000003"/>
  </r>
  <r>
    <x v="9"/>
    <s v="2 Other Operating Costs"/>
    <n v="8470620"/>
    <x v="32"/>
    <n v="426610"/>
    <x v="8"/>
    <s v="847.8470620.1.426610.000000.847001.200179"/>
    <n v="31680"/>
    <n v="31680"/>
    <m/>
    <n v="0"/>
    <n v="31680"/>
    <n v="0"/>
    <n v="0"/>
    <n v="0"/>
    <n v="0"/>
    <m/>
    <n v="0"/>
    <m/>
    <n v="0"/>
    <s v="Y"/>
    <m/>
    <n v="31680"/>
    <n v="31680"/>
    <n v="0"/>
    <n v="0"/>
    <n v="0"/>
  </r>
  <r>
    <x v="9"/>
    <s v="2 Other Operating Costs"/>
    <n v="8470620"/>
    <x v="32"/>
    <n v="436110"/>
    <x v="31"/>
    <s v="847.8470620.1.436110.000000.847001.200179"/>
    <n v="0"/>
    <m/>
    <n v="0"/>
    <m/>
    <m/>
    <n v="0"/>
    <m/>
    <m/>
    <m/>
    <m/>
    <n v="0"/>
    <m/>
    <n v="0"/>
    <s v="Y"/>
    <m/>
    <n v="0"/>
    <n v="0"/>
    <n v="0"/>
    <n v="0"/>
    <n v="0"/>
  </r>
  <r>
    <x v="9"/>
    <s v="2 Other Operating Costs"/>
    <n v="8470620"/>
    <x v="32"/>
    <n v="436120"/>
    <x v="65"/>
    <s v="847.8470620.1.436120.000000.847001.200179"/>
    <n v="2500"/>
    <n v="13750"/>
    <m/>
    <m/>
    <m/>
    <n v="13750"/>
    <n v="6150"/>
    <n v="4720"/>
    <m/>
    <s v="assets tags payment processed in October"/>
    <n v="2880"/>
    <m/>
    <n v="2880"/>
    <s v="Y"/>
    <m/>
    <n v="10870"/>
    <n v="6150"/>
    <n v="0"/>
    <n v="0"/>
    <n v="4720"/>
  </r>
  <r>
    <x v="9"/>
    <s v="2 Other Operating Costs"/>
    <n v="8470620"/>
    <x v="32"/>
    <n v="422900"/>
    <x v="62"/>
    <s v="847.8470620.1.422900.000000.847001.200179"/>
    <m/>
    <m/>
    <m/>
    <m/>
    <m/>
    <n v="0"/>
    <n v="0"/>
    <n v="0"/>
    <m/>
    <s v="ICFR implementation &amp; gab analysis development based on COSO framework.  The rate as per commercial proposal received from Grant Thornton"/>
    <n v="-290000"/>
    <s v="fund required to cover the deficit "/>
    <n v="0"/>
    <s v="Y"/>
    <m/>
    <n v="0"/>
    <n v="0"/>
    <n v="0"/>
    <n v="0"/>
    <n v="0"/>
  </r>
  <r>
    <x v="8"/>
    <s v="2 Other Operating Costs"/>
    <n v="8470610"/>
    <x v="31"/>
    <n v="425900"/>
    <x v="66"/>
    <s v="847.8470610.1.425900.000000.847001.200179"/>
    <n v="0"/>
    <m/>
    <m/>
    <m/>
    <m/>
    <n v="0"/>
    <n v="2000"/>
    <m/>
    <m/>
    <m/>
    <n v="-2000"/>
    <s v="fund required to cover the deficit "/>
    <n v="-2000"/>
    <s v="Y"/>
    <m/>
    <n v="0"/>
    <n v="0"/>
    <n v="0"/>
    <n v="0"/>
    <n v="0"/>
  </r>
  <r>
    <x v="9"/>
    <s v="2 Other Operating Costs"/>
    <n v="8470620"/>
    <x v="32"/>
    <n v="428090"/>
    <x v="9"/>
    <s v="847.8470620.1.428090.000000.847001.200179"/>
    <n v="0"/>
    <m/>
    <m/>
    <m/>
    <m/>
    <n v="0"/>
    <n v="5080"/>
    <n v="0"/>
    <m/>
    <s v="*AED 2280 Registration fees for (8 staff * 285) visiting GITEX exhibition during 10th to 14th Oct 2022_x000a_*DTR to GITEX 8 staff *350 tranportation = 2800"/>
    <n v="-5080"/>
    <s v="fund required to cover the deficit "/>
    <n v="-5080"/>
    <s v="Y"/>
    <m/>
    <n v="0"/>
    <n v="0"/>
    <n v="0"/>
    <n v="0"/>
    <n v="0"/>
  </r>
  <r>
    <x v="10"/>
    <s v="2 Other Operating Costs"/>
    <n v="8470720"/>
    <x v="33"/>
    <n v="421700"/>
    <x v="4"/>
    <s v="847.8470720.1.421700.000000.847001.200179"/>
    <n v="2000"/>
    <n v="24000"/>
    <m/>
    <n v="20000"/>
    <m/>
    <n v="4000"/>
    <m/>
    <m/>
    <m/>
    <m/>
    <n v="4000"/>
    <m/>
    <n v="9600"/>
    <s v="N"/>
    <m/>
    <n v="24000"/>
    <n v="0"/>
    <n v="0"/>
    <n v="12000"/>
    <n v="12000"/>
  </r>
  <r>
    <x v="10"/>
    <s v="2 Other Operating Costs"/>
    <n v="8470720"/>
    <x v="33"/>
    <n v="426610"/>
    <x v="8"/>
    <s v="847.8470720.1.426610.000000.847001.200179"/>
    <n v="0"/>
    <n v="7300"/>
    <m/>
    <n v="6901.65"/>
    <m/>
    <n v="398.35000000000036"/>
    <m/>
    <m/>
    <m/>
    <m/>
    <n v="398.35000000000036"/>
    <m/>
    <n v="823.2"/>
    <s v="N"/>
    <m/>
    <n v="7300"/>
    <n v="0"/>
    <n v="0"/>
    <n v="6271"/>
    <n v="1029"/>
  </r>
  <r>
    <x v="10"/>
    <s v="2 Other Operating Costs"/>
    <n v="8470720"/>
    <x v="33"/>
    <n v="426900"/>
    <x v="51"/>
    <s v="847.8470720.1.426900.000000.847001.200179"/>
    <n v="10000"/>
    <n v="15000"/>
    <n v="9274.24"/>
    <m/>
    <m/>
    <n v="5725.76"/>
    <m/>
    <m/>
    <m/>
    <m/>
    <n v="5725.76"/>
    <m/>
    <n v="4268.1440000000002"/>
    <s v="N"/>
    <m/>
    <n v="15000"/>
    <n v="9664.82"/>
    <n v="0"/>
    <n v="0"/>
    <n v="5335.18"/>
  </r>
  <r>
    <x v="10"/>
    <s v="2 Other Operating Costs"/>
    <n v="8470720"/>
    <x v="33"/>
    <n v="428200"/>
    <x v="39"/>
    <s v="847.8470720.1.428200.000000.847001.200179"/>
    <n v="250000"/>
    <n v="350000"/>
    <n v="231002.99"/>
    <n v="-7.2759576141834308E-12"/>
    <n v="20020"/>
    <n v="98977.010000000009"/>
    <m/>
    <m/>
    <m/>
    <m/>
    <n v="98977.010000000009"/>
    <m/>
    <n v="4551.2080000000078"/>
    <s v="N"/>
    <m/>
    <n v="350000"/>
    <n v="291642.99"/>
    <n v="0"/>
    <n v="52668"/>
    <n v="5689.0100000000093"/>
  </r>
  <r>
    <x v="10"/>
    <s v="2 Other Operating Costs"/>
    <n v="8470720"/>
    <x v="33"/>
    <n v="432120"/>
    <x v="46"/>
    <s v="847.8470720.1.432120.000000.847001.200179"/>
    <n v="236400"/>
    <n v="54400"/>
    <n v="1250"/>
    <n v="52100"/>
    <m/>
    <n v="1050"/>
    <m/>
    <m/>
    <m/>
    <m/>
    <n v="1050"/>
    <m/>
    <n v="2760"/>
    <s v="N"/>
    <m/>
    <n v="54400"/>
    <n v="1250"/>
    <n v="0"/>
    <n v="49700"/>
    <n v="3450"/>
  </r>
  <r>
    <x v="10"/>
    <s v="2 Other Operating Costs"/>
    <n v="8470720"/>
    <x v="33"/>
    <n v="435410"/>
    <x v="59"/>
    <s v="847.8470720.1.435410.000000.847001.200179"/>
    <n v="840000"/>
    <n v="164310"/>
    <n v="163340.39000000001"/>
    <n v="0"/>
    <n v="450"/>
    <n v="519.60999999998603"/>
    <m/>
    <m/>
    <m/>
    <m/>
    <n v="519.60999999998603"/>
    <m/>
    <n v="415.68799999998885"/>
    <s v="N"/>
    <m/>
    <n v="164310"/>
    <n v="163340.39000000001"/>
    <n v="0"/>
    <n v="450"/>
    <n v="519.60999999998603"/>
  </r>
  <r>
    <x v="10"/>
    <s v="2 Other Operating Costs"/>
    <n v="8470720"/>
    <x v="33"/>
    <n v="436110"/>
    <x v="31"/>
    <s v="847.8470720.1.436110.000000.847001.200179"/>
    <n v="50000"/>
    <n v="37700"/>
    <n v="12853.5"/>
    <n v="0"/>
    <m/>
    <n v="24846.5"/>
    <m/>
    <m/>
    <m/>
    <m/>
    <n v="24846.5"/>
    <m/>
    <n v="19877.2"/>
    <s v="N"/>
    <m/>
    <n v="37700"/>
    <n v="12853.5"/>
    <n v="0"/>
    <n v="0"/>
    <n v="24846.5"/>
  </r>
  <r>
    <x v="10"/>
    <s v="2 Other Operating Costs"/>
    <n v="8470720"/>
    <x v="33"/>
    <n v="436120"/>
    <x v="65"/>
    <s v="847.8470720.1.436120.000000.847001.200179"/>
    <n v="120000"/>
    <n v="180000"/>
    <n v="163228.88"/>
    <n v="53.010000000002002"/>
    <n v="8021.99999999999"/>
    <n v="8696.1100000000042"/>
    <m/>
    <m/>
    <m/>
    <m/>
    <n v="8696.1100000000042"/>
    <m/>
    <n v="6956.8880000000136"/>
    <s v="N"/>
    <m/>
    <n v="180000"/>
    <n v="171250.88"/>
    <n v="53.01"/>
    <n v="-2.18278728425503E-11"/>
    <n v="8696.110000000017"/>
  </r>
  <r>
    <x v="11"/>
    <s v="2 Other Operating Costs"/>
    <n v="8470730"/>
    <x v="34"/>
    <n v="421000"/>
    <x v="3"/>
    <s v="847.8470730.1.421000.000000.847001.200179"/>
    <n v="300000"/>
    <n v="600000"/>
    <n v="2000"/>
    <n v="-2.91038304567337E-11"/>
    <n v="345051.9"/>
    <n v="252948.09999999998"/>
    <m/>
    <m/>
    <m/>
    <m/>
    <n v="252948.09999999998"/>
    <m/>
    <n v="31365.679999999982"/>
    <s v="N"/>
    <m/>
    <n v="600000"/>
    <n v="6026"/>
    <n v="0"/>
    <n v="554766.9"/>
    <n v="39207.099999999977"/>
  </r>
  <r>
    <x v="11"/>
    <s v="2 Other Operating Costs"/>
    <n v="8470730"/>
    <x v="34"/>
    <n v="425510"/>
    <x v="5"/>
    <s v="847.8470730.1.425510.000000.847001.200179"/>
    <n v="50000"/>
    <n v="42000"/>
    <n v="12490"/>
    <m/>
    <m/>
    <n v="29510"/>
    <m/>
    <m/>
    <m/>
    <m/>
    <n v="29510"/>
    <m/>
    <n v="23048"/>
    <s v="N"/>
    <m/>
    <n v="42000"/>
    <n v="13190"/>
    <n v="0"/>
    <n v="0"/>
    <n v="28810"/>
  </r>
  <r>
    <x v="11"/>
    <s v="2 Other Operating Costs"/>
    <n v="8470730"/>
    <x v="34"/>
    <n v="425900"/>
    <x v="7"/>
    <s v="847.8470730.1.425900.000000.847001.200179"/>
    <n v="250000"/>
    <n v="250000"/>
    <n v="650"/>
    <n v="144600"/>
    <m/>
    <n v="104750"/>
    <m/>
    <m/>
    <m/>
    <m/>
    <n v="104750"/>
    <m/>
    <n v="83800"/>
    <s v="N"/>
    <m/>
    <n v="250000"/>
    <n v="650"/>
    <n v="0"/>
    <n v="144600"/>
    <n v="104750"/>
  </r>
  <r>
    <x v="11"/>
    <s v="2 Other Operating Costs"/>
    <n v="8470730"/>
    <x v="34"/>
    <n v="426610"/>
    <x v="8"/>
    <s v="847.8470730.1.426610.000000.847001.200179"/>
    <n v="600000"/>
    <n v="300000"/>
    <n v="165285"/>
    <n v="0"/>
    <n v="17000"/>
    <n v="117715"/>
    <m/>
    <m/>
    <m/>
    <m/>
    <n v="117715"/>
    <m/>
    <n v="93372"/>
    <s v="N"/>
    <m/>
    <n v="300000"/>
    <n v="165285"/>
    <n v="0"/>
    <n v="18000"/>
    <n v="116715"/>
  </r>
  <r>
    <x v="11"/>
    <s v="2 Other Operating Costs"/>
    <n v="8470730"/>
    <x v="34"/>
    <n v="427900"/>
    <x v="67"/>
    <s v="847.8470730.1.427900.000000.847001.200179"/>
    <n v="10000"/>
    <n v="10000"/>
    <m/>
    <m/>
    <m/>
    <n v="10000"/>
    <m/>
    <m/>
    <m/>
    <m/>
    <n v="10000"/>
    <m/>
    <n v="8000"/>
    <s v="N"/>
    <m/>
    <n v="10000"/>
    <n v="0"/>
    <n v="0"/>
    <n v="0"/>
    <n v="10000"/>
  </r>
  <r>
    <x v="11"/>
    <s v="2 Other Operating Costs"/>
    <n v="8470730"/>
    <x v="34"/>
    <n v="428090"/>
    <x v="9"/>
    <s v="847.8470730.1.428090.000000.847001.200179"/>
    <n v="0"/>
    <n v="8000"/>
    <n v="8000"/>
    <m/>
    <m/>
    <n v="0"/>
    <m/>
    <m/>
    <m/>
    <m/>
    <n v="0"/>
    <m/>
    <n v="0"/>
    <s v="N"/>
    <m/>
    <n v="8000"/>
    <n v="8000"/>
    <n v="0"/>
    <n v="0"/>
    <n v="0"/>
  </r>
  <r>
    <x v="11"/>
    <s v="2 Other Operating Costs"/>
    <n v="8470730"/>
    <x v="34"/>
    <n v="428640"/>
    <x v="11"/>
    <s v="847.8470730.1.428640.000000.847001.200179"/>
    <n v="250000"/>
    <n v="132134"/>
    <n v="47510.1"/>
    <n v="0"/>
    <n v="0"/>
    <n v="84623.9"/>
    <m/>
    <m/>
    <m/>
    <m/>
    <n v="84623.9"/>
    <m/>
    <n v="56699.119999999995"/>
    <s v="N"/>
    <m/>
    <n v="132134"/>
    <n v="47510.1"/>
    <n v="13750"/>
    <n v="0"/>
    <n v="70873.899999999994"/>
  </r>
  <r>
    <x v="11"/>
    <s v="2 Other Operating Costs"/>
    <n v="8470730"/>
    <x v="34"/>
    <n v="436110"/>
    <x v="31"/>
    <s v="847.8470730.1.436110.000000.847001.200179"/>
    <n v="50000"/>
    <n v="50000"/>
    <n v="11620"/>
    <n v="0"/>
    <n v="32500"/>
    <n v="5880"/>
    <m/>
    <m/>
    <m/>
    <m/>
    <n v="5880"/>
    <m/>
    <n v="3696"/>
    <s v="N"/>
    <m/>
    <n v="50000"/>
    <n v="15780"/>
    <n v="0"/>
    <n v="29600"/>
    <n v="4620"/>
  </r>
  <r>
    <x v="12"/>
    <s v="2 Other Operating Costs"/>
    <n v="8470810"/>
    <x v="35"/>
    <n v="420811"/>
    <x v="68"/>
    <s v="847.8470810.1.420811.000000.847001.200179"/>
    <n v="0"/>
    <n v="10351793"/>
    <n v="10221106"/>
    <m/>
    <m/>
    <n v="130687"/>
    <m/>
    <m/>
    <n v="130687"/>
    <m/>
    <n v="0"/>
    <s v="Initial budget estimation"/>
    <n v="0"/>
    <s v="Y"/>
    <m/>
    <n v="10351793"/>
    <n v="10226277.23"/>
    <n v="0"/>
    <n v="0"/>
    <n v="125515.76999999955"/>
  </r>
  <r>
    <x v="12"/>
    <s v="2 Other Operating Costs"/>
    <n v="8470810"/>
    <x v="35"/>
    <n v="421100"/>
    <x v="41"/>
    <s v="847.8470810.1.421100.000000.847001.200179"/>
    <n v="7465192"/>
    <n v="445192"/>
    <n v="-189882.07"/>
    <n v="0"/>
    <n v="563543.22"/>
    <n v="71530.850000000093"/>
    <m/>
    <m/>
    <m/>
    <m/>
    <n v="71530.850000000093"/>
    <s v="Outstanding amount after transfer of manpower resourses to Chapter 1 as per DGS contract"/>
    <n v="71530.850000000093"/>
    <s v="Y"/>
    <m/>
    <n v="445192"/>
    <n v="-189882.07"/>
    <n v="0"/>
    <n v="563543.22"/>
    <n v="71530.850000000093"/>
  </r>
  <r>
    <x v="12"/>
    <s v="2 Other Operating Costs"/>
    <n v="8470810"/>
    <x v="35"/>
    <n v="426610"/>
    <x v="8"/>
    <s v="847.8470810.1.426610.000000.847001.200179"/>
    <n v="8612571"/>
    <n v="7589571"/>
    <n v="4052414.96"/>
    <n v="1146207.08"/>
    <n v="2297253.5699999998"/>
    <n v="93695.39000000013"/>
    <n v="64312.5"/>
    <m/>
    <m/>
    <s v="New request from CTL to publish Virtual Desktops requires additional subscription"/>
    <n v="29382.89000000013"/>
    <s v="Initial budget estimation."/>
    <n v="29382.89000000013"/>
    <s v="Y"/>
    <m/>
    <n v="7595071"/>
    <n v="4382852.83"/>
    <n v="273866.23"/>
    <n v="2935326.88"/>
    <n v="3025.0600000000559"/>
  </r>
  <r>
    <x v="12"/>
    <s v="2 Other Operating Costs"/>
    <n v="8470810"/>
    <x v="35"/>
    <n v="427810"/>
    <x v="69"/>
    <s v="847.8470810.1.427810.000000.847001.200179"/>
    <n v="800000"/>
    <n v="1205000"/>
    <n v="946683.89"/>
    <m/>
    <m/>
    <n v="258316.11"/>
    <n v="1480000"/>
    <n v="55000"/>
    <n v="55000"/>
    <s v="KU Q3&amp; Q4 Telephoony &amp; mobile bills"/>
    <n v="-1331683.8900000001"/>
    <s v="Amount needed to process old Etisalat Invoices ex.PI for 2019-20-21"/>
    <n v="0"/>
    <s v="Y"/>
    <m/>
    <n v="2620114"/>
    <n v="1138866.56"/>
    <n v="0"/>
    <n v="0"/>
    <n v="1481247.44"/>
  </r>
  <r>
    <x v="12"/>
    <s v="2 Other Operating Costs"/>
    <n v="8470810"/>
    <x v="35"/>
    <n v="427850"/>
    <x v="70"/>
    <s v="847.8470810.1.427850.000000.847001.200179"/>
    <n v="2618028"/>
    <n v="2213028"/>
    <n v="1465268.54"/>
    <m/>
    <m/>
    <n v="747759.46"/>
    <n v="387759.45999999996"/>
    <n v="180000"/>
    <n v="180000"/>
    <s v="Q3-Q4 Internet Bills"/>
    <n v="0"/>
    <m/>
    <n v="0"/>
    <s v="Y"/>
    <m/>
    <n v="2198728"/>
    <n v="1718658.34"/>
    <n v="0"/>
    <n v="0"/>
    <n v="480069.65999999992"/>
  </r>
  <r>
    <x v="12"/>
    <s v="2 Other Operating Costs"/>
    <n v="8470810"/>
    <x v="35"/>
    <n v="428090"/>
    <x v="9"/>
    <s v="847.8470810.1.428090.000000.847001.200179"/>
    <n v="11500"/>
    <n v="6334"/>
    <n v="4400"/>
    <m/>
    <m/>
    <n v="1934"/>
    <n v="1934"/>
    <m/>
    <m/>
    <s v="Travel to DR site and Events in UAE "/>
    <n v="0"/>
    <m/>
    <n v="0"/>
    <s v="Y"/>
    <m/>
    <n v="27451"/>
    <n v="4400"/>
    <n v="0"/>
    <n v="0"/>
    <n v="23051"/>
  </r>
  <r>
    <x v="12"/>
    <s v="2 Other Operating Costs"/>
    <n v="8470810"/>
    <x v="35"/>
    <n v="430250"/>
    <x v="71"/>
    <s v="847.8470810.1.430250.000000.847001.200179"/>
    <n v="0"/>
    <n v="1034317"/>
    <n v="754866.67"/>
    <n v="-8.7311491370201098E-11"/>
    <n v="265899.09999999998"/>
    <n v="13551.230000000098"/>
    <m/>
    <m/>
    <m/>
    <m/>
    <n v="13551.230000000098"/>
    <m/>
    <n v="13551.230000000098"/>
    <s v="Y"/>
    <m/>
    <n v="1022000"/>
    <n v="754866.67"/>
    <n v="0"/>
    <n v="265899.09999999998"/>
    <n v="1234.2299999999814"/>
  </r>
  <r>
    <x v="12"/>
    <s v="2 Other Operating Costs"/>
    <n v="8470810"/>
    <x v="35"/>
    <n v="432205"/>
    <x v="24"/>
    <s v="847.8470810.1.432205.000000.847001.200179"/>
    <n v="1475000"/>
    <n v="1505000"/>
    <n v="598441.93999999994"/>
    <n v="-2.6193447411060302E-10"/>
    <n v="841859.39999999898"/>
    <n v="64698.660000001313"/>
    <n v="64699"/>
    <m/>
    <m/>
    <s v="Network Maintenance Bill -  Call-out agreement"/>
    <n v="-0.33999999868683517"/>
    <s v="Initial budget estimation"/>
    <n v="-0.33999999868683517"/>
    <s v="Y"/>
    <m/>
    <n v="1505000"/>
    <n v="1258143.1399999999"/>
    <n v="60000"/>
    <n v="137290.99999999901"/>
    <n v="49565.860000001092"/>
  </r>
  <r>
    <x v="12"/>
    <s v="2 Other Operating Costs"/>
    <n v="8470810"/>
    <x v="35"/>
    <n v="432226"/>
    <x v="72"/>
    <s v="847.8470810.1.432226.000000.847001.200179"/>
    <n v="0"/>
    <n v="360000"/>
    <n v="266260.51"/>
    <m/>
    <m/>
    <n v="93739.489999999991"/>
    <n v="31739"/>
    <n v="31000"/>
    <n v="31000"/>
    <s v="Q3-Q4 Printing Bills"/>
    <n v="0.48999999999068677"/>
    <m/>
    <n v="0.48999999999068677"/>
    <s v="Y"/>
    <m/>
    <n v="360000"/>
    <n v="330656.21000000002"/>
    <n v="0"/>
    <n v="0"/>
    <n v="29343.789999999979"/>
  </r>
  <r>
    <x v="13"/>
    <s v="2 Other Operating Costs"/>
    <n v="8471010"/>
    <x v="36"/>
    <n v="425100"/>
    <x v="14"/>
    <s v="847.8471010.1.425100.000000.847001.200179"/>
    <n v="107500"/>
    <n v="107500"/>
    <m/>
    <n v="0"/>
    <n v="105000"/>
    <n v="2500"/>
    <m/>
    <m/>
    <m/>
    <m/>
    <n v="2500"/>
    <m/>
    <n v="2500"/>
    <s v="Y"/>
    <m/>
    <n v="107500"/>
    <n v="0"/>
    <n v="0"/>
    <n v="105000"/>
    <n v="2500"/>
  </r>
  <r>
    <x v="13"/>
    <s v="2 Other Operating Costs"/>
    <n v="8471010"/>
    <x v="36"/>
    <n v="425510"/>
    <x v="5"/>
    <s v="847.8471010.1.425510.000000.847001.200179"/>
    <n v="100000"/>
    <n v="94000"/>
    <m/>
    <m/>
    <m/>
    <n v="94000"/>
    <m/>
    <m/>
    <n v="94000"/>
    <m/>
    <n v="0"/>
    <s v="The amount will be fully utilized at the end of the year. Some part of the amount will be transferred to other item due to budget shortage budget. "/>
    <n v="0"/>
    <s v="Y"/>
    <m/>
    <n v="94000"/>
    <n v="5876.8"/>
    <n v="0"/>
    <n v="0"/>
    <n v="88123.199999999997"/>
  </r>
  <r>
    <x v="13"/>
    <s v="2 Other Operating Costs"/>
    <n v="8471010"/>
    <x v="36"/>
    <n v="425550"/>
    <x v="6"/>
    <s v="847.8471010.1.425550.000000.847001.200179"/>
    <n v="0"/>
    <n v="6000"/>
    <m/>
    <m/>
    <m/>
    <n v="6000"/>
    <m/>
    <m/>
    <m/>
    <m/>
    <n v="6000"/>
    <s v="The full budget aleady been used in July Request No: DTR7/5/2022-1234."/>
    <n v="6000"/>
    <s v="Y"/>
    <m/>
    <n v="6000"/>
    <n v="0"/>
    <n v="0"/>
    <n v="0"/>
    <n v="6000"/>
  </r>
  <r>
    <x v="13"/>
    <s v="2 Other Operating Costs"/>
    <n v="8471010"/>
    <x v="36"/>
    <n v="425720"/>
    <x v="37"/>
    <s v="847.8471010.1.425720.000000.847001.200179"/>
    <n v="76120"/>
    <n v="76120"/>
    <n v="62280"/>
    <m/>
    <m/>
    <n v="13840"/>
    <m/>
    <m/>
    <m/>
    <m/>
    <n v="13840"/>
    <s v="Funds will be fully utilized at the end of the year. "/>
    <n v="13840"/>
    <s v="Y"/>
    <m/>
    <n v="76120"/>
    <n v="69200"/>
    <n v="0"/>
    <n v="0"/>
    <n v="6920"/>
  </r>
  <r>
    <x v="13"/>
    <s v="2 Other Operating Costs"/>
    <n v="8471010"/>
    <x v="36"/>
    <n v="425900"/>
    <x v="7"/>
    <s v="847.8471010.1.425900.000000.847001.200179"/>
    <n v="162500"/>
    <n v="162500"/>
    <m/>
    <m/>
    <m/>
    <n v="162500"/>
    <m/>
    <m/>
    <m/>
    <n v="162500"/>
    <n v="162500"/>
    <s v="Payment has not yet been processed for some invoices. Funds will be fully utilized at the end of the year."/>
    <n v="162500"/>
    <s v="Y"/>
    <m/>
    <n v="133075"/>
    <n v="0"/>
    <n v="0"/>
    <n v="0"/>
    <n v="133075"/>
  </r>
  <r>
    <x v="13"/>
    <s v="2 Other Operating Costs"/>
    <n v="8471010"/>
    <x v="36"/>
    <n v="436110"/>
    <x v="31"/>
    <s v="847.8471010.1.436110.000000.847001.200179"/>
    <n v="50625"/>
    <n v="50625"/>
    <m/>
    <m/>
    <m/>
    <n v="50625"/>
    <m/>
    <m/>
    <m/>
    <n v="50625"/>
    <n v="50625"/>
    <s v="Payment has not yet been processed for some invoices. Funds will be fully utilized at the end of the year."/>
    <n v="50625"/>
    <s v="Y"/>
    <m/>
    <n v="50625"/>
    <n v="0"/>
    <n v="0"/>
    <n v="0"/>
    <n v="50625"/>
  </r>
  <r>
    <x v="13"/>
    <s v="2 Other Operating Costs"/>
    <n v="8471010"/>
    <x v="36"/>
    <n v="436120"/>
    <x v="65"/>
    <s v="847.8471010.1.436120.000000.847001.200179"/>
    <n v="5625"/>
    <n v="5625"/>
    <m/>
    <m/>
    <m/>
    <n v="5625"/>
    <m/>
    <m/>
    <m/>
    <m/>
    <n v="5625"/>
    <s v="The full amount already been used. "/>
    <n v="5625"/>
    <s v="Y"/>
    <m/>
    <n v="5625"/>
    <n v="0"/>
    <n v="0"/>
    <n v="0"/>
    <n v="5625"/>
  </r>
  <r>
    <x v="14"/>
    <s v="2 Other Operating Costs"/>
    <n v="8471110"/>
    <x v="37"/>
    <n v="425900"/>
    <x v="7"/>
    <s v="847.8471110.1.425900.000000.847001.200179"/>
    <n v="30000"/>
    <n v="28000"/>
    <m/>
    <m/>
    <m/>
    <n v="28000"/>
    <m/>
    <n v="14000"/>
    <n v="14000"/>
    <s v="This will be used for upcoming workshop"/>
    <n v="0"/>
    <s v="None"/>
    <n v="0"/>
    <s v="Y"/>
    <m/>
    <n v="28000"/>
    <n v="0"/>
    <n v="0"/>
    <n v="0"/>
    <n v="28000"/>
  </r>
  <r>
    <x v="14"/>
    <s v="2 Other Operating Costs"/>
    <n v="8471110"/>
    <x v="37"/>
    <n v="427710"/>
    <x v="13"/>
    <s v="847.8471110.1.427710.000000.847001.200179"/>
    <n v="428951"/>
    <n v="428951"/>
    <n v="19687.28"/>
    <n v="0"/>
    <n v="299294.42"/>
    <n v="109969.29999999999"/>
    <m/>
    <n v="50000"/>
    <n v="59368"/>
    <s v="This will be used for other Subscrpitions"/>
    <n v="601.29999999998836"/>
    <s v="None"/>
    <n v="601.29999999998836"/>
    <s v="Y"/>
    <m/>
    <n v="403951"/>
    <n v="30706.28"/>
    <n v="0"/>
    <n v="299294.42"/>
    <n v="73950.299999999988"/>
  </r>
  <r>
    <x v="14"/>
    <s v="2 Other Operating Costs"/>
    <n v="8471110"/>
    <x v="37"/>
    <n v="428090"/>
    <x v="9"/>
    <s v="847.8471110.1.428090.000000.847001.200179"/>
    <n v="100000"/>
    <n v="27246"/>
    <m/>
    <m/>
    <m/>
    <n v="27246"/>
    <m/>
    <m/>
    <n v="27246"/>
    <s v="Business travel and conferences in Q3 &amp; Q4"/>
    <n v="0"/>
    <s v="None"/>
    <n v="0"/>
    <s v="Y"/>
    <m/>
    <n v="52246"/>
    <n v="21955"/>
    <n v="0"/>
    <n v="0"/>
    <n v="30291"/>
  </r>
  <r>
    <x v="14"/>
    <s v="2 Other Operating Costs"/>
    <n v="8471110"/>
    <x v="37"/>
    <n v="435508"/>
    <x v="33"/>
    <s v="847.8471110.1.435508.000000.847001.200179"/>
    <n v="0"/>
    <n v="2000"/>
    <n v="1875"/>
    <m/>
    <m/>
    <n v="125"/>
    <m/>
    <m/>
    <m/>
    <m/>
    <n v="125"/>
    <m/>
    <n v="125"/>
    <s v="Y"/>
    <m/>
    <n v="2000"/>
    <n v="1875"/>
    <n v="0"/>
    <n v="0"/>
    <n v="125"/>
  </r>
  <r>
    <x v="14"/>
    <s v="2 Other Operating Costs"/>
    <n v="8471120"/>
    <x v="38"/>
    <n v="425900"/>
    <x v="7"/>
    <s v="847.8471120.1.425900.000000.847001.200179"/>
    <n v="110000"/>
    <n v="110000"/>
    <m/>
    <m/>
    <m/>
    <n v="110000"/>
    <n v="0"/>
    <n v="50000"/>
    <n v="60000"/>
    <s v="We will hold two workshops in November and December one with TAU and the other with UAEREP."/>
    <n v="0"/>
    <m/>
    <n v="0"/>
    <s v="Y"/>
    <m/>
    <n v="110000"/>
    <n v="0"/>
    <n v="0"/>
    <n v="0"/>
    <n v="110000"/>
  </r>
  <r>
    <x v="14"/>
    <s v="2 Other Operating Costs"/>
    <n v="8471120"/>
    <x v="38"/>
    <n v="428090"/>
    <x v="9"/>
    <s v="847.8471120.1.428090.000000.847001.200179"/>
    <n v="220000"/>
    <n v="59942"/>
    <m/>
    <m/>
    <m/>
    <n v="59942"/>
    <n v="0"/>
    <n v="19000"/>
    <n v="40942"/>
    <s v="We plan to use it in December for the Advisory committee meeting and keynote visits. Also, we have outbound travel to Japan for the joined TII-KU competition."/>
    <n v="0"/>
    <m/>
    <n v="0"/>
    <s v="Y"/>
    <m/>
    <n v="59942"/>
    <n v="8721"/>
    <n v="0"/>
    <n v="0"/>
    <n v="51221"/>
  </r>
  <r>
    <x v="14"/>
    <s v="2 Other Operating Costs"/>
    <n v="8471120"/>
    <x v="38"/>
    <n v="429900"/>
    <x v="55"/>
    <s v="847.8471120.1.429900.000000.847001.200179"/>
    <n v="55510"/>
    <n v="55510"/>
    <m/>
    <m/>
    <m/>
    <n v="55510"/>
    <n v="10000"/>
    <n v="22755"/>
    <n v="22755"/>
    <s v="Institute-wide software platforms"/>
    <n v="0"/>
    <m/>
    <n v="0"/>
    <s v="Y"/>
    <m/>
    <n v="55510"/>
    <n v="0"/>
    <n v="0"/>
    <n v="0"/>
    <n v="55510"/>
  </r>
  <r>
    <x v="14"/>
    <s v="2 Other Operating Costs"/>
    <n v="8471120"/>
    <x v="38"/>
    <n v="435523"/>
    <x v="22"/>
    <s v="847.8471120.1.435523.000000.847001.200179"/>
    <n v="25510"/>
    <n v="0"/>
    <m/>
    <m/>
    <m/>
    <n v="0"/>
    <m/>
    <m/>
    <m/>
    <m/>
    <n v="0"/>
    <m/>
    <n v="0"/>
    <s v="Y"/>
    <m/>
    <n v="0"/>
    <n v="0"/>
    <n v="0"/>
    <n v="0"/>
    <n v="0"/>
  </r>
  <r>
    <x v="14"/>
    <s v="2 Other Operating Costs"/>
    <n v="8471121"/>
    <x v="39"/>
    <n v="425510"/>
    <x v="5"/>
    <s v="847.8471121.1.425510.000000.847001.200179"/>
    <n v="50000"/>
    <n v="50000"/>
    <m/>
    <m/>
    <m/>
    <n v="50000"/>
    <m/>
    <m/>
    <m/>
    <m/>
    <n v="50000"/>
    <m/>
    <n v="50000"/>
    <s v="Y"/>
    <m/>
    <n v="50000"/>
    <n v="0"/>
    <n v="0"/>
    <n v="0"/>
    <n v="50000"/>
  </r>
  <r>
    <x v="14"/>
    <s v="2 Other Operating Costs"/>
    <n v="8471121"/>
    <x v="39"/>
    <n v="425900"/>
    <x v="7"/>
    <s v="847.8471121.1.425900.000000.847001.200179"/>
    <n v="15000"/>
    <n v="15000"/>
    <m/>
    <m/>
    <m/>
    <n v="15000"/>
    <m/>
    <m/>
    <m/>
    <m/>
    <n v="15000"/>
    <m/>
    <n v="15000"/>
    <s v="Y"/>
    <m/>
    <n v="15000"/>
    <n v="0"/>
    <n v="0"/>
    <n v="0"/>
    <n v="15000"/>
  </r>
  <r>
    <x v="14"/>
    <s v="2 Other Operating Costs"/>
    <n v="8471121"/>
    <x v="39"/>
    <n v="428090"/>
    <x v="9"/>
    <s v="847.8471121.1.428090.000000.847001.200179"/>
    <n v="50000"/>
    <n v="13623"/>
    <m/>
    <m/>
    <m/>
    <n v="13623"/>
    <m/>
    <m/>
    <m/>
    <m/>
    <n v="13623"/>
    <m/>
    <n v="13623"/>
    <s v="Y"/>
    <m/>
    <n v="13623"/>
    <n v="0"/>
    <n v="0"/>
    <n v="0"/>
    <n v="13623"/>
  </r>
  <r>
    <x v="14"/>
    <s v="2 Other Operating Costs"/>
    <n v="8471121"/>
    <x v="39"/>
    <n v="432170"/>
    <x v="47"/>
    <s v="847.8471121.1.432170.000000.847001.200179"/>
    <n v="500000"/>
    <n v="0"/>
    <m/>
    <m/>
    <m/>
    <n v="0"/>
    <m/>
    <m/>
    <m/>
    <m/>
    <n v="0"/>
    <m/>
    <n v="0"/>
    <s v="Y"/>
    <m/>
    <n v="0"/>
    <n v="0"/>
    <n v="0"/>
    <n v="0"/>
    <n v="0"/>
  </r>
  <r>
    <x v="14"/>
    <s v="2 Other Operating Costs"/>
    <n v="8471121"/>
    <x v="39"/>
    <n v="435523"/>
    <x v="22"/>
    <s v="847.8471121.1.435523.000000.847001.200179"/>
    <n v="926280"/>
    <n v="826280"/>
    <m/>
    <m/>
    <m/>
    <n v="826280"/>
    <m/>
    <m/>
    <m/>
    <m/>
    <n v="826280"/>
    <m/>
    <n v="826280"/>
    <s v="Y"/>
    <m/>
    <n v="826280"/>
    <n v="0"/>
    <n v="0"/>
    <n v="0"/>
    <n v="826280"/>
  </r>
  <r>
    <x v="14"/>
    <s v="2 Other Operating Costs"/>
    <n v="8471122"/>
    <x v="40"/>
    <n v="425900"/>
    <x v="7"/>
    <s v="847.8471122.1.425900.000000.847001.200179"/>
    <n v="0"/>
    <n v="50000"/>
    <m/>
    <m/>
    <m/>
    <n v="50000"/>
    <m/>
    <m/>
    <m/>
    <m/>
    <n v="50000"/>
    <m/>
    <n v="50000"/>
    <s v="Y"/>
    <m/>
    <n v="50000"/>
    <n v="0"/>
    <n v="0"/>
    <n v="0"/>
    <n v="50000"/>
  </r>
  <r>
    <x v="14"/>
    <s v="2 Other Operating Costs"/>
    <n v="8471122"/>
    <x v="40"/>
    <n v="428090"/>
    <x v="9"/>
    <s v="847.8471122.1.428090.000000.847001.200179"/>
    <n v="0"/>
    <n v="13623"/>
    <m/>
    <m/>
    <m/>
    <n v="13623"/>
    <m/>
    <m/>
    <m/>
    <m/>
    <n v="13623"/>
    <m/>
    <n v="13623"/>
    <s v="Y"/>
    <m/>
    <n v="13623"/>
    <n v="0"/>
    <n v="0"/>
    <n v="0"/>
    <n v="13623"/>
  </r>
  <r>
    <x v="14"/>
    <s v="2 Other Operating Costs"/>
    <n v="8471130"/>
    <x v="41"/>
    <n v="420811"/>
    <x v="68"/>
    <s v="847.8471130.1.420811.000000.847001.200179"/>
    <n v="0"/>
    <n v="306385"/>
    <m/>
    <n v="276944.2"/>
    <m/>
    <n v="29440.799999999988"/>
    <m/>
    <m/>
    <n v="29440.799999999999"/>
    <m/>
    <n v="0"/>
    <s v="external reviewer module, will be spent"/>
    <n v="0"/>
    <s v="Y"/>
    <m/>
    <n v="306385"/>
    <n v="0"/>
    <n v="276944.2"/>
    <n v="0"/>
    <n v="29440.799999999988"/>
  </r>
  <r>
    <x v="14"/>
    <s v="2 Other Operating Costs"/>
    <n v="8471130"/>
    <x v="41"/>
    <n v="426610"/>
    <x v="8"/>
    <s v="847.8471130.1.426610.000000.847001.200179"/>
    <n v="0"/>
    <n v="171900"/>
    <n v="171712.75"/>
    <m/>
    <m/>
    <n v="187.25"/>
    <m/>
    <m/>
    <m/>
    <m/>
    <n v="187.25"/>
    <m/>
    <n v="187.25"/>
    <s v="Y"/>
    <m/>
    <n v="171900"/>
    <n v="171712.75"/>
    <n v="0"/>
    <n v="0"/>
    <n v="187.25"/>
  </r>
  <r>
    <x v="14"/>
    <s v="2 Other Operating Costs"/>
    <n v="8471130"/>
    <x v="41"/>
    <n v="427900"/>
    <x v="67"/>
    <s v="847.8471130.1.427900.000000.847001.200179"/>
    <n v="5000"/>
    <n v="0"/>
    <m/>
    <m/>
    <m/>
    <n v="0"/>
    <m/>
    <m/>
    <m/>
    <m/>
    <n v="0"/>
    <m/>
    <n v="0"/>
    <s v="Y"/>
    <m/>
    <n v="0"/>
    <n v="0"/>
    <n v="0"/>
    <n v="0"/>
    <n v="0"/>
  </r>
  <r>
    <x v="14"/>
    <s v="2 Other Operating Costs"/>
    <n v="8471130"/>
    <x v="41"/>
    <n v="428090"/>
    <x v="9"/>
    <s v="847.8471130.1.428090.000000.847001.200179"/>
    <n v="70000"/>
    <n v="66459"/>
    <m/>
    <m/>
    <m/>
    <n v="66459"/>
    <m/>
    <n v="22000"/>
    <m/>
    <m/>
    <n v="44459"/>
    <s v="We have 1 DTR open for 20K, will have excess budget of 44.4K"/>
    <n v="44459"/>
    <s v="Y"/>
    <m/>
    <n v="66459"/>
    <n v="23760.37"/>
    <n v="0"/>
    <n v="0"/>
    <n v="42698.630000000005"/>
  </r>
  <r>
    <x v="14"/>
    <s v="2 Other Operating Costs"/>
    <n v="8471130"/>
    <x v="41"/>
    <n v="435523"/>
    <x v="22"/>
    <s v="847.8471130.1.435523.000000.847001.200179"/>
    <n v="205962"/>
    <n v="157190"/>
    <n v="157599.53"/>
    <m/>
    <n v="-409.91000000000298"/>
    <n v="0.38000000000414502"/>
    <m/>
    <m/>
    <m/>
    <m/>
    <n v="0.38000000000414502"/>
    <m/>
    <n v="0.38000000000414502"/>
    <s v="Y"/>
    <m/>
    <n v="157190"/>
    <n v="157599.53"/>
    <n v="0"/>
    <n v="-409.91"/>
    <n v="0.38000000000118916"/>
  </r>
  <r>
    <x v="14"/>
    <s v="2 Other Operating Costs"/>
    <n v="8471140"/>
    <x v="42"/>
    <n v="420570"/>
    <x v="1"/>
    <s v="847.8471140.1.420570.000000.847001.200179"/>
    <n v="231840"/>
    <n v="231840"/>
    <n v="103329.59"/>
    <m/>
    <m/>
    <n v="128510.41"/>
    <m/>
    <m/>
    <m/>
    <m/>
    <n v="128510.41"/>
    <m/>
    <n v="128510.41"/>
    <s v="Y"/>
    <m/>
    <n v="231840"/>
    <n v="103329.59"/>
    <n v="0"/>
    <n v="0"/>
    <n v="128510.41"/>
  </r>
  <r>
    <x v="14"/>
    <s v="2 Other Operating Costs"/>
    <n v="8471140"/>
    <x v="42"/>
    <n v="428090"/>
    <x v="9"/>
    <s v="847.8471140.1.428090.000000.847001.200179"/>
    <n v="80000"/>
    <n v="85693"/>
    <n v="35236.71"/>
    <m/>
    <m/>
    <n v="50456.29"/>
    <m/>
    <m/>
    <m/>
    <m/>
    <n v="50456.29"/>
    <m/>
    <n v="50456.29"/>
    <s v="Y"/>
    <m/>
    <n v="85693"/>
    <n v="78188.97"/>
    <n v="0"/>
    <n v="0"/>
    <n v="7504.0299999999988"/>
  </r>
  <r>
    <x v="14"/>
    <s v="2 Other Operating Costs"/>
    <n v="8471140"/>
    <x v="42"/>
    <n v="420570"/>
    <x v="1"/>
    <s v="847.8471140.1.420570.000000.847001.200179"/>
    <m/>
    <m/>
    <m/>
    <m/>
    <m/>
    <m/>
    <m/>
    <m/>
    <m/>
    <m/>
    <n v="-2000000"/>
    <s v="2023 ARIC payment"/>
    <n v="-2000000"/>
    <s v="Y"/>
    <m/>
    <m/>
    <m/>
    <m/>
    <m/>
    <m/>
  </r>
  <r>
    <x v="14"/>
    <s v="2 Other Operating Costs"/>
    <n v="8471140"/>
    <x v="42"/>
    <n v="420570"/>
    <x v="1"/>
    <s v="847.8471140.1.420570.000000.847001.200179"/>
    <m/>
    <m/>
    <m/>
    <m/>
    <m/>
    <m/>
    <m/>
    <m/>
    <m/>
    <m/>
    <n v="-3000000"/>
    <s v="2023 EBTIC Payment"/>
    <n v="-3000000"/>
    <s v="Y"/>
    <m/>
    <m/>
    <m/>
    <m/>
    <m/>
    <m/>
  </r>
  <r>
    <x v="14"/>
    <s v="2 Other Operating Costs"/>
    <n v="8471140"/>
    <x v="42"/>
    <n v="435523"/>
    <x v="22"/>
    <s v="847.8471140.1.435523.000000.847001.200179"/>
    <n v="99831748"/>
    <n v="90170195"/>
    <n v="59036197.060000002"/>
    <n v="1302442.29"/>
    <n v="2812212.05"/>
    <n v="27019343.599999998"/>
    <n v="9006447.8666666672"/>
    <n v="9006447.8666666672"/>
    <n v="7006447.8666666709"/>
    <m/>
    <n v="1999999.9999999925"/>
    <s v="There will be no surplus.  3 months salary still required, visiting scholars, sub-awards invoices, and opex until end of 2022. "/>
    <n v="1999999.9999999925"/>
    <s v="Y"/>
    <m/>
    <n v="89763900"/>
    <n v="69027511.600000098"/>
    <n v="525790.75"/>
    <n v="3087234.18"/>
    <n v="17123363.469999902"/>
  </r>
  <r>
    <x v="14"/>
    <s v="2 Other Operating Costs"/>
    <n v="8471150"/>
    <x v="43"/>
    <n v="420900"/>
    <x v="2"/>
    <s v="847.8471150.1.420900.000000.847001.200179"/>
    <n v="3332844"/>
    <n v="3332844"/>
    <n v="2009692.38"/>
    <n v="1099372.21"/>
    <n v="-1.01863406598568E-10"/>
    <n v="223779.41000000027"/>
    <n v="23779.41"/>
    <n v="200000"/>
    <m/>
    <s v="Many outstanding Invoices to be paid.  Additional funds of AED 2000K is being requested for  other outstanding invoices and work to be performed on paten filings. "/>
    <n v="2.6193447411060333E-10"/>
    <m/>
    <n v="2.6193447411060333E-10"/>
    <s v="Y"/>
    <m/>
    <n v="3946963"/>
    <n v="2499471.7599999998"/>
    <n v="895461.22"/>
    <n v="34511.51"/>
    <n v="517518.51000000024"/>
  </r>
  <r>
    <x v="14"/>
    <s v="2 Other Operating Costs"/>
    <n v="8471150"/>
    <x v="43"/>
    <n v="425510"/>
    <x v="5"/>
    <s v="847.8471150.1.425510.000000.847001.200179"/>
    <n v="100002"/>
    <n v="100002"/>
    <m/>
    <m/>
    <m/>
    <n v="100002"/>
    <n v="50000"/>
    <n v="50002"/>
    <m/>
    <s v="Waiting on invoice for current and further expenses for brochures and other related matters"/>
    <n v="0"/>
    <m/>
    <n v="0"/>
    <s v="Y"/>
    <m/>
    <n v="100002"/>
    <n v="0"/>
    <n v="0"/>
    <n v="0"/>
    <n v="100002"/>
  </r>
  <r>
    <x v="14"/>
    <s v="2 Other Operating Costs"/>
    <n v="8471150"/>
    <x v="43"/>
    <n v="425550"/>
    <x v="6"/>
    <s v="847.8471150.1.425550.000000.847001.200179"/>
    <n v="100002"/>
    <n v="100002"/>
    <n v="11745"/>
    <m/>
    <m/>
    <n v="88257"/>
    <n v="40000"/>
    <n v="25000"/>
    <n v="23257"/>
    <s v="AUTM Conference and Registration"/>
    <n v="0"/>
    <m/>
    <n v="0"/>
    <s v="Y"/>
    <m/>
    <n v="100002"/>
    <n v="19542"/>
    <n v="0"/>
    <n v="0"/>
    <n v="80460"/>
  </r>
  <r>
    <x v="14"/>
    <s v="2 Other Operating Costs"/>
    <n v="8471150"/>
    <x v="43"/>
    <n v="425900"/>
    <x v="7"/>
    <s v="847.8471150.1.425900.000000.847001.200179"/>
    <n v="0"/>
    <n v="2000"/>
    <n v="525"/>
    <m/>
    <m/>
    <n v="1475"/>
    <n v="1475"/>
    <m/>
    <m/>
    <s v="awaiting on Invoice for Sept function"/>
    <n v="0"/>
    <m/>
    <n v="0"/>
    <s v="Y"/>
    <m/>
    <n v="2000"/>
    <n v="525"/>
    <n v="0"/>
    <n v="0"/>
    <n v="1475"/>
  </r>
  <r>
    <x v="14"/>
    <s v="2 Other Operating Costs"/>
    <n v="8471150"/>
    <x v="43"/>
    <n v="426610"/>
    <x v="8"/>
    <s v="847.8471150.1.426610.000000.847001.200179"/>
    <n v="120000"/>
    <n v="118000"/>
    <m/>
    <n v="0"/>
    <m/>
    <n v="118000"/>
    <m/>
    <n v="118000"/>
    <m/>
    <s v="Database Invoice is being presented for payment."/>
    <n v="0"/>
    <m/>
    <n v="0"/>
    <s v="Y"/>
    <m/>
    <n v="3881"/>
    <n v="3880.12"/>
    <n v="0"/>
    <n v="0"/>
    <n v="0.88000000000010914"/>
  </r>
  <r>
    <x v="14"/>
    <s v="2 Other Operating Costs"/>
    <n v="8471150"/>
    <x v="43"/>
    <n v="428090"/>
    <x v="9"/>
    <s v="847.8471150.1.428090.000000.847001.200179"/>
    <n v="50001"/>
    <n v="13623"/>
    <m/>
    <m/>
    <m/>
    <n v="13623"/>
    <m/>
    <n v="13623"/>
    <m/>
    <s v="waiting on invoice for travel to conferences. "/>
    <n v="0"/>
    <m/>
    <n v="0"/>
    <s v="Y"/>
    <m/>
    <n v="13623"/>
    <n v="0"/>
    <n v="0"/>
    <n v="0"/>
    <n v="13623"/>
  </r>
  <r>
    <x v="14"/>
    <s v="2 Other Operating Costs"/>
    <n v="8471160"/>
    <x v="44"/>
    <n v="420810"/>
    <x v="73"/>
    <s v="847.8471160.1.420810.000000.847001.200179"/>
    <n v="588000"/>
    <n v="0"/>
    <m/>
    <m/>
    <m/>
    <n v="0"/>
    <m/>
    <m/>
    <m/>
    <m/>
    <n v="0"/>
    <m/>
    <n v="0"/>
    <s v="Y"/>
    <m/>
    <n v="0"/>
    <n v="0"/>
    <n v="0"/>
    <n v="0"/>
    <n v="0"/>
  </r>
  <r>
    <x v="14"/>
    <s v="2 Other Operating Costs"/>
    <n v="8471160"/>
    <x v="44"/>
    <n v="420811"/>
    <x v="68"/>
    <s v="847.8471160.1.420811.000000.847001.200179"/>
    <n v="0"/>
    <n v="588000"/>
    <m/>
    <m/>
    <m/>
    <n v="588000"/>
    <m/>
    <m/>
    <m/>
    <m/>
    <n v="588000"/>
    <s v="No outstanding IT Systems &amp; Support expenses. Fund could be transferred to Research Computing to support payment of Ankabut SLA."/>
    <n v="588000"/>
    <s v="Y"/>
    <m/>
    <n v="588000"/>
    <n v="0"/>
    <n v="0"/>
    <n v="0"/>
    <n v="588000"/>
  </r>
  <r>
    <x v="14"/>
    <s v="2 Other Operating Costs"/>
    <n v="8471160"/>
    <x v="44"/>
    <n v="426610"/>
    <x v="8"/>
    <s v="847.8471160.1.426610.000000.847001.200179"/>
    <n v="161375"/>
    <n v="507375"/>
    <n v="87650"/>
    <n v="62561.07"/>
    <n v="269559.7"/>
    <n v="87604.229999999981"/>
    <m/>
    <m/>
    <m/>
    <m/>
    <n v="87604.229999999981"/>
    <s v="No outstanding software license renewals. Fund could be transferred to Research Computing to support payment of Ankabut SLA."/>
    <n v="87604.229999999981"/>
    <s v="Y"/>
    <m/>
    <n v="507375"/>
    <n v="152650"/>
    <n v="0"/>
    <n v="265024.2"/>
    <n v="89700.799999999988"/>
  </r>
  <r>
    <x v="14"/>
    <s v="2 Other Operating Costs"/>
    <n v="8471160"/>
    <x v="44"/>
    <n v="432209"/>
    <x v="32"/>
    <s v="847.8471160.1.432209.000000.847001.200179"/>
    <n v="15319303"/>
    <n v="13549303"/>
    <n v="6443128.0300000003"/>
    <n v="2912354.85"/>
    <n v="4150387.85"/>
    <n v="43432.269999999553"/>
    <n v="35000"/>
    <n v="7000"/>
    <n v="1000"/>
    <s v="For October 2022, AED 35k will be utilized to cover: (i) electron microscope spare part, and (ii) other core lab equipment spare parts."/>
    <n v="432.26999999955297"/>
    <s v="Not Applicable "/>
    <n v="432.26999999955297"/>
    <s v="Y"/>
    <m/>
    <n v="13449303"/>
    <n v="6745037.5300000003"/>
    <n v="2423461.2999999998"/>
    <n v="3524448.07"/>
    <n v="756356.10000000009"/>
  </r>
  <r>
    <x v="14"/>
    <s v="2 Other Operating Costs"/>
    <n v="8471160"/>
    <x v="44"/>
    <n v="435508"/>
    <x v="33"/>
    <s v="847.8471160.1.435508.000000.847001.200179"/>
    <n v="2753398"/>
    <n v="4157398"/>
    <n v="831180.13"/>
    <n v="1143117.57"/>
    <n v="802993.35"/>
    <n v="1380106.9499999997"/>
    <n v="900000"/>
    <n v="40000"/>
    <n v="5000"/>
    <s v="For October 2022, AED 900k will be utilized to cover (i) cleanroom LN2 supply (AED 750k, July - December 2022), (ii) off campus warehouse storage costs (AED 155k, July - December 2022), and (iii) lab operational consumables."/>
    <n v="435106.94999999972"/>
    <s v="Majority of Arzanah labs were not operationalized till August 2022."/>
    <n v="435106.94999999972"/>
    <s v="Y"/>
    <m/>
    <n v="4097398"/>
    <n v="1132764.8899999999"/>
    <n v="690145.7"/>
    <n v="1640158.34"/>
    <n v="634329.07000000007"/>
  </r>
  <r>
    <x v="14"/>
    <s v="2 Other Operating Costs"/>
    <n v="8471160"/>
    <x v="44"/>
    <n v="436600"/>
    <x v="34"/>
    <s v="847.8471160.1.436600.000000.847001.200179"/>
    <n v="0"/>
    <n v="20000"/>
    <m/>
    <m/>
    <m/>
    <n v="20000"/>
    <n v="20000"/>
    <n v="0"/>
    <n v="0"/>
    <s v="Professional development course registration fees to be charged for RL Staff"/>
    <n v="0"/>
    <m/>
    <n v="0"/>
    <s v="Y"/>
    <m/>
    <n v="20000"/>
    <n v="15359"/>
    <n v="0"/>
    <n v="0"/>
    <n v="4641"/>
  </r>
  <r>
    <x v="14"/>
    <s v="2 Other Operating Costs"/>
    <n v="8471170"/>
    <x v="45"/>
    <n v="420810"/>
    <x v="73"/>
    <s v="847.8471170.1.420810.000000.847001.200179"/>
    <n v="1709607"/>
    <n v="319000"/>
    <m/>
    <m/>
    <m/>
    <n v="319000"/>
    <m/>
    <m/>
    <m/>
    <m/>
    <n v="319000"/>
    <m/>
    <n v="319000"/>
    <s v="Y"/>
    <m/>
    <n v="319000"/>
    <n v="0"/>
    <n v="0"/>
    <n v="0"/>
    <n v="319000"/>
  </r>
  <r>
    <x v="14"/>
    <s v="2 Other Operating Costs"/>
    <n v="8471170"/>
    <x v="45"/>
    <n v="420811"/>
    <x v="68"/>
    <s v="847.8471170.1.420811.000000.847001.200179"/>
    <n v="0"/>
    <n v="1709607"/>
    <m/>
    <n v="871932.8"/>
    <m/>
    <n v="837674.2"/>
    <m/>
    <m/>
    <m/>
    <m/>
    <n v="-10489500"/>
    <s v="10.5m SLA HPCC with KUA"/>
    <n v="-10489500"/>
    <s v="Y"/>
    <m/>
    <n v="1709607"/>
    <n v="0"/>
    <n v="320932.8"/>
    <n v="551000"/>
    <n v="837674.2"/>
  </r>
  <r>
    <x v="14"/>
    <s v="2 Other Operating Costs"/>
    <n v="8471170"/>
    <x v="45"/>
    <n v="425900"/>
    <x v="7"/>
    <s v="847.8471170.1.425900.000000.847001.200179"/>
    <n v="10000"/>
    <n v="10000"/>
    <m/>
    <m/>
    <m/>
    <n v="10000"/>
    <m/>
    <n v="5000"/>
    <m/>
    <s v="Outreach event hospistality"/>
    <n v="5000"/>
    <s v="Only one event planned"/>
    <n v="5000"/>
    <s v="Y"/>
    <m/>
    <n v="10000"/>
    <n v="0"/>
    <n v="0"/>
    <n v="0"/>
    <n v="10000"/>
  </r>
  <r>
    <x v="14"/>
    <s v="2 Other Operating Costs"/>
    <n v="8471170"/>
    <x v="45"/>
    <n v="426610"/>
    <x v="8"/>
    <s v="847.8471170.1.426610.000000.847001.200179"/>
    <n v="2618576"/>
    <n v="2299576"/>
    <n v="751513.28"/>
    <n v="34038.690000000097"/>
    <n v="843285.47"/>
    <n v="670738.55999999982"/>
    <m/>
    <m/>
    <m/>
    <m/>
    <n v="670738.55999999982"/>
    <s v="Excess amount should be used for Ankabut SLA"/>
    <n v="670738.55999999982"/>
    <s v="Y"/>
    <m/>
    <n v="2269576"/>
    <n v="1040409.21"/>
    <n v="30921.19"/>
    <n v="584990"/>
    <n v="613255.60000000009"/>
  </r>
  <r>
    <x v="14"/>
    <s v="2 Other Operating Costs"/>
    <n v="8471170"/>
    <x v="45"/>
    <n v="428090"/>
    <x v="9"/>
    <s v="847.8471170.1.428090.000000.847001.200179"/>
    <n v="45000"/>
    <n v="12261"/>
    <m/>
    <m/>
    <m/>
    <n v="12261"/>
    <n v="12261"/>
    <m/>
    <m/>
    <s v="Attending conference in November"/>
    <n v="0"/>
    <m/>
    <n v="0"/>
    <s v="Y"/>
    <m/>
    <n v="42261"/>
    <n v="21236.27"/>
    <n v="0"/>
    <n v="0"/>
    <n v="21024.73"/>
  </r>
  <r>
    <x v="4"/>
    <s v="2 Other Operating Costs"/>
    <n v="8471210"/>
    <x v="46"/>
    <n v="425900"/>
    <x v="7"/>
    <s v="847.8471210.1.425900.000000.847001.200179"/>
    <n v="15000"/>
    <n v="15000"/>
    <n v="13795"/>
    <n v="0"/>
    <n v="0"/>
    <n v="1205"/>
    <m/>
    <m/>
    <m/>
    <m/>
    <n v="1205"/>
    <m/>
    <n v="1205"/>
    <s v="Y"/>
    <m/>
    <n v="15000"/>
    <n v="13795"/>
    <n v="0"/>
    <n v="0"/>
    <n v="1205"/>
  </r>
  <r>
    <x v="4"/>
    <s v="2 Other Operating Costs"/>
    <n v="8471210"/>
    <x v="46"/>
    <n v="428090"/>
    <x v="9"/>
    <s v="847.8471210.1.428090.000000.847001.200179"/>
    <n v="100000"/>
    <n v="57246"/>
    <n v="12000"/>
    <m/>
    <m/>
    <n v="45246"/>
    <m/>
    <m/>
    <m/>
    <s v="The amount will be deducted for DTR8/24/2022-1387_x000a_and DTR9/16/2022-1507 whice were raised for SVP’s conference in US and business travel to Germany"/>
    <n v="45246"/>
    <m/>
    <n v="45246"/>
    <s v="Y"/>
    <m/>
    <n v="57246"/>
    <n v="56700"/>
    <n v="0"/>
    <n v="0"/>
    <n v="546"/>
  </r>
  <r>
    <x v="4"/>
    <s v="2 Other Operating Costs"/>
    <n v="8471210"/>
    <x v="46"/>
    <n v="428640"/>
    <x v="11"/>
    <s v="847.8471210.1.428640.000000.847001.200179"/>
    <n v="20000"/>
    <n v="149"/>
    <m/>
    <m/>
    <m/>
    <n v="149"/>
    <m/>
    <m/>
    <m/>
    <m/>
    <n v="149"/>
    <m/>
    <n v="149"/>
    <s v="Y"/>
    <m/>
    <n v="149"/>
    <n v="0"/>
    <n v="0"/>
    <n v="0"/>
    <n v="149"/>
  </r>
  <r>
    <x v="4"/>
    <s v="2 Other Operating Costs"/>
    <n v="8471220"/>
    <x v="47"/>
    <n v="425510"/>
    <x v="5"/>
    <s v="847.8471220.1.425510.000000.847001.200179"/>
    <n v="2200"/>
    <n v="2200"/>
    <m/>
    <m/>
    <m/>
    <n v="2200"/>
    <m/>
    <m/>
    <m/>
    <m/>
    <n v="2200"/>
    <m/>
    <n v="2200"/>
    <s v="Y"/>
    <m/>
    <n v="22200"/>
    <n v="8800"/>
    <n v="0"/>
    <n v="0"/>
    <n v="13400"/>
  </r>
  <r>
    <x v="4"/>
    <s v="2 Other Operating Costs"/>
    <n v="8471220"/>
    <x v="47"/>
    <n v="425741"/>
    <x v="74"/>
    <s v="847.8471220.1.425741.000000.847001.200179"/>
    <n v="80501600"/>
    <n v="80582600"/>
    <n v="49281401.380000003"/>
    <m/>
    <m/>
    <n v="31301198.619999997"/>
    <n v="10243611"/>
    <n v="10246984"/>
    <n v="7514454.9333333336"/>
    <m/>
    <n v="3296148.6866666637"/>
    <s v="Refer to Sheet &quot;Stipend&quot; for calculation details"/>
    <n v="3296148.6866666637"/>
    <s v="Y"/>
    <m/>
    <n v="80825600"/>
    <n v="59526469.380000003"/>
    <n v="0"/>
    <n v="0"/>
    <n v="21299130.619999997"/>
  </r>
  <r>
    <x v="4"/>
    <s v="2 Other Operating Costs"/>
    <n v="8471220"/>
    <x v="47"/>
    <n v="425745"/>
    <x v="27"/>
    <s v="847.8471220.1.425745.000000.847001.200179"/>
    <n v="0"/>
    <m/>
    <n v="-11290.12"/>
    <m/>
    <m/>
    <n v="11290.12"/>
    <m/>
    <m/>
    <m/>
    <m/>
    <n v="11290.12"/>
    <m/>
    <n v="11290.12"/>
    <s v="Y"/>
    <m/>
    <n v="0"/>
    <n v="-14070.8"/>
    <n v="0"/>
    <n v="0"/>
    <n v="14070.8"/>
  </r>
  <r>
    <x v="4"/>
    <s v="2 Other Operating Costs"/>
    <n v="8471220"/>
    <x v="47"/>
    <n v="426900"/>
    <x v="51"/>
    <s v="847.8471220.1.426900.000000.847001.200179"/>
    <n v="11000"/>
    <n v="11000"/>
    <m/>
    <m/>
    <m/>
    <n v="11000"/>
    <m/>
    <m/>
    <m/>
    <m/>
    <n v="11000"/>
    <m/>
    <n v="11000"/>
    <s v="Y"/>
    <m/>
    <n v="11000"/>
    <n v="0"/>
    <n v="0"/>
    <n v="0"/>
    <n v="11000"/>
  </r>
  <r>
    <x v="4"/>
    <s v="2 Other Operating Costs"/>
    <n v="8471220"/>
    <x v="47"/>
    <n v="435340"/>
    <x v="36"/>
    <s v="847.8471220.1.435340.000000.847001.200179"/>
    <n v="9500000"/>
    <n v="9500000"/>
    <n v="4279841.18"/>
    <n v="4852865.17"/>
    <n v="0"/>
    <n v="367293.65000000037"/>
    <m/>
    <m/>
    <m/>
    <m/>
    <n v="367293.65000000037"/>
    <s v="All PRs have been submitted, and no more required in this year."/>
    <n v="367293.65000000037"/>
    <s v="Y"/>
    <m/>
    <n v="9500000"/>
    <n v="9132706.3499999996"/>
    <n v="0"/>
    <n v="0"/>
    <n v="367293.65000000037"/>
  </r>
  <r>
    <x v="4"/>
    <s v="2 Other Operating Costs"/>
    <n v="8471220"/>
    <x v="47"/>
    <n v="436110"/>
    <x v="31"/>
    <s v="847.8471220.1.436110.000000.847001.200179"/>
    <n v="300000"/>
    <n v="300000"/>
    <n v="115500"/>
    <n v="0"/>
    <n v="0"/>
    <n v="184500"/>
    <m/>
    <m/>
    <m/>
    <m/>
    <n v="184500"/>
    <s v="All PRs have been submitted and PR - 8471111521 has been submitted on Oct.14 "/>
    <n v="184500"/>
    <s v="Y"/>
    <m/>
    <n v="280000"/>
    <n v="115500"/>
    <n v="0"/>
    <n v="15800"/>
    <n v="148700"/>
  </r>
  <r>
    <x v="4"/>
    <s v="2 Other Operating Costs"/>
    <n v="8471220"/>
    <x v="47"/>
    <n v="436120"/>
    <x v="65"/>
    <s v="847.8471220.1.436120.000000.847001.200179"/>
    <n v="6000"/>
    <n v="6000"/>
    <m/>
    <m/>
    <m/>
    <n v="6000"/>
    <m/>
    <m/>
    <m/>
    <m/>
    <n v="6000"/>
    <m/>
    <n v="6000"/>
    <s v="Y"/>
    <m/>
    <n v="6000"/>
    <n v="0"/>
    <n v="0"/>
    <n v="0"/>
    <n v="6000"/>
  </r>
  <r>
    <x v="4"/>
    <s v="2 Other Operating Costs"/>
    <n v="8471230"/>
    <x v="48"/>
    <n v="425742"/>
    <x v="75"/>
    <s v="847.8471230.1.425742.000000.847001.200179"/>
    <n v="2000000"/>
    <n v="1247000"/>
    <n v="691086.57"/>
    <n v="92515.74"/>
    <n v="161631.32999999999"/>
    <n v="301766.3600000001"/>
    <m/>
    <m/>
    <m/>
    <s v="Available budget under Enrollment up to now is AED 92,000._x000a_Najah Dubai: AED 180,000_x000a_Social Media Campaign: AED 100,000_x000a_We are expecting AED 200,000 to be transferred from Students Success."/>
    <n v="301766.3600000001"/>
    <m/>
    <n v="301766.3600000001"/>
    <s v="Y"/>
    <m/>
    <n v="1552520"/>
    <n v="1310063.82"/>
    <n v="0"/>
    <n v="94651.33"/>
    <n v="147804.84999999992"/>
  </r>
  <r>
    <x v="4"/>
    <s v="2 Other Operating Costs"/>
    <n v="8471230"/>
    <x v="48"/>
    <n v="426610"/>
    <x v="8"/>
    <s v="847.8471230.1.426610.000000.847001.200179"/>
    <n v="120000"/>
    <n v="120000"/>
    <n v="14479.23"/>
    <m/>
    <m/>
    <n v="105520.77"/>
    <m/>
    <m/>
    <n v="105521"/>
    <s v="Available budget under Enrollment up to now is AED 92,000._x000a_Najah Dubai: AED 180,000_x000a_Social Media Campaign: AED 100,000_x000a_We are expecting AED 200,000 to be transferred from Students Success."/>
    <n v="-0.22999999999592546"/>
    <m/>
    <n v="-0.22999999999592546"/>
    <s v="Y"/>
    <m/>
    <n v="14480"/>
    <n v="14479.23"/>
    <n v="0"/>
    <n v="0"/>
    <n v="0.77000000000043656"/>
  </r>
  <r>
    <x v="4"/>
    <s v="2 Other Operating Costs"/>
    <n v="8471240"/>
    <x v="49"/>
    <n v="425510"/>
    <x v="5"/>
    <s v="847.8471240.1.425510.000000.847001.200179"/>
    <n v="220000"/>
    <n v="220000"/>
    <n v="51401.25"/>
    <n v="0"/>
    <n v="0"/>
    <n v="168598.75"/>
    <m/>
    <m/>
    <n v="168599"/>
    <m/>
    <n v="-0.25"/>
    <s v="The funds were move in a transfer"/>
    <n v="-0.25"/>
    <s v="Y"/>
    <m/>
    <n v="85000"/>
    <n v="52661.440000000002"/>
    <n v="0"/>
    <n v="0"/>
    <n v="32338.559999999998"/>
  </r>
  <r>
    <x v="4"/>
    <s v="2 Other Operating Costs"/>
    <n v="8471240"/>
    <x v="49"/>
    <n v="425720"/>
    <x v="37"/>
    <s v="847.8471240.1.425720.000000.847001.200179"/>
    <n v="128000"/>
    <n v="128000"/>
    <m/>
    <m/>
    <m/>
    <n v="128000"/>
    <m/>
    <m/>
    <m/>
    <s v="70, 000 dhs will be transferred.  The remainder will be used to purchase the ILM license."/>
    <n v="128000"/>
    <m/>
    <n v="128000"/>
    <s v="Y"/>
    <m/>
    <n v="228000"/>
    <n v="0"/>
    <n v="0"/>
    <n v="0"/>
    <n v="228000"/>
  </r>
  <r>
    <x v="4"/>
    <s v="2 Other Operating Costs"/>
    <n v="8471240"/>
    <x v="49"/>
    <n v="425750"/>
    <x v="76"/>
    <s v="847.8471240.1.425750.000000.847001.200179"/>
    <n v="23000"/>
    <n v="23000"/>
    <m/>
    <m/>
    <m/>
    <n v="23000"/>
    <m/>
    <m/>
    <m/>
    <m/>
    <n v="23000"/>
    <m/>
    <n v="23000"/>
    <s v="Y"/>
    <m/>
    <n v="23000"/>
    <n v="0"/>
    <n v="0"/>
    <n v="0"/>
    <n v="23000"/>
  </r>
  <r>
    <x v="4"/>
    <s v="2 Other Operating Costs"/>
    <n v="8471240"/>
    <x v="49"/>
    <n v="425761"/>
    <x v="29"/>
    <s v="847.8471240.1.425761.000000.847001.200179"/>
    <n v="800000"/>
    <n v="800000"/>
    <n v="325555.34999999998"/>
    <m/>
    <m/>
    <n v="474444.65"/>
    <m/>
    <m/>
    <n v="474445"/>
    <s v="The funds will be use to pay the summer tuition of students on study abroad.  We are waiting for the invoices from the partner universities."/>
    <n v="-0.34999999997671694"/>
    <m/>
    <n v="-0.34999999997671694"/>
    <s v="Y"/>
    <m/>
    <n v="792290"/>
    <n v="325555.34999999998"/>
    <n v="0"/>
    <n v="0"/>
    <n v="466734.65"/>
  </r>
  <r>
    <x v="4"/>
    <s v="2 Other Operating Costs"/>
    <n v="8471240"/>
    <x v="49"/>
    <n v="425900"/>
    <x v="7"/>
    <s v="847.8471240.1.425900.000000.847001.200179"/>
    <n v="24000"/>
    <n v="24000"/>
    <n v="2294.25"/>
    <m/>
    <m/>
    <n v="21705.75"/>
    <m/>
    <m/>
    <m/>
    <m/>
    <n v="21705.75"/>
    <m/>
    <n v="21705.75"/>
    <s v="Y"/>
    <m/>
    <n v="24000"/>
    <n v="2682.75"/>
    <n v="0"/>
    <n v="0"/>
    <n v="21317.25"/>
  </r>
  <r>
    <x v="4"/>
    <s v="2 Other Operating Costs"/>
    <n v="8471240"/>
    <x v="49"/>
    <n v="426610"/>
    <x v="8"/>
    <s v="847.8471240.1.426610.000000.847001.200179"/>
    <n v="0"/>
    <n v="363000"/>
    <m/>
    <n v="0"/>
    <n v="362782.21"/>
    <n v="217.78999999997905"/>
    <m/>
    <m/>
    <m/>
    <m/>
    <n v="217.78999999997905"/>
    <m/>
    <n v="217.78999999997905"/>
    <s v="Y"/>
    <m/>
    <n v="363000"/>
    <n v="0"/>
    <n v="0"/>
    <n v="362782.21"/>
    <n v="217.78999999997905"/>
  </r>
  <r>
    <x v="4"/>
    <s v="2 Other Operating Costs"/>
    <n v="8471240"/>
    <x v="49"/>
    <n v="427710"/>
    <x v="13"/>
    <s v="847.8471240.1.427710.000000.847001.200179"/>
    <n v="0"/>
    <n v="11020"/>
    <n v="11019"/>
    <m/>
    <m/>
    <n v="1"/>
    <m/>
    <m/>
    <m/>
    <m/>
    <n v="1"/>
    <m/>
    <n v="1"/>
    <s v="Y"/>
    <m/>
    <n v="11020"/>
    <n v="11019"/>
    <n v="0"/>
    <n v="0"/>
    <n v="1"/>
  </r>
  <r>
    <x v="4"/>
    <s v="2 Other Operating Costs"/>
    <n v="8471240"/>
    <x v="49"/>
    <n v="428090"/>
    <x v="9"/>
    <s v="847.8471240.1.428090.000000.847001.200179"/>
    <n v="60000"/>
    <n v="12382"/>
    <n v="12381.18"/>
    <m/>
    <m/>
    <n v="0.81999999999970896"/>
    <m/>
    <m/>
    <m/>
    <m/>
    <n v="0.81999999999970896"/>
    <m/>
    <n v="0.81999999999970896"/>
    <s v="Y"/>
    <m/>
    <n v="20092"/>
    <n v="20091.18"/>
    <n v="0"/>
    <n v="0"/>
    <n v="0.81999999999970896"/>
  </r>
  <r>
    <x v="4"/>
    <s v="2 Other Operating Costs"/>
    <n v="8471240"/>
    <x v="49"/>
    <n v="428640"/>
    <x v="11"/>
    <s v="847.8471240.1.428640.000000.847001.200179"/>
    <n v="14000"/>
    <n v="7104"/>
    <m/>
    <m/>
    <m/>
    <n v="7104"/>
    <m/>
    <m/>
    <m/>
    <m/>
    <n v="7104"/>
    <m/>
    <n v="7104"/>
    <s v="Y"/>
    <m/>
    <n v="7104"/>
    <n v="0"/>
    <n v="0"/>
    <n v="0"/>
    <n v="7104"/>
  </r>
  <r>
    <x v="4"/>
    <s v="2 Other Operating Costs"/>
    <n v="8471240"/>
    <x v="49"/>
    <n v="435330"/>
    <x v="77"/>
    <s v="847.8471240.1.435330.000000.847001.200179"/>
    <n v="4750"/>
    <n v="4750"/>
    <m/>
    <m/>
    <m/>
    <n v="4750"/>
    <m/>
    <m/>
    <m/>
    <m/>
    <n v="4750"/>
    <m/>
    <n v="4750"/>
    <s v="Y"/>
    <m/>
    <n v="4750"/>
    <n v="0"/>
    <n v="0"/>
    <n v="0"/>
    <n v="4750"/>
  </r>
  <r>
    <x v="4"/>
    <s v="2 Other Operating Costs"/>
    <n v="8471240"/>
    <x v="49"/>
    <n v="436110"/>
    <x v="31"/>
    <s v="847.8471240.1.436110.000000.847001.200179"/>
    <n v="42000"/>
    <n v="42000"/>
    <m/>
    <m/>
    <m/>
    <n v="42000"/>
    <m/>
    <m/>
    <m/>
    <m/>
    <n v="42000"/>
    <m/>
    <n v="42000"/>
    <s v="Y"/>
    <m/>
    <n v="12000"/>
    <n v="0"/>
    <n v="0"/>
    <n v="0"/>
    <n v="12000"/>
  </r>
  <r>
    <x v="4"/>
    <s v="2 Other Operating Costs"/>
    <n v="8471240"/>
    <x v="49"/>
    <n v="436120"/>
    <x v="65"/>
    <s v="847.8471240.1.436120.000000.847001.200179"/>
    <n v="35000"/>
    <n v="25000"/>
    <m/>
    <m/>
    <m/>
    <n v="25000"/>
    <m/>
    <m/>
    <m/>
    <m/>
    <n v="25000"/>
    <m/>
    <n v="25000"/>
    <s v="Y"/>
    <m/>
    <n v="25000"/>
    <n v="0"/>
    <n v="0"/>
    <n v="0"/>
    <n v="25000"/>
  </r>
  <r>
    <x v="4"/>
    <s v="2 Other Operating Costs"/>
    <n v="8471250"/>
    <x v="50"/>
    <n v="425510"/>
    <x v="5"/>
    <s v="847.8471250.1.425510.000000.847001.200179"/>
    <n v="317500"/>
    <n v="830600"/>
    <n v="67500"/>
    <n v="734500"/>
    <n v="0"/>
    <n v="28600"/>
    <m/>
    <n v="28600"/>
    <m/>
    <s v="This amount will be used to cover some expenses for upcoming events (Career Fair, Employer recognition ceremony and Alumni Reunion)"/>
    <n v="0"/>
    <m/>
    <n v="0"/>
    <s v="Y"/>
    <m/>
    <n v="880600"/>
    <n v="112850"/>
    <n v="365000"/>
    <n v="358865"/>
    <n v="43885"/>
  </r>
  <r>
    <x v="4"/>
    <s v="2 Other Operating Costs"/>
    <n v="8471250"/>
    <x v="50"/>
    <n v="425762"/>
    <x v="30"/>
    <s v="847.8471250.1.425762.000000.847001.200179"/>
    <n v="520000"/>
    <n v="520000"/>
    <n v="398977.51"/>
    <m/>
    <m/>
    <n v="121022.48999999999"/>
    <m/>
    <n v="127674.49"/>
    <m/>
    <s v="This amuont will be used to cover any pending expenses for the international internships.  It will also be used to cover BIPA program"/>
    <n v="-6652.0000000000146"/>
    <m/>
    <n v="-6652.0000000000146"/>
    <s v="Y"/>
    <m/>
    <n v="520000"/>
    <n v="443183.95"/>
    <n v="0"/>
    <n v="0"/>
    <n v="76816.049999999988"/>
  </r>
  <r>
    <x v="4"/>
    <s v="2 Other Operating Costs"/>
    <n v="8471250"/>
    <x v="50"/>
    <n v="425900"/>
    <x v="7"/>
    <s v="847.8471250.1.425900.000000.847001.200179"/>
    <n v="51000"/>
    <n v="51000"/>
    <m/>
    <m/>
    <m/>
    <n v="51000"/>
    <m/>
    <n v="51000"/>
    <m/>
    <s v="To be used to cover events and other expenses"/>
    <n v="0"/>
    <m/>
    <n v="0"/>
    <s v="Y"/>
    <m/>
    <n v="1000"/>
    <n v="0"/>
    <n v="0"/>
    <n v="0"/>
    <n v="1000"/>
  </r>
  <r>
    <x v="4"/>
    <s v="2 Other Operating Costs"/>
    <n v="8471250"/>
    <x v="50"/>
    <n v="426610"/>
    <x v="8"/>
    <s v="847.8471250.1.426610.000000.847001.200179"/>
    <n v="60608"/>
    <n v="60608"/>
    <m/>
    <n v="0"/>
    <n v="60604.5"/>
    <n v="3.5"/>
    <m/>
    <m/>
    <m/>
    <m/>
    <n v="3.5"/>
    <s v="Extra amount left after paying the software renewal"/>
    <n v="3.5"/>
    <s v="Y"/>
    <m/>
    <n v="60608"/>
    <n v="60604.5"/>
    <n v="0"/>
    <n v="0"/>
    <n v="3.5"/>
  </r>
  <r>
    <x v="4"/>
    <s v="2 Other Operating Costs"/>
    <n v="8471250"/>
    <x v="50"/>
    <n v="428090"/>
    <x v="9"/>
    <s v="847.8471250.1.428090.000000.847001.200179"/>
    <n v="0"/>
    <n v="10000"/>
    <n v="4400"/>
    <m/>
    <m/>
    <n v="5600"/>
    <m/>
    <m/>
    <n v="5600"/>
    <s v="Will be used in case of business travel"/>
    <n v="0"/>
    <m/>
    <n v="0"/>
    <s v="Y"/>
    <m/>
    <n v="10000"/>
    <n v="5935"/>
    <n v="0"/>
    <n v="0"/>
    <n v="4065"/>
  </r>
  <r>
    <x v="4"/>
    <s v="2 Other Operating Costs"/>
    <n v="8471250"/>
    <x v="50"/>
    <n v="428640"/>
    <x v="11"/>
    <s v="847.8471250.1.428640.000000.847001.200179"/>
    <n v="46500"/>
    <n v="70001"/>
    <m/>
    <m/>
    <m/>
    <n v="70001"/>
    <m/>
    <n v="70001"/>
    <m/>
    <s v="Will be used for the Alumni Reunion event to purchase giveaways"/>
    <n v="0"/>
    <m/>
    <n v="0"/>
    <s v="Y"/>
    <m/>
    <n v="1"/>
    <n v="0"/>
    <n v="0"/>
    <n v="0"/>
    <n v="1"/>
  </r>
  <r>
    <x v="4"/>
    <s v="2 Other Operating Costs"/>
    <n v="8471250"/>
    <x v="50"/>
    <n v="436110"/>
    <x v="31"/>
    <s v="847.8471250.1.436110.000000.847001.200179"/>
    <n v="10000"/>
    <n v="10000"/>
    <m/>
    <m/>
    <m/>
    <n v="10000"/>
    <m/>
    <m/>
    <n v="10000"/>
    <s v="To be used to cover printing expenses for upcoming events "/>
    <n v="0"/>
    <m/>
    <n v="0"/>
    <s v="Y"/>
    <m/>
    <n v="10000"/>
    <n v="0"/>
    <n v="0"/>
    <n v="0"/>
    <n v="10000"/>
  </r>
  <r>
    <x v="4"/>
    <s v="2 Other Operating Costs"/>
    <n v="8471260"/>
    <x v="51"/>
    <n v="421100"/>
    <x v="41"/>
    <s v="847.8471260.1.421100.000000.847001.200179"/>
    <n v="2058000"/>
    <n v="353000"/>
    <n v="352238.57"/>
    <m/>
    <m/>
    <n v="761.42999999999302"/>
    <n v="0"/>
    <n v="0"/>
    <n v="0"/>
    <n v="0"/>
    <n v="761.42999999999302"/>
    <s v="N/A"/>
    <n v="761.42999999999302"/>
    <s v="Y"/>
    <m/>
    <n v="353000"/>
    <n v="352238.57"/>
    <n v="0"/>
    <n v="0"/>
    <n v="761.42999999999302"/>
  </r>
  <r>
    <x v="4"/>
    <s v="2 Other Operating Costs"/>
    <n v="8471260"/>
    <x v="51"/>
    <n v="425510"/>
    <x v="5"/>
    <s v="847.8471260.1.425510.000000.847001.200179"/>
    <n v="205000"/>
    <n v="105000"/>
    <n v="77273.75"/>
    <n v="0"/>
    <n v="0"/>
    <n v="27726.25"/>
    <n v="0"/>
    <n v="27726"/>
    <n v="0"/>
    <s v="National Day Event &amp; Gathering"/>
    <n v="0.25"/>
    <m/>
    <n v="0.25"/>
    <s v="Y"/>
    <m/>
    <n v="105000"/>
    <n v="98773.75"/>
    <n v="0"/>
    <n v="0"/>
    <n v="6226.25"/>
  </r>
  <r>
    <x v="4"/>
    <s v="2 Other Operating Costs"/>
    <n v="8471260"/>
    <x v="51"/>
    <n v="425746"/>
    <x v="78"/>
    <s v="847.8471260.1.425746.000000.847001.200179"/>
    <n v="9349361"/>
    <n v="9349361"/>
    <n v="-58814.48"/>
    <m/>
    <n v="662298.51"/>
    <n v="8745876.9700000007"/>
    <n v="9967605.25"/>
    <n v="1143175.75"/>
    <n v="1143175.75"/>
    <s v="In October, we will process pending invoices  for the Q1 &amp; Q2 &amp; Q3 and Oct. "/>
    <n v="-5300000"/>
    <s v="Student Transport Expected Shortage is AED 5,300,000"/>
    <n v="-5300000"/>
    <s v="Y"/>
    <m/>
    <n v="9349361"/>
    <n v="-58814.48"/>
    <n v="0"/>
    <n v="9407298.5099999998"/>
    <n v="876.97000000067055"/>
  </r>
  <r>
    <x v="4"/>
    <s v="2 Other Operating Costs"/>
    <n v="8471260"/>
    <x v="51"/>
    <n v="425747"/>
    <x v="54"/>
    <s v="847.8471260.1.425747.000000.847001.200179"/>
    <n v="225000"/>
    <n v="410000"/>
    <n v="85680"/>
    <n v="230400"/>
    <n v="81632"/>
    <n v="12288"/>
    <m/>
    <n v="12288"/>
    <m/>
    <s v="Social events in the dorm  "/>
    <n v="0"/>
    <s v="N/A"/>
    <n v="0"/>
    <s v="Y"/>
    <m/>
    <n v="397712"/>
    <n v="397712"/>
    <n v="0"/>
    <n v="0"/>
    <n v="0"/>
  </r>
  <r>
    <x v="4"/>
    <s v="2 Other Operating Costs"/>
    <n v="8471260"/>
    <x v="51"/>
    <n v="425760"/>
    <x v="35"/>
    <s v="847.8471260.1.425760.000000.847001.200179"/>
    <n v="936870"/>
    <n v="703970"/>
    <n v="279636.98"/>
    <n v="238050"/>
    <n v="62469.05"/>
    <n v="123813.97000000002"/>
    <n v="56907"/>
    <n v="61907"/>
    <n v="5000"/>
    <s v="_WRO Competition. National Day Event "/>
    <n v="-2.9999999984283932E-2"/>
    <s v="N/A"/>
    <n v="-2.9999999984283932E-2"/>
    <s v="Y"/>
    <m/>
    <n v="703970"/>
    <n v="442827.3"/>
    <n v="25000"/>
    <n v="33450"/>
    <n v="202692.7"/>
  </r>
  <r>
    <x v="4"/>
    <s v="2 Other Operating Costs"/>
    <n v="8471260"/>
    <x v="51"/>
    <n v="425900"/>
    <x v="7"/>
    <s v="847.8471260.1.425900.000000.847001.200179"/>
    <n v="70800"/>
    <n v="126700"/>
    <n v="117403.98"/>
    <n v="0"/>
    <n v="0"/>
    <n v="9296.0200000000041"/>
    <n v="4634.5"/>
    <n v="4662"/>
    <n v="0"/>
    <s v="_catering requests for small events"/>
    <n v="-0.47999999999592546"/>
    <s v="N/A"/>
    <n v="-0.47999999999592546"/>
    <s v="Y"/>
    <m/>
    <n v="138988"/>
    <n v="135585.60000000001"/>
    <n v="0"/>
    <n v="0"/>
    <n v="3402.3999999999942"/>
  </r>
  <r>
    <x v="4"/>
    <s v="2 Other Operating Costs"/>
    <n v="8471260"/>
    <x v="51"/>
    <n v="428640"/>
    <x v="11"/>
    <s v="847.8471260.1.428640.000000.847001.200179"/>
    <n v="32500"/>
    <n v="63492"/>
    <n v="53454.94"/>
    <n v="0"/>
    <n v="0"/>
    <n v="10037.059999999998"/>
    <n v="5000"/>
    <n v="5037"/>
    <m/>
    <s v="_It will used to purchase gifts and prizes, trophies and medals for competitions and events "/>
    <n v="5.9999999997671694E-2"/>
    <s v="N/A"/>
    <n v="5.9999999997671694E-2"/>
    <s v="Y"/>
    <m/>
    <n v="63492"/>
    <n v="61287.44"/>
    <n v="0"/>
    <n v="0"/>
    <n v="2204.5599999999977"/>
  </r>
  <r>
    <x v="4"/>
    <s v="2 Other Operating Costs"/>
    <n v="8471260"/>
    <x v="51"/>
    <n v="435530"/>
    <x v="79"/>
    <s v="847.8471260.1.435530.000000.847001.200179"/>
    <n v="12000"/>
    <n v="117000"/>
    <n v="54546.5"/>
    <n v="0"/>
    <n v="48600"/>
    <n v="13853.5"/>
    <n v="6926.75"/>
    <n v="6926.75"/>
    <m/>
    <s v="_ It will be used for music items and arts. "/>
    <n v="0"/>
    <s v="N/A"/>
    <n v="0"/>
    <s v="Y"/>
    <m/>
    <n v="117000"/>
    <n v="106121.25"/>
    <n v="9050"/>
    <n v="0"/>
    <n v="1828.75"/>
  </r>
  <r>
    <x v="4"/>
    <s v="2 Other Operating Costs"/>
    <n v="8471260"/>
    <x v="51"/>
    <n v="436110"/>
    <x v="31"/>
    <s v="847.8471260.1.436110.000000.847001.200179"/>
    <n v="13500"/>
    <n v="13500"/>
    <n v="1620.23"/>
    <m/>
    <m/>
    <n v="11879.77"/>
    <n v="7800"/>
    <n v="4080"/>
    <m/>
    <s v="_It will be used to print out welcoming notes to KU Residents_ Roll-ups and Flyers for the Orientation Printing Materials &amp; posters for Club Day and National Day "/>
    <n v="-0.22999999999956344"/>
    <s v="N/A"/>
    <n v="-0.22999999999956344"/>
    <s v="Y"/>
    <m/>
    <n v="13500"/>
    <n v="7039.73"/>
    <n v="0"/>
    <n v="0"/>
    <n v="6460.27"/>
  </r>
  <r>
    <x v="4"/>
    <s v="2 Other Operating Costs"/>
    <n v="8471270"/>
    <x v="52"/>
    <n v="425900"/>
    <x v="7"/>
    <s v="847.8471270.1.425900.000000.847001.200179"/>
    <n v="50000"/>
    <n v="50000"/>
    <m/>
    <m/>
    <m/>
    <n v="50000"/>
    <m/>
    <m/>
    <m/>
    <m/>
    <n v="50000"/>
    <s v="Amount to hold for the upcoming events such as author workshops, OA events  "/>
    <n v="50000"/>
    <s v="Y"/>
    <m/>
    <n v="50000"/>
    <n v="0"/>
    <n v="0"/>
    <n v="0"/>
    <n v="50000"/>
  </r>
  <r>
    <x v="4"/>
    <s v="2 Other Operating Costs"/>
    <n v="8471270"/>
    <x v="52"/>
    <n v="428090"/>
    <x v="9"/>
    <s v="847.8471270.1.428090.000000.847001.200179"/>
    <n v="300000"/>
    <n v="81738"/>
    <m/>
    <m/>
    <m/>
    <n v="81738"/>
    <m/>
    <m/>
    <n v="81738"/>
    <m/>
    <n v="0"/>
    <s v="Amout needed for the upcoming  professional development conferences ALA, SLA &amp; IFLA  "/>
    <n v="0"/>
    <s v="Y"/>
    <m/>
    <n v="81738"/>
    <n v="0"/>
    <n v="0"/>
    <n v="0"/>
    <n v="81738"/>
  </r>
  <r>
    <x v="4"/>
    <s v="2 Other Operating Costs"/>
    <n v="8471270"/>
    <x v="52"/>
    <n v="435330"/>
    <x v="77"/>
    <s v="847.8471270.1.435330.000000.847001.200179"/>
    <n v="15199430"/>
    <n v="15139430"/>
    <n v="12767176.51"/>
    <n v="1073562.97"/>
    <n v="1053366.4099999999"/>
    <n v="245324.11000000034"/>
    <m/>
    <m/>
    <n v="245324"/>
    <m/>
    <n v="0.11000000033527613"/>
    <s v="Amount needed to hold for pending payments to ACM ( 2021), ALMA ( 2022 project completion) and credit card purchases (50,000) for ILL Total amount 271,520 AED. "/>
    <n v="0.11000000033527613"/>
    <s v="Y"/>
    <m/>
    <n v="15139430"/>
    <n v="13396190.74"/>
    <n v="816172.97"/>
    <n v="731910.63"/>
    <n v="195155.6599999998"/>
  </r>
  <r>
    <x v="4"/>
    <s v="2 Other Operating Costs"/>
    <n v="8471270"/>
    <x v="52"/>
    <n v="436110"/>
    <x v="31"/>
    <s v="847.8471270.1.436110.000000.847001.200179"/>
    <n v="50000"/>
    <n v="50000"/>
    <m/>
    <m/>
    <m/>
    <n v="50000"/>
    <m/>
    <m/>
    <m/>
    <m/>
    <n v="50000"/>
    <s v="Amout to hold for stationery purchases 50,000AED"/>
    <n v="50000"/>
    <s v="Y"/>
    <m/>
    <n v="50000"/>
    <n v="0"/>
    <n v="0"/>
    <n v="0"/>
    <n v="50000"/>
  </r>
  <r>
    <x v="4"/>
    <s v="2 Other Operating Costs"/>
    <n v="8471280"/>
    <x v="53"/>
    <n v="425100"/>
    <x v="14"/>
    <s v="847.8471280.1.425100.000000.847001.200179"/>
    <n v="2500"/>
    <n v="2500"/>
    <m/>
    <m/>
    <m/>
    <n v="2500"/>
    <n v="2500"/>
    <m/>
    <m/>
    <s v="CTL brochure to finalized on Fall 2022"/>
    <n v="0"/>
    <m/>
    <n v="0"/>
    <s v="Y"/>
    <m/>
    <n v="2500"/>
    <n v="0"/>
    <n v="0"/>
    <n v="0"/>
    <n v="2500"/>
  </r>
  <r>
    <x v="4"/>
    <s v="2 Other Operating Costs"/>
    <n v="8471280"/>
    <x v="53"/>
    <n v="425510"/>
    <x v="5"/>
    <s v="847.8471280.1.425510.000000.847001.200179"/>
    <n v="30000"/>
    <n v="98500"/>
    <n v="27665.17"/>
    <m/>
    <m/>
    <n v="70834.83"/>
    <n v="75840"/>
    <m/>
    <m/>
    <s v="PD week guest speakers' honorarium, food catering for Fall 2022 - In process. "/>
    <n v="-5005.1699999999983"/>
    <s v="More funds have been transferred recently from Acedemic Missions account."/>
    <n v="-5005.1699999999983"/>
    <s v="Y"/>
    <m/>
    <n v="157078"/>
    <n v="120344.87"/>
    <n v="0"/>
    <n v="0"/>
    <n v="36733.130000000005"/>
  </r>
  <r>
    <x v="4"/>
    <s v="2 Other Operating Costs"/>
    <n v="8471280"/>
    <x v="53"/>
    <n v="425550"/>
    <x v="6"/>
    <s v="847.8471280.1.425550.000000.847001.200179"/>
    <n v="60000"/>
    <n v="60000"/>
    <n v="28416.86"/>
    <m/>
    <m/>
    <n v="31583.14"/>
    <n v="25700"/>
    <n v="21683.14"/>
    <m/>
    <s v="Conferences in the Fall 2022 - In process"/>
    <n v="-15800"/>
    <m/>
    <n v="-15800"/>
    <s v="Y"/>
    <m/>
    <n v="60000"/>
    <n v="28416.86"/>
    <n v="0"/>
    <n v="0"/>
    <n v="31583.14"/>
  </r>
  <r>
    <x v="4"/>
    <s v="2 Other Operating Costs"/>
    <n v="8471280"/>
    <x v="53"/>
    <n v="425710"/>
    <x v="80"/>
    <s v="847.8471280.1.425710.000000.847001.200179"/>
    <n v="0"/>
    <n v="300000"/>
    <m/>
    <m/>
    <m/>
    <n v="300000"/>
    <n v="366666"/>
    <m/>
    <m/>
    <s v="Teaching Awards Payment, Mini-grants payment, Advance HE Accreditation "/>
    <n v="-66666"/>
    <s v="More funds have been transferred recently from Building Decoration account"/>
    <n v="-66666"/>
    <s v="Y"/>
    <m/>
    <n v="200000"/>
    <n v="57500"/>
    <n v="0"/>
    <n v="0"/>
    <n v="142500"/>
  </r>
  <r>
    <x v="4"/>
    <s v="2 Other Operating Costs"/>
    <n v="8471280"/>
    <x v="53"/>
    <n v="425760"/>
    <x v="35"/>
    <s v="847.8471280.1.425760.000000.847001.200179"/>
    <n v="30000"/>
    <n v="30000"/>
    <m/>
    <m/>
    <m/>
    <n v="30000"/>
    <n v="20000"/>
    <n v="10000"/>
    <m/>
    <s v="Experiential Learning Symposium &amp; Musabaqat Competition (website, fliers, roll-ups, catering, award, medals, and prizes)"/>
    <n v="0"/>
    <m/>
    <n v="0"/>
    <s v="Y"/>
    <m/>
    <n v="30000"/>
    <n v="3000"/>
    <n v="0"/>
    <n v="0"/>
    <n v="27000"/>
  </r>
  <r>
    <x v="4"/>
    <s v="2 Other Operating Costs"/>
    <n v="8471280"/>
    <x v="53"/>
    <n v="425770"/>
    <x v="20"/>
    <s v="847.8471280.1.425770.000000.847001.200179"/>
    <n v="500000"/>
    <n v="141321"/>
    <n v="82742.5"/>
    <n v="0"/>
    <n v="0"/>
    <n v="58578.5"/>
    <m/>
    <m/>
    <m/>
    <m/>
    <n v="58578.5"/>
    <s v="Transfer is on process to local events account"/>
    <n v="58578.5"/>
    <s v="Y"/>
    <m/>
    <n v="82743"/>
    <n v="82742.5"/>
    <n v="0"/>
    <n v="0"/>
    <n v="0.5"/>
  </r>
  <r>
    <x v="4"/>
    <s v="2 Other Operating Costs"/>
    <n v="8471280"/>
    <x v="53"/>
    <n v="426610"/>
    <x v="8"/>
    <s v="847.8471280.1.426610.000000.847001.200179"/>
    <n v="321000"/>
    <n v="321000"/>
    <n v="201651.64"/>
    <n v="14692"/>
    <n v="59481"/>
    <n v="45175.359999999986"/>
    <m/>
    <n v="45175"/>
    <m/>
    <s v="Subscription to other teaching tools (Monday.com, Kahoot, etc.,) are on process"/>
    <n v="0.35999999998603016"/>
    <m/>
    <n v="0.35999999998603016"/>
    <s v="Y"/>
    <m/>
    <n v="321000"/>
    <n v="266911.89"/>
    <n v="14692"/>
    <n v="0"/>
    <n v="39396.109999999986"/>
  </r>
  <r>
    <x v="4"/>
    <s v="2 Other Operating Costs"/>
    <n v="8471280"/>
    <x v="53"/>
    <n v="428640"/>
    <x v="11"/>
    <s v="847.8471280.1.428640.000000.847001.200179"/>
    <n v="15000"/>
    <n v="7612"/>
    <m/>
    <m/>
    <m/>
    <n v="7612"/>
    <m/>
    <n v="7612"/>
    <m/>
    <s v="Tutoring &amp; Mentoring Event"/>
    <n v="0"/>
    <m/>
    <n v="0"/>
    <s v="Y"/>
    <m/>
    <n v="7612"/>
    <n v="0"/>
    <n v="0"/>
    <n v="0"/>
    <n v="7612"/>
  </r>
  <r>
    <x v="4"/>
    <s v="2 Other Operating Costs"/>
    <n v="8471280"/>
    <x v="53"/>
    <n v="432170"/>
    <x v="47"/>
    <s v="847.8471280.1.432170.000000.847001.200179"/>
    <n v="200000"/>
    <n v="200000"/>
    <m/>
    <m/>
    <m/>
    <n v="200000"/>
    <m/>
    <m/>
    <m/>
    <m/>
    <n v="200000"/>
    <s v="Transfer is on process to higher education account"/>
    <n v="200000"/>
    <s v="Y"/>
    <m/>
    <n v="0"/>
    <n v="0"/>
    <n v="0"/>
    <n v="0"/>
    <n v="0"/>
  </r>
  <r>
    <x v="4"/>
    <s v="2 Other Operating Costs"/>
    <n v="8471280"/>
    <x v="53"/>
    <n v="435340"/>
    <x v="36"/>
    <s v="847.8471280.1.435340.000000.847001.200179"/>
    <n v="10000"/>
    <n v="10000"/>
    <m/>
    <m/>
    <m/>
    <n v="10000"/>
    <m/>
    <n v="10000"/>
    <m/>
    <s v="E-books to be recommended by CTL team/integrate in Bb so faculty can access it, to purchase by Library for CTL."/>
    <n v="0"/>
    <m/>
    <n v="0"/>
    <s v="Y"/>
    <m/>
    <n v="10000"/>
    <n v="0"/>
    <n v="0"/>
    <n v="0"/>
    <n v="10000"/>
  </r>
  <r>
    <x v="4"/>
    <s v="2 Other Operating Costs"/>
    <n v="8471280"/>
    <x v="53"/>
    <n v="435530"/>
    <x v="79"/>
    <s v="847.8471280.1.435530.000000.847001.200179"/>
    <n v="5000"/>
    <n v="5000"/>
    <m/>
    <m/>
    <m/>
    <n v="5000"/>
    <n v="2500"/>
    <n v="2500"/>
    <m/>
    <s v="Stationery not included in FM storeroom, staff offices' material requirements"/>
    <n v="0"/>
    <m/>
    <n v="0"/>
    <s v="Y"/>
    <m/>
    <n v="5000"/>
    <n v="0"/>
    <n v="0"/>
    <n v="0"/>
    <n v="5000"/>
  </r>
  <r>
    <x v="15"/>
    <s v="2 Other Operating Costs"/>
    <n v="8471305"/>
    <x v="54"/>
    <n v="420570"/>
    <x v="1"/>
    <s v="847.8471305.1.420570.000000.847001.200179"/>
    <n v="21895944"/>
    <n v="21895944"/>
    <n v="6288810"/>
    <m/>
    <m/>
    <n v="15607134"/>
    <n v="5202378"/>
    <n v="5202378"/>
    <n v="5202378"/>
    <s v="Clerkship /clincal education contract"/>
    <n v="0"/>
    <s v="second quarter invoice in payment process which is not reflected here.  CMHS awaiting sthird and fourth quarter iinvoice from contract partner. Acutal contract notes 25,770,240 required per the contract. Balance to be addressed before end of academic year.  Some surplus possible."/>
    <n v="0"/>
    <s v="Y"/>
    <m/>
    <n v="21895944"/>
    <n v="18866430"/>
    <n v="0"/>
    <n v="0"/>
    <n v="3029514"/>
  </r>
  <r>
    <x v="15"/>
    <s v="2 Other Operating Costs"/>
    <n v="8471305"/>
    <x v="54"/>
    <n v="421000"/>
    <x v="3"/>
    <s v="847.8471305.1.421000.000000.847001.200179"/>
    <n v="271000"/>
    <n v="271000"/>
    <n v="147834.06"/>
    <n v="0"/>
    <n v="0"/>
    <n v="123165.94"/>
    <n v="41056"/>
    <n v="41055"/>
    <n v="41055"/>
    <s v="Continuing edution events under discussion with OME"/>
    <n v="-5.9999999997671694E-2"/>
    <s v="Educational sessons on site by Barbar Oakley, funds just recently transferred for payment.  Further educational activity in discussions for 4th quarter."/>
    <n v="-5.9999999997671694E-2"/>
    <s v="Y"/>
    <m/>
    <n v="271000"/>
    <n v="147834.06"/>
    <n v="0"/>
    <n v="0"/>
    <n v="123165.94"/>
  </r>
  <r>
    <x v="15"/>
    <s v="2 Other Operating Costs"/>
    <n v="8471305"/>
    <x v="54"/>
    <n v="421700"/>
    <x v="4"/>
    <s v="847.8471305.1.421700.000000.847001.200179"/>
    <n v="170000"/>
    <n v="170000"/>
    <n v="73837.02"/>
    <m/>
    <m/>
    <n v="96162.98"/>
    <n v="0"/>
    <n v="48081"/>
    <n v="48082"/>
    <s v="American Heart Association training center certification and Audio Visual certification"/>
    <n v="-2.0000000004074536E-2"/>
    <s v="certifications will be renewed as per contract dates based on quality management standards."/>
    <n v="-2.0000000004074536E-2"/>
    <s v="Y"/>
    <m/>
    <n v="170000"/>
    <n v="73837.02"/>
    <n v="0"/>
    <n v="0"/>
    <n v="96162.98"/>
  </r>
  <r>
    <x v="15"/>
    <s v="2 Other Operating Costs"/>
    <n v="8471305"/>
    <x v="54"/>
    <n v="422100"/>
    <x v="81"/>
    <s v="847.8471305.1.422100.000000.847001.200179"/>
    <n v="12000"/>
    <n v="12000"/>
    <m/>
    <m/>
    <m/>
    <n v="12000"/>
    <m/>
    <m/>
    <n v="12000"/>
    <s v="To be expended befor the end of  3rd quarter. "/>
    <n v="0"/>
    <s v="To be expended befor the end of  4th quarter. "/>
    <n v="0"/>
    <s v="Y"/>
    <m/>
    <n v="12000"/>
    <n v="0"/>
    <n v="0"/>
    <n v="0"/>
    <n v="12000"/>
  </r>
  <r>
    <x v="15"/>
    <s v="2 Other Operating Costs"/>
    <n v="8471305"/>
    <x v="54"/>
    <n v="425510"/>
    <x v="5"/>
    <s v="847.8471305.1.425510.000000.847001.200179"/>
    <n v="820000"/>
    <n v="601500"/>
    <n v="224036.23"/>
    <n v="0"/>
    <n v="76000"/>
    <n v="301463.77"/>
    <n v="75000"/>
    <n v="126000"/>
    <n v="100676"/>
    <s v="events for Q4 in progress for faculty and students  . Clinical  affairs director and OME  continues planning events locally for scholarly presenations and networking. Faculty currently in planning phase for November events."/>
    <n v="-212.22999999998137"/>
    <s v="events for Q4 in progress for faculty and students  . Clinical  affairs director and OME  continues planning events locally for scholarly presenations and networking. Faculty currently in planning phase for November events.    The research retreat that was canceled in October will be scheduled in Nov/Dec and the CMHS advisory meeting will also take place during this period.  The AAHC renewal is also in progress of payment for this quarter."/>
    <n v="-212.22999999998137"/>
    <s v="Y"/>
    <m/>
    <n v="601500"/>
    <n v="303736.23"/>
    <n v="0"/>
    <n v="0"/>
    <n v="297763.77"/>
  </r>
  <r>
    <x v="15"/>
    <s v="2 Other Operating Costs"/>
    <n v="8471305"/>
    <x v="54"/>
    <n v="425550"/>
    <x v="6"/>
    <s v="847.8471305.1.425550.000000.847001.200179"/>
    <n v="780000"/>
    <n v="622000"/>
    <n v="85529.62"/>
    <m/>
    <m/>
    <n v="536470.38"/>
    <n v="136000"/>
    <n v="200000"/>
    <n v="100000"/>
    <s v="AMEE , AAMC  and other confernce attendance scheduled. "/>
    <n v="100470.38"/>
    <s v="Several events planning for quarter four for faculty and students.  Also external local event planning for with KU Main office collaboration.   Possible surplus of 100,000 in this cost code."/>
    <n v="100470.38"/>
    <s v="Y"/>
    <m/>
    <n v="607000"/>
    <n v="351181.9"/>
    <n v="0"/>
    <n v="0"/>
    <n v="255818.09999999998"/>
  </r>
  <r>
    <x v="15"/>
    <s v="2 Other Operating Costs"/>
    <n v="8471305"/>
    <x v="54"/>
    <n v="425720"/>
    <x v="37"/>
    <s v="847.8471305.1.425720.000000.847001.200179"/>
    <n v="2494345"/>
    <n v="2424345"/>
    <n v="1394432.45"/>
    <n v="0"/>
    <n v="692500"/>
    <n v="337412.55000000005"/>
    <n v="138000"/>
    <n v="100000"/>
    <m/>
    <s v="planning for quarter four for faculty, staff and students per OME and Clinical Affairs"/>
    <n v="99412.550000000047"/>
    <s v="Possible surplus of 100,000 in this cost code."/>
    <n v="99412.550000000047"/>
    <s v="Y"/>
    <m/>
    <n v="2424345"/>
    <n v="1474262.45"/>
    <n v="99801"/>
    <n v="804467.5"/>
    <n v="45814.050000000047"/>
  </r>
  <r>
    <x v="15"/>
    <s v="2 Other Operating Costs"/>
    <n v="8471305"/>
    <x v="54"/>
    <n v="425742"/>
    <x v="75"/>
    <s v="847.8471305.1.425742.000000.847001.200179"/>
    <n v="180000"/>
    <n v="180000"/>
    <n v="168989.59"/>
    <m/>
    <m/>
    <n v="11010.410000000003"/>
    <n v="0"/>
    <n v="11010.41"/>
    <n v="0"/>
    <s v="Late fourth quarter submission possible in this area.  "/>
    <n v="3.637978807091713E-12"/>
    <s v="Late fourth quarter submission possible in this area.  "/>
    <n v="3.637978807091713E-12"/>
    <s v="Y"/>
    <m/>
    <n v="180000"/>
    <n v="179039.58"/>
    <n v="0"/>
    <n v="0"/>
    <n v="960.42000000001281"/>
  </r>
  <r>
    <x v="15"/>
    <s v="2 Other Operating Costs"/>
    <n v="8471305"/>
    <x v="54"/>
    <n v="425744"/>
    <x v="26"/>
    <s v="847.8471305.1.425744.000000.847001.200179"/>
    <n v="0"/>
    <n v="100694"/>
    <n v="100002"/>
    <m/>
    <m/>
    <n v="692"/>
    <n v="0"/>
    <n v="0"/>
    <n v="692"/>
    <s v="Late fourth quarter submission possible in this area.  "/>
    <n v="0"/>
    <s v="Late fourth quarter submission possible in this area.  "/>
    <n v="0"/>
    <s v="Y"/>
    <m/>
    <n v="100694"/>
    <n v="100002"/>
    <n v="0"/>
    <n v="0"/>
    <n v="692"/>
  </r>
  <r>
    <x v="15"/>
    <s v="2 Other Operating Costs"/>
    <n v="8471305"/>
    <x v="54"/>
    <n v="425745"/>
    <x v="27"/>
    <s v="847.8471305.1.425745.000000.847001.200179"/>
    <n v="0"/>
    <n v="40400"/>
    <n v="39340"/>
    <m/>
    <m/>
    <n v="1060"/>
    <m/>
    <m/>
    <n v="1060"/>
    <s v="Late fourth quarter submission possible in this area.  "/>
    <n v="0"/>
    <s v="Late fourth quarter submission possible in this area.  "/>
    <n v="0"/>
    <s v="Y"/>
    <m/>
    <n v="55400"/>
    <n v="54543"/>
    <n v="0"/>
    <n v="0"/>
    <n v="857"/>
  </r>
  <r>
    <x v="15"/>
    <s v="2 Other Operating Costs"/>
    <n v="8471305"/>
    <x v="54"/>
    <n v="425746"/>
    <x v="78"/>
    <s v="847.8471305.1.425746.000000.847001.200179"/>
    <n v="312600"/>
    <n v="292600"/>
    <m/>
    <m/>
    <m/>
    <n v="292600"/>
    <n v="100000"/>
    <n v="100000"/>
    <n v="92600"/>
    <s v="A full P1-P4 cohort has resumed   funds will be noted and pay out invoice is submitted."/>
    <n v="0"/>
    <s v="A full P1-P4 cohort has resumed   funds will be noted and pay out invoice is submitted."/>
    <n v="0"/>
    <s v="Y"/>
    <m/>
    <n v="292600"/>
    <n v="0"/>
    <n v="0"/>
    <n v="0"/>
    <n v="292600"/>
  </r>
  <r>
    <x v="15"/>
    <s v="2 Other Operating Costs"/>
    <n v="8471305"/>
    <x v="54"/>
    <n v="425749"/>
    <x v="28"/>
    <s v="847.8471305.1.425749.000000.847001.200179"/>
    <n v="24213178"/>
    <n v="24213178"/>
    <n v="17903200.030000001"/>
    <m/>
    <m/>
    <n v="6309977.9699999988"/>
    <n v="2103326"/>
    <n v="2103326"/>
    <n v="2724000"/>
    <s v="Full cohort  of P1-P4 students, dund should be exhausted. "/>
    <n v="-620674.03000000119"/>
    <s v="This is ongoing  expense  as salary support for our current and new onboarded students for the full four year cohort. "/>
    <n v="-620674.03000000119"/>
    <s v="Y"/>
    <m/>
    <n v="26413178"/>
    <n v="20741200.030000001"/>
    <n v="0"/>
    <n v="0"/>
    <n v="5671977.9699999988"/>
  </r>
  <r>
    <x v="15"/>
    <s v="2 Other Operating Costs"/>
    <n v="8471305"/>
    <x v="54"/>
    <n v="425750"/>
    <x v="76"/>
    <s v="847.8471305.1.425750.000000.847001.200179"/>
    <n v="864069"/>
    <n v="864069"/>
    <n v="120718.5"/>
    <m/>
    <m/>
    <n v="743350.5"/>
    <m/>
    <m/>
    <m/>
    <s v="All internationally supported platforms such as  via Lecturio  - USMLE Prep, IFOM costs to underpin student success on standardized US testing program are in action or being planned for the next three months.  "/>
    <n v="743350.5"/>
    <s v="All internationally supported platforms should exhaust funds over the  the next three months.  Lecturio onsite to adjucnt online currently underway.  Lecturio has been contacted to provide lectures for reproductive and endocrine services.  To be billed this quarter."/>
    <n v="743350.5"/>
    <s v="Y"/>
    <m/>
    <n v="864069"/>
    <n v="131112.59"/>
    <n v="0"/>
    <n v="0"/>
    <n v="732956.41"/>
  </r>
  <r>
    <x v="15"/>
    <s v="2 Other Operating Costs"/>
    <n v="8471305"/>
    <x v="54"/>
    <n v="425762"/>
    <x v="30"/>
    <s v="847.8471305.1.425762.000000.847001.200179"/>
    <n v="2759974"/>
    <n v="2088974"/>
    <n v="4000.47"/>
    <m/>
    <m/>
    <n v="2084973.53"/>
    <n v="500000"/>
    <n v="1000000"/>
    <n v="500000"/>
    <s v=" international  internship electives are ongoing.  One invoice just submitted from GW."/>
    <n v="84973.530000000028"/>
    <s v=" Some surplus possible."/>
    <n v="84973.530000000028"/>
    <s v="Y"/>
    <m/>
    <n v="1907974"/>
    <n v="262766.96999999997"/>
    <n v="0"/>
    <n v="0"/>
    <n v="1645207.03"/>
  </r>
  <r>
    <x v="15"/>
    <s v="2 Other Operating Costs"/>
    <n v="8471305"/>
    <x v="54"/>
    <n v="425763"/>
    <x v="15"/>
    <s v="847.8471305.1.425763.000000.847001.200179"/>
    <n v="200000"/>
    <n v="200000"/>
    <n v="2940"/>
    <m/>
    <m/>
    <n v="197060"/>
    <n v="75000"/>
    <n v="75000"/>
    <n v="47060"/>
    <s v="A full P1-P4 cohort will untilize  funds these funds."/>
    <n v="0"/>
    <s v="To be expended befor the end of  4th quarter. "/>
    <n v="0"/>
    <s v="Y"/>
    <m/>
    <n v="200000"/>
    <n v="2940"/>
    <n v="0"/>
    <n v="0"/>
    <n v="197060"/>
  </r>
  <r>
    <x v="15"/>
    <s v="2 Other Operating Costs"/>
    <n v="8471305"/>
    <x v="54"/>
    <n v="425900"/>
    <x v="7"/>
    <s v="847.8471305.1.425900.000000.847001.200179"/>
    <n v="185000"/>
    <n v="185000"/>
    <n v="25446.28"/>
    <n v="0"/>
    <n v="0"/>
    <n v="159553.72"/>
    <n v="60407"/>
    <n v="50000"/>
    <n v="50000"/>
    <s v="A full P1-P4 cohort will untilize  funds these funds, falcn community events, recognitions etc."/>
    <n v="-853.27999999999884"/>
    <s v="To be expended befor the end of  4th quarter. "/>
    <n v="-853.27999999999884"/>
    <s v="Y"/>
    <m/>
    <n v="185000"/>
    <n v="54415.58"/>
    <n v="0"/>
    <n v="0"/>
    <n v="130584.42"/>
  </r>
  <r>
    <x v="15"/>
    <s v="2 Other Operating Costs"/>
    <n v="8471305"/>
    <x v="54"/>
    <n v="426100"/>
    <x v="38"/>
    <s v="847.8471305.1.426100.000000.847001.200179"/>
    <n v="90000"/>
    <n v="90000"/>
    <m/>
    <m/>
    <m/>
    <n v="90000"/>
    <n v="50000"/>
    <n v="30000"/>
    <n v="10000"/>
    <s v="Travel to major confrences with booth and recruitment materials in Oct/Nov."/>
    <n v="0"/>
    <s v="To be expended befor the end of  4th quarter. "/>
    <n v="0"/>
    <s v="Y"/>
    <m/>
    <n v="90000"/>
    <n v="0"/>
    <n v="0"/>
    <n v="0"/>
    <n v="90000"/>
  </r>
  <r>
    <x v="15"/>
    <s v="2 Other Operating Costs"/>
    <n v="8471305"/>
    <x v="54"/>
    <n v="426610"/>
    <x v="8"/>
    <s v="847.8471305.1.426610.000000.847001.200179"/>
    <n v="777363"/>
    <n v="977363"/>
    <n v="855977.21"/>
    <n v="-7.2759576141834308E-12"/>
    <n v="10916.08"/>
    <n v="110469.71000000004"/>
    <n v="80000"/>
    <n v="15000"/>
    <n v="15470"/>
    <s v="eCurriculum Annual License_x000a_ and  Syllabus Generator Module Annual License submission pending, invoice just received."/>
    <n v="-0.28999999996449333"/>
    <s v="License submission pending, invoice just received."/>
    <n v="-0.28999999996449333"/>
    <s v="Y"/>
    <m/>
    <n v="977363"/>
    <n v="851613.69"/>
    <n v="0"/>
    <n v="10916.08"/>
    <n v="114833.23000000005"/>
  </r>
  <r>
    <x v="15"/>
    <s v="2 Other Operating Costs"/>
    <n v="8471305"/>
    <x v="54"/>
    <n v="426900"/>
    <x v="51"/>
    <s v="847.8471305.1.426900.000000.847001.200179"/>
    <n v="21000"/>
    <n v="21000"/>
    <n v="235"/>
    <m/>
    <m/>
    <n v="20765"/>
    <n v="5000"/>
    <n v="8000"/>
    <n v="7000"/>
    <s v="Conference and other communication needs"/>
    <n v="765"/>
    <s v="Possible surplus in this cost code."/>
    <n v="765"/>
    <s v="Y"/>
    <m/>
    <n v="21000"/>
    <n v="235"/>
    <n v="0"/>
    <n v="0"/>
    <n v="20765"/>
  </r>
  <r>
    <x v="15"/>
    <s v="2 Other Operating Costs"/>
    <n v="8471305"/>
    <x v="54"/>
    <n v="427200"/>
    <x v="17"/>
    <s v="847.8471305.1.427200.000000.847001.200179"/>
    <n v="903674"/>
    <n v="81210"/>
    <m/>
    <m/>
    <m/>
    <n v="81210"/>
    <n v="40000"/>
    <n v="20000"/>
    <n v="20000"/>
    <s v="Articles are in progress and will be submitted once approved by journals. "/>
    <n v="1210"/>
    <s v="Possible surplus in this cost code."/>
    <n v="1210"/>
    <s v="Y"/>
    <m/>
    <n v="81210"/>
    <n v="0"/>
    <n v="0"/>
    <n v="0"/>
    <n v="81210"/>
  </r>
  <r>
    <x v="15"/>
    <s v="2 Other Operating Costs"/>
    <n v="8471305"/>
    <x v="54"/>
    <n v="427710"/>
    <x v="13"/>
    <s v="847.8471305.1.427710.000000.847001.200179"/>
    <n v="153178"/>
    <n v="153178"/>
    <n v="24512.25"/>
    <n v="0"/>
    <n v="25711"/>
    <n v="102954.75"/>
    <n v="30000"/>
    <n v="50000"/>
    <n v="15000"/>
    <s v="Faculty and Staff are submitting their renewals and applications."/>
    <n v="7954.75"/>
    <s v="Possible surplus in this cost code."/>
    <n v="7954.75"/>
    <s v="Y"/>
    <m/>
    <n v="153178"/>
    <n v="50517.43"/>
    <n v="0"/>
    <n v="0"/>
    <n v="102660.57"/>
  </r>
  <r>
    <x v="15"/>
    <s v="2 Other Operating Costs"/>
    <n v="8471305"/>
    <x v="54"/>
    <n v="427810"/>
    <x v="69"/>
    <s v="847.8471305.1.427810.000000.847001.200179"/>
    <n v="10000"/>
    <n v="10000"/>
    <m/>
    <m/>
    <m/>
    <n v="10000"/>
    <n v="3000"/>
    <n v="3000"/>
    <n v="3000"/>
    <s v="Phone charges will be uploaded this quarter."/>
    <n v="1000"/>
    <s v="Possible surplus in this cost code."/>
    <n v="1000"/>
    <s v="Y"/>
    <m/>
    <n v="10000"/>
    <n v="0"/>
    <n v="0"/>
    <n v="0"/>
    <n v="10000"/>
  </r>
  <r>
    <x v="15"/>
    <s v="2 Other Operating Costs"/>
    <n v="8471305"/>
    <x v="54"/>
    <n v="428090"/>
    <x v="9"/>
    <s v="847.8471305.1.428090.000000.847001.200179"/>
    <n v="419000"/>
    <n v="69339"/>
    <n v="523.75"/>
    <m/>
    <m/>
    <n v="68815.25"/>
    <n v="20000"/>
    <n v="20000"/>
    <n v="20000"/>
    <s v="events for Q4 in progress for faculty and students  . Clinical  affairs director and OME  continues planning events locally for scholarly presenations and networking. Faculty currently in planning phase for November events."/>
    <n v="8815.25"/>
    <s v="Possible surplus in this cost code."/>
    <n v="8815.25"/>
    <s v="Y"/>
    <m/>
    <n v="69339"/>
    <n v="523.75"/>
    <n v="0"/>
    <n v="0"/>
    <n v="68815.25"/>
  </r>
  <r>
    <x v="15"/>
    <s v="2 Other Operating Costs"/>
    <n v="8471305"/>
    <x v="54"/>
    <n v="428640"/>
    <x v="11"/>
    <s v="847.8471305.1.428640.000000.847001.200179"/>
    <n v="5000"/>
    <n v="2887"/>
    <n v="2819.61"/>
    <m/>
    <m/>
    <n v="67.389999999999873"/>
    <m/>
    <m/>
    <n v="67.389999999999901"/>
    <m/>
    <n v="0"/>
    <s v="To be exhausted this quarter"/>
    <n v="0"/>
    <s v="Y"/>
    <m/>
    <n v="2887"/>
    <n v="2819.61"/>
    <n v="0"/>
    <n v="0"/>
    <n v="67.389999999999873"/>
  </r>
  <r>
    <x v="15"/>
    <s v="2 Other Operating Costs"/>
    <n v="8471305"/>
    <x v="54"/>
    <n v="432205"/>
    <x v="24"/>
    <s v="847.8471305.1.432205.000000.847001.200179"/>
    <n v="26000"/>
    <n v="565385"/>
    <n v="522981"/>
    <n v="0"/>
    <n v="0"/>
    <n v="42404"/>
    <n v="0"/>
    <n v="20000"/>
    <n v="0"/>
    <s v="Possible emergent need"/>
    <n v="22404"/>
    <s v="Possible surplus in this cost code."/>
    <n v="22404"/>
    <s v="Y"/>
    <m/>
    <n v="565385"/>
    <n v="522981"/>
    <n v="0"/>
    <n v="0"/>
    <n v="42404"/>
  </r>
  <r>
    <x v="15"/>
    <s v="2 Other Operating Costs"/>
    <n v="8471305"/>
    <x v="54"/>
    <n v="432209"/>
    <x v="32"/>
    <s v="847.8471305.1.432209.000000.847001.200179"/>
    <n v="516900"/>
    <n v="586900"/>
    <n v="332442.61"/>
    <n v="0"/>
    <n v="242373.5"/>
    <n v="12083.890000000014"/>
    <m/>
    <n v="12083.89"/>
    <m/>
    <s v="OPEX items under process "/>
    <n v="1.4551915228366852E-11"/>
    <s v="To be exhausted this quarter as processed via procurement. "/>
    <n v="1.4551915228366852E-11"/>
    <s v="Y"/>
    <m/>
    <n v="586900"/>
    <n v="347838.11"/>
    <n v="0"/>
    <n v="226978"/>
    <n v="12083.890000000014"/>
  </r>
  <r>
    <x v="15"/>
    <s v="2 Other Operating Costs"/>
    <n v="8471305"/>
    <x v="54"/>
    <n v="432210"/>
    <x v="82"/>
    <s v="847.8471305.1.432210.000000.847001.200179"/>
    <n v="35000"/>
    <n v="35000"/>
    <m/>
    <m/>
    <m/>
    <n v="35000"/>
    <m/>
    <m/>
    <n v="10000"/>
    <s v="Will inquire with  chairs related to small items"/>
    <n v="25000"/>
    <s v="surplus if unable to expend on small medical equipement such as dissection scissors etc…"/>
    <n v="25000"/>
    <s v="Y"/>
    <m/>
    <n v="35000"/>
    <n v="0"/>
    <n v="0"/>
    <n v="0"/>
    <n v="35000"/>
  </r>
  <r>
    <x v="15"/>
    <s v="2 Other Operating Costs"/>
    <n v="8471305"/>
    <x v="54"/>
    <n v="435330"/>
    <x v="77"/>
    <s v="847.8471305.1.435330.000000.847001.200179"/>
    <n v="72000"/>
    <n v="1312390"/>
    <m/>
    <n v="1054944.71"/>
    <m/>
    <n v="257445.29000000004"/>
    <n v="257445"/>
    <m/>
    <m/>
    <s v="PR  have been submitted supported by Procuremtn and finance.  These are not reflected in in total  the report as of yet. "/>
    <n v="0.2900000000372529"/>
    <s v="To be exhausted this quarter as processed via procurement.  Emedley "/>
    <n v="0.2900000000372529"/>
    <s v="Y"/>
    <m/>
    <n v="1312390"/>
    <n v="105637.37"/>
    <n v="148095.35999999999"/>
    <n v="783022.16"/>
    <n v="275635.11"/>
  </r>
  <r>
    <x v="15"/>
    <s v="2 Other Operating Costs"/>
    <n v="8471305"/>
    <x v="54"/>
    <n v="435340"/>
    <x v="36"/>
    <s v="847.8471305.1.435340.000000.847001.200179"/>
    <n v="591905"/>
    <n v="6515"/>
    <n v="305.68"/>
    <m/>
    <m/>
    <n v="6209.32"/>
    <m/>
    <m/>
    <n v="6209.32"/>
    <s v="To be expended befor the end of  4th quarter. "/>
    <n v="0"/>
    <s v="To be expended befor the end of  4th quarter. "/>
    <n v="0"/>
    <s v="Y"/>
    <m/>
    <n v="6515"/>
    <n v="305.68"/>
    <n v="0"/>
    <n v="0"/>
    <n v="6209.32"/>
  </r>
  <r>
    <x v="15"/>
    <s v="2 Other Operating Costs"/>
    <n v="8471305"/>
    <x v="54"/>
    <n v="435350"/>
    <x v="21"/>
    <s v="847.8471305.1.435350.000000.847001.200179"/>
    <n v="120000"/>
    <n v="345499"/>
    <n v="273623.65999999997"/>
    <m/>
    <m/>
    <n v="71875.340000000026"/>
    <n v="20000"/>
    <n v="30000"/>
    <n v="20000"/>
    <s v="Articles are in progress and will be submitted once approved by journals. "/>
    <n v="1875.3400000000256"/>
    <s v="To be expended befor the end of  4th quarter. Minimal surplus possible.  "/>
    <n v="1875.3400000000256"/>
    <s v="Y"/>
    <m/>
    <n v="520499"/>
    <n v="341222.34"/>
    <n v="0"/>
    <n v="0"/>
    <n v="179276.65999999997"/>
  </r>
  <r>
    <x v="15"/>
    <s v="2 Other Operating Costs"/>
    <n v="8471305"/>
    <x v="54"/>
    <n v="435508"/>
    <x v="33"/>
    <s v="847.8471305.1.435508.000000.847001.200179"/>
    <n v="1592072"/>
    <n v="1892072"/>
    <n v="994657.7"/>
    <n v="5630.0000000002301"/>
    <n v="672718.88"/>
    <n v="219065.41999999981"/>
    <n v="100000"/>
    <n v="119065"/>
    <m/>
    <s v="PR  have been submitted supported by Procuremtn and finance.  These are not reflected in in total  the report as of yet. "/>
    <n v="0.41999999980907887"/>
    <s v="To be expended befor the end of  4th quarter. Minimal surplus possible.  "/>
    <n v="0.41999999980907887"/>
    <s v="Y"/>
    <m/>
    <n v="1892072"/>
    <n v="1099743.8500000001"/>
    <n v="5630"/>
    <n v="570158.88"/>
    <n v="216539.2699999999"/>
  </r>
  <r>
    <x v="15"/>
    <s v="2 Other Operating Costs"/>
    <n v="8471305"/>
    <x v="54"/>
    <n v="435530"/>
    <x v="79"/>
    <s v="847.8471305.1.435530.000000.847001.200179"/>
    <n v="10000"/>
    <n v="10000"/>
    <n v="80"/>
    <m/>
    <m/>
    <n v="9920"/>
    <n v="4000"/>
    <n v="4000"/>
    <n v="0"/>
    <s v="Items to be utilized by OME and Falcon Communities "/>
    <n v="1920"/>
    <s v="To be expended befor the end of  4th quarter. Minimal surplus possible.  "/>
    <n v="1920"/>
    <s v="Y"/>
    <m/>
    <n v="10000"/>
    <n v="80"/>
    <n v="0"/>
    <n v="0"/>
    <n v="9920"/>
  </r>
  <r>
    <x v="15"/>
    <s v="2 Other Operating Costs"/>
    <n v="8471305"/>
    <x v="54"/>
    <n v="436120"/>
    <x v="65"/>
    <s v="847.8471305.1.436120.000000.847001.200179"/>
    <n v="112000"/>
    <n v="112000"/>
    <n v="1055.25"/>
    <m/>
    <m/>
    <n v="110944.75"/>
    <n v="8000"/>
    <n v="20000"/>
    <n v="60000"/>
    <s v="PR  have recently been submitted"/>
    <n v="22944.75"/>
    <s v="To be expended befor the end of  4th quarter. Minimal surplus possible.  "/>
    <n v="22944.75"/>
    <s v="Y"/>
    <m/>
    <n v="112000"/>
    <n v="3165.75"/>
    <n v="0"/>
    <n v="0"/>
    <n v="108834.25"/>
  </r>
  <r>
    <x v="12"/>
    <s v="2 Other Operating Costs"/>
    <n v="8470810"/>
    <x v="35"/>
    <s v="420810"/>
    <x v="73"/>
    <s v="847.8470810.1.420810.000000.847001.200179"/>
    <n v="10351793"/>
    <m/>
    <m/>
    <m/>
    <n v="0"/>
    <m/>
    <m/>
    <m/>
    <m/>
    <n v="0"/>
    <m/>
    <m/>
    <n v="0"/>
    <s v="Y"/>
    <m/>
    <n v="0"/>
    <n v="0"/>
    <n v="0"/>
    <n v="0"/>
    <n v="0"/>
  </r>
  <r>
    <x v="12"/>
    <s v="2 Other Operating Costs"/>
    <n v="8470810"/>
    <x v="35"/>
    <s v="430230"/>
    <x v="56"/>
    <s v="847.8470810.1.430230.000000.847001.200179"/>
    <n v="1021317"/>
    <m/>
    <m/>
    <m/>
    <n v="0"/>
    <m/>
    <m/>
    <m/>
    <m/>
    <n v="0"/>
    <m/>
    <m/>
    <n v="0"/>
    <s v="Y"/>
    <m/>
    <n v="0"/>
    <n v="0"/>
    <n v="0"/>
    <n v="0"/>
    <n v="0"/>
  </r>
  <r>
    <x v="12"/>
    <s v="2 Other Operating Costs"/>
    <n v="8470810"/>
    <x v="35"/>
    <s v="436110"/>
    <x v="31"/>
    <s v="847.8470810.1.436110.000000.847001.200179"/>
    <n v="360000"/>
    <m/>
    <m/>
    <m/>
    <n v="0"/>
    <m/>
    <m/>
    <m/>
    <m/>
    <n v="0"/>
    <m/>
    <m/>
    <n v="0"/>
    <s v="Y"/>
    <m/>
    <n v="0"/>
    <n v="0"/>
    <n v="0"/>
    <n v="0"/>
    <n v="0"/>
  </r>
  <r>
    <x v="4"/>
    <s v="2 Other Operating Costs"/>
    <n v="8471210"/>
    <x v="46"/>
    <s v="435530"/>
    <x v="79"/>
    <s v="847.8471210.1.435530.000000.847001.200179"/>
    <n v="20000"/>
    <m/>
    <m/>
    <m/>
    <n v="0"/>
    <m/>
    <m/>
    <m/>
    <m/>
    <n v="0"/>
    <m/>
    <m/>
    <n v="0"/>
    <s v="Y"/>
    <m/>
    <n v="0"/>
    <n v="0"/>
    <n v="0"/>
    <n v="0"/>
    <n v="0"/>
  </r>
  <r>
    <x v="4"/>
    <s v="2 Other Operating Costs"/>
    <n v="8471250"/>
    <x v="50"/>
    <s v="425720"/>
    <x v="37"/>
    <s v="847.8471250.1.425720.000000.847001.200179"/>
    <n v="560000"/>
    <m/>
    <m/>
    <m/>
    <n v="0"/>
    <m/>
    <m/>
    <m/>
    <m/>
    <n v="0"/>
    <m/>
    <m/>
    <n v="0"/>
    <s v="Y"/>
    <m/>
    <n v="0"/>
    <n v="0"/>
    <n v="0"/>
    <n v="0"/>
    <n v="0"/>
  </r>
  <r>
    <x v="15"/>
    <s v="2 Other Operating Costs"/>
    <n v="8471305"/>
    <x v="54"/>
    <s v="420810"/>
    <x v="73"/>
    <s v="847.8471305.1.420810.000000.847001.200179"/>
    <n v="263385"/>
    <m/>
    <m/>
    <m/>
    <n v="0"/>
    <m/>
    <m/>
    <m/>
    <m/>
    <n v="0"/>
    <m/>
    <m/>
    <n v="0"/>
    <s v="Y"/>
    <m/>
    <n v="0"/>
    <n v="0"/>
    <n v="0"/>
    <n v="0"/>
    <n v="0"/>
  </r>
  <r>
    <x v="15"/>
    <s v="2 Other Operating Costs"/>
    <n v="8471305"/>
    <x v="54"/>
    <s v="420811"/>
    <x v="68"/>
    <s v="847.8471305.1.420811.000000.847001.200179"/>
    <n v="0"/>
    <m/>
    <m/>
    <m/>
    <n v="0"/>
    <m/>
    <m/>
    <m/>
    <m/>
    <n v="0"/>
    <m/>
    <m/>
    <n v="0"/>
    <s v="Y"/>
    <m/>
    <n v="0"/>
    <n v="0"/>
    <n v="0"/>
    <n v="0"/>
    <n v="0"/>
  </r>
  <r>
    <x v="15"/>
    <s v="2 Other Operating Costs"/>
    <n v="8471305"/>
    <x v="54"/>
    <s v="436110"/>
    <x v="31"/>
    <s v="847.8471305.1.436110.000000.847001.200179"/>
    <n v="200000"/>
    <m/>
    <m/>
    <m/>
    <n v="0"/>
    <m/>
    <m/>
    <m/>
    <m/>
    <n v="0"/>
    <m/>
    <m/>
    <n v="0"/>
    <s v="Y"/>
    <m/>
    <n v="0"/>
    <n v="0"/>
    <n v="0"/>
    <n v="0"/>
    <n v="0"/>
  </r>
  <r>
    <x v="16"/>
    <m/>
    <n v="8470160"/>
    <x v="55"/>
    <s v="428090"/>
    <x v="9"/>
    <s v="847.8470160.1.428090.000000.847001.200179"/>
    <m/>
    <m/>
    <m/>
    <m/>
    <m/>
    <m/>
    <m/>
    <m/>
    <m/>
    <m/>
    <m/>
    <m/>
    <n v="0"/>
    <s v="Y"/>
    <m/>
    <n v="80000"/>
    <n v="33589.9"/>
    <n v="0"/>
    <n v="0"/>
    <n v="46410.1"/>
  </r>
  <r>
    <x v="5"/>
    <m/>
    <n v="8470310"/>
    <x v="9"/>
    <s v="435340"/>
    <x v="36"/>
    <s v="847.8470310.1.435340.000000.847001.200179"/>
    <m/>
    <m/>
    <m/>
    <m/>
    <m/>
    <m/>
    <m/>
    <m/>
    <m/>
    <m/>
    <m/>
    <m/>
    <n v="0"/>
    <s v="Y"/>
    <m/>
    <n v="60000"/>
    <n v="0"/>
    <n v="0"/>
    <n v="56343.82"/>
    <n v="3656.1800000000003"/>
  </r>
  <r>
    <x v="5"/>
    <m/>
    <n v="8470330"/>
    <x v="13"/>
    <s v="427710"/>
    <x v="13"/>
    <s v="847.8470330.1.427710.000000.847001.200179"/>
    <m/>
    <m/>
    <m/>
    <m/>
    <m/>
    <m/>
    <m/>
    <m/>
    <m/>
    <m/>
    <m/>
    <m/>
    <n v="0"/>
    <s v="Y"/>
    <m/>
    <n v="10000"/>
    <n v="0"/>
    <n v="0"/>
    <n v="0"/>
    <n v="10000"/>
  </r>
  <r>
    <x v="6"/>
    <m/>
    <n v="8470445"/>
    <x v="25"/>
    <s v="425510"/>
    <x v="5"/>
    <s v="847.8470445.1.425510.000000.847001.200179"/>
    <m/>
    <m/>
    <m/>
    <m/>
    <m/>
    <m/>
    <m/>
    <m/>
    <m/>
    <m/>
    <m/>
    <m/>
    <n v="0"/>
    <s v="Y"/>
    <m/>
    <n v="10000"/>
    <n v="0"/>
    <n v="0"/>
    <n v="0"/>
    <n v="10000"/>
  </r>
  <r>
    <x v="7"/>
    <m/>
    <n v="8470530"/>
    <x v="29"/>
    <s v="435410"/>
    <x v="59"/>
    <s v="847.8470530.1.435410.000000.847020.200179"/>
    <m/>
    <m/>
    <m/>
    <m/>
    <m/>
    <m/>
    <m/>
    <m/>
    <m/>
    <m/>
    <m/>
    <m/>
    <n v="0"/>
    <s v="Y"/>
    <m/>
    <n v="11750"/>
    <n v="0"/>
    <n v="0"/>
    <n v="0"/>
    <n v="11750"/>
  </r>
  <r>
    <x v="7"/>
    <m/>
    <n v="8471160"/>
    <x v="44"/>
    <s v="422100"/>
    <x v="81"/>
    <s v="847.8471160.1.422100.000000.847001.200179"/>
    <m/>
    <m/>
    <m/>
    <m/>
    <m/>
    <m/>
    <m/>
    <m/>
    <m/>
    <m/>
    <m/>
    <m/>
    <n v="0"/>
    <s v="Y"/>
    <m/>
    <n v="160000"/>
    <n v="0"/>
    <n v="0"/>
    <n v="0"/>
    <n v="160000"/>
  </r>
  <r>
    <x v="4"/>
    <m/>
    <n v="8471250"/>
    <x v="50"/>
    <s v="425761"/>
    <x v="29"/>
    <s v="847.8471250.1.425761.000000.847001.200179"/>
    <m/>
    <m/>
    <m/>
    <m/>
    <m/>
    <m/>
    <m/>
    <m/>
    <m/>
    <m/>
    <m/>
    <m/>
    <n v="0"/>
    <s v="Y"/>
    <m/>
    <n v="165000"/>
    <n v="51645"/>
    <n v="0"/>
    <n v="0"/>
    <n v="113355"/>
  </r>
  <r>
    <x v="15"/>
    <m/>
    <n v="8471305"/>
    <x v="54"/>
    <s v="436600"/>
    <x v="34"/>
    <s v="847.8471305.1.436600.000000.847001.200179"/>
    <m/>
    <m/>
    <m/>
    <m/>
    <m/>
    <m/>
    <m/>
    <m/>
    <m/>
    <m/>
    <m/>
    <m/>
    <n v="0"/>
    <s v="Y"/>
    <m/>
    <n v="6000"/>
    <n v="0"/>
    <n v="0"/>
    <n v="0"/>
    <n v="6000"/>
  </r>
</pivotCacheRecords>
</file>

<file path=xl/pivotCache/pivotCacheRecords3.xml><?xml version="1.0" encoding="utf-8"?>
<pivotCacheRecords xmlns="http://schemas.openxmlformats.org/spreadsheetml/2006/main" xmlns:r="http://schemas.openxmlformats.org/officeDocument/2006/relationships" count="51">
  <r>
    <x v="0"/>
    <s v="3 Capital Payments"/>
    <n v="8470110"/>
    <s v="KUST - Office of the President"/>
    <n v="492316"/>
    <x v="0"/>
    <s v="847.8470110.1.492316.000000.847001.300180"/>
    <n v="1220302"/>
    <n v="1220302"/>
    <n v="1220301.8"/>
    <m/>
    <n v="0"/>
    <n v="0.19999999995343401"/>
    <m/>
    <m/>
    <m/>
    <m/>
    <n v="0.19999999995343401"/>
    <m/>
    <s v="N"/>
    <m/>
    <n v="0.19999999983701855"/>
    <n v="1220302"/>
    <n v="1220301.8"/>
    <n v="0"/>
    <n v="1.16415321826935E-10"/>
    <n v="0.19999999983701855"/>
  </r>
  <r>
    <x v="0"/>
    <s v="3 Capital Payments"/>
    <n v="8470120"/>
    <s v="KUST - Audit"/>
    <n v="495113"/>
    <x v="1"/>
    <s v="847.8470120.1.495113.000000.847001.300180"/>
    <n v="0"/>
    <n v="56000"/>
    <m/>
    <n v="0"/>
    <n v="44351.48"/>
    <n v="11648.52"/>
    <m/>
    <m/>
    <m/>
    <m/>
    <n v="11648.52"/>
    <m/>
    <s v="N"/>
    <n v="11245.5"/>
    <n v="11648.519999999997"/>
    <n v="56000"/>
    <n v="0"/>
    <n v="11245.5"/>
    <n v="44351.48"/>
    <n v="403.0199999999968"/>
  </r>
  <r>
    <x v="1"/>
    <s v="3 Capital Payments"/>
    <n v="8470140"/>
    <s v="KUST - Communication"/>
    <n v="492310"/>
    <x v="2"/>
    <s v="847.8470140.1.492310.000000.847001.300180"/>
    <n v="137589"/>
    <n v="27589"/>
    <m/>
    <m/>
    <m/>
    <n v="27589"/>
    <m/>
    <m/>
    <m/>
    <m/>
    <n v="27589"/>
    <m/>
    <s v="Y"/>
    <m/>
    <n v="27589"/>
    <n v="27589"/>
    <n v="0"/>
    <n v="0"/>
    <n v="0"/>
    <n v="27589"/>
  </r>
  <r>
    <x v="2"/>
    <s v="3 Capital Payments"/>
    <n v="8470230"/>
    <s v="KUST - Graduate Studies"/>
    <n v="492310"/>
    <x v="2"/>
    <s v="847.8470230.1.492310.000000.847001.300180"/>
    <n v="1380709"/>
    <n v="1380709"/>
    <n v="1333260"/>
    <n v="0"/>
    <n v="0"/>
    <n v="47449"/>
    <m/>
    <m/>
    <m/>
    <m/>
    <n v="47449"/>
    <m/>
    <s v="N"/>
    <m/>
    <n v="47449"/>
    <n v="1380709"/>
    <n v="1333260"/>
    <n v="0"/>
    <n v="0"/>
    <n v="47449"/>
  </r>
  <r>
    <x v="3"/>
    <s v="3 Capital Payments"/>
    <n v="8470310"/>
    <s v="KUST - Aerospace Engineering"/>
    <n v="492316"/>
    <x v="0"/>
    <s v="847.8470310.1.492316.000000.847001.300180"/>
    <n v="1174460"/>
    <n v="1174460"/>
    <n v="364703.32"/>
    <n v="805100"/>
    <n v="0"/>
    <n v="4656.6799999999303"/>
    <m/>
    <m/>
    <m/>
    <m/>
    <n v="4656.6799999999303"/>
    <m/>
    <s v="N"/>
    <m/>
    <n v="4656.6799999999348"/>
    <n v="1174460"/>
    <n v="364703.32"/>
    <n v="0"/>
    <n v="805100"/>
    <n v="4656.6799999999348"/>
  </r>
  <r>
    <x v="3"/>
    <s v="3 Capital Payments"/>
    <n v="8470315"/>
    <s v="KUST - Biomedical Engineering"/>
    <n v="492316"/>
    <x v="0"/>
    <s v="847.8470315.1.492316.000000.847001.300180"/>
    <n v="700693"/>
    <n v="700693"/>
    <n v="657144.79"/>
    <n v="-8.0035533756017698E-11"/>
    <n v="-15631.86"/>
    <n v="59180.070000000102"/>
    <m/>
    <m/>
    <m/>
    <m/>
    <n v="59180.070000000102"/>
    <m/>
    <s v="N"/>
    <m/>
    <n v="59180.069999999963"/>
    <n v="700693"/>
    <n v="657144.79"/>
    <n v="0"/>
    <n v="-15631.86"/>
    <n v="59180.069999999963"/>
  </r>
  <r>
    <x v="3"/>
    <s v="3 Capital Payments"/>
    <n v="8470320"/>
    <s v="KUST - Chemical Engineering"/>
    <n v="492316"/>
    <x v="0"/>
    <s v="847.8470320.1.492316.000000.847001.300180"/>
    <n v="1813427"/>
    <n v="931427"/>
    <n v="203900"/>
    <n v="519300"/>
    <n v="109938"/>
    <n v="98289"/>
    <m/>
    <m/>
    <m/>
    <m/>
    <n v="98289"/>
    <m/>
    <s v="N"/>
    <n v="70800"/>
    <n v="90836"/>
    <n v="834674"/>
    <n v="267018"/>
    <n v="70800"/>
    <n v="476820"/>
    <n v="20036"/>
  </r>
  <r>
    <x v="3"/>
    <s v="3 Capital Payments"/>
    <n v="8470320"/>
    <s v="KUST - Chemical Engineering"/>
    <n v="495140"/>
    <x v="3"/>
    <s v="847.8470320.1.495140.000000.847001.300180"/>
    <n v="16097"/>
    <n v="16097"/>
    <m/>
    <m/>
    <m/>
    <n v="16097"/>
    <m/>
    <m/>
    <m/>
    <m/>
    <n v="16097"/>
    <m/>
    <s v="N"/>
    <m/>
    <n v="16097"/>
    <n v="16097"/>
    <n v="0"/>
    <n v="0"/>
    <n v="0"/>
    <n v="16097"/>
  </r>
  <r>
    <x v="3"/>
    <s v="3 Capital Payments"/>
    <n v="8470325"/>
    <s v="KUST - Civil Engineering"/>
    <n v="492316"/>
    <x v="0"/>
    <s v="847.8470325.1.492316.000000.847001.300180"/>
    <n v="611783"/>
    <n v="611783"/>
    <n v="487360"/>
    <n v="0"/>
    <n v="85460"/>
    <n v="38963"/>
    <m/>
    <m/>
    <m/>
    <m/>
    <n v="38963"/>
    <m/>
    <s v="N"/>
    <m/>
    <n v="38963"/>
    <n v="611783"/>
    <n v="536437"/>
    <n v="0"/>
    <n v="36383"/>
    <n v="38963"/>
  </r>
  <r>
    <x v="3"/>
    <s v="3 Capital Payments"/>
    <n v="8470330"/>
    <s v="KUST - Electrical &amp; Computer Engineering"/>
    <n v="492316"/>
    <x v="0"/>
    <s v="847.8470330.1.492316.000000.847001.300180"/>
    <n v="456796"/>
    <n v="456796"/>
    <n v="38500"/>
    <n v="0"/>
    <n v="355300"/>
    <n v="62996"/>
    <m/>
    <m/>
    <m/>
    <m/>
    <n v="62996"/>
    <m/>
    <s v="N"/>
    <m/>
    <n v="18336"/>
    <n v="456796"/>
    <n v="394225"/>
    <n v="0"/>
    <n v="44235"/>
    <n v="18336"/>
  </r>
  <r>
    <x v="3"/>
    <s v="3 Capital Payments"/>
    <n v="8470335"/>
    <s v="KUST - Industrial &amp; Systems Engineering"/>
    <n v="492316"/>
    <x v="0"/>
    <s v="847.8470335.1.492316.000000.847001.300180"/>
    <n v="234334"/>
    <n v="234334"/>
    <n v="11026.05"/>
    <n v="0"/>
    <n v="223066"/>
    <n v="241.95000000001201"/>
    <m/>
    <m/>
    <m/>
    <m/>
    <n v="241.95000000001201"/>
    <m/>
    <s v="N"/>
    <m/>
    <n v="241.95000000001164"/>
    <n v="234334"/>
    <n v="11026.05"/>
    <n v="0"/>
    <n v="223066"/>
    <n v="241.95000000001164"/>
  </r>
  <r>
    <x v="3"/>
    <s v="3 Capital Payments"/>
    <n v="8470340"/>
    <s v="KUST - Mechanical Engineering"/>
    <n v="492316"/>
    <x v="0"/>
    <s v="847.8470340.1.492316.000000.847001.300180"/>
    <n v="533159"/>
    <n v="533159"/>
    <m/>
    <n v="0"/>
    <n v="532460"/>
    <n v="699"/>
    <m/>
    <m/>
    <m/>
    <m/>
    <n v="699"/>
    <m/>
    <s v="N"/>
    <m/>
    <n v="699"/>
    <n v="533159"/>
    <n v="0"/>
    <n v="0"/>
    <n v="532460"/>
    <n v="699"/>
  </r>
  <r>
    <x v="3"/>
    <s v="3 Capital Payments"/>
    <n v="8470345"/>
    <s v="KUST - Nuclear Engineering"/>
    <n v="492316"/>
    <x v="0"/>
    <s v="847.8470345.1.492316.000000.847001.300180"/>
    <n v="551330"/>
    <n v="551330"/>
    <n v="279820"/>
    <n v="63000"/>
    <n v="207881"/>
    <n v="629"/>
    <m/>
    <m/>
    <m/>
    <m/>
    <n v="629"/>
    <m/>
    <s v="N"/>
    <m/>
    <n v="630.72999999998137"/>
    <n v="551330"/>
    <n v="279820"/>
    <n v="0"/>
    <n v="270879.27"/>
    <n v="630.72999999998137"/>
  </r>
  <r>
    <x v="3"/>
    <s v="3 Capital Payments"/>
    <n v="8470350"/>
    <s v="KUST - Petroleum Engineering"/>
    <n v="492316"/>
    <x v="0"/>
    <s v="847.8470350.1.492316.000000.847001.300180"/>
    <n v="1446520"/>
    <n v="1446520"/>
    <n v="862373.2"/>
    <n v="578702.18000000005"/>
    <n v="0"/>
    <n v="5444.62"/>
    <m/>
    <m/>
    <m/>
    <m/>
    <n v="5444.62"/>
    <m/>
    <s v="N"/>
    <m/>
    <n v="82749.48000000004"/>
    <n v="1436520"/>
    <n v="942948.2"/>
    <n v="440666.76"/>
    <n v="-29844.44"/>
    <n v="82749.48000000004"/>
  </r>
  <r>
    <x v="4"/>
    <s v="3 Capital Payments"/>
    <n v="8470415"/>
    <s v="KUST - Chemistry"/>
    <n v="492316"/>
    <x v="0"/>
    <s v="847.8470415.1.492316.000000.847001.300180"/>
    <n v="1891417"/>
    <n v="1891417"/>
    <n v="71367"/>
    <n v="50038.6"/>
    <n v="1758059"/>
    <n v="11952.3999999999"/>
    <m/>
    <m/>
    <m/>
    <m/>
    <n v="11952.3999999999"/>
    <m/>
    <s v="N"/>
    <m/>
    <n v="16777"/>
    <n v="1891417"/>
    <n v="169546"/>
    <n v="0"/>
    <n v="1705094"/>
    <n v="16777"/>
  </r>
  <r>
    <x v="4"/>
    <s v="3 Capital Payments"/>
    <n v="8470425"/>
    <s v="KUST - Physics"/>
    <n v="492310"/>
    <x v="2"/>
    <s v="847.8470425.1.492310.000000.847001.300180"/>
    <n v="151348"/>
    <n v="127348"/>
    <n v="35280"/>
    <n v="0"/>
    <n v="0"/>
    <n v="92068"/>
    <m/>
    <m/>
    <m/>
    <m/>
    <n v="92068"/>
    <m/>
    <s v="N"/>
    <m/>
    <n v="92068"/>
    <n v="127348"/>
    <n v="35280"/>
    <n v="0"/>
    <n v="0"/>
    <n v="92068"/>
  </r>
  <r>
    <x v="4"/>
    <s v="3 Capital Payments"/>
    <n v="8470425"/>
    <s v="KUST - Physics"/>
    <n v="492316"/>
    <x v="0"/>
    <s v="847.8470425.1.492316.000000.847001.300180"/>
    <n v="1551340"/>
    <n v="732340"/>
    <n v="286598.5"/>
    <n v="243881.73"/>
    <n v="119350.08"/>
    <n v="82509.6899999999"/>
    <m/>
    <m/>
    <m/>
    <m/>
    <n v="82509.6899999999"/>
    <m/>
    <s v="N"/>
    <m/>
    <n v="48945.689999999973"/>
    <n v="682340"/>
    <n v="408512.58"/>
    <n v="0"/>
    <n v="224881.73"/>
    <n v="48945.689999999973"/>
  </r>
  <r>
    <x v="4"/>
    <s v="3 Capital Payments"/>
    <n v="8470450"/>
    <s v="KUST - Earth Science"/>
    <n v="492310"/>
    <x v="2"/>
    <s v="847.8470450.1.492310.000000.847001.300180"/>
    <n v="126346"/>
    <n v="126346"/>
    <n v="80205"/>
    <n v="0"/>
    <n v="0"/>
    <n v="46141"/>
    <m/>
    <m/>
    <m/>
    <m/>
    <n v="46141"/>
    <m/>
    <s v="N"/>
    <n v="26600"/>
    <n v="72741"/>
    <n v="126346"/>
    <n v="80205"/>
    <n v="0"/>
    <n v="0"/>
    <n v="46141"/>
  </r>
  <r>
    <x v="4"/>
    <s v="3 Capital Payments"/>
    <n v="8470450"/>
    <s v="KUST - Earth Science"/>
    <n v="492316"/>
    <x v="0"/>
    <s v="847.8470450.1.492316.000000.847001.300180"/>
    <n v="146498"/>
    <n v="146498"/>
    <n v="309.52"/>
    <n v="117930"/>
    <m/>
    <n v="28258.48"/>
    <m/>
    <m/>
    <m/>
    <m/>
    <n v="28258.48"/>
    <m/>
    <s v="N"/>
    <m/>
    <n v="54643.48000000001"/>
    <n v="146498"/>
    <n v="309.52"/>
    <n v="51780"/>
    <n v="39765"/>
    <n v="54643.48000000001"/>
  </r>
  <r>
    <x v="4"/>
    <s v="3 Capital Payments"/>
    <n v="8470455"/>
    <s v="KUST – Biology"/>
    <n v="492316"/>
    <x v="0"/>
    <s v="847.8470455.1.492316.000000.847001.300180"/>
    <n v="1754263"/>
    <n v="1489263"/>
    <n v="127095"/>
    <n v="1"/>
    <n v="1296072.5"/>
    <n v="66094.5"/>
    <m/>
    <m/>
    <m/>
    <m/>
    <n v="66094.5"/>
    <m/>
    <s v="N"/>
    <m/>
    <n v="68194.5"/>
    <n v="1489263"/>
    <n v="1268115"/>
    <n v="1"/>
    <n v="152952.5"/>
    <n v="68194.5"/>
  </r>
  <r>
    <x v="5"/>
    <s v="3 Capital Payments"/>
    <n v="8470520"/>
    <s v="KUST - Environment, Health &amp; Safety"/>
    <n v="492316"/>
    <x v="0"/>
    <s v="847.8470520.1.492316.000000.847001.300180"/>
    <n v="171987"/>
    <n v="987"/>
    <m/>
    <n v="0"/>
    <m/>
    <n v="987"/>
    <m/>
    <m/>
    <m/>
    <m/>
    <n v="987"/>
    <m/>
    <s v="Y"/>
    <m/>
    <n v="987"/>
    <n v="987"/>
    <n v="0"/>
    <n v="0"/>
    <n v="0"/>
    <n v="987"/>
  </r>
  <r>
    <x v="5"/>
    <s v="3 Capital Payments"/>
    <n v="8470530"/>
    <s v="KUST - Facilities Management"/>
    <n v="492200"/>
    <x v="4"/>
    <s v="847.8470530.1.492200.000000.847001.300180"/>
    <n v="2910350"/>
    <n v="2724350"/>
    <m/>
    <n v="1100000"/>
    <n v="1624208"/>
    <n v="142"/>
    <m/>
    <m/>
    <m/>
    <m/>
    <n v="142"/>
    <m/>
    <s v="Y"/>
    <m/>
    <n v="143742"/>
    <n v="1923650"/>
    <n v="0"/>
    <n v="155700"/>
    <n v="1624208"/>
    <n v="143742"/>
  </r>
  <r>
    <x v="5"/>
    <s v="3 Capital Payments"/>
    <n v="8470530"/>
    <s v="KUST - Facilities Management"/>
    <n v="492200"/>
    <x v="4"/>
    <s v="847.8470530.1.492200.000000.847010.300180"/>
    <n v="18425319"/>
    <n v="25123643"/>
    <n v="14827479.25"/>
    <n v="3000000"/>
    <n v="7249922.9299999997"/>
    <n v="46240.820000000298"/>
    <m/>
    <m/>
    <m/>
    <m/>
    <n v="46240.820000000298"/>
    <m/>
    <s v="Y"/>
    <n v="-8988807.7300000004"/>
    <n v="-8672568.9100000001"/>
    <n v="22363643"/>
    <n v="17687599.25"/>
    <n v="-3426"/>
    <n v="4363230.93"/>
    <n v="316238.8200000003"/>
  </r>
  <r>
    <x v="5"/>
    <s v="3 Capital Payments"/>
    <n v="8470530"/>
    <s v="KUST - Facilities Management"/>
    <n v="492200"/>
    <x v="4"/>
    <s v="847.8470530.1.492200.000000.847020.300180"/>
    <n v="19458929"/>
    <n v="20771949"/>
    <n v="8794789.4000000004"/>
    <n v="2966819.5"/>
    <n v="8974286.5999999996"/>
    <n v="36053.5"/>
    <m/>
    <m/>
    <m/>
    <m/>
    <n v="36053.5"/>
    <m/>
    <s v="Y"/>
    <n v="554700"/>
    <n v="4900238"/>
    <n v="23531949"/>
    <n v="14420589.4"/>
    <n v="1320000"/>
    <n v="3445821.6"/>
    <n v="4345538"/>
  </r>
  <r>
    <x v="5"/>
    <s v="3 Capital Payments"/>
    <n v="8470530"/>
    <s v="KUST - Facilities Management"/>
    <n v="492610"/>
    <x v="5"/>
    <s v="847.8470530.1.492610.000000.847010.300180"/>
    <n v="1136050"/>
    <n v="3102209"/>
    <n v="92200"/>
    <n v="0"/>
    <n v="223994"/>
    <n v="2786015"/>
    <m/>
    <m/>
    <m/>
    <s v="PR allready raised to cover the payments 3,031,000.00 "/>
    <n v="2786015"/>
    <m/>
    <s v="Y"/>
    <n v="135000"/>
    <n v="223991"/>
    <n v="6379911"/>
    <n v="4600200"/>
    <n v="0"/>
    <n v="1690720"/>
    <n v="88991"/>
  </r>
  <r>
    <x v="5"/>
    <s v="3 Capital Payments"/>
    <n v="8470530"/>
    <s v="KUST - Facilities Management"/>
    <n v="492610"/>
    <x v="5"/>
    <s v="847.8470530.1.492610.000000.847015.300180"/>
    <n v="32800"/>
    <n v="32800"/>
    <n v="31488"/>
    <m/>
    <n v="0"/>
    <n v="1312"/>
    <m/>
    <m/>
    <m/>
    <m/>
    <n v="1312"/>
    <m/>
    <s v="Y"/>
    <m/>
    <n v="1312"/>
    <n v="32800"/>
    <n v="31488"/>
    <n v="0"/>
    <n v="0"/>
    <n v="1312"/>
  </r>
  <r>
    <x v="5"/>
    <s v="3 Capital Payments"/>
    <n v="8470530"/>
    <s v="KUST - Facilities Management"/>
    <n v="492610"/>
    <x v="5"/>
    <s v="847.8470530.1.492610.000000.847020.300180"/>
    <n v="1375893"/>
    <n v="82893"/>
    <n v="41141"/>
    <n v="0"/>
    <n v="41141"/>
    <n v="611"/>
    <m/>
    <m/>
    <m/>
    <m/>
    <n v="611"/>
    <m/>
    <s v="Y"/>
    <m/>
    <n v="41752"/>
    <n v="82893"/>
    <n v="41141"/>
    <n v="0"/>
    <n v="0"/>
    <n v="41752"/>
  </r>
  <r>
    <x v="5"/>
    <s v="3 Capital Payments"/>
    <n v="8470530"/>
    <s v="KUST - Facilities Management"/>
    <n v="495113"/>
    <x v="1"/>
    <s v="847.8470530.1.495113.000000.847010.300180"/>
    <n v="0"/>
    <n v="1000000"/>
    <m/>
    <n v="1000000"/>
    <m/>
    <n v="0"/>
    <m/>
    <m/>
    <m/>
    <m/>
    <n v="0"/>
    <m/>
    <s v="Y"/>
    <n v="1000000"/>
    <n v="1000000"/>
    <n v="1000000"/>
    <n v="0"/>
    <n v="1000000"/>
    <n v="0"/>
    <n v="0"/>
  </r>
  <r>
    <x v="5"/>
    <s v="3 Capital Payments"/>
    <n v="8470530"/>
    <s v="KUST - Facilities Management"/>
    <n v="495140"/>
    <x v="3"/>
    <s v="847.8470530.1.495140.000000.847010.300180"/>
    <n v="30302"/>
    <n v="30312"/>
    <m/>
    <m/>
    <n v="30302.25"/>
    <n v="9.75"/>
    <m/>
    <m/>
    <m/>
    <m/>
    <n v="9.75"/>
    <m/>
    <s v="Y"/>
    <m/>
    <n v="9.75"/>
    <n v="30312"/>
    <n v="0"/>
    <n v="0"/>
    <n v="30302.25"/>
    <n v="9.75"/>
  </r>
  <r>
    <x v="6"/>
    <s v="3 Capital Payments"/>
    <n v="8470720"/>
    <s v="KUST - Procurement and Contracts"/>
    <n v="495110"/>
    <x v="6"/>
    <s v="847.8470720.1.495110.000000.847001.300180"/>
    <n v="69286"/>
    <n v="0"/>
    <m/>
    <m/>
    <m/>
    <n v="0"/>
    <m/>
    <m/>
    <m/>
    <m/>
    <n v="0"/>
    <m/>
    <s v="N"/>
    <m/>
    <n v="0"/>
    <n v="0"/>
    <n v="0"/>
    <n v="0"/>
    <n v="0"/>
    <n v="0"/>
  </r>
  <r>
    <x v="6"/>
    <s v="3 Capital Payments"/>
    <n v="8470720"/>
    <s v="KUST - Procurement and Contracts"/>
    <n v="495113"/>
    <x v="1"/>
    <s v="847.8470720.1.495113.000000.847001.300180"/>
    <n v="0"/>
    <n v="69286"/>
    <n v="69286"/>
    <n v="0"/>
    <n v="0"/>
    <n v="0"/>
    <m/>
    <m/>
    <m/>
    <m/>
    <n v="0"/>
    <m/>
    <s v="N"/>
    <m/>
    <n v="0"/>
    <n v="69286"/>
    <n v="69286"/>
    <n v="0"/>
    <n v="0"/>
    <n v="0"/>
  </r>
  <r>
    <x v="7"/>
    <s v="3 Capital Payments"/>
    <n v="8470730"/>
    <s v="KUST - Human Resources"/>
    <n v="492610"/>
    <x v="5"/>
    <s v="847.8470730.1.492610.000000.847001.300180"/>
    <n v="1135112"/>
    <n v="0"/>
    <m/>
    <m/>
    <m/>
    <n v="0"/>
    <m/>
    <m/>
    <m/>
    <m/>
    <n v="0"/>
    <m/>
    <s v="N"/>
    <m/>
    <n v="0"/>
    <n v="0"/>
    <n v="0"/>
    <n v="0"/>
    <n v="0"/>
    <n v="0"/>
  </r>
  <r>
    <x v="8"/>
    <s v="3 Capital Payments"/>
    <n v="8470810"/>
    <s v="KUST - Ankabut office"/>
    <n v="492310"/>
    <x v="2"/>
    <s v="847.8470810.1.492310.000000.847001.300180"/>
    <n v="2800802"/>
    <n v="175000"/>
    <n v="162000"/>
    <n v="10335"/>
    <n v="0"/>
    <n v="2665"/>
    <m/>
    <m/>
    <m/>
    <m/>
    <n v="2665"/>
    <s v="Initial budget estimation"/>
    <s v="Y"/>
    <m/>
    <n v="3486.17"/>
    <n v="185000"/>
    <n v="172335"/>
    <n v="9178.83"/>
    <n v="0"/>
    <n v="3486.17"/>
  </r>
  <r>
    <x v="8"/>
    <s v="3 Capital Payments"/>
    <n v="8470810"/>
    <s v="KUST - Ankabut office"/>
    <n v="492352"/>
    <x v="7"/>
    <s v="847.8470810.1.492352.000000.847001.300180"/>
    <n v="0"/>
    <n v="2016302"/>
    <m/>
    <n v="9.4587448984384498E-11"/>
    <n v="1999372.61"/>
    <n v="16929.389999999901"/>
    <m/>
    <m/>
    <m/>
    <m/>
    <n v="16929.389999999901"/>
    <s v="Initial budget estimation"/>
    <s v="Y"/>
    <m/>
    <n v="16929.389999999992"/>
    <n v="2016302"/>
    <n v="1935144.01"/>
    <n v="0"/>
    <n v="64228.6"/>
    <n v="16929.389999999992"/>
  </r>
  <r>
    <x v="8"/>
    <s v="3 Capital Payments"/>
    <n v="8470810"/>
    <s v="KUST - Ankabut office"/>
    <n v="492354"/>
    <x v="8"/>
    <s v="847.8470810.1.492354.000000.847001.300180"/>
    <n v="0"/>
    <n v="321500"/>
    <m/>
    <n v="0"/>
    <n v="321320"/>
    <n v="180"/>
    <m/>
    <m/>
    <m/>
    <m/>
    <n v="180"/>
    <s v="Initial budget estimation"/>
    <s v="Y"/>
    <m/>
    <n v="180"/>
    <n v="321500"/>
    <n v="321320"/>
    <n v="0"/>
    <n v="0"/>
    <n v="180"/>
  </r>
  <r>
    <x v="8"/>
    <s v="3 Capital Payments"/>
    <n v="8470810"/>
    <s v="KUST - Ankabut office"/>
    <n v="492356"/>
    <x v="9"/>
    <s v="847.8470810.1.492356.000000.847001.300180"/>
    <n v="0"/>
    <n v="650000"/>
    <n v="84728"/>
    <n v="0"/>
    <n v="499108"/>
    <n v="66164"/>
    <m/>
    <m/>
    <m/>
    <m/>
    <n v="66164"/>
    <s v="Project of renovating Merged Classroom delayed"/>
    <s v="Y"/>
    <m/>
    <n v="83257"/>
    <n v="650000"/>
    <n v="566741"/>
    <n v="0"/>
    <n v="2"/>
    <n v="83257"/>
  </r>
  <r>
    <x v="8"/>
    <s v="3 Capital Payments"/>
    <n v="8470810"/>
    <s v="KUST - Ankabut office"/>
    <n v="495110"/>
    <x v="6"/>
    <s v="847.8470810.1.495110.000000.847001.300180"/>
    <n v="646670"/>
    <n v="0"/>
    <m/>
    <m/>
    <m/>
    <n v="0"/>
    <m/>
    <m/>
    <m/>
    <m/>
    <n v="0"/>
    <m/>
    <s v="Y"/>
    <m/>
    <n v="0"/>
    <n v="0"/>
    <n v="0"/>
    <n v="0"/>
    <n v="0"/>
    <n v="0"/>
  </r>
  <r>
    <x v="8"/>
    <s v="3 Capital Payments"/>
    <n v="8470810"/>
    <s v="KUST - Ankabut office"/>
    <n v="495113"/>
    <x v="1"/>
    <s v="847.8470810.1.495113.000000.847001.300180"/>
    <n v="0"/>
    <n v="104670"/>
    <m/>
    <n v="97737.21"/>
    <m/>
    <n v="6932.78999999999"/>
    <m/>
    <m/>
    <m/>
    <m/>
    <n v="6932.78999999999"/>
    <s v="Initial budget estimation"/>
    <s v="Y"/>
    <n v="73772.210000000006"/>
    <n v="80705"/>
    <n v="104670"/>
    <n v="0"/>
    <n v="73772.210000000006"/>
    <n v="23965"/>
    <n v="6932.7899999999936"/>
  </r>
  <r>
    <x v="9"/>
    <s v="3 Capital Payments"/>
    <n v="8471110"/>
    <s v="KUST - SVP/ Research &amp; Development Office"/>
    <n v="492316"/>
    <x v="0"/>
    <s v="847.8471110.1.492316.000000.847001.300180"/>
    <n v="2998678"/>
    <n v="2998678"/>
    <n v="2998678.09"/>
    <m/>
    <n v="-3750"/>
    <n v="3749.9100000001499"/>
    <m/>
    <m/>
    <m/>
    <m/>
    <n v="3749.9100000001499"/>
    <s v="none"/>
    <s v="Y"/>
    <m/>
    <n v="3749.9099999999189"/>
    <n v="2998678"/>
    <n v="2998678.09"/>
    <n v="0"/>
    <n v="-3749.9999999997699"/>
    <n v="3749.9099999999189"/>
  </r>
  <r>
    <x v="9"/>
    <s v="3 Capital Payments"/>
    <n v="8471140"/>
    <s v="KUST - University Sponsored Research"/>
    <n v="492316"/>
    <x v="0"/>
    <s v="847.8471140.1.492316.000000.847001.300180"/>
    <n v="358538"/>
    <n v="358538"/>
    <n v="353642.9"/>
    <n v="0"/>
    <n v="-1.45519152283669E-11"/>
    <n v="4895.0999999999804"/>
    <m/>
    <m/>
    <m/>
    <m/>
    <n v="4895.0999999999804"/>
    <m/>
    <s v="Y"/>
    <m/>
    <n v="4895.0999999999804"/>
    <n v="358538"/>
    <n v="353642.9"/>
    <n v="0"/>
    <n v="-3.6379788070917101E-12"/>
    <n v="4895.0999999999804"/>
  </r>
  <r>
    <x v="9"/>
    <s v="3 Capital Payments"/>
    <n v="8471160"/>
    <s v="KUST - Research Laboratories"/>
    <n v="492200"/>
    <x v="4"/>
    <s v="847.8471160.1.492200.000000.847001.300180"/>
    <n v="1304891"/>
    <n v="1304891"/>
    <n v="1176684.6299999999"/>
    <m/>
    <n v="128205.87"/>
    <n v="0.50000000011641499"/>
    <m/>
    <m/>
    <m/>
    <m/>
    <n v="0.50000000011641499"/>
    <m/>
    <s v="Y"/>
    <m/>
    <n v="500.50000000011642"/>
    <n v="1337891"/>
    <n v="1176684.6299999999"/>
    <n v="0"/>
    <n v="160705.87"/>
    <n v="500.50000000011642"/>
  </r>
  <r>
    <x v="9"/>
    <s v="3 Capital Payments"/>
    <n v="8471160"/>
    <s v="KUST - Research Laboratories"/>
    <n v="492316"/>
    <x v="0"/>
    <s v="847.8471160.1.492316.000000.847001.300180"/>
    <n v="15928069"/>
    <n v="16096069"/>
    <n v="3807722.48"/>
    <n v="10861838.17"/>
    <n v="1359075.17"/>
    <n v="67433.179999999702"/>
    <n v="60000"/>
    <n v="0"/>
    <n v="0"/>
    <s v="Budget will be utilized to: (i) operationalize Core lab XRD equipment via lab chiller purchase due to Arzanah Building chiller system not functional with no rectification timeline indicated by Facilities, and (ii) purchase of convection oven to support CeCaS lab operations."/>
    <n v="7433.179999999702"/>
    <s v="None. AED 7.433k to be transferred to Finance to support outstanding laboratory infrastructure payments."/>
    <s v="Y"/>
    <n v="-2800000"/>
    <n v="5403957.6299999999"/>
    <n v="14988665"/>
    <n v="5495960.2400000002"/>
    <n v="22062.52"/>
    <n v="1266684.6100000001"/>
    <n v="8203957.6299999999"/>
  </r>
  <r>
    <x v="9"/>
    <s v="3 Capital Payments"/>
    <n v="8471170"/>
    <s v="KUST - Research Computing"/>
    <n v="492316"/>
    <x v="0"/>
    <s v="847.8471170.1.492316.000000.847001.300180"/>
    <n v="2751786"/>
    <n v="1118618"/>
    <m/>
    <m/>
    <m/>
    <n v="1118618"/>
    <m/>
    <m/>
    <m/>
    <m/>
    <n v="1118618"/>
    <s v="All RC requirements were moved to an SLA with Ankabut, and to be paid for by OPEX funds"/>
    <s v="Y"/>
    <m/>
    <n v="32942"/>
    <n v="32942"/>
    <n v="0"/>
    <n v="0"/>
    <n v="0"/>
    <n v="32942"/>
  </r>
  <r>
    <x v="9"/>
    <s v="3 Capital Payments"/>
    <n v="8471170"/>
    <s v="KUST - Research Computing"/>
    <n v="495110"/>
    <x v="6"/>
    <s v="847.8471170.1.495110.000000.847001.300180"/>
    <n v="833665"/>
    <n v="0"/>
    <n v="0"/>
    <m/>
    <n v="0"/>
    <n v="0"/>
    <m/>
    <m/>
    <m/>
    <m/>
    <n v="0"/>
    <m/>
    <s v="Y"/>
    <m/>
    <n v="0"/>
    <n v="0"/>
    <n v="0"/>
    <n v="0"/>
    <n v="0"/>
    <n v="0"/>
  </r>
  <r>
    <x v="9"/>
    <s v="3 Capital Payments"/>
    <n v="8471170"/>
    <s v="KUST - Research Computing"/>
    <n v="495113"/>
    <x v="1"/>
    <s v="847.8471170.1.495113.000000.847001.300180"/>
    <n v="0"/>
    <n v="138509"/>
    <n v="138508.82999999999"/>
    <m/>
    <m/>
    <n v="0.16999999998370199"/>
    <m/>
    <m/>
    <m/>
    <m/>
    <n v="0.16999999998370199"/>
    <m/>
    <s v="Y"/>
    <m/>
    <n v="0.17000000001280569"/>
    <n v="138509"/>
    <n v="138508.82999999999"/>
    <n v="0"/>
    <n v="0"/>
    <n v="0.17000000001280569"/>
  </r>
  <r>
    <x v="2"/>
    <s v="3 Capital Payments"/>
    <n v="8471280"/>
    <s v="KUST - Center for Teaching &amp; Learning"/>
    <n v="492316"/>
    <x v="0"/>
    <s v="847.8471280.1.492316.000000.847001.300180"/>
    <n v="6879"/>
    <n v="6879"/>
    <m/>
    <m/>
    <m/>
    <n v="6879"/>
    <m/>
    <m/>
    <m/>
    <m/>
    <n v="6879"/>
    <m/>
    <s v="Y"/>
    <m/>
    <n v="6879"/>
    <n v="6879"/>
    <n v="0"/>
    <n v="0"/>
    <n v="0"/>
    <n v="6879"/>
  </r>
  <r>
    <x v="10"/>
    <s v="3 Capital Payments"/>
    <n v="8471305"/>
    <s v="KUST - Dean Of Medicine"/>
    <n v="492310"/>
    <x v="2"/>
    <s v="847.8471305.1.492310.000000.847001.300180"/>
    <n v="466679"/>
    <n v="913656"/>
    <n v="810672"/>
    <n v="0"/>
    <n v="13412"/>
    <n v="89572"/>
    <m/>
    <m/>
    <m/>
    <m/>
    <n v="89572"/>
    <s v="CAPEX closed, will need approval to spend. "/>
    <s v="Y"/>
    <m/>
    <n v="89572.000000000102"/>
    <n v="913656"/>
    <n v="810672"/>
    <n v="0"/>
    <n v="13411.9999999999"/>
    <n v="89572.000000000102"/>
  </r>
  <r>
    <x v="10"/>
    <s v="3 Capital Payments"/>
    <n v="8471305"/>
    <s v="KUST - Dean Of Medicine"/>
    <n v="492316"/>
    <x v="0"/>
    <s v="847.8471305.1.492316.000000.847001.300180"/>
    <n v="17788291"/>
    <n v="17285244"/>
    <n v="10910225.220000001"/>
    <n v="414200"/>
    <n v="5948511.2199999997"/>
    <n v="12307.560000002401"/>
    <m/>
    <m/>
    <m/>
    <m/>
    <n v="12307.560000002401"/>
    <s v="CAPEX closed, will need approval to spend. "/>
    <s v="Y"/>
    <m/>
    <n v="38161.420000000857"/>
    <n v="17115075"/>
    <n v="11607341.359999999"/>
    <n v="0"/>
    <n v="5469572.2199999997"/>
    <n v="38161.420000000857"/>
  </r>
  <r>
    <x v="5"/>
    <s v="3 Capital Payments"/>
    <n v="8470530"/>
    <s v="KUST - Facilities Management"/>
    <s v="492200"/>
    <x v="4"/>
    <s v="847.8470530.1.492200.000000.847015.300180"/>
    <n v="3580020"/>
    <n v="0"/>
    <m/>
    <m/>
    <m/>
    <n v="0"/>
    <m/>
    <m/>
    <m/>
    <m/>
    <n v="0"/>
    <m/>
    <s v="Y"/>
    <m/>
    <n v="0"/>
    <n v="0"/>
    <n v="0"/>
    <n v="0"/>
    <n v="0"/>
    <n v="0"/>
  </r>
  <r>
    <x v="10"/>
    <s v="3 Capital Payments"/>
    <n v="8471305"/>
    <s v="KUST - Dean Of Medicine"/>
    <n v="492610"/>
    <x v="5"/>
    <s v="847.8471305.1.492610.000000.847001.300180"/>
    <n v="19606"/>
    <n v="19606"/>
    <n v="728.67"/>
    <m/>
    <m/>
    <n v="18877.330000000002"/>
    <m/>
    <m/>
    <m/>
    <m/>
    <n v="18877.330000000002"/>
    <s v="CAPEX closed, will need approval to spend. "/>
    <s v="Y"/>
    <m/>
    <n v="18877.330000000002"/>
    <n v="19606"/>
    <n v="728.67"/>
    <n v="0"/>
    <n v="0"/>
    <n v="18877.330000000002"/>
  </r>
  <r>
    <x v="10"/>
    <s v="3 Capital Payments"/>
    <n v="8471305"/>
    <s v="KUST - Dean Of Medicine"/>
    <n v="495140"/>
    <x v="3"/>
    <s v="847.8471305.1.495140.000000.847001.300180"/>
    <n v="171987"/>
    <n v="0"/>
    <m/>
    <m/>
    <m/>
    <n v="0"/>
    <m/>
    <m/>
    <m/>
    <m/>
    <n v="0"/>
    <m/>
    <s v="Y"/>
    <m/>
    <n v="0"/>
    <n v="0"/>
    <n v="0"/>
    <n v="0"/>
    <n v="0"/>
    <n v="0"/>
  </r>
</pivotCacheRecords>
</file>

<file path=xl/pivotCache/pivotCacheRecords4.xml><?xml version="1.0" encoding="utf-8"?>
<pivotCacheRecords xmlns="http://schemas.openxmlformats.org/spreadsheetml/2006/main" xmlns:r="http://schemas.openxmlformats.org/officeDocument/2006/relationships" count="508">
  <r>
    <x v="0"/>
    <s v="office of the president"/>
    <s v="2 Other Operating Costs"/>
    <n v="8470110"/>
    <s v="KUST - Office of the President"/>
    <n v="420550"/>
    <x v="0"/>
    <x v="0"/>
    <n v="30000"/>
    <n v="27000"/>
    <m/>
    <m/>
    <m/>
    <n v="27000"/>
    <m/>
    <m/>
    <m/>
    <m/>
    <n v="27000"/>
    <m/>
    <n v="21600"/>
    <n v="21600"/>
    <m/>
    <s v="N"/>
    <m/>
    <n v="27000"/>
    <n v="0"/>
    <n v="0"/>
    <n v="0"/>
    <n v="27000"/>
    <n v="27000"/>
    <n v="0"/>
    <n v="5400"/>
    <s v="847.8470110.1.420550.000000.847001.200179"/>
    <n v="27000"/>
    <n v="0"/>
    <n v="0"/>
    <n v="0"/>
    <n v="27000"/>
    <n v="0"/>
    <n v="0"/>
    <n v="0"/>
    <n v="21600"/>
    <n v="0"/>
    <n v="-21600"/>
  </r>
  <r>
    <x v="0"/>
    <s v="office of the president"/>
    <s v="2 Other Operating Costs"/>
    <n v="8470110"/>
    <s v="KUST - Office of the President"/>
    <n v="420570"/>
    <x v="1"/>
    <x v="1"/>
    <n v="3705121"/>
    <n v="1"/>
    <m/>
    <m/>
    <m/>
    <n v="1"/>
    <m/>
    <m/>
    <m/>
    <m/>
    <n v="1"/>
    <m/>
    <n v="0.8"/>
    <n v="0.8"/>
    <m/>
    <s v="N"/>
    <m/>
    <n v="1"/>
    <n v="0"/>
    <n v="0"/>
    <n v="0"/>
    <n v="1"/>
    <n v="1"/>
    <n v="0"/>
    <n v="0.19999999999999996"/>
    <s v="847.8470110.1.420570.000000.847001.200179"/>
    <n v="1"/>
    <n v="0"/>
    <n v="0"/>
    <n v="0"/>
    <n v="1"/>
    <n v="0"/>
    <n v="0"/>
    <n v="0"/>
    <n v="0.8"/>
    <n v="0"/>
    <n v="-0.8"/>
  </r>
  <r>
    <x v="0"/>
    <s v="office of the president"/>
    <s v="2 Other Operating Costs"/>
    <n v="8470110"/>
    <s v="KUST - Office of the President"/>
    <n v="420900"/>
    <x v="2"/>
    <x v="2"/>
    <n v="1500"/>
    <n v="4500"/>
    <m/>
    <m/>
    <m/>
    <n v="4500"/>
    <m/>
    <m/>
    <m/>
    <m/>
    <n v="4500"/>
    <m/>
    <n v="3600"/>
    <n v="40.800000000000182"/>
    <m/>
    <s v="N"/>
    <m/>
    <n v="4500"/>
    <n v="0"/>
    <n v="0"/>
    <n v="0"/>
    <n v="4500"/>
    <n v="4500"/>
    <n v="0"/>
    <n v="900"/>
    <s v="847.8470110.1.420900.000000.847001.200179"/>
    <n v="4500"/>
    <n v="0"/>
    <n v="0"/>
    <n v="0"/>
    <n v="4500"/>
    <n v="0"/>
    <n v="3559.2"/>
    <n v="0"/>
    <n v="40.800000000000182"/>
    <n v="3559.2"/>
    <n v="3518.3999999999996"/>
  </r>
  <r>
    <x v="0"/>
    <s v="office of the president"/>
    <s v="2 Other Operating Costs"/>
    <n v="8470110"/>
    <s v="KUST - Office of the President"/>
    <n v="421000"/>
    <x v="3"/>
    <x v="3"/>
    <n v="200000"/>
    <n v="149972"/>
    <m/>
    <m/>
    <m/>
    <n v="149972"/>
    <m/>
    <m/>
    <m/>
    <m/>
    <n v="149972"/>
    <m/>
    <n v="119977.60000000001"/>
    <n v="119977.60000000001"/>
    <m/>
    <s v="N"/>
    <m/>
    <n v="149972"/>
    <n v="0"/>
    <n v="0"/>
    <n v="0"/>
    <n v="149972"/>
    <n v="149972"/>
    <n v="0"/>
    <n v="29994.399999999994"/>
    <s v="847.8470110.1.421000.000000.847001.200179"/>
    <n v="149972"/>
    <n v="0"/>
    <n v="0"/>
    <n v="0"/>
    <n v="149972"/>
    <n v="0"/>
    <n v="0"/>
    <n v="0"/>
    <n v="119977.60000000001"/>
    <n v="0"/>
    <n v="-119977.60000000001"/>
  </r>
  <r>
    <x v="0"/>
    <s v="office of the president"/>
    <s v="2 Other Operating Costs"/>
    <n v="8470110"/>
    <s v="KUST - Office of the President"/>
    <n v="421700"/>
    <x v="4"/>
    <x v="4"/>
    <n v="25000"/>
    <n v="25000"/>
    <m/>
    <m/>
    <m/>
    <n v="25000"/>
    <m/>
    <m/>
    <m/>
    <m/>
    <n v="25000"/>
    <m/>
    <n v="20000"/>
    <n v="20000"/>
    <m/>
    <s v="N"/>
    <m/>
    <n v="25000"/>
    <n v="0"/>
    <n v="0"/>
    <n v="0"/>
    <n v="25000"/>
    <n v="25000"/>
    <n v="0"/>
    <n v="5000"/>
    <s v="847.8470110.1.421700.000000.847001.200179"/>
    <n v="25000"/>
    <n v="0"/>
    <n v="0"/>
    <n v="0"/>
    <n v="25000"/>
    <n v="0"/>
    <n v="0"/>
    <n v="0"/>
    <n v="20000"/>
    <n v="0"/>
    <n v="-20000"/>
  </r>
  <r>
    <x v="0"/>
    <s v="office of the president"/>
    <s v="2 Other Operating Costs"/>
    <n v="8470110"/>
    <s v="KUST - Office of the President"/>
    <n v="425510"/>
    <x v="5"/>
    <x v="5"/>
    <n v="300000"/>
    <n v="300000"/>
    <n v="40110"/>
    <m/>
    <m/>
    <n v="259890"/>
    <m/>
    <m/>
    <m/>
    <m/>
    <n v="259890"/>
    <m/>
    <n v="200124"/>
    <n v="193569"/>
    <m/>
    <s v="N"/>
    <m/>
    <n v="300000"/>
    <n v="42310"/>
    <n v="0"/>
    <n v="0"/>
    <n v="257690"/>
    <n v="257690"/>
    <n v="0"/>
    <n v="57566"/>
    <s v="847.8470110.1.425510.000000.847001.200179"/>
    <n v="300000"/>
    <n v="49845"/>
    <n v="0"/>
    <n v="0"/>
    <n v="250155"/>
    <n v="0"/>
    <n v="6555"/>
    <n v="0"/>
    <n v="193569"/>
    <n v="48865"/>
    <n v="-137169"/>
  </r>
  <r>
    <x v="0"/>
    <s v="office of the president"/>
    <s v="2 Other Operating Costs"/>
    <n v="8470110"/>
    <s v="KUST - Office of the President"/>
    <n v="425550"/>
    <x v="6"/>
    <x v="6"/>
    <n v="300000"/>
    <n v="300000"/>
    <n v="6600"/>
    <m/>
    <m/>
    <n v="293400"/>
    <m/>
    <m/>
    <m/>
    <m/>
    <n v="293400"/>
    <m/>
    <n v="237920"/>
    <n v="226075"/>
    <m/>
    <s v="N"/>
    <m/>
    <n v="300000"/>
    <n v="0"/>
    <n v="0"/>
    <n v="0"/>
    <n v="300000"/>
    <n v="300000"/>
    <n v="0"/>
    <n v="62080"/>
    <s v="847.8470110.1.425550.000000.847001.200179"/>
    <n v="300000"/>
    <n v="2600"/>
    <n v="0"/>
    <n v="0"/>
    <n v="297400"/>
    <n v="0"/>
    <n v="0"/>
    <n v="11845"/>
    <n v="226075"/>
    <n v="11845"/>
    <n v="-211630"/>
  </r>
  <r>
    <x v="0"/>
    <s v="office of the president"/>
    <s v="2 Other Operating Costs"/>
    <n v="8470110"/>
    <s v="KUST - Office of the President"/>
    <n v="425900"/>
    <x v="7"/>
    <x v="7"/>
    <n v="10000"/>
    <n v="10000"/>
    <n v="5302.5"/>
    <m/>
    <m/>
    <n v="4697.5"/>
    <m/>
    <m/>
    <m/>
    <m/>
    <n v="4697.5"/>
    <m/>
    <n v="25471"/>
    <n v="25471"/>
    <m/>
    <s v="N"/>
    <m/>
    <n v="39425"/>
    <n v="5302.5"/>
    <n v="0"/>
    <n v="0"/>
    <n v="34122.5"/>
    <n v="34122.5"/>
    <n v="0"/>
    <n v="8651.5"/>
    <s v="847.8470110.1.425900.000000.847001.200179"/>
    <n v="39425"/>
    <n v="7586.25"/>
    <n v="0"/>
    <n v="0"/>
    <n v="31838.75"/>
    <n v="0"/>
    <n v="0"/>
    <n v="0"/>
    <n v="25471"/>
    <n v="5302.5"/>
    <n v="-17884.75"/>
  </r>
  <r>
    <x v="0"/>
    <s v="office of the president"/>
    <s v="2 Other Operating Costs"/>
    <n v="8470110"/>
    <s v="KUST - Office of the President"/>
    <n v="426610"/>
    <x v="8"/>
    <x v="8"/>
    <n v="518388"/>
    <n v="508388"/>
    <n v="42239.5"/>
    <m/>
    <m/>
    <n v="466148.5"/>
    <m/>
    <m/>
    <m/>
    <m/>
    <n v="466148.5"/>
    <m/>
    <n v="372918.80000000005"/>
    <n v="372918.80000000005"/>
    <m/>
    <s v="N"/>
    <m/>
    <n v="508388"/>
    <n v="42239.5"/>
    <n v="0"/>
    <n v="0"/>
    <n v="466148.5"/>
    <n v="466148.5"/>
    <n v="0"/>
    <n v="93229.699999999953"/>
    <s v="847.8470110.1.426610.000000.847001.200179"/>
    <n v="508388"/>
    <n v="42239.5"/>
    <n v="0"/>
    <n v="0"/>
    <n v="466148.5"/>
    <n v="0"/>
    <n v="0"/>
    <n v="0"/>
    <n v="372918.80000000005"/>
    <n v="42239.5"/>
    <n v="-330679.30000000005"/>
  </r>
  <r>
    <x v="0"/>
    <s v="office of the president"/>
    <s v="2 Other Operating Costs"/>
    <n v="8470110"/>
    <s v="KUST - Office of the President"/>
    <n v="428090"/>
    <x v="9"/>
    <x v="9"/>
    <n v="1000000"/>
    <n v="276463"/>
    <n v="137470.5"/>
    <m/>
    <m/>
    <n v="138992.5"/>
    <m/>
    <m/>
    <m/>
    <m/>
    <n v="138992.5"/>
    <m/>
    <n v="11618"/>
    <n v="-66997"/>
    <m/>
    <s v="N"/>
    <m/>
    <n v="276463"/>
    <n v="238820.5"/>
    <n v="0"/>
    <n v="0"/>
    <n v="37642.5"/>
    <n v="37642.5"/>
    <n v="0"/>
    <n v="26024.5"/>
    <s v="847.8470110.1.428090.000000.847001.200179"/>
    <n v="276463"/>
    <n v="261940.5"/>
    <n v="0"/>
    <n v="0"/>
    <n v="14522.5"/>
    <n v="0"/>
    <n v="0"/>
    <n v="78615"/>
    <n v="-66997"/>
    <n v="317435.5"/>
    <n v="407552.5"/>
  </r>
  <r>
    <x v="0"/>
    <s v="office of the president"/>
    <s v="2 Other Operating Costs"/>
    <n v="8470110"/>
    <s v="KUST - Office of the President"/>
    <n v="428400"/>
    <x v="10"/>
    <x v="10"/>
    <n v="50000"/>
    <n v="50000"/>
    <m/>
    <m/>
    <m/>
    <n v="50000"/>
    <m/>
    <m/>
    <m/>
    <m/>
    <n v="50000"/>
    <m/>
    <n v="40000"/>
    <n v="40000"/>
    <m/>
    <s v="N"/>
    <m/>
    <n v="50000"/>
    <n v="0"/>
    <n v="0"/>
    <n v="0"/>
    <n v="50000"/>
    <n v="50000"/>
    <n v="0"/>
    <n v="10000"/>
    <s v="847.8470110.1.428400.000000.847001.200179"/>
    <n v="50000"/>
    <n v="0"/>
    <n v="0"/>
    <n v="0"/>
    <n v="50000"/>
    <n v="0"/>
    <n v="0"/>
    <n v="0"/>
    <n v="40000"/>
    <n v="0"/>
    <n v="-40000"/>
  </r>
  <r>
    <x v="0"/>
    <s v="office of the president"/>
    <s v="2 Other Operating Costs"/>
    <n v="8470110"/>
    <s v="KUST - Office of the President"/>
    <n v="428640"/>
    <x v="11"/>
    <x v="11"/>
    <n v="100000"/>
    <n v="50745"/>
    <m/>
    <m/>
    <m/>
    <n v="50745"/>
    <m/>
    <m/>
    <m/>
    <m/>
    <n v="50745"/>
    <m/>
    <n v="40596"/>
    <n v="40596"/>
    <m/>
    <s v="N"/>
    <m/>
    <n v="50745"/>
    <n v="0"/>
    <n v="0"/>
    <n v="0"/>
    <n v="50745"/>
    <n v="50745"/>
    <n v="0"/>
    <n v="10149"/>
    <s v="847.8470110.1.428640.000000.847001.200179"/>
    <n v="50745"/>
    <n v="0"/>
    <n v="0"/>
    <n v="0"/>
    <n v="50745"/>
    <n v="0"/>
    <n v="0"/>
    <n v="0"/>
    <n v="40596"/>
    <n v="0"/>
    <n v="-40596"/>
  </r>
  <r>
    <x v="0"/>
    <s v="office of the president"/>
    <s v="2 Other Operating Costs"/>
    <n v="8470120"/>
    <s v="KUST - Audit"/>
    <n v="420120"/>
    <x v="12"/>
    <x v="12"/>
    <n v="500000"/>
    <n v="550028"/>
    <n v="79851"/>
    <n v="0"/>
    <n v="470177"/>
    <n v="0"/>
    <m/>
    <m/>
    <m/>
    <m/>
    <n v="0"/>
    <m/>
    <n v="0"/>
    <n v="0"/>
    <m/>
    <s v="N"/>
    <m/>
    <n v="550028"/>
    <n v="124262"/>
    <n v="0"/>
    <n v="425766"/>
    <n v="0"/>
    <n v="0"/>
    <n v="0"/>
    <n v="0"/>
    <s v="847.8470120.1.420120.000000.847001.200179"/>
    <n v="550028"/>
    <n v="306043"/>
    <n v="0"/>
    <n v="243985"/>
    <n v="0"/>
    <n v="0"/>
    <n v="0"/>
    <n v="0"/>
    <n v="0"/>
    <n v="550028"/>
    <n v="550028"/>
  </r>
  <r>
    <x v="1"/>
    <s v="EVP office"/>
    <s v="2 Other Operating Costs"/>
    <n v="8470130"/>
    <s v="KUST - Institutional Research &amp; Planning"/>
    <n v="421000"/>
    <x v="3"/>
    <x v="13"/>
    <n v="720000"/>
    <n v="604900"/>
    <m/>
    <m/>
    <m/>
    <n v="604900"/>
    <m/>
    <m/>
    <m/>
    <m/>
    <n v="604900"/>
    <m/>
    <n v="604900"/>
    <n v="604900"/>
    <m/>
    <s v="Y"/>
    <m/>
    <n v="604900"/>
    <n v="10000"/>
    <n v="0"/>
    <n v="0"/>
    <n v="594900"/>
    <n v="594900"/>
    <n v="0"/>
    <n v="-10000"/>
    <s v="847.8470130.1.421000.000000.847001.200179"/>
    <n v="604900"/>
    <n v="10000"/>
    <n v="0"/>
    <n v="0"/>
    <n v="594900"/>
    <n v="0"/>
    <n v="0"/>
    <n v="0"/>
    <n v="604900"/>
    <n v="10000"/>
    <n v="-594900"/>
  </r>
  <r>
    <x v="1"/>
    <s v="EVP office"/>
    <s v="2 Other Operating Costs"/>
    <n v="8470130"/>
    <s v="KUST - Institutional Research &amp; Planning"/>
    <n v="426610"/>
    <x v="8"/>
    <x v="14"/>
    <n v="735000"/>
    <n v="735000"/>
    <m/>
    <m/>
    <m/>
    <n v="735000"/>
    <m/>
    <m/>
    <m/>
    <m/>
    <n v="735000"/>
    <m/>
    <n v="735000"/>
    <n v="735000"/>
    <m/>
    <s v="Y"/>
    <m/>
    <n v="735000"/>
    <n v="0"/>
    <n v="312205"/>
    <n v="0"/>
    <n v="422795"/>
    <n v="422795"/>
    <n v="0"/>
    <n v="-312205"/>
    <s v="847.8470130.1.426610.000000.847001.200179"/>
    <n v="735000"/>
    <n v="0"/>
    <n v="312205"/>
    <n v="0"/>
    <n v="422795"/>
    <n v="0"/>
    <n v="0"/>
    <n v="0"/>
    <n v="735000"/>
    <n v="312205"/>
    <n v="-422795"/>
  </r>
  <r>
    <x v="1"/>
    <s v="EVP office"/>
    <s v="2 Other Operating Costs"/>
    <n v="8470130"/>
    <s v="KUST - Institutional Research &amp; Planning"/>
    <n v="427710"/>
    <x v="13"/>
    <x v="15"/>
    <n v="0"/>
    <n v="115000"/>
    <n v="114759"/>
    <m/>
    <m/>
    <n v="241"/>
    <m/>
    <m/>
    <m/>
    <m/>
    <n v="241"/>
    <m/>
    <n v="241"/>
    <n v="241"/>
    <m/>
    <s v="Y"/>
    <m/>
    <n v="115000"/>
    <n v="114759"/>
    <n v="0"/>
    <n v="0"/>
    <n v="241"/>
    <n v="241"/>
    <n v="0"/>
    <n v="0"/>
    <s v="847.8470130.1.427710.000000.847001.200179"/>
    <n v="115000"/>
    <n v="114759"/>
    <n v="0"/>
    <n v="0"/>
    <n v="241"/>
    <n v="0"/>
    <n v="0"/>
    <n v="0"/>
    <n v="241"/>
    <n v="114759"/>
    <n v="114518"/>
  </r>
  <r>
    <x v="1"/>
    <s v="EVP office"/>
    <s v="2 Other Operating Costs"/>
    <n v="8470130"/>
    <s v="KUST - Institutional Research &amp; Planning"/>
    <n v="428090"/>
    <x v="9"/>
    <x v="16"/>
    <n v="180000"/>
    <n v="37543"/>
    <n v="1650"/>
    <m/>
    <m/>
    <n v="35893"/>
    <m/>
    <m/>
    <m/>
    <m/>
    <n v="35893"/>
    <m/>
    <n v="35893"/>
    <n v="33142.050000000003"/>
    <m/>
    <s v="Y"/>
    <m/>
    <n v="37543"/>
    <n v="7480"/>
    <n v="0"/>
    <n v="0"/>
    <n v="30063"/>
    <n v="30063"/>
    <n v="0"/>
    <n v="-5830"/>
    <s v="847.8470130.1.428090.000000.847001.200179"/>
    <n v="37543"/>
    <n v="7480"/>
    <n v="0"/>
    <n v="0"/>
    <n v="30063"/>
    <n v="0"/>
    <n v="0"/>
    <n v="2750.95"/>
    <n v="33142.050000000003"/>
    <n v="10230.950000000001"/>
    <n v="-22911.100000000002"/>
  </r>
  <r>
    <x v="1"/>
    <s v="EVP office"/>
    <s v="2 Other Operating Costs"/>
    <n v="8470140"/>
    <s v="KUST - Communication"/>
    <n v="425100"/>
    <x v="14"/>
    <x v="17"/>
    <n v="4578464"/>
    <n v="5227464"/>
    <n v="2057917.4399999999"/>
    <n v="2056990"/>
    <n v="622131.75"/>
    <n v="490424.81000000006"/>
    <n v="160000"/>
    <n v="250000"/>
    <n v="80425"/>
    <s v="Amount will cover branding &amp; advertising KU news in different channels"/>
    <n v="-0.18999999994412065"/>
    <m/>
    <n v="-0.18999999994412065"/>
    <n v="-1058054.22"/>
    <m/>
    <s v="Y"/>
    <m/>
    <n v="5297464"/>
    <n v="2587112.62"/>
    <n v="1346800"/>
    <n v="999823"/>
    <n v="363728.37999999989"/>
    <n v="363728.38"/>
    <n v="0"/>
    <n v="363728.56999999983"/>
    <s v="847.8470140.1.425100.000000.847001.200179"/>
    <n v="5297464"/>
    <n v="3128172.31"/>
    <n v="1120343.3600000001"/>
    <n v="890637.45"/>
    <n v="158310.88"/>
    <n v="0"/>
    <n v="1058054.03"/>
    <n v="0"/>
    <n v="-1058054.22"/>
    <n v="6072214.6500000004"/>
    <n v="7335686.3700000001"/>
  </r>
  <r>
    <x v="1"/>
    <s v="EVP office"/>
    <s v="2 Other Operating Costs"/>
    <n v="8470140"/>
    <s v="KUST - Communication"/>
    <n v="425510"/>
    <x v="5"/>
    <x v="18"/>
    <n v="5425358"/>
    <n v="6216546"/>
    <n v="2569677.79"/>
    <n v="2206800"/>
    <n v="1089369.49"/>
    <n v="350698.72"/>
    <n v="100699"/>
    <n v="250000"/>
    <m/>
    <s v="Amount will cover Graduation Ceremony "/>
    <n v="-0.28000000002793968"/>
    <m/>
    <n v="-0.28000000002793968"/>
    <n v="-1995.2800000000279"/>
    <m/>
    <s v="Y"/>
    <m/>
    <n v="6256444"/>
    <n v="4019855.79"/>
    <n v="681500"/>
    <n v="1323021.29"/>
    <n v="232066.91999999993"/>
    <n v="232066.92"/>
    <n v="0"/>
    <n v="232067.19999999995"/>
    <s v="847.8470140.1.425510.000000.847001.200179"/>
    <n v="6467596"/>
    <n v="5051607.4800000004"/>
    <n v="699700"/>
    <n v="642812.32999999996"/>
    <n v="73476.189999999493"/>
    <n v="0"/>
    <n v="1995"/>
    <n v="0"/>
    <n v="-1995.2800000000279"/>
    <n v="6026372.0800000001"/>
    <n v="6398110.0900000008"/>
  </r>
  <r>
    <x v="1"/>
    <s v="EVP office"/>
    <s v="2 Other Operating Costs"/>
    <n v="8470140"/>
    <s v="KUST - Communication"/>
    <n v="425550"/>
    <x v="6"/>
    <x v="19"/>
    <n v="791955"/>
    <n v="2955"/>
    <n v="2942.71"/>
    <m/>
    <m/>
    <n v="12.289999999999964"/>
    <m/>
    <m/>
    <m/>
    <m/>
    <n v="12.289999999999964"/>
    <m/>
    <n v="12.289999999999964"/>
    <n v="12.289999999999964"/>
    <m/>
    <s v="Y"/>
    <m/>
    <n v="59402"/>
    <n v="2942.71"/>
    <n v="0"/>
    <n v="56458"/>
    <n v="1.2900000000008731"/>
    <n v="1.29000000000087"/>
    <n v="3.1086244689504383E-15"/>
    <n v="-10.999999999999091"/>
    <s v="847.8470140.1.425550.000000.847001.200179"/>
    <n v="59402"/>
    <n v="2942.71"/>
    <n v="0"/>
    <n v="56458"/>
    <n v="1.29000000000087"/>
    <n v="0"/>
    <n v="0"/>
    <n v="0"/>
    <n v="12.289999999999964"/>
    <n v="59400.71"/>
    <n v="59388.42"/>
  </r>
  <r>
    <x v="1"/>
    <s v="EVP office"/>
    <s v="2 Other Operating Costs"/>
    <n v="8470140"/>
    <s v="KUST - Communication"/>
    <n v="425763"/>
    <x v="15"/>
    <x v="20"/>
    <n v="0"/>
    <n v="453163"/>
    <n v="154662.9"/>
    <n v="298500"/>
    <n v="0"/>
    <n v="9.9999999976716936E-2"/>
    <m/>
    <m/>
    <m/>
    <m/>
    <n v="9.9999999976716936E-2"/>
    <m/>
    <n v="9.9999999976716936E-2"/>
    <n v="9.9999999976716936E-2"/>
    <m/>
    <s v="Y"/>
    <m/>
    <n v="453163"/>
    <n v="154662.9"/>
    <n v="298500"/>
    <n v="0"/>
    <n v="9.9999999976716936E-2"/>
    <n v="9.9999999976716894E-2"/>
    <n v="0"/>
    <n v="0"/>
    <s v="847.8470140.1.425763.000000.847050.200179"/>
    <n v="453663"/>
    <n v="154662.9"/>
    <n v="249000"/>
    <n v="49975"/>
    <n v="25.099999999976699"/>
    <n v="0"/>
    <n v="0"/>
    <n v="0"/>
    <n v="9.9999999976716936E-2"/>
    <n v="453162.9"/>
    <n v="453637.80000000005"/>
  </r>
  <r>
    <x v="1"/>
    <s v="EVP office"/>
    <s v="2 Other Operating Costs"/>
    <n v="8470140"/>
    <s v="KUST - Communication"/>
    <n v="427100"/>
    <x v="16"/>
    <x v="21"/>
    <n v="1157850"/>
    <n v="1157850"/>
    <m/>
    <n v="909458.75"/>
    <m/>
    <n v="248391.25"/>
    <n v="156000"/>
    <n v="92391"/>
    <m/>
    <s v="Amount will cover international and local media relations for Q4"/>
    <n v="0.25"/>
    <m/>
    <n v="0.25"/>
    <n v="0.25"/>
    <m/>
    <s v="Y"/>
    <m/>
    <n v="1097850"/>
    <n v="477456.84"/>
    <n v="0"/>
    <n v="432001.91"/>
    <n v="188391.24999999994"/>
    <n v="188391.25"/>
    <n v="0"/>
    <n v="188390.99999999994"/>
    <s v="847.8470140.1.427100.000000.847001.200179"/>
    <n v="927677"/>
    <n v="477456.84"/>
    <n v="0"/>
    <n v="432001.91"/>
    <n v="0.74999999994179201"/>
    <n v="0"/>
    <n v="0"/>
    <n v="0"/>
    <n v="0.25"/>
    <n v="909458.75"/>
    <n v="909458.5"/>
  </r>
  <r>
    <x v="1"/>
    <s v="EVP office"/>
    <s v="2 Other Operating Costs"/>
    <n v="8470140"/>
    <s v="KUST - Communication"/>
    <n v="427200"/>
    <x v="17"/>
    <x v="22"/>
    <n v="750000"/>
    <n v="50000"/>
    <n v="20841.47"/>
    <m/>
    <m/>
    <n v="29158.53"/>
    <m/>
    <m/>
    <m/>
    <m/>
    <n v="29158.53"/>
    <m/>
    <n v="29158.53"/>
    <n v="29158.53"/>
    <m/>
    <s v="Y"/>
    <m/>
    <n v="23654"/>
    <n v="23653.37"/>
    <n v="0"/>
    <n v="0"/>
    <n v="0.63000000000101863"/>
    <n v="0.63000000000101897"/>
    <n v="0"/>
    <n v="-29157.899999999998"/>
    <s v="847.8470140.1.427200.000000.847001.200179"/>
    <n v="23654"/>
    <n v="23653.37"/>
    <n v="0"/>
    <n v="0"/>
    <n v="0.63000000000101897"/>
    <n v="0"/>
    <n v="0"/>
    <n v="0"/>
    <n v="29158.53"/>
    <n v="23653.37"/>
    <n v="-5505.16"/>
  </r>
  <r>
    <x v="1"/>
    <s v="EVP office"/>
    <s v="2 Other Operating Costs"/>
    <n v="8470140"/>
    <s v="KUST - Communication"/>
    <n v="428640"/>
    <x v="11"/>
    <x v="23"/>
    <n v="998000"/>
    <n v="238000"/>
    <n v="20594.009999999998"/>
    <n v="0"/>
    <n v="177011"/>
    <n v="40394.989999999991"/>
    <m/>
    <m/>
    <m/>
    <m/>
    <n v="40394.989999999991"/>
    <m/>
    <n v="40394.989999999991"/>
    <n v="40394.989999999991"/>
    <m/>
    <s v="Y"/>
    <m/>
    <n v="238000"/>
    <n v="21975.01"/>
    <n v="0"/>
    <n v="199891"/>
    <n v="16133.989999999991"/>
    <n v="16133.99"/>
    <n v="0"/>
    <n v="-24261"/>
    <s v="847.8470140.1.428640.000000.847001.200179"/>
    <n v="221867"/>
    <n v="21975.01"/>
    <n v="0"/>
    <n v="199891"/>
    <n v="0.989999999990687"/>
    <n v="0"/>
    <n v="0"/>
    <n v="0"/>
    <n v="40394.989999999991"/>
    <n v="221866.01"/>
    <n v="181471.02000000002"/>
  </r>
  <r>
    <x v="1"/>
    <s v="EVP office"/>
    <s v="2 Other Operating Costs"/>
    <n v="8470140"/>
    <s v="KUST - Communication"/>
    <n v="435310"/>
    <x v="18"/>
    <x v="24"/>
    <n v="10000"/>
    <n v="10000"/>
    <m/>
    <m/>
    <m/>
    <n v="10000"/>
    <m/>
    <m/>
    <m/>
    <m/>
    <n v="10000"/>
    <m/>
    <n v="10000"/>
    <n v="10000"/>
    <m/>
    <s v="Y"/>
    <m/>
    <n v="1"/>
    <n v="0"/>
    <n v="0"/>
    <n v="0"/>
    <n v="1"/>
    <n v="1"/>
    <n v="0"/>
    <n v="-9999"/>
    <s v="847.8470140.1.435310.000000.847001.200179"/>
    <n v="1"/>
    <n v="0"/>
    <n v="0"/>
    <n v="0"/>
    <n v="1"/>
    <n v="0"/>
    <n v="0"/>
    <n v="0"/>
    <n v="10000"/>
    <n v="0"/>
    <n v="-10000"/>
  </r>
  <r>
    <x v="1"/>
    <s v="EVP office"/>
    <s v="2 Other Operating Costs"/>
    <n v="8470140"/>
    <s v="KUST - Communication"/>
    <n v="435519"/>
    <x v="19"/>
    <x v="25"/>
    <n v="135000"/>
    <n v="43812"/>
    <n v="43812"/>
    <n v="0"/>
    <n v="0"/>
    <n v="0"/>
    <m/>
    <m/>
    <m/>
    <m/>
    <n v="0"/>
    <m/>
    <n v="0"/>
    <n v="0"/>
    <m/>
    <s v="Y"/>
    <m/>
    <n v="43812"/>
    <n v="43812"/>
    <n v="0"/>
    <n v="0"/>
    <n v="0"/>
    <n v="0"/>
    <n v="0"/>
    <n v="0"/>
    <s v="847.8470140.1.435519.000000.847001.200179"/>
    <n v="43812"/>
    <n v="43812"/>
    <n v="0"/>
    <n v="0"/>
    <n v="0"/>
    <n v="0"/>
    <n v="0"/>
    <n v="0"/>
    <n v="0"/>
    <n v="43812"/>
    <n v="43812"/>
  </r>
  <r>
    <x v="0"/>
    <s v="office of the president"/>
    <s v="2 Other Operating Costs"/>
    <n v="8470150"/>
    <s v="KUST - General Counsel"/>
    <n v="420900"/>
    <x v="2"/>
    <x v="26"/>
    <n v="0"/>
    <n v="32600"/>
    <n v="24142.82"/>
    <m/>
    <m/>
    <n v="8457.18"/>
    <m/>
    <m/>
    <m/>
    <m/>
    <n v="8457.18"/>
    <m/>
    <n v="45718.144"/>
    <n v="45718.144"/>
    <m/>
    <s v="N"/>
    <m/>
    <n v="82600"/>
    <n v="24142.82"/>
    <n v="0"/>
    <n v="0"/>
    <n v="58457.18"/>
    <n v="58457.18"/>
    <n v="0"/>
    <n v="12739.036"/>
    <s v="847.8470150.1.420900.000000.847001.200179"/>
    <n v="82600"/>
    <n v="25452.32"/>
    <n v="0"/>
    <n v="0"/>
    <n v="57147.68"/>
    <n v="0"/>
    <n v="0"/>
    <n v="0"/>
    <n v="45718.144"/>
    <n v="24142.82"/>
    <n v="-20265.824000000001"/>
  </r>
  <r>
    <x v="0"/>
    <s v="KUST - Khalifa University of Science &amp; Technology - Gener"/>
    <s v="2 Other Operating Costs"/>
    <n v="8470210"/>
    <s v="KUST - Khalifa University of Science &amp; Technology - General Administration"/>
    <n v="420570"/>
    <x v="1"/>
    <x v="27"/>
    <n v="0"/>
    <n v="2603121"/>
    <m/>
    <m/>
    <m/>
    <n v="2603121"/>
    <m/>
    <m/>
    <m/>
    <m/>
    <n v="2603121"/>
    <m/>
    <n v="721634"/>
    <n v="707464.6"/>
    <m/>
    <s v="Contingency"/>
    <m/>
    <n v="721634"/>
    <n v="0"/>
    <n v="0"/>
    <n v="0"/>
    <n v="721634"/>
    <n v="721634"/>
    <n v="0"/>
    <n v="0"/>
    <s v="847.8470210.1.420570.000000.847001.200179"/>
    <n v="721634"/>
    <n v="0"/>
    <n v="0"/>
    <n v="0"/>
    <n v="721634"/>
    <n v="7031.05"/>
    <n v="7138.35"/>
    <n v="0"/>
    <n v="707464.6"/>
    <n v="14169.400000000001"/>
    <n v="-693295.2"/>
  </r>
  <r>
    <x v="0"/>
    <s v="KUST - Khalifa University of Science &amp; Technology - Gener"/>
    <s v="2 Other Operating Costs"/>
    <n v="8470210"/>
    <s v="KUST - Khalifa University of Science &amp; Technology - General Administration"/>
    <n v="425770"/>
    <x v="20"/>
    <x v="28"/>
    <n v="0"/>
    <n v="2973778"/>
    <m/>
    <m/>
    <m/>
    <n v="2973778"/>
    <m/>
    <m/>
    <m/>
    <m/>
    <n v="2973778"/>
    <m/>
    <n v="954528"/>
    <n v="954528"/>
    <m/>
    <s v="Contingency"/>
    <m/>
    <n v="954528"/>
    <n v="0"/>
    <n v="0"/>
    <n v="0"/>
    <n v="954528"/>
    <n v="954528"/>
    <n v="0"/>
    <n v="0"/>
    <s v="847.8470210.1.425770.000000.847001.200179"/>
    <n v="680428"/>
    <n v="0"/>
    <n v="0"/>
    <n v="0"/>
    <n v="680428"/>
    <n v="0"/>
    <n v="0"/>
    <n v="0"/>
    <n v="954528"/>
    <n v="0"/>
    <n v="-954528"/>
  </r>
  <r>
    <x v="0"/>
    <s v="KUST - Khalifa University of Science &amp; Technology - Gener"/>
    <s v="2 Other Operating Costs"/>
    <n v="8470210"/>
    <s v="KUST - Khalifa University of Science &amp; Technology - General Administration"/>
    <n v="427200"/>
    <x v="17"/>
    <x v="29"/>
    <n v="0"/>
    <n v="746464"/>
    <m/>
    <m/>
    <m/>
    <n v="746464"/>
    <m/>
    <m/>
    <m/>
    <m/>
    <n v="746464"/>
    <m/>
    <n v="746464"/>
    <n v="746464"/>
    <m/>
    <s v="Contingency"/>
    <m/>
    <n v="746464"/>
    <n v="0"/>
    <n v="0"/>
    <n v="0"/>
    <n v="746464"/>
    <n v="746464"/>
    <n v="0"/>
    <n v="0"/>
    <s v="847.8470210.1.427200.000000.847001.200179"/>
    <n v="746464"/>
    <n v="0"/>
    <n v="0"/>
    <n v="0"/>
    <n v="746464"/>
    <n v="0"/>
    <n v="0"/>
    <n v="0"/>
    <n v="746464"/>
    <n v="0"/>
    <n v="-746464"/>
  </r>
  <r>
    <x v="0"/>
    <s v="KUST - Khalifa University of Science &amp; Technology - Gener"/>
    <s v="2 Other Operating Costs"/>
    <n v="8470210"/>
    <s v="KUST - Khalifa University of Science &amp; Technology - General Administration"/>
    <n v="428090"/>
    <x v="9"/>
    <x v="30"/>
    <n v="0"/>
    <n v="2670379"/>
    <m/>
    <m/>
    <m/>
    <n v="2670379"/>
    <m/>
    <m/>
    <m/>
    <m/>
    <n v="2670379"/>
    <m/>
    <n v="657934"/>
    <n v="657934"/>
    <m/>
    <s v="Contingency"/>
    <m/>
    <n v="657934"/>
    <n v="0"/>
    <n v="0"/>
    <n v="0"/>
    <n v="657934"/>
    <n v="657934"/>
    <n v="0"/>
    <n v="0"/>
    <s v="847.8470210.1.428090.000000.847001.200179"/>
    <n v="657934"/>
    <n v="0"/>
    <n v="0"/>
    <n v="0"/>
    <n v="657934"/>
    <n v="0"/>
    <n v="0"/>
    <n v="0"/>
    <n v="657934"/>
    <n v="0"/>
    <n v="-657934"/>
  </r>
  <r>
    <x v="0"/>
    <s v="KUST - Khalifa University of Science &amp; Technology - Gener"/>
    <s v="2 Other Operating Costs"/>
    <n v="8470210"/>
    <s v="KUST - Khalifa University of Science &amp; Technology - General Administration"/>
    <n v="428640"/>
    <x v="11"/>
    <x v="31"/>
    <n v="0"/>
    <n v="808440"/>
    <m/>
    <m/>
    <m/>
    <n v="808440"/>
    <m/>
    <m/>
    <m/>
    <m/>
    <n v="808440"/>
    <m/>
    <n v="808440"/>
    <n v="808440"/>
    <m/>
    <s v="Contingency"/>
    <m/>
    <n v="808440"/>
    <n v="0"/>
    <n v="0"/>
    <n v="0"/>
    <n v="808440"/>
    <n v="808440"/>
    <n v="0"/>
    <n v="0"/>
    <s v="847.8470210.1.428640.000000.847001.200179"/>
    <n v="808440"/>
    <n v="0"/>
    <n v="0"/>
    <n v="0"/>
    <n v="808440"/>
    <n v="0"/>
    <n v="0"/>
    <n v="0"/>
    <n v="808440"/>
    <n v="0"/>
    <n v="-808440"/>
  </r>
  <r>
    <x v="0"/>
    <s v="KUST - Khalifa University of Science &amp; Technology - Gener"/>
    <s v="2 Other Operating Costs"/>
    <n v="8470210"/>
    <s v="KUST - Khalifa University of Science &amp; Technology - General Administration"/>
    <n v="435350"/>
    <x v="21"/>
    <x v="32"/>
    <n v="0"/>
    <n v="1081496"/>
    <m/>
    <m/>
    <m/>
    <n v="1081496"/>
    <m/>
    <m/>
    <m/>
    <m/>
    <n v="1081496"/>
    <m/>
    <n v="831496"/>
    <n v="831496"/>
    <m/>
    <s v="Contingency"/>
    <m/>
    <n v="831496"/>
    <n v="0"/>
    <n v="0"/>
    <n v="0"/>
    <n v="831496"/>
    <n v="831496"/>
    <n v="0"/>
    <n v="0"/>
    <s v="847.8470210.1.435350.000000.847001.200179"/>
    <n v="831496"/>
    <n v="0"/>
    <n v="0"/>
    <n v="0"/>
    <n v="831496"/>
    <n v="0"/>
    <n v="0"/>
    <n v="0"/>
    <n v="831496"/>
    <n v="0"/>
    <n v="-831496"/>
  </r>
  <r>
    <x v="0"/>
    <s v="KUST - Khalifa University of Science &amp; Technology - Gener"/>
    <s v="2 Other Operating Costs"/>
    <n v="8470210"/>
    <s v="KUST - Khalifa University of Science &amp; Technology - General Administration"/>
    <n v="435523"/>
    <x v="22"/>
    <x v="33"/>
    <n v="0"/>
    <n v="10000000"/>
    <m/>
    <m/>
    <m/>
    <n v="10000000"/>
    <m/>
    <m/>
    <m/>
    <m/>
    <n v="10000000"/>
    <m/>
    <n v="4799886"/>
    <n v="4799886"/>
    <m/>
    <s v="Contingency"/>
    <m/>
    <n v="4799886"/>
    <n v="0"/>
    <n v="0"/>
    <n v="0"/>
    <n v="4799886"/>
    <n v="4799886"/>
    <n v="0"/>
    <n v="0"/>
    <s v="847.8470210.1.435523.000000.847001.200179"/>
    <n v="3688486"/>
    <n v="0"/>
    <n v="0"/>
    <n v="0"/>
    <n v="3688486"/>
    <n v="0"/>
    <n v="0"/>
    <n v="0"/>
    <n v="4799886"/>
    <n v="0"/>
    <n v="-4799886"/>
  </r>
  <r>
    <x v="2"/>
    <s v="Provost office"/>
    <s v="2 Other Operating Costs"/>
    <n v="8470220"/>
    <s v="KUST - Office of the Provost"/>
    <n v="420550"/>
    <x v="0"/>
    <x v="34"/>
    <n v="60000"/>
    <n v="60000"/>
    <n v="970.85"/>
    <m/>
    <m/>
    <n v="59029.15"/>
    <m/>
    <m/>
    <m/>
    <m/>
    <n v="59029.15"/>
    <m/>
    <n v="46823.320000000007"/>
    <n v="46823.320000000007"/>
    <m/>
    <s v="N"/>
    <m/>
    <n v="60000"/>
    <n v="970.85"/>
    <n v="0"/>
    <n v="0"/>
    <n v="59029.15"/>
    <n v="59029.15"/>
    <n v="0"/>
    <n v="12205.829999999994"/>
    <s v="847.8470220.1.420550.000000.847001.200179"/>
    <n v="59500"/>
    <n v="970.85"/>
    <n v="0"/>
    <n v="0"/>
    <n v="58529.15"/>
    <n v="0"/>
    <n v="0"/>
    <n v="0"/>
    <n v="46823.320000000007"/>
    <n v="970.85"/>
    <n v="-45852.470000000008"/>
  </r>
  <r>
    <x v="2"/>
    <s v="Provost office"/>
    <s v="2 Other Operating Costs"/>
    <n v="8470220"/>
    <s v="KUST - Office of the Provost"/>
    <n v="420570"/>
    <x v="1"/>
    <x v="35"/>
    <n v="492387"/>
    <n v="373637"/>
    <n v="50000"/>
    <n v="0"/>
    <n v="0"/>
    <n v="323637"/>
    <m/>
    <m/>
    <m/>
    <m/>
    <n v="323637"/>
    <m/>
    <n v="167872.52000000002"/>
    <n v="112675.02000000002"/>
    <m/>
    <s v="N"/>
    <m/>
    <n v="373637"/>
    <n v="163796.35"/>
    <n v="0"/>
    <n v="0"/>
    <n v="209840.65"/>
    <n v="209840.65"/>
    <n v="0"/>
    <n v="41968.129999999976"/>
    <s v="847.8470220.1.420570.000000.847001.200179"/>
    <n v="373637"/>
    <n v="163796.35"/>
    <n v="0"/>
    <n v="0"/>
    <n v="209840.65"/>
    <n v="0"/>
    <n v="55197.5"/>
    <n v="0"/>
    <n v="112675.02000000002"/>
    <n v="218993.85"/>
    <n v="106318.82999999999"/>
  </r>
  <r>
    <x v="2"/>
    <s v="Provost office"/>
    <s v="2 Other Operating Costs"/>
    <n v="8470220"/>
    <s v="KUST - Office of the Provost"/>
    <n v="421700"/>
    <x v="4"/>
    <x v="36"/>
    <n v="375000"/>
    <n v="375000"/>
    <m/>
    <m/>
    <m/>
    <n v="375000"/>
    <m/>
    <m/>
    <m/>
    <m/>
    <n v="375000"/>
    <m/>
    <n v="300000"/>
    <n v="300000"/>
    <m/>
    <s v="N"/>
    <m/>
    <n v="375000"/>
    <n v="0"/>
    <n v="0"/>
    <n v="0"/>
    <n v="375000"/>
    <n v="375000"/>
    <n v="0"/>
    <n v="75000"/>
    <s v="847.8470220.1.421700.000000.847001.200179"/>
    <n v="375000"/>
    <n v="0"/>
    <n v="0"/>
    <n v="0"/>
    <n v="375000"/>
    <n v="0"/>
    <n v="0"/>
    <n v="0"/>
    <n v="300000"/>
    <n v="0"/>
    <n v="-300000"/>
  </r>
  <r>
    <x v="2"/>
    <s v="Provost office"/>
    <s v="2 Other Operating Costs"/>
    <n v="8470220"/>
    <s v="KUST - Office of the Provost"/>
    <n v="425510"/>
    <x v="5"/>
    <x v="37"/>
    <n v="10000"/>
    <n v="23750"/>
    <n v="13750"/>
    <m/>
    <m/>
    <n v="10000"/>
    <m/>
    <m/>
    <m/>
    <m/>
    <n v="10000"/>
    <m/>
    <n v="8000"/>
    <n v="8000"/>
    <m/>
    <s v="N"/>
    <m/>
    <n v="23750"/>
    <n v="13750"/>
    <n v="0"/>
    <n v="0"/>
    <n v="10000"/>
    <n v="10000"/>
    <n v="0"/>
    <n v="2000"/>
    <s v="847.8470220.1.425510.000000.847001.200179"/>
    <n v="23750"/>
    <n v="13750"/>
    <n v="0"/>
    <n v="0"/>
    <n v="10000"/>
    <n v="0"/>
    <n v="0"/>
    <n v="0"/>
    <n v="8000"/>
    <n v="13750"/>
    <n v="5750"/>
  </r>
  <r>
    <x v="2"/>
    <s v="Provost office"/>
    <s v="2 Other Operating Costs"/>
    <n v="8470220"/>
    <s v="KUST - Office of the Provost"/>
    <n v="425550"/>
    <x v="6"/>
    <x v="38"/>
    <n v="25000"/>
    <n v="25000"/>
    <n v="13790"/>
    <m/>
    <m/>
    <n v="11210"/>
    <m/>
    <m/>
    <m/>
    <m/>
    <n v="11210"/>
    <m/>
    <n v="8968"/>
    <n v="8968"/>
    <m/>
    <s v="N"/>
    <m/>
    <n v="25000"/>
    <n v="13790"/>
    <n v="0"/>
    <n v="0"/>
    <n v="11210"/>
    <n v="11210"/>
    <n v="0"/>
    <n v="2242"/>
    <s v="847.8470220.1.425550.000000.847001.200179"/>
    <n v="25000"/>
    <n v="13790"/>
    <n v="0"/>
    <n v="0"/>
    <n v="11210"/>
    <n v="0"/>
    <n v="0"/>
    <n v="0"/>
    <n v="8968"/>
    <n v="13790"/>
    <n v="4822"/>
  </r>
  <r>
    <x v="2"/>
    <s v="Provost office"/>
    <s v="2 Other Operating Costs"/>
    <n v="8470220"/>
    <s v="KUST - Office of the Provost"/>
    <n v="425740"/>
    <x v="23"/>
    <x v="39"/>
    <n v="694710"/>
    <n v="694710"/>
    <m/>
    <m/>
    <m/>
    <n v="694710"/>
    <m/>
    <m/>
    <m/>
    <m/>
    <n v="694710"/>
    <m/>
    <n v="555768"/>
    <n v="555768"/>
    <m/>
    <s v="N"/>
    <m/>
    <n v="694710"/>
    <n v="0"/>
    <n v="0"/>
    <n v="0"/>
    <n v="694710"/>
    <n v="694710"/>
    <n v="0"/>
    <n v="138942"/>
    <s v="847.8470220.1.425740.000000.847001.200179"/>
    <n v="694710"/>
    <n v="0"/>
    <n v="0"/>
    <n v="0"/>
    <n v="694710"/>
    <n v="0"/>
    <n v="0"/>
    <n v="0"/>
    <n v="555768"/>
    <n v="0"/>
    <n v="-555768"/>
  </r>
  <r>
    <x v="2"/>
    <s v="Provost office"/>
    <s v="2 Other Operating Costs"/>
    <n v="8470220"/>
    <s v="KUST - Office of the Provost"/>
    <n v="425900"/>
    <x v="7"/>
    <x v="40"/>
    <n v="12000"/>
    <n v="17000"/>
    <n v="16314.6"/>
    <m/>
    <m/>
    <n v="685.39999999999964"/>
    <m/>
    <m/>
    <m/>
    <m/>
    <n v="685.39999999999964"/>
    <m/>
    <n v="515.52000000000078"/>
    <n v="28.520000000000778"/>
    <m/>
    <s v="N"/>
    <m/>
    <n v="17287"/>
    <n v="16855.599999999999"/>
    <n v="0"/>
    <n v="0"/>
    <n v="431.40000000000146"/>
    <n v="431.400000000001"/>
    <n v="4.5474735088646412E-13"/>
    <n v="-84.119999999999322"/>
    <s v="847.8470220.1.425900.000000.847001.200179"/>
    <n v="17787"/>
    <n v="17142.599999999999"/>
    <n v="0"/>
    <n v="0"/>
    <n v="644.400000000001"/>
    <n v="487"/>
    <n v="0"/>
    <n v="0"/>
    <n v="28.520000000000778"/>
    <n v="17342.599999999999"/>
    <n v="17601.079999999998"/>
  </r>
  <r>
    <x v="2"/>
    <s v="Provost office"/>
    <s v="2 Other Operating Costs"/>
    <n v="8470220"/>
    <s v="KUST - Office of the Provost"/>
    <n v="426610"/>
    <x v="8"/>
    <x v="41"/>
    <n v="50000"/>
    <n v="50000"/>
    <m/>
    <m/>
    <m/>
    <n v="50000"/>
    <m/>
    <m/>
    <m/>
    <m/>
    <n v="50000"/>
    <m/>
    <n v="40000"/>
    <n v="40000"/>
    <m/>
    <s v="N"/>
    <m/>
    <n v="50000"/>
    <n v="0"/>
    <n v="0"/>
    <n v="0"/>
    <n v="50000"/>
    <n v="50000"/>
    <n v="0"/>
    <n v="10000"/>
    <s v="847.8470220.1.426610.000000.847001.200179"/>
    <n v="50000"/>
    <n v="0"/>
    <n v="0"/>
    <n v="0"/>
    <n v="50000"/>
    <n v="0"/>
    <n v="0"/>
    <n v="0"/>
    <n v="40000"/>
    <n v="0"/>
    <n v="-40000"/>
  </r>
  <r>
    <x v="2"/>
    <s v="Provost office"/>
    <s v="2 Other Operating Costs"/>
    <n v="8470220"/>
    <s v="KUST - Office of the Provost"/>
    <n v="428090"/>
    <x v="9"/>
    <x v="42"/>
    <n v="65500"/>
    <n v="45092"/>
    <n v="33100"/>
    <m/>
    <m/>
    <n v="11992"/>
    <m/>
    <m/>
    <m/>
    <m/>
    <n v="11992"/>
    <m/>
    <n v="9593.6"/>
    <n v="9593.6"/>
    <m/>
    <s v="N"/>
    <m/>
    <n v="45092"/>
    <n v="33100"/>
    <n v="0"/>
    <n v="0"/>
    <n v="11992"/>
    <n v="11992"/>
    <n v="0"/>
    <n v="2398.3999999999996"/>
    <s v="847.8470220.1.428090.000000.847001.200179"/>
    <n v="45092"/>
    <n v="33100"/>
    <n v="0"/>
    <n v="0"/>
    <n v="11992"/>
    <n v="0"/>
    <n v="0"/>
    <n v="0"/>
    <n v="9593.6"/>
    <n v="33100"/>
    <n v="23506.400000000001"/>
  </r>
  <r>
    <x v="2"/>
    <s v="Provost office"/>
    <s v="2 Other Operating Costs"/>
    <n v="8470220"/>
    <s v="KUST - Office of the Provost"/>
    <n v="428640"/>
    <x v="11"/>
    <x v="43"/>
    <n v="20000"/>
    <n v="13262"/>
    <n v="6320"/>
    <n v="0"/>
    <n v="0"/>
    <n v="6942"/>
    <m/>
    <m/>
    <m/>
    <m/>
    <n v="6942"/>
    <m/>
    <n v="5553.6"/>
    <n v="5553.6"/>
    <m/>
    <s v="N"/>
    <m/>
    <n v="13262"/>
    <n v="6320"/>
    <n v="0"/>
    <n v="0"/>
    <n v="6942"/>
    <n v="6942"/>
    <n v="0"/>
    <n v="1388.3999999999996"/>
    <s v="847.8470220.1.428640.000000.847001.200179"/>
    <n v="13262"/>
    <n v="6320"/>
    <n v="0"/>
    <n v="0"/>
    <n v="6942"/>
    <n v="0"/>
    <n v="0"/>
    <n v="0"/>
    <n v="5553.6"/>
    <n v="6320"/>
    <n v="766.39999999999964"/>
  </r>
  <r>
    <x v="2"/>
    <s v="Provost office"/>
    <s v="2 Other Operating Costs"/>
    <n v="8470220"/>
    <s v="KUST - Office of the Provost"/>
    <n v="432205"/>
    <x v="24"/>
    <x v="44"/>
    <n v="10000"/>
    <n v="10000"/>
    <n v="1813"/>
    <m/>
    <m/>
    <n v="8187"/>
    <m/>
    <m/>
    <m/>
    <m/>
    <n v="8187"/>
    <m/>
    <n v="4281.6000000000004"/>
    <n v="4281.6000000000004"/>
    <m/>
    <s v="N"/>
    <m/>
    <n v="10000"/>
    <n v="1813"/>
    <n v="0"/>
    <n v="0"/>
    <n v="8187"/>
    <n v="8187"/>
    <n v="0"/>
    <n v="3905.3999999999996"/>
    <s v="847.8470220.1.432205.000000.847001.200179"/>
    <n v="10000"/>
    <n v="4648"/>
    <n v="0"/>
    <n v="0"/>
    <n v="5352"/>
    <n v="0"/>
    <n v="0"/>
    <n v="0"/>
    <n v="4281.6000000000004"/>
    <n v="1813"/>
    <n v="366.39999999999964"/>
  </r>
  <r>
    <x v="3"/>
    <s v="Academic &amp; student service office"/>
    <s v="2 Other Operating Costs"/>
    <n v="8470230"/>
    <s v="KUST - Graduate Studies"/>
    <n v="420550"/>
    <x v="0"/>
    <x v="45"/>
    <n v="1020620"/>
    <n v="1020620"/>
    <n v="33110"/>
    <m/>
    <m/>
    <n v="987510"/>
    <n v="197502"/>
    <n v="296253"/>
    <n v="493755"/>
    <s v="The amount will be used to cover external examiners expenses for PhD students which include airline tickets (economy/business), visa, insurance, accommodation and meals.  Remaining amount can be transferred to students' stipend"/>
    <n v="0"/>
    <m/>
    <n v="0"/>
    <n v="0"/>
    <m/>
    <s v="Y"/>
    <m/>
    <n v="1020620"/>
    <n v="33110"/>
    <n v="0"/>
    <n v="0"/>
    <n v="987510"/>
    <n v="987510"/>
    <n v="0"/>
    <n v="987510"/>
    <s v="847.8470230.1.420550.000000.847001.200179"/>
    <n v="1020620"/>
    <n v="33110"/>
    <n v="0"/>
    <n v="0"/>
    <n v="987510"/>
    <n v="0"/>
    <n v="0"/>
    <n v="0"/>
    <n v="0"/>
    <n v="526865"/>
    <n v="526865"/>
  </r>
  <r>
    <x v="3"/>
    <s v="Academic &amp; student service office"/>
    <s v="2 Other Operating Costs"/>
    <n v="8470230"/>
    <s v="KUST - Graduate Studies"/>
    <n v="425100"/>
    <x v="14"/>
    <x v="46"/>
    <n v="300000"/>
    <n v="300000"/>
    <m/>
    <m/>
    <m/>
    <n v="300000"/>
    <n v="0"/>
    <n v="0"/>
    <n v="300000"/>
    <s v="There will be a deficient of student's stipend.  The amount can be transferred to cover part of it."/>
    <n v="0"/>
    <m/>
    <n v="0"/>
    <n v="0"/>
    <m/>
    <s v="Y"/>
    <m/>
    <n v="300000"/>
    <n v="0"/>
    <n v="0"/>
    <n v="0"/>
    <n v="300000"/>
    <n v="300000"/>
    <n v="0"/>
    <n v="300000"/>
    <s v="847.8470230.1.425100.000000.847001.200179"/>
    <n v="300000"/>
    <n v="0"/>
    <n v="0"/>
    <n v="0"/>
    <n v="300000"/>
    <n v="0"/>
    <n v="0"/>
    <n v="0"/>
    <n v="0"/>
    <n v="300000"/>
    <n v="300000"/>
  </r>
  <r>
    <x v="3"/>
    <s v="Academic &amp; student service office"/>
    <s v="2 Other Operating Costs"/>
    <n v="8470230"/>
    <s v="KUST - Graduate Studies"/>
    <n v="425510"/>
    <x v="5"/>
    <x v="47"/>
    <n v="34000"/>
    <n v="34000"/>
    <n v="9463"/>
    <m/>
    <m/>
    <n v="24537"/>
    <n v="7361.0999999999995"/>
    <n v="7361.0999999999995"/>
    <n v="9814.8000000000011"/>
    <s v="Will be used to cover the expenses of students attending local conferences and events.  Remaining amount can be transferred to students' stipend"/>
    <n v="0"/>
    <m/>
    <n v="0"/>
    <n v="-20513.78"/>
    <m/>
    <s v="Y"/>
    <m/>
    <n v="34000"/>
    <n v="9463"/>
    <n v="0"/>
    <n v="0"/>
    <n v="24537"/>
    <n v="24537"/>
    <n v="0"/>
    <n v="24537"/>
    <s v="847.8470230.1.425510.000000.847001.200179"/>
    <n v="34000"/>
    <n v="9463"/>
    <n v="0"/>
    <n v="0"/>
    <n v="24537"/>
    <n v="0"/>
    <n v="0"/>
    <n v="20513.78"/>
    <n v="-20513.78"/>
    <n v="39791.58"/>
    <n v="60305.36"/>
  </r>
  <r>
    <x v="3"/>
    <s v="Academic &amp; student service office"/>
    <s v="2 Other Operating Costs"/>
    <n v="8470230"/>
    <s v="KUST - Graduate Studies"/>
    <n v="425550"/>
    <x v="6"/>
    <x v="48"/>
    <n v="222000"/>
    <n v="222000"/>
    <n v="122474.17"/>
    <m/>
    <m/>
    <n v="99525.83"/>
    <n v="29857.749"/>
    <n v="29857.749"/>
    <n v="39810.332000000002"/>
    <s v="Will be used to cover the expenses of students attending International conferences and events. Remaining amount can be transferred to students' stipend"/>
    <n v="0"/>
    <m/>
    <n v="0"/>
    <n v="-55888.869999999995"/>
    <m/>
    <s v="Y"/>
    <m/>
    <n v="222000"/>
    <n v="164563.12"/>
    <n v="0"/>
    <n v="0"/>
    <n v="57436.880000000005"/>
    <n v="57436.88"/>
    <n v="0"/>
    <n v="57436.880000000005"/>
    <s v="847.8470230.1.425550.000000.847001.200179"/>
    <n v="222000"/>
    <n v="180813.12"/>
    <n v="0"/>
    <n v="0"/>
    <n v="41186.879999999997"/>
    <n v="5835.6299999999992"/>
    <n v="0"/>
    <n v="50053.24"/>
    <n v="-55888.869999999995"/>
    <n v="260262.32199999999"/>
    <n v="332401.19199999998"/>
  </r>
  <r>
    <x v="3"/>
    <s v="Academic &amp; student service office"/>
    <s v="2 Other Operating Costs"/>
    <n v="8470230"/>
    <s v="KUST - Graduate Studies"/>
    <n v="425743"/>
    <x v="25"/>
    <x v="49"/>
    <n v="240000"/>
    <n v="240000"/>
    <n v="240000"/>
    <m/>
    <m/>
    <n v="0"/>
    <m/>
    <m/>
    <m/>
    <m/>
    <n v="0"/>
    <m/>
    <n v="0"/>
    <n v="0"/>
    <m/>
    <s v="Y"/>
    <m/>
    <n v="240000"/>
    <n v="240000"/>
    <n v="0"/>
    <n v="0"/>
    <n v="0"/>
    <n v="0"/>
    <n v="0"/>
    <n v="0"/>
    <s v="847.8470230.1.425743.000000.847001.200179"/>
    <n v="240000"/>
    <n v="240000"/>
    <n v="0"/>
    <n v="0"/>
    <n v="0"/>
    <n v="0"/>
    <n v="0"/>
    <n v="0"/>
    <n v="0"/>
    <n v="240000"/>
    <n v="240000"/>
  </r>
  <r>
    <x v="3"/>
    <s v="Academic &amp; student service office"/>
    <s v="2 Other Operating Costs"/>
    <n v="8470230"/>
    <s v="KUST - Graduate Studies"/>
    <n v="425744"/>
    <x v="26"/>
    <x v="50"/>
    <n v="4816800"/>
    <n v="4716106"/>
    <n v="2899455.57"/>
    <m/>
    <m/>
    <n v="1816650.4300000002"/>
    <n v="363330.08600000001"/>
    <n v="908325.21499999997"/>
    <n v="544995.12899999996"/>
    <s v="Will be used to pay students medical insurance.  The payment will be made mainly in Fall 2022 semester and for students whom visas are expired and need to be renewed. Remaining amount can be transferred to students' stipend"/>
    <n v="0"/>
    <m/>
    <n v="0"/>
    <n v="0"/>
    <m/>
    <s v="Y"/>
    <m/>
    <n v="4716106"/>
    <n v="2899455.57"/>
    <n v="0"/>
    <n v="0"/>
    <n v="1816650.4300000002"/>
    <n v="1816650.43"/>
    <n v="0"/>
    <n v="1816650.4300000002"/>
    <s v="847.8470230.1.425744.000000.847001.200179"/>
    <n v="4716106"/>
    <n v="2899455.57"/>
    <n v="0"/>
    <n v="0"/>
    <n v="1816650.43"/>
    <n v="0"/>
    <n v="0"/>
    <n v="0"/>
    <n v="0"/>
    <n v="3444450.699"/>
    <n v="3444450.699"/>
  </r>
  <r>
    <x v="3"/>
    <s v="Academic &amp; student service office"/>
    <s v="2 Other Operating Costs"/>
    <n v="8470230"/>
    <s v="KUST - Graduate Studies"/>
    <n v="425745"/>
    <x v="27"/>
    <x v="51"/>
    <n v="1971263"/>
    <n v="1971263"/>
    <n v="933228.17"/>
    <m/>
    <m/>
    <n v="1038034.83"/>
    <n v="226281.95200000002"/>
    <n v="339422.92800000001"/>
    <n v="472331"/>
    <s v="The amount will be used for mobilization (Spring 2023) and demobilization of students (who graduated in Spring 2022 and Summer 2022), as well as annual travel allowance payments in November.  Remaining amount can be transferred to students' stipend"/>
    <n v="-1.0500000001047738"/>
    <m/>
    <n v="-1.0500000001047738"/>
    <n v="-1.0500000001047738"/>
    <m/>
    <s v="Y"/>
    <m/>
    <n v="1971263"/>
    <n v="1122445.5"/>
    <n v="0"/>
    <n v="0"/>
    <n v="848817.5"/>
    <n v="848817.49999999895"/>
    <n v="1.0477378964424133E-9"/>
    <n v="848818.55"/>
    <s v="847.8470230.1.425745.000000.847001.200179"/>
    <n v="1971263"/>
    <n v="1741016.35"/>
    <n v="0"/>
    <n v="0"/>
    <n v="230246.649999999"/>
    <n v="0"/>
    <n v="0"/>
    <n v="0"/>
    <n v="-1.0500000001047738"/>
    <n v="1594776.5"/>
    <n v="2213348.4000000004"/>
  </r>
  <r>
    <x v="3"/>
    <s v="Academic &amp; student service office"/>
    <s v="2 Other Operating Costs"/>
    <n v="8470230"/>
    <s v="KUST - Graduate Studies"/>
    <n v="425749"/>
    <x v="28"/>
    <x v="52"/>
    <n v="110824684"/>
    <n v="110824684"/>
    <n v="81132195.440000102"/>
    <m/>
    <m/>
    <n v="29692488.559999898"/>
    <n v="13954529.623199953"/>
    <n v="11876195.423999961"/>
    <n v="11500000"/>
    <s v="Almost 75% of funds is already consumed during Q1 and Q2 and Q3 to pay student stipends.  Many new students are added recently to the payroll and will be paid from 28 August.  There will be a shortage of stipend that needs to be covered from other GSO accounts."/>
    <n v="-700000"/>
    <s v="Postgraduate Student Salaries for the Dec-22 P/r"/>
    <m/>
    <n v="0"/>
    <n v="700000"/>
    <s v="Y"/>
    <m/>
    <n v="117580684"/>
    <n v="95323813.510000095"/>
    <n v="0"/>
    <n v="0"/>
    <n v="10800000"/>
    <n v="22256870.489999902"/>
    <n v="0"/>
    <n v="10800000"/>
    <s v="847.8470230.1.425749.000000.847001.200179"/>
    <n v="117580684"/>
    <n v="106778498.65000001"/>
    <n v="0"/>
    <n v="0"/>
    <n v="10802185.349999901"/>
    <n v="0"/>
    <n v="0"/>
    <n v="0"/>
    <n v="0"/>
    <n v="106823813.51000009"/>
    <n v="118978498.65000001"/>
  </r>
  <r>
    <x v="3"/>
    <s v="Academic &amp; student service office"/>
    <s v="2 Other Operating Costs"/>
    <n v="8470230"/>
    <s v="KUST - Graduate Studies"/>
    <n v="425761"/>
    <x v="29"/>
    <x v="53"/>
    <n v="150000"/>
    <n v="150000"/>
    <m/>
    <m/>
    <m/>
    <n v="150000"/>
    <n v="30000"/>
    <n v="45000"/>
    <n v="75000"/>
    <s v="To cover field trips for graduate students.  Remaining amount can be transferred to students' stipend"/>
    <n v="0"/>
    <m/>
    <n v="0"/>
    <n v="0"/>
    <m/>
    <s v="Y"/>
    <m/>
    <n v="150000"/>
    <n v="0"/>
    <n v="0"/>
    <n v="0"/>
    <n v="150000"/>
    <n v="150000"/>
    <n v="0"/>
    <n v="150000"/>
    <s v="847.8470230.1.425761.000000.847001.200179"/>
    <n v="150000"/>
    <n v="0"/>
    <n v="0"/>
    <n v="0"/>
    <n v="150000"/>
    <n v="0"/>
    <n v="0"/>
    <n v="0"/>
    <n v="0"/>
    <n v="75000"/>
    <n v="75000"/>
  </r>
  <r>
    <x v="3"/>
    <s v="Academic &amp; student service office"/>
    <s v="2 Other Operating Costs"/>
    <n v="8470230"/>
    <s v="KUST - Graduate Studies"/>
    <n v="425762"/>
    <x v="30"/>
    <x v="54"/>
    <n v="150000"/>
    <n v="150000"/>
    <n v="56629.1"/>
    <m/>
    <m/>
    <n v="93370.9"/>
    <n v="46685.45"/>
    <n v="28011.269999999997"/>
    <n v="18674.18"/>
    <s v="Will be used to cover the expenses of student internships. The internship program was launched recently and many students already applied for internship programs.  Remaining amount can be transferred to students' stipend"/>
    <n v="0"/>
    <m/>
    <n v="0"/>
    <n v="-5230"/>
    <m/>
    <s v="Y"/>
    <m/>
    <n v="150000"/>
    <n v="63860.57"/>
    <n v="0"/>
    <n v="0"/>
    <n v="86139.43"/>
    <n v="86139.43"/>
    <n v="0"/>
    <n v="86139.43"/>
    <s v="847.8470230.1.425762.000000.847001.200179"/>
    <n v="150000"/>
    <n v="63860.57"/>
    <n v="0"/>
    <n v="0"/>
    <n v="86139.43"/>
    <n v="0"/>
    <n v="0"/>
    <n v="5230"/>
    <n v="-5230"/>
    <n v="87764.75"/>
    <n v="92994.75"/>
  </r>
  <r>
    <x v="3"/>
    <s v="Academic &amp; student service office"/>
    <s v="2 Other Operating Costs"/>
    <n v="8470230"/>
    <s v="KUST - Graduate Studies"/>
    <n v="425900"/>
    <x v="7"/>
    <x v="55"/>
    <n v="45648"/>
    <n v="45648"/>
    <n v="236.25"/>
    <m/>
    <m/>
    <n v="45411.75"/>
    <n v="9082.35"/>
    <n v="13623.525"/>
    <n v="22705.875"/>
    <s v="Some social events will take place duirng Fall 2022. The amount will be used to cover the expenses of these events."/>
    <n v="0"/>
    <m/>
    <n v="0"/>
    <n v="0"/>
    <m/>
    <s v="Y"/>
    <m/>
    <n v="45648"/>
    <n v="1236.25"/>
    <n v="0"/>
    <n v="0"/>
    <n v="44411.75"/>
    <n v="44411.75"/>
    <n v="0"/>
    <n v="44411.75"/>
    <s v="847.8470230.1.425900.000000.847001.200179"/>
    <n v="45648"/>
    <n v="1236.25"/>
    <n v="0"/>
    <n v="0"/>
    <n v="44411.75"/>
    <n v="0"/>
    <n v="0"/>
    <n v="0"/>
    <n v="0"/>
    <n v="23942.125"/>
    <n v="23942.125"/>
  </r>
  <r>
    <x v="3"/>
    <s v="Academic &amp; student service office"/>
    <s v="2 Other Operating Costs"/>
    <n v="8470230"/>
    <s v="KUST - Graduate Studies"/>
    <n v="426610"/>
    <x v="8"/>
    <x v="56"/>
    <n v="10000"/>
    <n v="10000"/>
    <m/>
    <m/>
    <m/>
    <n v="10000"/>
    <n v="0"/>
    <n v="0"/>
    <n v="10000"/>
    <s v="For S/W licenses renewal. Remaining amount can be transferred to students' stipend"/>
    <n v="0"/>
    <m/>
    <n v="0"/>
    <n v="0"/>
    <m/>
    <s v="Y"/>
    <m/>
    <n v="10000"/>
    <n v="0"/>
    <n v="0"/>
    <n v="0"/>
    <n v="10000"/>
    <n v="10000"/>
    <n v="0"/>
    <n v="10000"/>
    <s v="847.8470230.1.426610.000000.847001.200179"/>
    <n v="10000"/>
    <n v="0"/>
    <n v="0"/>
    <n v="0"/>
    <n v="10000"/>
    <n v="0"/>
    <n v="0"/>
    <n v="0"/>
    <n v="0"/>
    <n v="10000"/>
    <n v="10000"/>
  </r>
  <r>
    <x v="3"/>
    <s v="Academic &amp; student service office"/>
    <s v="2 Other Operating Costs"/>
    <n v="8470230"/>
    <s v="KUST - Graduate Studies"/>
    <n v="428090"/>
    <x v="9"/>
    <x v="57"/>
    <n v="97000"/>
    <n v="26429"/>
    <m/>
    <m/>
    <m/>
    <n v="26429"/>
    <n v="0"/>
    <n v="21143.200000000001"/>
    <n v="5285.8"/>
    <s v="Will be used to cover expenses related to events either locally or internationally."/>
    <n v="0"/>
    <m/>
    <n v="0"/>
    <n v="0"/>
    <m/>
    <s v="Y"/>
    <m/>
    <n v="26429"/>
    <n v="0"/>
    <n v="0"/>
    <n v="0"/>
    <n v="26429"/>
    <n v="26429"/>
    <n v="0"/>
    <n v="26429"/>
    <s v="847.8470230.1.428090.000000.847001.200179"/>
    <n v="26429"/>
    <n v="0"/>
    <n v="0"/>
    <n v="0"/>
    <n v="26429"/>
    <n v="0"/>
    <n v="0"/>
    <n v="0"/>
    <n v="0"/>
    <n v="5285.8"/>
    <n v="5285.8"/>
  </r>
  <r>
    <x v="3"/>
    <s v="Academic &amp; student service office"/>
    <s v="2 Other Operating Costs"/>
    <n v="8470230"/>
    <s v="KUST - Graduate Studies"/>
    <n v="428640"/>
    <x v="11"/>
    <x v="58"/>
    <n v="80000"/>
    <n v="40596"/>
    <m/>
    <m/>
    <m/>
    <n v="40596"/>
    <n v="0"/>
    <n v="16238.400000000001"/>
    <n v="24357.599999999999"/>
    <s v="Will be used for some initiatives related to graduate student recruitment, prizes for best thesis award, gifts for external examiners visiting KU in person."/>
    <n v="0"/>
    <m/>
    <n v="0"/>
    <n v="0"/>
    <m/>
    <s v="Y"/>
    <m/>
    <n v="40596"/>
    <n v="0"/>
    <n v="0"/>
    <n v="0"/>
    <n v="40596"/>
    <n v="40596"/>
    <n v="0"/>
    <n v="40596"/>
    <s v="847.8470230.1.428640.000000.847001.200179"/>
    <n v="40596"/>
    <n v="0"/>
    <n v="0"/>
    <n v="0"/>
    <n v="40596"/>
    <n v="0"/>
    <n v="0"/>
    <n v="0"/>
    <n v="0"/>
    <n v="24357.599999999999"/>
    <n v="24357.599999999999"/>
  </r>
  <r>
    <x v="3"/>
    <s v="Academic &amp; student service office"/>
    <s v="2 Other Operating Costs"/>
    <n v="8470230"/>
    <s v="KUST - Graduate Studies"/>
    <n v="436110"/>
    <x v="31"/>
    <x v="59"/>
    <n v="5000"/>
    <n v="5000"/>
    <m/>
    <m/>
    <m/>
    <n v="5000"/>
    <n v="0"/>
    <n v="2500"/>
    <n v="2500"/>
    <s v="Will be used for Graduate Catalog Printing.  Remaining amount can be transferred to students' stipend"/>
    <n v="0"/>
    <m/>
    <n v="0"/>
    <n v="0"/>
    <m/>
    <s v="Y"/>
    <m/>
    <n v="5000"/>
    <n v="0"/>
    <n v="0"/>
    <n v="0"/>
    <n v="5000"/>
    <n v="5000"/>
    <n v="0"/>
    <n v="5000"/>
    <s v="847.8470230.1.436110.000000.847001.200179"/>
    <n v="5000"/>
    <n v="0"/>
    <n v="0"/>
    <n v="0"/>
    <n v="5000"/>
    <n v="0"/>
    <n v="0"/>
    <n v="0"/>
    <n v="0"/>
    <n v="2500"/>
    <n v="2500"/>
  </r>
  <r>
    <x v="4"/>
    <s v="College of engineering"/>
    <s v="2 Other Operating Costs"/>
    <n v="8470305"/>
    <s v="KUST - Dean Of Engineering"/>
    <n v="420550"/>
    <x v="0"/>
    <x v="60"/>
    <n v="10000"/>
    <n v="100000"/>
    <n v="92165.34"/>
    <m/>
    <m/>
    <n v="7834.6600000000035"/>
    <m/>
    <m/>
    <m/>
    <m/>
    <n v="7834.6600000000035"/>
    <m/>
    <n v="5092.3679999999922"/>
    <n v="-27247.632000000009"/>
    <m/>
    <s v="N"/>
    <m/>
    <n v="100000"/>
    <n v="92165.34"/>
    <n v="0"/>
    <n v="0"/>
    <n v="7834.6600000000035"/>
    <n v="7834.66"/>
    <n v="0"/>
    <n v="2742.2920000000113"/>
    <s v="847.8470305.1.420550.000000.847001.200179"/>
    <n v="100000"/>
    <n v="93634.54"/>
    <n v="0"/>
    <n v="0"/>
    <n v="6365.45999999999"/>
    <n v="0"/>
    <n v="32340"/>
    <n v="0"/>
    <n v="-27247.632000000009"/>
    <n v="124505.34"/>
    <n v="153222.17199999999"/>
  </r>
  <r>
    <x v="4"/>
    <s v="College of engineering"/>
    <s v="2 Other Operating Costs"/>
    <n v="8470305"/>
    <s v="KUST - Dean Of Engineering"/>
    <n v="420570"/>
    <x v="1"/>
    <x v="61"/>
    <n v="10000"/>
    <n v="10000"/>
    <m/>
    <m/>
    <m/>
    <n v="10000"/>
    <m/>
    <m/>
    <m/>
    <m/>
    <n v="10000"/>
    <m/>
    <n v="8000"/>
    <n v="8000"/>
    <m/>
    <s v="N"/>
    <m/>
    <n v="10000"/>
    <n v="0"/>
    <n v="0"/>
    <n v="0"/>
    <n v="10000"/>
    <n v="10000"/>
    <n v="0"/>
    <n v="2000"/>
    <s v="847.8470305.1.420570.000000.847001.200179"/>
    <n v="10000"/>
    <n v="0"/>
    <n v="0"/>
    <n v="0"/>
    <n v="10000"/>
    <n v="0"/>
    <n v="0"/>
    <n v="0"/>
    <n v="8000"/>
    <n v="0"/>
    <n v="-8000"/>
  </r>
  <r>
    <x v="4"/>
    <s v="College of engineering"/>
    <s v="2 Other Operating Costs"/>
    <n v="8470305"/>
    <s v="KUST - Dean Of Engineering"/>
    <n v="421700"/>
    <x v="4"/>
    <x v="62"/>
    <n v="506004"/>
    <n v="506004"/>
    <n v="85210"/>
    <m/>
    <m/>
    <n v="420794"/>
    <m/>
    <m/>
    <m/>
    <m/>
    <n v="420794"/>
    <m/>
    <n v="290346.88"/>
    <n v="123226.88"/>
    <m/>
    <s v="N"/>
    <m/>
    <n v="506004"/>
    <n v="139920.4"/>
    <n v="0"/>
    <n v="0"/>
    <n v="366083.6"/>
    <n v="366083.6"/>
    <n v="0"/>
    <n v="75736.719999999972"/>
    <s v="847.8470305.1.421700.000000.847001.200179"/>
    <n v="506004"/>
    <n v="143070.39999999999"/>
    <n v="0"/>
    <n v="0"/>
    <n v="362933.6"/>
    <n v="0"/>
    <n v="167120"/>
    <n v="0"/>
    <n v="123226.88"/>
    <n v="307040.40000000002"/>
    <n v="186963.52000000002"/>
  </r>
  <r>
    <x v="4"/>
    <s v="College of engineering"/>
    <s v="2 Other Operating Costs"/>
    <n v="8470305"/>
    <s v="KUST - Dean Of Engineering"/>
    <n v="425510"/>
    <x v="5"/>
    <x v="63"/>
    <n v="20000"/>
    <n v="20000"/>
    <n v="5286"/>
    <m/>
    <m/>
    <n v="14714"/>
    <m/>
    <m/>
    <m/>
    <m/>
    <n v="14714"/>
    <m/>
    <n v="5908.2000000000007"/>
    <n v="5908.2000000000007"/>
    <m/>
    <s v="N"/>
    <m/>
    <n v="20000"/>
    <n v="7286"/>
    <n v="0"/>
    <n v="0"/>
    <n v="12714"/>
    <n v="12714"/>
    <n v="0"/>
    <n v="6805.7999999999993"/>
    <s v="847.8470305.1.425510.000000.847001.200179"/>
    <n v="20000"/>
    <n v="12614.75"/>
    <n v="0"/>
    <n v="0"/>
    <n v="7385.25"/>
    <n v="0"/>
    <n v="0"/>
    <n v="0"/>
    <n v="5908.2000000000007"/>
    <n v="7286"/>
    <n v="6706.5499999999993"/>
  </r>
  <r>
    <x v="4"/>
    <s v="College of engineering"/>
    <s v="2 Other Operating Costs"/>
    <n v="8470305"/>
    <s v="KUST - Dean Of Engineering"/>
    <n v="425763"/>
    <x v="15"/>
    <x v="64"/>
    <n v="100000"/>
    <n v="170000"/>
    <n v="14243.54"/>
    <n v="112260.3"/>
    <m/>
    <n v="43496.159999999989"/>
    <m/>
    <m/>
    <m/>
    <m/>
    <n v="43496.159999999989"/>
    <m/>
    <n v="4396.9279999999999"/>
    <n v="4396.9279999999999"/>
    <m/>
    <s v="N"/>
    <m/>
    <n v="170000"/>
    <n v="52243.54"/>
    <n v="112260.3"/>
    <n v="0"/>
    <n v="5496.1599999999889"/>
    <n v="5496.16"/>
    <n v="-1.0913936421275139E-11"/>
    <n v="1099.2319999999891"/>
    <s v="847.8470305.1.425763.000000.847001.200179"/>
    <n v="170000"/>
    <n v="52243.54"/>
    <n v="112260.3"/>
    <n v="0"/>
    <n v="5496.16"/>
    <n v="0"/>
    <n v="0"/>
    <n v="0"/>
    <n v="4396.9279999999999"/>
    <n v="164503.84"/>
    <n v="160106.91200000001"/>
  </r>
  <r>
    <x v="4"/>
    <s v="College of engineering"/>
    <s v="2 Other Operating Costs"/>
    <n v="8470305"/>
    <s v="KUST - Dean Of Engineering"/>
    <n v="425770"/>
    <x v="20"/>
    <x v="65"/>
    <n v="704499"/>
    <n v="579499"/>
    <n v="109975.62"/>
    <m/>
    <m/>
    <n v="469523.38"/>
    <m/>
    <m/>
    <m/>
    <m/>
    <n v="469523.38"/>
    <m/>
    <n v="338731.50400000002"/>
    <n v="338731.50400000002"/>
    <m/>
    <s v="N"/>
    <m/>
    <n v="544999"/>
    <n v="114434.62"/>
    <n v="0"/>
    <n v="0"/>
    <n v="430564.38"/>
    <n v="430564.38"/>
    <n v="0"/>
    <n v="91832.875999999989"/>
    <s v="847.8470305.1.425770.000000.847001.200179"/>
    <n v="544999"/>
    <n v="121584.62"/>
    <n v="0"/>
    <n v="0"/>
    <n v="423414.38"/>
    <n v="0"/>
    <n v="0"/>
    <n v="0"/>
    <n v="338731.50400000002"/>
    <n v="114434.62"/>
    <n v="-217146.88400000002"/>
  </r>
  <r>
    <x v="4"/>
    <s v="College of engineering"/>
    <s v="2 Other Operating Costs"/>
    <n v="8470305"/>
    <s v="KUST - Dean Of Engineering"/>
    <n v="425900"/>
    <x v="7"/>
    <x v="66"/>
    <n v="18000"/>
    <n v="18000"/>
    <n v="9738.75"/>
    <m/>
    <m/>
    <n v="8261.25"/>
    <m/>
    <m/>
    <m/>
    <m/>
    <n v="8261.25"/>
    <m/>
    <n v="4416.6000000000004"/>
    <n v="4416.6000000000004"/>
    <m/>
    <s v="N"/>
    <m/>
    <n v="18000"/>
    <n v="9738.75"/>
    <n v="0"/>
    <n v="0"/>
    <n v="8261.25"/>
    <n v="8261.25"/>
    <n v="0"/>
    <n v="3844.6499999999996"/>
    <s v="847.8470305.1.425900.000000.847001.200179"/>
    <n v="18000"/>
    <n v="9738.75"/>
    <n v="0"/>
    <n v="0"/>
    <n v="5520.75"/>
    <n v="0"/>
    <n v="0"/>
    <n v="0"/>
    <n v="4416.6000000000004"/>
    <n v="9738.75"/>
    <n v="5322.15"/>
  </r>
  <r>
    <x v="4"/>
    <s v="College of engineering"/>
    <s v="2 Other Operating Costs"/>
    <n v="8470305"/>
    <s v="KUST - Dean Of Engineering"/>
    <n v="426610"/>
    <x v="8"/>
    <x v="67"/>
    <n v="100000"/>
    <n v="100000"/>
    <n v="46943.25"/>
    <n v="0"/>
    <n v="0"/>
    <n v="53056.75"/>
    <m/>
    <m/>
    <m/>
    <m/>
    <n v="53056.75"/>
    <m/>
    <n v="42445.4"/>
    <n v="42445.4"/>
    <m/>
    <s v="N"/>
    <m/>
    <n v="100000"/>
    <n v="46943.25"/>
    <n v="0"/>
    <n v="0"/>
    <n v="53056.75"/>
    <n v="53056.75"/>
    <n v="0"/>
    <n v="10611.349999999999"/>
    <s v="847.8470305.1.426610.000000.847001.200179"/>
    <n v="100000"/>
    <n v="46943.25"/>
    <n v="0"/>
    <n v="0"/>
    <n v="53056.75"/>
    <n v="0"/>
    <n v="0"/>
    <n v="0"/>
    <n v="42445.4"/>
    <n v="46943.25"/>
    <n v="4497.8499999999985"/>
  </r>
  <r>
    <x v="4"/>
    <s v="College of engineering"/>
    <s v="2 Other Operating Costs"/>
    <n v="8470305"/>
    <s v="KUST - Dean Of Engineering"/>
    <n v="428090"/>
    <x v="9"/>
    <x v="68"/>
    <n v="35000"/>
    <n v="25464"/>
    <m/>
    <m/>
    <m/>
    <n v="25464"/>
    <m/>
    <m/>
    <m/>
    <m/>
    <n v="25464"/>
    <m/>
    <n v="20371.2"/>
    <n v="20371.2"/>
    <m/>
    <s v="N"/>
    <m/>
    <n v="25464"/>
    <n v="0"/>
    <n v="0"/>
    <n v="0"/>
    <n v="25464"/>
    <n v="25464"/>
    <n v="0"/>
    <n v="5092.7999999999993"/>
    <s v="847.8470305.1.428090.000000.847001.200179"/>
    <n v="25464"/>
    <n v="0"/>
    <n v="0"/>
    <n v="0"/>
    <n v="25464"/>
    <n v="0"/>
    <n v="0"/>
    <n v="0"/>
    <n v="20371.2"/>
    <n v="0"/>
    <n v="-20371.2"/>
  </r>
  <r>
    <x v="4"/>
    <s v="College of engineering"/>
    <s v="2 Other Operating Costs"/>
    <n v="8470305"/>
    <s v="KUST - Dean Of Engineering"/>
    <n v="428640"/>
    <x v="11"/>
    <x v="69"/>
    <n v="45000"/>
    <n v="22835"/>
    <m/>
    <m/>
    <m/>
    <n v="22835"/>
    <m/>
    <m/>
    <m/>
    <m/>
    <n v="22835"/>
    <m/>
    <n v="18268"/>
    <n v="18268"/>
    <m/>
    <s v="N"/>
    <m/>
    <n v="22835"/>
    <n v="0"/>
    <n v="0"/>
    <n v="0"/>
    <n v="22835"/>
    <n v="22835"/>
    <n v="0"/>
    <n v="4567"/>
    <s v="847.8470305.1.428640.000000.847001.200179"/>
    <n v="22835"/>
    <n v="0"/>
    <n v="0"/>
    <n v="0"/>
    <n v="22835"/>
    <n v="0"/>
    <n v="0"/>
    <n v="0"/>
    <n v="18268"/>
    <n v="0"/>
    <n v="-18268"/>
  </r>
  <r>
    <x v="4"/>
    <s v="College of engineering"/>
    <s v="2 Other Operating Costs"/>
    <n v="8470305"/>
    <s v="KUST - Dean Of Engineering"/>
    <n v="432209"/>
    <x v="32"/>
    <x v="70"/>
    <n v="45292"/>
    <n v="45292"/>
    <n v="35796.32"/>
    <m/>
    <n v="8000"/>
    <n v="1495.6800000000003"/>
    <m/>
    <m/>
    <m/>
    <m/>
    <n v="1495.6800000000003"/>
    <m/>
    <n v="1196.5440000000001"/>
    <n v="1196.5440000000001"/>
    <m/>
    <s v="N"/>
    <m/>
    <n v="45292"/>
    <n v="43796.32"/>
    <n v="0"/>
    <n v="0"/>
    <n v="1495.6800000000003"/>
    <n v="1495.68"/>
    <n v="0"/>
    <n v="299.13600000000019"/>
    <s v="847.8470305.1.432209.000000.847001.200179"/>
    <n v="45292"/>
    <n v="43796.32"/>
    <n v="0"/>
    <n v="0"/>
    <n v="1495.68"/>
    <n v="0"/>
    <n v="0"/>
    <n v="0"/>
    <n v="1196.5440000000001"/>
    <n v="43796.32"/>
    <n v="42599.775999999998"/>
  </r>
  <r>
    <x v="4"/>
    <s v="College of engineering"/>
    <s v="2 Other Operating Costs"/>
    <n v="8470305"/>
    <s v="KUST - Dean Of Engineering"/>
    <n v="435350"/>
    <x v="21"/>
    <x v="71"/>
    <n v="260000"/>
    <n v="146906"/>
    <n v="20510.169999999998"/>
    <m/>
    <m/>
    <n v="126395.83"/>
    <m/>
    <m/>
    <m/>
    <m/>
    <n v="126395.83"/>
    <m/>
    <n v="101116.664"/>
    <n v="101116.664"/>
    <m/>
    <s v="N"/>
    <m/>
    <n v="146906"/>
    <n v="20510.169999999998"/>
    <n v="0"/>
    <n v="0"/>
    <n v="126395.83"/>
    <n v="126395.83"/>
    <n v="0"/>
    <n v="25279.165999999997"/>
    <s v="847.8470305.1.435350.000000.847001.200179"/>
    <n v="146906"/>
    <n v="20510.169999999998"/>
    <n v="0"/>
    <n v="0"/>
    <n v="126395.83"/>
    <n v="0"/>
    <n v="0"/>
    <n v="0"/>
    <n v="101116.664"/>
    <n v="20510.169999999998"/>
    <n v="-80606.494000000006"/>
  </r>
  <r>
    <x v="4"/>
    <s v="College of engineering"/>
    <s v="2 Other Operating Costs"/>
    <n v="8470305"/>
    <s v="KUST - Dean Of Engineering"/>
    <n v="435508"/>
    <x v="33"/>
    <x v="72"/>
    <n v="100000"/>
    <n v="65000"/>
    <n v="38360"/>
    <n v="24110"/>
    <n v="0"/>
    <n v="2530"/>
    <m/>
    <m/>
    <m/>
    <m/>
    <n v="2530"/>
    <m/>
    <n v="3452"/>
    <n v="3452"/>
    <m/>
    <s v="N"/>
    <m/>
    <n v="65000"/>
    <n v="60685"/>
    <n v="0"/>
    <n v="0"/>
    <n v="4315"/>
    <n v="4315"/>
    <n v="0"/>
    <n v="863"/>
    <s v="847.8470305.1.435508.000000.847001.200179"/>
    <n v="65000"/>
    <n v="60685"/>
    <n v="0"/>
    <n v="0"/>
    <n v="4315"/>
    <n v="0"/>
    <n v="0"/>
    <n v="0"/>
    <n v="3452"/>
    <n v="60685"/>
    <n v="57233"/>
  </r>
  <r>
    <x v="4"/>
    <s v="College of engineering"/>
    <s v="2 Other Operating Costs"/>
    <n v="8470305"/>
    <s v="KUST - Dean Of Engineering"/>
    <n v="436600"/>
    <x v="34"/>
    <x v="73"/>
    <n v="25000"/>
    <n v="25000"/>
    <m/>
    <m/>
    <m/>
    <n v="25000"/>
    <m/>
    <m/>
    <m/>
    <m/>
    <n v="25000"/>
    <m/>
    <n v="20000"/>
    <n v="20000"/>
    <m/>
    <s v="N"/>
    <m/>
    <n v="25000"/>
    <n v="0"/>
    <n v="0"/>
    <n v="0"/>
    <n v="25000"/>
    <n v="25000"/>
    <n v="0"/>
    <n v="5000"/>
    <s v="847.8470305.1.436600.000000.847001.200179"/>
    <n v="25000"/>
    <n v="0"/>
    <n v="0"/>
    <n v="0"/>
    <n v="25000"/>
    <n v="0"/>
    <n v="0"/>
    <n v="0"/>
    <n v="20000"/>
    <n v="0"/>
    <n v="-20000"/>
  </r>
  <r>
    <x v="4"/>
    <s v="College of engineering"/>
    <s v="2 Other Operating Costs"/>
    <n v="8470310"/>
    <s v="KUST - Aerospace Engineering"/>
    <n v="420550"/>
    <x v="0"/>
    <x v="74"/>
    <n v="20000"/>
    <n v="20000"/>
    <m/>
    <m/>
    <m/>
    <n v="20000"/>
    <m/>
    <m/>
    <m/>
    <m/>
    <n v="20000"/>
    <m/>
    <n v="16000"/>
    <n v="16000"/>
    <m/>
    <s v="N"/>
    <m/>
    <n v="20000"/>
    <n v="0"/>
    <n v="0"/>
    <n v="0"/>
    <n v="20000"/>
    <n v="20000"/>
    <n v="0"/>
    <n v="4000"/>
    <s v="847.8470310.1.420550.000000.847001.200179"/>
    <n v="20000"/>
    <n v="0"/>
    <n v="0"/>
    <n v="0"/>
    <n v="20000"/>
    <n v="0"/>
    <n v="0"/>
    <n v="0"/>
    <n v="16000"/>
    <n v="0"/>
    <n v="-16000"/>
  </r>
  <r>
    <x v="4"/>
    <s v="College of engineering"/>
    <s v="2 Other Operating Costs"/>
    <n v="8470310"/>
    <s v="KUST - Aerospace Engineering"/>
    <n v="425510"/>
    <x v="5"/>
    <x v="75"/>
    <n v="15000"/>
    <n v="15000"/>
    <n v="5330"/>
    <m/>
    <m/>
    <n v="9670"/>
    <m/>
    <m/>
    <m/>
    <m/>
    <n v="9670"/>
    <m/>
    <n v="7265.6"/>
    <n v="7265.6"/>
    <m/>
    <s v="N"/>
    <m/>
    <n v="15000"/>
    <n v="5330"/>
    <n v="0"/>
    <n v="0"/>
    <n v="9670"/>
    <n v="9670"/>
    <n v="0"/>
    <n v="2404.3999999999996"/>
    <s v="847.8470310.1.425510.000000.847001.200179"/>
    <n v="15000"/>
    <n v="5330"/>
    <n v="0"/>
    <n v="0"/>
    <n v="9082"/>
    <n v="0"/>
    <n v="0"/>
    <n v="0"/>
    <n v="7265.6"/>
    <n v="5330"/>
    <n v="-1935.6000000000004"/>
  </r>
  <r>
    <x v="4"/>
    <s v="College of engineering"/>
    <s v="2 Other Operating Costs"/>
    <n v="8470310"/>
    <s v="KUST - Aerospace Engineering"/>
    <n v="425760"/>
    <x v="35"/>
    <x v="76"/>
    <n v="150000"/>
    <n v="150000"/>
    <m/>
    <m/>
    <m/>
    <n v="150000"/>
    <m/>
    <m/>
    <m/>
    <m/>
    <n v="150000"/>
    <m/>
    <n v="0"/>
    <n v="0"/>
    <m/>
    <s v="N"/>
    <m/>
    <n v="100000"/>
    <n v="80000"/>
    <n v="0"/>
    <n v="0"/>
    <n v="20000"/>
    <n v="20000"/>
    <n v="0"/>
    <n v="20000"/>
    <s v="847.8470310.1.425760.000000.847001.200179"/>
    <n v="142000"/>
    <n v="142000"/>
    <n v="0"/>
    <n v="0"/>
    <n v="0"/>
    <n v="0"/>
    <n v="0"/>
    <n v="0"/>
    <n v="0"/>
    <n v="80000"/>
    <n v="142000"/>
  </r>
  <r>
    <x v="4"/>
    <s v="College of engineering"/>
    <s v="2 Other Operating Costs"/>
    <n v="8470310"/>
    <s v="KUST - Aerospace Engineering"/>
    <n v="425763"/>
    <x v="15"/>
    <x v="77"/>
    <n v="350000"/>
    <n v="350000"/>
    <n v="209189.08"/>
    <m/>
    <m/>
    <n v="140810.92000000001"/>
    <m/>
    <m/>
    <m/>
    <m/>
    <n v="140810.92000000001"/>
    <m/>
    <n v="1616.087999999992"/>
    <n v="1616.087999999992"/>
    <m/>
    <s v="N"/>
    <m/>
    <n v="350000"/>
    <n v="349016.72"/>
    <n v="0"/>
    <n v="0"/>
    <n v="983.28000000002794"/>
    <n v="983.27999999996996"/>
    <n v="5.7980287238024175E-11"/>
    <n v="-632.80799999996407"/>
    <s v="847.8470310.1.425763.000000.847001.200179"/>
    <n v="350000"/>
    <n v="347979.89"/>
    <n v="0"/>
    <n v="0"/>
    <n v="2020.1099999999899"/>
    <n v="0"/>
    <n v="0"/>
    <n v="0"/>
    <n v="1616.087999999992"/>
    <n v="349016.72"/>
    <n v="346363.80200000003"/>
  </r>
  <r>
    <x v="4"/>
    <s v="College of engineering"/>
    <s v="2 Other Operating Costs"/>
    <n v="8470310"/>
    <s v="KUST - Aerospace Engineering"/>
    <n v="425770"/>
    <x v="20"/>
    <x v="78"/>
    <n v="210000"/>
    <n v="112188"/>
    <n v="49603.27"/>
    <m/>
    <m/>
    <n v="62584.73"/>
    <m/>
    <m/>
    <m/>
    <m/>
    <n v="62584.73"/>
    <m/>
    <n v="234.52800000000241"/>
    <n v="-4708.2719999999981"/>
    <m/>
    <s v="N"/>
    <m/>
    <n v="112188"/>
    <n v="69894.84"/>
    <n v="0"/>
    <n v="0"/>
    <n v="42293.16"/>
    <n v="42293.16"/>
    <n v="0"/>
    <n v="42058.631999999998"/>
    <s v="847.8470310.1.425770.000000.847001.200179"/>
    <n v="70188"/>
    <n v="69894.84"/>
    <n v="0"/>
    <n v="0"/>
    <n v="293.16000000000298"/>
    <n v="4942.8"/>
    <n v="0"/>
    <n v="0"/>
    <n v="-4708.2719999999981"/>
    <n v="74837.64"/>
    <n v="79545.911999999997"/>
  </r>
  <r>
    <x v="4"/>
    <s v="College of engineering"/>
    <s v="2 Other Operating Costs"/>
    <n v="8470310"/>
    <s v="KUST - Aerospace Engineering"/>
    <n v="425900"/>
    <x v="7"/>
    <x v="79"/>
    <n v="8500"/>
    <n v="8500"/>
    <m/>
    <m/>
    <m/>
    <n v="8500"/>
    <m/>
    <m/>
    <m/>
    <m/>
    <n v="8500"/>
    <m/>
    <n v="3120"/>
    <n v="3120"/>
    <m/>
    <s v="N"/>
    <m/>
    <n v="8500"/>
    <n v="4600"/>
    <n v="0"/>
    <n v="0"/>
    <n v="3900"/>
    <n v="3900"/>
    <n v="0"/>
    <n v="780"/>
    <s v="847.8470310.1.425900.000000.847001.200179"/>
    <n v="8500"/>
    <n v="4600"/>
    <n v="0"/>
    <n v="0"/>
    <n v="3900"/>
    <n v="0"/>
    <n v="0"/>
    <n v="0"/>
    <n v="3120"/>
    <n v="4600"/>
    <n v="1480"/>
  </r>
  <r>
    <x v="4"/>
    <s v="College of engineering"/>
    <s v="2 Other Operating Costs"/>
    <n v="8470310"/>
    <s v="KUST - Aerospace Engineering"/>
    <n v="426610"/>
    <x v="8"/>
    <x v="80"/>
    <n v="9114"/>
    <n v="9114"/>
    <n v="8895.2800000000007"/>
    <m/>
    <m/>
    <n v="218.71999999999935"/>
    <m/>
    <m/>
    <m/>
    <m/>
    <n v="218.71999999999935"/>
    <m/>
    <n v="174.9759999999992"/>
    <n v="174.9759999999992"/>
    <m/>
    <s v="N"/>
    <m/>
    <n v="9114"/>
    <n v="8895.2800000000007"/>
    <n v="0"/>
    <n v="0"/>
    <n v="218.71999999999935"/>
    <n v="218.719999999999"/>
    <n v="3.4106051316484809E-13"/>
    <n v="43.744000000000142"/>
    <s v="847.8470310.1.426610.000000.847001.200179"/>
    <n v="9114"/>
    <n v="8895.2800000000007"/>
    <n v="0"/>
    <n v="0"/>
    <n v="218.719999999999"/>
    <n v="0"/>
    <n v="0"/>
    <n v="0"/>
    <n v="174.9759999999992"/>
    <n v="8895.2800000000007"/>
    <n v="8720.3040000000019"/>
  </r>
  <r>
    <x v="4"/>
    <s v="College of engineering"/>
    <s v="2 Other Operating Costs"/>
    <n v="8470310"/>
    <s v="KUST - Aerospace Engineering"/>
    <n v="428090"/>
    <x v="9"/>
    <x v="81"/>
    <n v="40000"/>
    <n v="14536"/>
    <m/>
    <m/>
    <m/>
    <n v="14536"/>
    <m/>
    <m/>
    <m/>
    <m/>
    <n v="14536"/>
    <m/>
    <n v="8988.8000000000011"/>
    <n v="8988.8000000000011"/>
    <m/>
    <s v="N"/>
    <m/>
    <n v="14536"/>
    <n v="3300"/>
    <n v="0"/>
    <n v="0"/>
    <n v="11236"/>
    <n v="11236"/>
    <n v="0"/>
    <n v="2247.1999999999989"/>
    <s v="847.8470310.1.428090.000000.847001.200179"/>
    <n v="14536"/>
    <n v="3300"/>
    <n v="0"/>
    <n v="0"/>
    <n v="11236"/>
    <n v="0"/>
    <n v="0"/>
    <n v="0"/>
    <n v="8988.8000000000011"/>
    <n v="3300"/>
    <n v="-5688.8000000000011"/>
  </r>
  <r>
    <x v="4"/>
    <s v="College of engineering"/>
    <s v="2 Other Operating Costs"/>
    <n v="8470310"/>
    <s v="KUST - Aerospace Engineering"/>
    <n v="432209"/>
    <x v="32"/>
    <x v="82"/>
    <n v="80000"/>
    <n v="5000"/>
    <m/>
    <m/>
    <m/>
    <n v="5000"/>
    <m/>
    <m/>
    <m/>
    <m/>
    <n v="5000"/>
    <m/>
    <n v="4000"/>
    <n v="4000"/>
    <m/>
    <s v="N"/>
    <m/>
    <n v="5000"/>
    <n v="0"/>
    <n v="0"/>
    <n v="0"/>
    <n v="5000"/>
    <n v="5000"/>
    <n v="0"/>
    <n v="1000"/>
    <s v="847.8470310.1.432209.000000.847001.200179"/>
    <n v="5000"/>
    <n v="0"/>
    <n v="0"/>
    <n v="0"/>
    <n v="5000"/>
    <n v="0"/>
    <n v="0"/>
    <n v="0"/>
    <n v="4000"/>
    <n v="0"/>
    <n v="-4000"/>
  </r>
  <r>
    <x v="4"/>
    <s v="College of engineering"/>
    <s v="2 Other Operating Costs"/>
    <n v="8470310"/>
    <s v="KUST - Aerospace Engineering"/>
    <n v="435350"/>
    <x v="21"/>
    <x v="83"/>
    <n v="182000"/>
    <n v="109482"/>
    <n v="34729.18"/>
    <m/>
    <m/>
    <n v="74752.820000000007"/>
    <m/>
    <m/>
    <m/>
    <m/>
    <n v="74752.820000000007"/>
    <m/>
    <n v="9171.7039999999997"/>
    <n v="9171.7039999999997"/>
    <m/>
    <s v="N"/>
    <m/>
    <n v="99482"/>
    <n v="71276.710000000006"/>
    <n v="0"/>
    <n v="0"/>
    <n v="28205.289999999994"/>
    <n v="28205.29"/>
    <n v="0"/>
    <n v="19033.585999999996"/>
    <s v="847.8470310.1.435350.000000.847001.200179"/>
    <n v="99482"/>
    <n v="88017.37"/>
    <n v="0"/>
    <n v="0"/>
    <n v="11464.63"/>
    <n v="0"/>
    <n v="0"/>
    <n v="0"/>
    <n v="9171.7039999999997"/>
    <n v="71276.710000000006"/>
    <n v="78845.665999999997"/>
  </r>
  <r>
    <x v="4"/>
    <s v="College of engineering"/>
    <s v="2 Other Operating Costs"/>
    <n v="8470310"/>
    <s v="KUST - Aerospace Engineering"/>
    <n v="435508"/>
    <x v="33"/>
    <x v="84"/>
    <n v="80000"/>
    <n v="155000"/>
    <n v="31585"/>
    <n v="0"/>
    <n v="119219"/>
    <n v="4196"/>
    <m/>
    <m/>
    <m/>
    <m/>
    <n v="4196"/>
    <m/>
    <n v="492.43199999999524"/>
    <n v="-113.09800000000473"/>
    <m/>
    <s v="N"/>
    <m/>
    <n v="155000"/>
    <n v="35165.46"/>
    <n v="0"/>
    <n v="119219"/>
    <n v="615.54000000000815"/>
    <n v="615.54000000000804"/>
    <n v="0"/>
    <n v="123.10800000001291"/>
    <s v="847.8470310.1.435508.000000.847001.200179"/>
    <n v="155000"/>
    <n v="71789.460000000006"/>
    <n v="0"/>
    <n v="82595"/>
    <n v="615.53999999999405"/>
    <n v="605.53"/>
    <n v="0"/>
    <n v="0"/>
    <n v="-113.09800000000473"/>
    <n v="154989.99"/>
    <n v="155103.08800000002"/>
  </r>
  <r>
    <x v="4"/>
    <s v="College of engineering"/>
    <s v="2 Other Operating Costs"/>
    <n v="8470310"/>
    <s v="KUST - Aerospace Engineering"/>
    <n v="436110"/>
    <x v="31"/>
    <x v="85"/>
    <n v="4000"/>
    <n v="4000"/>
    <m/>
    <m/>
    <m/>
    <n v="4000"/>
    <m/>
    <m/>
    <m/>
    <m/>
    <n v="4000"/>
    <m/>
    <n v="3200"/>
    <n v="3200"/>
    <m/>
    <s v="N"/>
    <m/>
    <n v="4000"/>
    <n v="0"/>
    <n v="0"/>
    <n v="0"/>
    <n v="4000"/>
    <n v="4000"/>
    <n v="0"/>
    <n v="800"/>
    <s v="847.8470310.1.436110.000000.847001.200179"/>
    <n v="4000"/>
    <n v="0"/>
    <n v="0"/>
    <n v="0"/>
    <n v="4000"/>
    <n v="0"/>
    <n v="0"/>
    <n v="0"/>
    <n v="3200"/>
    <n v="0"/>
    <n v="-3200"/>
  </r>
  <r>
    <x v="4"/>
    <s v="College of engineering"/>
    <s v="2 Other Operating Costs"/>
    <n v="8470310"/>
    <s v="KUST - Aerospace Engineering"/>
    <n v="436600"/>
    <x v="34"/>
    <x v="86"/>
    <n v="5000"/>
    <n v="5000"/>
    <m/>
    <m/>
    <m/>
    <n v="5000"/>
    <m/>
    <m/>
    <m/>
    <m/>
    <n v="5000"/>
    <m/>
    <n v="4000"/>
    <n v="4000"/>
    <m/>
    <s v="N"/>
    <m/>
    <n v="5000"/>
    <n v="0"/>
    <n v="0"/>
    <n v="0"/>
    <n v="5000"/>
    <n v="5000"/>
    <n v="0"/>
    <n v="1000"/>
    <s v="847.8470310.1.436600.000000.847001.200179"/>
    <n v="5000"/>
    <n v="0"/>
    <n v="0"/>
    <n v="0"/>
    <n v="5000"/>
    <n v="0"/>
    <n v="0"/>
    <n v="0"/>
    <n v="4000"/>
    <n v="0"/>
    <n v="-4000"/>
  </r>
  <r>
    <x v="4"/>
    <s v="College of engineering"/>
    <s v="2 Other Operating Costs"/>
    <n v="8470315"/>
    <s v="KUST - Biomedical Engineering"/>
    <n v="420550"/>
    <x v="0"/>
    <x v="87"/>
    <n v="1000"/>
    <n v="1000"/>
    <m/>
    <m/>
    <m/>
    <n v="1000"/>
    <m/>
    <m/>
    <m/>
    <m/>
    <n v="1000"/>
    <m/>
    <n v="16020"/>
    <n v="16020"/>
    <m/>
    <s v="N"/>
    <m/>
    <n v="20025"/>
    <n v="0"/>
    <n v="0"/>
    <n v="0"/>
    <n v="20025"/>
    <n v="20025"/>
    <n v="0"/>
    <n v="4005"/>
    <s v="847.8470315.1.420550.000000.847001.200179"/>
    <n v="20025"/>
    <n v="0"/>
    <n v="0"/>
    <n v="0"/>
    <n v="20025"/>
    <n v="0"/>
    <n v="0"/>
    <n v="0"/>
    <n v="16020"/>
    <n v="0"/>
    <n v="-16020"/>
  </r>
  <r>
    <x v="4"/>
    <s v="College of engineering"/>
    <s v="2 Other Operating Costs"/>
    <n v="8470315"/>
    <s v="KUST - Biomedical Engineering"/>
    <n v="425510"/>
    <x v="5"/>
    <x v="88"/>
    <n v="4000"/>
    <n v="4000"/>
    <m/>
    <m/>
    <m/>
    <n v="4000"/>
    <m/>
    <m/>
    <m/>
    <m/>
    <n v="4000"/>
    <m/>
    <n v="20111.2"/>
    <n v="20111.2"/>
    <m/>
    <s v="N"/>
    <m/>
    <n v="25139"/>
    <n v="0"/>
    <n v="0"/>
    <n v="0"/>
    <n v="25139"/>
    <n v="25139"/>
    <n v="0"/>
    <n v="5027.7999999999993"/>
    <s v="847.8470315.1.425510.000000.847001.200179"/>
    <n v="25139"/>
    <n v="0"/>
    <n v="0"/>
    <n v="0"/>
    <n v="25139"/>
    <n v="0"/>
    <n v="0"/>
    <n v="0"/>
    <n v="20111.2"/>
    <n v="0"/>
    <n v="-20111.2"/>
  </r>
  <r>
    <x v="4"/>
    <s v="College of engineering"/>
    <s v="2 Other Operating Costs"/>
    <n v="8470315"/>
    <s v="KUST - Biomedical Engineering"/>
    <n v="425760"/>
    <x v="35"/>
    <x v="89"/>
    <n v="20000"/>
    <n v="20000"/>
    <n v="1496.04"/>
    <m/>
    <m/>
    <n v="18503.96"/>
    <m/>
    <m/>
    <m/>
    <m/>
    <n v="18503.96"/>
    <m/>
    <n v="0.79199999999982573"/>
    <n v="0.79199999999982573"/>
    <m/>
    <s v="N"/>
    <m/>
    <n v="6455"/>
    <n v="6454.01"/>
    <n v="0"/>
    <n v="0"/>
    <n v="0.98999999999978172"/>
    <n v="0.98999999999978205"/>
    <n v="0"/>
    <n v="0.19799999999995599"/>
    <s v="847.8470315.1.425760.000000.847001.200179"/>
    <n v="6455"/>
    <n v="6454.01"/>
    <n v="0"/>
    <n v="0"/>
    <n v="0.98999999999978205"/>
    <n v="0"/>
    <n v="0"/>
    <n v="0"/>
    <n v="0.79199999999982573"/>
    <n v="6454.01"/>
    <n v="6453.2180000000008"/>
  </r>
  <r>
    <x v="4"/>
    <s v="College of engineering"/>
    <s v="2 Other Operating Costs"/>
    <n v="8470315"/>
    <s v="KUST - Biomedical Engineering"/>
    <n v="425763"/>
    <x v="15"/>
    <x v="90"/>
    <n v="180000"/>
    <n v="180000"/>
    <n v="114185.63"/>
    <m/>
    <m/>
    <n v="65814.37"/>
    <m/>
    <m/>
    <m/>
    <m/>
    <n v="65814.37"/>
    <m/>
    <n v="45239.504000000001"/>
    <n v="45239.504000000001"/>
    <m/>
    <s v="N"/>
    <m/>
    <n v="180000"/>
    <n v="123450.62"/>
    <n v="0"/>
    <n v="0"/>
    <n v="56549.380000000005"/>
    <n v="56549.38"/>
    <n v="0"/>
    <n v="11309.876000000004"/>
    <s v="847.8470315.1.425763.000000.847001.200179"/>
    <n v="180000"/>
    <n v="123450.62"/>
    <n v="0"/>
    <n v="0"/>
    <n v="56549.38"/>
    <n v="0"/>
    <n v="0"/>
    <n v="0"/>
    <n v="45239.504000000001"/>
    <n v="123450.62"/>
    <n v="78211.115999999995"/>
  </r>
  <r>
    <x v="4"/>
    <s v="College of engineering"/>
    <s v="2 Other Operating Costs"/>
    <n v="8470315"/>
    <s v="KUST - Biomedical Engineering"/>
    <n v="425770"/>
    <x v="20"/>
    <x v="91"/>
    <n v="180000"/>
    <n v="97193"/>
    <n v="34541.660000000003"/>
    <m/>
    <m/>
    <n v="62651.34"/>
    <m/>
    <m/>
    <m/>
    <m/>
    <n v="62651.34"/>
    <m/>
    <n v="27883.832000000002"/>
    <n v="15288.832000000002"/>
    <m/>
    <s v="N"/>
    <m/>
    <n v="97193"/>
    <n v="62338.21"/>
    <n v="0"/>
    <n v="0"/>
    <n v="34854.79"/>
    <n v="34854.79"/>
    <n v="0"/>
    <n v="6970.9579999999987"/>
    <s v="847.8470315.1.425770.000000.847001.200179"/>
    <n v="97193"/>
    <n v="62338.21"/>
    <n v="0"/>
    <n v="0"/>
    <n v="34854.79"/>
    <n v="0"/>
    <n v="0"/>
    <n v="12595"/>
    <n v="15288.832000000002"/>
    <n v="74933.209999999992"/>
    <n v="59644.37799999999"/>
  </r>
  <r>
    <x v="4"/>
    <s v="College of engineering"/>
    <s v="2 Other Operating Costs"/>
    <n v="8470315"/>
    <s v="KUST - Biomedical Engineering"/>
    <n v="425900"/>
    <x v="7"/>
    <x v="92"/>
    <n v="10000"/>
    <n v="10000"/>
    <n v="8004"/>
    <m/>
    <m/>
    <n v="1996"/>
    <m/>
    <m/>
    <m/>
    <m/>
    <n v="1996"/>
    <m/>
    <n v="2734.8"/>
    <n v="2734.8"/>
    <m/>
    <s v="N"/>
    <m/>
    <n v="17000"/>
    <n v="8004"/>
    <n v="0"/>
    <n v="0"/>
    <n v="8996"/>
    <n v="8996"/>
    <n v="0"/>
    <n v="6261.2"/>
    <s v="847.8470315.1.425900.000000.847001.200179"/>
    <n v="17000"/>
    <n v="13371.5"/>
    <n v="0"/>
    <n v="0"/>
    <n v="3418.5"/>
    <n v="0"/>
    <n v="0"/>
    <n v="0"/>
    <n v="2734.8"/>
    <n v="8004"/>
    <n v="10636.7"/>
  </r>
  <r>
    <x v="4"/>
    <s v="College of engineering"/>
    <s v="2 Other Operating Costs"/>
    <n v="8470315"/>
    <s v="KUST - Biomedical Engineering"/>
    <n v="426610"/>
    <x v="8"/>
    <x v="93"/>
    <n v="99576"/>
    <n v="54576"/>
    <n v="6253.28"/>
    <n v="0"/>
    <n v="0"/>
    <n v="48322.720000000001"/>
    <m/>
    <m/>
    <m/>
    <m/>
    <n v="48322.720000000001"/>
    <m/>
    <n v="6.3999999999941756E-2"/>
    <n v="6.3999999999941756E-2"/>
    <m/>
    <s v="N"/>
    <m/>
    <n v="7412"/>
    <n v="7411.92"/>
    <n v="0"/>
    <n v="0"/>
    <n v="7.999999999992724E-2"/>
    <n v="7.9999999999927199E-2"/>
    <n v="0"/>
    <n v="1.5999999999985484E-2"/>
    <s v="847.8470315.1.426610.000000.847001.200179"/>
    <n v="7412"/>
    <n v="7411.92"/>
    <n v="0"/>
    <n v="0"/>
    <n v="7.9999999999927199E-2"/>
    <n v="0"/>
    <n v="0"/>
    <n v="0"/>
    <n v="6.3999999999941756E-2"/>
    <n v="7411.92"/>
    <n v="7411.8559999999998"/>
  </r>
  <r>
    <x v="4"/>
    <s v="College of engineering"/>
    <s v="2 Other Operating Costs"/>
    <n v="8470315"/>
    <s v="KUST - Biomedical Engineering"/>
    <n v="428090"/>
    <x v="9"/>
    <x v="94"/>
    <n v="10000"/>
    <n v="2725"/>
    <m/>
    <m/>
    <m/>
    <n v="2725"/>
    <m/>
    <m/>
    <m/>
    <m/>
    <n v="2725"/>
    <m/>
    <n v="2180"/>
    <n v="2180"/>
    <m/>
    <s v="N"/>
    <m/>
    <n v="2725"/>
    <n v="0"/>
    <n v="0"/>
    <n v="0"/>
    <n v="2725"/>
    <n v="2725"/>
    <n v="0"/>
    <n v="545"/>
    <s v="847.8470315.1.428090.000000.847001.200179"/>
    <n v="2725"/>
    <n v="0"/>
    <n v="0"/>
    <n v="0"/>
    <n v="2725"/>
    <n v="0"/>
    <n v="0"/>
    <n v="0"/>
    <n v="2180"/>
    <n v="0"/>
    <n v="-2180"/>
  </r>
  <r>
    <x v="4"/>
    <s v="College of engineering"/>
    <s v="2 Other Operating Costs"/>
    <n v="8470315"/>
    <s v="KUST - Biomedical Engineering"/>
    <n v="432209"/>
    <x v="32"/>
    <x v="95"/>
    <n v="90250"/>
    <n v="90250"/>
    <n v="35500"/>
    <n v="0"/>
    <n v="52893.919999999998"/>
    <n v="1856.0800000000017"/>
    <m/>
    <m/>
    <m/>
    <m/>
    <n v="1856.0800000000017"/>
    <m/>
    <n v="1484.864"/>
    <n v="1484.864"/>
    <m/>
    <s v="N"/>
    <m/>
    <n v="90250"/>
    <n v="61876.12"/>
    <n v="0"/>
    <n v="26517.8"/>
    <n v="1856.0799999999981"/>
    <n v="1856.08"/>
    <n v="-1.8189894035458565E-12"/>
    <n v="371.21599999999808"/>
    <s v="847.8470315.1.432209.000000.847001.200179"/>
    <n v="90250"/>
    <n v="61876.12"/>
    <n v="0"/>
    <n v="26517.8"/>
    <n v="1856.08"/>
    <n v="0"/>
    <n v="0"/>
    <n v="0"/>
    <n v="1484.864"/>
    <n v="88393.919999999998"/>
    <n v="86909.055999999997"/>
  </r>
  <r>
    <x v="4"/>
    <s v="College of engineering"/>
    <s v="2 Other Operating Costs"/>
    <n v="8470315"/>
    <s v="KUST - Biomedical Engineering"/>
    <n v="435350"/>
    <x v="21"/>
    <x v="96"/>
    <n v="38400"/>
    <n v="24647"/>
    <n v="24646.04"/>
    <m/>
    <m/>
    <n v="0.95999999999912689"/>
    <m/>
    <m/>
    <m/>
    <m/>
    <n v="0.95999999999912689"/>
    <m/>
    <n v="4929.0960000000005"/>
    <n v="4929.0960000000005"/>
    <m/>
    <s v="N"/>
    <m/>
    <n v="38192"/>
    <n v="32030.63"/>
    <n v="0"/>
    <n v="0"/>
    <n v="6161.369999999999"/>
    <n v="6161.37"/>
    <n v="0"/>
    <n v="1232.2739999999985"/>
    <s v="847.8470315.1.435350.000000.847001.200179"/>
    <n v="38192"/>
    <n v="32030.63"/>
    <n v="0"/>
    <n v="0"/>
    <n v="6161.37"/>
    <n v="0"/>
    <n v="0"/>
    <n v="0"/>
    <n v="4929.0960000000005"/>
    <n v="32030.63"/>
    <n v="27101.534"/>
  </r>
  <r>
    <x v="4"/>
    <s v="College of engineering"/>
    <s v="2 Other Operating Costs"/>
    <n v="8470315"/>
    <s v="KUST - Biomedical Engineering"/>
    <n v="435508"/>
    <x v="33"/>
    <x v="97"/>
    <n v="150000"/>
    <n v="195000"/>
    <n v="124792.68"/>
    <n v="-7.2759576141834308E-12"/>
    <n v="49868.5"/>
    <n v="20338.820000000007"/>
    <m/>
    <m/>
    <m/>
    <m/>
    <n v="20338.820000000007"/>
    <m/>
    <n v="3475.8160000000007"/>
    <n v="-1520.1839999999993"/>
    <m/>
    <s v="N"/>
    <m/>
    <n v="195000"/>
    <n v="171801.95"/>
    <n v="0"/>
    <n v="18853.28"/>
    <n v="4344.7699999999895"/>
    <n v="4344.7700000000004"/>
    <n v="-1.0913936421275139E-11"/>
    <n v="868.95399999998881"/>
    <s v="847.8470315.1.435508.000000.847001.200179"/>
    <n v="195000"/>
    <n v="171801.95"/>
    <n v="0"/>
    <n v="18853.28"/>
    <n v="4344.7700000000004"/>
    <n v="0"/>
    <n v="4996"/>
    <n v="0"/>
    <n v="-1520.1839999999993"/>
    <n v="195651.23"/>
    <n v="197171.41400000002"/>
  </r>
  <r>
    <x v="4"/>
    <s v="College of engineering"/>
    <s v="2 Other Operating Costs"/>
    <n v="8470315"/>
    <s v="KUST - Biomedical Engineering"/>
    <n v="436110"/>
    <x v="31"/>
    <x v="98"/>
    <n v="2000"/>
    <n v="2000"/>
    <m/>
    <m/>
    <m/>
    <n v="2000"/>
    <m/>
    <m/>
    <m/>
    <m/>
    <n v="2000"/>
    <m/>
    <n v="1600"/>
    <n v="1600"/>
    <m/>
    <s v="N"/>
    <m/>
    <n v="2000"/>
    <n v="0"/>
    <n v="0"/>
    <n v="0"/>
    <n v="2000"/>
    <n v="2000"/>
    <n v="0"/>
    <n v="400"/>
    <s v="847.8470315.1.436110.000000.847001.200179"/>
    <n v="2000"/>
    <n v="0"/>
    <n v="0"/>
    <n v="0"/>
    <n v="2000"/>
    <n v="0"/>
    <n v="0"/>
    <n v="0"/>
    <n v="1600"/>
    <n v="0"/>
    <n v="-1600"/>
  </r>
  <r>
    <x v="4"/>
    <s v="College of engineering"/>
    <s v="2 Other Operating Costs"/>
    <n v="8470315"/>
    <s v="KUST - Biomedical Engineering"/>
    <n v="436600"/>
    <x v="34"/>
    <x v="99"/>
    <n v="3000"/>
    <n v="3000"/>
    <m/>
    <m/>
    <m/>
    <n v="3000"/>
    <m/>
    <m/>
    <m/>
    <m/>
    <n v="3000"/>
    <m/>
    <n v="2400"/>
    <n v="2400"/>
    <m/>
    <s v="N"/>
    <m/>
    <n v="3000"/>
    <n v="0"/>
    <n v="0"/>
    <n v="0"/>
    <n v="3000"/>
    <n v="3000"/>
    <n v="0"/>
    <n v="600"/>
    <s v="847.8470315.1.436600.000000.847001.200179"/>
    <n v="3000"/>
    <n v="0"/>
    <n v="0"/>
    <n v="0"/>
    <n v="3000"/>
    <n v="0"/>
    <n v="0"/>
    <n v="0"/>
    <n v="2400"/>
    <n v="0"/>
    <n v="-2400"/>
  </r>
  <r>
    <x v="4"/>
    <s v="College of engineering"/>
    <s v="2 Other Operating Costs"/>
    <n v="8470320"/>
    <s v="KUST - Chemical Engineering"/>
    <n v="420550"/>
    <x v="0"/>
    <x v="100"/>
    <n v="20000"/>
    <n v="20000"/>
    <m/>
    <m/>
    <m/>
    <n v="20000"/>
    <m/>
    <m/>
    <m/>
    <m/>
    <n v="20000"/>
    <m/>
    <n v="14110"/>
    <n v="14110"/>
    <m/>
    <s v="N"/>
    <m/>
    <n v="20000"/>
    <n v="0"/>
    <n v="0"/>
    <n v="0"/>
    <n v="20000"/>
    <n v="20000"/>
    <n v="0"/>
    <n v="5890"/>
    <s v="847.8470320.1.420550.000000.847001.200179"/>
    <n v="20000"/>
    <n v="2362.5"/>
    <n v="0"/>
    <n v="0"/>
    <n v="17637.5"/>
    <n v="0"/>
    <n v="0"/>
    <n v="0"/>
    <n v="14110"/>
    <n v="0"/>
    <n v="-11747.5"/>
  </r>
  <r>
    <x v="4"/>
    <s v="College of engineering"/>
    <s v="2 Other Operating Costs"/>
    <n v="8470320"/>
    <s v="KUST - Chemical Engineering"/>
    <n v="425510"/>
    <x v="5"/>
    <x v="101"/>
    <n v="30000"/>
    <n v="30000"/>
    <m/>
    <m/>
    <m/>
    <n v="30000"/>
    <m/>
    <m/>
    <m/>
    <m/>
    <n v="30000"/>
    <m/>
    <n v="5095.7360000000008"/>
    <n v="-15103.063999999998"/>
    <m/>
    <s v="N"/>
    <m/>
    <n v="30000"/>
    <n v="10746.69"/>
    <n v="0"/>
    <n v="0"/>
    <n v="19253.309999999998"/>
    <n v="19253.310000000001"/>
    <n v="0"/>
    <n v="14157.573999999997"/>
    <s v="847.8470320.1.425510.000000.847001.200179"/>
    <n v="36600"/>
    <n v="30230.33"/>
    <n v="0"/>
    <n v="0"/>
    <n v="6369.67"/>
    <n v="0"/>
    <n v="0"/>
    <n v="20198.8"/>
    <n v="-15103.063999999998"/>
    <n v="30945.489999999998"/>
    <n v="65532.194000000003"/>
  </r>
  <r>
    <x v="4"/>
    <s v="College of engineering"/>
    <s v="2 Other Operating Costs"/>
    <n v="8470320"/>
    <s v="KUST - Chemical Engineering"/>
    <n v="425760"/>
    <x v="35"/>
    <x v="102"/>
    <n v="25000"/>
    <n v="25000"/>
    <m/>
    <m/>
    <m/>
    <n v="25000"/>
    <m/>
    <m/>
    <m/>
    <m/>
    <n v="25000"/>
    <m/>
    <n v="20000"/>
    <n v="20000"/>
    <m/>
    <s v="N"/>
    <m/>
    <n v="25000"/>
    <n v="0"/>
    <n v="0"/>
    <n v="0"/>
    <n v="25000"/>
    <n v="25000"/>
    <n v="0"/>
    <n v="5000"/>
    <s v="847.8470320.1.425760.000000.847001.200179"/>
    <n v="25000"/>
    <n v="0"/>
    <n v="0"/>
    <n v="0"/>
    <n v="25000"/>
    <n v="0"/>
    <n v="0"/>
    <n v="0"/>
    <n v="20000"/>
    <n v="0"/>
    <n v="-20000"/>
  </r>
  <r>
    <x v="4"/>
    <s v="College of engineering"/>
    <s v="2 Other Operating Costs"/>
    <n v="8470320"/>
    <s v="KUST - Chemical Engineering"/>
    <n v="425763"/>
    <x v="15"/>
    <x v="103"/>
    <n v="100000"/>
    <n v="100000"/>
    <n v="65000"/>
    <n v="0"/>
    <n v="1226.5"/>
    <n v="33773.5"/>
    <m/>
    <m/>
    <m/>
    <m/>
    <n v="33773.5"/>
    <m/>
    <n v="27018.800000000003"/>
    <n v="27018.800000000003"/>
    <m/>
    <s v="N"/>
    <m/>
    <n v="100000"/>
    <n v="66226.5"/>
    <n v="0"/>
    <n v="0"/>
    <n v="33773.5"/>
    <n v="33773.5"/>
    <n v="0"/>
    <n v="6754.6999999999971"/>
    <s v="847.8470320.1.425763.000000.847001.200179"/>
    <n v="100000"/>
    <n v="66226.5"/>
    <n v="0"/>
    <n v="0"/>
    <n v="33773.5"/>
    <n v="0"/>
    <n v="0"/>
    <n v="0"/>
    <n v="27018.800000000003"/>
    <n v="66226.5"/>
    <n v="39207.699999999997"/>
  </r>
  <r>
    <x v="4"/>
    <s v="College of engineering"/>
    <s v="2 Other Operating Costs"/>
    <n v="8470320"/>
    <s v="KUST - Chemical Engineering"/>
    <n v="425770"/>
    <x v="20"/>
    <x v="104"/>
    <n v="450000"/>
    <n v="237519"/>
    <n v="101100.4"/>
    <m/>
    <m/>
    <n v="136418.6"/>
    <m/>
    <m/>
    <m/>
    <m/>
    <n v="136418.6"/>
    <m/>
    <n v="47876.744000000006"/>
    <n v="8873.1740000000063"/>
    <m/>
    <s v="N"/>
    <m/>
    <n v="237519"/>
    <n v="177673.07"/>
    <n v="0"/>
    <n v="0"/>
    <n v="59845.929999999993"/>
    <n v="59845.93"/>
    <n v="0"/>
    <n v="11969.185999999987"/>
    <s v="847.8470320.1.425770.000000.847001.200179"/>
    <n v="237519"/>
    <n v="177673.07"/>
    <n v="0"/>
    <n v="0"/>
    <n v="59845.93"/>
    <n v="1460"/>
    <n v="0"/>
    <n v="37543.57"/>
    <n v="8873.1740000000063"/>
    <n v="216676.64"/>
    <n v="207803.46600000001"/>
  </r>
  <r>
    <x v="4"/>
    <s v="College of engineering"/>
    <s v="2 Other Operating Costs"/>
    <n v="8470320"/>
    <s v="KUST - Chemical Engineering"/>
    <n v="425900"/>
    <x v="7"/>
    <x v="105"/>
    <n v="20000"/>
    <n v="20000"/>
    <n v="4750"/>
    <m/>
    <m/>
    <n v="15250"/>
    <m/>
    <m/>
    <m/>
    <m/>
    <n v="15250"/>
    <m/>
    <n v="12200"/>
    <n v="12200"/>
    <m/>
    <s v="N"/>
    <m/>
    <n v="20000"/>
    <n v="4750"/>
    <n v="0"/>
    <n v="0"/>
    <n v="15250"/>
    <n v="15250"/>
    <n v="0"/>
    <n v="3050"/>
    <s v="847.8470320.1.425900.000000.847001.200179"/>
    <n v="20000"/>
    <n v="4750"/>
    <n v="0"/>
    <n v="0"/>
    <n v="15250"/>
    <n v="0"/>
    <n v="0"/>
    <n v="0"/>
    <n v="12200"/>
    <n v="4750"/>
    <n v="-7450"/>
  </r>
  <r>
    <x v="4"/>
    <s v="College of engineering"/>
    <s v="2 Other Operating Costs"/>
    <n v="8470320"/>
    <s v="KUST - Chemical Engineering"/>
    <n v="426610"/>
    <x v="8"/>
    <x v="106"/>
    <n v="75000"/>
    <n v="75000"/>
    <n v="60384.12"/>
    <n v="-2.7284841053187799E-12"/>
    <n v="9.0949470177292804E-13"/>
    <n v="14615.880000000001"/>
    <m/>
    <m/>
    <m/>
    <m/>
    <n v="14615.880000000001"/>
    <m/>
    <n v="11692.704"/>
    <n v="11692.704"/>
    <m/>
    <s v="N"/>
    <m/>
    <n v="75000"/>
    <n v="60384.12"/>
    <n v="0"/>
    <n v="0"/>
    <n v="14615.879999999997"/>
    <n v="14615.88"/>
    <n v="0"/>
    <n v="2923.1759999999977"/>
    <s v="847.8470320.1.426610.000000.847001.200179"/>
    <n v="75000"/>
    <n v="60384.12"/>
    <n v="0"/>
    <n v="0"/>
    <n v="14615.88"/>
    <n v="0"/>
    <n v="0"/>
    <n v="0"/>
    <n v="11692.704"/>
    <n v="60384.12"/>
    <n v="48691.416000000005"/>
  </r>
  <r>
    <x v="4"/>
    <s v="College of engineering"/>
    <s v="2 Other Operating Costs"/>
    <n v="8470320"/>
    <s v="KUST - Chemical Engineering"/>
    <n v="428090"/>
    <x v="9"/>
    <x v="107"/>
    <n v="35000"/>
    <n v="10401"/>
    <n v="10400"/>
    <m/>
    <m/>
    <n v="1"/>
    <m/>
    <m/>
    <m/>
    <m/>
    <n v="1"/>
    <m/>
    <n v="0.8"/>
    <n v="0.8"/>
    <m/>
    <s v="N"/>
    <m/>
    <n v="10401"/>
    <n v="10400"/>
    <n v="0"/>
    <n v="0"/>
    <n v="1"/>
    <n v="1"/>
    <n v="0"/>
    <n v="0.19999999999999996"/>
    <s v="847.8470320.1.428090.000000.847001.200179"/>
    <n v="10401"/>
    <n v="10400"/>
    <n v="0"/>
    <n v="0"/>
    <n v="1"/>
    <n v="0"/>
    <n v="0"/>
    <n v="0"/>
    <n v="0.8"/>
    <n v="10400"/>
    <n v="10399.200000000001"/>
  </r>
  <r>
    <x v="4"/>
    <s v="College of engineering"/>
    <s v="2 Other Operating Costs"/>
    <n v="8470320"/>
    <s v="KUST - Chemical Engineering"/>
    <n v="435350"/>
    <x v="21"/>
    <x v="108"/>
    <n v="50000"/>
    <n v="29251"/>
    <n v="22245.54"/>
    <m/>
    <m/>
    <n v="7005.4599999999991"/>
    <m/>
    <m/>
    <m/>
    <m/>
    <n v="7005.4599999999991"/>
    <m/>
    <n v="5604.3680000000004"/>
    <n v="5604.3680000000004"/>
    <m/>
    <s v="N"/>
    <m/>
    <n v="29251"/>
    <n v="22245.54"/>
    <n v="0"/>
    <n v="0"/>
    <n v="7005.4599999999991"/>
    <n v="7005.46"/>
    <n v="0"/>
    <n v="1401.0919999999987"/>
    <s v="847.8470320.1.435350.000000.847001.200179"/>
    <n v="29251"/>
    <n v="22245.54"/>
    <n v="0"/>
    <n v="0"/>
    <n v="7005.46"/>
    <n v="0"/>
    <n v="0"/>
    <n v="0"/>
    <n v="5604.3680000000004"/>
    <n v="22245.54"/>
    <n v="16641.171999999999"/>
  </r>
  <r>
    <x v="4"/>
    <s v="College of engineering"/>
    <s v="2 Other Operating Costs"/>
    <n v="8470320"/>
    <s v="KUST - Chemical Engineering"/>
    <n v="435508"/>
    <x v="33"/>
    <x v="109"/>
    <n v="200000"/>
    <n v="212131"/>
    <m/>
    <n v="0"/>
    <n v="196528.7"/>
    <n v="15602.299999999988"/>
    <m/>
    <m/>
    <m/>
    <m/>
    <n v="15602.299999999988"/>
    <m/>
    <n v="12481.84"/>
    <n v="12481.84"/>
    <m/>
    <s v="N"/>
    <m/>
    <n v="212131"/>
    <n v="194915"/>
    <n v="0"/>
    <n v="1613.70000000001"/>
    <n v="15602.29999999999"/>
    <n v="15602.3"/>
    <n v="0"/>
    <n v="3120.45999999999"/>
    <s v="847.8470320.1.435508.000000.847001.200179"/>
    <n v="212131"/>
    <n v="194915"/>
    <n v="0"/>
    <n v="1613.70000000001"/>
    <n v="15602.3"/>
    <n v="0"/>
    <n v="0"/>
    <n v="0"/>
    <n v="12481.84"/>
    <n v="196528.7"/>
    <n v="184046.86000000002"/>
  </r>
  <r>
    <x v="4"/>
    <s v="College of engineering"/>
    <s v="2 Other Operating Costs"/>
    <n v="8470320"/>
    <s v="KUST - Chemical Engineering"/>
    <n v="436110"/>
    <x v="31"/>
    <x v="110"/>
    <n v="35000"/>
    <n v="35000"/>
    <n v="9881.9"/>
    <m/>
    <m/>
    <n v="25118.1"/>
    <m/>
    <m/>
    <m/>
    <m/>
    <n v="25118.1"/>
    <m/>
    <n v="11990.696000000002"/>
    <n v="11990.696000000002"/>
    <m/>
    <s v="N"/>
    <m/>
    <n v="35000"/>
    <n v="20011.63"/>
    <n v="0"/>
    <n v="0"/>
    <n v="14988.369999999999"/>
    <n v="14988.37"/>
    <n v="0"/>
    <n v="2997.6739999999972"/>
    <s v="847.8470320.1.436110.000000.847001.200179"/>
    <n v="35000"/>
    <n v="20011.63"/>
    <n v="0"/>
    <n v="0"/>
    <n v="14988.37"/>
    <n v="0"/>
    <n v="0"/>
    <n v="0"/>
    <n v="11990.696000000002"/>
    <n v="20011.63"/>
    <n v="8020.9339999999993"/>
  </r>
  <r>
    <x v="4"/>
    <s v="College of engineering"/>
    <s v="2 Other Operating Costs"/>
    <n v="8470320"/>
    <s v="KUST - Chemical Engineering"/>
    <n v="436600"/>
    <x v="34"/>
    <x v="111"/>
    <n v="45000"/>
    <n v="45000"/>
    <n v="12485"/>
    <m/>
    <m/>
    <n v="32515"/>
    <m/>
    <m/>
    <m/>
    <m/>
    <n v="32515"/>
    <m/>
    <n v="20732"/>
    <n v="20732"/>
    <m/>
    <s v="N"/>
    <m/>
    <n v="45000"/>
    <n v="12485"/>
    <n v="0"/>
    <n v="0"/>
    <n v="32515"/>
    <n v="32515"/>
    <n v="0"/>
    <n v="11783"/>
    <s v="847.8470320.1.436600.000000.847001.200179"/>
    <n v="38400"/>
    <n v="12485"/>
    <n v="0"/>
    <n v="0"/>
    <n v="25915"/>
    <n v="0"/>
    <n v="0"/>
    <n v="0"/>
    <n v="20732"/>
    <n v="12485"/>
    <n v="-8247"/>
  </r>
  <r>
    <x v="4"/>
    <s v="College of engineering"/>
    <s v="2 Other Operating Costs"/>
    <n v="8470325"/>
    <s v="KUST - Civil Engineering"/>
    <n v="420550"/>
    <x v="0"/>
    <x v="112"/>
    <n v="4000"/>
    <n v="4000"/>
    <m/>
    <m/>
    <m/>
    <n v="4000"/>
    <m/>
    <m/>
    <m/>
    <m/>
    <n v="4000"/>
    <m/>
    <n v="3200"/>
    <n v="3200"/>
    <m/>
    <s v="N"/>
    <m/>
    <n v="4000"/>
    <n v="0"/>
    <n v="0"/>
    <n v="0"/>
    <n v="4000"/>
    <n v="4000"/>
    <n v="0"/>
    <n v="800"/>
    <s v="847.8470325.1.420550.000000.847001.200179"/>
    <n v="4000"/>
    <n v="0"/>
    <n v="0"/>
    <n v="0"/>
    <n v="4000"/>
    <n v="0"/>
    <n v="0"/>
    <n v="0"/>
    <n v="3200"/>
    <n v="0"/>
    <n v="-3200"/>
  </r>
  <r>
    <x v="4"/>
    <s v="College of engineering"/>
    <s v="2 Other Operating Costs"/>
    <n v="8470325"/>
    <s v="KUST - Civil Engineering"/>
    <n v="425510"/>
    <x v="5"/>
    <x v="113"/>
    <n v="6600"/>
    <n v="6600"/>
    <n v="2550"/>
    <m/>
    <m/>
    <n v="4050"/>
    <m/>
    <m/>
    <m/>
    <m/>
    <n v="4050"/>
    <m/>
    <n v="239.9999999999992"/>
    <n v="239.9999999999992"/>
    <m/>
    <s v="N"/>
    <m/>
    <n v="6600"/>
    <n v="6300"/>
    <n v="0"/>
    <n v="0"/>
    <n v="300"/>
    <n v="299.99999999999898"/>
    <n v="1.0231815394945443E-12"/>
    <n v="60.000000000000796"/>
    <s v="847.8470325.1.425510.000000.847001.200179"/>
    <n v="6600"/>
    <n v="6300"/>
    <n v="0"/>
    <n v="0"/>
    <n v="299.99999999999898"/>
    <n v="0"/>
    <n v="0"/>
    <n v="0"/>
    <n v="239.9999999999992"/>
    <n v="6300"/>
    <n v="6060.0000000000009"/>
  </r>
  <r>
    <x v="4"/>
    <s v="College of engineering"/>
    <s v="2 Other Operating Costs"/>
    <n v="8470325"/>
    <s v="KUST - Civil Engineering"/>
    <n v="425760"/>
    <x v="35"/>
    <x v="114"/>
    <n v="5000"/>
    <n v="5000"/>
    <m/>
    <m/>
    <m/>
    <n v="5000"/>
    <m/>
    <m/>
    <m/>
    <m/>
    <n v="5000"/>
    <m/>
    <n v="4000"/>
    <n v="4000"/>
    <m/>
    <s v="N"/>
    <m/>
    <n v="5000"/>
    <n v="0"/>
    <n v="0"/>
    <n v="0"/>
    <n v="5000"/>
    <n v="5000"/>
    <n v="0"/>
    <n v="1000"/>
    <s v="847.8470325.1.425760.000000.847001.200179"/>
    <n v="5000"/>
    <n v="0"/>
    <n v="0"/>
    <n v="0"/>
    <n v="5000"/>
    <n v="0"/>
    <n v="0"/>
    <n v="0"/>
    <n v="4000"/>
    <n v="0"/>
    <n v="-4000"/>
  </r>
  <r>
    <x v="4"/>
    <s v="College of engineering"/>
    <s v="2 Other Operating Costs"/>
    <n v="8470325"/>
    <s v="KUST - Civil Engineering"/>
    <n v="425763"/>
    <x v="15"/>
    <x v="115"/>
    <n v="370000"/>
    <n v="370000"/>
    <n v="204324.33"/>
    <m/>
    <m/>
    <n v="165675.67000000001"/>
    <m/>
    <m/>
    <m/>
    <m/>
    <n v="165675.67000000001"/>
    <m/>
    <n v="72540.536000000007"/>
    <n v="72540.536000000007"/>
    <m/>
    <s v="N"/>
    <m/>
    <n v="370000"/>
    <n v="254324.33"/>
    <n v="0"/>
    <n v="0"/>
    <n v="115675.67000000001"/>
    <n v="115675.67"/>
    <n v="0"/>
    <n v="43135.134000000005"/>
    <s v="847.8470325.1.425763.000000.847001.200179"/>
    <n v="345000"/>
    <n v="254324.33"/>
    <n v="0"/>
    <n v="0"/>
    <n v="90675.67"/>
    <n v="0"/>
    <n v="0"/>
    <n v="0"/>
    <n v="72540.536000000007"/>
    <n v="254324.33"/>
    <n v="181783.79399999999"/>
  </r>
  <r>
    <x v="4"/>
    <s v="College of engineering"/>
    <s v="2 Other Operating Costs"/>
    <n v="8470325"/>
    <s v="KUST - Civil Engineering"/>
    <n v="425770"/>
    <x v="20"/>
    <x v="116"/>
    <n v="165000"/>
    <n v="88156"/>
    <n v="63135.35"/>
    <m/>
    <m/>
    <n v="25020.65"/>
    <m/>
    <m/>
    <m/>
    <m/>
    <n v="25020.65"/>
    <m/>
    <n v="10273.216"/>
    <n v="-21353.333999999999"/>
    <m/>
    <s v="N"/>
    <m/>
    <n v="88156"/>
    <n v="87368.44"/>
    <n v="0"/>
    <n v="0"/>
    <n v="787.55999999999767"/>
    <n v="787.55999999999801"/>
    <n v="0"/>
    <n v="-9485.6560000000027"/>
    <s v="847.8470325.1.425770.000000.847001.200179"/>
    <n v="108156"/>
    <n v="95314.48"/>
    <n v="0"/>
    <n v="0"/>
    <n v="12841.52"/>
    <n v="0"/>
    <n v="0"/>
    <n v="31626.55"/>
    <n v="-21353.333999999999"/>
    <n v="118994.99"/>
    <n v="148294.364"/>
  </r>
  <r>
    <x v="4"/>
    <s v="College of engineering"/>
    <s v="2 Other Operating Costs"/>
    <n v="8470325"/>
    <s v="KUST - Civil Engineering"/>
    <n v="426610"/>
    <x v="8"/>
    <x v="117"/>
    <n v="34910"/>
    <n v="34910"/>
    <n v="5509.5"/>
    <n v="0"/>
    <n v="11753.6"/>
    <n v="17646.900000000001"/>
    <m/>
    <m/>
    <m/>
    <m/>
    <n v="17646.900000000001"/>
    <m/>
    <n v="12182.080000000002"/>
    <n v="8399.0800000000017"/>
    <m/>
    <s v="N"/>
    <m/>
    <n v="34910"/>
    <n v="12928.8"/>
    <n v="0"/>
    <n v="11753.6"/>
    <n v="10227.6"/>
    <n v="10227.6"/>
    <n v="0"/>
    <n v="-1954.4800000000014"/>
    <s v="847.8470325.1.426610.000000.847001.200179"/>
    <n v="39910"/>
    <n v="12928.8"/>
    <n v="0"/>
    <n v="11753.6"/>
    <n v="15227.6"/>
    <n v="0"/>
    <n v="3783"/>
    <n v="0"/>
    <n v="8399.0800000000017"/>
    <n v="28465.4"/>
    <n v="20066.32"/>
  </r>
  <r>
    <x v="4"/>
    <s v="College of engineering"/>
    <s v="2 Other Operating Costs"/>
    <n v="8470325"/>
    <s v="KUST - Civil Engineering"/>
    <n v="428090"/>
    <x v="9"/>
    <x v="118"/>
    <n v="30000"/>
    <n v="0"/>
    <m/>
    <m/>
    <m/>
    <n v="0"/>
    <m/>
    <m/>
    <m/>
    <m/>
    <n v="0"/>
    <m/>
    <n v="0"/>
    <n v="0"/>
    <m/>
    <s v="N"/>
    <m/>
    <n v="0"/>
    <n v="0"/>
    <n v="0"/>
    <n v="0"/>
    <n v="0"/>
    <n v="0"/>
    <n v="0"/>
    <n v="0"/>
    <s v="847.8470325.1.428090.000000.847001.200179"/>
    <n v="0"/>
    <n v="0"/>
    <n v="0"/>
    <n v="0"/>
    <n v="0"/>
    <n v="0"/>
    <n v="0"/>
    <n v="0"/>
    <n v="0"/>
    <n v="0"/>
    <n v="0"/>
  </r>
  <r>
    <x v="4"/>
    <s v="College of engineering"/>
    <s v="2 Other Operating Costs"/>
    <n v="8470325"/>
    <s v="KUST - Civil Engineering"/>
    <n v="432209"/>
    <x v="32"/>
    <x v="119"/>
    <n v="171550"/>
    <n v="201550"/>
    <n v="142722"/>
    <n v="-9.0949470177292808E-12"/>
    <n v="30950"/>
    <n v="27878.000000000007"/>
    <m/>
    <m/>
    <m/>
    <m/>
    <n v="27878.000000000007"/>
    <m/>
    <n v="20694.400000000001"/>
    <n v="17008.900000000001"/>
    <m/>
    <s v="N"/>
    <m/>
    <n v="201550"/>
    <n v="165222"/>
    <n v="0"/>
    <n v="8450"/>
    <n v="27878"/>
    <n v="27878"/>
    <n v="0"/>
    <n v="7183.5999999999985"/>
    <s v="847.8470325.1.432209.000000.847001.200179"/>
    <n v="201550"/>
    <n v="167232"/>
    <n v="0"/>
    <n v="8450"/>
    <n v="25868"/>
    <n v="1575"/>
    <n v="2110.5"/>
    <n v="0"/>
    <n v="17008.900000000001"/>
    <n v="177357.5"/>
    <n v="162358.6"/>
  </r>
  <r>
    <x v="4"/>
    <s v="College of engineering"/>
    <s v="2 Other Operating Costs"/>
    <n v="8470325"/>
    <s v="KUST - Civil Engineering"/>
    <n v="435350"/>
    <x v="21"/>
    <x v="120"/>
    <n v="80000"/>
    <n v="43337"/>
    <n v="15857"/>
    <m/>
    <m/>
    <n v="27480"/>
    <m/>
    <m/>
    <m/>
    <m/>
    <n v="27480"/>
    <m/>
    <n v="21984"/>
    <n v="21984"/>
    <m/>
    <s v="N"/>
    <m/>
    <n v="43337"/>
    <n v="15857"/>
    <n v="0"/>
    <n v="0"/>
    <n v="27480"/>
    <n v="27480"/>
    <n v="0"/>
    <n v="5496"/>
    <s v="847.8470325.1.435350.000000.847001.200179"/>
    <n v="43337"/>
    <n v="15857"/>
    <n v="0"/>
    <n v="0"/>
    <n v="27480"/>
    <n v="0"/>
    <n v="0"/>
    <n v="0"/>
    <n v="21984"/>
    <n v="15857"/>
    <n v="-6127"/>
  </r>
  <r>
    <x v="4"/>
    <s v="College of engineering"/>
    <s v="2 Other Operating Costs"/>
    <n v="8470325"/>
    <s v="KUST - Civil Engineering"/>
    <n v="435508"/>
    <x v="33"/>
    <x v="121"/>
    <n v="92573"/>
    <n v="92573"/>
    <n v="37796.97"/>
    <n v="0"/>
    <n v="46312.06"/>
    <n v="8463.9700000000012"/>
    <m/>
    <m/>
    <m/>
    <m/>
    <n v="8463.9700000000012"/>
    <m/>
    <n v="5611.2480000000005"/>
    <n v="3220.4380000000006"/>
    <m/>
    <s v="N"/>
    <m/>
    <n v="92573"/>
    <n v="52728.94"/>
    <n v="0"/>
    <n v="32830"/>
    <n v="7014.0599999999977"/>
    <n v="7014.06"/>
    <n v="0"/>
    <n v="1402.8119999999972"/>
    <s v="847.8470325.1.435508.000000.847001.200179"/>
    <n v="92573"/>
    <n v="52728.94"/>
    <n v="0"/>
    <n v="32830"/>
    <n v="7014.06"/>
    <n v="0"/>
    <n v="2390.81"/>
    <n v="0"/>
    <n v="3220.4380000000006"/>
    <n v="87949.75"/>
    <n v="84729.312000000005"/>
  </r>
  <r>
    <x v="4"/>
    <s v="College of engineering"/>
    <s v="2 Other Operating Costs"/>
    <n v="8470330"/>
    <s v="KUST - Electrical &amp; Computer Engineering"/>
    <n v="420550"/>
    <x v="0"/>
    <x v="122"/>
    <n v="3000"/>
    <n v="3000"/>
    <m/>
    <m/>
    <m/>
    <n v="3000"/>
    <m/>
    <m/>
    <m/>
    <m/>
    <n v="3000"/>
    <m/>
    <n v="2400"/>
    <n v="2400"/>
    <m/>
    <s v="N"/>
    <m/>
    <n v="3000"/>
    <n v="0"/>
    <n v="0"/>
    <n v="0"/>
    <n v="3000"/>
    <n v="3000"/>
    <n v="0"/>
    <n v="600"/>
    <s v="847.8470330.1.420550.000000.847001.200179"/>
    <n v="3000"/>
    <n v="0"/>
    <n v="0"/>
    <n v="0"/>
    <n v="3000"/>
    <n v="0"/>
    <n v="0"/>
    <n v="0"/>
    <n v="2400"/>
    <n v="0"/>
    <n v="-2400"/>
  </r>
  <r>
    <x v="4"/>
    <s v="College of engineering"/>
    <s v="2 Other Operating Costs"/>
    <n v="8470330"/>
    <s v="KUST - Electrical &amp; Computer Engineering"/>
    <n v="425510"/>
    <x v="5"/>
    <x v="123"/>
    <n v="42000"/>
    <n v="42000"/>
    <n v="4400"/>
    <m/>
    <m/>
    <n v="37600"/>
    <m/>
    <m/>
    <m/>
    <m/>
    <n v="37600"/>
    <m/>
    <n v="22587.232000000004"/>
    <n v="22587.232000000004"/>
    <m/>
    <s v="N"/>
    <m/>
    <n v="42000"/>
    <n v="12820.96"/>
    <n v="0"/>
    <n v="0"/>
    <n v="29179.040000000001"/>
    <n v="29179.040000000001"/>
    <n v="0"/>
    <n v="6591.8079999999973"/>
    <s v="847.8470330.1.425510.000000.847001.200179"/>
    <n v="42000"/>
    <n v="12820.96"/>
    <n v="0"/>
    <n v="0"/>
    <n v="28234.04"/>
    <n v="0"/>
    <n v="0"/>
    <n v="0"/>
    <n v="22587.232000000004"/>
    <n v="12820.96"/>
    <n v="-9766.2720000000045"/>
  </r>
  <r>
    <x v="4"/>
    <s v="College of engineering"/>
    <s v="2 Other Operating Costs"/>
    <n v="8470330"/>
    <s v="KUST - Electrical &amp; Computer Engineering"/>
    <n v="425760"/>
    <x v="35"/>
    <x v="124"/>
    <n v="72000"/>
    <n v="72000"/>
    <m/>
    <m/>
    <m/>
    <n v="72000"/>
    <m/>
    <m/>
    <m/>
    <m/>
    <n v="72000"/>
    <m/>
    <n v="30080"/>
    <n v="30080"/>
    <m/>
    <s v="N"/>
    <m/>
    <n v="42000"/>
    <n v="0"/>
    <n v="0"/>
    <n v="0"/>
    <n v="42000"/>
    <n v="42000"/>
    <n v="0"/>
    <n v="11920"/>
    <s v="847.8470330.1.425760.000000.847001.200179"/>
    <n v="42000"/>
    <n v="4400"/>
    <n v="0"/>
    <n v="0"/>
    <n v="37600"/>
    <n v="0"/>
    <n v="0"/>
    <n v="0"/>
    <n v="30080"/>
    <n v="0"/>
    <n v="-25680"/>
  </r>
  <r>
    <x v="4"/>
    <s v="College of engineering"/>
    <s v="2 Other Operating Costs"/>
    <n v="8470330"/>
    <s v="KUST - Electrical &amp; Computer Engineering"/>
    <n v="425763"/>
    <x v="15"/>
    <x v="125"/>
    <n v="405000"/>
    <n v="405000"/>
    <n v="107000"/>
    <m/>
    <m/>
    <n v="298000"/>
    <m/>
    <m/>
    <m/>
    <m/>
    <n v="298000"/>
    <m/>
    <n v="186400"/>
    <n v="186400"/>
    <m/>
    <s v="N"/>
    <m/>
    <n v="405000"/>
    <n v="172000"/>
    <n v="0"/>
    <n v="0"/>
    <n v="233000"/>
    <n v="233000"/>
    <n v="0"/>
    <n v="46600"/>
    <s v="847.8470330.1.425763.000000.847001.200179"/>
    <n v="405000"/>
    <n v="172000"/>
    <n v="0"/>
    <n v="0"/>
    <n v="233000"/>
    <n v="0"/>
    <n v="0"/>
    <n v="0"/>
    <n v="186400"/>
    <n v="172000"/>
    <n v="-14400"/>
  </r>
  <r>
    <x v="4"/>
    <s v="College of engineering"/>
    <s v="2 Other Operating Costs"/>
    <n v="8470330"/>
    <s v="KUST - Electrical &amp; Computer Engineering"/>
    <n v="425770"/>
    <x v="20"/>
    <x v="126"/>
    <n v="650000"/>
    <n v="261686"/>
    <n v="115081.41"/>
    <m/>
    <m/>
    <n v="146604.59"/>
    <m/>
    <m/>
    <m/>
    <m/>
    <n v="146604.59"/>
    <m/>
    <n v="11534.232000000002"/>
    <n v="-44757.097999999998"/>
    <m/>
    <s v="N"/>
    <m/>
    <n v="261686"/>
    <n v="235435.37"/>
    <n v="0"/>
    <n v="0"/>
    <n v="26250.630000000005"/>
    <n v="26250.63"/>
    <n v="0"/>
    <n v="14716.398000000003"/>
    <s v="847.8470330.1.425770.000000.847001.200179"/>
    <n v="261686"/>
    <n v="247268.21"/>
    <n v="0"/>
    <n v="0"/>
    <n v="14417.79"/>
    <n v="7167.15"/>
    <n v="0"/>
    <n v="49124.18"/>
    <n v="-44757.097999999998"/>
    <n v="291726.7"/>
    <n v="348316.63799999998"/>
  </r>
  <r>
    <x v="4"/>
    <s v="College of engineering"/>
    <s v="2 Other Operating Costs"/>
    <n v="8470330"/>
    <s v="KUST - Electrical &amp; Computer Engineering"/>
    <n v="425900"/>
    <x v="7"/>
    <x v="127"/>
    <n v="16000"/>
    <n v="16000"/>
    <n v="1390"/>
    <m/>
    <m/>
    <n v="14610"/>
    <m/>
    <m/>
    <m/>
    <m/>
    <n v="14610"/>
    <m/>
    <n v="11243.2"/>
    <n v="11243.2"/>
    <m/>
    <s v="N"/>
    <m/>
    <n v="36000"/>
    <n v="6190"/>
    <n v="0"/>
    <n v="0"/>
    <n v="29810"/>
    <n v="29810"/>
    <n v="0"/>
    <n v="18566.8"/>
    <s v="847.8470330.1.425900.000000.847001.200179"/>
    <n v="36000"/>
    <n v="21190"/>
    <n v="0"/>
    <n v="0"/>
    <n v="14054"/>
    <n v="0"/>
    <n v="0"/>
    <n v="0"/>
    <n v="11243.2"/>
    <n v="6190"/>
    <n v="9946.7999999999993"/>
  </r>
  <r>
    <x v="4"/>
    <s v="College of engineering"/>
    <s v="2 Other Operating Costs"/>
    <n v="8470330"/>
    <s v="KUST - Electrical &amp; Computer Engineering"/>
    <n v="426610"/>
    <x v="8"/>
    <x v="128"/>
    <n v="720500"/>
    <n v="720500"/>
    <n v="391033.15"/>
    <n v="5.8207660913467401E-11"/>
    <n v="0"/>
    <n v="329466.84999999992"/>
    <m/>
    <m/>
    <m/>
    <m/>
    <n v="329466.84999999992"/>
    <m/>
    <n v="244613.47999999998"/>
    <n v="244613.47999999998"/>
    <m/>
    <s v="N"/>
    <m/>
    <n v="720500"/>
    <n v="391033.15"/>
    <n v="23310"/>
    <n v="0"/>
    <n v="306156.84999999998"/>
    <n v="306156.84999999998"/>
    <n v="0"/>
    <n v="61543.369999999995"/>
    <s v="847.8470330.1.426610.000000.847001.200179"/>
    <n v="720500"/>
    <n v="391033.15"/>
    <n v="0"/>
    <n v="23700"/>
    <n v="305766.84999999998"/>
    <n v="0"/>
    <n v="0"/>
    <n v="0"/>
    <n v="244613.47999999998"/>
    <n v="414343.15"/>
    <n v="170119.67000000004"/>
  </r>
  <r>
    <x v="4"/>
    <s v="College of engineering"/>
    <s v="2 Other Operating Costs"/>
    <n v="8470330"/>
    <s v="KUST - Electrical &amp; Computer Engineering"/>
    <n v="428640"/>
    <x v="11"/>
    <x v="129"/>
    <n v="302000"/>
    <n v="153251"/>
    <m/>
    <m/>
    <m/>
    <n v="153251"/>
    <m/>
    <m/>
    <m/>
    <m/>
    <n v="153251"/>
    <m/>
    <n v="122600.8"/>
    <n v="122600.8"/>
    <m/>
    <s v="N"/>
    <m/>
    <n v="153251"/>
    <n v="0"/>
    <n v="0"/>
    <n v="0"/>
    <n v="153251"/>
    <n v="153251"/>
    <n v="0"/>
    <n v="30650.199999999997"/>
    <s v="847.8470330.1.428640.000000.847001.200179"/>
    <n v="153251"/>
    <n v="0"/>
    <n v="0"/>
    <n v="0"/>
    <n v="153251"/>
    <n v="0"/>
    <n v="0"/>
    <n v="0"/>
    <n v="122600.8"/>
    <n v="0"/>
    <n v="-122600.8"/>
  </r>
  <r>
    <x v="4"/>
    <s v="College of engineering"/>
    <s v="2 Other Operating Costs"/>
    <n v="8470330"/>
    <s v="KUST - Electrical &amp; Computer Engineering"/>
    <n v="432209"/>
    <x v="32"/>
    <x v="130"/>
    <n v="67400"/>
    <n v="67400"/>
    <m/>
    <m/>
    <m/>
    <n v="67400"/>
    <m/>
    <m/>
    <m/>
    <m/>
    <n v="67400"/>
    <m/>
    <n v="50280"/>
    <n v="45463.618499999997"/>
    <m/>
    <s v="N"/>
    <m/>
    <n v="67400"/>
    <n v="4550"/>
    <n v="0"/>
    <n v="0"/>
    <n v="62850"/>
    <n v="62850"/>
    <n v="0"/>
    <n v="12570"/>
    <s v="847.8470330.1.432209.000000.847001.200179"/>
    <n v="67400"/>
    <n v="4550"/>
    <n v="0"/>
    <n v="0"/>
    <n v="62850"/>
    <n v="0"/>
    <n v="4816.3814999999995"/>
    <n v="0"/>
    <n v="45463.618499999997"/>
    <n v="9366.3814999999995"/>
    <n v="-36097.236999999994"/>
  </r>
  <r>
    <x v="4"/>
    <s v="College of engineering"/>
    <s v="2 Other Operating Costs"/>
    <n v="8470330"/>
    <s v="KUST - Electrical &amp; Computer Engineering"/>
    <n v="435340"/>
    <x v="36"/>
    <x v="131"/>
    <n v="0"/>
    <m/>
    <n v="0"/>
    <m/>
    <m/>
    <n v="0"/>
    <m/>
    <m/>
    <m/>
    <m/>
    <n v="0"/>
    <m/>
    <n v="0"/>
    <n v="0"/>
    <m/>
    <s v="N"/>
    <m/>
    <n v="0"/>
    <n v="0"/>
    <n v="0"/>
    <n v="0"/>
    <n v="0"/>
    <n v="0"/>
    <n v="0"/>
    <n v="0"/>
    <s v="847.8470330.1.435340.000000.847001.200179"/>
    <n v="0"/>
    <n v="0"/>
    <n v="0"/>
    <n v="0"/>
    <n v="0"/>
    <n v="0"/>
    <n v="0"/>
    <n v="0"/>
    <n v="0"/>
    <n v="0"/>
    <n v="0"/>
  </r>
  <r>
    <x v="4"/>
    <s v="College of engineering"/>
    <s v="2 Other Operating Costs"/>
    <n v="8470330"/>
    <s v="KUST - Electrical &amp; Computer Engineering"/>
    <n v="435350"/>
    <x v="21"/>
    <x v="132"/>
    <n v="420000"/>
    <n v="240114"/>
    <n v="100558.8"/>
    <m/>
    <m/>
    <n v="139555.20000000001"/>
    <m/>
    <m/>
    <m/>
    <m/>
    <n v="139555.20000000001"/>
    <m/>
    <n v="73923.952000000005"/>
    <n v="73923.952000000005"/>
    <m/>
    <s v="N"/>
    <m/>
    <n v="240114"/>
    <n v="133761.12"/>
    <n v="0"/>
    <n v="0"/>
    <n v="106352.88"/>
    <n v="106352.88"/>
    <n v="0"/>
    <n v="32428.928"/>
    <s v="847.8470330.1.435350.000000.847001.200179"/>
    <n v="240114"/>
    <n v="147709.06"/>
    <n v="0"/>
    <n v="0"/>
    <n v="92404.94"/>
    <n v="0"/>
    <n v="0"/>
    <n v="0"/>
    <n v="73923.952000000005"/>
    <n v="133761.12"/>
    <n v="73785.107999999993"/>
  </r>
  <r>
    <x v="4"/>
    <s v="College of engineering"/>
    <s v="2 Other Operating Costs"/>
    <n v="8470330"/>
    <s v="KUST - Electrical &amp; Computer Engineering"/>
    <n v="435508"/>
    <x v="33"/>
    <x v="133"/>
    <n v="20000"/>
    <n v="20000"/>
    <m/>
    <n v="-9.0949470177292804E-13"/>
    <n v="14673.64"/>
    <n v="5326.3600000000006"/>
    <m/>
    <m/>
    <m/>
    <m/>
    <n v="5326.3600000000006"/>
    <m/>
    <n v="4261.0879999999997"/>
    <n v="4261.0879999999997"/>
    <m/>
    <s v="N"/>
    <m/>
    <n v="20000"/>
    <n v="0"/>
    <n v="0"/>
    <n v="14673.64"/>
    <n v="5326.3600000000006"/>
    <n v="5326.36"/>
    <n v="0"/>
    <n v="1065.2720000000008"/>
    <s v="847.8470330.1.435508.000000.847001.200179"/>
    <n v="20000"/>
    <n v="0"/>
    <n v="0"/>
    <n v="14673.64"/>
    <n v="5326.36"/>
    <n v="0"/>
    <n v="0"/>
    <n v="0"/>
    <n v="4261.0879999999997"/>
    <n v="14673.64"/>
    <n v="10412.552"/>
  </r>
  <r>
    <x v="4"/>
    <s v="College of engineering"/>
    <s v="2 Other Operating Costs"/>
    <n v="8470330"/>
    <s v="KUST - Electrical &amp; Computer Engineering"/>
    <n v="436600"/>
    <x v="34"/>
    <x v="134"/>
    <n v="60000"/>
    <n v="60000"/>
    <m/>
    <m/>
    <n v="15740"/>
    <n v="44260"/>
    <m/>
    <m/>
    <m/>
    <m/>
    <n v="44260"/>
    <m/>
    <n v="35408"/>
    <n v="35408"/>
    <m/>
    <s v="N"/>
    <m/>
    <n v="60000"/>
    <n v="0"/>
    <n v="0"/>
    <n v="15740"/>
    <n v="44260"/>
    <n v="44260"/>
    <n v="0"/>
    <n v="8852"/>
    <s v="847.8470330.1.436600.000000.847001.200179"/>
    <n v="60000"/>
    <n v="0"/>
    <n v="0"/>
    <n v="15740"/>
    <n v="44260"/>
    <n v="0"/>
    <n v="0"/>
    <n v="0"/>
    <n v="35408"/>
    <n v="15740"/>
    <n v="-19668"/>
  </r>
  <r>
    <x v="4"/>
    <s v="College of engineering"/>
    <s v="2 Other Operating Costs"/>
    <n v="8470335"/>
    <s v="KUST - Industrial &amp; Systems Engineering"/>
    <n v="420550"/>
    <x v="0"/>
    <x v="135"/>
    <n v="10000"/>
    <n v="10000"/>
    <n v="7346"/>
    <m/>
    <m/>
    <n v="2654"/>
    <m/>
    <m/>
    <m/>
    <m/>
    <n v="2654"/>
    <m/>
    <n v="2123.2000000000003"/>
    <n v="2123.2000000000003"/>
    <m/>
    <s v="N"/>
    <m/>
    <n v="10000"/>
    <n v="7346"/>
    <n v="0"/>
    <n v="0"/>
    <n v="2654"/>
    <n v="2654"/>
    <n v="0"/>
    <n v="530.79999999999973"/>
    <s v="847.8470335.1.420550.000000.847001.200179"/>
    <n v="10000"/>
    <n v="7346"/>
    <n v="0"/>
    <n v="0"/>
    <n v="2654"/>
    <n v="0"/>
    <n v="0"/>
    <n v="0"/>
    <n v="2123.2000000000003"/>
    <n v="7346"/>
    <n v="5222.7999999999993"/>
  </r>
  <r>
    <x v="4"/>
    <s v="College of engineering"/>
    <s v="2 Other Operating Costs"/>
    <n v="8470335"/>
    <s v="KUST - Industrial &amp; Systems Engineering"/>
    <n v="425510"/>
    <x v="5"/>
    <x v="136"/>
    <n v="20000"/>
    <n v="20000"/>
    <m/>
    <m/>
    <m/>
    <n v="20000"/>
    <m/>
    <m/>
    <m/>
    <m/>
    <n v="20000"/>
    <m/>
    <n v="16600"/>
    <n v="16600"/>
    <m/>
    <s v="N"/>
    <m/>
    <n v="20000"/>
    <n v="0"/>
    <n v="0"/>
    <n v="0"/>
    <n v="20000"/>
    <n v="20000"/>
    <n v="0"/>
    <n v="3400"/>
    <s v="847.8470335.1.425510.000000.847001.200179"/>
    <n v="24500"/>
    <n v="3750"/>
    <n v="0"/>
    <n v="0"/>
    <n v="20750"/>
    <n v="0"/>
    <n v="0"/>
    <n v="0"/>
    <n v="16600"/>
    <n v="0"/>
    <n v="-12850"/>
  </r>
  <r>
    <x v="4"/>
    <s v="College of engineering"/>
    <s v="2 Other Operating Costs"/>
    <n v="8470335"/>
    <s v="KUST - Industrial &amp; Systems Engineering"/>
    <n v="425760"/>
    <x v="35"/>
    <x v="137"/>
    <n v="10000"/>
    <n v="10000"/>
    <m/>
    <m/>
    <m/>
    <n v="10000"/>
    <m/>
    <m/>
    <m/>
    <m/>
    <n v="10000"/>
    <m/>
    <n v="3653"/>
    <n v="3653"/>
    <m/>
    <s v="N"/>
    <m/>
    <n v="10000"/>
    <n v="0"/>
    <n v="0"/>
    <n v="0"/>
    <n v="10000"/>
    <n v="10000"/>
    <n v="0"/>
    <n v="6347"/>
    <s v="847.8470335.1.425760.000000.847001.200179"/>
    <n v="10000"/>
    <n v="5433.75"/>
    <n v="0"/>
    <n v="0"/>
    <n v="4566.25"/>
    <n v="0"/>
    <n v="0"/>
    <n v="0"/>
    <n v="3653"/>
    <n v="0"/>
    <n v="1780.75"/>
  </r>
  <r>
    <x v="4"/>
    <s v="College of engineering"/>
    <s v="2 Other Operating Costs"/>
    <n v="8470335"/>
    <s v="KUST - Industrial &amp; Systems Engineering"/>
    <n v="425763"/>
    <x v="15"/>
    <x v="138"/>
    <n v="50000"/>
    <n v="50000"/>
    <n v="30000"/>
    <m/>
    <m/>
    <n v="20000"/>
    <m/>
    <m/>
    <m/>
    <m/>
    <n v="20000"/>
    <m/>
    <n v="0"/>
    <n v="0"/>
    <m/>
    <s v="N"/>
    <m/>
    <n v="50000"/>
    <n v="50000"/>
    <n v="0"/>
    <n v="0"/>
    <n v="0"/>
    <n v="0"/>
    <n v="0"/>
    <n v="0"/>
    <s v="847.8470335.1.425763.000000.847001.200179"/>
    <n v="50000"/>
    <n v="50000"/>
    <n v="0"/>
    <n v="0"/>
    <n v="0"/>
    <n v="0"/>
    <n v="0"/>
    <n v="0"/>
    <n v="0"/>
    <n v="50000"/>
    <n v="50000"/>
  </r>
  <r>
    <x v="4"/>
    <s v="College of engineering"/>
    <s v="2 Other Operating Costs"/>
    <n v="8470335"/>
    <s v="KUST - Industrial &amp; Systems Engineering"/>
    <n v="425770"/>
    <x v="20"/>
    <x v="139"/>
    <n v="270000"/>
    <n v="92634"/>
    <n v="69491.100000000006"/>
    <m/>
    <m/>
    <n v="23142.899999999994"/>
    <m/>
    <m/>
    <m/>
    <m/>
    <n v="23142.899999999994"/>
    <m/>
    <n v="1546.3199999999922"/>
    <n v="-805.54000000000792"/>
    <m/>
    <s v="N"/>
    <m/>
    <n v="92634"/>
    <n v="90701.1"/>
    <n v="0"/>
    <n v="0"/>
    <n v="1932.8999999999942"/>
    <n v="1932.8999999999901"/>
    <n v="4.0927261579781771E-12"/>
    <n v="386.58000000000197"/>
    <s v="847.8470335.1.425770.000000.847001.200179"/>
    <n v="92634"/>
    <n v="90701.1"/>
    <n v="0"/>
    <n v="0"/>
    <n v="1932.8999999999901"/>
    <n v="2351.86"/>
    <n v="0"/>
    <n v="0"/>
    <n v="-805.54000000000792"/>
    <n v="93052.96"/>
    <n v="93858.500000000015"/>
  </r>
  <r>
    <x v="4"/>
    <s v="College of engineering"/>
    <s v="2 Other Operating Costs"/>
    <n v="8470335"/>
    <s v="KUST - Industrial &amp; Systems Engineering"/>
    <n v="425900"/>
    <x v="7"/>
    <x v="140"/>
    <n v="20000"/>
    <n v="20000"/>
    <m/>
    <m/>
    <m/>
    <n v="20000"/>
    <m/>
    <m/>
    <m/>
    <m/>
    <n v="20000"/>
    <m/>
    <n v="9124"/>
    <n v="9124"/>
    <m/>
    <s v="N"/>
    <m/>
    <n v="20000"/>
    <n v="0"/>
    <n v="0"/>
    <n v="0"/>
    <n v="20000"/>
    <n v="20000"/>
    <n v="0"/>
    <n v="10876"/>
    <s v="847.8470335.1.425900.000000.847001.200179"/>
    <n v="15500"/>
    <n v="4095"/>
    <n v="0"/>
    <n v="0"/>
    <n v="11405"/>
    <n v="0"/>
    <n v="0"/>
    <n v="0"/>
    <n v="9124"/>
    <n v="0"/>
    <n v="-5029"/>
  </r>
  <r>
    <x v="4"/>
    <s v="College of engineering"/>
    <s v="2 Other Operating Costs"/>
    <n v="8470335"/>
    <s v="KUST - Industrial &amp; Systems Engineering"/>
    <n v="426610"/>
    <x v="8"/>
    <x v="141"/>
    <n v="150257"/>
    <n v="160257"/>
    <n v="120819.09"/>
    <n v="15473.61"/>
    <n v="17672.54"/>
    <n v="6291.760000000002"/>
    <m/>
    <m/>
    <m/>
    <m/>
    <n v="6291.760000000002"/>
    <m/>
    <n v="4541.0240000000003"/>
    <n v="4541.0240000000003"/>
    <m/>
    <s v="N"/>
    <m/>
    <n v="160257"/>
    <n v="131289.09"/>
    <n v="0"/>
    <n v="20067.07"/>
    <n v="8900.8400000000038"/>
    <n v="8900.84"/>
    <n v="0"/>
    <n v="4359.8160000000034"/>
    <s v="847.8470335.1.426610.000000.847001.200179"/>
    <n v="160257"/>
    <n v="141786.19"/>
    <n v="0"/>
    <n v="12794.53"/>
    <n v="5676.28"/>
    <n v="0"/>
    <n v="0"/>
    <n v="0"/>
    <n v="4541.0240000000003"/>
    <n v="151356.16"/>
    <n v="150039.696"/>
  </r>
  <r>
    <x v="4"/>
    <s v="College of engineering"/>
    <s v="2 Other Operating Costs"/>
    <n v="8470335"/>
    <s v="KUST - Industrial &amp; Systems Engineering"/>
    <n v="428090"/>
    <x v="9"/>
    <x v="142"/>
    <n v="40000"/>
    <n v="5898"/>
    <m/>
    <m/>
    <m/>
    <n v="5898"/>
    <m/>
    <m/>
    <m/>
    <m/>
    <n v="5898"/>
    <m/>
    <n v="4718.4000000000005"/>
    <n v="4718.4000000000005"/>
    <m/>
    <s v="N"/>
    <m/>
    <n v="5898"/>
    <n v="0"/>
    <n v="0"/>
    <n v="0"/>
    <n v="5898"/>
    <n v="5898"/>
    <n v="0"/>
    <n v="1179.5999999999995"/>
    <s v="847.8470335.1.428090.000000.847001.200179"/>
    <n v="5898"/>
    <n v="0"/>
    <n v="0"/>
    <n v="0"/>
    <n v="5898"/>
    <n v="0"/>
    <n v="0"/>
    <n v="0"/>
    <n v="4718.4000000000005"/>
    <n v="0"/>
    <n v="-4718.4000000000005"/>
  </r>
  <r>
    <x v="4"/>
    <s v="College of engineering"/>
    <s v="2 Other Operating Costs"/>
    <n v="8470335"/>
    <s v="KUST - Industrial &amp; Systems Engineering"/>
    <n v="435350"/>
    <x v="21"/>
    <x v="143"/>
    <n v="51520"/>
    <n v="30484"/>
    <n v="14432.71"/>
    <m/>
    <m/>
    <n v="16051.29"/>
    <m/>
    <m/>
    <m/>
    <m/>
    <n v="16051.29"/>
    <m/>
    <n v="5475.4320000000007"/>
    <n v="-3731.5679999999993"/>
    <m/>
    <s v="N"/>
    <m/>
    <n v="30484"/>
    <n v="14432.71"/>
    <n v="0"/>
    <n v="0"/>
    <n v="16051.29"/>
    <n v="16051.29"/>
    <n v="0"/>
    <n v="10575.858"/>
    <s v="847.8470335.1.435350.000000.847001.200179"/>
    <n v="30484"/>
    <n v="23639.71"/>
    <n v="0"/>
    <n v="0"/>
    <n v="6844.29"/>
    <n v="9207"/>
    <n v="0"/>
    <n v="0"/>
    <n v="-3731.5679999999993"/>
    <n v="23639.71"/>
    <n v="36578.277999999998"/>
  </r>
  <r>
    <x v="4"/>
    <s v="College of engineering"/>
    <s v="2 Other Operating Costs"/>
    <n v="8470335"/>
    <s v="KUST - Industrial &amp; Systems Engineering"/>
    <n v="435508"/>
    <x v="33"/>
    <x v="144"/>
    <n v="139000"/>
    <n v="243000"/>
    <n v="230323.61"/>
    <n v="-5.4569682106375702E-12"/>
    <n v="11024.51"/>
    <n v="1651.8800000000192"/>
    <m/>
    <m/>
    <m/>
    <m/>
    <n v="1651.8800000000192"/>
    <m/>
    <n v="3373.5040000000081"/>
    <n v="3373.5040000000081"/>
    <m/>
    <s v="N"/>
    <m/>
    <n v="246500"/>
    <n v="230323.61"/>
    <n v="0"/>
    <n v="11024.51"/>
    <n v="5151.8800000000138"/>
    <n v="5151.8800000000101"/>
    <n v="0"/>
    <n v="1778.3760000000057"/>
    <s v="847.8470335.1.435508.000000.847001.200179"/>
    <n v="246500"/>
    <n v="231258.61"/>
    <n v="0"/>
    <n v="11024.51"/>
    <n v="4216.8800000000101"/>
    <n v="0"/>
    <n v="0"/>
    <n v="0"/>
    <n v="3373.5040000000081"/>
    <n v="241348.12"/>
    <n v="238909.61599999998"/>
  </r>
  <r>
    <x v="4"/>
    <s v="College of engineering"/>
    <s v="2 Other Operating Costs"/>
    <n v="8470335"/>
    <s v="KUST - Industrial &amp; Systems Engineering"/>
    <n v="436110"/>
    <x v="31"/>
    <x v="145"/>
    <n v="4000"/>
    <n v="4000"/>
    <m/>
    <m/>
    <m/>
    <n v="4000"/>
    <m/>
    <m/>
    <m/>
    <m/>
    <n v="4000"/>
    <m/>
    <n v="400"/>
    <n v="400"/>
    <m/>
    <s v="N"/>
    <m/>
    <n v="500"/>
    <n v="0"/>
    <n v="0"/>
    <n v="0"/>
    <n v="500"/>
    <n v="500"/>
    <n v="0"/>
    <n v="100"/>
    <s v="847.8470335.1.436110.000000.847001.200179"/>
    <n v="500"/>
    <n v="0"/>
    <n v="0"/>
    <n v="0"/>
    <n v="500"/>
    <n v="0"/>
    <n v="0"/>
    <n v="0"/>
    <n v="400"/>
    <n v="0"/>
    <n v="-400"/>
  </r>
  <r>
    <x v="4"/>
    <s v="College of engineering"/>
    <s v="2 Other Operating Costs"/>
    <n v="8470335"/>
    <s v="KUST - Industrial &amp; Systems Engineering"/>
    <n v="436600"/>
    <x v="34"/>
    <x v="146"/>
    <n v="12000"/>
    <n v="12000"/>
    <n v="11500"/>
    <n v="0"/>
    <n v="0"/>
    <n v="500"/>
    <m/>
    <m/>
    <m/>
    <m/>
    <n v="500"/>
    <m/>
    <n v="400"/>
    <n v="400"/>
    <m/>
    <s v="N"/>
    <m/>
    <n v="12000"/>
    <n v="11500"/>
    <n v="0"/>
    <n v="0"/>
    <n v="500"/>
    <n v="500"/>
    <n v="0"/>
    <n v="100"/>
    <s v="847.8470335.1.436600.000000.847001.200179"/>
    <n v="12000"/>
    <n v="11500"/>
    <n v="0"/>
    <n v="0"/>
    <n v="500"/>
    <n v="0"/>
    <n v="0"/>
    <n v="0"/>
    <n v="400"/>
    <n v="11500"/>
    <n v="11100"/>
  </r>
  <r>
    <x v="4"/>
    <s v="College of engineering"/>
    <s v="2 Other Operating Costs"/>
    <n v="8470340"/>
    <s v="KUST - Mechanical Engineering"/>
    <n v="420550"/>
    <x v="0"/>
    <x v="147"/>
    <n v="3000"/>
    <n v="3000"/>
    <m/>
    <m/>
    <m/>
    <n v="3000"/>
    <m/>
    <m/>
    <m/>
    <m/>
    <n v="3000"/>
    <m/>
    <n v="0"/>
    <n v="0"/>
    <m/>
    <s v="N"/>
    <m/>
    <n v="0"/>
    <n v="0"/>
    <n v="0"/>
    <n v="0"/>
    <n v="0"/>
    <n v="0"/>
    <n v="0"/>
    <n v="0"/>
    <s v="847.8470340.1.420550.000000.847001.200179"/>
    <n v="0"/>
    <n v="0"/>
    <n v="0"/>
    <n v="0"/>
    <n v="0"/>
    <n v="0"/>
    <n v="0"/>
    <n v="0"/>
    <n v="0"/>
    <n v="0"/>
    <n v="0"/>
  </r>
  <r>
    <x v="4"/>
    <s v="College of engineering"/>
    <s v="2 Other Operating Costs"/>
    <n v="8470340"/>
    <s v="KUST - Mechanical Engineering"/>
    <n v="425510"/>
    <x v="5"/>
    <x v="148"/>
    <n v="10000"/>
    <n v="10000"/>
    <m/>
    <m/>
    <m/>
    <n v="10000"/>
    <m/>
    <m/>
    <m/>
    <m/>
    <n v="10000"/>
    <m/>
    <n v="8000"/>
    <n v="8000"/>
    <m/>
    <s v="N"/>
    <m/>
    <n v="10000"/>
    <n v="0"/>
    <n v="0"/>
    <n v="0"/>
    <n v="10000"/>
    <n v="10000"/>
    <n v="0"/>
    <n v="2000"/>
    <s v="847.8470340.1.425510.000000.847001.200179"/>
    <n v="10000"/>
    <n v="0"/>
    <n v="0"/>
    <n v="0"/>
    <n v="10000"/>
    <n v="0"/>
    <n v="0"/>
    <n v="0"/>
    <n v="8000"/>
    <n v="0"/>
    <n v="-8000"/>
  </r>
  <r>
    <x v="4"/>
    <s v="College of engineering"/>
    <s v="2 Other Operating Costs"/>
    <n v="8470340"/>
    <s v="KUST - Mechanical Engineering"/>
    <n v="425720"/>
    <x v="37"/>
    <x v="149"/>
    <n v="30000"/>
    <n v="30000"/>
    <m/>
    <m/>
    <m/>
    <n v="30000"/>
    <m/>
    <m/>
    <m/>
    <m/>
    <n v="30000"/>
    <m/>
    <n v="186.584"/>
    <n v="186.584"/>
    <m/>
    <s v="N"/>
    <m/>
    <n v="30000"/>
    <n v="0"/>
    <n v="29950"/>
    <n v="0"/>
    <n v="50"/>
    <n v="50"/>
    <n v="0"/>
    <n v="-136.584"/>
    <s v="847.8470340.1.425720.000000.847001.200179"/>
    <n v="30000"/>
    <n v="0"/>
    <n v="0"/>
    <n v="29766.77"/>
    <n v="233.23"/>
    <n v="0"/>
    <n v="0"/>
    <n v="0"/>
    <n v="186.584"/>
    <n v="29950"/>
    <n v="29580.186000000002"/>
  </r>
  <r>
    <x v="4"/>
    <s v="College of engineering"/>
    <s v="2 Other Operating Costs"/>
    <n v="8470340"/>
    <s v="KUST - Mechanical Engineering"/>
    <n v="425760"/>
    <x v="35"/>
    <x v="150"/>
    <n v="12000"/>
    <n v="12000"/>
    <m/>
    <m/>
    <m/>
    <n v="12000"/>
    <m/>
    <m/>
    <m/>
    <m/>
    <n v="12000"/>
    <m/>
    <n v="9600"/>
    <n v="9600"/>
    <m/>
    <s v="N"/>
    <m/>
    <n v="12000"/>
    <n v="0"/>
    <n v="0"/>
    <n v="0"/>
    <n v="12000"/>
    <n v="12000"/>
    <n v="0"/>
    <n v="2400"/>
    <s v="847.8470340.1.425760.000000.847001.200179"/>
    <n v="12000"/>
    <n v="0"/>
    <n v="0"/>
    <n v="0"/>
    <n v="12000"/>
    <n v="0"/>
    <n v="0"/>
    <n v="0"/>
    <n v="9600"/>
    <n v="0"/>
    <n v="-9600"/>
  </r>
  <r>
    <x v="4"/>
    <s v="College of engineering"/>
    <s v="2 Other Operating Costs"/>
    <n v="8470340"/>
    <s v="KUST - Mechanical Engineering"/>
    <n v="425763"/>
    <x v="15"/>
    <x v="151"/>
    <n v="480000"/>
    <n v="460000"/>
    <n v="304083.32"/>
    <m/>
    <m/>
    <n v="155916.68"/>
    <m/>
    <m/>
    <m/>
    <m/>
    <n v="155916.68"/>
    <m/>
    <n v="23797.320000000003"/>
    <n v="23797.320000000003"/>
    <m/>
    <s v="N"/>
    <m/>
    <n v="460000"/>
    <n v="377346.3"/>
    <n v="0"/>
    <n v="0"/>
    <n v="82653.700000000012"/>
    <n v="82653.699999999895"/>
    <n v="1.1641532182693481E-10"/>
    <n v="58856.380000000005"/>
    <s v="847.8470340.1.425763.000000.847001.200179"/>
    <n v="460000"/>
    <n v="430253.35"/>
    <n v="0"/>
    <n v="0"/>
    <n v="29746.65"/>
    <n v="0"/>
    <n v="0"/>
    <n v="0"/>
    <n v="23797.320000000003"/>
    <n v="377346.3"/>
    <n v="406456.02999999997"/>
  </r>
  <r>
    <x v="4"/>
    <s v="College of engineering"/>
    <s v="2 Other Operating Costs"/>
    <n v="8470340"/>
    <s v="KUST - Mechanical Engineering"/>
    <n v="425770"/>
    <x v="20"/>
    <x v="152"/>
    <n v="630000"/>
    <n v="325724"/>
    <n v="108520.2"/>
    <m/>
    <m/>
    <n v="217203.8"/>
    <m/>
    <m/>
    <m/>
    <m/>
    <n v="217203.8"/>
    <m/>
    <n v="117729.76000000001"/>
    <n v="47719.200000000012"/>
    <m/>
    <s v="N"/>
    <m/>
    <n v="325724"/>
    <n v="160141.79999999999"/>
    <n v="0"/>
    <n v="0"/>
    <n v="165582.20000000001"/>
    <n v="165582.20000000001"/>
    <n v="0"/>
    <n v="47852.44"/>
    <s v="847.8470340.1.425770.000000.847001.200179"/>
    <n v="325724"/>
    <n v="178561.8"/>
    <n v="0"/>
    <n v="0"/>
    <n v="147162.20000000001"/>
    <n v="4199.6500000000005"/>
    <n v="0"/>
    <n v="65810.91"/>
    <n v="47719.200000000012"/>
    <n v="230152.36"/>
    <n v="200853.15999999997"/>
  </r>
  <r>
    <x v="4"/>
    <s v="College of engineering"/>
    <s v="2 Other Operating Costs"/>
    <n v="8470340"/>
    <s v="KUST - Mechanical Engineering"/>
    <n v="425900"/>
    <x v="7"/>
    <x v="153"/>
    <n v="54000"/>
    <n v="54000"/>
    <n v="11997.25"/>
    <n v="8800"/>
    <n v="0"/>
    <n v="33202.75"/>
    <m/>
    <m/>
    <m/>
    <m/>
    <n v="33202.75"/>
    <m/>
    <n v="26562.2"/>
    <n v="26562.2"/>
    <m/>
    <s v="N"/>
    <m/>
    <n v="54000"/>
    <n v="11997.25"/>
    <n v="8800"/>
    <n v="0"/>
    <n v="33202.75"/>
    <n v="33202.75"/>
    <n v="0"/>
    <n v="6640.5499999999993"/>
    <s v="847.8470340.1.425900.000000.847001.200179"/>
    <n v="54000"/>
    <n v="11997.25"/>
    <n v="8800"/>
    <n v="0"/>
    <n v="33202.75"/>
    <n v="0"/>
    <n v="0"/>
    <n v="0"/>
    <n v="26562.2"/>
    <n v="20797.25"/>
    <n v="-5764.9500000000007"/>
  </r>
  <r>
    <x v="4"/>
    <s v="College of engineering"/>
    <s v="2 Other Operating Costs"/>
    <n v="8470340"/>
    <s v="KUST - Mechanical Engineering"/>
    <n v="426610"/>
    <x v="8"/>
    <x v="154"/>
    <n v="210000"/>
    <n v="210000"/>
    <n v="149475.72"/>
    <n v="0"/>
    <n v="26251.34"/>
    <n v="34272.94"/>
    <m/>
    <m/>
    <m/>
    <m/>
    <n v="34272.94"/>
    <m/>
    <n v="6328.2880000000159"/>
    <n v="4965.708000000016"/>
    <m/>
    <s v="N"/>
    <m/>
    <n v="185000"/>
    <n v="175727.06"/>
    <n v="0"/>
    <n v="0"/>
    <n v="9272.9400000000023"/>
    <n v="9272.94"/>
    <n v="0"/>
    <n v="2944.6519999999864"/>
    <s v="847.8470340.1.426610.000000.847001.200179"/>
    <n v="185000"/>
    <n v="177089.64"/>
    <n v="0"/>
    <n v="0"/>
    <n v="7910.3600000000197"/>
    <n v="1362.58"/>
    <n v="0"/>
    <n v="0"/>
    <n v="4965.708000000016"/>
    <n v="177089.63999999998"/>
    <n v="173486.51199999999"/>
  </r>
  <r>
    <x v="4"/>
    <s v="College of engineering"/>
    <s v="2 Other Operating Costs"/>
    <n v="8470340"/>
    <s v="KUST - Mechanical Engineering"/>
    <n v="432209"/>
    <x v="32"/>
    <x v="155"/>
    <n v="80000"/>
    <n v="100000"/>
    <n v="20000"/>
    <n v="0"/>
    <n v="74500"/>
    <n v="5500"/>
    <m/>
    <m/>
    <m/>
    <m/>
    <n v="5500"/>
    <m/>
    <n v="0"/>
    <n v="0"/>
    <m/>
    <s v="N"/>
    <m/>
    <n v="94500"/>
    <n v="20000"/>
    <n v="0"/>
    <n v="74500"/>
    <n v="0"/>
    <n v="0"/>
    <n v="0"/>
    <n v="0"/>
    <s v="847.8470340.1.432209.000000.847001.200179"/>
    <n v="94500"/>
    <n v="20000"/>
    <n v="0"/>
    <n v="74500"/>
    <n v="0"/>
    <n v="0"/>
    <n v="0"/>
    <n v="0"/>
    <n v="0"/>
    <n v="94500"/>
    <n v="94500"/>
  </r>
  <r>
    <x v="4"/>
    <s v="College of engineering"/>
    <s v="2 Other Operating Costs"/>
    <n v="8470340"/>
    <s v="KUST - Mechanical Engineering"/>
    <n v="435350"/>
    <x v="21"/>
    <x v="156"/>
    <n v="336000"/>
    <n v="199569"/>
    <n v="138526.07999999999"/>
    <m/>
    <m/>
    <n v="61042.920000000013"/>
    <m/>
    <m/>
    <m/>
    <m/>
    <n v="61042.920000000013"/>
    <m/>
    <n v="34053.520000000004"/>
    <n v="16500.320000000003"/>
    <m/>
    <s v="N"/>
    <m/>
    <n v="199569"/>
    <n v="157002.1"/>
    <n v="0"/>
    <n v="0"/>
    <n v="42566.899999999994"/>
    <n v="42566.9"/>
    <n v="0"/>
    <n v="8513.3799999999901"/>
    <s v="847.8470340.1.435350.000000.847001.200179"/>
    <n v="199569"/>
    <n v="157002.1"/>
    <n v="0"/>
    <n v="0"/>
    <n v="42566.9"/>
    <n v="12775.7"/>
    <n v="4777.5"/>
    <n v="0"/>
    <n v="16500.320000000003"/>
    <n v="174555.30000000002"/>
    <n v="158054.98000000001"/>
  </r>
  <r>
    <x v="4"/>
    <s v="College of engineering"/>
    <s v="2 Other Operating Costs"/>
    <n v="8470340"/>
    <s v="KUST - Mechanical Engineering"/>
    <n v="435508"/>
    <x v="33"/>
    <x v="157"/>
    <n v="264000"/>
    <n v="264000"/>
    <n v="239114.72"/>
    <n v="0"/>
    <n v="21000"/>
    <n v="3885.2799999999988"/>
    <m/>
    <m/>
    <m/>
    <m/>
    <n v="3885.2799999999988"/>
    <m/>
    <n v="11175.960000000001"/>
    <n v="8130.9600000000009"/>
    <m/>
    <s v="N"/>
    <m/>
    <n v="297500"/>
    <n v="243540.05"/>
    <n v="0"/>
    <n v="21000"/>
    <n v="32959.950000000012"/>
    <n v="32959.949999999997"/>
    <n v="0"/>
    <n v="21783.990000000013"/>
    <s v="847.8470340.1.435508.000000.847001.200179"/>
    <n v="297500"/>
    <n v="262530.05"/>
    <n v="0"/>
    <n v="21000"/>
    <n v="13969.95"/>
    <n v="0"/>
    <n v="3045"/>
    <n v="0"/>
    <n v="8130.9600000000009"/>
    <n v="267585.05"/>
    <n v="278444.08999999997"/>
  </r>
  <r>
    <x v="4"/>
    <s v="College of engineering"/>
    <s v="2 Other Operating Costs"/>
    <n v="8470345"/>
    <s v="KUST - Nuclear Engineering"/>
    <n v="420550"/>
    <x v="0"/>
    <x v="158"/>
    <n v="20000"/>
    <n v="20000"/>
    <m/>
    <m/>
    <m/>
    <n v="20000"/>
    <m/>
    <m/>
    <m/>
    <m/>
    <n v="20000"/>
    <m/>
    <n v="16000"/>
    <n v="16000"/>
    <m/>
    <s v="N"/>
    <m/>
    <n v="20000"/>
    <n v="0"/>
    <n v="0"/>
    <n v="0"/>
    <n v="20000"/>
    <n v="20000"/>
    <n v="0"/>
    <n v="4000"/>
    <s v="847.8470345.1.420550.000000.847001.200179"/>
    <n v="20000"/>
    <n v="0"/>
    <n v="0"/>
    <n v="0"/>
    <n v="20000"/>
    <n v="0"/>
    <n v="0"/>
    <n v="0"/>
    <n v="16000"/>
    <n v="0"/>
    <n v="-16000"/>
  </r>
  <r>
    <x v="4"/>
    <s v="College of engineering"/>
    <s v="2 Other Operating Costs"/>
    <n v="8470345"/>
    <s v="KUST - Nuclear Engineering"/>
    <n v="425510"/>
    <x v="5"/>
    <x v="159"/>
    <n v="30000"/>
    <n v="29700"/>
    <n v="6485"/>
    <m/>
    <m/>
    <n v="23215"/>
    <m/>
    <m/>
    <m/>
    <m/>
    <n v="23215"/>
    <m/>
    <n v="18572"/>
    <n v="18572"/>
    <m/>
    <s v="N"/>
    <m/>
    <n v="29700"/>
    <n v="6485"/>
    <n v="0"/>
    <n v="0"/>
    <n v="23215"/>
    <n v="23215"/>
    <n v="0"/>
    <n v="4643"/>
    <s v="847.8470345.1.425510.000000.847001.200179"/>
    <n v="29700"/>
    <n v="6485"/>
    <n v="0"/>
    <n v="0"/>
    <n v="23215"/>
    <n v="0"/>
    <n v="0"/>
    <n v="0"/>
    <n v="18572"/>
    <n v="6485"/>
    <n v="-12087"/>
  </r>
  <r>
    <x v="4"/>
    <s v="College of engineering"/>
    <s v="2 Other Operating Costs"/>
    <n v="8470345"/>
    <s v="KUST - Nuclear Engineering"/>
    <n v="425760"/>
    <x v="35"/>
    <x v="160"/>
    <n v="120000"/>
    <n v="120000"/>
    <m/>
    <m/>
    <m/>
    <n v="120000"/>
    <m/>
    <m/>
    <m/>
    <m/>
    <n v="120000"/>
    <m/>
    <n v="76000"/>
    <n v="61851.25"/>
    <m/>
    <s v="N"/>
    <m/>
    <n v="95000"/>
    <n v="0"/>
    <n v="0"/>
    <n v="0"/>
    <n v="95000"/>
    <n v="95000"/>
    <n v="0"/>
    <n v="19000"/>
    <s v="847.8470345.1.425760.000000.847001.200179"/>
    <n v="95000"/>
    <n v="0"/>
    <n v="0"/>
    <n v="0"/>
    <n v="95000"/>
    <n v="0"/>
    <n v="14148.75"/>
    <n v="0"/>
    <n v="61851.25"/>
    <n v="14148.75"/>
    <n v="-47702.5"/>
  </r>
  <r>
    <x v="4"/>
    <s v="College of engineering"/>
    <s v="2 Other Operating Costs"/>
    <n v="8470345"/>
    <s v="KUST - Nuclear Engineering"/>
    <n v="425770"/>
    <x v="20"/>
    <x v="161"/>
    <n v="105000"/>
    <n v="54987"/>
    <n v="4972.7700000000004"/>
    <m/>
    <m/>
    <n v="50014.229999999996"/>
    <m/>
    <m/>
    <m/>
    <m/>
    <n v="50014.229999999996"/>
    <m/>
    <n v="25147.384000000002"/>
    <n v="24646.944000000003"/>
    <m/>
    <s v="N"/>
    <m/>
    <n v="54987"/>
    <n v="23552.77"/>
    <n v="0"/>
    <n v="0"/>
    <n v="31434.23"/>
    <n v="31434.23"/>
    <n v="0"/>
    <n v="6286.8459999999977"/>
    <s v="847.8470345.1.425770.000000.847001.200179"/>
    <n v="54987"/>
    <n v="23552.77"/>
    <n v="0"/>
    <n v="0"/>
    <n v="31434.23"/>
    <n v="500.44"/>
    <n v="0"/>
    <n v="0"/>
    <n v="24646.944000000003"/>
    <n v="24053.21"/>
    <n v="-593.73400000000402"/>
  </r>
  <r>
    <x v="4"/>
    <s v="College of engineering"/>
    <s v="2 Other Operating Costs"/>
    <n v="8470345"/>
    <s v="KUST - Nuclear Engineering"/>
    <n v="425900"/>
    <x v="7"/>
    <x v="162"/>
    <n v="3000"/>
    <n v="3000"/>
    <m/>
    <m/>
    <m/>
    <n v="3000"/>
    <m/>
    <m/>
    <m/>
    <m/>
    <n v="3000"/>
    <m/>
    <n v="2400"/>
    <n v="2400"/>
    <m/>
    <s v="N"/>
    <m/>
    <n v="3000"/>
    <n v="0"/>
    <n v="0"/>
    <n v="0"/>
    <n v="3000"/>
    <n v="3000"/>
    <n v="0"/>
    <n v="600"/>
    <s v="847.8470345.1.425900.000000.847001.200179"/>
    <n v="3000"/>
    <n v="0"/>
    <n v="0"/>
    <n v="0"/>
    <n v="3000"/>
    <n v="0"/>
    <n v="0"/>
    <n v="0"/>
    <n v="2400"/>
    <n v="0"/>
    <n v="-2400"/>
  </r>
  <r>
    <x v="4"/>
    <s v="College of engineering"/>
    <s v="2 Other Operating Costs"/>
    <n v="8470345"/>
    <s v="KUST - Nuclear Engineering"/>
    <n v="426610"/>
    <x v="8"/>
    <x v="163"/>
    <n v="146983"/>
    <n v="146983"/>
    <n v="33069.589999999997"/>
    <n v="0"/>
    <n v="49585.5"/>
    <n v="64327.91"/>
    <m/>
    <m/>
    <m/>
    <m/>
    <n v="64327.91"/>
    <m/>
    <n v="2658.9279999999999"/>
    <n v="2658.9279999999999"/>
    <m/>
    <s v="N"/>
    <m/>
    <n v="146983"/>
    <n v="33069.589999999997"/>
    <n v="61004.25"/>
    <n v="49585.5"/>
    <n v="3323.6600000000035"/>
    <n v="3323.66"/>
    <n v="3.637978807091713E-12"/>
    <n v="664.73200000000361"/>
    <s v="847.8470345.1.426610.000000.847001.200179"/>
    <n v="146983"/>
    <n v="33069.589999999997"/>
    <n v="61004.25"/>
    <n v="49585.5"/>
    <n v="3323.66"/>
    <n v="0"/>
    <n v="0"/>
    <n v="0"/>
    <n v="2658.9279999999999"/>
    <n v="143659.34"/>
    <n v="141000.41200000001"/>
  </r>
  <r>
    <x v="4"/>
    <s v="College of engineering"/>
    <s v="2 Other Operating Costs"/>
    <n v="8470345"/>
    <s v="KUST - Nuclear Engineering"/>
    <n v="428090"/>
    <x v="9"/>
    <x v="164"/>
    <n v="44592"/>
    <n v="12617"/>
    <n v="1342.62"/>
    <m/>
    <m/>
    <n v="11274.380000000001"/>
    <m/>
    <m/>
    <m/>
    <m/>
    <n v="11274.380000000001"/>
    <m/>
    <n v="2859.5040000000004"/>
    <n v="2859.5040000000004"/>
    <m/>
    <s v="N"/>
    <m/>
    <n v="12617"/>
    <n v="9042.6200000000008"/>
    <n v="0"/>
    <n v="0"/>
    <n v="3574.3799999999992"/>
    <n v="3574.38"/>
    <n v="0"/>
    <n v="714.87599999999884"/>
    <s v="847.8470345.1.428090.000000.847001.200179"/>
    <n v="12617"/>
    <n v="9042.6200000000008"/>
    <n v="0"/>
    <n v="0"/>
    <n v="3574.38"/>
    <n v="0"/>
    <n v="0"/>
    <n v="0"/>
    <n v="2859.5040000000004"/>
    <n v="9042.6200000000008"/>
    <n v="6183.116"/>
  </r>
  <r>
    <x v="4"/>
    <s v="College of engineering"/>
    <s v="2 Other Operating Costs"/>
    <n v="8470345"/>
    <s v="KUST - Nuclear Engineering"/>
    <n v="435350"/>
    <x v="21"/>
    <x v="165"/>
    <n v="70000"/>
    <n v="38220"/>
    <n v="36455.15"/>
    <m/>
    <m/>
    <n v="1764.8499999999985"/>
    <m/>
    <m/>
    <m/>
    <m/>
    <n v="1764.8499999999985"/>
    <m/>
    <n v="8653.2960000000003"/>
    <n v="8653.2960000000003"/>
    <m/>
    <s v="N"/>
    <m/>
    <n v="63220"/>
    <n v="52403.38"/>
    <n v="0"/>
    <n v="0"/>
    <n v="10816.620000000003"/>
    <n v="10816.62"/>
    <n v="0"/>
    <n v="2163.3240000000023"/>
    <s v="847.8470345.1.435350.000000.847001.200179"/>
    <n v="63220"/>
    <n v="52403.38"/>
    <n v="0"/>
    <n v="0"/>
    <n v="10816.62"/>
    <n v="0"/>
    <n v="0"/>
    <n v="0"/>
    <n v="8653.2960000000003"/>
    <n v="52403.38"/>
    <n v="43750.083999999995"/>
  </r>
  <r>
    <x v="4"/>
    <s v="College of engineering"/>
    <s v="2 Other Operating Costs"/>
    <n v="8470345"/>
    <s v="KUST - Nuclear Engineering"/>
    <n v="435508"/>
    <x v="33"/>
    <x v="166"/>
    <n v="197477"/>
    <n v="197477"/>
    <n v="9458.35"/>
    <n v="-3.6379788070917101E-12"/>
    <n v="52884.67"/>
    <n v="135133.97999999998"/>
    <m/>
    <m/>
    <m/>
    <m/>
    <n v="135133.97999999998"/>
    <m/>
    <n v="99893.928000000014"/>
    <n v="97193.928000000014"/>
    <m/>
    <s v="N"/>
    <m/>
    <n v="197477"/>
    <n v="15161.93"/>
    <n v="0"/>
    <n v="49290.84"/>
    <n v="133024.23000000001"/>
    <n v="133024.23000000001"/>
    <n v="0"/>
    <n v="33130.301999999996"/>
    <s v="847.8470345.1.435508.000000.847001.200179"/>
    <n v="197477"/>
    <n v="24674.09"/>
    <n v="0"/>
    <n v="47935.5"/>
    <n v="124867.41"/>
    <n v="0"/>
    <n v="2700"/>
    <n v="0"/>
    <n v="97193.928000000014"/>
    <n v="67152.76999999999"/>
    <n v="-21884.338000000018"/>
  </r>
  <r>
    <x v="4"/>
    <s v="College of engineering"/>
    <s v="2 Other Operating Costs"/>
    <n v="8470345"/>
    <s v="KUST - Nuclear Engineering"/>
    <n v="436110"/>
    <x v="31"/>
    <x v="167"/>
    <n v="5742"/>
    <n v="5742"/>
    <n v="3328"/>
    <n v="0"/>
    <n v="0"/>
    <n v="2414"/>
    <m/>
    <m/>
    <m/>
    <m/>
    <n v="2414"/>
    <m/>
    <n v="1931.2"/>
    <n v="1931.2"/>
    <m/>
    <s v="N"/>
    <m/>
    <n v="5742"/>
    <n v="3328"/>
    <n v="0"/>
    <n v="0"/>
    <n v="2414"/>
    <n v="2414"/>
    <n v="0"/>
    <n v="482.79999999999995"/>
    <s v="847.8470345.1.436110.000000.847001.200179"/>
    <n v="5742"/>
    <n v="3328"/>
    <n v="0"/>
    <n v="0"/>
    <n v="2414"/>
    <n v="0"/>
    <n v="0"/>
    <n v="0"/>
    <n v="1931.2"/>
    <n v="3328"/>
    <n v="1396.8"/>
  </r>
  <r>
    <x v="4"/>
    <s v="College of engineering"/>
    <s v="2 Other Operating Costs"/>
    <n v="8470345"/>
    <s v="KUST - Nuclear Engineering"/>
    <n v="436600"/>
    <x v="34"/>
    <x v="168"/>
    <n v="9640"/>
    <n v="9640"/>
    <m/>
    <m/>
    <m/>
    <n v="9640"/>
    <m/>
    <m/>
    <m/>
    <m/>
    <n v="9640"/>
    <m/>
    <n v="3794.1760000000004"/>
    <n v="3794.1760000000004"/>
    <m/>
    <s v="N"/>
    <m/>
    <n v="9640"/>
    <n v="0"/>
    <n v="0"/>
    <n v="0"/>
    <n v="9640"/>
    <n v="9640"/>
    <n v="0"/>
    <n v="5845.8239999999996"/>
    <s v="847.8470345.1.436600.000000.847001.200179"/>
    <n v="9640"/>
    <n v="4897.28"/>
    <n v="0"/>
    <n v="0"/>
    <n v="4742.72"/>
    <n v="0"/>
    <n v="0"/>
    <n v="0"/>
    <n v="3794.1760000000004"/>
    <n v="0"/>
    <n v="1103.1039999999994"/>
  </r>
  <r>
    <x v="4"/>
    <s v="College of engineering"/>
    <s v="2 Other Operating Costs"/>
    <n v="8470350"/>
    <s v="KUST - Petroleum Engineering"/>
    <n v="425510"/>
    <x v="5"/>
    <x v="169"/>
    <n v="16000"/>
    <n v="16000"/>
    <n v="8414.2199999999993"/>
    <m/>
    <m/>
    <n v="7585.7800000000007"/>
    <m/>
    <m/>
    <m/>
    <m/>
    <n v="7585.7800000000007"/>
    <m/>
    <n v="8547.0240000000013"/>
    <n v="8547.0240000000013"/>
    <m/>
    <s v="N"/>
    <m/>
    <n v="19448"/>
    <n v="8764.2199999999993"/>
    <n v="0"/>
    <n v="0"/>
    <n v="10683.78"/>
    <n v="10683.78"/>
    <n v="0"/>
    <n v="2136.7559999999994"/>
    <s v="847.8470350.1.425510.000000.847001.200179"/>
    <n v="19448"/>
    <n v="8764.2199999999993"/>
    <n v="0"/>
    <n v="0"/>
    <n v="10683.78"/>
    <n v="0"/>
    <n v="0"/>
    <n v="0"/>
    <n v="8547.0240000000013"/>
    <n v="8764.2199999999993"/>
    <n v="217.19599999999809"/>
  </r>
  <r>
    <x v="4"/>
    <s v="College of engineering"/>
    <s v="2 Other Operating Costs"/>
    <n v="8470350"/>
    <s v="KUST - Petroleum Engineering"/>
    <n v="425760"/>
    <x v="35"/>
    <x v="170"/>
    <n v="25000"/>
    <n v="25000"/>
    <n v="682"/>
    <m/>
    <m/>
    <n v="24318"/>
    <m/>
    <m/>
    <m/>
    <m/>
    <n v="24318"/>
    <m/>
    <n v="15582.400000000001"/>
    <n v="9682.27"/>
    <m/>
    <s v="N"/>
    <m/>
    <n v="25000"/>
    <n v="682"/>
    <n v="0"/>
    <n v="0"/>
    <n v="24318"/>
    <n v="24318"/>
    <n v="0"/>
    <n v="8735.5999999999985"/>
    <s v="847.8470350.1.425760.000000.847001.200179"/>
    <n v="25000"/>
    <n v="5522"/>
    <n v="0"/>
    <n v="0"/>
    <n v="19478"/>
    <n v="5900.13"/>
    <n v="0"/>
    <n v="0"/>
    <n v="9682.27"/>
    <n v="6582.13"/>
    <n v="1739.8600000000006"/>
  </r>
  <r>
    <x v="4"/>
    <s v="College of engineering"/>
    <s v="2 Other Operating Costs"/>
    <n v="8470350"/>
    <s v="KUST - Petroleum Engineering"/>
    <n v="425763"/>
    <x v="15"/>
    <x v="171"/>
    <n v="30000"/>
    <n v="30000"/>
    <m/>
    <m/>
    <m/>
    <n v="30000"/>
    <m/>
    <m/>
    <m/>
    <m/>
    <n v="30000"/>
    <m/>
    <n v="0"/>
    <n v="0"/>
    <m/>
    <s v="N"/>
    <m/>
    <n v="0"/>
    <n v="0"/>
    <n v="0"/>
    <n v="0"/>
    <n v="0"/>
    <n v="0"/>
    <n v="0"/>
    <n v="0"/>
    <s v="847.8470350.1.425763.000000.847001.200179"/>
    <n v="0"/>
    <n v="0"/>
    <n v="0"/>
    <n v="0"/>
    <n v="0"/>
    <n v="0"/>
    <n v="0"/>
    <n v="0"/>
    <n v="0"/>
    <n v="0"/>
    <n v="0"/>
  </r>
  <r>
    <x v="4"/>
    <s v="College of engineering"/>
    <s v="2 Other Operating Costs"/>
    <n v="8470350"/>
    <s v="KUST - Petroleum Engineering"/>
    <n v="425770"/>
    <x v="20"/>
    <x v="172"/>
    <n v="150000"/>
    <n v="93739"/>
    <n v="52293.79"/>
    <m/>
    <m/>
    <n v="41445.21"/>
    <m/>
    <m/>
    <m/>
    <m/>
    <n v="41445.21"/>
    <m/>
    <n v="13432.592000000002"/>
    <n v="13432.592000000002"/>
    <m/>
    <s v="N"/>
    <m/>
    <n v="93739"/>
    <n v="76948.259999999995"/>
    <n v="0"/>
    <n v="0"/>
    <n v="16790.740000000005"/>
    <n v="16790.740000000002"/>
    <n v="0"/>
    <n v="3358.1480000000029"/>
    <s v="847.8470350.1.425770.000000.847001.200179"/>
    <n v="93739"/>
    <n v="76948.259999999995"/>
    <n v="0"/>
    <n v="0"/>
    <n v="16790.740000000002"/>
    <n v="0"/>
    <n v="0"/>
    <n v="0"/>
    <n v="13432.592000000002"/>
    <n v="76948.259999999995"/>
    <n v="63515.667999999991"/>
  </r>
  <r>
    <x v="4"/>
    <s v="College of engineering"/>
    <s v="2 Other Operating Costs"/>
    <n v="8470350"/>
    <s v="KUST - Petroleum Engineering"/>
    <n v="425900"/>
    <x v="7"/>
    <x v="173"/>
    <n v="8500"/>
    <n v="8500"/>
    <n v="2200"/>
    <m/>
    <m/>
    <n v="6300"/>
    <m/>
    <m/>
    <m/>
    <m/>
    <n v="6300"/>
    <m/>
    <n v="4065.3040000000001"/>
    <n v="2686.3040000000001"/>
    <m/>
    <s v="N"/>
    <m/>
    <n v="8500"/>
    <n v="3199.37"/>
    <n v="0"/>
    <n v="0"/>
    <n v="5300.63"/>
    <n v="5300.63"/>
    <n v="0"/>
    <n v="1235.326"/>
    <s v="847.8470350.1.425900.000000.847001.200179"/>
    <n v="8500"/>
    <n v="3418.37"/>
    <n v="0"/>
    <n v="0"/>
    <n v="5081.63"/>
    <n v="1379"/>
    <n v="0"/>
    <n v="0"/>
    <n v="2686.3040000000001"/>
    <n v="4578.37"/>
    <n v="2111.0659999999998"/>
  </r>
  <r>
    <x v="4"/>
    <s v="College of engineering"/>
    <s v="2 Other Operating Costs"/>
    <n v="8470350"/>
    <s v="KUST - Petroleum Engineering"/>
    <n v="426610"/>
    <x v="8"/>
    <x v="174"/>
    <n v="210200"/>
    <n v="210200"/>
    <n v="199954.87"/>
    <n v="0"/>
    <n v="-2.91038304567337E-11"/>
    <n v="10245.130000000034"/>
    <m/>
    <m/>
    <m/>
    <m/>
    <n v="10245.130000000034"/>
    <m/>
    <n v="8196.1039999999994"/>
    <n v="8196.1039999999994"/>
    <m/>
    <s v="N"/>
    <m/>
    <n v="210200"/>
    <n v="199954.87"/>
    <n v="0"/>
    <n v="0"/>
    <n v="10245.130000000005"/>
    <n v="10245.129999999999"/>
    <n v="0"/>
    <n v="2049.0260000000053"/>
    <s v="847.8470350.1.426610.000000.847001.200179"/>
    <n v="210200"/>
    <n v="199954.87"/>
    <n v="0"/>
    <n v="0"/>
    <n v="10245.129999999999"/>
    <n v="0"/>
    <n v="0"/>
    <n v="0"/>
    <n v="8196.1039999999994"/>
    <n v="199954.87"/>
    <n v="191758.766"/>
  </r>
  <r>
    <x v="4"/>
    <s v="College of engineering"/>
    <s v="2 Other Operating Costs"/>
    <n v="8470350"/>
    <s v="KUST - Petroleum Engineering"/>
    <n v="432209"/>
    <x v="32"/>
    <x v="175"/>
    <n v="305000"/>
    <n v="305000"/>
    <n v="15432"/>
    <n v="0"/>
    <n v="135365.45000000001"/>
    <n v="154202.54999999999"/>
    <m/>
    <m/>
    <m/>
    <m/>
    <n v="154202.54999999999"/>
    <m/>
    <n v="9748.8000000000011"/>
    <n v="9748.8000000000011"/>
    <m/>
    <s v="N"/>
    <m/>
    <n v="305000"/>
    <n v="80402"/>
    <n v="0"/>
    <n v="212412"/>
    <n v="12186"/>
    <n v="12186"/>
    <n v="0"/>
    <n v="2437.1999999999989"/>
    <s v="847.8470350.1.432209.000000.847001.200179"/>
    <n v="305000"/>
    <n v="80402"/>
    <n v="0"/>
    <n v="212412"/>
    <n v="12186"/>
    <n v="0"/>
    <n v="0"/>
    <n v="0"/>
    <n v="9748.8000000000011"/>
    <n v="292814"/>
    <n v="283065.2"/>
  </r>
  <r>
    <x v="4"/>
    <s v="College of engineering"/>
    <s v="2 Other Operating Costs"/>
    <n v="8470350"/>
    <s v="KUST - Petroleum Engineering"/>
    <n v="435340"/>
    <x v="36"/>
    <x v="176"/>
    <n v="10000"/>
    <n v="10000"/>
    <m/>
    <m/>
    <m/>
    <n v="10000"/>
    <m/>
    <m/>
    <m/>
    <m/>
    <n v="10000"/>
    <m/>
    <n v="8000"/>
    <n v="8000"/>
    <m/>
    <s v="N"/>
    <m/>
    <n v="10000"/>
    <n v="0"/>
    <n v="0"/>
    <n v="0"/>
    <n v="10000"/>
    <n v="10000"/>
    <n v="0"/>
    <n v="2000"/>
    <s v="847.8470350.1.435340.000000.847001.200179"/>
    <n v="10000"/>
    <n v="0"/>
    <n v="0"/>
    <n v="0"/>
    <n v="10000"/>
    <n v="0"/>
    <n v="0"/>
    <n v="0"/>
    <n v="8000"/>
    <n v="0"/>
    <n v="-8000"/>
  </r>
  <r>
    <x v="4"/>
    <s v="College of engineering"/>
    <s v="2 Other Operating Costs"/>
    <n v="8470350"/>
    <s v="KUST - Petroleum Engineering"/>
    <n v="435350"/>
    <x v="21"/>
    <x v="177"/>
    <n v="50000"/>
    <n v="27086"/>
    <n v="14298.4"/>
    <m/>
    <m/>
    <n v="12787.6"/>
    <m/>
    <m/>
    <m/>
    <m/>
    <n v="12787.6"/>
    <m/>
    <n v="16750.400000000001"/>
    <n v="16750.400000000001"/>
    <m/>
    <s v="N"/>
    <m/>
    <n v="57086"/>
    <n v="36148"/>
    <n v="0"/>
    <n v="0"/>
    <n v="20938"/>
    <n v="20938"/>
    <n v="0"/>
    <n v="4187.5999999999985"/>
    <s v="847.8470350.1.435350.000000.847001.200179"/>
    <n v="57086"/>
    <n v="36148"/>
    <n v="0"/>
    <n v="0"/>
    <n v="20938"/>
    <n v="0"/>
    <n v="0"/>
    <n v="0"/>
    <n v="16750.400000000001"/>
    <n v="36148"/>
    <n v="19397.599999999999"/>
  </r>
  <r>
    <x v="4"/>
    <s v="College of engineering"/>
    <s v="2 Other Operating Costs"/>
    <n v="8470350"/>
    <s v="KUST - Petroleum Engineering"/>
    <n v="435508"/>
    <x v="33"/>
    <x v="178"/>
    <n v="100000"/>
    <n v="100000"/>
    <n v="16073.55"/>
    <n v="1.8189894035458601E-12"/>
    <n v="18121.38"/>
    <n v="65805.069999999992"/>
    <m/>
    <m/>
    <m/>
    <m/>
    <n v="65805.069999999992"/>
    <m/>
    <n v="29598.28"/>
    <n v="24795.579999999998"/>
    <m/>
    <s v="N"/>
    <m/>
    <n v="100000"/>
    <n v="45924.56"/>
    <n v="0"/>
    <n v="7355.37"/>
    <n v="46720.07"/>
    <n v="46720.07"/>
    <n v="0"/>
    <n v="17121.79"/>
    <s v="847.8470350.1.435508.000000.847001.200179"/>
    <n v="100000"/>
    <n v="59025.93"/>
    <n v="0"/>
    <n v="3976.22"/>
    <n v="36997.85"/>
    <n v="0"/>
    <n v="4802.7"/>
    <n v="0"/>
    <n v="24795.579999999998"/>
    <n v="58082.63"/>
    <n v="43009.270000000004"/>
  </r>
  <r>
    <x v="4"/>
    <s v="College of engineering"/>
    <s v="2 Other Operating Costs"/>
    <n v="8470350"/>
    <s v="KUST - Petroleum Engineering"/>
    <n v="436110"/>
    <x v="31"/>
    <x v="179"/>
    <n v="7500"/>
    <n v="7500"/>
    <m/>
    <m/>
    <m/>
    <n v="7500"/>
    <m/>
    <m/>
    <m/>
    <m/>
    <n v="7500"/>
    <m/>
    <n v="0"/>
    <n v="0"/>
    <m/>
    <s v="N"/>
    <m/>
    <n v="0"/>
    <n v="0"/>
    <n v="0"/>
    <n v="0"/>
    <n v="0"/>
    <n v="0"/>
    <n v="0"/>
    <n v="0"/>
    <s v="847.8470350.1.436110.000000.847001.200179"/>
    <n v="0"/>
    <n v="0"/>
    <n v="0"/>
    <n v="0"/>
    <n v="0"/>
    <n v="0"/>
    <n v="0"/>
    <n v="0"/>
    <n v="0"/>
    <n v="0"/>
    <n v="0"/>
  </r>
  <r>
    <x v="4"/>
    <s v="College of engineering"/>
    <s v="2 Other Operating Costs"/>
    <n v="8470350"/>
    <s v="KUST - Petroleum Engineering"/>
    <n v="436600"/>
    <x v="34"/>
    <x v="180"/>
    <n v="60000"/>
    <n v="60000"/>
    <n v="6600"/>
    <n v="0"/>
    <n v="27500"/>
    <n v="25900"/>
    <m/>
    <m/>
    <m/>
    <m/>
    <n v="25900"/>
    <m/>
    <n v="1868.8000000000002"/>
    <n v="1868.8000000000002"/>
    <m/>
    <s v="N"/>
    <m/>
    <n v="64052"/>
    <n v="43500"/>
    <n v="19127"/>
    <n v="0"/>
    <n v="1425"/>
    <n v="1425"/>
    <n v="0"/>
    <n v="-443.80000000000018"/>
    <s v="847.8470350.1.436600.000000.847001.200179"/>
    <n v="64052"/>
    <n v="43500"/>
    <n v="18216"/>
    <n v="0"/>
    <n v="2336"/>
    <n v="0"/>
    <n v="0"/>
    <n v="0"/>
    <n v="1868.8000000000002"/>
    <n v="62627"/>
    <n v="59847.199999999997"/>
  </r>
  <r>
    <x v="5"/>
    <s v="College of Art &amp; science"/>
    <s v="2 Other Operating Costs"/>
    <n v="8470405"/>
    <s v="KUST - Dean Of Arts &amp; Science"/>
    <n v="420550"/>
    <x v="0"/>
    <x v="181"/>
    <n v="0"/>
    <n v="65692"/>
    <n v="64718.46"/>
    <m/>
    <m/>
    <n v="973.54000000000087"/>
    <m/>
    <m/>
    <m/>
    <m/>
    <n v="973.54000000000087"/>
    <m/>
    <n v="778.83200000000079"/>
    <n v="778.83200000000079"/>
    <m/>
    <s v="N"/>
    <m/>
    <n v="65692"/>
    <n v="64718.46"/>
    <n v="0"/>
    <n v="0"/>
    <n v="973.54000000000087"/>
    <n v="973.54000000000099"/>
    <n v="0"/>
    <n v="194.70800000000008"/>
    <s v="847.8470405.1.420550.000000.847001.200179"/>
    <n v="65692"/>
    <n v="64718.46"/>
    <n v="0"/>
    <n v="0"/>
    <n v="973.54000000000099"/>
    <n v="0"/>
    <n v="0"/>
    <n v="0"/>
    <n v="778.83200000000079"/>
    <n v="64718.46"/>
    <n v="63939.627999999997"/>
  </r>
  <r>
    <x v="5"/>
    <s v="College of Art &amp; science"/>
    <s v="2 Other Operating Costs"/>
    <n v="8470405"/>
    <s v="KUST - Dean Of Arts &amp; Science"/>
    <n v="421700"/>
    <x v="4"/>
    <x v="182"/>
    <n v="560000"/>
    <n v="500308"/>
    <n v="118354.26"/>
    <m/>
    <m/>
    <n v="381953.74"/>
    <m/>
    <m/>
    <m/>
    <m/>
    <n v="381953.74"/>
    <m/>
    <n v="266131.79200000002"/>
    <n v="266131.79200000002"/>
    <m/>
    <s v="N"/>
    <m/>
    <n v="500308"/>
    <n v="118354.26"/>
    <n v="0"/>
    <n v="0"/>
    <n v="381953.74"/>
    <n v="381953.74"/>
    <n v="0"/>
    <n v="115821.94799999997"/>
    <s v="847.8470405.1.421700.000000.847001.200179"/>
    <n v="451019"/>
    <n v="118354.26"/>
    <n v="0"/>
    <n v="0"/>
    <n v="332664.74"/>
    <n v="0"/>
    <n v="0"/>
    <n v="0"/>
    <n v="266131.79200000002"/>
    <n v="118354.26"/>
    <n v="-147777.53200000001"/>
  </r>
  <r>
    <x v="5"/>
    <s v="College of Art &amp; science"/>
    <s v="2 Other Operating Costs"/>
    <n v="8470405"/>
    <s v="KUST - Dean Of Arts &amp; Science"/>
    <n v="425510"/>
    <x v="5"/>
    <x v="183"/>
    <n v="15000"/>
    <n v="15000"/>
    <n v="22341.9"/>
    <m/>
    <m/>
    <n v="-7341.9000000000015"/>
    <m/>
    <m/>
    <m/>
    <m/>
    <n v="-7341.9000000000015"/>
    <m/>
    <n v="21426.520000000004"/>
    <n v="21426.520000000004"/>
    <n v="5873.5200000000013"/>
    <s v="N"/>
    <m/>
    <n v="15000"/>
    <n v="22341.9"/>
    <n v="0"/>
    <n v="0"/>
    <n v="-7341.9000000000015"/>
    <n v="27407.9"/>
    <n v="-34749.800000000003"/>
    <n v="-28768.420000000006"/>
    <s v="847.8470405.1.425510.000000.847001.200179"/>
    <n v="15000"/>
    <n v="22966.65"/>
    <n v="0"/>
    <n v="0"/>
    <n v="26783.15"/>
    <n v="0"/>
    <n v="0"/>
    <n v="0"/>
    <n v="21426.520000000004"/>
    <n v="22341.9"/>
    <n v="7413.6499999999978"/>
  </r>
  <r>
    <x v="5"/>
    <s v="College of Art &amp; science"/>
    <s v="2 Other Operating Costs"/>
    <n v="8470405"/>
    <s v="KUST - Dean Of Arts &amp; Science"/>
    <n v="425550"/>
    <x v="6"/>
    <x v="184"/>
    <n v="15000"/>
    <n v="15000"/>
    <n v="13957.9"/>
    <m/>
    <m/>
    <n v="1042.1000000000004"/>
    <m/>
    <m/>
    <m/>
    <m/>
    <n v="1042.1000000000004"/>
    <m/>
    <n v="833.68"/>
    <n v="833.68"/>
    <m/>
    <s v="N"/>
    <m/>
    <n v="19800"/>
    <n v="18757.900000000001"/>
    <n v="0"/>
    <n v="0"/>
    <n v="1042.0999999999985"/>
    <n v="1042.0999999999999"/>
    <n v="0"/>
    <n v="208.41999999999859"/>
    <s v="847.8470405.1.425550.000000.847001.200179"/>
    <n v="19800"/>
    <n v="18757.900000000001"/>
    <n v="0"/>
    <n v="0"/>
    <n v="1042.0999999999999"/>
    <n v="0"/>
    <n v="0"/>
    <n v="0"/>
    <n v="833.68"/>
    <n v="18757.900000000001"/>
    <n v="17924.22"/>
  </r>
  <r>
    <x v="5"/>
    <s v="College of Art &amp; science"/>
    <s v="2 Other Operating Costs"/>
    <n v="8470405"/>
    <s v="KUST - Dean Of Arts &amp; Science"/>
    <n v="425770"/>
    <x v="20"/>
    <x v="185"/>
    <n v="50000"/>
    <n v="32848"/>
    <n v="15471.72"/>
    <m/>
    <m/>
    <n v="17376.28"/>
    <m/>
    <m/>
    <m/>
    <m/>
    <n v="17376.28"/>
    <m/>
    <n v="1837.144"/>
    <n v="1837.144"/>
    <m/>
    <s v="N"/>
    <m/>
    <n v="32848"/>
    <n v="30551.57"/>
    <n v="0"/>
    <n v="0"/>
    <n v="2296.4300000000003"/>
    <n v="2296.4299999999998"/>
    <n v="0"/>
    <n v="459.28600000000029"/>
    <s v="847.8470405.1.425770.000000.847001.200179"/>
    <n v="32848"/>
    <n v="30551.57"/>
    <n v="0"/>
    <n v="0"/>
    <n v="2296.4299999999998"/>
    <n v="0"/>
    <n v="0"/>
    <n v="0"/>
    <n v="1837.144"/>
    <n v="30551.57"/>
    <n v="28714.425999999999"/>
  </r>
  <r>
    <x v="5"/>
    <s v="College of Art &amp; science"/>
    <s v="2 Other Operating Costs"/>
    <n v="8470405"/>
    <s v="KUST - Dean Of Arts &amp; Science"/>
    <n v="427710"/>
    <x v="13"/>
    <x v="186"/>
    <n v="12000"/>
    <n v="20175"/>
    <n v="20174.88"/>
    <m/>
    <m/>
    <n v="0.11999999999898137"/>
    <m/>
    <m/>
    <m/>
    <m/>
    <n v="0.11999999999898137"/>
    <m/>
    <n v="9.5999999999184807E-2"/>
    <n v="9.5999999999184807E-2"/>
    <m/>
    <s v="N"/>
    <m/>
    <n v="20175"/>
    <n v="20174.88"/>
    <n v="0"/>
    <n v="0"/>
    <n v="0.11999999999898137"/>
    <n v="0.11999999999898101"/>
    <n v="3.6082248300317588E-16"/>
    <n v="2.3999999999796559E-2"/>
    <s v="847.8470405.1.427710.000000.847001.200179"/>
    <n v="20175"/>
    <n v="20174.88"/>
    <n v="0"/>
    <n v="0"/>
    <n v="0.11999999999898101"/>
    <n v="0"/>
    <n v="0"/>
    <n v="0"/>
    <n v="9.5999999999184807E-2"/>
    <n v="20174.88"/>
    <n v="20174.784000000003"/>
  </r>
  <r>
    <x v="5"/>
    <s v="College of Art &amp; science"/>
    <s v="2 Other Operating Costs"/>
    <n v="8470405"/>
    <s v="KUST - Dean Of Arts &amp; Science"/>
    <n v="432209"/>
    <x v="32"/>
    <x v="187"/>
    <n v="200000"/>
    <n v="200000"/>
    <m/>
    <m/>
    <m/>
    <n v="200000"/>
    <m/>
    <m/>
    <m/>
    <m/>
    <n v="200000"/>
    <m/>
    <n v="160000"/>
    <n v="160000"/>
    <m/>
    <s v="N"/>
    <m/>
    <n v="200000"/>
    <n v="0"/>
    <n v="0"/>
    <n v="0"/>
    <n v="200000"/>
    <n v="200000"/>
    <n v="0"/>
    <n v="40000"/>
    <s v="847.8470405.1.432209.000000.847001.200179"/>
    <n v="200000"/>
    <n v="0"/>
    <n v="0"/>
    <n v="0"/>
    <n v="200000"/>
    <n v="0"/>
    <n v="0"/>
    <n v="0"/>
    <n v="160000"/>
    <n v="0"/>
    <n v="-160000"/>
  </r>
  <r>
    <x v="5"/>
    <s v="College of Art &amp; science"/>
    <s v="2 Other Operating Costs"/>
    <n v="8470405"/>
    <s v="KUST - Dean Of Arts &amp; Science"/>
    <n v="435350"/>
    <x v="21"/>
    <x v="188"/>
    <n v="30000"/>
    <n v="28100"/>
    <n v="28033.25"/>
    <m/>
    <m/>
    <n v="66.75"/>
    <m/>
    <m/>
    <m/>
    <m/>
    <n v="66.75"/>
    <m/>
    <n v="53.400000000000006"/>
    <n v="53.400000000000006"/>
    <m/>
    <s v="N"/>
    <m/>
    <n v="28100"/>
    <n v="28033.25"/>
    <n v="0"/>
    <n v="0"/>
    <n v="66.75"/>
    <n v="66.75"/>
    <n v="0"/>
    <n v="13.349999999999994"/>
    <s v="847.8470405.1.435350.000000.847001.200179"/>
    <n v="28100"/>
    <n v="28033.25"/>
    <n v="0"/>
    <n v="0"/>
    <n v="66.75"/>
    <n v="0"/>
    <n v="0"/>
    <n v="0"/>
    <n v="53.400000000000006"/>
    <n v="28033.25"/>
    <n v="27979.85"/>
  </r>
  <r>
    <x v="5"/>
    <s v="College of Art &amp; science"/>
    <s v="2 Other Operating Costs"/>
    <n v="8470410"/>
    <s v="KUST - Institute of International &amp; Civil Security"/>
    <n v="425761"/>
    <x v="29"/>
    <x v="189"/>
    <n v="162000"/>
    <n v="162000"/>
    <m/>
    <m/>
    <m/>
    <n v="162000"/>
    <m/>
    <m/>
    <m/>
    <m/>
    <n v="162000"/>
    <m/>
    <n v="94536"/>
    <n v="94536"/>
    <m/>
    <s v="N"/>
    <m/>
    <n v="118170"/>
    <n v="0"/>
    <n v="0"/>
    <n v="0"/>
    <n v="118170"/>
    <n v="118170"/>
    <n v="0"/>
    <n v="23634"/>
    <s v="847.8470410.1.425761.000000.847001.200179"/>
    <n v="118170"/>
    <n v="0"/>
    <n v="0"/>
    <n v="0"/>
    <n v="118170"/>
    <n v="0"/>
    <n v="0"/>
    <n v="0"/>
    <n v="94536"/>
    <n v="0"/>
    <n v="-94536"/>
  </r>
  <r>
    <x v="5"/>
    <s v="College of Art &amp; science"/>
    <s v="2 Other Operating Costs"/>
    <n v="8470410"/>
    <s v="KUST - Institute of International &amp; Civil Security"/>
    <n v="425770"/>
    <x v="20"/>
    <x v="190"/>
    <n v="120000"/>
    <n v="72566"/>
    <n v="42591"/>
    <m/>
    <m/>
    <n v="29975"/>
    <m/>
    <m/>
    <m/>
    <m/>
    <n v="29975"/>
    <m/>
    <n v="2540"/>
    <n v="-13204.22"/>
    <m/>
    <s v="N"/>
    <m/>
    <n v="72566"/>
    <n v="72529"/>
    <n v="0"/>
    <n v="0"/>
    <n v="37"/>
    <n v="37"/>
    <n v="0"/>
    <n v="-2503"/>
    <s v="847.8470410.1.425770.000000.847001.200179"/>
    <n v="75704"/>
    <n v="72529"/>
    <n v="0"/>
    <n v="0"/>
    <n v="3175"/>
    <n v="0"/>
    <n v="0"/>
    <n v="15744.22"/>
    <n v="-13204.22"/>
    <n v="88273.22"/>
    <n v="101477.44"/>
  </r>
  <r>
    <x v="5"/>
    <s v="College of Art &amp; science"/>
    <s v="2 Other Operating Costs"/>
    <n v="8470410"/>
    <s v="KUST - Institute of International &amp; Civil Security"/>
    <n v="426610"/>
    <x v="8"/>
    <x v="191"/>
    <n v="5600"/>
    <n v="5600"/>
    <n v="1612"/>
    <m/>
    <m/>
    <n v="3988"/>
    <m/>
    <m/>
    <m/>
    <m/>
    <n v="3988"/>
    <m/>
    <n v="3190.4"/>
    <n v="3190.4"/>
    <m/>
    <s v="N"/>
    <m/>
    <n v="5600"/>
    <n v="1612"/>
    <n v="0"/>
    <n v="0"/>
    <n v="3988"/>
    <n v="3988"/>
    <n v="0"/>
    <n v="797.59999999999991"/>
    <s v="847.8470410.1.426610.000000.847001.200179"/>
    <n v="5600"/>
    <n v="1612"/>
    <n v="0"/>
    <n v="0"/>
    <n v="3988"/>
    <n v="0"/>
    <n v="0"/>
    <n v="0"/>
    <n v="3190.4"/>
    <n v="1612"/>
    <n v="-1578.4"/>
  </r>
  <r>
    <x v="5"/>
    <s v="College of Art &amp; science"/>
    <s v="2 Other Operating Costs"/>
    <n v="8470410"/>
    <s v="KUST - Institute of International &amp; Civil Security"/>
    <n v="435310"/>
    <x v="18"/>
    <x v="192"/>
    <n v="85229"/>
    <n v="85229"/>
    <n v="12957.33"/>
    <n v="0"/>
    <m/>
    <n v="72271.67"/>
    <m/>
    <m/>
    <m/>
    <m/>
    <n v="72271.67"/>
    <m/>
    <n v="57817.336000000003"/>
    <n v="57486.766000000003"/>
    <m/>
    <s v="N"/>
    <m/>
    <n v="85229"/>
    <n v="12957.33"/>
    <n v="0"/>
    <n v="0"/>
    <n v="72271.67"/>
    <n v="72271.67"/>
    <n v="0"/>
    <n v="14454.333999999995"/>
    <s v="847.8470410.1.435310.000000.847001.200179"/>
    <n v="85229"/>
    <n v="12957.33"/>
    <n v="0"/>
    <n v="0"/>
    <n v="72271.67"/>
    <n v="330.57"/>
    <n v="0"/>
    <n v="0"/>
    <n v="57486.766000000003"/>
    <n v="13287.9"/>
    <n v="-44198.866000000002"/>
  </r>
  <r>
    <x v="5"/>
    <s v="College of Art &amp; science"/>
    <s v="2 Other Operating Costs"/>
    <n v="8470410"/>
    <s v="KUST - Institute of International &amp; Civil Security"/>
    <n v="435350"/>
    <x v="21"/>
    <x v="193"/>
    <n v="17900"/>
    <n v="10384"/>
    <n v="1500"/>
    <m/>
    <m/>
    <n v="8884"/>
    <m/>
    <m/>
    <m/>
    <m/>
    <n v="8884"/>
    <m/>
    <n v="25116.639999999999"/>
    <n v="25116.639999999999"/>
    <m/>
    <s v="N"/>
    <m/>
    <n v="45384"/>
    <n v="13988.2"/>
    <n v="0"/>
    <n v="0"/>
    <n v="31395.8"/>
    <n v="31395.8"/>
    <n v="0"/>
    <n v="6279.16"/>
    <s v="847.8470410.1.435350.000000.847001.200179"/>
    <n v="45384"/>
    <n v="13988.2"/>
    <n v="0"/>
    <n v="0"/>
    <n v="31395.8"/>
    <n v="0"/>
    <n v="0"/>
    <n v="0"/>
    <n v="25116.639999999999"/>
    <n v="13988.2"/>
    <n v="-11128.439999999999"/>
  </r>
  <r>
    <x v="5"/>
    <s v="College of Art &amp; science"/>
    <s v="2 Other Operating Costs"/>
    <n v="8470415"/>
    <s v="KUST - Chemistry"/>
    <n v="421700"/>
    <x v="4"/>
    <x v="194"/>
    <n v="150000"/>
    <n v="150000"/>
    <m/>
    <m/>
    <m/>
    <n v="150000"/>
    <m/>
    <m/>
    <m/>
    <m/>
    <n v="150000"/>
    <m/>
    <n v="120000"/>
    <n v="120000"/>
    <m/>
    <s v="N"/>
    <m/>
    <n v="150000"/>
    <n v="0"/>
    <n v="0"/>
    <n v="0"/>
    <n v="150000"/>
    <n v="150000"/>
    <n v="0"/>
    <n v="30000"/>
    <s v="847.8470415.1.421700.000000.847001.200179"/>
    <n v="150000"/>
    <n v="0"/>
    <n v="0"/>
    <n v="0"/>
    <n v="150000"/>
    <n v="0"/>
    <n v="0"/>
    <n v="0"/>
    <n v="120000"/>
    <n v="0"/>
    <n v="-120000"/>
  </r>
  <r>
    <x v="5"/>
    <s v="College of Art &amp; science"/>
    <s v="2 Other Operating Costs"/>
    <n v="8470415"/>
    <s v="KUST - Chemistry"/>
    <n v="425100"/>
    <x v="14"/>
    <x v="195"/>
    <n v="50000"/>
    <n v="50000"/>
    <m/>
    <m/>
    <m/>
    <n v="50000"/>
    <m/>
    <m/>
    <m/>
    <m/>
    <n v="50000"/>
    <m/>
    <n v="40000"/>
    <n v="40000"/>
    <m/>
    <s v="N"/>
    <m/>
    <n v="50000"/>
    <n v="0"/>
    <n v="0"/>
    <n v="0"/>
    <n v="50000"/>
    <n v="50000"/>
    <n v="0"/>
    <n v="10000"/>
    <s v="847.8470415.1.425100.000000.847001.200179"/>
    <n v="50000"/>
    <n v="0"/>
    <n v="0"/>
    <n v="0"/>
    <n v="50000"/>
    <n v="0"/>
    <n v="0"/>
    <n v="0"/>
    <n v="40000"/>
    <n v="0"/>
    <n v="-40000"/>
  </r>
  <r>
    <x v="5"/>
    <s v="College of Art &amp; science"/>
    <s v="2 Other Operating Costs"/>
    <n v="8470415"/>
    <s v="KUST - Chemistry"/>
    <n v="425760"/>
    <x v="35"/>
    <x v="196"/>
    <n v="5000"/>
    <n v="5000"/>
    <m/>
    <m/>
    <m/>
    <n v="5000"/>
    <m/>
    <m/>
    <m/>
    <m/>
    <n v="5000"/>
    <m/>
    <n v="4000"/>
    <n v="4000"/>
    <m/>
    <s v="N"/>
    <m/>
    <n v="5000"/>
    <n v="0"/>
    <n v="0"/>
    <n v="0"/>
    <n v="5000"/>
    <n v="5000"/>
    <n v="0"/>
    <n v="1000"/>
    <s v="847.8470415.1.425760.000000.847001.200179"/>
    <n v="5000"/>
    <n v="0"/>
    <n v="0"/>
    <n v="0"/>
    <n v="5000"/>
    <n v="0"/>
    <n v="0"/>
    <n v="0"/>
    <n v="4000"/>
    <n v="0"/>
    <n v="-4000"/>
  </r>
  <r>
    <x v="5"/>
    <s v="College of Art &amp; science"/>
    <s v="2 Other Operating Costs"/>
    <n v="8470415"/>
    <s v="KUST - Chemistry"/>
    <n v="425763"/>
    <x v="15"/>
    <x v="197"/>
    <n v="80000"/>
    <n v="80000"/>
    <n v="12355"/>
    <n v="0"/>
    <n v="12430"/>
    <n v="55215"/>
    <m/>
    <m/>
    <m/>
    <m/>
    <n v="55215"/>
    <m/>
    <n v="24405.472000000002"/>
    <n v="24405.472000000002"/>
    <m/>
    <s v="N"/>
    <m/>
    <n v="80000"/>
    <n v="32468.16"/>
    <n v="0"/>
    <n v="12430"/>
    <n v="35101.839999999997"/>
    <n v="35101.839999999997"/>
    <n v="0"/>
    <n v="10696.367999999995"/>
    <s v="847.8470415.1.425763.000000.847001.200179"/>
    <n v="80000"/>
    <n v="37063.160000000003"/>
    <n v="0"/>
    <n v="12430"/>
    <n v="30506.84"/>
    <n v="0"/>
    <n v="0"/>
    <n v="0"/>
    <n v="24405.472000000002"/>
    <n v="44898.16"/>
    <n v="25087.688000000002"/>
  </r>
  <r>
    <x v="5"/>
    <s v="College of Art &amp; science"/>
    <s v="2 Other Operating Costs"/>
    <n v="8470415"/>
    <s v="KUST - Chemistry"/>
    <n v="425770"/>
    <x v="20"/>
    <x v="198"/>
    <n v="285000"/>
    <n v="246248"/>
    <n v="220962.16"/>
    <m/>
    <m/>
    <n v="25285.839999999997"/>
    <m/>
    <m/>
    <m/>
    <m/>
    <n v="25285.839999999997"/>
    <m/>
    <n v="33243.464"/>
    <n v="-67511.695999999996"/>
    <m/>
    <s v="N"/>
    <m/>
    <n v="276248"/>
    <n v="274493.67"/>
    <n v="0"/>
    <n v="0"/>
    <n v="1754.3300000000163"/>
    <n v="1754.3300000000299"/>
    <n v="-1.3642420526593924E-11"/>
    <n v="-31489.133999999984"/>
    <s v="847.8470415.1.425770.000000.847001.200179"/>
    <n v="316248"/>
    <n v="274693.67"/>
    <n v="0"/>
    <n v="0"/>
    <n v="41554.33"/>
    <n v="23617.759999999998"/>
    <n v="17460.27"/>
    <n v="59677.130000000005"/>
    <n v="-67511.695999999996"/>
    <n v="375248.83"/>
    <n v="442960.52600000001"/>
  </r>
  <r>
    <x v="5"/>
    <s v="College of Art &amp; science"/>
    <s v="2 Other Operating Costs"/>
    <n v="8470415"/>
    <s v="KUST - Chemistry"/>
    <n v="425900"/>
    <x v="7"/>
    <x v="199"/>
    <n v="140000"/>
    <n v="70000"/>
    <n v="7839.73"/>
    <m/>
    <m/>
    <n v="62160.270000000004"/>
    <m/>
    <m/>
    <m/>
    <m/>
    <n v="62160.270000000004"/>
    <m/>
    <n v="17728.216"/>
    <n v="17728.216"/>
    <m/>
    <s v="N"/>
    <m/>
    <n v="70000"/>
    <n v="7839.73"/>
    <n v="0"/>
    <n v="0"/>
    <n v="62160.270000000004"/>
    <n v="62160.27"/>
    <n v="0"/>
    <n v="44432.054000000004"/>
    <s v="847.8470415.1.425900.000000.847001.200179"/>
    <n v="30000"/>
    <n v="7839.73"/>
    <n v="0"/>
    <n v="0"/>
    <n v="22160.27"/>
    <n v="0"/>
    <n v="0"/>
    <n v="0"/>
    <n v="17728.216"/>
    <n v="7839.73"/>
    <n v="-9888.4860000000008"/>
  </r>
  <r>
    <x v="5"/>
    <s v="College of Art &amp; science"/>
    <s v="2 Other Operating Costs"/>
    <n v="8470415"/>
    <s v="KUST - Chemistry"/>
    <n v="426610"/>
    <x v="8"/>
    <x v="200"/>
    <n v="229511"/>
    <n v="229511"/>
    <n v="61384.61"/>
    <n v="0"/>
    <n v="68752.009999999995"/>
    <n v="99374.380000000019"/>
    <m/>
    <m/>
    <m/>
    <m/>
    <n v="99374.380000000019"/>
    <m/>
    <n v="55205.664000000004"/>
    <n v="55205.664000000004"/>
    <m/>
    <s v="N"/>
    <m/>
    <n v="199511"/>
    <n v="92696.94"/>
    <n v="0"/>
    <n v="37806.980000000003"/>
    <n v="69007.079999999987"/>
    <n v="69007.08"/>
    <n v="0"/>
    <n v="13801.415999999983"/>
    <s v="847.8470415.1.426610.000000.847001.200179"/>
    <n v="199511"/>
    <n v="92696.94"/>
    <n v="0"/>
    <n v="37806.980000000003"/>
    <n v="69007.08"/>
    <n v="0"/>
    <n v="0"/>
    <n v="0"/>
    <n v="55205.664000000004"/>
    <n v="130503.92000000001"/>
    <n v="75298.256000000008"/>
  </r>
  <r>
    <x v="5"/>
    <s v="College of Art &amp; science"/>
    <s v="2 Other Operating Costs"/>
    <n v="8470415"/>
    <s v="KUST - Chemistry"/>
    <n v="428640"/>
    <x v="11"/>
    <x v="201"/>
    <n v="15000"/>
    <n v="7612"/>
    <m/>
    <m/>
    <m/>
    <n v="7612"/>
    <m/>
    <m/>
    <m/>
    <m/>
    <n v="7612"/>
    <m/>
    <n v="6089.6"/>
    <n v="6089.6"/>
    <m/>
    <s v="N"/>
    <m/>
    <n v="7612"/>
    <n v="0"/>
    <n v="0"/>
    <n v="0"/>
    <n v="7612"/>
    <n v="7612"/>
    <n v="0"/>
    <n v="1522.3999999999996"/>
    <s v="847.8470415.1.428640.000000.847001.200179"/>
    <n v="7612"/>
    <n v="0"/>
    <n v="0"/>
    <n v="0"/>
    <n v="7612"/>
    <n v="0"/>
    <n v="0"/>
    <n v="0"/>
    <n v="6089.6"/>
    <n v="0"/>
    <n v="-6089.6"/>
  </r>
  <r>
    <x v="5"/>
    <s v="College of Art &amp; science"/>
    <s v="2 Other Operating Costs"/>
    <n v="8470415"/>
    <s v="KUST - Chemistry"/>
    <n v="432209"/>
    <x v="32"/>
    <x v="202"/>
    <n v="301000"/>
    <n v="301000"/>
    <n v="143758.60999999999"/>
    <n v="7.2759576141834308E-12"/>
    <n v="60938.1"/>
    <n v="96303.290000000008"/>
    <m/>
    <m/>
    <m/>
    <m/>
    <n v="96303.290000000008"/>
    <m/>
    <n v="77042.631999999998"/>
    <n v="77042.631999999998"/>
    <m/>
    <s v="N"/>
    <m/>
    <n v="301000"/>
    <n v="158539.60999999999"/>
    <n v="0"/>
    <n v="46157.1"/>
    <n v="96303.290000000008"/>
    <n v="96303.29"/>
    <n v="0"/>
    <n v="19260.65800000001"/>
    <s v="847.8470415.1.432209.000000.847001.200179"/>
    <n v="301000"/>
    <n v="203796.71"/>
    <n v="0"/>
    <n v="899.99999999999602"/>
    <n v="96303.29"/>
    <n v="0"/>
    <n v="0"/>
    <n v="0"/>
    <n v="77042.631999999998"/>
    <n v="204696.71"/>
    <n v="127654.07799999999"/>
  </r>
  <r>
    <x v="5"/>
    <s v="College of Art &amp; science"/>
    <s v="2 Other Operating Costs"/>
    <n v="8470415"/>
    <s v="KUST - Chemistry"/>
    <n v="435350"/>
    <x v="21"/>
    <x v="203"/>
    <n v="70000"/>
    <n v="40275"/>
    <n v="5138"/>
    <m/>
    <m/>
    <n v="35137"/>
    <m/>
    <m/>
    <m/>
    <m/>
    <n v="35137"/>
    <m/>
    <n v="28109.600000000002"/>
    <n v="28109.600000000002"/>
    <m/>
    <s v="N"/>
    <m/>
    <n v="40275"/>
    <n v="5138"/>
    <n v="0"/>
    <n v="0"/>
    <n v="35137"/>
    <n v="35137"/>
    <n v="0"/>
    <n v="7027.3999999999978"/>
    <s v="847.8470415.1.435350.000000.847001.200179"/>
    <n v="40275"/>
    <n v="5138"/>
    <n v="0"/>
    <n v="0"/>
    <n v="35137"/>
    <n v="0"/>
    <n v="0"/>
    <n v="0"/>
    <n v="28109.600000000002"/>
    <n v="5138"/>
    <n v="-22971.600000000002"/>
  </r>
  <r>
    <x v="5"/>
    <s v="College of Art &amp; science"/>
    <s v="2 Other Operating Costs"/>
    <n v="8470415"/>
    <s v="KUST - Chemistry"/>
    <n v="435508"/>
    <x v="33"/>
    <x v="204"/>
    <n v="525000"/>
    <n v="525000"/>
    <n v="182253.07"/>
    <n v="49714.35"/>
    <n v="156367.39000000001"/>
    <n v="136665.19"/>
    <m/>
    <m/>
    <m/>
    <m/>
    <n v="136665.19"/>
    <m/>
    <n v="62089.495999999999"/>
    <n v="56027.436000000002"/>
    <m/>
    <s v="N"/>
    <m/>
    <n v="525000"/>
    <n v="248519.05"/>
    <n v="36437.269999999997"/>
    <n v="145297.87"/>
    <n v="94745.810000000027"/>
    <n v="94745.809999999896"/>
    <n v="1.3096723705530167E-10"/>
    <n v="32656.314000000028"/>
    <s v="847.8470415.1.435508.000000.847001.200179"/>
    <n v="525000"/>
    <n v="276301.45"/>
    <n v="39712.74"/>
    <n v="131373.94"/>
    <n v="77611.87"/>
    <n v="6062.06"/>
    <n v="0"/>
    <n v="0"/>
    <n v="56027.436000000002"/>
    <n v="436316.25"/>
    <n v="397422.75400000002"/>
  </r>
  <r>
    <x v="5"/>
    <s v="College of Art &amp; science"/>
    <s v="2 Other Operating Costs"/>
    <n v="8470415"/>
    <s v="KUST - Chemistry"/>
    <n v="435519"/>
    <x v="19"/>
    <x v="205"/>
    <n v="20000"/>
    <n v="20000"/>
    <m/>
    <m/>
    <m/>
    <n v="20000"/>
    <m/>
    <m/>
    <m/>
    <m/>
    <n v="20000"/>
    <m/>
    <n v="16000"/>
    <n v="16000"/>
    <m/>
    <s v="N"/>
    <m/>
    <n v="20000"/>
    <n v="0"/>
    <n v="0"/>
    <n v="0"/>
    <n v="20000"/>
    <n v="20000"/>
    <n v="0"/>
    <n v="4000"/>
    <s v="847.8470415.1.435519.000000.847001.200179"/>
    <n v="20000"/>
    <n v="0"/>
    <n v="0"/>
    <n v="0"/>
    <n v="20000"/>
    <n v="0"/>
    <n v="0"/>
    <n v="0"/>
    <n v="16000"/>
    <n v="0"/>
    <n v="-16000"/>
  </r>
  <r>
    <x v="5"/>
    <s v="College of Art &amp; science"/>
    <s v="2 Other Operating Costs"/>
    <n v="8470425"/>
    <s v="KUST - Physics"/>
    <n v="425510"/>
    <x v="5"/>
    <x v="206"/>
    <n v="45000"/>
    <n v="45000"/>
    <m/>
    <m/>
    <m/>
    <n v="45000"/>
    <m/>
    <m/>
    <m/>
    <m/>
    <n v="45000"/>
    <m/>
    <n v="32976"/>
    <n v="31139.75"/>
    <m/>
    <s v="N"/>
    <m/>
    <n v="45000"/>
    <n v="0"/>
    <n v="0"/>
    <n v="0"/>
    <n v="45000"/>
    <n v="45000"/>
    <n v="0"/>
    <n v="12024"/>
    <s v="847.8470425.1.425510.000000.847001.200179"/>
    <n v="45000"/>
    <n v="1890"/>
    <n v="0"/>
    <n v="0"/>
    <n v="41220"/>
    <n v="0"/>
    <n v="1836.25"/>
    <n v="0"/>
    <n v="31139.75"/>
    <n v="1836.25"/>
    <n v="-27413.5"/>
  </r>
  <r>
    <x v="5"/>
    <s v="College of Art &amp; science"/>
    <s v="2 Other Operating Costs"/>
    <n v="8470425"/>
    <s v="KUST - Physics"/>
    <n v="425550"/>
    <x v="6"/>
    <x v="207"/>
    <n v="225000"/>
    <n v="225000"/>
    <n v="10515.17"/>
    <m/>
    <m/>
    <n v="214484.83"/>
    <m/>
    <m/>
    <m/>
    <m/>
    <n v="214484.83"/>
    <m/>
    <n v="138651.864"/>
    <n v="94430.244000000006"/>
    <m/>
    <s v="N"/>
    <m/>
    <n v="225000"/>
    <n v="51685.17"/>
    <n v="0"/>
    <n v="0"/>
    <n v="173314.83000000002"/>
    <n v="173314.83"/>
    <n v="0"/>
    <n v="34662.966000000015"/>
    <s v="847.8470425.1.425550.000000.847001.200179"/>
    <n v="225000"/>
    <n v="51685.17"/>
    <n v="0"/>
    <n v="0"/>
    <n v="173314.83"/>
    <n v="2975.13"/>
    <n v="0"/>
    <n v="41246.49"/>
    <n v="94430.244000000006"/>
    <n v="95906.79"/>
    <n v="1476.5459999999875"/>
  </r>
  <r>
    <x v="5"/>
    <s v="College of Art &amp; science"/>
    <s v="2 Other Operating Costs"/>
    <n v="8470425"/>
    <s v="KUST - Physics"/>
    <n v="425770"/>
    <x v="20"/>
    <x v="208"/>
    <n v="60000"/>
    <n v="39943"/>
    <n v="39895"/>
    <m/>
    <m/>
    <n v="48"/>
    <m/>
    <m/>
    <m/>
    <m/>
    <n v="48"/>
    <m/>
    <n v="38.400000000000006"/>
    <n v="38.400000000000006"/>
    <m/>
    <s v="N"/>
    <m/>
    <n v="39943"/>
    <n v="39895"/>
    <n v="0"/>
    <n v="0"/>
    <n v="48"/>
    <n v="48"/>
    <n v="0"/>
    <n v="9.5999999999999943"/>
    <s v="847.8470425.1.425770.000000.847001.200179"/>
    <n v="39943"/>
    <n v="39895"/>
    <n v="0"/>
    <n v="0"/>
    <n v="48"/>
    <n v="0"/>
    <n v="0"/>
    <n v="0"/>
    <n v="38.400000000000006"/>
    <n v="39895"/>
    <n v="39856.6"/>
  </r>
  <r>
    <x v="5"/>
    <s v="College of Art &amp; science"/>
    <s v="2 Other Operating Costs"/>
    <n v="8470425"/>
    <s v="KUST - Physics"/>
    <n v="425900"/>
    <x v="7"/>
    <x v="209"/>
    <n v="10116"/>
    <n v="10116"/>
    <n v="1823"/>
    <m/>
    <m/>
    <n v="8293"/>
    <m/>
    <m/>
    <m/>
    <m/>
    <n v="8293"/>
    <m/>
    <n v="6634.4000000000005"/>
    <n v="5484.4000000000005"/>
    <m/>
    <s v="N"/>
    <m/>
    <n v="10116"/>
    <n v="1823"/>
    <n v="0"/>
    <n v="0"/>
    <n v="8293"/>
    <n v="8293"/>
    <n v="0"/>
    <n v="1658.5999999999995"/>
    <s v="847.8470425.1.425900.000000.847001.200179"/>
    <n v="10116"/>
    <n v="1823"/>
    <n v="0"/>
    <n v="0"/>
    <n v="8293"/>
    <n v="1150"/>
    <n v="0"/>
    <n v="0"/>
    <n v="5484.4000000000005"/>
    <n v="2973"/>
    <n v="-2511.4000000000005"/>
  </r>
  <r>
    <x v="5"/>
    <s v="College of Art &amp; science"/>
    <s v="2 Other Operating Costs"/>
    <n v="8470425"/>
    <s v="KUST - Physics"/>
    <n v="426610"/>
    <x v="8"/>
    <x v="210"/>
    <n v="212000"/>
    <n v="212000"/>
    <n v="22497.13"/>
    <n v="0"/>
    <n v="0"/>
    <n v="189502.87"/>
    <m/>
    <m/>
    <m/>
    <m/>
    <n v="189502.87"/>
    <m/>
    <n v="53391.896000000001"/>
    <n v="53391.896000000001"/>
    <m/>
    <s v="N"/>
    <m/>
    <n v="118295"/>
    <n v="22497.13"/>
    <n v="0"/>
    <n v="0"/>
    <n v="95797.87"/>
    <n v="95797.87"/>
    <n v="0"/>
    <n v="42405.973999999995"/>
    <s v="847.8470425.1.426610.000000.847001.200179"/>
    <n v="89237"/>
    <n v="22497.13"/>
    <n v="0"/>
    <n v="0"/>
    <n v="66739.87"/>
    <n v="0"/>
    <n v="0"/>
    <n v="0"/>
    <n v="53391.896000000001"/>
    <n v="22497.13"/>
    <n v="-30894.766"/>
  </r>
  <r>
    <x v="5"/>
    <s v="College of Art &amp; science"/>
    <s v="2 Other Operating Costs"/>
    <n v="8470425"/>
    <s v="KUST - Physics"/>
    <n v="428090"/>
    <x v="9"/>
    <x v="211"/>
    <n v="128000"/>
    <n v="34875"/>
    <n v="6445"/>
    <m/>
    <m/>
    <n v="28430"/>
    <m/>
    <m/>
    <m/>
    <m/>
    <n v="28430"/>
    <m/>
    <n v="22744"/>
    <n v="-3151"/>
    <m/>
    <s v="N"/>
    <m/>
    <n v="34875"/>
    <n v="6445"/>
    <n v="0"/>
    <n v="0"/>
    <n v="28430"/>
    <n v="28430"/>
    <n v="0"/>
    <n v="5686"/>
    <s v="847.8470425.1.428090.000000.847001.200179"/>
    <n v="34875"/>
    <n v="6445"/>
    <n v="0"/>
    <n v="0"/>
    <n v="28430"/>
    <n v="0"/>
    <n v="0"/>
    <n v="25895"/>
    <n v="-3151"/>
    <n v="32340"/>
    <n v="35491"/>
  </r>
  <r>
    <x v="5"/>
    <s v="College of Art &amp; science"/>
    <s v="2 Other Operating Costs"/>
    <n v="8470425"/>
    <s v="KUST - Physics"/>
    <n v="435350"/>
    <x v="21"/>
    <x v="212"/>
    <n v="120000"/>
    <n v="84748"/>
    <n v="52961.14"/>
    <m/>
    <m/>
    <n v="31786.86"/>
    <m/>
    <m/>
    <m/>
    <m/>
    <n v="31786.86"/>
    <m/>
    <n v="2211.2159999999922"/>
    <n v="2211.2159999999922"/>
    <m/>
    <s v="N"/>
    <m/>
    <n v="84748"/>
    <n v="73953.33"/>
    <n v="0"/>
    <n v="0"/>
    <n v="10794.669999999998"/>
    <n v="10794.67"/>
    <n v="0"/>
    <n v="8583.4540000000052"/>
    <s v="847.8470425.1.435350.000000.847001.200179"/>
    <n v="90748"/>
    <n v="87983.98"/>
    <n v="0"/>
    <n v="0"/>
    <n v="2764.01999999999"/>
    <n v="0"/>
    <n v="0"/>
    <n v="0"/>
    <n v="2211.2159999999922"/>
    <n v="73953.33"/>
    <n v="85772.76400000001"/>
  </r>
  <r>
    <x v="5"/>
    <s v="College of Art &amp; science"/>
    <s v="2 Other Operating Costs"/>
    <n v="8470425"/>
    <s v="KUST - Physics"/>
    <n v="435508"/>
    <x v="33"/>
    <x v="213"/>
    <n v="551566"/>
    <n v="551566"/>
    <n v="122680"/>
    <n v="0"/>
    <n v="29995"/>
    <n v="398891"/>
    <m/>
    <m/>
    <m/>
    <m/>
    <n v="398891"/>
    <m/>
    <n v="279970.45600000001"/>
    <n v="265480.17100000003"/>
    <m/>
    <s v="N"/>
    <m/>
    <n v="551566"/>
    <n v="166853.93"/>
    <n v="0"/>
    <n v="29995"/>
    <n v="354717.07"/>
    <n v="354717.07"/>
    <n v="0"/>
    <n v="74746.614000000001"/>
    <s v="847.8470425.1.435508.000000.847001.200179"/>
    <n v="551566"/>
    <n v="171607.93"/>
    <n v="0"/>
    <n v="29995"/>
    <n v="349963.07"/>
    <n v="4879.91"/>
    <n v="9610.375"/>
    <n v="0"/>
    <n v="265480.17100000003"/>
    <n v="211339.215"/>
    <n v="-49386.956000000035"/>
  </r>
  <r>
    <x v="5"/>
    <s v="College of Art &amp; science"/>
    <s v="2 Other Operating Costs"/>
    <n v="8470430"/>
    <s v="KUST - Preparatory Program"/>
    <n v="425761"/>
    <x v="29"/>
    <x v="214"/>
    <n v="8500"/>
    <n v="8500"/>
    <m/>
    <m/>
    <m/>
    <n v="8500"/>
    <m/>
    <m/>
    <m/>
    <m/>
    <n v="8500"/>
    <m/>
    <n v="6800"/>
    <n v="6800"/>
    <m/>
    <s v="N"/>
    <m/>
    <n v="8500"/>
    <n v="0"/>
    <n v="0"/>
    <n v="0"/>
    <n v="8500"/>
    <n v="8500"/>
    <n v="0"/>
    <n v="1700"/>
    <s v="847.8470430.1.425761.000000.847001.200179"/>
    <n v="8500"/>
    <n v="0"/>
    <n v="0"/>
    <n v="0"/>
    <n v="8500"/>
    <n v="0"/>
    <n v="0"/>
    <n v="0"/>
    <n v="6800"/>
    <n v="0"/>
    <n v="-6800"/>
  </r>
  <r>
    <x v="5"/>
    <s v="College of Art &amp; science"/>
    <s v="2 Other Operating Costs"/>
    <n v="8470430"/>
    <s v="KUST - Preparatory Program"/>
    <n v="425770"/>
    <x v="20"/>
    <x v="215"/>
    <n v="375000"/>
    <n v="189463"/>
    <n v="14690"/>
    <m/>
    <m/>
    <n v="174773"/>
    <m/>
    <m/>
    <m/>
    <m/>
    <n v="174773"/>
    <m/>
    <n v="123223.368"/>
    <n v="91459.178"/>
    <m/>
    <s v="N"/>
    <m/>
    <n v="189463"/>
    <n v="35635.839999999997"/>
    <n v="0"/>
    <n v="0"/>
    <n v="153827.16"/>
    <n v="153827.16"/>
    <n v="0"/>
    <n v="30603.792000000001"/>
    <s v="847.8470430.1.425770.000000.847001.200179"/>
    <n v="189463"/>
    <n v="35433.79"/>
    <n v="0"/>
    <n v="0"/>
    <n v="154029.21"/>
    <n v="0"/>
    <n v="0"/>
    <n v="31764.190000000002"/>
    <n v="91459.178"/>
    <n v="67400.03"/>
    <n v="-24261.197999999989"/>
  </r>
  <r>
    <x v="5"/>
    <s v="College of Art &amp; science"/>
    <s v="2 Other Operating Costs"/>
    <n v="8470430"/>
    <s v="KUST - Preparatory Program"/>
    <n v="425900"/>
    <x v="7"/>
    <x v="216"/>
    <n v="12000"/>
    <n v="12000"/>
    <m/>
    <m/>
    <m/>
    <n v="12000"/>
    <m/>
    <m/>
    <m/>
    <m/>
    <n v="12000"/>
    <m/>
    <n v="9600"/>
    <n v="9600"/>
    <m/>
    <s v="N"/>
    <m/>
    <n v="12000"/>
    <n v="0"/>
    <n v="0"/>
    <n v="0"/>
    <n v="12000"/>
    <n v="12000"/>
    <n v="0"/>
    <n v="2400"/>
    <s v="847.8470430.1.425900.000000.847001.200179"/>
    <n v="12000"/>
    <n v="0"/>
    <n v="0"/>
    <n v="0"/>
    <n v="12000"/>
    <n v="0"/>
    <n v="0"/>
    <n v="0"/>
    <n v="9600"/>
    <n v="0"/>
    <n v="-9600"/>
  </r>
  <r>
    <x v="5"/>
    <s v="College of Art &amp; science"/>
    <s v="2 Other Operating Costs"/>
    <n v="8470430"/>
    <s v="KUST - Preparatory Program"/>
    <n v="426610"/>
    <x v="8"/>
    <x v="217"/>
    <n v="26152"/>
    <n v="26152"/>
    <n v="7462.28"/>
    <n v="0"/>
    <n v="15518.43"/>
    <n v="3171.2900000000009"/>
    <m/>
    <m/>
    <m/>
    <m/>
    <n v="3171.2900000000009"/>
    <m/>
    <n v="2537.0320000000002"/>
    <n v="2537.0320000000002"/>
    <m/>
    <s v="N"/>
    <m/>
    <n v="26152"/>
    <n v="49362.03"/>
    <n v="0"/>
    <n v="-26381.32"/>
    <n v="3171.2900000000009"/>
    <n v="3171.29"/>
    <n v="0"/>
    <n v="634.25800000000072"/>
    <s v="847.8470430.1.426610.000000.847001.200179"/>
    <n v="26152"/>
    <n v="49362.03"/>
    <n v="0"/>
    <n v="-26381.32"/>
    <n v="3171.29"/>
    <n v="0"/>
    <n v="0"/>
    <n v="0"/>
    <n v="2537.0320000000002"/>
    <n v="22980.71"/>
    <n v="20443.678"/>
  </r>
  <r>
    <x v="5"/>
    <s v="College of Art &amp; science"/>
    <s v="2 Other Operating Costs"/>
    <n v="8470430"/>
    <s v="KUST - Preparatory Program"/>
    <n v="432209"/>
    <x v="32"/>
    <x v="218"/>
    <n v="0"/>
    <n v="1575"/>
    <n v="1500"/>
    <m/>
    <m/>
    <n v="75"/>
    <m/>
    <m/>
    <m/>
    <m/>
    <n v="75"/>
    <m/>
    <n v="60"/>
    <n v="60"/>
    <m/>
    <s v="N"/>
    <m/>
    <n v="1575"/>
    <n v="1500"/>
    <n v="0"/>
    <n v="0"/>
    <n v="75"/>
    <n v="75"/>
    <n v="0"/>
    <n v="15"/>
    <s v="847.8470430.1.432209.000000.847001.200179"/>
    <n v="1575"/>
    <n v="1500"/>
    <n v="0"/>
    <n v="0"/>
    <n v="75"/>
    <n v="0"/>
    <n v="0"/>
    <n v="0"/>
    <n v="60"/>
    <n v="1500"/>
    <n v="1440"/>
  </r>
  <r>
    <x v="5"/>
    <s v="College of Art &amp; science"/>
    <s v="2 Other Operating Costs"/>
    <n v="8470430"/>
    <s v="KUST - Preparatory Program"/>
    <n v="435508"/>
    <x v="33"/>
    <x v="219"/>
    <n v="84600"/>
    <n v="84600"/>
    <m/>
    <n v="9789.4"/>
    <m/>
    <n v="74810.600000000006"/>
    <m/>
    <m/>
    <m/>
    <m/>
    <n v="74810.600000000006"/>
    <m/>
    <n v="59848.48000000001"/>
    <n v="59848.48000000001"/>
    <m/>
    <s v="N"/>
    <m/>
    <n v="84600"/>
    <n v="0"/>
    <n v="0"/>
    <n v="9789.4"/>
    <n v="74810.600000000006"/>
    <n v="74810.600000000006"/>
    <n v="0"/>
    <n v="14962.119999999995"/>
    <s v="847.8470430.1.435508.000000.847001.200179"/>
    <n v="84600"/>
    <n v="0"/>
    <n v="0"/>
    <n v="9789.4"/>
    <n v="74810.600000000006"/>
    <n v="0"/>
    <n v="0"/>
    <n v="0"/>
    <n v="59848.48000000001"/>
    <n v="9789.4"/>
    <n v="-50059.080000000009"/>
  </r>
  <r>
    <x v="5"/>
    <s v="College of Art &amp; science"/>
    <s v="2 Other Operating Costs"/>
    <n v="8470435"/>
    <s v="KUST - Department of English"/>
    <n v="425770"/>
    <x v="20"/>
    <x v="220"/>
    <n v="100000"/>
    <n v="62348"/>
    <n v="60121.03"/>
    <m/>
    <m/>
    <n v="2226.9700000000012"/>
    <m/>
    <m/>
    <m/>
    <m/>
    <n v="2226.9700000000012"/>
    <m/>
    <n v="188.47199999999759"/>
    <n v="-8743.1480000000029"/>
    <m/>
    <s v="N"/>
    <m/>
    <n v="82378"/>
    <n v="82142.41"/>
    <n v="0"/>
    <n v="0"/>
    <n v="235.58999999999651"/>
    <n v="235.58999999999699"/>
    <n v="-4.8316906031686813E-13"/>
    <n v="47.117999999998915"/>
    <s v="847.8470435.1.425770.000000.847001.200179"/>
    <n v="97738"/>
    <n v="97502.41"/>
    <n v="0"/>
    <n v="0"/>
    <n v="235.58999999999699"/>
    <n v="1448.65"/>
    <n v="0"/>
    <n v="7482.97"/>
    <n v="-8743.1480000000029"/>
    <n v="91074.03"/>
    <n v="115177.178"/>
  </r>
  <r>
    <x v="5"/>
    <s v="College of Art &amp; science"/>
    <s v="2 Other Operating Costs"/>
    <n v="8470435"/>
    <s v="KUST - Department of English"/>
    <n v="426610"/>
    <x v="8"/>
    <x v="221"/>
    <n v="30000"/>
    <n v="30000"/>
    <n v="1156"/>
    <n v="27950"/>
    <m/>
    <n v="894"/>
    <m/>
    <m/>
    <m/>
    <m/>
    <n v="894"/>
    <m/>
    <n v="715.2"/>
    <n v="715.2"/>
    <m/>
    <s v="N"/>
    <m/>
    <n v="30000"/>
    <n v="29106"/>
    <n v="0"/>
    <n v="0"/>
    <n v="894"/>
    <n v="894"/>
    <n v="0"/>
    <n v="178.79999999999995"/>
    <s v="847.8470435.1.426610.000000.847001.200179"/>
    <n v="30000"/>
    <n v="29106"/>
    <n v="0"/>
    <n v="0"/>
    <n v="894"/>
    <n v="0"/>
    <n v="0"/>
    <n v="0"/>
    <n v="715.2"/>
    <n v="29106"/>
    <n v="28390.799999999999"/>
  </r>
  <r>
    <x v="5"/>
    <s v="College of Art &amp; science"/>
    <s v="2 Other Operating Costs"/>
    <n v="8470435"/>
    <s v="KUST - Department of English"/>
    <n v="435340"/>
    <x v="36"/>
    <x v="222"/>
    <n v="35000"/>
    <n v="35000"/>
    <m/>
    <m/>
    <m/>
    <n v="35000"/>
    <m/>
    <m/>
    <m/>
    <m/>
    <n v="35000"/>
    <m/>
    <n v="15200"/>
    <n v="15200"/>
    <m/>
    <s v="N"/>
    <m/>
    <n v="19000"/>
    <n v="0"/>
    <n v="0"/>
    <n v="0"/>
    <n v="19000"/>
    <n v="19000"/>
    <n v="0"/>
    <n v="3800"/>
    <s v="847.8470435.1.435340.000000.847001.200179"/>
    <n v="19000"/>
    <n v="0"/>
    <n v="0"/>
    <n v="0"/>
    <n v="19000"/>
    <n v="0"/>
    <n v="0"/>
    <n v="0"/>
    <n v="15200"/>
    <n v="0"/>
    <n v="-15200"/>
  </r>
  <r>
    <x v="5"/>
    <s v="College of Art &amp; science"/>
    <s v="2 Other Operating Costs"/>
    <n v="8470435"/>
    <s v="KUST - Department of English"/>
    <n v="436600"/>
    <x v="34"/>
    <x v="223"/>
    <n v="30000"/>
    <n v="30000"/>
    <m/>
    <m/>
    <m/>
    <n v="30000"/>
    <m/>
    <m/>
    <m/>
    <m/>
    <n v="30000"/>
    <m/>
    <n v="24000"/>
    <n v="24000"/>
    <m/>
    <s v="N"/>
    <m/>
    <n v="30000"/>
    <n v="0"/>
    <n v="0"/>
    <n v="0"/>
    <n v="30000"/>
    <n v="30000"/>
    <n v="0"/>
    <n v="6000"/>
    <s v="847.8470435.1.436600.000000.847001.200179"/>
    <n v="30000"/>
    <n v="0"/>
    <n v="0"/>
    <n v="0"/>
    <n v="30000"/>
    <n v="0"/>
    <n v="0"/>
    <n v="0"/>
    <n v="24000"/>
    <n v="0"/>
    <n v="-24000"/>
  </r>
  <r>
    <x v="5"/>
    <s v="College of Art &amp; science"/>
    <s v="2 Other Operating Costs"/>
    <n v="8470440"/>
    <s v="KUST - Humanities &amp; Social Sciences"/>
    <n v="420550"/>
    <x v="0"/>
    <x v="224"/>
    <n v="560000"/>
    <n v="560000"/>
    <m/>
    <m/>
    <m/>
    <n v="560000"/>
    <m/>
    <m/>
    <m/>
    <m/>
    <n v="560000"/>
    <m/>
    <n v="437410.32800000004"/>
    <n v="427120.32800000004"/>
    <m/>
    <s v="N"/>
    <m/>
    <n v="560000"/>
    <n v="0"/>
    <n v="0"/>
    <n v="0"/>
    <n v="560000"/>
    <n v="560000"/>
    <n v="0"/>
    <n v="122589.67199999996"/>
    <s v="847.8470440.1.420550.000000.847001.200179"/>
    <n v="560000"/>
    <n v="13237.09"/>
    <n v="0"/>
    <n v="0"/>
    <n v="546762.91"/>
    <n v="0"/>
    <n v="10290"/>
    <n v="0"/>
    <n v="427120.32800000004"/>
    <n v="10290"/>
    <n v="-403593.23800000001"/>
  </r>
  <r>
    <x v="5"/>
    <s v="College of Art &amp; science"/>
    <s v="2 Other Operating Costs"/>
    <n v="8470440"/>
    <s v="KUST - Humanities &amp; Social Sciences"/>
    <n v="420570"/>
    <x v="1"/>
    <x v="225"/>
    <n v="150000"/>
    <n v="135000"/>
    <m/>
    <m/>
    <m/>
    <n v="135000"/>
    <m/>
    <m/>
    <m/>
    <m/>
    <n v="135000"/>
    <m/>
    <n v="108000"/>
    <n v="108000"/>
    <m/>
    <s v="N"/>
    <m/>
    <n v="135000"/>
    <n v="0"/>
    <n v="0"/>
    <n v="0"/>
    <n v="135000"/>
    <n v="135000"/>
    <n v="0"/>
    <n v="27000"/>
    <s v="847.8470440.1.420570.000000.847001.200179"/>
    <n v="135000"/>
    <n v="0"/>
    <n v="0"/>
    <n v="0"/>
    <n v="135000"/>
    <n v="0"/>
    <n v="0"/>
    <n v="0"/>
    <n v="108000"/>
    <n v="0"/>
    <n v="-108000"/>
  </r>
  <r>
    <x v="5"/>
    <s v="College of Art &amp; science"/>
    <s v="2 Other Operating Costs"/>
    <n v="8470440"/>
    <s v="KUST - Humanities &amp; Social Sciences"/>
    <n v="421700"/>
    <x v="4"/>
    <x v="226"/>
    <n v="280000"/>
    <n v="280000"/>
    <m/>
    <m/>
    <m/>
    <n v="280000"/>
    <m/>
    <m/>
    <m/>
    <m/>
    <n v="280000"/>
    <m/>
    <n v="224000"/>
    <n v="224000"/>
    <m/>
    <s v="N"/>
    <m/>
    <n v="280000"/>
    <n v="0"/>
    <n v="0"/>
    <n v="0"/>
    <n v="280000"/>
    <n v="280000"/>
    <n v="0"/>
    <n v="56000"/>
    <s v="847.8470440.1.421700.000000.847001.200179"/>
    <n v="280000"/>
    <n v="0"/>
    <n v="0"/>
    <n v="0"/>
    <n v="280000"/>
    <n v="0"/>
    <n v="0"/>
    <n v="0"/>
    <n v="224000"/>
    <n v="0"/>
    <n v="-224000"/>
  </r>
  <r>
    <x v="5"/>
    <s v="College of Art &amp; science"/>
    <s v="2 Other Operating Costs"/>
    <n v="8470440"/>
    <s v="KUST - Humanities &amp; Social Sciences"/>
    <n v="425100"/>
    <x v="14"/>
    <x v="227"/>
    <n v="10000"/>
    <n v="10000"/>
    <m/>
    <m/>
    <m/>
    <n v="10000"/>
    <m/>
    <m/>
    <m/>
    <m/>
    <n v="10000"/>
    <m/>
    <n v="8000"/>
    <n v="8000"/>
    <m/>
    <s v="N"/>
    <m/>
    <n v="10000"/>
    <n v="0"/>
    <n v="0"/>
    <n v="0"/>
    <n v="10000"/>
    <n v="10000"/>
    <n v="0"/>
    <n v="2000"/>
    <s v="847.8470440.1.425100.000000.847001.200179"/>
    <n v="10000"/>
    <n v="0"/>
    <n v="0"/>
    <n v="0"/>
    <n v="10000"/>
    <n v="0"/>
    <n v="0"/>
    <n v="0"/>
    <n v="8000"/>
    <n v="0"/>
    <n v="-8000"/>
  </r>
  <r>
    <x v="5"/>
    <s v="College of Art &amp; science"/>
    <s v="2 Other Operating Costs"/>
    <n v="8470440"/>
    <s v="KUST - Humanities &amp; Social Sciences"/>
    <n v="425510"/>
    <x v="5"/>
    <x v="228"/>
    <n v="225000"/>
    <n v="225000"/>
    <m/>
    <m/>
    <m/>
    <n v="225000"/>
    <m/>
    <m/>
    <m/>
    <m/>
    <n v="225000"/>
    <m/>
    <n v="174712"/>
    <n v="174712"/>
    <m/>
    <s v="N"/>
    <m/>
    <n v="225000"/>
    <n v="6610"/>
    <n v="0"/>
    <n v="0"/>
    <n v="218390"/>
    <n v="218390"/>
    <n v="0"/>
    <n v="43678"/>
    <s v="847.8470440.1.425510.000000.847001.200179"/>
    <n v="225000"/>
    <n v="6610"/>
    <n v="0"/>
    <n v="0"/>
    <n v="218390"/>
    <n v="0"/>
    <n v="0"/>
    <n v="0"/>
    <n v="174712"/>
    <n v="6610"/>
    <n v="-168102"/>
  </r>
  <r>
    <x v="5"/>
    <s v="College of Art &amp; science"/>
    <s v="2 Other Operating Costs"/>
    <n v="8470440"/>
    <s v="KUST - Humanities &amp; Social Sciences"/>
    <n v="425550"/>
    <x v="6"/>
    <x v="229"/>
    <n v="225000"/>
    <n v="225000"/>
    <m/>
    <m/>
    <m/>
    <n v="225000"/>
    <m/>
    <m/>
    <m/>
    <m/>
    <n v="225000"/>
    <m/>
    <n v="160462.63200000001"/>
    <n v="143870.03200000001"/>
    <m/>
    <s v="N"/>
    <m/>
    <n v="225000"/>
    <n v="17930"/>
    <n v="0"/>
    <n v="0"/>
    <n v="207070"/>
    <n v="207070"/>
    <n v="0"/>
    <n v="46607.367999999988"/>
    <s v="847.8470440.1.425550.000000.847001.200179"/>
    <n v="225000"/>
    <n v="24421.71"/>
    <n v="0"/>
    <n v="0"/>
    <n v="200578.29"/>
    <n v="2350"/>
    <n v="0"/>
    <n v="14242.6"/>
    <n v="143870.03200000001"/>
    <n v="34522.6"/>
    <n v="-102855.72200000001"/>
  </r>
  <r>
    <x v="5"/>
    <s v="College of Art &amp; science"/>
    <s v="2 Other Operating Costs"/>
    <n v="8470440"/>
    <s v="KUST - Humanities &amp; Social Sciences"/>
    <n v="425761"/>
    <x v="29"/>
    <x v="230"/>
    <n v="750000"/>
    <n v="750000"/>
    <m/>
    <m/>
    <m/>
    <n v="750000"/>
    <m/>
    <m/>
    <m/>
    <m/>
    <n v="750000"/>
    <m/>
    <n v="600000"/>
    <n v="600000"/>
    <m/>
    <s v="N"/>
    <m/>
    <n v="750000"/>
    <n v="0"/>
    <n v="0"/>
    <n v="0"/>
    <n v="750000"/>
    <n v="750000"/>
    <n v="0"/>
    <n v="150000"/>
    <s v="847.8470440.1.425761.000000.847001.200179"/>
    <n v="750000"/>
    <n v="0"/>
    <n v="0"/>
    <n v="0"/>
    <n v="750000"/>
    <n v="0"/>
    <n v="0"/>
    <n v="0"/>
    <n v="600000"/>
    <n v="0"/>
    <n v="-600000"/>
  </r>
  <r>
    <x v="5"/>
    <s v="College of Art &amp; science"/>
    <s v="2 Other Operating Costs"/>
    <n v="8470440"/>
    <s v="KUST - Humanities &amp; Social Sciences"/>
    <n v="425770"/>
    <x v="20"/>
    <x v="231"/>
    <n v="300000"/>
    <n v="170408"/>
    <n v="104827.92"/>
    <m/>
    <m/>
    <n v="65580.08"/>
    <m/>
    <m/>
    <m/>
    <m/>
    <n v="65580.08"/>
    <m/>
    <n v="1051.2"/>
    <n v="-24037.24"/>
    <m/>
    <s v="N"/>
    <m/>
    <n v="170408"/>
    <n v="152044.67000000001"/>
    <n v="0"/>
    <n v="0"/>
    <n v="18363.329999999987"/>
    <n v="18363.330000000002"/>
    <n v="0"/>
    <n v="17312.129999999986"/>
    <s v="847.8470440.1.425770.000000.847001.200179"/>
    <n v="170408"/>
    <n v="169094"/>
    <n v="0"/>
    <n v="0"/>
    <n v="1314"/>
    <n v="2013"/>
    <n v="0"/>
    <n v="23075.440000000002"/>
    <n v="-24037.24"/>
    <n v="177133.11000000002"/>
    <n v="218219.68"/>
  </r>
  <r>
    <x v="5"/>
    <s v="College of Art &amp; science"/>
    <s v="2 Other Operating Costs"/>
    <n v="8470440"/>
    <s v="KUST - Humanities &amp; Social Sciences"/>
    <n v="425900"/>
    <x v="7"/>
    <x v="232"/>
    <n v="24000"/>
    <n v="24000"/>
    <m/>
    <m/>
    <m/>
    <n v="24000"/>
    <m/>
    <m/>
    <m/>
    <m/>
    <n v="24000"/>
    <m/>
    <n v="19200"/>
    <n v="19200"/>
    <m/>
    <s v="N"/>
    <m/>
    <n v="24000"/>
    <n v="0"/>
    <n v="0"/>
    <n v="0"/>
    <n v="24000"/>
    <n v="24000"/>
    <n v="0"/>
    <n v="4800"/>
    <s v="847.8470440.1.425900.000000.847001.200179"/>
    <n v="24000"/>
    <n v="0"/>
    <n v="0"/>
    <n v="0"/>
    <n v="24000"/>
    <n v="0"/>
    <n v="0"/>
    <n v="0"/>
    <n v="19200"/>
    <n v="0"/>
    <n v="-19200"/>
  </r>
  <r>
    <x v="5"/>
    <s v="College of Art &amp; science"/>
    <s v="2 Other Operating Costs"/>
    <n v="8470440"/>
    <s v="KUST - Humanities &amp; Social Sciences"/>
    <n v="426610"/>
    <x v="8"/>
    <x v="233"/>
    <n v="120000"/>
    <n v="120000"/>
    <n v="8988.7800000000007"/>
    <n v="0"/>
    <n v="0"/>
    <n v="111011.22"/>
    <m/>
    <m/>
    <m/>
    <m/>
    <n v="111011.22"/>
    <m/>
    <n v="77936.895999999993"/>
    <n v="77936.895999999993"/>
    <m/>
    <s v="N"/>
    <m/>
    <n v="120000"/>
    <n v="8988.7800000000007"/>
    <n v="0"/>
    <n v="0"/>
    <n v="111011.22"/>
    <n v="111011.22"/>
    <n v="0"/>
    <n v="33074.324000000008"/>
    <s v="847.8470440.1.426610.000000.847001.200179"/>
    <n v="120000"/>
    <n v="8988.7800000000007"/>
    <n v="13590.1"/>
    <n v="0"/>
    <n v="97421.119999999995"/>
    <n v="0"/>
    <n v="0"/>
    <n v="0"/>
    <n v="77936.895999999993"/>
    <n v="8988.7800000000007"/>
    <n v="-55358.015999999989"/>
  </r>
  <r>
    <x v="5"/>
    <s v="College of Art &amp; science"/>
    <s v="2 Other Operating Costs"/>
    <n v="8470440"/>
    <s v="KUST - Humanities &amp; Social Sciences"/>
    <n v="427710"/>
    <x v="13"/>
    <x v="234"/>
    <n v="15000"/>
    <n v="15000"/>
    <m/>
    <m/>
    <m/>
    <n v="15000"/>
    <m/>
    <m/>
    <m/>
    <m/>
    <n v="15000"/>
    <m/>
    <n v="12000"/>
    <n v="12000"/>
    <m/>
    <s v="N"/>
    <m/>
    <n v="15000"/>
    <n v="0"/>
    <n v="0"/>
    <n v="0"/>
    <n v="15000"/>
    <n v="15000"/>
    <n v="0"/>
    <n v="3000"/>
    <s v="847.8470440.1.427710.000000.847001.200179"/>
    <n v="15000"/>
    <n v="0"/>
    <n v="0"/>
    <n v="0"/>
    <n v="15000"/>
    <n v="0"/>
    <n v="0"/>
    <n v="0"/>
    <n v="12000"/>
    <n v="0"/>
    <n v="-12000"/>
  </r>
  <r>
    <x v="5"/>
    <s v="College of Art &amp; science"/>
    <s v="2 Other Operating Costs"/>
    <n v="8470440"/>
    <s v="KUST - Humanities &amp; Social Sciences"/>
    <n v="428090"/>
    <x v="9"/>
    <x v="235"/>
    <n v="225000"/>
    <n v="61304"/>
    <m/>
    <m/>
    <m/>
    <n v="61304"/>
    <m/>
    <m/>
    <m/>
    <m/>
    <n v="61304"/>
    <m/>
    <n v="49043.200000000004"/>
    <n v="44824.950000000004"/>
    <m/>
    <s v="N"/>
    <m/>
    <n v="61304"/>
    <n v="0"/>
    <n v="0"/>
    <n v="0"/>
    <n v="61304"/>
    <n v="61304"/>
    <n v="0"/>
    <n v="12260.799999999996"/>
    <s v="847.8470440.1.428090.000000.847001.200179"/>
    <n v="61304"/>
    <n v="0"/>
    <n v="0"/>
    <n v="0"/>
    <n v="61304"/>
    <n v="0"/>
    <n v="0"/>
    <n v="4218.25"/>
    <n v="44824.950000000004"/>
    <n v="4218.25"/>
    <n v="-40606.700000000004"/>
  </r>
  <r>
    <x v="5"/>
    <s v="College of Art &amp; science"/>
    <s v="2 Other Operating Costs"/>
    <n v="8470440"/>
    <s v="KUST - Humanities &amp; Social Sciences"/>
    <n v="428640"/>
    <x v="11"/>
    <x v="236"/>
    <n v="100000"/>
    <n v="50745"/>
    <m/>
    <m/>
    <m/>
    <n v="50745"/>
    <m/>
    <m/>
    <m/>
    <m/>
    <n v="50745"/>
    <m/>
    <n v="38857.200000000004"/>
    <n v="38857.200000000004"/>
    <m/>
    <s v="N"/>
    <m/>
    <n v="50745"/>
    <n v="2070"/>
    <n v="0"/>
    <n v="0"/>
    <n v="48675"/>
    <n v="48675"/>
    <n v="0"/>
    <n v="9817.7999999999956"/>
    <s v="847.8470440.1.428640.000000.847001.200179"/>
    <n v="50745"/>
    <n v="2173.5"/>
    <n v="0"/>
    <n v="0"/>
    <n v="48571.5"/>
    <n v="0"/>
    <n v="0"/>
    <n v="0"/>
    <n v="38857.200000000004"/>
    <n v="2070"/>
    <n v="-36683.700000000004"/>
  </r>
  <r>
    <x v="5"/>
    <s v="College of Art &amp; science"/>
    <s v="2 Other Operating Costs"/>
    <n v="8470440"/>
    <s v="KUST - Humanities &amp; Social Sciences"/>
    <n v="435340"/>
    <x v="36"/>
    <x v="237"/>
    <n v="120000"/>
    <n v="120000"/>
    <m/>
    <m/>
    <m/>
    <n v="120000"/>
    <m/>
    <m/>
    <m/>
    <m/>
    <n v="120000"/>
    <m/>
    <n v="96000"/>
    <n v="96000"/>
    <m/>
    <s v="N"/>
    <m/>
    <n v="120000"/>
    <n v="0"/>
    <n v="0"/>
    <n v="0"/>
    <n v="120000"/>
    <n v="120000"/>
    <n v="0"/>
    <n v="24000"/>
    <s v="847.8470440.1.435340.000000.847001.200179"/>
    <n v="120000"/>
    <n v="0"/>
    <n v="0"/>
    <n v="0"/>
    <n v="120000"/>
    <n v="0"/>
    <n v="0"/>
    <n v="0"/>
    <n v="96000"/>
    <n v="0"/>
    <n v="-96000"/>
  </r>
  <r>
    <x v="5"/>
    <s v="College of Art &amp; science"/>
    <s v="2 Other Operating Costs"/>
    <n v="8470440"/>
    <s v="KUST - Humanities &amp; Social Sciences"/>
    <n v="435350"/>
    <x v="21"/>
    <x v="238"/>
    <n v="40000"/>
    <n v="45000"/>
    <n v="42010"/>
    <m/>
    <m/>
    <n v="2990"/>
    <m/>
    <m/>
    <m/>
    <m/>
    <n v="2990"/>
    <m/>
    <n v="2.9103830456733681E-12"/>
    <n v="-363.29999999999711"/>
    <n v="6923.7599999999984"/>
    <s v="N"/>
    <m/>
    <n v="45000"/>
    <n v="53654.7"/>
    <n v="0"/>
    <n v="0"/>
    <n v="-8654.6999999999971"/>
    <n v="2990"/>
    <n v="-11644.699999999997"/>
    <n v="-8654.7000000000007"/>
    <s v="847.8470440.1.435350.000000.847001.200179"/>
    <n v="45000"/>
    <n v="56644.7"/>
    <n v="0"/>
    <n v="0"/>
    <n v="3.6379788070917101E-12"/>
    <n v="363.3"/>
    <n v="0"/>
    <n v="0"/>
    <n v="-363.29999999999711"/>
    <n v="54018"/>
    <n v="64295.05999999999"/>
  </r>
  <r>
    <x v="5"/>
    <s v="College of Art &amp; science"/>
    <s v="2 Other Operating Costs"/>
    <n v="8470440"/>
    <s v="KUST - Humanities &amp; Social Sciences"/>
    <n v="436600"/>
    <x v="34"/>
    <x v="239"/>
    <n v="22500"/>
    <n v="22500"/>
    <n v="4195"/>
    <n v="0"/>
    <n v="0"/>
    <n v="18305"/>
    <m/>
    <m/>
    <m/>
    <m/>
    <n v="18305"/>
    <m/>
    <n v="14644"/>
    <n v="14644"/>
    <m/>
    <s v="N"/>
    <m/>
    <n v="22500"/>
    <n v="4195"/>
    <n v="0"/>
    <n v="0"/>
    <n v="18305"/>
    <n v="18305"/>
    <n v="0"/>
    <n v="3661"/>
    <s v="847.8470440.1.436600.000000.847001.200179"/>
    <n v="22500"/>
    <n v="4195"/>
    <n v="0"/>
    <n v="0"/>
    <n v="18305"/>
    <n v="0"/>
    <n v="0"/>
    <n v="0"/>
    <n v="14644"/>
    <n v="4195"/>
    <n v="-10449"/>
  </r>
  <r>
    <x v="5"/>
    <s v="College of Art &amp; science"/>
    <s v="2 Other Operating Costs"/>
    <n v="8470445"/>
    <s v="KUST - Mathematics"/>
    <n v="425100"/>
    <x v="14"/>
    <x v="240"/>
    <n v="150000"/>
    <n v="150000"/>
    <m/>
    <m/>
    <m/>
    <n v="150000"/>
    <m/>
    <m/>
    <m/>
    <m/>
    <n v="150000"/>
    <m/>
    <n v="120000"/>
    <n v="120000"/>
    <m/>
    <s v="N"/>
    <m/>
    <n v="150000"/>
    <n v="0"/>
    <n v="0"/>
    <n v="0"/>
    <n v="150000"/>
    <n v="150000"/>
    <n v="0"/>
    <n v="30000"/>
    <s v="847.8470445.1.425100.000000.847001.200179"/>
    <n v="150000"/>
    <n v="0"/>
    <n v="0"/>
    <n v="0"/>
    <n v="150000"/>
    <n v="0"/>
    <n v="0"/>
    <n v="0"/>
    <n v="120000"/>
    <n v="0"/>
    <n v="-120000"/>
  </r>
  <r>
    <x v="5"/>
    <s v="College of Art &amp; science"/>
    <s v="2 Other Operating Costs"/>
    <n v="8470445"/>
    <s v="KUST - Mathematics"/>
    <n v="425720"/>
    <x v="37"/>
    <x v="241"/>
    <n v="18350"/>
    <n v="19350"/>
    <n v="825"/>
    <m/>
    <m/>
    <n v="18525"/>
    <m/>
    <m/>
    <m/>
    <m/>
    <n v="18525"/>
    <m/>
    <n v="14820"/>
    <n v="-3555"/>
    <m/>
    <s v="N"/>
    <m/>
    <n v="19350"/>
    <n v="825"/>
    <n v="0"/>
    <n v="0"/>
    <n v="18525"/>
    <n v="18525"/>
    <n v="0"/>
    <n v="3705"/>
    <s v="847.8470445.1.425720.000000.847001.200179"/>
    <n v="19350"/>
    <n v="825"/>
    <n v="0"/>
    <n v="0"/>
    <n v="18525"/>
    <n v="0"/>
    <n v="18375"/>
    <n v="0"/>
    <n v="-3555"/>
    <n v="19200"/>
    <n v="22755"/>
  </r>
  <r>
    <x v="5"/>
    <s v="College of Art &amp; science"/>
    <s v="2 Other Operating Costs"/>
    <n v="8470445"/>
    <s v="KUST - Mathematics"/>
    <n v="425760"/>
    <x v="35"/>
    <x v="242"/>
    <n v="36630"/>
    <n v="35630"/>
    <m/>
    <m/>
    <m/>
    <n v="35630"/>
    <m/>
    <m/>
    <m/>
    <m/>
    <n v="35630"/>
    <m/>
    <n v="20504"/>
    <n v="20504"/>
    <m/>
    <s v="N"/>
    <m/>
    <n v="25630"/>
    <n v="0"/>
    <n v="0"/>
    <n v="0"/>
    <n v="25630"/>
    <n v="25630"/>
    <n v="0"/>
    <n v="5126"/>
    <s v="847.8470445.1.425760.000000.847001.200179"/>
    <n v="25630"/>
    <n v="0"/>
    <n v="0"/>
    <n v="0"/>
    <n v="25630"/>
    <n v="0"/>
    <n v="0"/>
    <n v="0"/>
    <n v="20504"/>
    <n v="0"/>
    <n v="-20504"/>
  </r>
  <r>
    <x v="5"/>
    <s v="College of Art &amp; science"/>
    <s v="2 Other Operating Costs"/>
    <n v="8470445"/>
    <s v="KUST - Mathematics"/>
    <n v="425763"/>
    <x v="15"/>
    <x v="243"/>
    <n v="7590"/>
    <n v="7590"/>
    <m/>
    <m/>
    <m/>
    <n v="7590"/>
    <m/>
    <m/>
    <m/>
    <m/>
    <n v="7590"/>
    <m/>
    <n v="6072"/>
    <n v="6072"/>
    <m/>
    <s v="N"/>
    <m/>
    <n v="7590"/>
    <n v="0"/>
    <n v="0"/>
    <n v="0"/>
    <n v="7590"/>
    <n v="7590"/>
    <n v="0"/>
    <n v="1518"/>
    <s v="847.8470445.1.425763.000000.847001.200179"/>
    <n v="7590"/>
    <n v="0"/>
    <n v="0"/>
    <n v="0"/>
    <n v="7590"/>
    <n v="0"/>
    <n v="0"/>
    <n v="0"/>
    <n v="6072"/>
    <n v="0"/>
    <n v="-6072"/>
  </r>
  <r>
    <x v="5"/>
    <s v="College of Art &amp; science"/>
    <s v="2 Other Operating Costs"/>
    <n v="8470445"/>
    <s v="KUST - Mathematics"/>
    <n v="425770"/>
    <x v="20"/>
    <x v="244"/>
    <n v="570000"/>
    <n v="299950"/>
    <n v="141798.62"/>
    <m/>
    <m/>
    <n v="158151.38"/>
    <m/>
    <m/>
    <m/>
    <m/>
    <n v="158151.38"/>
    <m/>
    <n v="32848.112000000001"/>
    <n v="8457.0920000000042"/>
    <m/>
    <s v="N"/>
    <m/>
    <n v="299950"/>
    <n v="239939.86"/>
    <n v="0"/>
    <n v="0"/>
    <n v="60010.140000000014"/>
    <n v="60010.14"/>
    <n v="0"/>
    <n v="27162.028000000013"/>
    <s v="847.8470445.1.425770.000000.847001.200179"/>
    <n v="299950"/>
    <n v="258889.86"/>
    <n v="0"/>
    <n v="0"/>
    <n v="41060.14"/>
    <n v="7353.9"/>
    <n v="0"/>
    <n v="17037.12"/>
    <n v="8457.0920000000006"/>
    <n v="264330.88"/>
    <n v="274823.788"/>
  </r>
  <r>
    <x v="5"/>
    <s v="College of Art &amp; science"/>
    <s v="2 Other Operating Costs"/>
    <n v="8470445"/>
    <s v="KUST - Mathematics"/>
    <n v="426610"/>
    <x v="8"/>
    <x v="245"/>
    <n v="37650"/>
    <n v="37650"/>
    <n v="13814.8"/>
    <n v="0"/>
    <n v="8951.9699999999993"/>
    <n v="14883.230000000001"/>
    <m/>
    <m/>
    <m/>
    <m/>
    <n v="14883.230000000001"/>
    <m/>
    <n v="12578.168"/>
    <n v="12578.168"/>
    <m/>
    <s v="N"/>
    <m/>
    <n v="37650"/>
    <n v="21927.29"/>
    <n v="0"/>
    <n v="0"/>
    <n v="15722.71"/>
    <n v="15722.71"/>
    <n v="0"/>
    <n v="3144.5419999999995"/>
    <s v="847.8470445.1.426610.000000.847001.200179"/>
    <n v="37650"/>
    <n v="21927.29"/>
    <n v="0"/>
    <n v="0"/>
    <n v="15722.71"/>
    <n v="0"/>
    <n v="0"/>
    <n v="0"/>
    <n v="12578.168"/>
    <n v="21927.29"/>
    <n v="9349.1220000000012"/>
  </r>
  <r>
    <x v="5"/>
    <s v="College of Art &amp; science"/>
    <s v="2 Other Operating Costs"/>
    <n v="8470445"/>
    <s v="KUST - Mathematics"/>
    <n v="435350"/>
    <x v="21"/>
    <x v="246"/>
    <n v="600000"/>
    <n v="325029"/>
    <n v="101616.56"/>
    <m/>
    <m/>
    <n v="223412.44"/>
    <m/>
    <m/>
    <m/>
    <m/>
    <n v="223412.44"/>
    <m/>
    <n v="113860.728"/>
    <n v="85406.352799999993"/>
    <m/>
    <s v="N"/>
    <m/>
    <n v="325029"/>
    <n v="168899.39"/>
    <n v="0"/>
    <n v="0"/>
    <n v="156129.60999999999"/>
    <n v="156129.60999999999"/>
    <n v="0"/>
    <n v="42268.881999999983"/>
    <s v="847.8470445.1.435350.000000.847001.200179"/>
    <n v="325029"/>
    <n v="182703.09"/>
    <n v="0"/>
    <n v="0"/>
    <n v="142325.91"/>
    <n v="0"/>
    <n v="28454.375200000002"/>
    <n v="0"/>
    <n v="85406.352799999993"/>
    <n v="197353.76520000002"/>
    <n v="125751.11240000001"/>
  </r>
  <r>
    <x v="5"/>
    <s v="College of Art &amp; science"/>
    <s v="2 Other Operating Costs"/>
    <n v="8470450"/>
    <s v="KUST - Earth Science"/>
    <n v="425761"/>
    <x v="29"/>
    <x v="247"/>
    <n v="500000"/>
    <n v="500000"/>
    <n v="218851.74"/>
    <m/>
    <m/>
    <n v="281148.26"/>
    <m/>
    <m/>
    <m/>
    <m/>
    <n v="281148.26"/>
    <m/>
    <n v="148462.60800000001"/>
    <n v="143002.568"/>
    <m/>
    <s v="N"/>
    <m/>
    <n v="500000"/>
    <n v="287801.74"/>
    <n v="0"/>
    <n v="0"/>
    <n v="212198.26"/>
    <n v="212198.26"/>
    <n v="0"/>
    <n v="63735.652000000002"/>
    <s v="847.8470450.1.425761.000000.847001.200179"/>
    <n v="500000"/>
    <n v="314421.74"/>
    <n v="0"/>
    <n v="0"/>
    <n v="185578.26"/>
    <n v="5460.04"/>
    <n v="0"/>
    <n v="0"/>
    <n v="143002.568"/>
    <n v="293261.77999999997"/>
    <n v="176879.21199999997"/>
  </r>
  <r>
    <x v="5"/>
    <s v="College of Art &amp; science"/>
    <s v="2 Other Operating Costs"/>
    <n v="8470450"/>
    <s v="KUST - Earth Science"/>
    <n v="425770"/>
    <x v="20"/>
    <x v="248"/>
    <n v="180000"/>
    <n v="108155"/>
    <n v="49460"/>
    <m/>
    <m/>
    <n v="58695"/>
    <m/>
    <m/>
    <m/>
    <m/>
    <n v="58695"/>
    <m/>
    <n v="7574.5360000000001"/>
    <n v="7139.5360000000001"/>
    <m/>
    <s v="N"/>
    <m/>
    <n v="108155"/>
    <n v="105548.83"/>
    <n v="0"/>
    <n v="0"/>
    <n v="2606.1699999999983"/>
    <n v="2606.17"/>
    <n v="0"/>
    <n v="-4968.3660000000018"/>
    <s v="847.8470450.1.425770.000000.847001.200179"/>
    <n v="134417"/>
    <n v="124948.83"/>
    <n v="0"/>
    <n v="0"/>
    <n v="9468.17"/>
    <n v="435"/>
    <n v="0"/>
    <n v="0"/>
    <n v="7139.5360000000001"/>
    <n v="105983.83"/>
    <n v="118244.29399999999"/>
  </r>
  <r>
    <x v="5"/>
    <s v="College of Art &amp; science"/>
    <s v="2 Other Operating Costs"/>
    <n v="8470450"/>
    <s v="KUST - Earth Science"/>
    <n v="426610"/>
    <x v="8"/>
    <x v="249"/>
    <n v="313605"/>
    <n v="313605"/>
    <m/>
    <n v="0"/>
    <n v="35628.1"/>
    <n v="277976.90000000002"/>
    <m/>
    <m/>
    <m/>
    <m/>
    <n v="277976.90000000002"/>
    <m/>
    <n v="222381.52000000002"/>
    <n v="222381.52000000002"/>
    <m/>
    <s v="N"/>
    <m/>
    <n v="313605"/>
    <n v="35628.1"/>
    <n v="0"/>
    <n v="0"/>
    <n v="277976.90000000002"/>
    <n v="277976.90000000002"/>
    <n v="0"/>
    <n v="55595.380000000005"/>
    <s v="847.8470450.1.426610.000000.847001.200179"/>
    <n v="313605"/>
    <n v="35628.1"/>
    <n v="0"/>
    <n v="0"/>
    <n v="277976.90000000002"/>
    <n v="0"/>
    <n v="0"/>
    <n v="0"/>
    <n v="222381.52000000002"/>
    <n v="35628.1"/>
    <n v="-186753.42"/>
  </r>
  <r>
    <x v="5"/>
    <s v="College of Art &amp; science"/>
    <s v="2 Other Operating Costs"/>
    <n v="8470450"/>
    <s v="KUST - Earth Science"/>
    <n v="428090"/>
    <x v="9"/>
    <x v="250"/>
    <n v="30000"/>
    <n v="2201"/>
    <n v="2200"/>
    <m/>
    <m/>
    <n v="1"/>
    <m/>
    <m/>
    <m/>
    <m/>
    <n v="1"/>
    <m/>
    <n v="0.8"/>
    <n v="0.8"/>
    <m/>
    <s v="N"/>
    <m/>
    <n v="2201"/>
    <n v="2200"/>
    <n v="0"/>
    <n v="0"/>
    <n v="1"/>
    <n v="1"/>
    <n v="0"/>
    <n v="0.19999999999999996"/>
    <s v="847.8470450.1.428090.000000.847001.200179"/>
    <n v="2201"/>
    <n v="2200"/>
    <n v="0"/>
    <n v="0"/>
    <n v="1"/>
    <n v="0"/>
    <n v="0"/>
    <n v="0"/>
    <n v="0.8"/>
    <n v="2200"/>
    <n v="2199.1999999999998"/>
  </r>
  <r>
    <x v="5"/>
    <s v="College of Art &amp; science"/>
    <s v="2 Other Operating Costs"/>
    <n v="8470450"/>
    <s v="KUST - Earth Science"/>
    <n v="432209"/>
    <x v="32"/>
    <x v="251"/>
    <n v="118157"/>
    <n v="118157"/>
    <n v="5022.49"/>
    <n v="39200"/>
    <n v="29025.69"/>
    <n v="44908.819999999992"/>
    <m/>
    <m/>
    <m/>
    <m/>
    <n v="44908.819999999992"/>
    <m/>
    <n v="35450.871999999996"/>
    <n v="35450.871999999996"/>
    <m/>
    <s v="N"/>
    <m/>
    <n v="118157"/>
    <n v="12303.22"/>
    <n v="39200"/>
    <n v="21744.959999999999"/>
    <n v="44908.82"/>
    <n v="44908.82"/>
    <n v="0"/>
    <n v="9457.948000000004"/>
    <s v="847.8470450.1.432209.000000.847001.200179"/>
    <n v="118157"/>
    <n v="12898.45"/>
    <n v="39200"/>
    <n v="21744.959999999999"/>
    <n v="44313.59"/>
    <n v="0"/>
    <n v="0"/>
    <n v="0"/>
    <n v="35450.871999999996"/>
    <n v="73248.179999999993"/>
    <n v="38392.538000000008"/>
  </r>
  <r>
    <x v="5"/>
    <s v="College of Art &amp; science"/>
    <s v="2 Other Operating Costs"/>
    <n v="8470450"/>
    <s v="KUST - Earth Science"/>
    <n v="435350"/>
    <x v="21"/>
    <x v="252"/>
    <n v="40000"/>
    <n v="21669"/>
    <m/>
    <m/>
    <m/>
    <n v="21669"/>
    <m/>
    <m/>
    <m/>
    <m/>
    <n v="21669"/>
    <m/>
    <n v="9313.3680000000004"/>
    <n v="7353.8680000000004"/>
    <m/>
    <s v="N"/>
    <m/>
    <n v="21669"/>
    <n v="0"/>
    <n v="0"/>
    <n v="0"/>
    <n v="21669"/>
    <n v="21669"/>
    <n v="0"/>
    <n v="12355.632"/>
    <s v="847.8470450.1.435350.000000.847001.200179"/>
    <n v="21669"/>
    <n v="10027.290000000001"/>
    <n v="0"/>
    <n v="0"/>
    <n v="11641.71"/>
    <n v="1959.5"/>
    <n v="0"/>
    <n v="0"/>
    <n v="7353.8680000000004"/>
    <n v="1959.5"/>
    <n v="4632.9220000000005"/>
  </r>
  <r>
    <x v="5"/>
    <s v="College of Art &amp; science"/>
    <s v="2 Other Operating Costs"/>
    <n v="8470450"/>
    <s v="KUST - Earth Science"/>
    <n v="435508"/>
    <x v="33"/>
    <x v="253"/>
    <n v="6500"/>
    <n v="16500"/>
    <m/>
    <n v="7272.54"/>
    <n v="4700"/>
    <n v="4527.4599999999991"/>
    <m/>
    <m/>
    <m/>
    <m/>
    <n v="4527.4599999999991"/>
    <m/>
    <n v="6106.8320000000003"/>
    <n v="6106.8320000000003"/>
    <m/>
    <s v="N"/>
    <m/>
    <n v="16500"/>
    <n v="194.43"/>
    <n v="-235"/>
    <n v="8907.0300000000007"/>
    <n v="7633.5399999999991"/>
    <n v="7633.54"/>
    <n v="0"/>
    <n v="1526.7079999999987"/>
    <s v="847.8470450.1.435508.000000.847001.200179"/>
    <n v="16500"/>
    <n v="9101.4599999999991"/>
    <n v="-235"/>
    <n v="0"/>
    <n v="7633.54"/>
    <n v="0"/>
    <n v="0"/>
    <n v="0"/>
    <n v="6106.8320000000003"/>
    <n v="8866.4600000000009"/>
    <n v="2759.6279999999988"/>
  </r>
  <r>
    <x v="5"/>
    <s v="College of Art &amp; science"/>
    <s v="2 Other Operating Costs"/>
    <n v="8470455"/>
    <s v="KUST – Biology"/>
    <n v="425760"/>
    <x v="35"/>
    <x v="254"/>
    <n v="10000"/>
    <n v="10000"/>
    <m/>
    <m/>
    <m/>
    <n v="10000"/>
    <m/>
    <m/>
    <m/>
    <m/>
    <n v="10000"/>
    <m/>
    <n v="8000"/>
    <n v="8000"/>
    <m/>
    <s v="N"/>
    <m/>
    <n v="10000"/>
    <n v="0"/>
    <n v="0"/>
    <n v="0"/>
    <n v="10000"/>
    <n v="10000"/>
    <n v="0"/>
    <n v="2000"/>
    <s v="847.8470455.1.425760.000000.847001.200179"/>
    <n v="10000"/>
    <n v="0"/>
    <n v="0"/>
    <n v="0"/>
    <n v="10000"/>
    <n v="0"/>
    <n v="0"/>
    <n v="0"/>
    <n v="8000"/>
    <n v="0"/>
    <n v="-8000"/>
  </r>
  <r>
    <x v="5"/>
    <s v="College of Art &amp; science"/>
    <s v="2 Other Operating Costs"/>
    <n v="8470455"/>
    <s v="KUST – Biology"/>
    <n v="425770"/>
    <x v="20"/>
    <x v="255"/>
    <n v="80000"/>
    <n v="43337"/>
    <n v="14292.39"/>
    <m/>
    <m/>
    <n v="29044.61"/>
    <m/>
    <m/>
    <m/>
    <m/>
    <n v="29044.61"/>
    <m/>
    <n v="11258.088000000002"/>
    <n v="11258.088000000002"/>
    <m/>
    <s v="N"/>
    <m/>
    <n v="43337"/>
    <n v="20714.39"/>
    <n v="0"/>
    <n v="0"/>
    <n v="22622.61"/>
    <n v="22622.61"/>
    <n v="0"/>
    <n v="11364.521999999999"/>
    <s v="847.8470455.1.425770.000000.847001.200179"/>
    <n v="43337"/>
    <n v="29264.39"/>
    <n v="0"/>
    <n v="0"/>
    <n v="14072.61"/>
    <n v="0"/>
    <n v="0"/>
    <n v="0"/>
    <n v="11258.088000000002"/>
    <n v="20714.39"/>
    <n v="18006.301999999996"/>
  </r>
  <r>
    <x v="5"/>
    <s v="College of Art &amp; science"/>
    <s v="2 Other Operating Costs"/>
    <n v="8470455"/>
    <s v="KUST – Biology"/>
    <n v="425900"/>
    <x v="7"/>
    <x v="256"/>
    <n v="15000"/>
    <n v="15000"/>
    <n v="1800"/>
    <m/>
    <m/>
    <n v="13200"/>
    <m/>
    <m/>
    <m/>
    <m/>
    <n v="13200"/>
    <m/>
    <n v="7983.9840000000004"/>
    <n v="7983.9840000000004"/>
    <m/>
    <s v="N"/>
    <m/>
    <n v="15000"/>
    <n v="2020.02"/>
    <n v="0"/>
    <n v="0"/>
    <n v="12979.98"/>
    <n v="12979.98"/>
    <n v="0"/>
    <n v="4995.9959999999992"/>
    <s v="847.8470455.1.425900.000000.847001.200179"/>
    <n v="15000"/>
    <n v="5020.0200000000004"/>
    <n v="0"/>
    <n v="0"/>
    <n v="9979.98"/>
    <n v="0"/>
    <n v="0"/>
    <n v="0"/>
    <n v="7983.9840000000004"/>
    <n v="2020.02"/>
    <n v="-2963.9639999999999"/>
  </r>
  <r>
    <x v="5"/>
    <s v="College of Art &amp; science"/>
    <s v="2 Other Operating Costs"/>
    <n v="8470455"/>
    <s v="KUST – Biology"/>
    <n v="426610"/>
    <x v="8"/>
    <x v="257"/>
    <n v="50000"/>
    <n v="50000"/>
    <n v="119.56"/>
    <n v="0"/>
    <n v="27088.38"/>
    <n v="22792.06"/>
    <m/>
    <m/>
    <m/>
    <m/>
    <n v="22792.06"/>
    <m/>
    <n v="15651.807999999999"/>
    <n v="15651.807999999999"/>
    <m/>
    <s v="N"/>
    <m/>
    <n v="50000"/>
    <n v="27207.94"/>
    <n v="0"/>
    <n v="0"/>
    <n v="22792.06"/>
    <n v="22792.06"/>
    <n v="0"/>
    <n v="7140.2520000000022"/>
    <s v="847.8470455.1.426610.000000.847001.200179"/>
    <n v="50000"/>
    <n v="30435.24"/>
    <n v="0"/>
    <n v="0"/>
    <n v="19564.759999999998"/>
    <n v="0"/>
    <n v="0"/>
    <n v="0"/>
    <n v="15651.807999999999"/>
    <n v="27207.94"/>
    <n v="14783.432000000003"/>
  </r>
  <r>
    <x v="5"/>
    <s v="College of Art &amp; science"/>
    <s v="2 Other Operating Costs"/>
    <n v="8470455"/>
    <s v="KUST – Biology"/>
    <n v="428090"/>
    <x v="9"/>
    <x v="258"/>
    <n v="50000"/>
    <n v="48000"/>
    <m/>
    <m/>
    <m/>
    <n v="48000"/>
    <m/>
    <m/>
    <m/>
    <m/>
    <n v="48000"/>
    <m/>
    <n v="38400"/>
    <n v="38400"/>
    <m/>
    <s v="N"/>
    <m/>
    <n v="48000"/>
    <n v="0"/>
    <n v="0"/>
    <n v="0"/>
    <n v="48000"/>
    <n v="48000"/>
    <n v="0"/>
    <n v="9600"/>
    <s v="847.8470455.1.428090.000000.847001.200179"/>
    <n v="48000"/>
    <n v="0"/>
    <n v="0"/>
    <n v="0"/>
    <n v="48000"/>
    <n v="0"/>
    <n v="0"/>
    <n v="0"/>
    <n v="38400"/>
    <n v="0"/>
    <n v="-38400"/>
  </r>
  <r>
    <x v="5"/>
    <s v="College of Art &amp; science"/>
    <s v="2 Other Operating Costs"/>
    <n v="8470455"/>
    <s v="KUST – Biology"/>
    <n v="428640"/>
    <x v="11"/>
    <x v="259"/>
    <n v="5000"/>
    <n v="2537"/>
    <m/>
    <m/>
    <m/>
    <n v="2537"/>
    <m/>
    <m/>
    <m/>
    <m/>
    <n v="2537"/>
    <m/>
    <n v="2029.6000000000001"/>
    <n v="2029.6000000000001"/>
    <m/>
    <s v="N"/>
    <m/>
    <n v="2537"/>
    <n v="0"/>
    <n v="0"/>
    <n v="0"/>
    <n v="2537"/>
    <n v="2537"/>
    <n v="0"/>
    <n v="507.39999999999986"/>
    <s v="847.8470455.1.428640.000000.847001.200179"/>
    <n v="2537"/>
    <n v="0"/>
    <n v="0"/>
    <n v="0"/>
    <n v="2537"/>
    <n v="0"/>
    <n v="0"/>
    <n v="0"/>
    <n v="2029.6000000000001"/>
    <n v="0"/>
    <n v="-2029.6000000000001"/>
  </r>
  <r>
    <x v="5"/>
    <s v="College of Art &amp; science"/>
    <s v="2 Other Operating Costs"/>
    <n v="8470455"/>
    <s v="KUST – Biology"/>
    <n v="432209"/>
    <x v="32"/>
    <x v="260"/>
    <n v="300000"/>
    <n v="300000"/>
    <m/>
    <m/>
    <m/>
    <n v="300000"/>
    <m/>
    <m/>
    <m/>
    <m/>
    <n v="300000"/>
    <m/>
    <n v="1840"/>
    <n v="1840"/>
    <m/>
    <s v="N"/>
    <m/>
    <n v="300000"/>
    <n v="2200"/>
    <n v="0"/>
    <n v="295500"/>
    <n v="2300"/>
    <n v="2300"/>
    <n v="0"/>
    <n v="460"/>
    <s v="847.8470455.1.432209.000000.847001.200179"/>
    <n v="300000"/>
    <n v="2200"/>
    <n v="0"/>
    <n v="295500"/>
    <n v="2300"/>
    <n v="0"/>
    <n v="0"/>
    <n v="0"/>
    <n v="1840"/>
    <n v="297700"/>
    <n v="295860"/>
  </r>
  <r>
    <x v="5"/>
    <s v="College of Art &amp; science"/>
    <s v="2 Other Operating Costs"/>
    <n v="8470455"/>
    <s v="KUST – Biology"/>
    <n v="435350"/>
    <x v="21"/>
    <x v="261"/>
    <n v="80000"/>
    <n v="80000"/>
    <n v="25142.2"/>
    <m/>
    <m/>
    <n v="54857.8"/>
    <m/>
    <m/>
    <m/>
    <m/>
    <n v="54857.8"/>
    <m/>
    <n v="37448.496000000006"/>
    <n v="37448.496000000006"/>
    <m/>
    <s v="N"/>
    <m/>
    <n v="80000"/>
    <n v="33189.379999999997"/>
    <n v="0"/>
    <n v="0"/>
    <n v="46810.62"/>
    <n v="46810.62"/>
    <n v="0"/>
    <n v="9362.1239999999962"/>
    <s v="847.8470455.1.435350.000000.847001.200179"/>
    <n v="80000"/>
    <n v="33189.379999999997"/>
    <n v="0"/>
    <n v="0"/>
    <n v="46810.62"/>
    <n v="0"/>
    <n v="0"/>
    <n v="0"/>
    <n v="37448.496000000006"/>
    <n v="33189.379999999997"/>
    <n v="-4259.1160000000091"/>
  </r>
  <r>
    <x v="5"/>
    <s v="College of Art &amp; science"/>
    <s v="2 Other Operating Costs"/>
    <n v="8470455"/>
    <s v="KUST – Biology"/>
    <n v="435508"/>
    <x v="33"/>
    <x v="262"/>
    <n v="675000"/>
    <n v="675000"/>
    <n v="42948.14"/>
    <n v="264300"/>
    <n v="189167.27"/>
    <n v="178584.59"/>
    <m/>
    <m/>
    <m/>
    <m/>
    <n v="178584.59"/>
    <m/>
    <n v="147643.976"/>
    <n v="134002.81599999999"/>
    <m/>
    <s v="N"/>
    <m/>
    <n v="675000"/>
    <n v="134218.60999999999"/>
    <n v="0"/>
    <n v="339502"/>
    <n v="201279.39"/>
    <n v="201279.39"/>
    <n v="0"/>
    <n v="53635.414000000019"/>
    <s v="847.8470455.1.435508.000000.847001.200179"/>
    <n v="675000"/>
    <n v="279480.03000000003"/>
    <n v="0"/>
    <n v="210965"/>
    <n v="184554.97"/>
    <n v="2664.02"/>
    <n v="10977.14"/>
    <n v="0"/>
    <n v="134002.81599999999"/>
    <n v="487361.77"/>
    <n v="370083.37400000007"/>
  </r>
  <r>
    <x v="5"/>
    <s v="College of Art &amp; science"/>
    <s v="2 Other Operating Costs"/>
    <n v="8470455"/>
    <s v="KUST – Biology"/>
    <n v="436110"/>
    <x v="31"/>
    <x v="263"/>
    <n v="5000"/>
    <n v="5000"/>
    <m/>
    <m/>
    <m/>
    <n v="5000"/>
    <m/>
    <m/>
    <m/>
    <m/>
    <n v="5000"/>
    <m/>
    <n v="4000"/>
    <n v="4000"/>
    <m/>
    <s v="N"/>
    <m/>
    <n v="5000"/>
    <n v="0"/>
    <n v="0"/>
    <n v="0"/>
    <n v="5000"/>
    <n v="5000"/>
    <n v="0"/>
    <n v="1000"/>
    <s v="847.8470455.1.436110.000000.847001.200179"/>
    <n v="5000"/>
    <n v="0"/>
    <n v="0"/>
    <n v="0"/>
    <n v="5000"/>
    <n v="0"/>
    <n v="0"/>
    <n v="0"/>
    <n v="4000"/>
    <n v="0"/>
    <n v="-4000"/>
  </r>
  <r>
    <x v="6"/>
    <s v="Administrations, Facilities &amp; EHS office"/>
    <s v="2 Other Operating Costs"/>
    <n v="8470520"/>
    <s v="KUST - Environment, Health &amp; Safety"/>
    <n v="425510"/>
    <x v="5"/>
    <x v="264"/>
    <n v="29519"/>
    <n v="29519"/>
    <n v="3329.25"/>
    <m/>
    <m/>
    <n v="26189.75"/>
    <m/>
    <m/>
    <m/>
    <m/>
    <n v="26189.75"/>
    <m/>
    <n v="26189.75"/>
    <n v="26189.75"/>
    <m/>
    <s v="Y"/>
    <m/>
    <n v="29519"/>
    <n v="3329.25"/>
    <n v="0"/>
    <n v="0"/>
    <n v="26189.75"/>
    <n v="26189.75"/>
    <n v="0"/>
    <n v="0"/>
    <s v="847.8470520.1.425510.000000.847001.200179"/>
    <n v="29519"/>
    <n v="3329.25"/>
    <n v="0"/>
    <n v="0"/>
    <n v="26189.75"/>
    <n v="0"/>
    <n v="0"/>
    <n v="0"/>
    <n v="26189.75"/>
    <n v="3329.25"/>
    <n v="-22860.5"/>
  </r>
  <r>
    <x v="6"/>
    <s v="Administrations, Facilities &amp; EHS office"/>
    <s v="2 Other Operating Costs"/>
    <n v="8470520"/>
    <s v="KUST - Environment, Health &amp; Safety"/>
    <n v="426100"/>
    <x v="38"/>
    <x v="265"/>
    <n v="20000"/>
    <n v="20000"/>
    <m/>
    <m/>
    <m/>
    <n v="20000"/>
    <m/>
    <m/>
    <m/>
    <m/>
    <n v="20000"/>
    <m/>
    <n v="20000"/>
    <n v="20000"/>
    <m/>
    <s v="Y"/>
    <m/>
    <n v="20000"/>
    <n v="0"/>
    <n v="0"/>
    <n v="0"/>
    <n v="20000"/>
    <n v="20000"/>
    <n v="0"/>
    <n v="0"/>
    <s v="847.8470520.1.426100.000000.847001.200179"/>
    <n v="20000"/>
    <n v="0"/>
    <n v="0"/>
    <n v="0"/>
    <n v="20000"/>
    <n v="0"/>
    <n v="0"/>
    <n v="0"/>
    <n v="20000"/>
    <n v="0"/>
    <n v="-20000"/>
  </r>
  <r>
    <x v="6"/>
    <s v="Administrations, Facilities &amp; EHS office"/>
    <s v="2 Other Operating Costs"/>
    <n v="8470520"/>
    <s v="KUST - Environment, Health &amp; Safety"/>
    <n v="427710"/>
    <x v="13"/>
    <x v="266"/>
    <n v="42000"/>
    <n v="42000"/>
    <m/>
    <n v="0"/>
    <n v="10510"/>
    <n v="31490"/>
    <m/>
    <m/>
    <m/>
    <m/>
    <n v="31490"/>
    <m/>
    <n v="31490"/>
    <n v="31490"/>
    <m/>
    <s v="Y"/>
    <m/>
    <n v="42000"/>
    <n v="10510"/>
    <n v="0"/>
    <n v="0"/>
    <n v="31490"/>
    <n v="31490"/>
    <n v="0"/>
    <n v="0"/>
    <s v="847.8470520.1.427710.000000.847001.200179"/>
    <n v="42000"/>
    <n v="10510"/>
    <n v="0"/>
    <n v="0"/>
    <n v="31490"/>
    <n v="0"/>
    <n v="0"/>
    <n v="0"/>
    <n v="31490"/>
    <n v="10510"/>
    <n v="-20980"/>
  </r>
  <r>
    <x v="6"/>
    <s v="Administrations, Facilities &amp; EHS office"/>
    <s v="2 Other Operating Costs"/>
    <n v="8470520"/>
    <s v="KUST - Environment, Health &amp; Safety"/>
    <n v="428200"/>
    <x v="39"/>
    <x v="267"/>
    <n v="616900"/>
    <n v="616900"/>
    <n v="303042.33"/>
    <n v="28304.5"/>
    <n v="248137.28"/>
    <n v="37415.889999999985"/>
    <n v="23000"/>
    <n v="23000"/>
    <n v="23000"/>
    <m/>
    <n v="-31584.110000000015"/>
    <m/>
    <m/>
    <n v="0"/>
    <n v="31584.110000000015"/>
    <s v="Y"/>
    <m/>
    <n v="616900"/>
    <n v="367107.85"/>
    <n v="3234"/>
    <n v="227084.32"/>
    <n v="19473.830000000016"/>
    <n v="19473.8300000001"/>
    <n v="-8.3673512563109398E-11"/>
    <n v="19473.830000000016"/>
    <s v="847.8470520.1.428200.000000.847001.200179"/>
    <n v="591900"/>
    <n v="576994.68999999994"/>
    <n v="2540"/>
    <n v="-36006"/>
    <n v="48371.309999999801"/>
    <n v="0"/>
    <n v="0"/>
    <n v="0"/>
    <n v="0"/>
    <n v="620426.16999999993"/>
    <n v="598112.79999999993"/>
  </r>
  <r>
    <x v="6"/>
    <s v="Administrations, Facilities &amp; EHS office"/>
    <s v="2 Other Operating Costs"/>
    <n v="8470520"/>
    <s v="KUST - Environment, Health &amp; Safety"/>
    <n v="428200"/>
    <x v="39"/>
    <x v="268"/>
    <n v="23100"/>
    <n v="23100"/>
    <n v="23100"/>
    <m/>
    <n v="0"/>
    <n v="0"/>
    <m/>
    <m/>
    <m/>
    <m/>
    <n v="0"/>
    <m/>
    <n v="0"/>
    <n v="0"/>
    <m/>
    <s v="Y"/>
    <m/>
    <n v="23100"/>
    <n v="23100"/>
    <n v="0"/>
    <n v="0"/>
    <n v="0"/>
    <n v="0"/>
    <n v="0"/>
    <n v="0"/>
    <s v="847.8470520.1.428200.000000.847951.200179"/>
    <n v="23100"/>
    <n v="23100"/>
    <n v="0"/>
    <n v="0"/>
    <n v="0"/>
    <n v="0"/>
    <n v="0"/>
    <n v="0"/>
    <n v="0"/>
    <n v="23100"/>
    <n v="23100"/>
  </r>
  <r>
    <x v="6"/>
    <s v="Administrations, Facilities &amp; EHS office"/>
    <s v="2 Other Operating Costs"/>
    <n v="8470530"/>
    <s v="KUST - Facilities Management"/>
    <n v="420310"/>
    <x v="40"/>
    <x v="269"/>
    <n v="4056439"/>
    <n v="4056439"/>
    <n v="2160397.2000000002"/>
    <n v="0"/>
    <n v="1870859.89"/>
    <n v="25181.909999999916"/>
    <m/>
    <m/>
    <m/>
    <m/>
    <n v="25181.909999999916"/>
    <m/>
    <n v="25181.909999999916"/>
    <n v="25181.909999999916"/>
    <m/>
    <s v="Y"/>
    <m/>
    <n v="4081439"/>
    <n v="3157450.89"/>
    <n v="0"/>
    <n v="918766.2"/>
    <n v="5221.9099999999162"/>
    <n v="5221.9099999999198"/>
    <n v="0"/>
    <n v="-19960"/>
    <s v="847.8470530.1.420310.000000.847010.200179"/>
    <n v="4081439"/>
    <n v="3202410.89"/>
    <n v="0"/>
    <n v="873806.2"/>
    <n v="5221.9099999999198"/>
    <n v="0"/>
    <n v="0"/>
    <n v="0"/>
    <n v="25181.909999999916"/>
    <n v="4076217.09"/>
    <n v="4051035.1799999997"/>
  </r>
  <r>
    <x v="6"/>
    <s v="Administrations, Facilities &amp; EHS office"/>
    <s v="2 Other Operating Costs"/>
    <n v="8470530"/>
    <s v="KUST - Facilities Management"/>
    <n v="420310"/>
    <x v="40"/>
    <x v="270"/>
    <n v="747242"/>
    <n v="747242"/>
    <n v="403891.03"/>
    <n v="0"/>
    <n v="343350.97"/>
    <n v="0"/>
    <m/>
    <m/>
    <m/>
    <m/>
    <n v="0"/>
    <m/>
    <n v="0"/>
    <n v="-1470"/>
    <m/>
    <s v="Y"/>
    <m/>
    <n v="747242"/>
    <n v="403891.03"/>
    <n v="0"/>
    <n v="343350.97"/>
    <n v="0"/>
    <n v="-5.8207660913467401E-11"/>
    <n v="5.8207660913467401E-11"/>
    <n v="0"/>
    <s v="847.8470530.1.420310.000000.847015.200179"/>
    <n v="747242"/>
    <n v="403891.03"/>
    <n v="0"/>
    <n v="343350.97"/>
    <n v="-5.8207660913467401E-11"/>
    <n v="0"/>
    <n v="1470"/>
    <n v="0"/>
    <n v="-1470"/>
    <n v="748712"/>
    <n v="750182"/>
  </r>
  <r>
    <x v="6"/>
    <s v="Administrations, Facilities &amp; EHS office"/>
    <s v="2 Other Operating Costs"/>
    <n v="8470530"/>
    <s v="KUST - Facilities Management"/>
    <n v="420310"/>
    <x v="40"/>
    <x v="271"/>
    <n v="4118107"/>
    <n v="4364107"/>
    <n v="2467129.4700000002"/>
    <n v="0"/>
    <n v="1880748.25"/>
    <n v="16229.279999999795"/>
    <m/>
    <m/>
    <m/>
    <m/>
    <n v="16229.279999999795"/>
    <m/>
    <n v="16229.279999999795"/>
    <n v="16229.279999999795"/>
    <m/>
    <s v="Y"/>
    <m/>
    <n v="4364107"/>
    <n v="3781466.01"/>
    <n v="0"/>
    <n v="566411.71"/>
    <n v="16229.280000000261"/>
    <n v="16229.28"/>
    <n v="2.6011548470705748E-10"/>
    <n v="4.6566128730773926E-10"/>
    <s v="847.8470530.1.420310.000000.847020.200179"/>
    <n v="4364107"/>
    <n v="3781466.01"/>
    <n v="0"/>
    <n v="566411.71"/>
    <n v="16229.28"/>
    <n v="0"/>
    <n v="0"/>
    <n v="0"/>
    <n v="16229.279999999795"/>
    <n v="4347877.72"/>
    <n v="4331648.4399999995"/>
  </r>
  <r>
    <x v="6"/>
    <s v="Administrations, Facilities &amp; EHS office"/>
    <s v="2 Other Operating Costs"/>
    <n v="8470530"/>
    <s v="KUST - Facilities Management"/>
    <n v="421000"/>
    <x v="3"/>
    <x v="272"/>
    <n v="350000"/>
    <n v="850000"/>
    <m/>
    <n v="0"/>
    <n v="850000"/>
    <n v="0"/>
    <m/>
    <m/>
    <m/>
    <m/>
    <n v="0"/>
    <m/>
    <n v="0"/>
    <n v="0"/>
    <m/>
    <s v="Y"/>
    <m/>
    <n v="850000"/>
    <n v="0"/>
    <n v="0"/>
    <n v="850000"/>
    <n v="0"/>
    <n v="0"/>
    <n v="0"/>
    <n v="0"/>
    <s v="847.8470530.1.421000.000000.847010.200179"/>
    <n v="850000"/>
    <n v="0"/>
    <n v="0"/>
    <n v="850000"/>
    <n v="0"/>
    <n v="0"/>
    <n v="0"/>
    <n v="0"/>
    <n v="0"/>
    <n v="850000"/>
    <n v="850000"/>
  </r>
  <r>
    <x v="6"/>
    <s v="Administrations, Facilities &amp; EHS office"/>
    <s v="2 Other Operating Costs"/>
    <n v="8470530"/>
    <s v="KUST - Facilities Management"/>
    <n v="421100"/>
    <x v="41"/>
    <x v="273"/>
    <n v="0"/>
    <n v="-28032"/>
    <n v="-42048"/>
    <m/>
    <m/>
    <n v="14016"/>
    <m/>
    <m/>
    <m/>
    <m/>
    <n v="14016"/>
    <m/>
    <n v="3737.6000000000004"/>
    <n v="3737.6000000000004"/>
    <m/>
    <s v="N"/>
    <m/>
    <n v="-42048"/>
    <n v="-46720"/>
    <n v="0"/>
    <n v="0"/>
    <n v="4672"/>
    <n v="4672"/>
    <n v="0"/>
    <n v="934.39999999999964"/>
    <s v="847.8470530.1.421100.000000.847010.200179"/>
    <n v="-42048"/>
    <n v="-46720"/>
    <n v="0"/>
    <n v="0"/>
    <n v="4672"/>
    <n v="0"/>
    <n v="0"/>
    <n v="0"/>
    <n v="3737.6000000000004"/>
    <n v="-46720"/>
    <n v="-50457.599999999999"/>
  </r>
  <r>
    <x v="6"/>
    <s v="Administrations, Facilities &amp; EHS office"/>
    <s v="2 Other Operating Costs"/>
    <n v="8470530"/>
    <s v="KUST - Facilities Management"/>
    <n v="421600"/>
    <x v="42"/>
    <x v="274"/>
    <n v="4137480"/>
    <n v="3767662"/>
    <n v="2618461.42"/>
    <n v="0"/>
    <n v="1149200"/>
    <n v="0.58000000007450581"/>
    <m/>
    <m/>
    <m/>
    <m/>
    <n v="0.58000000007450581"/>
    <m/>
    <n v="0.58000000007450581"/>
    <n v="0.58000000007450581"/>
    <m/>
    <s v="Y"/>
    <m/>
    <n v="3767662"/>
    <n v="2618461.42"/>
    <n v="0"/>
    <n v="1149200"/>
    <n v="0.58000000007450581"/>
    <n v="0.58000000007450603"/>
    <n v="0"/>
    <n v="0"/>
    <s v="847.8470530.1.421600.000000.847010.200179"/>
    <n v="3767662"/>
    <n v="3615061.42"/>
    <n v="0"/>
    <n v="152600"/>
    <n v="0.58000000007450603"/>
    <n v="0"/>
    <n v="0"/>
    <n v="0"/>
    <n v="0.58000000007450581"/>
    <n v="3767661.42"/>
    <n v="3767660.84"/>
  </r>
  <r>
    <x v="6"/>
    <s v="Administrations, Facilities &amp; EHS office"/>
    <s v="2 Other Operating Costs"/>
    <n v="8470530"/>
    <s v="KUST - Facilities Management"/>
    <n v="421600"/>
    <x v="42"/>
    <x v="275"/>
    <n v="2649480"/>
    <n v="2453019"/>
    <n v="795109.05"/>
    <n v="1634640"/>
    <n v="23269.48"/>
    <n v="0.46999999995387043"/>
    <m/>
    <m/>
    <m/>
    <m/>
    <n v="0.46999999995387043"/>
    <m/>
    <n v="0.46999999995387043"/>
    <n v="0.46999999995387043"/>
    <m/>
    <s v="Y"/>
    <m/>
    <n v="2421019"/>
    <n v="2305266.79"/>
    <n v="0"/>
    <n v="62211.74"/>
    <n v="53540.469999999965"/>
    <n v="53540.47"/>
    <n v="0"/>
    <n v="53540.000000000015"/>
    <s v="847.8470530.1.421600.000000.847015.200179"/>
    <n v="2421019"/>
    <n v="2305257.31"/>
    <n v="0"/>
    <n v="115760.96000000001"/>
    <n v="0.72999999998137399"/>
    <n v="0"/>
    <n v="0"/>
    <n v="0"/>
    <n v="0.46999999995387043"/>
    <n v="2367478.5300000003"/>
    <n v="2421017.8000000003"/>
  </r>
  <r>
    <x v="6"/>
    <s v="Administrations, Facilities &amp; EHS office"/>
    <s v="2 Other Operating Costs"/>
    <n v="8470530"/>
    <s v="KUST - Facilities Management"/>
    <n v="421600"/>
    <x v="42"/>
    <x v="276"/>
    <n v="2601720"/>
    <n v="2017720"/>
    <n v="470781.74"/>
    <n v="1385720"/>
    <n v="161217.89000000001"/>
    <n v="0.36999999999534339"/>
    <m/>
    <m/>
    <m/>
    <m/>
    <n v="0.36999999999534339"/>
    <m/>
    <n v="0.36999999999534339"/>
    <n v="0.36999999999534339"/>
    <m/>
    <s v="Y"/>
    <m/>
    <n v="1952720"/>
    <n v="470781.74"/>
    <n v="0"/>
    <n v="161217.89000000001"/>
    <n v="1320720.3700000001"/>
    <n v="1320720.3700000001"/>
    <n v="0"/>
    <n v="1320720"/>
    <s v="847.8470530.1.421600.000000.847020.200179"/>
    <n v="2054143"/>
    <n v="1574226.74"/>
    <n v="0"/>
    <n v="378492.89"/>
    <n v="101423.37"/>
    <n v="0"/>
    <n v="0"/>
    <n v="0"/>
    <n v="0.36999999999534339"/>
    <n v="631999.63"/>
    <n v="1952719.2599999998"/>
  </r>
  <r>
    <x v="6"/>
    <s v="Administrations, Facilities &amp; EHS office"/>
    <s v="2 Other Operating Costs"/>
    <n v="8470530"/>
    <s v="KUST - Facilities Management"/>
    <n v="421600"/>
    <x v="42"/>
    <x v="277"/>
    <n v="0"/>
    <n v="635219"/>
    <n v="446286.18"/>
    <m/>
    <m/>
    <n v="188932.82"/>
    <n v="62977"/>
    <n v="62977"/>
    <n v="62977"/>
    <s v="Security manpower cost"/>
    <n v="1.8200000000069849"/>
    <m/>
    <n v="1.8200000000069849"/>
    <n v="1.8200000000069849"/>
    <m/>
    <s v="Y"/>
    <m/>
    <n v="635219"/>
    <n v="446286.18"/>
    <n v="0"/>
    <n v="0"/>
    <n v="188932.82"/>
    <n v="188932.82"/>
    <n v="0"/>
    <n v="188931"/>
    <s v="847.8470530.1.421600.000000.847030.200179"/>
    <n v="635219"/>
    <n v="446286.18"/>
    <n v="0"/>
    <n v="96978"/>
    <n v="91954.819999999905"/>
    <n v="0"/>
    <n v="0"/>
    <n v="0"/>
    <n v="1.8200000000069849"/>
    <n v="509263.18"/>
    <n v="606239.35999999987"/>
  </r>
  <r>
    <x v="6"/>
    <s v="Administrations, Facilities &amp; EHS office"/>
    <s v="2 Other Operating Costs"/>
    <n v="8470530"/>
    <s v="KUST - Facilities Management"/>
    <n v="421700"/>
    <x v="4"/>
    <x v="278"/>
    <n v="0"/>
    <n v="263000"/>
    <n v="49500"/>
    <n v="0"/>
    <n v="181500"/>
    <n v="32000"/>
    <m/>
    <m/>
    <m/>
    <m/>
    <n v="32000"/>
    <m/>
    <n v="32000"/>
    <n v="32000"/>
    <m/>
    <s v="Y"/>
    <m/>
    <n v="328000"/>
    <n v="99000"/>
    <n v="96000"/>
    <n v="132000"/>
    <n v="1000"/>
    <n v="1000"/>
    <n v="0"/>
    <n v="-31000"/>
    <s v="847.8470530.1.421700.000000.847010.200179"/>
    <n v="328000"/>
    <n v="99000"/>
    <n v="30000"/>
    <n v="197000"/>
    <n v="2000"/>
    <n v="0"/>
    <n v="0"/>
    <n v="0"/>
    <n v="32000"/>
    <n v="327000"/>
    <n v="294000"/>
  </r>
  <r>
    <x v="6"/>
    <s v="Administrations, Facilities &amp; EHS office"/>
    <s v="2 Other Operating Costs"/>
    <n v="8470530"/>
    <s v="KUST - Facilities Management"/>
    <n v="425510"/>
    <x v="5"/>
    <x v="279"/>
    <n v="20000"/>
    <n v="20000"/>
    <n v="1280.3699999999999"/>
    <m/>
    <m/>
    <n v="18719.63"/>
    <m/>
    <m/>
    <m/>
    <m/>
    <n v="18719.63"/>
    <m/>
    <n v="2645.3040000000001"/>
    <n v="95.304000000000087"/>
    <m/>
    <s v="N"/>
    <m/>
    <n v="20000"/>
    <n v="14348.37"/>
    <n v="0"/>
    <n v="0"/>
    <n v="5651.6299999999992"/>
    <n v="5651.63"/>
    <n v="0"/>
    <n v="3006.3259999999991"/>
    <s v="847.8470530.1.425510.000000.847010.200179"/>
    <n v="20000"/>
    <n v="16693.37"/>
    <n v="0"/>
    <n v="0"/>
    <n v="3306.63"/>
    <n v="0"/>
    <n v="0"/>
    <n v="2550"/>
    <n v="95.304000000000087"/>
    <n v="16898.370000000003"/>
    <n v="19148.065999999999"/>
  </r>
  <r>
    <x v="6"/>
    <s v="Administrations, Facilities &amp; EHS office"/>
    <s v="2 Other Operating Costs"/>
    <n v="8470530"/>
    <s v="KUST - Facilities Management"/>
    <n v="425900"/>
    <x v="7"/>
    <x v="280"/>
    <n v="30000"/>
    <n v="30000"/>
    <n v="11571"/>
    <m/>
    <m/>
    <n v="18429"/>
    <m/>
    <m/>
    <m/>
    <m/>
    <n v="18429"/>
    <m/>
    <n v="18429"/>
    <n v="18429"/>
    <m/>
    <s v="Y"/>
    <m/>
    <n v="30000"/>
    <n v="11571"/>
    <n v="0"/>
    <n v="0"/>
    <n v="18429"/>
    <n v="18429"/>
    <n v="0"/>
    <n v="0"/>
    <s v="847.8470530.1.425900.000000.847010.200179"/>
    <n v="30000"/>
    <n v="16443"/>
    <n v="0"/>
    <n v="0"/>
    <n v="12927"/>
    <n v="0"/>
    <n v="0"/>
    <n v="0"/>
    <n v="18429"/>
    <n v="11571"/>
    <n v="-1986"/>
  </r>
  <r>
    <x v="6"/>
    <s v="Administrations, Facilities &amp; EHS office"/>
    <s v="2 Other Operating Costs"/>
    <n v="8470530"/>
    <s v="KUST - Facilities Management"/>
    <n v="426220"/>
    <x v="43"/>
    <x v="281"/>
    <n v="960437"/>
    <n v="960437"/>
    <n v="44981.51"/>
    <m/>
    <m/>
    <n v="915455.49"/>
    <m/>
    <m/>
    <m/>
    <m/>
    <n v="915455.49"/>
    <m/>
    <n v="915455.49"/>
    <n v="915455.49"/>
    <m/>
    <s v="Y"/>
    <m/>
    <n v="960437"/>
    <n v="558196.81000000006"/>
    <n v="0"/>
    <n v="0"/>
    <n v="402240.18999999994"/>
    <n v="402240.19"/>
    <n v="0"/>
    <n v="-513215.30000000005"/>
    <s v="847.8470530.1.426220.000000.847010.200179"/>
    <n v="960437"/>
    <n v="558196.81000000006"/>
    <n v="0"/>
    <n v="0"/>
    <n v="402240.19"/>
    <n v="0"/>
    <n v="0"/>
    <n v="0"/>
    <n v="915455.49"/>
    <n v="558196.81000000006"/>
    <n v="-357258.67999999993"/>
  </r>
  <r>
    <x v="6"/>
    <s v="Administrations, Facilities &amp; EHS office"/>
    <s v="2 Other Operating Costs"/>
    <n v="8470530"/>
    <s v="KUST - Facilities Management"/>
    <n v="426220"/>
    <x v="43"/>
    <x v="282"/>
    <n v="23714"/>
    <n v="23714"/>
    <m/>
    <m/>
    <m/>
    <n v="23714"/>
    <m/>
    <m/>
    <m/>
    <m/>
    <n v="23714"/>
    <m/>
    <n v="23714"/>
    <n v="23714"/>
    <m/>
    <s v="Y"/>
    <m/>
    <n v="23714"/>
    <n v="0"/>
    <n v="0"/>
    <n v="0"/>
    <n v="23714"/>
    <n v="23714"/>
    <n v="0"/>
    <n v="0"/>
    <s v="847.8470530.1.426220.000000.847030.200179"/>
    <n v="23714"/>
    <n v="0"/>
    <n v="0"/>
    <n v="0"/>
    <n v="23714"/>
    <n v="0"/>
    <n v="0"/>
    <n v="0"/>
    <n v="23714"/>
    <n v="0"/>
    <n v="-23714"/>
  </r>
  <r>
    <x v="6"/>
    <s v="Administrations, Facilities &amp; EHS office"/>
    <s v="2 Other Operating Costs"/>
    <n v="8470530"/>
    <s v="KUST - Facilities Management"/>
    <n v="426250"/>
    <x v="44"/>
    <x v="283"/>
    <n v="50000"/>
    <n v="50000"/>
    <n v="14718"/>
    <m/>
    <m/>
    <n v="35282"/>
    <m/>
    <m/>
    <m/>
    <m/>
    <n v="35282"/>
    <m/>
    <n v="35282"/>
    <n v="35282"/>
    <m/>
    <s v="Y"/>
    <m/>
    <n v="50000"/>
    <n v="14718"/>
    <n v="0"/>
    <n v="0"/>
    <n v="35282"/>
    <n v="35282"/>
    <n v="0"/>
    <n v="0"/>
    <s v="847.8470530.1.426250.000000.847010.200179"/>
    <n v="50000"/>
    <n v="14718"/>
    <n v="0"/>
    <n v="0"/>
    <n v="35282"/>
    <n v="0"/>
    <n v="0"/>
    <n v="0"/>
    <n v="35282"/>
    <n v="14718"/>
    <n v="-20564"/>
  </r>
  <r>
    <x v="6"/>
    <s v="Administrations, Facilities &amp; EHS office"/>
    <s v="2 Other Operating Costs"/>
    <n v="8470530"/>
    <s v="KUST - Facilities Management"/>
    <n v="428090"/>
    <x v="9"/>
    <x v="284"/>
    <n v="50000"/>
    <n v="13623"/>
    <m/>
    <m/>
    <m/>
    <n v="13623"/>
    <m/>
    <m/>
    <m/>
    <m/>
    <n v="13623"/>
    <m/>
    <n v="13623"/>
    <n v="13623"/>
    <m/>
    <s v="Y"/>
    <m/>
    <n v="101423"/>
    <n v="0"/>
    <n v="0"/>
    <n v="0"/>
    <n v="101423"/>
    <n v="101423"/>
    <n v="0"/>
    <n v="87800"/>
    <s v="847.8470530.1.428090.000000.847001.200179"/>
    <n v="0"/>
    <n v="0"/>
    <n v="0"/>
    <n v="0"/>
    <n v="0"/>
    <n v="0"/>
    <n v="0"/>
    <n v="0"/>
    <n v="13623"/>
    <n v="0"/>
    <n v="-13623"/>
  </r>
  <r>
    <x v="6"/>
    <s v="Administrations, Facilities &amp; EHS office"/>
    <s v="2 Other Operating Costs"/>
    <n v="8470530"/>
    <s v="KUST - Facilities Management"/>
    <n v="430110"/>
    <x v="45"/>
    <x v="285"/>
    <n v="0"/>
    <n v="200211"/>
    <n v="199212.79999999999"/>
    <m/>
    <m/>
    <n v="998.20000000001164"/>
    <m/>
    <m/>
    <m/>
    <m/>
    <n v="998.20000000001164"/>
    <m/>
    <n v="998.20000000001164"/>
    <n v="998.20000000001164"/>
    <m/>
    <s v="Y"/>
    <m/>
    <n v="200211"/>
    <n v="199212.79999999999"/>
    <n v="0"/>
    <n v="0"/>
    <n v="998.20000000001164"/>
    <n v="998.19999999998299"/>
    <n v="2.8649083105847239E-11"/>
    <n v="0"/>
    <s v="847.8470530.1.430110.000000.847020.200179"/>
    <n v="200211"/>
    <n v="199212.79999999999"/>
    <n v="0"/>
    <n v="0"/>
    <n v="998.19999999998299"/>
    <n v="0"/>
    <n v="0"/>
    <n v="0"/>
    <n v="998.20000000001164"/>
    <n v="199212.79999999999"/>
    <n v="198214.59999999998"/>
  </r>
  <r>
    <x v="6"/>
    <s v="Administrations, Facilities &amp; EHS office"/>
    <s v="2 Other Operating Costs"/>
    <n v="8470530"/>
    <s v="KUST - Facilities Management"/>
    <n v="432120"/>
    <x v="46"/>
    <x v="286"/>
    <n v="11946037"/>
    <n v="11446037"/>
    <n v="5878366.3899999997"/>
    <n v="100501"/>
    <n v="5181508.41"/>
    <n v="285661.20000000019"/>
    <m/>
    <m/>
    <n v="285661"/>
    <s v="Maintenance cost"/>
    <n v="0.20000000018626451"/>
    <m/>
    <n v="0.20000000018626451"/>
    <n v="-39961.049999999814"/>
    <m/>
    <s v="Y"/>
    <m/>
    <n v="11446037"/>
    <n v="6393327.1500000004"/>
    <n v="162501"/>
    <n v="4603433.74"/>
    <n v="286775.1099999994"/>
    <n v="286775.109999999"/>
    <n v="0"/>
    <n v="286774.90999999922"/>
    <s v="847.8470530.1.432120.000000.847010.200179"/>
    <n v="11446037"/>
    <n v="10079288.35"/>
    <n v="162501"/>
    <n v="961199.54"/>
    <n v="243048.11"/>
    <n v="0"/>
    <n v="39961.25"/>
    <n v="0"/>
    <n v="-39961.049999999814"/>
    <n v="11484884.140000001"/>
    <n v="11568572.190000001"/>
  </r>
  <r>
    <x v="6"/>
    <s v="Administrations, Facilities &amp; EHS office"/>
    <s v="2 Other Operating Costs"/>
    <n v="8470530"/>
    <s v="KUST - Facilities Management"/>
    <n v="432120"/>
    <x v="46"/>
    <x v="287"/>
    <n v="5071140"/>
    <n v="4977140"/>
    <n v="2280318.2200000002"/>
    <n v="0"/>
    <n v="2579272.12"/>
    <n v="117549.65999999968"/>
    <m/>
    <m/>
    <n v="161404"/>
    <s v="Maintenance cost"/>
    <n v="-43854.340000000317"/>
    <m/>
    <m/>
    <n v="0"/>
    <n v="43854.340000000317"/>
    <s v="Y"/>
    <m/>
    <n v="4977140"/>
    <n v="2628812.29"/>
    <n v="0"/>
    <n v="2288120.62"/>
    <n v="60207.089999999851"/>
    <n v="60207.089999999902"/>
    <n v="0"/>
    <n v="60207.089999999851"/>
    <s v="847.8470530.1.432120.000000.847015.200179"/>
    <n v="4984740"/>
    <n v="4644337.99"/>
    <n v="0"/>
    <n v="337211.29"/>
    <n v="3190.7200000006701"/>
    <n v="0"/>
    <n v="0"/>
    <n v="0"/>
    <n v="0"/>
    <n v="5078336.91"/>
    <n v="5186807.620000001"/>
  </r>
  <r>
    <x v="6"/>
    <s v="Administrations, Facilities &amp; EHS office"/>
    <s v="2 Other Operating Costs"/>
    <n v="8470530"/>
    <s v="KUST - Facilities Management"/>
    <n v="432120"/>
    <x v="46"/>
    <x v="288"/>
    <n v="5573134"/>
    <n v="5540416"/>
    <n v="2537013.4300000002"/>
    <n v="57015.000000000502"/>
    <n v="2934727.69"/>
    <n v="11659.879999999423"/>
    <m/>
    <m/>
    <n v="11660"/>
    <s v="Maintenance cost"/>
    <n v="-0.12000000057742"/>
    <m/>
    <n v="-0.12000000057742"/>
    <n v="-0.12000000057742"/>
    <m/>
    <s v="Y"/>
    <m/>
    <n v="5740416"/>
    <n v="3876391.44"/>
    <n v="0"/>
    <n v="1615249.68"/>
    <n v="248774.88000000012"/>
    <n v="248774.87999999899"/>
    <n v="1.1350493878126144E-9"/>
    <n v="248775.0000000007"/>
    <s v="847.8470530.1.432120.000000.847020.200179"/>
    <n v="5735416"/>
    <n v="5183381.6399999997"/>
    <n v="200000"/>
    <n v="328638.94"/>
    <n v="23395.420000000198"/>
    <n v="0"/>
    <n v="0"/>
    <n v="0"/>
    <n v="-0.12000000057742"/>
    <n v="5503301.1200000001"/>
    <n v="5723680.7000000011"/>
  </r>
  <r>
    <x v="6"/>
    <s v="Administrations, Facilities &amp; EHS office"/>
    <s v="2 Other Operating Costs"/>
    <n v="8470530"/>
    <s v="KUST - Facilities Management"/>
    <n v="432120"/>
    <x v="46"/>
    <x v="289"/>
    <n v="1207678"/>
    <n v="1207678"/>
    <n v="611011.55000000005"/>
    <n v="24830"/>
    <n v="78120.210000000006"/>
    <n v="493716.23999999993"/>
    <m/>
    <m/>
    <n v="493716"/>
    <s v="Maintenance cost"/>
    <n v="0.23999999993247911"/>
    <m/>
    <n v="104106.03200000001"/>
    <n v="104106.03200000001"/>
    <m/>
    <s v="N"/>
    <m/>
    <n v="1207678"/>
    <n v="628246.77"/>
    <n v="161543"/>
    <n v="73357"/>
    <n v="344531.23"/>
    <n v="344531.23"/>
    <n v="0"/>
    <n v="240425.19799999997"/>
    <s v="847.8470530.1.432120.000000.847030.200179"/>
    <n v="1207678"/>
    <n v="910754.96"/>
    <n v="62070"/>
    <n v="104720.5"/>
    <n v="130132.54"/>
    <n v="0"/>
    <n v="0"/>
    <n v="0"/>
    <n v="104106.03200000001"/>
    <n v="1356862.77"/>
    <n v="1467155.4279999998"/>
  </r>
  <r>
    <x v="6"/>
    <s v="Administrations, Facilities &amp; EHS office"/>
    <s v="2 Other Operating Costs"/>
    <n v="8470530"/>
    <s v="KUST - Facilities Management"/>
    <n v="432170"/>
    <x v="47"/>
    <x v="290"/>
    <n v="30000"/>
    <n v="30000"/>
    <n v="12166"/>
    <n v="0"/>
    <n v="0"/>
    <n v="17834"/>
    <m/>
    <m/>
    <m/>
    <m/>
    <n v="17834"/>
    <m/>
    <n v="17834"/>
    <n v="17834"/>
    <m/>
    <s v="Y"/>
    <m/>
    <n v="30000"/>
    <n v="12166"/>
    <n v="0"/>
    <n v="0"/>
    <n v="17834"/>
    <n v="17834"/>
    <n v="0"/>
    <n v="0"/>
    <s v="847.8470530.1.432170.000000.847010.200179"/>
    <n v="30000"/>
    <n v="20638"/>
    <n v="0"/>
    <n v="0"/>
    <n v="9362"/>
    <n v="0"/>
    <n v="0"/>
    <n v="0"/>
    <n v="17834"/>
    <n v="12166"/>
    <n v="2804"/>
  </r>
  <r>
    <x v="6"/>
    <s v="Administrations, Facilities &amp; EHS office"/>
    <s v="2 Other Operating Costs"/>
    <n v="8470530"/>
    <s v="KUST - Facilities Management"/>
    <n v="432320"/>
    <x v="48"/>
    <x v="291"/>
    <n v="26000"/>
    <n v="26000"/>
    <n v="5024"/>
    <m/>
    <m/>
    <n v="20976"/>
    <m/>
    <m/>
    <m/>
    <m/>
    <n v="20976"/>
    <m/>
    <n v="20976"/>
    <n v="20976"/>
    <m/>
    <s v="Y"/>
    <m/>
    <n v="26000"/>
    <n v="5024"/>
    <n v="0"/>
    <n v="0"/>
    <n v="20976"/>
    <n v="20976"/>
    <n v="0"/>
    <n v="0"/>
    <s v="847.8470530.1.432320.000000.847010.200179"/>
    <n v="26000"/>
    <n v="5024"/>
    <n v="0"/>
    <n v="0"/>
    <n v="20976"/>
    <n v="0"/>
    <n v="0"/>
    <n v="0"/>
    <n v="20976"/>
    <n v="5024"/>
    <n v="-15952"/>
  </r>
  <r>
    <x v="6"/>
    <s v="Administrations, Facilities &amp; EHS office"/>
    <s v="2 Other Operating Costs"/>
    <n v="8470530"/>
    <s v="KUST - Facilities Management"/>
    <n v="436340"/>
    <x v="49"/>
    <x v="292"/>
    <n v="0"/>
    <n v="20000"/>
    <m/>
    <m/>
    <m/>
    <n v="20000"/>
    <m/>
    <m/>
    <m/>
    <m/>
    <n v="20000"/>
    <m/>
    <n v="20000"/>
    <n v="20000"/>
    <m/>
    <s v="Y"/>
    <m/>
    <n v="20000"/>
    <n v="0"/>
    <n v="0"/>
    <n v="0"/>
    <n v="20000"/>
    <n v="20000"/>
    <n v="0"/>
    <n v="0"/>
    <s v="847.8470530.1.436340.000000.847001.200179"/>
    <n v="20000"/>
    <n v="0"/>
    <n v="0"/>
    <n v="0"/>
    <n v="20000"/>
    <n v="0"/>
    <n v="0"/>
    <n v="0"/>
    <n v="20000"/>
    <n v="0"/>
    <n v="-20000"/>
  </r>
  <r>
    <x v="6"/>
    <s v="Administrations, Facilities &amp; EHS office"/>
    <s v="2 Other Operating Costs"/>
    <n v="8470540"/>
    <s v="KUST - Administration"/>
    <n v="421100"/>
    <x v="41"/>
    <x v="293"/>
    <n v="3589128"/>
    <n v="489128"/>
    <n v="168512.62"/>
    <n v="1"/>
    <n v="253016.89"/>
    <n v="67597.489999999991"/>
    <m/>
    <m/>
    <n v="67597"/>
    <s v="to be BT manpower account"/>
    <n v="0.48999999999068677"/>
    <m/>
    <n v="0.48999999999068677"/>
    <n v="0.48999999999068677"/>
    <m/>
    <s v="Y"/>
    <m/>
    <n v="409781"/>
    <n v="168512.62"/>
    <n v="50005.48"/>
    <n v="191257.31"/>
    <n v="5.5899999999965075"/>
    <n v="5.5899999999965102"/>
    <n v="0"/>
    <n v="5.1000000000058208"/>
    <s v="847.8470540.1.421100.000000.847010.200179"/>
    <n v="351171"/>
    <n v="168512.62"/>
    <n v="50005.48"/>
    <n v="56917.31"/>
    <n v="75735.59"/>
    <n v="0"/>
    <n v="0"/>
    <n v="0"/>
    <n v="0.48999999999068677"/>
    <n v="477372.41000000003"/>
    <n v="343031.92000000004"/>
  </r>
  <r>
    <x v="6"/>
    <s v="Administrations, Facilities &amp; EHS office"/>
    <s v="2 Other Operating Costs"/>
    <n v="8470540"/>
    <s v="KUST - Administration"/>
    <n v="426800"/>
    <x v="50"/>
    <x v="294"/>
    <n v="10000"/>
    <n v="10000"/>
    <n v="848"/>
    <m/>
    <m/>
    <n v="9152"/>
    <m/>
    <m/>
    <m/>
    <m/>
    <n v="9152"/>
    <m/>
    <n v="9152"/>
    <n v="9152"/>
    <m/>
    <s v="Y"/>
    <m/>
    <n v="10000"/>
    <n v="848"/>
    <n v="0"/>
    <n v="0"/>
    <n v="9152"/>
    <n v="9152"/>
    <n v="0"/>
    <n v="0"/>
    <s v="847.8470540.1.426800.000000.847010.200179"/>
    <n v="10000"/>
    <n v="848"/>
    <n v="0"/>
    <n v="0"/>
    <n v="9152"/>
    <n v="0"/>
    <n v="0"/>
    <n v="0"/>
    <n v="9152"/>
    <n v="848"/>
    <n v="-8304"/>
  </r>
  <r>
    <x v="6"/>
    <s v="Administrations, Facilities &amp; EHS office"/>
    <s v="2 Other Operating Costs"/>
    <n v="8470540"/>
    <s v="KUST - Administration"/>
    <n v="426900"/>
    <x v="51"/>
    <x v="295"/>
    <n v="30000"/>
    <n v="30000"/>
    <n v="3000"/>
    <m/>
    <m/>
    <n v="27000"/>
    <m/>
    <m/>
    <m/>
    <m/>
    <n v="27000"/>
    <m/>
    <n v="27000"/>
    <n v="27000"/>
    <m/>
    <s v="Y"/>
    <m/>
    <n v="6000"/>
    <n v="3000"/>
    <n v="0"/>
    <n v="0"/>
    <n v="3000"/>
    <n v="3000"/>
    <n v="0"/>
    <n v="-24000"/>
    <s v="847.8470540.1.426900.000000.847010.200179"/>
    <n v="6000"/>
    <n v="3000"/>
    <n v="0"/>
    <n v="0"/>
    <n v="3000"/>
    <n v="0"/>
    <n v="0"/>
    <n v="0"/>
    <n v="27000"/>
    <n v="3000"/>
    <n v="-24000"/>
  </r>
  <r>
    <x v="6"/>
    <s v="Administrations, Facilities &amp; EHS office"/>
    <s v="2 Other Operating Costs"/>
    <n v="8470540"/>
    <s v="KUST - Administration"/>
    <n v="427710"/>
    <x v="13"/>
    <x v="296"/>
    <n v="0"/>
    <n v="7000"/>
    <n v="5106"/>
    <n v="0"/>
    <n v="0"/>
    <n v="1894"/>
    <m/>
    <m/>
    <m/>
    <m/>
    <n v="1894"/>
    <m/>
    <n v="1894"/>
    <n v="1894"/>
    <m/>
    <s v="Y"/>
    <m/>
    <n v="7000"/>
    <n v="5106"/>
    <n v="0"/>
    <n v="0"/>
    <n v="1894"/>
    <n v="1894"/>
    <n v="0"/>
    <n v="0"/>
    <s v="847.8470540.1.427710.000000.847001.200179"/>
    <n v="7000"/>
    <n v="5106"/>
    <n v="0"/>
    <n v="0"/>
    <n v="1894"/>
    <n v="0"/>
    <n v="0"/>
    <n v="0"/>
    <n v="1894"/>
    <n v="5106"/>
    <n v="3212"/>
  </r>
  <r>
    <x v="6"/>
    <s v="Administrations, Facilities &amp; EHS office"/>
    <s v="2 Other Operating Costs"/>
    <n v="8470540"/>
    <s v="KUST - Administration"/>
    <n v="428111"/>
    <x v="52"/>
    <x v="297"/>
    <n v="7349560"/>
    <n v="7349560"/>
    <n v="5212427.82"/>
    <m/>
    <m/>
    <n v="2137132.1799999997"/>
    <m/>
    <m/>
    <n v="2137132"/>
    <s v="Electricity"/>
    <n v="0.17999999970197678"/>
    <m/>
    <n v="0.17999999970197678"/>
    <n v="0.17999999970197678"/>
    <m/>
    <s v="Y"/>
    <m/>
    <n v="7099560"/>
    <n v="5845824.0199999996"/>
    <n v="0"/>
    <n v="0"/>
    <n v="1253735.9800000004"/>
    <n v="1253735.98"/>
    <n v="0"/>
    <n v="1253735.8000000007"/>
    <s v="847.8470540.1.428111.000000.847010.200179"/>
    <n v="7538560"/>
    <n v="6816334.6600000001"/>
    <n v="0"/>
    <n v="0"/>
    <n v="722225.34"/>
    <n v="0"/>
    <n v="0"/>
    <n v="0"/>
    <n v="0.17999999970197678"/>
    <n v="7982956.0199999996"/>
    <n v="8953466.4800000004"/>
  </r>
  <r>
    <x v="6"/>
    <s v="Administrations, Facilities &amp; EHS office"/>
    <s v="2 Other Operating Costs"/>
    <n v="8470540"/>
    <s v="KUST - Administration"/>
    <n v="428111"/>
    <x v="52"/>
    <x v="298"/>
    <n v="4615084"/>
    <n v="4524084"/>
    <n v="3033573.52"/>
    <m/>
    <m/>
    <n v="1490510.48"/>
    <m/>
    <m/>
    <n v="1490510"/>
    <s v="Electricity"/>
    <n v="0.47999999998137355"/>
    <m/>
    <n v="0.47999999998137355"/>
    <n v="0.47999999998137355"/>
    <m/>
    <s v="Y"/>
    <m/>
    <n v="4274084"/>
    <n v="3542965.05"/>
    <n v="0"/>
    <n v="0"/>
    <n v="731118.95000000019"/>
    <n v="731118.95"/>
    <n v="0"/>
    <n v="731118.4700000002"/>
    <s v="847.8470540.1.428111.000000.847015.200179"/>
    <n v="4457384"/>
    <n v="3941179.14"/>
    <n v="0"/>
    <n v="0"/>
    <n v="516204.859999999"/>
    <n v="0"/>
    <n v="0"/>
    <n v="0"/>
    <n v="0.47999999998137355"/>
    <n v="5033475.05"/>
    <n v="5431688.6600000001"/>
  </r>
  <r>
    <x v="6"/>
    <s v="Administrations, Facilities &amp; EHS office"/>
    <s v="2 Other Operating Costs"/>
    <n v="8470540"/>
    <s v="KUST - Administration"/>
    <n v="428111"/>
    <x v="52"/>
    <x v="299"/>
    <n v="3058446"/>
    <n v="3149446"/>
    <n v="3148690.2"/>
    <m/>
    <m/>
    <n v="755.79999999981374"/>
    <m/>
    <m/>
    <n v="756"/>
    <s v="Electricity"/>
    <n v="-0.20000000018626451"/>
    <m/>
    <n v="-0.20000000018626451"/>
    <n v="-0.20000000018626451"/>
    <m/>
    <s v="Y"/>
    <m/>
    <n v="3709446"/>
    <n v="3700307.8"/>
    <n v="0"/>
    <n v="0"/>
    <n v="9138.2000000001863"/>
    <n v="9138.1999999997806"/>
    <n v="4.0563463699072599E-10"/>
    <n v="9138.4000000003725"/>
    <s v="847.8470540.1.428111.000000.847020.200179"/>
    <n v="4843573"/>
    <n v="4347580.5999999996"/>
    <n v="0"/>
    <n v="0"/>
    <n v="495992.39999999898"/>
    <n v="0"/>
    <n v="0"/>
    <n v="0"/>
    <n v="-0.20000000018626451"/>
    <n v="3701063.8"/>
    <n v="4348336.8"/>
  </r>
  <r>
    <x v="6"/>
    <s v="Administrations, Facilities &amp; EHS office"/>
    <s v="2 Other Operating Costs"/>
    <n v="8470540"/>
    <s v="KUST - Administration"/>
    <n v="428111"/>
    <x v="52"/>
    <x v="300"/>
    <n v="442627"/>
    <n v="442627"/>
    <m/>
    <m/>
    <m/>
    <n v="442627"/>
    <m/>
    <m/>
    <n v="442627"/>
    <s v="Electricity"/>
    <n v="0"/>
    <m/>
    <n v="0"/>
    <n v="0"/>
    <m/>
    <s v="Y"/>
    <m/>
    <n v="382627"/>
    <n v="0"/>
    <n v="0"/>
    <n v="0"/>
    <n v="382627"/>
    <n v="382627"/>
    <n v="0"/>
    <n v="382627"/>
    <s v="847.8470540.1.428111.000000.847030.200179"/>
    <n v="0"/>
    <n v="0"/>
    <n v="0"/>
    <n v="0"/>
    <n v="0"/>
    <n v="0"/>
    <n v="0"/>
    <n v="0"/>
    <n v="0"/>
    <n v="442627"/>
    <n v="442627"/>
  </r>
  <r>
    <x v="6"/>
    <s v="Administrations, Facilities &amp; EHS office"/>
    <s v="2 Other Operating Costs"/>
    <n v="8470540"/>
    <s v="KUST - Administration"/>
    <n v="428112"/>
    <x v="53"/>
    <x v="301"/>
    <n v="1153128"/>
    <n v="1153128"/>
    <n v="711620.8"/>
    <m/>
    <m/>
    <n v="441507.19999999995"/>
    <m/>
    <m/>
    <n v="441507"/>
    <s v="Water"/>
    <n v="0.19999999995343387"/>
    <m/>
    <n v="0.19999999995343387"/>
    <n v="0.19999999995343387"/>
    <m/>
    <s v="Y"/>
    <m/>
    <n v="1153128"/>
    <n v="860822"/>
    <n v="0"/>
    <n v="0"/>
    <n v="292306"/>
    <n v="292306"/>
    <n v="0"/>
    <n v="292305.80000000005"/>
    <s v="847.8470540.1.428112.000000.847010.200179"/>
    <n v="1153128"/>
    <n v="979183.52"/>
    <n v="0"/>
    <n v="0"/>
    <n v="173944.48"/>
    <n v="0"/>
    <n v="0"/>
    <n v="0"/>
    <n v="0.19999999995343387"/>
    <n v="1302329"/>
    <n v="1420690.32"/>
  </r>
  <r>
    <x v="6"/>
    <s v="Administrations, Facilities &amp; EHS office"/>
    <s v="2 Other Operating Costs"/>
    <n v="8470530"/>
    <s v="KUST - Facilities Management"/>
    <n v="425747"/>
    <x v="54"/>
    <x v="302"/>
    <m/>
    <m/>
    <m/>
    <m/>
    <m/>
    <m/>
    <m/>
    <m/>
    <m/>
    <m/>
    <n v="-3900000"/>
    <s v="Masdar student accomadation FY22. 2022-2025 , AED 29,566,859"/>
    <m/>
    <n v="0"/>
    <n v="3900000"/>
    <s v="Y"/>
    <m/>
    <m/>
    <m/>
    <m/>
    <m/>
    <m/>
    <m/>
    <m/>
    <n v="0"/>
    <s v="847.8470530.1.425747.000000.847015.200179"/>
    <n v="0"/>
    <n v="0"/>
    <n v="0"/>
    <n v="0"/>
    <n v="0"/>
    <n v="0"/>
    <n v="0"/>
    <n v="0"/>
    <n v="0"/>
    <n v="0"/>
    <n v="3900000"/>
  </r>
  <r>
    <x v="6"/>
    <s v="Administrations, Facilities &amp; EHS office"/>
    <s v="2 Other Operating Costs"/>
    <n v="8470540"/>
    <s v="KUST - Administration"/>
    <n v="428112"/>
    <x v="53"/>
    <x v="303"/>
    <n v="1681399"/>
    <n v="1681399"/>
    <n v="910484.04"/>
    <m/>
    <m/>
    <n v="770914.96"/>
    <m/>
    <m/>
    <n v="770915"/>
    <s v="Water"/>
    <n v="-4.0000000037252903E-2"/>
    <m/>
    <n v="-4.0000000037252903E-2"/>
    <n v="-4.0000000037252903E-2"/>
    <m/>
    <s v="Y"/>
    <m/>
    <n v="1681399"/>
    <n v="1051177.02"/>
    <n v="0"/>
    <n v="0"/>
    <n v="630221.98"/>
    <n v="630221.98"/>
    <n v="0"/>
    <n v="630222.02"/>
    <s v="847.8470540.1.428112.000000.847015.200179"/>
    <n v="1681399"/>
    <n v="1190796.5900000001"/>
    <n v="0"/>
    <n v="0"/>
    <n v="490602.41"/>
    <n v="0"/>
    <n v="0"/>
    <n v="0"/>
    <n v="-4.0000000037252903E-2"/>
    <n v="1822092.02"/>
    <n v="1961711.6300000001"/>
  </r>
  <r>
    <x v="6"/>
    <s v="Administrations, Facilities &amp; EHS office"/>
    <s v="2 Other Operating Costs"/>
    <n v="8470540"/>
    <s v="KUST - Administration"/>
    <n v="428112"/>
    <x v="53"/>
    <x v="304"/>
    <n v="1703132"/>
    <n v="1703132"/>
    <n v="961105.55"/>
    <m/>
    <m/>
    <n v="742026.45"/>
    <m/>
    <m/>
    <n v="742026"/>
    <s v="Water"/>
    <n v="0.44999999995343387"/>
    <m/>
    <n v="0.44999999995343387"/>
    <n v="0.44999999995343387"/>
    <m/>
    <s v="Y"/>
    <m/>
    <n v="1703132"/>
    <n v="1117309.57"/>
    <n v="0"/>
    <n v="0"/>
    <n v="585822.42999999993"/>
    <n v="585822.43000000005"/>
    <n v="0"/>
    <n v="585821.98"/>
    <s v="847.8470540.1.428112.000000.847020.200179"/>
    <n v="1703132"/>
    <n v="1270064.1299999999"/>
    <n v="0"/>
    <n v="0"/>
    <n v="433067.87"/>
    <n v="0"/>
    <n v="0"/>
    <n v="0"/>
    <n v="0.44999999995343387"/>
    <n v="1859335.57"/>
    <n v="2012089.68"/>
  </r>
  <r>
    <x v="6"/>
    <s v="Administrations, Facilities &amp; EHS office"/>
    <s v="2 Other Operating Costs"/>
    <n v="8470540"/>
    <s v="KUST - Administration"/>
    <n v="428112"/>
    <x v="53"/>
    <x v="305"/>
    <n v="153570"/>
    <n v="153570"/>
    <m/>
    <m/>
    <m/>
    <n v="153570"/>
    <m/>
    <m/>
    <n v="153570"/>
    <s v="Water"/>
    <n v="0"/>
    <m/>
    <n v="0"/>
    <n v="0"/>
    <m/>
    <s v="Y"/>
    <m/>
    <n v="153570"/>
    <n v="0"/>
    <n v="0"/>
    <n v="0"/>
    <n v="153570"/>
    <n v="153570"/>
    <n v="0"/>
    <n v="153570"/>
    <s v="847.8470540.1.428112.000000.847030.200179"/>
    <n v="153570"/>
    <n v="0"/>
    <n v="0"/>
    <n v="0"/>
    <n v="153570"/>
    <n v="0"/>
    <n v="0"/>
    <n v="0"/>
    <n v="0"/>
    <n v="153570"/>
    <n v="153570"/>
  </r>
  <r>
    <x v="6"/>
    <s v="Administrations, Facilities &amp; EHS office"/>
    <s v="2 Other Operating Costs"/>
    <n v="8470540"/>
    <s v="KUST - Administration"/>
    <n v="429900"/>
    <x v="55"/>
    <x v="306"/>
    <n v="44000"/>
    <n v="44000"/>
    <n v="41250"/>
    <m/>
    <m/>
    <n v="2750"/>
    <m/>
    <m/>
    <m/>
    <m/>
    <n v="2750"/>
    <m/>
    <n v="2750"/>
    <n v="2750"/>
    <m/>
    <s v="Y"/>
    <m/>
    <n v="44000"/>
    <n v="41250"/>
    <n v="0"/>
    <n v="0"/>
    <n v="2750"/>
    <n v="2750"/>
    <n v="0"/>
    <n v="0"/>
    <s v="847.8470540.1.429900.000000.847010.200179"/>
    <n v="44000"/>
    <n v="41250"/>
    <n v="0"/>
    <n v="0"/>
    <n v="2750"/>
    <n v="0"/>
    <n v="0"/>
    <n v="0"/>
    <n v="2750"/>
    <n v="41250"/>
    <n v="38500"/>
  </r>
  <r>
    <x v="6"/>
    <s v="Administrations, Facilities &amp; EHS office"/>
    <s v="2 Other Operating Costs"/>
    <n v="8470540"/>
    <s v="KUST - Administration"/>
    <n v="430230"/>
    <x v="56"/>
    <x v="307"/>
    <n v="0"/>
    <n v="100000"/>
    <n v="24415"/>
    <n v="0"/>
    <n v="0"/>
    <n v="75585"/>
    <m/>
    <m/>
    <m/>
    <m/>
    <n v="75585"/>
    <m/>
    <n v="75585"/>
    <n v="75585"/>
    <m/>
    <s v="Y"/>
    <m/>
    <n v="100000"/>
    <n v="24415"/>
    <n v="0"/>
    <n v="0"/>
    <n v="75585"/>
    <n v="75585"/>
    <n v="0"/>
    <n v="0"/>
    <s v="847.8470540.1.430230.000000.847001.200179"/>
    <n v="64000"/>
    <n v="24415"/>
    <n v="0"/>
    <n v="0"/>
    <n v="39585"/>
    <n v="0"/>
    <n v="0"/>
    <n v="0"/>
    <n v="75585"/>
    <n v="24415"/>
    <n v="-51170"/>
  </r>
  <r>
    <x v="6"/>
    <s v="Administrations, Facilities &amp; EHS office"/>
    <s v="2 Other Operating Costs"/>
    <n v="8470540"/>
    <s v="KUST - Administration"/>
    <n v="430330"/>
    <x v="57"/>
    <x v="308"/>
    <n v="967680"/>
    <n v="967680"/>
    <n v="14000"/>
    <n v="901610"/>
    <n v="7000"/>
    <n v="45070"/>
    <m/>
    <m/>
    <m/>
    <m/>
    <n v="45070"/>
    <m/>
    <n v="45070"/>
    <n v="45070"/>
    <m/>
    <s v="Y"/>
    <m/>
    <n v="967680"/>
    <n v="21000"/>
    <n v="20486"/>
    <n v="924512.96"/>
    <n v="1681.0400000000373"/>
    <n v="1681.04000000004"/>
    <n v="-2.7284841053187847E-12"/>
    <n v="-43388.959999999963"/>
    <s v="847.8470540.1.430330.000000.847010.200179"/>
    <n v="1044290"/>
    <n v="668045.88"/>
    <n v="0"/>
    <n v="309813.08"/>
    <n v="66431.039999999994"/>
    <n v="0"/>
    <n v="0"/>
    <n v="0"/>
    <n v="45070"/>
    <n v="965998.96"/>
    <n v="932788.96"/>
  </r>
  <r>
    <x v="6"/>
    <s v="Administrations, Facilities &amp; EHS office"/>
    <s v="2 Other Operating Costs"/>
    <n v="8470540"/>
    <s v="KUST - Administration"/>
    <n v="432120"/>
    <x v="46"/>
    <x v="309"/>
    <n v="0"/>
    <n v="-367211"/>
    <n v="-367211.82"/>
    <m/>
    <n v="-7.0000000006984905E-2"/>
    <n v="0.89000000001396984"/>
    <m/>
    <m/>
    <m/>
    <m/>
    <n v="0.89000000001396984"/>
    <m/>
    <n v="0.89000000001396984"/>
    <n v="0.89000000001396984"/>
    <m/>
    <s v="Y"/>
    <m/>
    <n v="-367211"/>
    <n v="-367211.82"/>
    <n v="0"/>
    <n v="-7.0000000006984905E-2"/>
    <n v="0.89000000001396984"/>
    <n v="0.89000000001396995"/>
    <n v="0"/>
    <n v="0"/>
    <s v="847.8470540.1.432120.000000.847010.200179"/>
    <n v="-367211"/>
    <n v="-367211.82"/>
    <n v="0"/>
    <n v="-7.0000000006984905E-2"/>
    <n v="0.89000000001396995"/>
    <n v="0"/>
    <n v="0"/>
    <n v="0"/>
    <n v="0.89000000001396984"/>
    <n v="-367211.89"/>
    <n v="-367212.78"/>
  </r>
  <r>
    <x v="6"/>
    <s v="Administrations, Facilities &amp; EHS office"/>
    <s v="2 Other Operating Costs"/>
    <n v="8470540"/>
    <s v="KUST - Administration"/>
    <n v="432120"/>
    <x v="46"/>
    <x v="310"/>
    <n v="0"/>
    <n v="-241882"/>
    <n v="-242103.6"/>
    <n v="3"/>
    <n v="0"/>
    <n v="218.60000000000582"/>
    <m/>
    <m/>
    <m/>
    <m/>
    <n v="218.60000000000582"/>
    <m/>
    <n v="218.60000000000582"/>
    <n v="218.60000000000582"/>
    <m/>
    <s v="Y"/>
    <m/>
    <n v="-241882"/>
    <n v="-242103.6"/>
    <n v="2"/>
    <n v="0"/>
    <n v="219.60000000000582"/>
    <n v="219.60000000000599"/>
    <n v="0"/>
    <n v="1"/>
    <s v="847.8470540.1.432120.000000.847020.200179"/>
    <n v="-241882"/>
    <n v="-242103.6"/>
    <n v="2"/>
    <n v="0"/>
    <n v="219.60000000000599"/>
    <n v="0"/>
    <n v="0"/>
    <n v="0"/>
    <n v="218.60000000000582"/>
    <n v="-242101.6"/>
    <n v="-242320.2"/>
  </r>
  <r>
    <x v="6"/>
    <s v="Administrations, Facilities &amp; EHS office"/>
    <s v="2 Other Operating Costs"/>
    <n v="8470540"/>
    <s v="KUST - Administration"/>
    <n v="432540"/>
    <x v="58"/>
    <x v="311"/>
    <n v="140000"/>
    <n v="140000"/>
    <n v="23171.84"/>
    <n v="0"/>
    <m/>
    <n v="116828.16"/>
    <n v="30000"/>
    <n v="30000"/>
    <n v="30000"/>
    <s v="regular car Maintenance"/>
    <n v="26828.160000000003"/>
    <m/>
    <n v="26828.160000000003"/>
    <n v="26828.160000000003"/>
    <m/>
    <s v="Y"/>
    <m/>
    <n v="140000"/>
    <n v="23171.84"/>
    <n v="0"/>
    <n v="0"/>
    <n v="116828.16"/>
    <n v="116828.16"/>
    <n v="0"/>
    <n v="90000"/>
    <s v="847.8470540.1.432540.000000.847010.200179"/>
    <n v="140000"/>
    <n v="23171.84"/>
    <n v="66430"/>
    <n v="0"/>
    <n v="50398.16"/>
    <n v="0"/>
    <n v="0"/>
    <n v="0"/>
    <n v="26828.160000000003"/>
    <n v="53171.839999999997"/>
    <n v="92773.68"/>
  </r>
  <r>
    <x v="6"/>
    <s v="Administrations, Facilities &amp; EHS office"/>
    <s v="2 Other Operating Costs"/>
    <n v="8470540"/>
    <s v="KUST - Administration"/>
    <n v="435410"/>
    <x v="59"/>
    <x v="312"/>
    <n v="0"/>
    <n v="1112782"/>
    <n v="688516.35"/>
    <n v="2.0000000000363798"/>
    <n v="-3.6379788070917097E-11"/>
    <n v="424263.65"/>
    <n v="141421"/>
    <n v="141421"/>
    <n v="141422"/>
    <s v="Catering supplies"/>
    <n v="-0.34999999997671694"/>
    <m/>
    <n v="-0.34999999997671694"/>
    <n v="-3360.3499999999767"/>
    <m/>
    <s v="Y"/>
    <m/>
    <n v="1459395"/>
    <n v="1049921.06"/>
    <n v="2"/>
    <n v="-3.6379788070917097E-11"/>
    <n v="409471.94"/>
    <n v="409471.94"/>
    <n v="0"/>
    <n v="409472.29"/>
    <s v="847.8470540.1.435410.000000.847020.200179"/>
    <n v="1477395"/>
    <n v="1441006.98"/>
    <n v="2"/>
    <n v="11386.0800000001"/>
    <n v="24999.94"/>
    <n v="0"/>
    <n v="3360"/>
    <n v="0"/>
    <n v="-3360.3499999999767"/>
    <n v="1194705.06"/>
    <n v="1600537.4100000001"/>
  </r>
  <r>
    <x v="6"/>
    <s v="Administrations, Facilities &amp; EHS office"/>
    <s v="2 Other Operating Costs"/>
    <n v="8470540"/>
    <s v="KUST - Administration"/>
    <n v="435740"/>
    <x v="60"/>
    <x v="313"/>
    <n v="336000"/>
    <n v="336000"/>
    <n v="266719.75"/>
    <m/>
    <m/>
    <n v="69280.25"/>
    <n v="20000"/>
    <n v="20000"/>
    <n v="20000"/>
    <s v="Fuel"/>
    <n v="9280.25"/>
    <m/>
    <n v="9280.25"/>
    <n v="9280.25"/>
    <m/>
    <s v="Y"/>
    <m/>
    <n v="336000"/>
    <n v="266719.75"/>
    <n v="0"/>
    <n v="0"/>
    <n v="69280.25"/>
    <n v="69280.25"/>
    <n v="0"/>
    <n v="60000"/>
    <s v="847.8470540.1.435740.000000.847010.200179"/>
    <n v="336000"/>
    <n v="266719.75"/>
    <n v="0"/>
    <n v="0"/>
    <n v="69280.25"/>
    <n v="0"/>
    <n v="0"/>
    <n v="0"/>
    <n v="9280.25"/>
    <n v="286719.75"/>
    <n v="277439.5"/>
  </r>
  <r>
    <x v="6"/>
    <s v="Administrations, Facilities &amp; EHS office"/>
    <s v="2 Other Operating Costs"/>
    <n v="8470540"/>
    <s v="KUST - Administration"/>
    <n v="436110"/>
    <x v="31"/>
    <x v="314"/>
    <n v="193910"/>
    <n v="193910"/>
    <n v="107100.78"/>
    <n v="0"/>
    <n v="0"/>
    <n v="86809.22"/>
    <n v="5000"/>
    <n v="5000"/>
    <n v="5000"/>
    <s v="printing cost"/>
    <n v="71809.22"/>
    <m/>
    <n v="71809.22"/>
    <n v="68756.87"/>
    <m/>
    <s v="Y"/>
    <m/>
    <n v="107110"/>
    <n v="107100.78"/>
    <n v="0"/>
    <n v="0"/>
    <n v="9.2200000000011642"/>
    <n v="9.2200000000011606"/>
    <n v="0"/>
    <n v="-71800"/>
    <s v="847.8470540.1.436110.000000.847010.200179"/>
    <n v="107110"/>
    <n v="107100.78"/>
    <n v="0"/>
    <n v="0"/>
    <n v="9.2200000000011606"/>
    <n v="0"/>
    <n v="3052.35"/>
    <n v="0"/>
    <n v="68756.87"/>
    <n v="115153.13"/>
    <n v="46396.260000000009"/>
  </r>
  <r>
    <x v="7"/>
    <s v="Senior Vice President, Finance and Investment,"/>
    <s v="2 Other Operating Costs"/>
    <n v="8470610"/>
    <s v="KUST - VP/ Finance and Budget Office"/>
    <n v="428090"/>
    <x v="9"/>
    <x v="315"/>
    <n v="0"/>
    <n v="2000"/>
    <m/>
    <m/>
    <m/>
    <n v="2000"/>
    <n v="350"/>
    <m/>
    <m/>
    <m/>
    <n v="1650"/>
    <m/>
    <n v="1650"/>
    <n v="1650"/>
    <m/>
    <s v="Y"/>
    <m/>
    <n v="6445"/>
    <n v="5845"/>
    <n v="0"/>
    <n v="0"/>
    <n v="600"/>
    <n v="600"/>
    <n v="0"/>
    <n v="-1050"/>
    <s v="847.8470610.1.428090.000000.847001.200179"/>
    <n v="6445"/>
    <n v="5845"/>
    <n v="0"/>
    <n v="0"/>
    <n v="600"/>
    <n v="0"/>
    <n v="0"/>
    <n v="0"/>
    <n v="1650"/>
    <n v="5845"/>
    <n v="4195"/>
  </r>
  <r>
    <x v="7"/>
    <s v="Finane &amp; Business development office"/>
    <s v="2 Other Operating Costs"/>
    <n v="8470620"/>
    <s v="KUST - Finance Operations"/>
    <n v="420130"/>
    <x v="61"/>
    <x v="316"/>
    <n v="295000"/>
    <n v="295000"/>
    <n v="171100"/>
    <m/>
    <m/>
    <n v="123900"/>
    <n v="75750"/>
    <n v="136350"/>
    <m/>
    <s v="*full year audit 2021 50% remaining payment AED 45,450 expected in Q4_x000a__x000a_*ICFR year 2021 50% remaining payment AED 30,300 expected in Q4_x000a_*Mid year 2022 AED 35,350 in Q4_x000a_* full year audit 2022 50% advance AED 70,700 in Q4_x000a_*ICFR year 2022 50% advance AED 30,300 in Q4_x000a_"/>
    <n v="-88200"/>
    <s v="fund required to cover the deficit full year audit"/>
    <m/>
    <n v="0"/>
    <n v="88200"/>
    <s v="Y"/>
    <m/>
    <n v="383200"/>
    <n v="171100"/>
    <n v="0"/>
    <n v="0"/>
    <n v="212100"/>
    <n v="212100"/>
    <n v="0"/>
    <n v="212100"/>
    <s v="847.8470620.1.420130.000000.847001.200179"/>
    <n v="383200"/>
    <n v="264525"/>
    <n v="0"/>
    <n v="0"/>
    <n v="118675"/>
    <n v="0"/>
    <n v="0"/>
    <n v="0"/>
    <n v="0"/>
    <n v="171100"/>
    <n v="352725"/>
  </r>
  <r>
    <x v="7"/>
    <s v="Finane &amp; Business development office"/>
    <s v="2 Other Operating Costs"/>
    <n v="8470620"/>
    <s v="KUST - Finance Operations"/>
    <n v="421100"/>
    <x v="41"/>
    <x v="317"/>
    <n v="431160"/>
    <n v="31160"/>
    <n v="31000"/>
    <m/>
    <m/>
    <n v="160"/>
    <n v="0"/>
    <n v="0"/>
    <n v="0"/>
    <m/>
    <n v="160"/>
    <s v="surplus "/>
    <n v="160"/>
    <n v="160"/>
    <m/>
    <s v="Y"/>
    <m/>
    <n v="31160"/>
    <n v="31000"/>
    <n v="0"/>
    <n v="0"/>
    <n v="160"/>
    <n v="160"/>
    <n v="0"/>
    <n v="0"/>
    <s v="847.8470620.1.421100.000000.847001.200179"/>
    <n v="31160"/>
    <n v="31000"/>
    <n v="0"/>
    <n v="0"/>
    <n v="160"/>
    <n v="0"/>
    <n v="0"/>
    <n v="0"/>
    <n v="160"/>
    <n v="31000"/>
    <n v="30840"/>
  </r>
  <r>
    <x v="7"/>
    <s v="Finane &amp; Business development office"/>
    <s v="2 Other Operating Costs"/>
    <n v="8470620"/>
    <s v="KUST - Finance Operations"/>
    <n v="422900"/>
    <x v="62"/>
    <x v="318"/>
    <n v="310500"/>
    <n v="426100"/>
    <n v="322075"/>
    <n v="0"/>
    <n v="104025"/>
    <n v="0"/>
    <n v="91250"/>
    <n v="2880"/>
    <n v="0"/>
    <s v="*required to cover an additional 25,000 assets to be scanned. _x000a_* AED 2880 for assets verification in stores."/>
    <n v="-94130"/>
    <s v="fund required to cover the deficit "/>
    <m/>
    <n v="0"/>
    <n v="94130"/>
    <s v="Y"/>
    <m/>
    <n v="520230"/>
    <n v="384490"/>
    <n v="0"/>
    <n v="132860"/>
    <n v="2880"/>
    <n v="2880"/>
    <n v="0"/>
    <n v="2880"/>
    <s v="847.8470620.1.422900.000000.847001.200179"/>
    <n v="520230"/>
    <n v="386410"/>
    <n v="0"/>
    <n v="132860"/>
    <n v="960"/>
    <n v="0"/>
    <n v="0"/>
    <n v="0"/>
    <n v="0"/>
    <n v="517350"/>
    <n v="613400"/>
  </r>
  <r>
    <x v="7"/>
    <s v="Finane &amp; Business development office"/>
    <s v="2 Other Operating Costs"/>
    <n v="8470620"/>
    <s v="KUST - Finance Operations"/>
    <n v="425300"/>
    <x v="63"/>
    <x v="319"/>
    <n v="3600"/>
    <n v="3600"/>
    <n v="288.14"/>
    <m/>
    <m/>
    <n v="3311.86"/>
    <n v="100"/>
    <n v="100"/>
    <n v="100"/>
    <s v="bank auto charges for the daily transaction"/>
    <n v="3011.86"/>
    <m/>
    <n v="2451.0880000000002"/>
    <n v="2451.0880000000002"/>
    <m/>
    <s v="N"/>
    <m/>
    <n v="3600"/>
    <n v="445.64"/>
    <n v="0"/>
    <n v="0"/>
    <n v="3154.36"/>
    <n v="3154.36"/>
    <n v="0"/>
    <n v="703.27199999999993"/>
    <s v="847.8470620.1.425300.000000.847001.200179"/>
    <n v="3600"/>
    <n v="536.14"/>
    <n v="0"/>
    <n v="0"/>
    <n v="3063.86"/>
    <n v="0"/>
    <n v="0"/>
    <n v="0"/>
    <n v="2451.0880000000002"/>
    <n v="545.64"/>
    <n v="-1814.9480000000003"/>
  </r>
  <r>
    <x v="7"/>
    <s v="Finane &amp; Business development office"/>
    <s v="2 Other Operating Costs"/>
    <n v="8470620"/>
    <s v="KUST - Finance Operations"/>
    <n v="425350"/>
    <x v="64"/>
    <x v="320"/>
    <n v="90000"/>
    <n v="90000"/>
    <n v="72397.169999999896"/>
    <m/>
    <m/>
    <n v="17602.830000000104"/>
    <n v="5867"/>
    <n v="5867"/>
    <n v="5869"/>
    <s v="bank auto charges for the daily transaction"/>
    <n v="-0.16999999989639036"/>
    <m/>
    <n v="-0.16999999989639036"/>
    <n v="-0.16999999989639036"/>
    <m/>
    <s v="Y"/>
    <m/>
    <n v="124500"/>
    <n v="94431.34"/>
    <n v="0"/>
    <n v="0"/>
    <n v="30068.660000000003"/>
    <n v="30068.66"/>
    <n v="0"/>
    <n v="30068.8299999999"/>
    <s v="847.8470620.1.425350.000000.847001.200179"/>
    <n v="124500"/>
    <n v="99123.96"/>
    <n v="0"/>
    <n v="0"/>
    <n v="25376.04"/>
    <n v="0"/>
    <n v="0"/>
    <n v="0"/>
    <n v="-0.16999999989639036"/>
    <n v="100300.34"/>
    <n v="104993.1299999999"/>
  </r>
  <r>
    <x v="7"/>
    <s v="Finane &amp; Business development office"/>
    <s v="2 Other Operating Costs"/>
    <n v="8470620"/>
    <s v="KUST - Finance Operations"/>
    <n v="426610"/>
    <x v="8"/>
    <x v="321"/>
    <n v="31680"/>
    <n v="31680"/>
    <m/>
    <n v="0"/>
    <n v="31680"/>
    <n v="0"/>
    <n v="0"/>
    <n v="0"/>
    <n v="0"/>
    <m/>
    <n v="0"/>
    <m/>
    <n v="0"/>
    <n v="0"/>
    <m/>
    <s v="Y"/>
    <m/>
    <n v="31680"/>
    <n v="31680"/>
    <n v="0"/>
    <n v="0"/>
    <n v="0"/>
    <n v="0"/>
    <n v="0"/>
    <n v="0"/>
    <s v="847.8470620.1.426610.000000.847001.200179"/>
    <n v="31680"/>
    <n v="31680"/>
    <n v="0"/>
    <n v="0"/>
    <n v="0"/>
    <n v="0"/>
    <n v="0"/>
    <n v="0"/>
    <n v="0"/>
    <n v="31680"/>
    <n v="31680"/>
  </r>
  <r>
    <x v="7"/>
    <s v="Finane &amp; Business development office"/>
    <s v="2 Other Operating Costs"/>
    <n v="8470620"/>
    <s v="KUST - Finance Operations"/>
    <n v="436110"/>
    <x v="31"/>
    <x v="322"/>
    <n v="0"/>
    <m/>
    <n v="0"/>
    <m/>
    <m/>
    <n v="0"/>
    <m/>
    <m/>
    <m/>
    <m/>
    <n v="0"/>
    <m/>
    <n v="0"/>
    <n v="0"/>
    <m/>
    <s v="Y"/>
    <m/>
    <n v="0"/>
    <n v="0"/>
    <n v="0"/>
    <n v="0"/>
    <n v="0"/>
    <n v="0"/>
    <n v="0"/>
    <n v="0"/>
    <s v="847.8470620.1.436110.000000.847001.200179"/>
    <n v="0"/>
    <n v="0"/>
    <n v="0"/>
    <n v="0"/>
    <n v="0"/>
    <n v="0"/>
    <n v="0"/>
    <n v="0"/>
    <n v="0"/>
    <n v="0"/>
    <n v="0"/>
  </r>
  <r>
    <x v="7"/>
    <s v="Finane &amp; Business development office"/>
    <s v="2 Other Operating Costs"/>
    <n v="8470620"/>
    <s v="KUST - Finance Operations"/>
    <n v="436120"/>
    <x v="65"/>
    <x v="323"/>
    <n v="2500"/>
    <n v="13750"/>
    <m/>
    <m/>
    <m/>
    <n v="13750"/>
    <n v="6150"/>
    <n v="4720"/>
    <m/>
    <s v="assets tags payment processed in October"/>
    <n v="2880"/>
    <m/>
    <n v="2880"/>
    <n v="2880"/>
    <m/>
    <s v="Y"/>
    <m/>
    <n v="10870"/>
    <n v="6150"/>
    <n v="0"/>
    <n v="0"/>
    <n v="4720"/>
    <n v="4720"/>
    <n v="0"/>
    <n v="1840"/>
    <s v="847.8470620.1.436120.000000.847001.200179"/>
    <n v="10870"/>
    <n v="6150"/>
    <n v="0"/>
    <n v="0"/>
    <n v="4720"/>
    <n v="0"/>
    <n v="0"/>
    <n v="0"/>
    <n v="2880"/>
    <n v="6150"/>
    <n v="3270"/>
  </r>
  <r>
    <x v="7"/>
    <s v="Senior Vice President, Finance and Investment,"/>
    <s v="2 Other Operating Costs"/>
    <n v="8470610"/>
    <s v="KUST - VP/ Finance and Budget Office"/>
    <n v="425900"/>
    <x v="66"/>
    <x v="324"/>
    <n v="0"/>
    <m/>
    <m/>
    <m/>
    <m/>
    <n v="0"/>
    <n v="2000"/>
    <m/>
    <m/>
    <m/>
    <n v="-2000"/>
    <s v="fund required to cover the deficit "/>
    <m/>
    <n v="0"/>
    <n v="2000"/>
    <s v="Y"/>
    <m/>
    <n v="0"/>
    <n v="0"/>
    <n v="0"/>
    <n v="0"/>
    <n v="0"/>
    <e v="#N/A"/>
    <e v="#N/A"/>
    <n v="0"/>
    <s v="847.8470610.1.425900.000000.847001.200179"/>
    <n v="0"/>
    <n v="0"/>
    <n v="0"/>
    <n v="0"/>
    <n v="0"/>
    <n v="0"/>
    <n v="0"/>
    <n v="0"/>
    <n v="0"/>
    <n v="0"/>
    <n v="2000"/>
  </r>
  <r>
    <x v="7"/>
    <s v="Finane &amp; Business development office"/>
    <s v="2 Other Operating Costs"/>
    <n v="8470620"/>
    <s v="KUST - Finance Operations"/>
    <n v="428090"/>
    <x v="9"/>
    <x v="325"/>
    <n v="0"/>
    <m/>
    <m/>
    <m/>
    <m/>
    <n v="0"/>
    <n v="5080"/>
    <n v="0"/>
    <m/>
    <s v="*AED 2280 Registration fees for (8 staff * 285) visiting GITEX exhibition during 10th to 14th Oct 2022_x000a_*DTR to GITEX 8 staff *350 tranportation = 2800"/>
    <n v="-5080"/>
    <s v="fund required to cover the deficit "/>
    <m/>
    <n v="0"/>
    <n v="5080"/>
    <s v="Y"/>
    <m/>
    <n v="0"/>
    <n v="0"/>
    <n v="0"/>
    <n v="0"/>
    <n v="0"/>
    <e v="#N/A"/>
    <e v="#N/A"/>
    <n v="0"/>
    <s v="847.8470620.1.428090.000000.847001.200179"/>
    <n v="0"/>
    <n v="0"/>
    <n v="0"/>
    <n v="0"/>
    <n v="0"/>
    <n v="0"/>
    <n v="0"/>
    <n v="0"/>
    <n v="0"/>
    <n v="0"/>
    <n v="5080"/>
  </r>
  <r>
    <x v="6"/>
    <s v="Procurement office"/>
    <s v="2 Other Operating Costs"/>
    <n v="8470720"/>
    <s v="KUST - Procurement and Contracts"/>
    <n v="421700"/>
    <x v="4"/>
    <x v="326"/>
    <n v="2000"/>
    <n v="24000"/>
    <m/>
    <n v="20000"/>
    <m/>
    <n v="4000"/>
    <m/>
    <m/>
    <m/>
    <m/>
    <n v="4000"/>
    <m/>
    <n v="9600"/>
    <n v="9600"/>
    <m/>
    <s v="N"/>
    <m/>
    <n v="24000"/>
    <n v="0"/>
    <n v="0"/>
    <n v="12000"/>
    <n v="12000"/>
    <n v="12000"/>
    <n v="0"/>
    <n v="2400"/>
    <s v="847.8470720.1.421700.000000.847001.200179"/>
    <n v="24000"/>
    <n v="0"/>
    <n v="0"/>
    <n v="12000"/>
    <n v="12000"/>
    <n v="0"/>
    <n v="0"/>
    <n v="0"/>
    <n v="9600"/>
    <n v="12000"/>
    <n v="2400"/>
  </r>
  <r>
    <x v="6"/>
    <s v="Procurement office"/>
    <s v="2 Other Operating Costs"/>
    <n v="8470720"/>
    <s v="KUST - Procurement and Contracts"/>
    <n v="426610"/>
    <x v="8"/>
    <x v="327"/>
    <n v="0"/>
    <n v="7300"/>
    <m/>
    <n v="6901.65"/>
    <m/>
    <n v="398.35000000000036"/>
    <m/>
    <m/>
    <m/>
    <m/>
    <n v="398.35000000000036"/>
    <m/>
    <n v="823.2"/>
    <n v="823.2"/>
    <m/>
    <s v="N"/>
    <m/>
    <n v="7300"/>
    <n v="0"/>
    <n v="0"/>
    <n v="6271"/>
    <n v="1029"/>
    <n v="1029"/>
    <n v="0"/>
    <n v="205.79999999999995"/>
    <s v="847.8470720.1.426610.000000.847001.200179"/>
    <n v="7300"/>
    <n v="6271"/>
    <n v="0"/>
    <n v="0"/>
    <n v="1029"/>
    <n v="0"/>
    <n v="0"/>
    <n v="0"/>
    <n v="823.2"/>
    <n v="6271"/>
    <n v="5447.8"/>
  </r>
  <r>
    <x v="6"/>
    <s v="Procurement office"/>
    <s v="2 Other Operating Costs"/>
    <n v="8470720"/>
    <s v="KUST - Procurement and Contracts"/>
    <n v="426900"/>
    <x v="51"/>
    <x v="328"/>
    <n v="10000"/>
    <n v="15000"/>
    <n v="9274.24"/>
    <m/>
    <m/>
    <n v="5725.76"/>
    <m/>
    <m/>
    <m/>
    <m/>
    <n v="5725.76"/>
    <m/>
    <n v="4040.5839999999998"/>
    <n v="4040.5839999999998"/>
    <m/>
    <s v="N"/>
    <m/>
    <n v="15000"/>
    <n v="9664.82"/>
    <n v="0"/>
    <n v="0"/>
    <n v="5335.18"/>
    <n v="5319.18"/>
    <n v="16"/>
    <n v="1294.5960000000005"/>
    <s v="847.8470720.1.426900.000000.847001.200179"/>
    <n v="15000"/>
    <n v="9933.27"/>
    <n v="0"/>
    <n v="0"/>
    <n v="5050.7299999999996"/>
    <n v="0"/>
    <n v="0"/>
    <n v="0"/>
    <n v="4040.5839999999998"/>
    <n v="9664.82"/>
    <n v="5892.6860000000006"/>
  </r>
  <r>
    <x v="6"/>
    <s v="Procurement office"/>
    <s v="2 Other Operating Costs"/>
    <n v="8470720"/>
    <s v="KUST - Procurement and Contracts"/>
    <n v="428200"/>
    <x v="39"/>
    <x v="329"/>
    <n v="250000"/>
    <n v="350000"/>
    <n v="231002.99"/>
    <n v="-7.2759576141834308E-12"/>
    <n v="20020"/>
    <n v="98977.010000000009"/>
    <m/>
    <m/>
    <m/>
    <m/>
    <n v="98977.010000000009"/>
    <m/>
    <n v="4551.2080000000087"/>
    <n v="4551.2080000000087"/>
    <m/>
    <s v="N"/>
    <m/>
    <n v="350000"/>
    <n v="291642.99"/>
    <n v="0"/>
    <n v="52668"/>
    <n v="5689.0100000000093"/>
    <n v="5689.0100000000102"/>
    <n v="0"/>
    <n v="1137.8020000000006"/>
    <s v="847.8470720.1.428200.000000.847001.200179"/>
    <n v="350000"/>
    <n v="291642.99"/>
    <n v="0"/>
    <n v="52668"/>
    <n v="5689.0100000000102"/>
    <n v="0"/>
    <n v="0"/>
    <n v="0"/>
    <n v="4551.2080000000087"/>
    <n v="344310.99"/>
    <n v="339759.78200000001"/>
  </r>
  <r>
    <x v="6"/>
    <s v="Procurement office"/>
    <s v="2 Other Operating Costs"/>
    <n v="8470720"/>
    <s v="KUST - Procurement and Contracts"/>
    <n v="432120"/>
    <x v="46"/>
    <x v="330"/>
    <n v="236400"/>
    <n v="54400"/>
    <n v="1250"/>
    <n v="52100"/>
    <m/>
    <n v="1050"/>
    <m/>
    <m/>
    <m/>
    <m/>
    <n v="1050"/>
    <m/>
    <n v="2760"/>
    <n v="2760"/>
    <m/>
    <s v="N"/>
    <m/>
    <n v="54400"/>
    <n v="1250"/>
    <n v="0"/>
    <n v="49700"/>
    <n v="3450"/>
    <n v="3450"/>
    <n v="0"/>
    <n v="690"/>
    <s v="847.8470720.1.432120.000000.847001.200179"/>
    <n v="54400"/>
    <n v="50950"/>
    <n v="0"/>
    <n v="0"/>
    <n v="3450"/>
    <n v="0"/>
    <n v="0"/>
    <n v="0"/>
    <n v="2760"/>
    <n v="50950"/>
    <n v="48190"/>
  </r>
  <r>
    <x v="6"/>
    <s v="Procurement office"/>
    <s v="2 Other Operating Costs"/>
    <n v="8470720"/>
    <s v="KUST - Procurement and Contracts"/>
    <n v="435410"/>
    <x v="59"/>
    <x v="331"/>
    <n v="840000"/>
    <n v="164310"/>
    <n v="163340.39000000001"/>
    <n v="0"/>
    <n v="450"/>
    <n v="519.60999999998603"/>
    <m/>
    <m/>
    <m/>
    <m/>
    <n v="519.60999999998603"/>
    <m/>
    <n v="415.68799999998885"/>
    <n v="415.68799999998885"/>
    <m/>
    <s v="N"/>
    <m/>
    <n v="164310"/>
    <n v="163340.39000000001"/>
    <n v="0"/>
    <n v="450"/>
    <n v="519.60999999998603"/>
    <n v="519.60999999998603"/>
    <n v="0"/>
    <n v="103.92199999999718"/>
    <s v="847.8470720.1.435410.000000.847001.200179"/>
    <n v="164310"/>
    <n v="163340.39000000001"/>
    <n v="0"/>
    <n v="450"/>
    <n v="519.60999999998603"/>
    <n v="0"/>
    <n v="0"/>
    <n v="0"/>
    <n v="415.68799999998885"/>
    <n v="163790.39000000001"/>
    <n v="163374.70200000002"/>
  </r>
  <r>
    <x v="6"/>
    <s v="Procurement office"/>
    <s v="2 Other Operating Costs"/>
    <n v="8470720"/>
    <s v="KUST - Procurement and Contracts"/>
    <n v="436110"/>
    <x v="31"/>
    <x v="332"/>
    <n v="50000"/>
    <n v="37700"/>
    <n v="12853.5"/>
    <n v="0"/>
    <m/>
    <n v="24846.5"/>
    <m/>
    <m/>
    <m/>
    <m/>
    <n v="24846.5"/>
    <m/>
    <n v="0.4"/>
    <n v="0.4"/>
    <m/>
    <s v="N"/>
    <m/>
    <n v="37700"/>
    <n v="12853.5"/>
    <n v="0"/>
    <n v="0"/>
    <n v="24846.5"/>
    <n v="24846.5"/>
    <n v="0"/>
    <n v="24846.1"/>
    <s v="847.8470720.1.436110.000000.847001.200179"/>
    <n v="12854"/>
    <n v="12853.5"/>
    <n v="0"/>
    <n v="0"/>
    <n v="0.5"/>
    <n v="0"/>
    <n v="0"/>
    <n v="0"/>
    <n v="0.4"/>
    <n v="12853.5"/>
    <n v="12853.1"/>
  </r>
  <r>
    <x v="6"/>
    <s v="Procurement office"/>
    <s v="2 Other Operating Costs"/>
    <n v="8470720"/>
    <s v="KUST - Procurement and Contracts"/>
    <n v="436120"/>
    <x v="65"/>
    <x v="333"/>
    <n v="120000"/>
    <n v="180000"/>
    <n v="163228.88"/>
    <n v="53.010000000002002"/>
    <n v="8021.99999999999"/>
    <n v="8696.1100000000042"/>
    <m/>
    <m/>
    <m/>
    <m/>
    <n v="8696.1100000000042"/>
    <m/>
    <n v="6956.8879999999917"/>
    <n v="2105.8879999999917"/>
    <m/>
    <s v="N"/>
    <m/>
    <n v="180000"/>
    <n v="171250.88"/>
    <n v="53.01"/>
    <n v="-2.18278728425503E-11"/>
    <n v="8696.110000000017"/>
    <n v="8696.1099999999897"/>
    <n v="2.7284841053187847E-11"/>
    <n v="1739.2220000000252"/>
    <s v="847.8470720.1.436120.000000.847001.200179"/>
    <n v="180000"/>
    <n v="171250.88"/>
    <n v="53.01"/>
    <n v="-2.18278728425503E-11"/>
    <n v="8696.1099999999897"/>
    <n v="0"/>
    <n v="4851"/>
    <n v="0"/>
    <n v="2105.8879999999917"/>
    <n v="176154.88999999998"/>
    <n v="174049.00199999998"/>
  </r>
  <r>
    <x v="6"/>
    <s v="HR office"/>
    <s v="2 Other Operating Costs"/>
    <n v="8470730"/>
    <s v="KUST - Human Resources"/>
    <n v="421000"/>
    <x v="3"/>
    <x v="334"/>
    <n v="300000"/>
    <n v="600000"/>
    <n v="2000"/>
    <n v="-2.91038304567337E-11"/>
    <n v="345051.9"/>
    <n v="252948.09999999998"/>
    <m/>
    <m/>
    <m/>
    <m/>
    <n v="252948.09999999998"/>
    <m/>
    <n v="31365.68"/>
    <n v="29265.68"/>
    <m/>
    <s v="N"/>
    <m/>
    <n v="600000"/>
    <n v="6026"/>
    <n v="0"/>
    <n v="554766.9"/>
    <n v="39207.099999999977"/>
    <n v="39207.1"/>
    <n v="0"/>
    <n v="7841.4199999999764"/>
    <s v="847.8470730.1.421000.000000.847001.200179"/>
    <n v="600000"/>
    <n v="6026"/>
    <n v="0"/>
    <n v="554766.9"/>
    <n v="39207.1"/>
    <n v="0"/>
    <n v="2100"/>
    <n v="0"/>
    <n v="29265.68"/>
    <n v="562892.9"/>
    <n v="533627.22"/>
  </r>
  <r>
    <x v="6"/>
    <s v="HR office"/>
    <s v="2 Other Operating Costs"/>
    <n v="8470730"/>
    <s v="KUST - Human Resources"/>
    <n v="425510"/>
    <x v="5"/>
    <x v="335"/>
    <n v="50000"/>
    <n v="42000"/>
    <n v="12490"/>
    <m/>
    <m/>
    <n v="29510"/>
    <m/>
    <m/>
    <m/>
    <m/>
    <n v="29510"/>
    <m/>
    <n v="23048"/>
    <n v="23048"/>
    <m/>
    <s v="N"/>
    <m/>
    <n v="42000"/>
    <n v="13190"/>
    <n v="0"/>
    <n v="0"/>
    <n v="28810"/>
    <n v="28810"/>
    <n v="0"/>
    <n v="5762"/>
    <s v="847.8470730.1.425510.000000.847001.200179"/>
    <n v="42000"/>
    <n v="13190"/>
    <n v="0"/>
    <n v="0"/>
    <n v="28810"/>
    <n v="0"/>
    <n v="0"/>
    <n v="0"/>
    <n v="23048"/>
    <n v="13190"/>
    <n v="-9858"/>
  </r>
  <r>
    <x v="6"/>
    <s v="HR office"/>
    <s v="2 Other Operating Costs"/>
    <n v="8470730"/>
    <s v="KUST - Human Resources"/>
    <n v="425900"/>
    <x v="7"/>
    <x v="336"/>
    <n v="250000"/>
    <n v="250000"/>
    <n v="650"/>
    <n v="144600"/>
    <m/>
    <n v="104750"/>
    <m/>
    <m/>
    <m/>
    <m/>
    <n v="104750"/>
    <m/>
    <n v="19106.400000000001"/>
    <n v="19106.400000000001"/>
    <m/>
    <s v="N"/>
    <m/>
    <n v="250000"/>
    <n v="650"/>
    <n v="0"/>
    <n v="144600"/>
    <n v="104750"/>
    <n v="104750"/>
    <n v="0"/>
    <n v="85643.6"/>
    <s v="847.8470730.1.425900.000000.847001.200179"/>
    <n v="176273"/>
    <n v="650"/>
    <n v="7140"/>
    <n v="144600"/>
    <n v="23883"/>
    <n v="0"/>
    <n v="0"/>
    <n v="0"/>
    <n v="19106.400000000001"/>
    <n v="145250"/>
    <n v="133283.6"/>
  </r>
  <r>
    <x v="6"/>
    <s v="HR office"/>
    <s v="2 Other Operating Costs"/>
    <n v="8470730"/>
    <s v="KUST - Human Resources"/>
    <n v="426610"/>
    <x v="8"/>
    <x v="337"/>
    <n v="600000"/>
    <n v="300000"/>
    <n v="165285"/>
    <n v="0"/>
    <n v="17000"/>
    <n v="117715"/>
    <m/>
    <m/>
    <m/>
    <m/>
    <n v="117715"/>
    <m/>
    <n v="93372"/>
    <n v="93372"/>
    <m/>
    <s v="N"/>
    <m/>
    <n v="300000"/>
    <n v="165285"/>
    <n v="0"/>
    <n v="18000"/>
    <n v="116715"/>
    <n v="116715"/>
    <n v="0"/>
    <n v="23343"/>
    <s v="847.8470730.1.426610.000000.847001.200179"/>
    <n v="300000"/>
    <n v="165285"/>
    <n v="0"/>
    <n v="18000"/>
    <n v="116715"/>
    <n v="0"/>
    <n v="0"/>
    <n v="0"/>
    <n v="93372"/>
    <n v="183285"/>
    <n v="89913"/>
  </r>
  <r>
    <x v="6"/>
    <s v="HR office"/>
    <s v="2 Other Operating Costs"/>
    <n v="8470730"/>
    <s v="KUST - Human Resources"/>
    <n v="427900"/>
    <x v="67"/>
    <x v="338"/>
    <n v="10000"/>
    <n v="10000"/>
    <m/>
    <m/>
    <m/>
    <n v="10000"/>
    <m/>
    <m/>
    <m/>
    <m/>
    <n v="10000"/>
    <m/>
    <n v="3200"/>
    <n v="3200"/>
    <m/>
    <s v="N"/>
    <m/>
    <n v="10000"/>
    <n v="0"/>
    <n v="0"/>
    <n v="0"/>
    <n v="10000"/>
    <n v="10000"/>
    <n v="0"/>
    <n v="6800"/>
    <s v="847.8470730.1.427900.000000.847001.200179"/>
    <n v="4000"/>
    <n v="0"/>
    <n v="0"/>
    <n v="0"/>
    <n v="4000"/>
    <n v="0"/>
    <n v="0"/>
    <n v="0"/>
    <n v="3200"/>
    <n v="0"/>
    <n v="-3200"/>
  </r>
  <r>
    <x v="6"/>
    <s v="HR office"/>
    <s v="2 Other Operating Costs"/>
    <n v="8470730"/>
    <s v="KUST - Human Resources"/>
    <n v="428090"/>
    <x v="9"/>
    <x v="339"/>
    <n v="0"/>
    <n v="8000"/>
    <n v="8000"/>
    <m/>
    <m/>
    <n v="0"/>
    <m/>
    <m/>
    <m/>
    <m/>
    <n v="0"/>
    <m/>
    <n v="0"/>
    <n v="0"/>
    <m/>
    <s v="N"/>
    <m/>
    <n v="8000"/>
    <n v="8000"/>
    <n v="0"/>
    <n v="0"/>
    <n v="0"/>
    <n v="0"/>
    <n v="0"/>
    <n v="0"/>
    <s v="847.8470730.1.428090.000000.847001.200179"/>
    <n v="8000"/>
    <n v="8000"/>
    <n v="0"/>
    <n v="0"/>
    <n v="0"/>
    <n v="0"/>
    <n v="0"/>
    <n v="0"/>
    <n v="0"/>
    <n v="8000"/>
    <n v="8000"/>
  </r>
  <r>
    <x v="6"/>
    <s v="HR office"/>
    <s v="2 Other Operating Costs"/>
    <n v="8470730"/>
    <s v="KUST - Human Resources"/>
    <n v="428640"/>
    <x v="11"/>
    <x v="340"/>
    <n v="250000"/>
    <n v="132134"/>
    <n v="47510.1"/>
    <n v="0"/>
    <n v="0"/>
    <n v="84623.9"/>
    <m/>
    <m/>
    <m/>
    <m/>
    <n v="84623.9"/>
    <m/>
    <n v="1200.7199999999921"/>
    <n v="1200.7199999999921"/>
    <m/>
    <s v="N"/>
    <m/>
    <n v="132134"/>
    <n v="47510.1"/>
    <n v="13750"/>
    <n v="0"/>
    <n v="70873.899999999994"/>
    <n v="70873.899999999994"/>
    <n v="0"/>
    <n v="69673.180000000008"/>
    <s v="847.8470730.1.428640.000000.847001.200179"/>
    <n v="205861"/>
    <n v="47510.1"/>
    <n v="156850"/>
    <n v="0"/>
    <n v="1500.8999999999901"/>
    <n v="0"/>
    <n v="0"/>
    <n v="0"/>
    <n v="1200.7199999999921"/>
    <n v="61260.1"/>
    <n v="203159.38"/>
  </r>
  <r>
    <x v="6"/>
    <s v="HR office"/>
    <s v="2 Other Operating Costs"/>
    <n v="8470730"/>
    <s v="KUST - Human Resources"/>
    <n v="436110"/>
    <x v="31"/>
    <x v="341"/>
    <n v="50000"/>
    <n v="50000"/>
    <n v="11620"/>
    <n v="0"/>
    <n v="32500"/>
    <n v="5880"/>
    <m/>
    <m/>
    <m/>
    <m/>
    <n v="5880"/>
    <m/>
    <n v="4596"/>
    <n v="2821.5"/>
    <m/>
    <s v="N"/>
    <m/>
    <n v="50000"/>
    <n v="15780"/>
    <n v="0"/>
    <n v="29600"/>
    <n v="4620"/>
    <n v="4620"/>
    <n v="0"/>
    <n v="24"/>
    <s v="847.8470730.1.436110.000000.847001.200179"/>
    <n v="56000"/>
    <n v="15780"/>
    <n v="4875"/>
    <n v="29600"/>
    <n v="5745"/>
    <n v="0"/>
    <n v="1774.5"/>
    <n v="0"/>
    <n v="2821.5"/>
    <n v="47154.5"/>
    <n v="49208"/>
  </r>
  <r>
    <x v="6"/>
    <s v="Ankabut office"/>
    <s v="2 Other Operating Costs"/>
    <n v="8470810"/>
    <s v="KUST - Ankabut office"/>
    <n v="420811"/>
    <x v="68"/>
    <x v="342"/>
    <n v="0"/>
    <n v="10351793"/>
    <n v="10221106"/>
    <m/>
    <m/>
    <n v="130687"/>
    <m/>
    <m/>
    <n v="130687"/>
    <m/>
    <n v="0"/>
    <s v="Initial budget estimation"/>
    <n v="0"/>
    <n v="0"/>
    <m/>
    <s v="Y"/>
    <m/>
    <n v="10351793"/>
    <n v="10226277.23"/>
    <n v="0"/>
    <n v="0"/>
    <n v="125515.76999999955"/>
    <n v="125515.77000000099"/>
    <n v="-1.4406396076083183E-9"/>
    <n v="125515.76999999955"/>
    <s v="847.8470810.1.420811.000000.847001.200179"/>
    <n v="10351793"/>
    <n v="10226277.23"/>
    <n v="0"/>
    <n v="0"/>
    <n v="125515.77000000099"/>
    <n v="0"/>
    <n v="0"/>
    <n v="0"/>
    <n v="0"/>
    <n v="10356964.23"/>
    <n v="10356964.23"/>
  </r>
  <r>
    <x v="6"/>
    <s v="Ankabut office"/>
    <s v="2 Other Operating Costs"/>
    <n v="8470810"/>
    <s v="KUST - Ankabut office"/>
    <n v="421100"/>
    <x v="41"/>
    <x v="343"/>
    <n v="7465192"/>
    <n v="445192"/>
    <n v="-189882.07"/>
    <n v="0"/>
    <n v="563543.22"/>
    <n v="71530.850000000093"/>
    <m/>
    <m/>
    <m/>
    <m/>
    <n v="71530.850000000093"/>
    <s v="Outstanding amount after transfer of manpower resourses to Chapter 1 as per DGS contract"/>
    <n v="71530.850000000093"/>
    <n v="71530.850000000093"/>
    <m/>
    <s v="Y"/>
    <m/>
    <n v="445192"/>
    <n v="-189882.07"/>
    <n v="0"/>
    <n v="563543.22"/>
    <n v="71530.850000000093"/>
    <n v="71530.850000000093"/>
    <n v="0"/>
    <n v="0"/>
    <s v="847.8470810.1.421100.000000.847001.200179"/>
    <n v="387192"/>
    <n v="-189882.07"/>
    <n v="0"/>
    <n v="563543.22"/>
    <n v="13530.8500000001"/>
    <n v="0"/>
    <n v="0"/>
    <n v="0"/>
    <n v="71530.850000000093"/>
    <n v="373661.14999999997"/>
    <n v="302130.29999999987"/>
  </r>
  <r>
    <x v="6"/>
    <s v="Ankabut office"/>
    <s v="2 Other Operating Costs"/>
    <n v="8470810"/>
    <s v="KUST - Ankabut office"/>
    <n v="426610"/>
    <x v="8"/>
    <x v="344"/>
    <n v="8612571"/>
    <n v="7589571"/>
    <n v="4052414.96"/>
    <n v="1146207.08"/>
    <n v="2297253.5699999998"/>
    <n v="93695.39000000013"/>
    <n v="64312.5"/>
    <m/>
    <m/>
    <s v="New request from CTL to publish Virtual Desktops requires additional subscription"/>
    <n v="29382.89000000013"/>
    <s v="Initial budget estimation."/>
    <n v="29382.89000000013"/>
    <n v="29382.89000000013"/>
    <m/>
    <s v="Y"/>
    <m/>
    <n v="7595071"/>
    <n v="4382852.83"/>
    <n v="273866.23"/>
    <n v="2935326.88"/>
    <n v="3025.0600000000559"/>
    <n v="3025.0600000005202"/>
    <n v="-4.6429704525507987E-10"/>
    <n v="-26357.830000000075"/>
    <s v="847.8470810.1.426610.000000.847001.200179"/>
    <n v="7653071"/>
    <n v="6008318.3600000003"/>
    <n v="331866.23"/>
    <n v="1309861.3500000001"/>
    <n v="3025.0600000007498"/>
    <n v="0"/>
    <n v="0"/>
    <n v="0"/>
    <n v="29382.89000000013"/>
    <n v="7592045.9400000004"/>
    <n v="7620663.0499999989"/>
  </r>
  <r>
    <x v="6"/>
    <s v="Ankabut office"/>
    <s v="2 Other Operating Costs"/>
    <n v="8470810"/>
    <s v="KUST - Ankabut office"/>
    <n v="427810"/>
    <x v="69"/>
    <x v="345"/>
    <n v="800000"/>
    <n v="1205000"/>
    <n v="946683.89"/>
    <m/>
    <m/>
    <n v="258316.11"/>
    <n v="1480000"/>
    <n v="55000"/>
    <n v="55000"/>
    <s v="KU Q3&amp; Q4 Telephoony &amp; mobile bills"/>
    <n v="-1331683.8900000001"/>
    <s v="Amount needed to process old Etisalat Invoices ex.PI for 2019-20-21"/>
    <n v="0"/>
    <n v="0"/>
    <m/>
    <s v="Y"/>
    <m/>
    <n v="2620114"/>
    <n v="1138866.56"/>
    <n v="0"/>
    <n v="0"/>
    <n v="1481247.44"/>
    <n v="1507661.69"/>
    <n v="-26414.25"/>
    <n v="1481247.44"/>
    <s v="847.8470810.1.427810.000000.847001.200179"/>
    <n v="2620114"/>
    <n v="2229255.09"/>
    <n v="0"/>
    <n v="0"/>
    <n v="417273.16"/>
    <n v="0"/>
    <n v="0"/>
    <n v="0"/>
    <n v="0"/>
    <n v="1193866.56"/>
    <n v="2284255.09"/>
  </r>
  <r>
    <x v="6"/>
    <s v="Ankabut office"/>
    <s v="2 Other Operating Costs"/>
    <n v="8470810"/>
    <s v="KUST - Ankabut office"/>
    <n v="427850"/>
    <x v="70"/>
    <x v="346"/>
    <n v="2618028"/>
    <n v="2213028"/>
    <n v="1465268.54"/>
    <m/>
    <m/>
    <n v="747759.46"/>
    <n v="387759.45999999996"/>
    <n v="180000"/>
    <n v="180000"/>
    <s v="Q3-Q4 Internet Bills"/>
    <n v="0"/>
    <m/>
    <n v="0"/>
    <n v="0"/>
    <m/>
    <s v="Y"/>
    <m/>
    <n v="2198728"/>
    <n v="1718658.34"/>
    <n v="0"/>
    <n v="0"/>
    <n v="480069.65999999992"/>
    <n v="480069.66"/>
    <n v="0"/>
    <n v="480069.65999999992"/>
    <s v="847.8470810.1.427850.000000.847001.200179"/>
    <n v="2198728"/>
    <n v="1892538.54"/>
    <n v="0"/>
    <n v="0"/>
    <n v="306189.46000000002"/>
    <n v="0"/>
    <n v="0"/>
    <n v="0"/>
    <n v="0"/>
    <n v="1898658.34"/>
    <n v="2072538.54"/>
  </r>
  <r>
    <x v="6"/>
    <s v="Ankabut office"/>
    <s v="2 Other Operating Costs"/>
    <n v="8470810"/>
    <s v="KUST - Ankabut office"/>
    <n v="428090"/>
    <x v="9"/>
    <x v="347"/>
    <n v="11500"/>
    <n v="6334"/>
    <n v="4400"/>
    <m/>
    <m/>
    <n v="1934"/>
    <n v="1934"/>
    <m/>
    <m/>
    <s v="Travel to DR site and Events in UAE "/>
    <n v="0"/>
    <m/>
    <n v="0"/>
    <n v="0"/>
    <m/>
    <s v="Y"/>
    <m/>
    <n v="27451"/>
    <n v="4400"/>
    <n v="0"/>
    <n v="0"/>
    <n v="23051"/>
    <n v="23051"/>
    <n v="0"/>
    <n v="23051"/>
    <s v="847.8470810.1.428090.000000.847001.200179"/>
    <n v="27451"/>
    <n v="4400"/>
    <n v="0"/>
    <n v="0"/>
    <n v="23051"/>
    <n v="0"/>
    <n v="0"/>
    <n v="0"/>
    <n v="0"/>
    <n v="4400"/>
    <n v="4400"/>
  </r>
  <r>
    <x v="6"/>
    <s v="Ankabut office"/>
    <s v="2 Other Operating Costs"/>
    <n v="8470810"/>
    <s v="KUST - Ankabut office"/>
    <n v="430250"/>
    <x v="71"/>
    <x v="348"/>
    <n v="0"/>
    <n v="1034317"/>
    <n v="754866.67"/>
    <n v="-8.7311491370201098E-11"/>
    <n v="265899.09999999998"/>
    <n v="13551.230000000098"/>
    <m/>
    <m/>
    <m/>
    <m/>
    <n v="13551.230000000098"/>
    <m/>
    <n v="13551.230000000098"/>
    <n v="13551.230000000098"/>
    <m/>
    <s v="Y"/>
    <m/>
    <n v="1022000"/>
    <n v="754866.67"/>
    <n v="0"/>
    <n v="265899.09999999998"/>
    <n v="1234.2299999999814"/>
    <n v="1234.22999999992"/>
    <n v="6.1390892369672656E-11"/>
    <n v="-12317.000000000116"/>
    <s v="847.8470810.1.430250.000000.847001.200179"/>
    <n v="1022000"/>
    <n v="754866.67"/>
    <n v="0"/>
    <n v="265899.09999999998"/>
    <n v="1234.22999999992"/>
    <n v="0"/>
    <n v="0"/>
    <n v="0"/>
    <n v="13551.230000000098"/>
    <n v="1020765.77"/>
    <n v="1007214.5399999999"/>
  </r>
  <r>
    <x v="6"/>
    <s v="Ankabut office"/>
    <s v="2 Other Operating Costs"/>
    <n v="8470810"/>
    <s v="KUST - Ankabut office"/>
    <n v="432205"/>
    <x v="24"/>
    <x v="349"/>
    <n v="1475000"/>
    <n v="1505000"/>
    <n v="598441.93999999994"/>
    <n v="-2.6193447411060302E-10"/>
    <n v="841859.39999999898"/>
    <n v="64698.660000001313"/>
    <n v="64699"/>
    <m/>
    <m/>
    <s v="Network Maintenance Bill -  Call-out agreement"/>
    <n v="-0.33999999868683517"/>
    <s v="Initial budget estimation"/>
    <n v="-0.33999999868683517"/>
    <n v="-0.33999999868683517"/>
    <m/>
    <s v="Y"/>
    <m/>
    <n v="1505000"/>
    <n v="1258143.1399999999"/>
    <n v="60000"/>
    <n v="137290.99999999901"/>
    <n v="49565.860000001092"/>
    <n v="49565.860000000102"/>
    <n v="9.8953023552894592E-10"/>
    <n v="49566.199999999779"/>
    <s v="847.8470810.1.432205.000000.847001.200179"/>
    <n v="1505000"/>
    <n v="1304827.54"/>
    <n v="0"/>
    <n v="150606.59999999899"/>
    <n v="49565.860000000503"/>
    <n v="0"/>
    <n v="0"/>
    <n v="0"/>
    <n v="-0.33999999868683517"/>
    <n v="1455434.139999999"/>
    <n v="1455434.4799999977"/>
  </r>
  <r>
    <x v="6"/>
    <s v="Ankabut office"/>
    <s v="2 Other Operating Costs"/>
    <n v="8470810"/>
    <s v="KUST - Ankabut office"/>
    <n v="432226"/>
    <x v="72"/>
    <x v="350"/>
    <n v="0"/>
    <n v="360000"/>
    <n v="266260.51"/>
    <m/>
    <m/>
    <n v="93739.489999999991"/>
    <n v="31739"/>
    <n v="31000"/>
    <n v="31000"/>
    <s v="Q3-Q4 Printing Bills"/>
    <n v="0.48999999999068677"/>
    <m/>
    <n v="0.48999999999068677"/>
    <n v="0.48999999999068677"/>
    <m/>
    <s v="Y"/>
    <m/>
    <n v="360000"/>
    <n v="330656.21000000002"/>
    <n v="0"/>
    <n v="0"/>
    <n v="29343.789999999979"/>
    <n v="29343.79"/>
    <n v="0"/>
    <n v="29343.299999999988"/>
    <s v="847.8470810.1.432226.000000.847001.200179"/>
    <n v="360000"/>
    <n v="352209.35"/>
    <n v="0"/>
    <n v="0"/>
    <n v="7790.6499999999696"/>
    <n v="0"/>
    <n v="0"/>
    <n v="0"/>
    <n v="0.48999999999068677"/>
    <n v="361656.21"/>
    <n v="383208.86"/>
  </r>
  <r>
    <x v="8"/>
    <s v="Continuing Education office"/>
    <s v="2 Other Operating Costs"/>
    <n v="8471010"/>
    <s v="KUST - Continuing Education Office"/>
    <n v="425100"/>
    <x v="14"/>
    <x v="351"/>
    <n v="107500"/>
    <n v="107500"/>
    <m/>
    <n v="0"/>
    <n v="105000"/>
    <n v="2500"/>
    <m/>
    <m/>
    <m/>
    <m/>
    <n v="2500"/>
    <m/>
    <n v="2500"/>
    <n v="2500"/>
    <m/>
    <s v="Y"/>
    <m/>
    <n v="107500"/>
    <n v="0"/>
    <n v="0"/>
    <n v="105000"/>
    <n v="2500"/>
    <n v="2500"/>
    <n v="0"/>
    <n v="0"/>
    <s v="847.8471010.1.425100.000000.847001.200179"/>
    <n v="107500"/>
    <n v="0"/>
    <n v="0"/>
    <n v="105000"/>
    <n v="2500"/>
    <n v="0"/>
    <n v="0"/>
    <n v="0"/>
    <n v="2500"/>
    <n v="105000"/>
    <n v="102500"/>
  </r>
  <r>
    <x v="8"/>
    <s v="Continuing Education office"/>
    <s v="2 Other Operating Costs"/>
    <n v="8471010"/>
    <s v="KUST - Continuing Education Office"/>
    <n v="425510"/>
    <x v="5"/>
    <x v="352"/>
    <n v="100000"/>
    <n v="94000"/>
    <m/>
    <m/>
    <m/>
    <n v="94000"/>
    <m/>
    <m/>
    <n v="94000"/>
    <m/>
    <n v="0"/>
    <s v="The amount will be fully utilized at the end of the year. Some part of the amount will be transferred to other item due to budget shortage budget. "/>
    <n v="0"/>
    <n v="0"/>
    <m/>
    <s v="Y"/>
    <m/>
    <n v="94000"/>
    <n v="5876.8"/>
    <n v="0"/>
    <n v="0"/>
    <n v="88123.199999999997"/>
    <n v="88123.199999999997"/>
    <n v="0"/>
    <n v="88123.199999999997"/>
    <s v="847.8471010.1.425510.000000.847001.200179"/>
    <n v="94000"/>
    <n v="5876.8"/>
    <n v="0"/>
    <n v="0"/>
    <n v="88123.199999999997"/>
    <n v="0"/>
    <n v="0"/>
    <n v="0"/>
    <n v="0"/>
    <n v="99876.800000000003"/>
    <n v="99876.800000000003"/>
  </r>
  <r>
    <x v="8"/>
    <s v="Continuing Education office"/>
    <s v="2 Other Operating Costs"/>
    <n v="8471010"/>
    <s v="KUST - Continuing Education Office"/>
    <n v="425550"/>
    <x v="6"/>
    <x v="353"/>
    <n v="0"/>
    <n v="6000"/>
    <m/>
    <m/>
    <m/>
    <n v="6000"/>
    <m/>
    <m/>
    <m/>
    <m/>
    <n v="6000"/>
    <s v="The full budget aleady been used in July Request No: DTR7/5/2022-1234."/>
    <n v="6000"/>
    <n v="6000"/>
    <m/>
    <s v="Y"/>
    <m/>
    <n v="6000"/>
    <n v="0"/>
    <n v="0"/>
    <n v="0"/>
    <n v="6000"/>
    <n v="6000"/>
    <n v="0"/>
    <n v="0"/>
    <s v="847.8471010.1.425550.000000.847001.200179"/>
    <n v="6000"/>
    <n v="0"/>
    <n v="0"/>
    <n v="0"/>
    <n v="6000"/>
    <n v="0"/>
    <n v="0"/>
    <n v="0"/>
    <n v="6000"/>
    <n v="0"/>
    <n v="-6000"/>
  </r>
  <r>
    <x v="8"/>
    <s v="Continuing Education office"/>
    <s v="2 Other Operating Costs"/>
    <n v="8471010"/>
    <s v="KUST - Continuing Education Office"/>
    <n v="425720"/>
    <x v="37"/>
    <x v="354"/>
    <n v="76120"/>
    <n v="76120"/>
    <n v="62280"/>
    <m/>
    <m/>
    <n v="13840"/>
    <m/>
    <m/>
    <m/>
    <m/>
    <n v="13840"/>
    <s v="Funds will be fully utilized at the end of the year. "/>
    <n v="13840"/>
    <n v="13840"/>
    <m/>
    <s v="Y"/>
    <m/>
    <n v="76120"/>
    <n v="69200"/>
    <n v="0"/>
    <n v="0"/>
    <n v="6920"/>
    <n v="6920"/>
    <n v="0"/>
    <n v="-6920"/>
    <s v="847.8471010.1.425720.000000.847001.200179"/>
    <n v="96120"/>
    <n v="83040"/>
    <n v="0"/>
    <n v="0"/>
    <n v="13080"/>
    <n v="0"/>
    <n v="0"/>
    <n v="0"/>
    <n v="13840"/>
    <n v="69200"/>
    <n v="69200"/>
  </r>
  <r>
    <x v="8"/>
    <s v="Continuing Education office"/>
    <s v="2 Other Operating Costs"/>
    <n v="8471010"/>
    <s v="KUST - Continuing Education Office"/>
    <n v="425900"/>
    <x v="7"/>
    <x v="355"/>
    <n v="162500"/>
    <n v="162500"/>
    <m/>
    <m/>
    <m/>
    <n v="162500"/>
    <m/>
    <m/>
    <m/>
    <n v="162500"/>
    <n v="162500"/>
    <s v="Payment has not yet been processed for some invoices. Funds will be fully utilized at the end of the year."/>
    <n v="162500"/>
    <n v="162500"/>
    <m/>
    <s v="Y"/>
    <m/>
    <n v="133075"/>
    <n v="0"/>
    <n v="0"/>
    <n v="0"/>
    <n v="133075"/>
    <n v="133075"/>
    <n v="0"/>
    <n v="-29425"/>
    <s v="847.8471010.1.425900.000000.847001.200179"/>
    <n v="113075"/>
    <n v="10290"/>
    <n v="0"/>
    <n v="0"/>
    <n v="96485"/>
    <n v="0"/>
    <n v="0"/>
    <n v="0"/>
    <n v="162500"/>
    <n v="0"/>
    <n v="-152210"/>
  </r>
  <r>
    <x v="8"/>
    <s v="Continuing Education office"/>
    <s v="2 Other Operating Costs"/>
    <n v="8471010"/>
    <s v="KUST - Continuing Education Office"/>
    <n v="436110"/>
    <x v="31"/>
    <x v="356"/>
    <n v="50625"/>
    <n v="50625"/>
    <m/>
    <m/>
    <m/>
    <n v="50625"/>
    <m/>
    <m/>
    <m/>
    <n v="50625"/>
    <n v="50625"/>
    <s v="Payment has not yet been processed for some invoices. Funds will be fully utilized at the end of the year."/>
    <n v="50625"/>
    <n v="43189.4"/>
    <m/>
    <s v="Y"/>
    <m/>
    <n v="50625"/>
    <n v="0"/>
    <n v="0"/>
    <n v="0"/>
    <n v="50625"/>
    <n v="50625"/>
    <n v="0"/>
    <n v="0"/>
    <s v="847.8471010.1.436110.000000.847001.200179"/>
    <n v="50625"/>
    <n v="4450"/>
    <n v="0"/>
    <n v="0"/>
    <n v="46175"/>
    <n v="0"/>
    <n v="7435.6"/>
    <n v="0"/>
    <n v="43189.4"/>
    <n v="7435.6"/>
    <n v="-31303.800000000003"/>
  </r>
  <r>
    <x v="8"/>
    <s v="Continuing Education office"/>
    <s v="2 Other Operating Costs"/>
    <n v="8471010"/>
    <s v="KUST - Continuing Education Office"/>
    <n v="436120"/>
    <x v="65"/>
    <x v="357"/>
    <n v="5625"/>
    <n v="5625"/>
    <m/>
    <m/>
    <m/>
    <n v="5625"/>
    <m/>
    <m/>
    <m/>
    <m/>
    <n v="5625"/>
    <s v="The full amount already been used. "/>
    <n v="5625"/>
    <n v="5625"/>
    <m/>
    <s v="Y"/>
    <m/>
    <n v="5625"/>
    <n v="0"/>
    <n v="0"/>
    <n v="0"/>
    <n v="5625"/>
    <n v="5625"/>
    <n v="0"/>
    <n v="0"/>
    <s v="847.8471010.1.436120.000000.847001.200179"/>
    <n v="5625"/>
    <n v="0"/>
    <n v="0"/>
    <n v="0"/>
    <n v="5625"/>
    <n v="0"/>
    <n v="0"/>
    <n v="0"/>
    <n v="5625"/>
    <n v="0"/>
    <n v="-5625"/>
  </r>
  <r>
    <x v="9"/>
    <s v="Research &amp; development office"/>
    <s v="2 Other Operating Costs"/>
    <n v="8471110"/>
    <s v="KUST - SVP/ Research &amp; Development Office"/>
    <n v="425900"/>
    <x v="7"/>
    <x v="358"/>
    <n v="30000"/>
    <n v="28000"/>
    <m/>
    <m/>
    <m/>
    <n v="28000"/>
    <m/>
    <n v="14000"/>
    <n v="14000"/>
    <s v="This will be used for upcoming workshop"/>
    <n v="0"/>
    <s v="None"/>
    <n v="0"/>
    <n v="0"/>
    <m/>
    <s v="Y"/>
    <m/>
    <n v="28000"/>
    <n v="0"/>
    <n v="0"/>
    <n v="0"/>
    <n v="28000"/>
    <n v="28000"/>
    <n v="0"/>
    <n v="28000"/>
    <s v="847.8471110.1.425900.000000.847001.200179"/>
    <n v="28000"/>
    <n v="0"/>
    <n v="0"/>
    <n v="0"/>
    <n v="28000"/>
    <n v="0"/>
    <n v="0"/>
    <n v="0"/>
    <n v="0"/>
    <n v="14000"/>
    <n v="14000"/>
  </r>
  <r>
    <x v="9"/>
    <s v="Research &amp; development office"/>
    <s v="2 Other Operating Costs"/>
    <n v="8471110"/>
    <s v="KUST - SVP/ Research &amp; Development Office"/>
    <n v="427710"/>
    <x v="13"/>
    <x v="359"/>
    <n v="428951"/>
    <n v="428951"/>
    <n v="19687.28"/>
    <n v="0"/>
    <n v="299294.42"/>
    <n v="109969.29999999999"/>
    <m/>
    <n v="50000"/>
    <n v="59368"/>
    <s v="This will be used for other Subscrpitions"/>
    <n v="601.29999999998836"/>
    <s v="None"/>
    <n v="601.29999999998836"/>
    <n v="601.29999999998836"/>
    <m/>
    <s v="Y"/>
    <m/>
    <n v="403951"/>
    <n v="30706.28"/>
    <n v="0"/>
    <n v="299294.42"/>
    <n v="73950.299999999988"/>
    <n v="73950.3"/>
    <n v="0"/>
    <n v="73349"/>
    <s v="847.8471110.1.427710.000000.847001.200179"/>
    <n v="403951"/>
    <n v="30706.28"/>
    <n v="0"/>
    <n v="299294.42"/>
    <n v="73950.3"/>
    <n v="0"/>
    <n v="0"/>
    <n v="0"/>
    <n v="601.29999999998836"/>
    <n v="389368.69999999995"/>
    <n v="388767.39999999997"/>
  </r>
  <r>
    <x v="9"/>
    <s v="Research &amp; development office"/>
    <s v="2 Other Operating Costs"/>
    <n v="8471110"/>
    <s v="KUST - SVP/ Research &amp; Development Office"/>
    <n v="428090"/>
    <x v="9"/>
    <x v="360"/>
    <n v="100000"/>
    <n v="27246"/>
    <m/>
    <m/>
    <m/>
    <n v="27246"/>
    <m/>
    <m/>
    <n v="27246"/>
    <s v="Business travel and conferences in Q3 &amp; Q4"/>
    <n v="0"/>
    <s v="None"/>
    <n v="0"/>
    <n v="-18095"/>
    <m/>
    <s v="Y"/>
    <m/>
    <n v="52246"/>
    <n v="21955"/>
    <n v="0"/>
    <n v="0"/>
    <n v="30291"/>
    <n v="30291"/>
    <n v="0"/>
    <n v="30291"/>
    <s v="847.8471110.1.428090.000000.847001.200179"/>
    <n v="52246"/>
    <n v="48418.080000000002"/>
    <n v="0"/>
    <n v="0"/>
    <n v="3827.92"/>
    <n v="0"/>
    <n v="0"/>
    <n v="18095"/>
    <n v="-18095"/>
    <n v="67296"/>
    <n v="111854.08"/>
  </r>
  <r>
    <x v="9"/>
    <s v="Research &amp; development office"/>
    <s v="2 Other Operating Costs"/>
    <n v="8471110"/>
    <s v="KUST - SVP/ Research &amp; Development Office"/>
    <n v="435508"/>
    <x v="33"/>
    <x v="361"/>
    <n v="0"/>
    <n v="2000"/>
    <n v="1875"/>
    <m/>
    <m/>
    <n v="125"/>
    <m/>
    <m/>
    <m/>
    <m/>
    <n v="125"/>
    <m/>
    <n v="125"/>
    <n v="125"/>
    <m/>
    <s v="Y"/>
    <m/>
    <n v="2000"/>
    <n v="1875"/>
    <n v="0"/>
    <n v="0"/>
    <n v="125"/>
    <n v="125"/>
    <n v="0"/>
    <n v="0"/>
    <s v="847.8471110.1.435508.000000.847001.200179"/>
    <n v="2000"/>
    <n v="1875"/>
    <n v="0"/>
    <n v="0"/>
    <n v="125"/>
    <n v="0"/>
    <n v="0"/>
    <n v="0"/>
    <n v="125"/>
    <n v="1875"/>
    <n v="1750"/>
  </r>
  <r>
    <x v="9"/>
    <s v="Research &amp; development office"/>
    <s v="2 Other Operating Costs"/>
    <n v="8471120"/>
    <s v="KUST - Institute for Automation, Information Science &amp; Communication"/>
    <n v="425900"/>
    <x v="7"/>
    <x v="362"/>
    <n v="110000"/>
    <n v="110000"/>
    <m/>
    <m/>
    <m/>
    <n v="110000"/>
    <n v="0"/>
    <n v="50000"/>
    <n v="60000"/>
    <s v="We will hold two workshops in November and December one with TAU and the other with UAEREP."/>
    <n v="0"/>
    <m/>
    <n v="0"/>
    <n v="0"/>
    <m/>
    <s v="Y"/>
    <m/>
    <n v="110000"/>
    <n v="0"/>
    <n v="0"/>
    <n v="0"/>
    <n v="110000"/>
    <n v="110000"/>
    <n v="0"/>
    <n v="110000"/>
    <s v="847.8471120.1.425900.000000.847001.200179"/>
    <n v="110000"/>
    <n v="0"/>
    <n v="0"/>
    <n v="0"/>
    <n v="110000"/>
    <n v="0"/>
    <n v="0"/>
    <n v="0"/>
    <n v="0"/>
    <n v="60000"/>
    <n v="60000"/>
  </r>
  <r>
    <x v="9"/>
    <s v="Research &amp; development office"/>
    <s v="2 Other Operating Costs"/>
    <n v="8471120"/>
    <s v="KUST - Institute for Automation, Information Science &amp; Communication"/>
    <n v="428090"/>
    <x v="9"/>
    <x v="363"/>
    <n v="220000"/>
    <n v="59942"/>
    <m/>
    <m/>
    <m/>
    <n v="59942"/>
    <n v="0"/>
    <n v="19000"/>
    <n v="40942"/>
    <s v="We plan to use it in December for the Advisory committee meeting and keynote visits. Also, we have outbound travel to Japan for the joined TII-KU competition."/>
    <n v="0"/>
    <m/>
    <n v="0"/>
    <n v="-10495"/>
    <m/>
    <s v="Y"/>
    <m/>
    <n v="59942"/>
    <n v="8721"/>
    <n v="0"/>
    <n v="0"/>
    <n v="51221"/>
    <n v="51221"/>
    <n v="0"/>
    <n v="51221"/>
    <s v="847.8471120.1.428090.000000.847001.200179"/>
    <n v="59942"/>
    <n v="8721"/>
    <n v="0"/>
    <n v="0"/>
    <n v="51221"/>
    <n v="0"/>
    <n v="0"/>
    <n v="10495"/>
    <n v="-10495"/>
    <n v="60158"/>
    <n v="70653"/>
  </r>
  <r>
    <x v="9"/>
    <s v="Research &amp; development office"/>
    <s v="2 Other Operating Costs"/>
    <n v="8471120"/>
    <s v="KUST - Institute for Automation, Information Science &amp; Communication"/>
    <n v="429900"/>
    <x v="55"/>
    <x v="364"/>
    <n v="55510"/>
    <n v="55510"/>
    <m/>
    <m/>
    <m/>
    <n v="55510"/>
    <n v="10000"/>
    <n v="22755"/>
    <n v="22755"/>
    <s v="Institute-wide software platforms"/>
    <n v="0"/>
    <m/>
    <n v="0"/>
    <n v="0"/>
    <m/>
    <s v="Y"/>
    <m/>
    <n v="55510"/>
    <n v="0"/>
    <n v="0"/>
    <n v="0"/>
    <n v="55510"/>
    <n v="55510"/>
    <n v="0"/>
    <n v="55510"/>
    <s v="847.8471120.1.429900.000000.847001.200179"/>
    <n v="55510"/>
    <n v="0"/>
    <n v="0"/>
    <n v="0"/>
    <n v="55510"/>
    <n v="0"/>
    <n v="0"/>
    <n v="0"/>
    <n v="0"/>
    <n v="22755"/>
    <n v="22755"/>
  </r>
  <r>
    <x v="9"/>
    <s v="Research &amp; development office"/>
    <s v="2 Other Operating Costs"/>
    <n v="8471120"/>
    <s v="KUST - Institute for Automation, Information Science &amp; Communication"/>
    <n v="435523"/>
    <x v="22"/>
    <x v="365"/>
    <n v="25510"/>
    <n v="0"/>
    <m/>
    <m/>
    <m/>
    <n v="0"/>
    <m/>
    <m/>
    <m/>
    <m/>
    <n v="0"/>
    <m/>
    <n v="0"/>
    <n v="0"/>
    <m/>
    <s v="Y"/>
    <m/>
    <n v="0"/>
    <n v="0"/>
    <n v="0"/>
    <n v="0"/>
    <n v="0"/>
    <n v="0"/>
    <n v="0"/>
    <n v="0"/>
    <s v="847.8471120.1.435523.000000.847001.200179"/>
    <n v="0"/>
    <n v="0"/>
    <n v="0"/>
    <n v="0"/>
    <n v="0"/>
    <n v="0"/>
    <n v="0"/>
    <n v="0"/>
    <n v="0"/>
    <n v="0"/>
    <n v="0"/>
  </r>
  <r>
    <x v="9"/>
    <s v="Research &amp; development office"/>
    <s v="2 Other Operating Costs"/>
    <n v="8471121"/>
    <s v="KUST - Petroleum Institute"/>
    <n v="425510"/>
    <x v="5"/>
    <x v="366"/>
    <n v="50000"/>
    <n v="50000"/>
    <m/>
    <m/>
    <m/>
    <n v="50000"/>
    <m/>
    <m/>
    <m/>
    <m/>
    <n v="50000"/>
    <m/>
    <n v="50000"/>
    <n v="50000"/>
    <m/>
    <s v="Y"/>
    <m/>
    <n v="50000"/>
    <n v="0"/>
    <n v="0"/>
    <n v="0"/>
    <n v="50000"/>
    <n v="50000"/>
    <n v="0"/>
    <n v="0"/>
    <s v="847.8471121.1.425510.000000.847001.200179"/>
    <n v="50000"/>
    <n v="0"/>
    <n v="0"/>
    <n v="0"/>
    <n v="50000"/>
    <n v="0"/>
    <n v="0"/>
    <n v="0"/>
    <n v="50000"/>
    <n v="0"/>
    <n v="-50000"/>
  </r>
  <r>
    <x v="9"/>
    <s v="Research &amp; development office"/>
    <s v="2 Other Operating Costs"/>
    <n v="8471121"/>
    <s v="KUST - Petroleum Institute"/>
    <n v="425900"/>
    <x v="7"/>
    <x v="367"/>
    <n v="15000"/>
    <n v="15000"/>
    <m/>
    <m/>
    <m/>
    <n v="15000"/>
    <m/>
    <m/>
    <m/>
    <m/>
    <n v="15000"/>
    <m/>
    <n v="15000"/>
    <n v="15000"/>
    <m/>
    <s v="Y"/>
    <m/>
    <n v="15000"/>
    <n v="0"/>
    <n v="0"/>
    <n v="0"/>
    <n v="15000"/>
    <n v="15000"/>
    <n v="0"/>
    <n v="0"/>
    <s v="847.8471121.1.425900.000000.847001.200179"/>
    <n v="15000"/>
    <n v="0"/>
    <n v="0"/>
    <n v="0"/>
    <n v="15000"/>
    <n v="0"/>
    <n v="0"/>
    <n v="0"/>
    <n v="15000"/>
    <n v="0"/>
    <n v="-15000"/>
  </r>
  <r>
    <x v="9"/>
    <s v="Research &amp; development office"/>
    <s v="2 Other Operating Costs"/>
    <n v="8471121"/>
    <s v="KUST - Petroleum Institute"/>
    <n v="428090"/>
    <x v="9"/>
    <x v="368"/>
    <n v="50000"/>
    <n v="13623"/>
    <m/>
    <m/>
    <m/>
    <n v="13623"/>
    <m/>
    <m/>
    <m/>
    <m/>
    <n v="13623"/>
    <m/>
    <n v="13623"/>
    <n v="13623"/>
    <m/>
    <s v="Y"/>
    <m/>
    <n v="13623"/>
    <n v="0"/>
    <n v="0"/>
    <n v="0"/>
    <n v="13623"/>
    <n v="13623"/>
    <n v="0"/>
    <n v="0"/>
    <s v="847.8471121.1.428090.000000.847001.200179"/>
    <n v="13623"/>
    <n v="0"/>
    <n v="0"/>
    <n v="0"/>
    <n v="13623"/>
    <n v="0"/>
    <n v="0"/>
    <n v="0"/>
    <n v="13623"/>
    <n v="0"/>
    <n v="-13623"/>
  </r>
  <r>
    <x v="9"/>
    <s v="Research &amp; development office"/>
    <s v="2 Other Operating Costs"/>
    <n v="8471121"/>
    <s v="KUST - Petroleum Institute"/>
    <n v="432170"/>
    <x v="47"/>
    <x v="369"/>
    <n v="500000"/>
    <n v="0"/>
    <m/>
    <m/>
    <m/>
    <n v="0"/>
    <m/>
    <m/>
    <m/>
    <m/>
    <n v="0"/>
    <m/>
    <n v="0"/>
    <n v="0"/>
    <m/>
    <s v="Y"/>
    <m/>
    <n v="0"/>
    <n v="0"/>
    <n v="0"/>
    <n v="0"/>
    <n v="0"/>
    <n v="0"/>
    <n v="0"/>
    <n v="0"/>
    <s v="847.8471121.1.432170.000000.847001.200179"/>
    <n v="0"/>
    <n v="0"/>
    <n v="0"/>
    <n v="0"/>
    <n v="0"/>
    <n v="0"/>
    <n v="0"/>
    <n v="0"/>
    <n v="0"/>
    <n v="0"/>
    <n v="0"/>
  </r>
  <r>
    <x v="9"/>
    <s v="Research &amp; development office"/>
    <s v="2 Other Operating Costs"/>
    <n v="8471121"/>
    <s v="KUST - Petroleum Institute"/>
    <n v="435523"/>
    <x v="22"/>
    <x v="370"/>
    <n v="926280"/>
    <n v="826280"/>
    <m/>
    <m/>
    <m/>
    <n v="826280"/>
    <m/>
    <m/>
    <m/>
    <m/>
    <n v="826280"/>
    <m/>
    <n v="826280"/>
    <n v="826280"/>
    <m/>
    <s v="Y"/>
    <m/>
    <n v="826280"/>
    <n v="0"/>
    <n v="0"/>
    <n v="0"/>
    <n v="826280"/>
    <n v="826280"/>
    <n v="0"/>
    <n v="0"/>
    <s v="847.8471121.1.435523.000000.847001.200179"/>
    <n v="826280"/>
    <n v="0"/>
    <n v="0"/>
    <n v="0"/>
    <n v="826280"/>
    <n v="0"/>
    <n v="0"/>
    <n v="0"/>
    <n v="826280"/>
    <n v="0"/>
    <n v="-826280"/>
  </r>
  <r>
    <x v="9"/>
    <s v="Research &amp; development office"/>
    <s v="2 Other Operating Costs"/>
    <n v="8471122"/>
    <s v="KUST - Masdar Institute"/>
    <n v="425900"/>
    <x v="7"/>
    <x v="371"/>
    <n v="0"/>
    <n v="50000"/>
    <m/>
    <m/>
    <m/>
    <n v="50000"/>
    <m/>
    <m/>
    <m/>
    <m/>
    <n v="50000"/>
    <m/>
    <n v="50000"/>
    <n v="50000"/>
    <m/>
    <s v="Y"/>
    <m/>
    <n v="50000"/>
    <n v="0"/>
    <n v="0"/>
    <n v="0"/>
    <n v="50000"/>
    <n v="50000"/>
    <n v="0"/>
    <n v="0"/>
    <s v="847.8471122.1.425900.000000.847001.200179"/>
    <n v="50000"/>
    <n v="0"/>
    <n v="0"/>
    <n v="0"/>
    <n v="50000"/>
    <n v="0"/>
    <n v="0"/>
    <n v="0"/>
    <n v="50000"/>
    <n v="0"/>
    <n v="-50000"/>
  </r>
  <r>
    <x v="9"/>
    <s v="Research &amp; development office"/>
    <s v="2 Other Operating Costs"/>
    <n v="8471122"/>
    <s v="KUST - Masdar Institute"/>
    <n v="428090"/>
    <x v="9"/>
    <x v="372"/>
    <n v="0"/>
    <n v="13623"/>
    <m/>
    <m/>
    <m/>
    <n v="13623"/>
    <m/>
    <m/>
    <m/>
    <m/>
    <n v="13623"/>
    <m/>
    <n v="13623"/>
    <n v="13623"/>
    <m/>
    <s v="Y"/>
    <m/>
    <n v="13623"/>
    <n v="0"/>
    <n v="0"/>
    <n v="0"/>
    <n v="13623"/>
    <n v="13623"/>
    <n v="0"/>
    <n v="0"/>
    <s v="847.8471122.1.428090.000000.847001.200179"/>
    <n v="13623"/>
    <n v="0"/>
    <n v="0"/>
    <n v="0"/>
    <n v="13623"/>
    <n v="0"/>
    <n v="0"/>
    <n v="0"/>
    <n v="13623"/>
    <n v="0"/>
    <n v="-13623"/>
  </r>
  <r>
    <x v="9"/>
    <s v="Research &amp; development office"/>
    <s v="2 Other Operating Costs"/>
    <n v="8471130"/>
    <s v="KUST - Research Service"/>
    <n v="420811"/>
    <x v="68"/>
    <x v="373"/>
    <n v="0"/>
    <n v="306385"/>
    <m/>
    <n v="276944.2"/>
    <m/>
    <n v="29440.799999999988"/>
    <m/>
    <m/>
    <n v="29440.799999999999"/>
    <m/>
    <n v="0"/>
    <s v="external reviewer module, will be spent"/>
    <n v="0"/>
    <n v="0"/>
    <m/>
    <s v="Y"/>
    <m/>
    <n v="306385"/>
    <n v="0"/>
    <n v="276944.2"/>
    <n v="0"/>
    <n v="29440.799999999988"/>
    <n v="29440.799999999999"/>
    <n v="0"/>
    <n v="29440.799999999988"/>
    <s v="847.8471130.1.420811.000000.847001.200179"/>
    <n v="306385"/>
    <n v="0"/>
    <n v="276944.2"/>
    <n v="0"/>
    <n v="29440.799999999999"/>
    <n v="0"/>
    <n v="0"/>
    <n v="0"/>
    <n v="0"/>
    <n v="306385"/>
    <n v="306385"/>
  </r>
  <r>
    <x v="9"/>
    <s v="Research &amp; development office"/>
    <s v="2 Other Operating Costs"/>
    <n v="8471130"/>
    <s v="KUST - Research Service"/>
    <n v="426610"/>
    <x v="8"/>
    <x v="374"/>
    <n v="0"/>
    <n v="171900"/>
    <n v="171712.75"/>
    <m/>
    <m/>
    <n v="187.25"/>
    <m/>
    <m/>
    <m/>
    <m/>
    <n v="187.25"/>
    <m/>
    <n v="187.25"/>
    <n v="187.25"/>
    <m/>
    <s v="Y"/>
    <m/>
    <n v="171900"/>
    <n v="171712.75"/>
    <n v="0"/>
    <n v="0"/>
    <n v="187.25"/>
    <n v="187.25"/>
    <n v="0"/>
    <n v="0"/>
    <s v="847.8471130.1.426610.000000.847001.200179"/>
    <n v="171900"/>
    <n v="171712.75"/>
    <n v="0"/>
    <n v="0"/>
    <n v="187.25"/>
    <n v="0"/>
    <n v="0"/>
    <n v="0"/>
    <n v="187.25"/>
    <n v="171712.75"/>
    <n v="171525.5"/>
  </r>
  <r>
    <x v="9"/>
    <s v="Research &amp; development office"/>
    <s v="2 Other Operating Costs"/>
    <n v="8471130"/>
    <s v="KUST - Research Service"/>
    <n v="427900"/>
    <x v="67"/>
    <x v="375"/>
    <n v="5000"/>
    <n v="0"/>
    <m/>
    <m/>
    <m/>
    <n v="0"/>
    <m/>
    <m/>
    <m/>
    <m/>
    <n v="0"/>
    <m/>
    <n v="0"/>
    <n v="0"/>
    <m/>
    <s v="Y"/>
    <m/>
    <n v="0"/>
    <n v="0"/>
    <n v="0"/>
    <n v="0"/>
    <n v="0"/>
    <n v="0"/>
    <n v="0"/>
    <n v="0"/>
    <s v="847.8471130.1.427900.000000.847001.200179"/>
    <n v="0"/>
    <n v="0"/>
    <n v="0"/>
    <n v="0"/>
    <n v="0"/>
    <n v="0"/>
    <n v="0"/>
    <n v="0"/>
    <n v="0"/>
    <n v="0"/>
    <n v="0"/>
  </r>
  <r>
    <x v="9"/>
    <s v="Research &amp; development office"/>
    <s v="2 Other Operating Costs"/>
    <n v="8471130"/>
    <s v="KUST - Research Service"/>
    <n v="428090"/>
    <x v="9"/>
    <x v="376"/>
    <n v="70000"/>
    <n v="66459"/>
    <m/>
    <m/>
    <m/>
    <n v="66459"/>
    <m/>
    <n v="22000"/>
    <m/>
    <m/>
    <n v="44459"/>
    <s v="We have 1 DTR open for 20K, will have excess budget of 44.4K"/>
    <n v="44459"/>
    <n v="44459"/>
    <m/>
    <s v="Y"/>
    <m/>
    <n v="66459"/>
    <n v="23760.37"/>
    <n v="0"/>
    <n v="0"/>
    <n v="42698.630000000005"/>
    <n v="42698.63"/>
    <n v="0"/>
    <n v="-1760.3699999999953"/>
    <s v="847.8471130.1.428090.000000.847001.200179"/>
    <n v="66459"/>
    <n v="23760.37"/>
    <n v="0"/>
    <n v="0"/>
    <n v="42698.63"/>
    <n v="0"/>
    <n v="0"/>
    <n v="0"/>
    <n v="44459"/>
    <n v="23760.37"/>
    <n v="-20698.63"/>
  </r>
  <r>
    <x v="9"/>
    <s v="Research &amp; development office"/>
    <s v="2 Other Operating Costs"/>
    <n v="8471130"/>
    <s v="KUST - Research Service"/>
    <n v="435523"/>
    <x v="22"/>
    <x v="377"/>
    <n v="205962"/>
    <n v="157190"/>
    <n v="157599.53"/>
    <m/>
    <n v="-409.91000000000298"/>
    <n v="0.38000000000414502"/>
    <m/>
    <m/>
    <m/>
    <m/>
    <n v="0.38000000000414502"/>
    <m/>
    <n v="0.38000000000414502"/>
    <n v="0.38000000000414502"/>
    <m/>
    <s v="Y"/>
    <m/>
    <n v="157190"/>
    <n v="157599.53"/>
    <n v="0"/>
    <n v="-409.91"/>
    <n v="0.38000000000118916"/>
    <n v="0.38000000000124601"/>
    <n v="-5.6843418860808015E-14"/>
    <n v="-2.9558577807620168E-12"/>
    <s v="847.8471130.1.435523.000000.847001.200179"/>
    <n v="157190"/>
    <n v="157599.53"/>
    <n v="0"/>
    <n v="-409.91"/>
    <n v="0.38000000000124601"/>
    <n v="0"/>
    <n v="0"/>
    <n v="0"/>
    <n v="0.38000000000414502"/>
    <n v="157189.62"/>
    <n v="157189.24"/>
  </r>
  <r>
    <x v="9"/>
    <s v="Research &amp; development office"/>
    <s v="2 Other Operating Costs"/>
    <n v="8471140"/>
    <s v="KUST - University Sponsored Research"/>
    <n v="420570"/>
    <x v="1"/>
    <x v="378"/>
    <n v="231840"/>
    <n v="231840"/>
    <n v="103329.59"/>
    <m/>
    <m/>
    <n v="128510.41"/>
    <m/>
    <m/>
    <m/>
    <m/>
    <n v="128510.41"/>
    <m/>
    <n v="128510.41"/>
    <n v="127959.16"/>
    <m/>
    <s v="Y"/>
    <m/>
    <n v="231840"/>
    <n v="103329.59"/>
    <n v="0"/>
    <n v="0"/>
    <n v="128510.41"/>
    <n v="128510.41"/>
    <n v="0"/>
    <n v="0"/>
    <s v="847.8471140.1.420570.000000.847001.200179"/>
    <n v="231840"/>
    <n v="103329.59"/>
    <n v="0"/>
    <n v="0"/>
    <n v="128510.41"/>
    <n v="0"/>
    <n v="551.25"/>
    <n v="0"/>
    <n v="127959.16"/>
    <n v="103880.84"/>
    <n v="-24078.320000000007"/>
  </r>
  <r>
    <x v="9"/>
    <s v="Research &amp; development office"/>
    <s v="2 Other Operating Costs"/>
    <n v="8471140"/>
    <s v="KUST - University Sponsored Research"/>
    <n v="428090"/>
    <x v="9"/>
    <x v="379"/>
    <n v="80000"/>
    <n v="85693"/>
    <n v="35236.71"/>
    <m/>
    <m/>
    <n v="50456.29"/>
    <m/>
    <m/>
    <m/>
    <m/>
    <n v="50456.29"/>
    <m/>
    <n v="50456.29"/>
    <n v="45403.16"/>
    <m/>
    <s v="Y"/>
    <m/>
    <n v="85693"/>
    <n v="78188.97"/>
    <n v="0"/>
    <n v="0"/>
    <n v="7504.0299999999988"/>
    <n v="7504.03"/>
    <n v="0"/>
    <n v="-42952.26"/>
    <s v="847.8471140.1.428090.000000.847001.200179"/>
    <n v="85693"/>
    <n v="78188.97"/>
    <n v="0"/>
    <n v="0"/>
    <n v="7504.03"/>
    <n v="5053.13"/>
    <n v="0"/>
    <n v="0"/>
    <n v="45403.16"/>
    <n v="83242.100000000006"/>
    <n v="37838.94"/>
  </r>
  <r>
    <x v="9"/>
    <s v="Research &amp; development office"/>
    <s v="2 Other Operating Costs"/>
    <n v="8471140"/>
    <s v="KUST - University Sponsored Research"/>
    <n v="420570"/>
    <x v="1"/>
    <x v="378"/>
    <m/>
    <m/>
    <m/>
    <m/>
    <m/>
    <m/>
    <m/>
    <m/>
    <m/>
    <m/>
    <n v="-2000000"/>
    <s v="2023 ARIC payment"/>
    <m/>
    <n v="0"/>
    <n v="2000000"/>
    <s v="Y"/>
    <m/>
    <m/>
    <m/>
    <m/>
    <m/>
    <m/>
    <m/>
    <m/>
    <n v="0"/>
    <s v="847.8471140.1.420570.000000.847001.200179"/>
    <m/>
    <m/>
    <n v="0"/>
    <n v="0"/>
    <m/>
    <n v="0"/>
    <m/>
    <n v="0"/>
    <n v="0"/>
    <n v="0"/>
    <n v="2000000"/>
  </r>
  <r>
    <x v="9"/>
    <s v="Research &amp; development office"/>
    <s v="2 Other Operating Costs"/>
    <n v="8471140"/>
    <s v="KUST - University Sponsored Research"/>
    <n v="420570"/>
    <x v="1"/>
    <x v="378"/>
    <m/>
    <m/>
    <m/>
    <m/>
    <m/>
    <m/>
    <m/>
    <m/>
    <m/>
    <m/>
    <n v="-3000000"/>
    <s v="2023 EBTIC Payment"/>
    <m/>
    <n v="0"/>
    <n v="3000000"/>
    <s v="Y"/>
    <m/>
    <m/>
    <m/>
    <m/>
    <m/>
    <m/>
    <m/>
    <m/>
    <n v="0"/>
    <s v="847.8471140.1.420570.000000.847001.200179"/>
    <m/>
    <m/>
    <n v="0"/>
    <n v="0"/>
    <m/>
    <n v="0"/>
    <m/>
    <n v="0"/>
    <n v="0"/>
    <n v="0"/>
    <n v="3000000"/>
  </r>
  <r>
    <x v="9"/>
    <s v="Research &amp; development office"/>
    <s v="2 Other Operating Costs"/>
    <n v="8471140"/>
    <s v="KUST - University Sponsored Research"/>
    <n v="435523"/>
    <x v="22"/>
    <x v="380"/>
    <n v="99831748"/>
    <n v="90170195"/>
    <n v="59036197.060000002"/>
    <n v="1302442.29"/>
    <n v="2812212.05"/>
    <n v="27019343.599999998"/>
    <n v="9006447.8666666672"/>
    <n v="9006447.8666666672"/>
    <n v="7006447.8666666709"/>
    <m/>
    <n v="1999999.9999999925"/>
    <s v="There will be no surplus.  3 months salary still required, visiting scholars, sub-awards invoices, and opex until end of 2022. "/>
    <n v="1999999.9999999925"/>
    <n v="-274676.52075000759"/>
    <m/>
    <s v="Y"/>
    <m/>
    <n v="89763900"/>
    <n v="69027511.600000098"/>
    <n v="525790.75"/>
    <n v="3087234.18"/>
    <n v="17123363.469999902"/>
    <n v="17155350.429999799"/>
    <n v="-31986.959999896586"/>
    <n v="15123363.469999909"/>
    <s v="847.8471140.1.435523.000000.847001.200179"/>
    <n v="89786458"/>
    <n v="76465079.940000206"/>
    <n v="517174.64"/>
    <n v="2943127.77"/>
    <n v="9889597.6099998001"/>
    <n v="235933.73999999996"/>
    <n v="1358179.65075"/>
    <n v="680563.13000000012"/>
    <n v="-274676.52075000759"/>
    <n v="81921660.917416766"/>
    <n v="89481183.258166865"/>
  </r>
  <r>
    <x v="9"/>
    <s v="Research &amp; development office"/>
    <s v="2 Other Operating Costs"/>
    <n v="8471150"/>
    <s v="KUST - Technology Management &amp; Innovation"/>
    <n v="420900"/>
    <x v="2"/>
    <x v="381"/>
    <n v="3332844"/>
    <n v="3332844"/>
    <n v="2009692.38"/>
    <n v="1099372.21"/>
    <n v="-1.01863406598568E-10"/>
    <n v="223779.41000000027"/>
    <n v="23779.41"/>
    <n v="200000"/>
    <m/>
    <s v="Many outstanding Invoices to be paid.  Additional funds of AED 2000K is being requested for  other outstanding invoices and work to be performed on paten filings. "/>
    <n v="2.6193447411060333E-10"/>
    <m/>
    <n v="2.6193447411060333E-10"/>
    <n v="2.6193447411060333E-10"/>
    <m/>
    <s v="Y"/>
    <m/>
    <n v="3946963"/>
    <n v="2499471.7599999998"/>
    <n v="895461.22"/>
    <n v="34511.51"/>
    <n v="517518.51000000024"/>
    <n v="517518.51"/>
    <n v="0"/>
    <n v="517518.51"/>
    <s v="847.8471150.1.420900.000000.847001.200179"/>
    <n v="3946963"/>
    <n v="2533983.27"/>
    <n v="895461.22"/>
    <n v="0"/>
    <n v="517518.51"/>
    <n v="0"/>
    <n v="0"/>
    <n v="0"/>
    <n v="2.6193447411060333E-10"/>
    <n v="3429444.4899999993"/>
    <n v="3429444.4899999998"/>
  </r>
  <r>
    <x v="9"/>
    <s v="Research &amp; development office"/>
    <s v="2 Other Operating Costs"/>
    <n v="8471150"/>
    <s v="KUST - Technology Management &amp; Innovation"/>
    <n v="425510"/>
    <x v="5"/>
    <x v="382"/>
    <n v="100002"/>
    <n v="100002"/>
    <m/>
    <m/>
    <m/>
    <n v="100002"/>
    <n v="50000"/>
    <n v="50002"/>
    <m/>
    <s v="Waiting on invoice for current and further expenses for brochures and other related matters"/>
    <n v="0"/>
    <m/>
    <n v="0"/>
    <n v="0"/>
    <m/>
    <s v="Y"/>
    <m/>
    <n v="100002"/>
    <n v="0"/>
    <n v="0"/>
    <n v="0"/>
    <n v="100002"/>
    <n v="100002"/>
    <n v="0"/>
    <n v="100002"/>
    <s v="847.8471150.1.425510.000000.847001.200179"/>
    <n v="100002"/>
    <n v="0"/>
    <n v="0"/>
    <n v="0"/>
    <n v="100002"/>
    <n v="0"/>
    <n v="0"/>
    <n v="0"/>
    <n v="0"/>
    <n v="0"/>
    <n v="0"/>
  </r>
  <r>
    <x v="9"/>
    <s v="Research &amp; development office"/>
    <s v="2 Other Operating Costs"/>
    <n v="8471150"/>
    <s v="KUST - Technology Management &amp; Innovation"/>
    <n v="425550"/>
    <x v="6"/>
    <x v="383"/>
    <n v="100002"/>
    <n v="100002"/>
    <n v="11745"/>
    <m/>
    <m/>
    <n v="88257"/>
    <n v="40000"/>
    <n v="25000"/>
    <n v="23257"/>
    <s v="AUTM Conference and Registration"/>
    <n v="0"/>
    <m/>
    <n v="0"/>
    <n v="0"/>
    <m/>
    <s v="Y"/>
    <m/>
    <n v="100002"/>
    <n v="19542"/>
    <n v="0"/>
    <n v="0"/>
    <n v="80460"/>
    <n v="80460"/>
    <n v="0"/>
    <n v="80460"/>
    <s v="847.8471150.1.425550.000000.847001.200179"/>
    <n v="100002"/>
    <n v="26095"/>
    <n v="0"/>
    <n v="0"/>
    <n v="73907"/>
    <n v="0"/>
    <n v="0"/>
    <n v="0"/>
    <n v="0"/>
    <n v="42799"/>
    <n v="49352"/>
  </r>
  <r>
    <x v="9"/>
    <s v="Research &amp; development office"/>
    <s v="2 Other Operating Costs"/>
    <n v="8471150"/>
    <s v="KUST - Technology Management &amp; Innovation"/>
    <n v="425900"/>
    <x v="7"/>
    <x v="384"/>
    <n v="0"/>
    <n v="2000"/>
    <n v="525"/>
    <m/>
    <m/>
    <n v="1475"/>
    <n v="1475"/>
    <m/>
    <m/>
    <s v="awaiting on Invoice for Sept function"/>
    <n v="0"/>
    <m/>
    <n v="0"/>
    <n v="0"/>
    <m/>
    <s v="Y"/>
    <m/>
    <n v="2000"/>
    <n v="525"/>
    <n v="0"/>
    <n v="0"/>
    <n v="1475"/>
    <n v="1475"/>
    <n v="0"/>
    <n v="1475"/>
    <s v="847.8471150.1.425900.000000.847001.200179"/>
    <n v="2000"/>
    <n v="918.75"/>
    <n v="0"/>
    <n v="0"/>
    <n v="1081.25"/>
    <n v="0"/>
    <n v="0"/>
    <n v="0"/>
    <n v="0"/>
    <n v="525"/>
    <n v="918.75"/>
  </r>
  <r>
    <x v="9"/>
    <s v="Research &amp; development office"/>
    <s v="2 Other Operating Costs"/>
    <n v="8471150"/>
    <s v="KUST - Technology Management &amp; Innovation"/>
    <n v="426610"/>
    <x v="8"/>
    <x v="385"/>
    <n v="120000"/>
    <n v="118000"/>
    <m/>
    <n v="0"/>
    <m/>
    <n v="118000"/>
    <m/>
    <n v="118000"/>
    <m/>
    <s v="Database Invoice is being presented for payment."/>
    <n v="0"/>
    <m/>
    <n v="0"/>
    <n v="0"/>
    <m/>
    <s v="Y"/>
    <m/>
    <n v="3881"/>
    <n v="3880.12"/>
    <n v="0"/>
    <n v="0"/>
    <n v="0.88000000000010914"/>
    <n v="0.88000000000010903"/>
    <n v="0"/>
    <n v="0.88000000000010914"/>
    <s v="847.8471150.1.426610.000000.847001.200179"/>
    <n v="3881"/>
    <n v="3880.12"/>
    <n v="0"/>
    <n v="0"/>
    <n v="0.88000000000010903"/>
    <n v="0"/>
    <n v="0"/>
    <n v="0"/>
    <n v="0"/>
    <n v="3880.12"/>
    <n v="3880.12"/>
  </r>
  <r>
    <x v="9"/>
    <s v="Research &amp; development office"/>
    <s v="2 Other Operating Costs"/>
    <n v="8471150"/>
    <s v="KUST - Technology Management &amp; Innovation"/>
    <n v="428090"/>
    <x v="9"/>
    <x v="386"/>
    <n v="50001"/>
    <n v="13623"/>
    <m/>
    <m/>
    <m/>
    <n v="13623"/>
    <m/>
    <n v="13623"/>
    <m/>
    <s v="waiting on invoice for travel to conferences. "/>
    <n v="0"/>
    <m/>
    <n v="0"/>
    <n v="0"/>
    <m/>
    <s v="Y"/>
    <m/>
    <n v="13623"/>
    <n v="0"/>
    <n v="0"/>
    <n v="0"/>
    <n v="13623"/>
    <n v="13623"/>
    <n v="0"/>
    <n v="13623"/>
    <s v="847.8471150.1.428090.000000.847001.200179"/>
    <n v="13623"/>
    <n v="0"/>
    <n v="0"/>
    <n v="0"/>
    <n v="13623"/>
    <n v="0"/>
    <n v="0"/>
    <n v="0"/>
    <n v="0"/>
    <n v="0"/>
    <n v="0"/>
  </r>
  <r>
    <x v="9"/>
    <s v="Research &amp; development office"/>
    <s v="2 Other Operating Costs"/>
    <n v="8471160"/>
    <s v="KUST - Research Laboratories"/>
    <n v="420810"/>
    <x v="73"/>
    <x v="387"/>
    <n v="588000"/>
    <n v="0"/>
    <m/>
    <m/>
    <m/>
    <n v="0"/>
    <m/>
    <m/>
    <m/>
    <m/>
    <n v="0"/>
    <m/>
    <n v="0"/>
    <n v="0"/>
    <m/>
    <s v="Y"/>
    <m/>
    <n v="0"/>
    <n v="0"/>
    <n v="0"/>
    <n v="0"/>
    <n v="0"/>
    <n v="0"/>
    <n v="0"/>
    <n v="0"/>
    <s v="847.8471160.1.420810.000000.847001.200179"/>
    <n v="0"/>
    <n v="0"/>
    <n v="0"/>
    <n v="0"/>
    <n v="0"/>
    <n v="0"/>
    <n v="0"/>
    <n v="0"/>
    <n v="0"/>
    <n v="0"/>
    <n v="0"/>
  </r>
  <r>
    <x v="9"/>
    <s v="Research &amp; development office"/>
    <s v="2 Other Operating Costs"/>
    <n v="8471160"/>
    <s v="KUST - Research Laboratories"/>
    <n v="420811"/>
    <x v="68"/>
    <x v="388"/>
    <n v="0"/>
    <n v="588000"/>
    <m/>
    <m/>
    <m/>
    <n v="588000"/>
    <m/>
    <m/>
    <m/>
    <m/>
    <n v="588000"/>
    <s v="No outstanding IT Systems &amp; Support expenses. Fund could be transferred to Research Computing to support payment of Ankabut SLA."/>
    <n v="588000"/>
    <n v="588000"/>
    <m/>
    <s v="Y"/>
    <m/>
    <n v="588000"/>
    <n v="0"/>
    <n v="0"/>
    <n v="0"/>
    <n v="588000"/>
    <n v="588000"/>
    <n v="0"/>
    <n v="0"/>
    <s v="847.8471160.1.420811.000000.847001.200179"/>
    <n v="588000"/>
    <n v="0"/>
    <n v="0"/>
    <n v="0"/>
    <n v="588000"/>
    <n v="0"/>
    <n v="0"/>
    <n v="0"/>
    <n v="588000"/>
    <n v="0"/>
    <n v="-588000"/>
  </r>
  <r>
    <x v="9"/>
    <s v="Research &amp; development office"/>
    <s v="2 Other Operating Costs"/>
    <n v="8471160"/>
    <s v="KUST - Research Laboratories"/>
    <n v="426610"/>
    <x v="8"/>
    <x v="389"/>
    <n v="161375"/>
    <n v="507375"/>
    <n v="87650"/>
    <n v="62561.07"/>
    <n v="269559.7"/>
    <n v="87604.229999999981"/>
    <m/>
    <m/>
    <m/>
    <m/>
    <n v="87604.229999999981"/>
    <s v="No outstanding software license renewals. Fund could be transferred to Research Computing to support payment of Ankabut SLA."/>
    <n v="87604.229999999981"/>
    <n v="87604.229999999981"/>
    <m/>
    <s v="Y"/>
    <m/>
    <n v="507375"/>
    <n v="152650"/>
    <n v="0"/>
    <n v="265024.2"/>
    <n v="89700.799999999988"/>
    <n v="89700.800000000003"/>
    <n v="0"/>
    <n v="2096.570000000007"/>
    <s v="847.8471160.1.426610.000000.847001.200179"/>
    <n v="507375"/>
    <n v="171015"/>
    <n v="0"/>
    <n v="265024.2"/>
    <n v="71335.8"/>
    <n v="0"/>
    <n v="0"/>
    <n v="0"/>
    <n v="87604.229999999981"/>
    <n v="417674.2"/>
    <n v="348434.97000000003"/>
  </r>
  <r>
    <x v="9"/>
    <s v="Research &amp; development office"/>
    <s v="2 Other Operating Costs"/>
    <n v="8471160"/>
    <s v="KUST - Research Laboratories"/>
    <n v="432209"/>
    <x v="32"/>
    <x v="390"/>
    <n v="15319303"/>
    <n v="13549303"/>
    <n v="6443128.0300000003"/>
    <n v="2912354.85"/>
    <n v="4150387.85"/>
    <n v="43432.269999999553"/>
    <n v="35000"/>
    <n v="7000"/>
    <n v="1000"/>
    <s v="For October 2022, AED 35k will be utilized to cover: (i) electron microscope spare part, and (ii) other core lab equipment spare parts."/>
    <n v="432.26999999955297"/>
    <s v="Not Applicable "/>
    <n v="432.26999999955297"/>
    <n v="-7232.730000000447"/>
    <m/>
    <s v="Y"/>
    <m/>
    <n v="13449303"/>
    <n v="6745037.5300000003"/>
    <n v="2423461.2999999998"/>
    <n v="3524448.07"/>
    <n v="756356.10000000009"/>
    <n v="756356.10000000102"/>
    <n v="-9.3132257461547852E-10"/>
    <n v="755923.83000000054"/>
    <s v="847.8471160.1.432209.000000.847001.200179"/>
    <n v="12849303"/>
    <n v="7215057.6900000004"/>
    <n v="1102830.8600000001"/>
    <n v="4376281.7"/>
    <n v="155132.75000000099"/>
    <n v="0"/>
    <n v="7665"/>
    <n v="0"/>
    <n v="-7232.730000000447"/>
    <n v="12701611.9"/>
    <n v="12710067.98"/>
  </r>
  <r>
    <x v="9"/>
    <s v="Research &amp; development office"/>
    <s v="2 Other Operating Costs"/>
    <n v="8471160"/>
    <s v="KUST - Research Laboratories"/>
    <n v="435508"/>
    <x v="33"/>
    <x v="391"/>
    <n v="2753398"/>
    <n v="4157398"/>
    <n v="831180.13"/>
    <n v="1143117.57"/>
    <n v="802993.35"/>
    <n v="1380106.9499999997"/>
    <n v="900000"/>
    <n v="40000"/>
    <n v="5000"/>
    <s v="For October 2022, AED 900k will be utilized to cover (i) cleanroom LN2 supply (AED 750k, July - December 2022), (ii) off campus warehouse storage costs (AED 155k, July - December 2022), and (iii) lab operational consumables."/>
    <n v="435106.94999999972"/>
    <s v="Majority of Arzanah labs were not operationalized till August 2022."/>
    <n v="435106.94999999972"/>
    <n v="424519.7999999997"/>
    <m/>
    <s v="Y"/>
    <m/>
    <n v="4097398"/>
    <n v="1132764.8899999999"/>
    <n v="690145.7"/>
    <n v="1640158.34"/>
    <n v="634329.07000000007"/>
    <n v="634329.06999999995"/>
    <n v="0"/>
    <n v="199222.12000000034"/>
    <s v="847.8471160.1.435508.000000.847001.200179"/>
    <n v="4696998"/>
    <n v="1037843.99"/>
    <n v="1602317.74"/>
    <n v="1620727.39"/>
    <n v="436108.88"/>
    <n v="0"/>
    <n v="10587.15"/>
    <n v="0"/>
    <n v="424519.7999999997"/>
    <n v="3478656.0799999996"/>
    <n v="3851956.4700000007"/>
  </r>
  <r>
    <x v="9"/>
    <s v="Research &amp; development office"/>
    <s v="2 Other Operating Costs"/>
    <n v="8471160"/>
    <s v="KUST - Research Laboratories"/>
    <n v="436600"/>
    <x v="34"/>
    <x v="392"/>
    <n v="0"/>
    <n v="20000"/>
    <m/>
    <m/>
    <m/>
    <n v="20000"/>
    <n v="20000"/>
    <n v="0"/>
    <n v="0"/>
    <s v="Professional development course registration fees to be charged for RL Staff"/>
    <n v="0"/>
    <m/>
    <n v="0"/>
    <n v="0"/>
    <m/>
    <s v="Y"/>
    <m/>
    <n v="20000"/>
    <n v="15359"/>
    <n v="0"/>
    <n v="0"/>
    <n v="4641"/>
    <n v="4641"/>
    <n v="0"/>
    <n v="4641"/>
    <s v="847.8471160.1.436600.000000.847001.200179"/>
    <n v="20000"/>
    <n v="15359"/>
    <n v="0"/>
    <n v="0"/>
    <n v="4641"/>
    <n v="0"/>
    <n v="0"/>
    <n v="0"/>
    <n v="0"/>
    <n v="15359"/>
    <n v="15359"/>
  </r>
  <r>
    <x v="9"/>
    <s v="Research &amp; development office"/>
    <s v="2 Other Operating Costs"/>
    <n v="8471170"/>
    <s v="KUST - Research Computing"/>
    <n v="420810"/>
    <x v="73"/>
    <x v="393"/>
    <n v="1709607"/>
    <n v="319000"/>
    <m/>
    <m/>
    <m/>
    <n v="319000"/>
    <m/>
    <m/>
    <m/>
    <m/>
    <n v="319000"/>
    <m/>
    <n v="319000"/>
    <n v="319000"/>
    <m/>
    <s v="Y"/>
    <m/>
    <n v="319000"/>
    <n v="0"/>
    <n v="0"/>
    <n v="0"/>
    <n v="319000"/>
    <n v="319000"/>
    <n v="0"/>
    <n v="0"/>
    <s v="847.8471170.1.420810.000000.847001.200179"/>
    <n v="319000"/>
    <n v="0"/>
    <n v="0"/>
    <n v="0"/>
    <n v="319000"/>
    <n v="0"/>
    <n v="0"/>
    <n v="0"/>
    <n v="319000"/>
    <n v="0"/>
    <n v="-319000"/>
  </r>
  <r>
    <x v="9"/>
    <s v="Research &amp; development office"/>
    <s v="2 Other Operating Costs"/>
    <n v="8471170"/>
    <s v="KUST - Research Computing"/>
    <n v="420811"/>
    <x v="68"/>
    <x v="394"/>
    <n v="0"/>
    <n v="1709607"/>
    <m/>
    <n v="871932.8"/>
    <m/>
    <n v="837674.2"/>
    <m/>
    <m/>
    <m/>
    <m/>
    <n v="-10489500"/>
    <s v="10.5m SLA HPCC with KUA"/>
    <m/>
    <n v="0"/>
    <n v="10489500"/>
    <s v="Y"/>
    <m/>
    <n v="1709607"/>
    <n v="0"/>
    <n v="320932.8"/>
    <n v="551000"/>
    <n v="837674.2"/>
    <n v="837674.2"/>
    <n v="0"/>
    <n v="837674.2"/>
    <s v="847.8471170.1.420811.000000.847001.200179"/>
    <n v="1709607"/>
    <n v="0"/>
    <n v="0"/>
    <n v="871932.8"/>
    <n v="837674.2"/>
    <n v="0"/>
    <n v="0"/>
    <n v="0"/>
    <n v="0"/>
    <n v="871932.8"/>
    <n v="11361432.800000001"/>
  </r>
  <r>
    <x v="9"/>
    <s v="Research &amp; development office"/>
    <s v="2 Other Operating Costs"/>
    <n v="8471170"/>
    <s v="KUST - Research Computing"/>
    <n v="425900"/>
    <x v="7"/>
    <x v="395"/>
    <n v="10000"/>
    <n v="10000"/>
    <m/>
    <m/>
    <m/>
    <n v="10000"/>
    <m/>
    <n v="5000"/>
    <m/>
    <s v="Outreach event hospistality"/>
    <n v="5000"/>
    <s v="Only one event planned"/>
    <n v="5000"/>
    <n v="5000"/>
    <m/>
    <s v="Y"/>
    <m/>
    <n v="10000"/>
    <n v="0"/>
    <n v="0"/>
    <n v="0"/>
    <n v="10000"/>
    <n v="10000"/>
    <n v="0"/>
    <n v="5000"/>
    <s v="847.8471170.1.425900.000000.847001.200179"/>
    <n v="10000"/>
    <n v="0"/>
    <n v="0"/>
    <n v="0"/>
    <n v="10000"/>
    <n v="0"/>
    <n v="0"/>
    <n v="0"/>
    <n v="5000"/>
    <n v="0"/>
    <n v="-5000"/>
  </r>
  <r>
    <x v="9"/>
    <s v="Research &amp; development office"/>
    <s v="2 Other Operating Costs"/>
    <n v="8471170"/>
    <s v="KUST - Research Computing"/>
    <n v="426610"/>
    <x v="8"/>
    <x v="396"/>
    <n v="2618576"/>
    <n v="2299576"/>
    <n v="751513.28"/>
    <n v="34038.690000000097"/>
    <n v="843285.47"/>
    <n v="670738.55999999982"/>
    <m/>
    <m/>
    <m/>
    <m/>
    <n v="670738.55999999982"/>
    <s v="Excess amount should be used for Ankabut SLA"/>
    <n v="670738.55999999982"/>
    <n v="670738.55999999982"/>
    <m/>
    <s v="Y"/>
    <m/>
    <n v="2269576"/>
    <n v="1040409.21"/>
    <n v="30921.19"/>
    <n v="584990"/>
    <n v="613255.60000000009"/>
    <n v="613255.6"/>
    <n v="0"/>
    <n v="-57482.95999999973"/>
    <s v="847.8471170.1.426610.000000.847001.200179"/>
    <n v="2269576"/>
    <n v="1040409.21"/>
    <n v="-1.3099999999976699"/>
    <n v="614440"/>
    <n v="614728.1"/>
    <n v="0"/>
    <n v="0"/>
    <n v="0"/>
    <n v="670738.55999999982"/>
    <n v="1656320.4"/>
    <n v="984109.34000000008"/>
  </r>
  <r>
    <x v="9"/>
    <s v="Research &amp; development office"/>
    <s v="2 Other Operating Costs"/>
    <n v="8471170"/>
    <s v="KUST - Research Computing"/>
    <n v="428090"/>
    <x v="9"/>
    <x v="397"/>
    <n v="45000"/>
    <n v="12261"/>
    <m/>
    <m/>
    <m/>
    <n v="12261"/>
    <n v="12261"/>
    <m/>
    <m/>
    <s v="Attending conference in November"/>
    <n v="0"/>
    <m/>
    <n v="0"/>
    <n v="-22434.170000000002"/>
    <m/>
    <s v="Y"/>
    <m/>
    <n v="42261"/>
    <n v="21236.27"/>
    <n v="0"/>
    <n v="0"/>
    <n v="21024.73"/>
    <n v="21024.73"/>
    <n v="0"/>
    <n v="21024.73"/>
    <s v="847.8471170.1.428090.000000.847001.200179"/>
    <n v="42261"/>
    <n v="31751.27"/>
    <n v="0"/>
    <n v="0"/>
    <n v="10509.73"/>
    <n v="1960.68"/>
    <n v="0"/>
    <n v="20473.490000000002"/>
    <n v="-22434.170000000002"/>
    <n v="43670.44"/>
    <n v="76619.61"/>
  </r>
  <r>
    <x v="3"/>
    <s v="Academic &amp; student service office"/>
    <s v="2 Other Operating Costs"/>
    <n v="8471210"/>
    <s v="KUST - SVP/ Academic &amp; Student Services Office"/>
    <n v="425900"/>
    <x v="7"/>
    <x v="398"/>
    <n v="15000"/>
    <n v="15000"/>
    <n v="13795"/>
    <n v="0"/>
    <n v="0"/>
    <n v="1205"/>
    <m/>
    <m/>
    <m/>
    <m/>
    <n v="1205"/>
    <m/>
    <n v="1205"/>
    <n v="1205"/>
    <m/>
    <s v="Y"/>
    <m/>
    <n v="15000"/>
    <n v="13795"/>
    <n v="0"/>
    <n v="0"/>
    <n v="1205"/>
    <n v="1205"/>
    <n v="0"/>
    <n v="0"/>
    <s v="847.8471210.1.425900.000000.847001.200179"/>
    <n v="15000"/>
    <n v="14792.5"/>
    <n v="0"/>
    <n v="0"/>
    <n v="207.5"/>
    <n v="0"/>
    <n v="0"/>
    <n v="0"/>
    <n v="1205"/>
    <n v="13795"/>
    <n v="13587.5"/>
  </r>
  <r>
    <x v="3"/>
    <s v="Academic &amp; student service office"/>
    <s v="2 Other Operating Costs"/>
    <n v="8471210"/>
    <s v="KUST - SVP/ Academic &amp; Student Services Office"/>
    <n v="428090"/>
    <x v="9"/>
    <x v="399"/>
    <n v="100000"/>
    <n v="57246"/>
    <n v="12000"/>
    <m/>
    <m/>
    <n v="45246"/>
    <m/>
    <m/>
    <m/>
    <s v="The amount will be deducted for DTR8/24/2022-1387_x000a_and DTR9/16/2022-1507 whice were raised for SVP’s conference in US and business travel to Germany"/>
    <n v="45246"/>
    <m/>
    <n v="45246"/>
    <n v="45246"/>
    <m/>
    <s v="Y"/>
    <m/>
    <n v="57246"/>
    <n v="56700"/>
    <n v="0"/>
    <n v="0"/>
    <n v="546"/>
    <n v="546"/>
    <n v="0"/>
    <n v="-44700"/>
    <s v="847.8471210.1.428090.000000.847001.200179"/>
    <n v="57246"/>
    <n v="56700"/>
    <n v="0"/>
    <n v="0"/>
    <n v="546"/>
    <n v="0"/>
    <n v="0"/>
    <n v="0"/>
    <n v="45246"/>
    <n v="56700"/>
    <n v="11454"/>
  </r>
  <r>
    <x v="3"/>
    <s v="Academic &amp; student service office"/>
    <s v="2 Other Operating Costs"/>
    <n v="8471210"/>
    <s v="KUST - SVP/ Academic &amp; Student Services Office"/>
    <n v="428640"/>
    <x v="11"/>
    <x v="400"/>
    <n v="20000"/>
    <n v="149"/>
    <m/>
    <m/>
    <m/>
    <n v="149"/>
    <m/>
    <m/>
    <m/>
    <m/>
    <n v="149"/>
    <m/>
    <n v="149"/>
    <n v="149"/>
    <m/>
    <s v="Y"/>
    <m/>
    <n v="149"/>
    <n v="0"/>
    <n v="0"/>
    <n v="0"/>
    <n v="149"/>
    <n v="149"/>
    <n v="0"/>
    <n v="0"/>
    <s v="847.8471210.1.428640.000000.847001.200179"/>
    <n v="149"/>
    <n v="0"/>
    <n v="0"/>
    <n v="0"/>
    <n v="149"/>
    <n v="0"/>
    <n v="0"/>
    <n v="0"/>
    <n v="149"/>
    <n v="0"/>
    <n v="-149"/>
  </r>
  <r>
    <x v="3"/>
    <s v="Academic &amp; student service office"/>
    <s v="2 Other Operating Costs"/>
    <n v="8471220"/>
    <s v="KUST - Registrar"/>
    <n v="425510"/>
    <x v="5"/>
    <x v="401"/>
    <n v="2200"/>
    <n v="2200"/>
    <m/>
    <m/>
    <m/>
    <n v="2200"/>
    <m/>
    <m/>
    <m/>
    <m/>
    <n v="2200"/>
    <m/>
    <n v="2200"/>
    <n v="2200"/>
    <m/>
    <s v="Y"/>
    <m/>
    <n v="22200"/>
    <n v="8800"/>
    <n v="0"/>
    <n v="0"/>
    <n v="13400"/>
    <n v="13400"/>
    <n v="0"/>
    <n v="11200"/>
    <s v="847.8471220.1.425510.000000.847001.200179"/>
    <n v="22200"/>
    <n v="8800"/>
    <n v="0"/>
    <n v="0"/>
    <n v="13400"/>
    <n v="0"/>
    <n v="0"/>
    <n v="0"/>
    <n v="2200"/>
    <n v="8800"/>
    <n v="6600"/>
  </r>
  <r>
    <x v="3"/>
    <s v="Academic &amp; student service office"/>
    <s v="2 Other Operating Costs"/>
    <n v="8471220"/>
    <s v="KUST - Registrar"/>
    <n v="425741"/>
    <x v="74"/>
    <x v="402"/>
    <n v="80501600"/>
    <n v="80582600"/>
    <n v="49281401.380000003"/>
    <m/>
    <m/>
    <n v="31301198.619999997"/>
    <n v="10243611"/>
    <n v="10246984"/>
    <n v="7514454.9333333336"/>
    <m/>
    <n v="3296148.6866666637"/>
    <s v="Refer to Sheet &quot;Stipend&quot; for calculation details"/>
    <n v="3296148.6866666637"/>
    <n v="3296148.6866666637"/>
    <m/>
    <s v="Y"/>
    <m/>
    <n v="80825600"/>
    <n v="59526469.380000003"/>
    <n v="0"/>
    <n v="0"/>
    <n v="21299130.619999997"/>
    <n v="21299130.620000001"/>
    <n v="0"/>
    <n v="18002981.933333334"/>
    <s v="847.8471220.1.425741.000000.847001.200179"/>
    <n v="80825600"/>
    <n v="69771996.379999995"/>
    <n v="0"/>
    <n v="0"/>
    <n v="11053603.619999999"/>
    <n v="0"/>
    <n v="0"/>
    <n v="0"/>
    <n v="3296148.6866666637"/>
    <n v="67040924.313333333"/>
    <n v="73990302.626666665"/>
  </r>
  <r>
    <x v="3"/>
    <s v="Academic &amp; student service office"/>
    <s v="2 Other Operating Costs"/>
    <n v="8471220"/>
    <s v="KUST - Registrar"/>
    <n v="425745"/>
    <x v="27"/>
    <x v="403"/>
    <n v="0"/>
    <m/>
    <n v="-11290.12"/>
    <m/>
    <m/>
    <n v="11290.12"/>
    <m/>
    <m/>
    <m/>
    <m/>
    <n v="11290.12"/>
    <m/>
    <n v="11290.12"/>
    <n v="11290.12"/>
    <m/>
    <s v="Y"/>
    <m/>
    <n v="0"/>
    <n v="-14070.8"/>
    <n v="0"/>
    <n v="0"/>
    <n v="14070.8"/>
    <n v="14070.8"/>
    <n v="0"/>
    <n v="2780.6799999999985"/>
    <s v="847.8471220.1.425745.000000.847001.200179"/>
    <n v="0"/>
    <n v="-15194"/>
    <n v="0"/>
    <n v="0"/>
    <n v="15194"/>
    <n v="0"/>
    <n v="0"/>
    <n v="0"/>
    <n v="11290.12"/>
    <n v="-14070.8"/>
    <n v="-26484.120000000003"/>
  </r>
  <r>
    <x v="3"/>
    <s v="Academic &amp; student service office"/>
    <s v="2 Other Operating Costs"/>
    <n v="8471220"/>
    <s v="KUST - Registrar"/>
    <n v="426900"/>
    <x v="51"/>
    <x v="404"/>
    <n v="11000"/>
    <n v="11000"/>
    <m/>
    <m/>
    <m/>
    <n v="11000"/>
    <m/>
    <m/>
    <m/>
    <m/>
    <n v="11000"/>
    <m/>
    <n v="11000"/>
    <n v="11000"/>
    <m/>
    <s v="Y"/>
    <m/>
    <n v="11000"/>
    <n v="0"/>
    <n v="0"/>
    <n v="0"/>
    <n v="11000"/>
    <n v="11000"/>
    <n v="0"/>
    <n v="0"/>
    <s v="847.8471220.1.426900.000000.847001.200179"/>
    <n v="11000"/>
    <n v="0"/>
    <n v="0"/>
    <n v="0"/>
    <n v="11000"/>
    <n v="0"/>
    <n v="0"/>
    <n v="0"/>
    <n v="11000"/>
    <n v="0"/>
    <n v="-11000"/>
  </r>
  <r>
    <x v="3"/>
    <s v="Academic &amp; student service office"/>
    <s v="2 Other Operating Costs"/>
    <n v="8471220"/>
    <s v="KUST - Registrar"/>
    <n v="435340"/>
    <x v="36"/>
    <x v="405"/>
    <n v="9500000"/>
    <n v="9500000"/>
    <n v="4279841.18"/>
    <n v="4852865.17"/>
    <n v="0"/>
    <n v="367293.65000000037"/>
    <m/>
    <m/>
    <m/>
    <m/>
    <n v="367293.65000000037"/>
    <s v="All PRs have been submitted, and no more required in this year."/>
    <n v="367293.65000000037"/>
    <n v="367293.65000000037"/>
    <m/>
    <s v="Y"/>
    <m/>
    <n v="9500000"/>
    <n v="9132706.3499999996"/>
    <n v="0"/>
    <n v="0"/>
    <n v="367293.65000000037"/>
    <n v="367293.65"/>
    <n v="0"/>
    <n v="0"/>
    <s v="847.8471220.1.435340.000000.847001.200179"/>
    <n v="9500000"/>
    <n v="9132706.3499999996"/>
    <n v="0"/>
    <n v="0"/>
    <n v="367293.65"/>
    <n v="0"/>
    <n v="0"/>
    <n v="0"/>
    <n v="367293.65000000037"/>
    <n v="9132706.3499999996"/>
    <n v="8765412.6999999993"/>
  </r>
  <r>
    <x v="3"/>
    <s v="Academic &amp; student service office"/>
    <s v="2 Other Operating Costs"/>
    <n v="8471220"/>
    <s v="KUST - Registrar"/>
    <n v="436110"/>
    <x v="31"/>
    <x v="406"/>
    <n v="300000"/>
    <n v="300000"/>
    <n v="115500"/>
    <n v="0"/>
    <n v="0"/>
    <n v="184500"/>
    <m/>
    <m/>
    <m/>
    <m/>
    <n v="184500"/>
    <s v="All PRs have been submitted and PR - 8471111521 has been submitted on Oct.14 "/>
    <n v="184500"/>
    <n v="184500"/>
    <m/>
    <s v="Y"/>
    <m/>
    <n v="280000"/>
    <n v="115500"/>
    <n v="0"/>
    <n v="15800"/>
    <n v="148700"/>
    <n v="148700"/>
    <n v="0"/>
    <n v="-35800"/>
    <s v="847.8471220.1.436110.000000.847001.200179"/>
    <n v="280000"/>
    <n v="115500"/>
    <n v="0"/>
    <n v="15800"/>
    <n v="148700"/>
    <n v="0"/>
    <n v="0"/>
    <n v="0"/>
    <n v="184500"/>
    <n v="131300"/>
    <n v="-53200"/>
  </r>
  <r>
    <x v="3"/>
    <s v="Academic &amp; student service office"/>
    <s v="2 Other Operating Costs"/>
    <n v="8471220"/>
    <s v="KUST - Registrar"/>
    <n v="436120"/>
    <x v="65"/>
    <x v="407"/>
    <n v="6000"/>
    <n v="6000"/>
    <m/>
    <m/>
    <m/>
    <n v="6000"/>
    <m/>
    <m/>
    <m/>
    <m/>
    <n v="6000"/>
    <m/>
    <n v="6000"/>
    <n v="6000"/>
    <m/>
    <s v="Y"/>
    <m/>
    <n v="6000"/>
    <n v="0"/>
    <n v="0"/>
    <n v="0"/>
    <n v="6000"/>
    <n v="6000"/>
    <n v="0"/>
    <n v="0"/>
    <s v="847.8471220.1.436120.000000.847001.200179"/>
    <n v="6000"/>
    <n v="0"/>
    <n v="0"/>
    <n v="0"/>
    <n v="6000"/>
    <n v="0"/>
    <n v="0"/>
    <n v="0"/>
    <n v="6000"/>
    <n v="0"/>
    <n v="-6000"/>
  </r>
  <r>
    <x v="3"/>
    <s v="Academic &amp; student service office"/>
    <s v="2 Other Operating Costs"/>
    <n v="8471230"/>
    <s v="KUST - Student Enrollment"/>
    <n v="425742"/>
    <x v="75"/>
    <x v="408"/>
    <n v="2000000"/>
    <n v="1247000"/>
    <n v="691086.57"/>
    <n v="92515.74"/>
    <n v="161631.32999999999"/>
    <n v="301766.3600000001"/>
    <m/>
    <m/>
    <m/>
    <s v="Available budget under Enrollment up to now is AED 92,000._x000a_Najah Dubai: AED 180,000_x000a_Social Media Campaign: AED 100,000_x000a_We are expecting AED 200,000 to be transferred from Students Success."/>
    <n v="301766.3600000001"/>
    <m/>
    <n v="301766.3600000001"/>
    <n v="292771.3600000001"/>
    <m/>
    <s v="Y"/>
    <m/>
    <n v="1552520"/>
    <n v="1310063.82"/>
    <n v="0"/>
    <n v="94651.33"/>
    <n v="147804.84999999992"/>
    <n v="147804.85"/>
    <n v="0"/>
    <n v="-153961.51000000018"/>
    <s v="847.8471230.1.425742.000000.847001.200179"/>
    <n v="1552520"/>
    <n v="1366366.08"/>
    <n v="0"/>
    <n v="94651.33"/>
    <n v="91502.589999999895"/>
    <n v="0"/>
    <n v="0"/>
    <n v="8995"/>
    <n v="292771.3600000001"/>
    <n v="1413710.1500000001"/>
    <n v="1177241.05"/>
  </r>
  <r>
    <x v="3"/>
    <s v="Academic &amp; student service office"/>
    <s v="2 Other Operating Costs"/>
    <n v="8471230"/>
    <s v="KUST - Student Enrollment"/>
    <n v="426610"/>
    <x v="8"/>
    <x v="409"/>
    <n v="120000"/>
    <n v="120000"/>
    <n v="14479.23"/>
    <m/>
    <m/>
    <n v="105520.77"/>
    <m/>
    <m/>
    <n v="105521"/>
    <s v="Available budget under Enrollment up to now is AED 92,000._x000a_Najah Dubai: AED 180,000_x000a_Social Media Campaign: AED 100,000_x000a_We are expecting AED 200,000 to be transferred from Students Success."/>
    <n v="-0.22999999999592546"/>
    <m/>
    <n v="-0.22999999999592546"/>
    <n v="-0.22999999999592546"/>
    <m/>
    <s v="Y"/>
    <m/>
    <n v="14480"/>
    <n v="14479.23"/>
    <n v="0"/>
    <n v="0"/>
    <n v="0.77000000000043656"/>
    <n v="0.770000000000437"/>
    <n v="0"/>
    <n v="0.99999999999636202"/>
    <s v="847.8471230.1.426610.000000.847001.200179"/>
    <n v="14480"/>
    <n v="14479.23"/>
    <n v="0"/>
    <n v="0"/>
    <n v="0.770000000000437"/>
    <n v="0"/>
    <n v="0"/>
    <n v="0"/>
    <n v="-0.22999999999592546"/>
    <n v="120000.23"/>
    <n v="120000.45999999999"/>
  </r>
  <r>
    <x v="3"/>
    <s v="Academic &amp; student service office"/>
    <s v="2 Other Operating Costs"/>
    <n v="8471240"/>
    <s v="KUST - Student Success"/>
    <n v="425510"/>
    <x v="5"/>
    <x v="410"/>
    <n v="220000"/>
    <n v="220000"/>
    <n v="51401.25"/>
    <n v="0"/>
    <n v="0"/>
    <n v="168598.75"/>
    <m/>
    <m/>
    <n v="168599"/>
    <m/>
    <n v="-0.25"/>
    <s v="The funds were move in a transfer"/>
    <n v="-0.25"/>
    <n v="-0.25"/>
    <m/>
    <s v="Y"/>
    <m/>
    <n v="85000"/>
    <n v="52661.440000000002"/>
    <n v="0"/>
    <n v="0"/>
    <n v="32338.559999999998"/>
    <n v="32338.560000000001"/>
    <n v="0"/>
    <n v="32338.809999999998"/>
    <s v="847.8471240.1.425510.000000.847001.200179"/>
    <n v="85000"/>
    <n v="67336.44"/>
    <n v="0"/>
    <n v="0"/>
    <n v="16193.56"/>
    <n v="0"/>
    <n v="0"/>
    <n v="0"/>
    <n v="-0.25"/>
    <n v="221260.44"/>
    <n v="235935.69"/>
  </r>
  <r>
    <x v="3"/>
    <s v="Academic &amp; student service office"/>
    <s v="2 Other Operating Costs"/>
    <n v="8471240"/>
    <s v="KUST - Student Success"/>
    <n v="425720"/>
    <x v="37"/>
    <x v="411"/>
    <n v="128000"/>
    <n v="128000"/>
    <m/>
    <m/>
    <m/>
    <n v="128000"/>
    <m/>
    <m/>
    <m/>
    <s v="70, 000 dhs will be transferred.  The remainder will be used to purchase the ILM license."/>
    <n v="128000"/>
    <m/>
    <n v="128000"/>
    <n v="-117500"/>
    <m/>
    <s v="Y"/>
    <m/>
    <n v="228000"/>
    <n v="0"/>
    <n v="0"/>
    <n v="0"/>
    <n v="228000"/>
    <n v="228000"/>
    <n v="0"/>
    <n v="100000"/>
    <s v="847.8471240.1.425720.000000.847001.200179"/>
    <n v="246000"/>
    <n v="0"/>
    <n v="0"/>
    <n v="0"/>
    <n v="246000"/>
    <n v="0"/>
    <n v="245500"/>
    <n v="0"/>
    <n v="-117500"/>
    <n v="245500"/>
    <n v="363000"/>
  </r>
  <r>
    <x v="3"/>
    <s v="Academic &amp; student service office"/>
    <s v="2 Other Operating Costs"/>
    <n v="8471240"/>
    <s v="KUST - Student Success"/>
    <n v="425750"/>
    <x v="76"/>
    <x v="412"/>
    <n v="23000"/>
    <n v="23000"/>
    <m/>
    <m/>
    <m/>
    <n v="23000"/>
    <m/>
    <m/>
    <m/>
    <m/>
    <n v="23000"/>
    <m/>
    <n v="23000"/>
    <n v="23000"/>
    <m/>
    <s v="Y"/>
    <m/>
    <n v="23000"/>
    <n v="0"/>
    <n v="0"/>
    <n v="0"/>
    <n v="23000"/>
    <n v="23000"/>
    <n v="0"/>
    <n v="0"/>
    <s v="847.8471240.1.425750.000000.847001.200179"/>
    <n v="23000"/>
    <n v="0"/>
    <n v="0"/>
    <n v="0"/>
    <n v="23000"/>
    <n v="0"/>
    <n v="0"/>
    <n v="0"/>
    <n v="23000"/>
    <n v="0"/>
    <n v="-23000"/>
  </r>
  <r>
    <x v="3"/>
    <s v="Academic &amp; student service office"/>
    <s v="2 Other Operating Costs"/>
    <n v="8471240"/>
    <s v="KUST - Student Success"/>
    <n v="425761"/>
    <x v="29"/>
    <x v="413"/>
    <n v="800000"/>
    <n v="800000"/>
    <n v="325555.34999999998"/>
    <m/>
    <m/>
    <n v="474444.65"/>
    <m/>
    <m/>
    <n v="474445"/>
    <s v="The funds will be use to pay the summer tuition of students on study abroad.  We are waiting for the invoices from the partner universities."/>
    <n v="-0.34999999997671694"/>
    <m/>
    <n v="-0.34999999997671694"/>
    <n v="-105923.07424999998"/>
    <m/>
    <s v="Y"/>
    <m/>
    <n v="792290"/>
    <n v="325555.34999999998"/>
    <n v="0"/>
    <n v="0"/>
    <n v="466734.65"/>
    <n v="466734.65"/>
    <n v="0"/>
    <n v="466735"/>
    <s v="847.8471240.1.425761.000000.847001.200179"/>
    <n v="792290"/>
    <n v="325555.34999999998"/>
    <n v="0"/>
    <n v="0"/>
    <n v="466734.65"/>
    <n v="0"/>
    <n v="105922.72425"/>
    <n v="0"/>
    <n v="-105923.07424999998"/>
    <n v="905923.07424999995"/>
    <n v="1011846.1484999999"/>
  </r>
  <r>
    <x v="3"/>
    <s v="Academic &amp; student service office"/>
    <s v="2 Other Operating Costs"/>
    <n v="8471240"/>
    <s v="KUST - Student Success"/>
    <n v="425900"/>
    <x v="7"/>
    <x v="414"/>
    <n v="24000"/>
    <n v="24000"/>
    <n v="2294.25"/>
    <m/>
    <m/>
    <n v="21705.75"/>
    <m/>
    <m/>
    <m/>
    <m/>
    <n v="21705.75"/>
    <m/>
    <n v="21705.75"/>
    <n v="21705.75"/>
    <m/>
    <s v="Y"/>
    <m/>
    <n v="24000"/>
    <n v="2682.75"/>
    <n v="0"/>
    <n v="0"/>
    <n v="21317.25"/>
    <n v="21317.25"/>
    <n v="0"/>
    <n v="-388.5"/>
    <s v="847.8471240.1.425900.000000.847001.200179"/>
    <n v="24000"/>
    <n v="7722.75"/>
    <n v="0"/>
    <n v="0"/>
    <n v="16277.25"/>
    <n v="0"/>
    <n v="0"/>
    <n v="0"/>
    <n v="21705.75"/>
    <n v="2682.75"/>
    <n v="-13983"/>
  </r>
  <r>
    <x v="3"/>
    <s v="Academic &amp; student service office"/>
    <s v="2 Other Operating Costs"/>
    <n v="8471240"/>
    <s v="KUST - Student Success"/>
    <n v="426610"/>
    <x v="8"/>
    <x v="415"/>
    <n v="0"/>
    <n v="363000"/>
    <m/>
    <n v="0"/>
    <n v="362782.21"/>
    <n v="217.78999999997905"/>
    <m/>
    <m/>
    <m/>
    <m/>
    <n v="217.78999999997905"/>
    <m/>
    <n v="217.78999999997905"/>
    <n v="217.78999999997905"/>
    <m/>
    <s v="Y"/>
    <m/>
    <n v="363000"/>
    <n v="0"/>
    <n v="0"/>
    <n v="362782.21"/>
    <n v="217.78999999997905"/>
    <n v="217.78999999997899"/>
    <n v="0"/>
    <n v="0"/>
    <s v="847.8471240.1.426610.000000.847001.200179"/>
    <n v="363000"/>
    <n v="145112.88"/>
    <n v="0"/>
    <n v="217669.33"/>
    <n v="217.78999999997899"/>
    <n v="0"/>
    <n v="0"/>
    <n v="0"/>
    <n v="217.78999999997905"/>
    <n v="362782.21"/>
    <n v="362564.42"/>
  </r>
  <r>
    <x v="3"/>
    <s v="Academic &amp; student service office"/>
    <s v="2 Other Operating Costs"/>
    <n v="8471240"/>
    <s v="KUST - Student Success"/>
    <n v="427710"/>
    <x v="13"/>
    <x v="416"/>
    <n v="0"/>
    <n v="11020"/>
    <n v="11019"/>
    <m/>
    <m/>
    <n v="1"/>
    <m/>
    <m/>
    <m/>
    <m/>
    <n v="1"/>
    <m/>
    <n v="1"/>
    <n v="1"/>
    <m/>
    <s v="Y"/>
    <m/>
    <n v="11020"/>
    <n v="11019"/>
    <n v="0"/>
    <n v="0"/>
    <n v="1"/>
    <n v="1"/>
    <n v="0"/>
    <n v="0"/>
    <s v="847.8471240.1.427710.000000.847001.200179"/>
    <n v="11020"/>
    <n v="11019"/>
    <n v="0"/>
    <n v="0"/>
    <n v="1"/>
    <n v="0"/>
    <n v="0"/>
    <n v="0"/>
    <n v="1"/>
    <n v="11019"/>
    <n v="11018"/>
  </r>
  <r>
    <x v="3"/>
    <s v="Academic &amp; student service office"/>
    <s v="2 Other Operating Costs"/>
    <n v="8471240"/>
    <s v="KUST - Student Success"/>
    <n v="428090"/>
    <x v="9"/>
    <x v="417"/>
    <n v="60000"/>
    <n v="12382"/>
    <n v="12381.18"/>
    <m/>
    <m/>
    <n v="0.81999999999970896"/>
    <m/>
    <m/>
    <m/>
    <m/>
    <n v="0.81999999999970896"/>
    <m/>
    <n v="0.81999999999970896"/>
    <n v="0.81999999999970896"/>
    <m/>
    <s v="Y"/>
    <m/>
    <n v="20092"/>
    <n v="20091.18"/>
    <n v="0"/>
    <n v="0"/>
    <n v="0.81999999999970896"/>
    <n v="0.81999999999970896"/>
    <n v="0"/>
    <n v="0"/>
    <s v="847.8471240.1.428090.000000.847001.200179"/>
    <n v="20092"/>
    <n v="20091.18"/>
    <n v="0"/>
    <n v="0"/>
    <n v="0.81999999999970896"/>
    <n v="0"/>
    <n v="0"/>
    <n v="0"/>
    <n v="0.81999999999970896"/>
    <n v="20091.18"/>
    <n v="20090.36"/>
  </r>
  <r>
    <x v="3"/>
    <s v="Academic &amp; student service office"/>
    <s v="2 Other Operating Costs"/>
    <n v="8471240"/>
    <s v="KUST - Student Success"/>
    <n v="428640"/>
    <x v="11"/>
    <x v="418"/>
    <n v="14000"/>
    <n v="7104"/>
    <m/>
    <m/>
    <m/>
    <n v="7104"/>
    <m/>
    <m/>
    <m/>
    <m/>
    <n v="7104"/>
    <m/>
    <n v="7104"/>
    <n v="7104"/>
    <m/>
    <s v="Y"/>
    <m/>
    <n v="7104"/>
    <n v="0"/>
    <n v="0"/>
    <n v="0"/>
    <n v="7104"/>
    <n v="7104"/>
    <n v="0"/>
    <n v="0"/>
    <s v="847.8471240.1.428640.000000.847001.200179"/>
    <n v="7104"/>
    <n v="0"/>
    <n v="0"/>
    <n v="0"/>
    <n v="7104"/>
    <n v="0"/>
    <n v="0"/>
    <n v="0"/>
    <n v="7104"/>
    <n v="0"/>
    <n v="-7104"/>
  </r>
  <r>
    <x v="3"/>
    <s v="Academic &amp; student service office"/>
    <s v="2 Other Operating Costs"/>
    <n v="8471240"/>
    <s v="KUST - Student Success"/>
    <n v="435330"/>
    <x v="77"/>
    <x v="419"/>
    <n v="4750"/>
    <n v="4750"/>
    <m/>
    <m/>
    <m/>
    <n v="4750"/>
    <m/>
    <m/>
    <m/>
    <m/>
    <n v="4750"/>
    <m/>
    <n v="4750"/>
    <n v="4750"/>
    <m/>
    <s v="Y"/>
    <m/>
    <n v="4750"/>
    <n v="0"/>
    <n v="0"/>
    <n v="0"/>
    <n v="4750"/>
    <n v="4750"/>
    <n v="0"/>
    <n v="0"/>
    <s v="847.8471240.1.435330.000000.847001.200179"/>
    <n v="4750"/>
    <n v="0"/>
    <n v="0"/>
    <n v="0"/>
    <n v="4750"/>
    <n v="0"/>
    <n v="0"/>
    <n v="0"/>
    <n v="4750"/>
    <n v="0"/>
    <n v="-4750"/>
  </r>
  <r>
    <x v="3"/>
    <s v="Academic &amp; student service office"/>
    <s v="2 Other Operating Costs"/>
    <n v="8471240"/>
    <s v="KUST - Student Success"/>
    <n v="436110"/>
    <x v="31"/>
    <x v="420"/>
    <n v="42000"/>
    <n v="42000"/>
    <m/>
    <m/>
    <m/>
    <n v="42000"/>
    <m/>
    <m/>
    <m/>
    <m/>
    <n v="42000"/>
    <m/>
    <n v="42000"/>
    <n v="42000"/>
    <m/>
    <s v="Y"/>
    <m/>
    <n v="12000"/>
    <n v="0"/>
    <n v="0"/>
    <n v="0"/>
    <n v="12000"/>
    <n v="12000"/>
    <n v="0"/>
    <n v="-30000"/>
    <s v="847.8471240.1.436110.000000.847001.200179"/>
    <n v="12000"/>
    <n v="0"/>
    <n v="0"/>
    <n v="0"/>
    <n v="12000"/>
    <n v="0"/>
    <n v="0"/>
    <n v="0"/>
    <n v="42000"/>
    <n v="0"/>
    <n v="-42000"/>
  </r>
  <r>
    <x v="3"/>
    <s v="Academic &amp; student service office"/>
    <s v="2 Other Operating Costs"/>
    <n v="8471240"/>
    <s v="KUST - Student Success"/>
    <n v="436120"/>
    <x v="65"/>
    <x v="421"/>
    <n v="35000"/>
    <n v="25000"/>
    <m/>
    <m/>
    <m/>
    <n v="25000"/>
    <m/>
    <m/>
    <m/>
    <m/>
    <n v="25000"/>
    <m/>
    <n v="25000"/>
    <n v="25000"/>
    <m/>
    <s v="Y"/>
    <m/>
    <n v="25000"/>
    <n v="0"/>
    <n v="0"/>
    <n v="0"/>
    <n v="25000"/>
    <n v="25000"/>
    <n v="0"/>
    <n v="0"/>
    <s v="847.8471240.1.436120.000000.847001.200179"/>
    <n v="25000"/>
    <n v="0"/>
    <n v="0"/>
    <n v="0"/>
    <n v="25000"/>
    <n v="0"/>
    <n v="0"/>
    <n v="0"/>
    <n v="25000"/>
    <n v="0"/>
    <n v="-25000"/>
  </r>
  <r>
    <x v="3"/>
    <s v="Academic &amp; student service office"/>
    <s v="2 Other Operating Costs"/>
    <n v="8471250"/>
    <s v="KUST - Career Services"/>
    <n v="425510"/>
    <x v="5"/>
    <x v="422"/>
    <n v="317500"/>
    <n v="830600"/>
    <n v="67500"/>
    <n v="734500"/>
    <n v="0"/>
    <n v="28600"/>
    <m/>
    <n v="28600"/>
    <m/>
    <s v="This amount will be used to cover some expenses for upcoming events (Career Fair, Employer recognition ceremony and Alumni Reunion)"/>
    <n v="0"/>
    <m/>
    <n v="0"/>
    <n v="-4725"/>
    <m/>
    <s v="Y"/>
    <m/>
    <n v="880600"/>
    <n v="112850"/>
    <n v="365000"/>
    <n v="358865"/>
    <n v="43885"/>
    <n v="43885"/>
    <n v="0"/>
    <n v="43885"/>
    <s v="847.8471250.1.425510.000000.847001.200179"/>
    <n v="992474"/>
    <n v="471715"/>
    <n v="365000"/>
    <n v="0"/>
    <n v="155759"/>
    <n v="0"/>
    <n v="4725"/>
    <n v="0"/>
    <n v="-4725"/>
    <n v="841440"/>
    <n v="846165"/>
  </r>
  <r>
    <x v="3"/>
    <s v="Academic &amp; student service office"/>
    <s v="2 Other Operating Costs"/>
    <n v="8471250"/>
    <s v="KUST - Career Services"/>
    <n v="425762"/>
    <x v="30"/>
    <x v="423"/>
    <n v="520000"/>
    <n v="520000"/>
    <n v="398977.51"/>
    <m/>
    <m/>
    <n v="121022.48999999999"/>
    <m/>
    <n v="127674.49"/>
    <m/>
    <s v="This amuont will be used to cover any pending expenses for the international internships.  It will also be used to cover BIPA program"/>
    <n v="-6652.0000000000146"/>
    <m/>
    <m/>
    <n v="0"/>
    <n v="6652.0000000000146"/>
    <s v="Y"/>
    <m/>
    <n v="520000"/>
    <n v="443183.95"/>
    <n v="0"/>
    <n v="0"/>
    <n v="76816.049999999988"/>
    <n v="76816.05"/>
    <n v="0"/>
    <n v="76816.049999999988"/>
    <s v="847.8471250.1.425762.000000.847001.200179"/>
    <n v="462420"/>
    <n v="462418.95"/>
    <n v="0"/>
    <n v="0"/>
    <n v="1.0499999999865399"/>
    <n v="0"/>
    <n v="0"/>
    <n v="0"/>
    <n v="0"/>
    <n v="443183.95"/>
    <n v="469070.95"/>
  </r>
  <r>
    <x v="3"/>
    <s v="Academic &amp; student service office"/>
    <s v="2 Other Operating Costs"/>
    <n v="8471250"/>
    <s v="KUST - Career Services"/>
    <n v="425900"/>
    <x v="7"/>
    <x v="424"/>
    <n v="51000"/>
    <n v="51000"/>
    <m/>
    <m/>
    <m/>
    <n v="51000"/>
    <m/>
    <n v="51000"/>
    <m/>
    <s v="To be used to cover events and other expenses"/>
    <n v="0"/>
    <m/>
    <n v="0"/>
    <n v="0"/>
    <m/>
    <s v="Y"/>
    <m/>
    <n v="1000"/>
    <n v="0"/>
    <n v="0"/>
    <n v="0"/>
    <n v="1000"/>
    <n v="1000"/>
    <n v="0"/>
    <n v="1000"/>
    <s v="847.8471250.1.425900.000000.847001.200179"/>
    <n v="31400"/>
    <n v="31400"/>
    <n v="0"/>
    <n v="0"/>
    <n v="0"/>
    <n v="0"/>
    <n v="0"/>
    <n v="0"/>
    <n v="0"/>
    <n v="0"/>
    <n v="31400"/>
  </r>
  <r>
    <x v="3"/>
    <s v="Academic &amp; student service office"/>
    <s v="2 Other Operating Costs"/>
    <n v="8471250"/>
    <s v="KUST - Career Services"/>
    <n v="426610"/>
    <x v="8"/>
    <x v="425"/>
    <n v="60608"/>
    <n v="60608"/>
    <m/>
    <n v="0"/>
    <n v="60604.5"/>
    <n v="3.5"/>
    <m/>
    <m/>
    <m/>
    <m/>
    <n v="3.5"/>
    <s v="Extra amount left after paying the software renewal"/>
    <n v="3.5"/>
    <n v="3.5"/>
    <m/>
    <s v="Y"/>
    <m/>
    <n v="60608"/>
    <n v="60604.5"/>
    <n v="0"/>
    <n v="0"/>
    <n v="3.5"/>
    <n v="3.5"/>
    <n v="0"/>
    <n v="0"/>
    <s v="847.8471250.1.426610.000000.847001.200179"/>
    <n v="60608"/>
    <n v="60604.5"/>
    <n v="0"/>
    <n v="0"/>
    <n v="3.5"/>
    <n v="0"/>
    <n v="0"/>
    <n v="0"/>
    <n v="3.5"/>
    <n v="60604.5"/>
    <n v="60601"/>
  </r>
  <r>
    <x v="3"/>
    <s v="Academic &amp; student service office"/>
    <s v="2 Other Operating Costs"/>
    <n v="8471250"/>
    <s v="KUST - Career Services"/>
    <n v="428090"/>
    <x v="9"/>
    <x v="426"/>
    <n v="0"/>
    <n v="10000"/>
    <n v="4400"/>
    <m/>
    <m/>
    <n v="5600"/>
    <m/>
    <m/>
    <n v="5600"/>
    <s v="Will be used in case of business travel"/>
    <n v="0"/>
    <m/>
    <n v="0"/>
    <n v="0"/>
    <m/>
    <s v="Y"/>
    <m/>
    <n v="10000"/>
    <n v="5935"/>
    <n v="0"/>
    <n v="0"/>
    <n v="4065"/>
    <n v="4065"/>
    <n v="0"/>
    <n v="4065"/>
    <s v="847.8471250.1.428090.000000.847001.200179"/>
    <n v="7536"/>
    <n v="7535"/>
    <n v="0"/>
    <n v="0"/>
    <n v="1"/>
    <n v="0"/>
    <n v="0"/>
    <n v="0"/>
    <n v="0"/>
    <n v="11535"/>
    <n v="13135"/>
  </r>
  <r>
    <x v="3"/>
    <s v="Academic &amp; student service office"/>
    <s v="2 Other Operating Costs"/>
    <n v="8471250"/>
    <s v="KUST - Career Services"/>
    <n v="428640"/>
    <x v="11"/>
    <x v="427"/>
    <n v="46500"/>
    <n v="70001"/>
    <m/>
    <m/>
    <m/>
    <n v="70001"/>
    <m/>
    <n v="70001"/>
    <m/>
    <s v="Will be used for the Alumni Reunion event to purchase giveaways"/>
    <n v="0"/>
    <m/>
    <n v="0"/>
    <n v="0"/>
    <m/>
    <s v="Y"/>
    <m/>
    <n v="1"/>
    <n v="0"/>
    <n v="0"/>
    <n v="0"/>
    <n v="1"/>
    <n v="1"/>
    <n v="0"/>
    <n v="1"/>
    <s v="847.8471250.1.428640.000000.847001.200179"/>
    <n v="1"/>
    <n v="0"/>
    <n v="0"/>
    <n v="0"/>
    <n v="1"/>
    <n v="0"/>
    <n v="0"/>
    <n v="0"/>
    <n v="0"/>
    <n v="0"/>
    <n v="0"/>
  </r>
  <r>
    <x v="3"/>
    <s v="Academic &amp; student service office"/>
    <s v="2 Other Operating Costs"/>
    <n v="8471250"/>
    <s v="KUST - Career Services"/>
    <n v="436110"/>
    <x v="31"/>
    <x v="428"/>
    <n v="10000"/>
    <n v="10000"/>
    <m/>
    <m/>
    <m/>
    <n v="10000"/>
    <m/>
    <m/>
    <n v="10000"/>
    <s v="To be used to cover printing expenses for upcoming events "/>
    <n v="0"/>
    <m/>
    <n v="0"/>
    <n v="-12167.5"/>
    <m/>
    <s v="Y"/>
    <m/>
    <n v="10000"/>
    <n v="0"/>
    <n v="0"/>
    <n v="0"/>
    <n v="10000"/>
    <n v="10000"/>
    <n v="0"/>
    <n v="10000"/>
    <s v="847.8471250.1.436110.000000.847001.200179"/>
    <n v="12170"/>
    <n v="0"/>
    <n v="0"/>
    <n v="0"/>
    <n v="12170"/>
    <n v="0"/>
    <n v="12167.5"/>
    <n v="0"/>
    <n v="-12167.5"/>
    <n v="22167.5"/>
    <n v="34335"/>
  </r>
  <r>
    <x v="3"/>
    <s v="Academic &amp; student service office"/>
    <s v="2 Other Operating Costs"/>
    <n v="8471260"/>
    <s v="KUST - Student Life"/>
    <n v="421100"/>
    <x v="41"/>
    <x v="429"/>
    <n v="2058000"/>
    <n v="353000"/>
    <n v="352238.57"/>
    <m/>
    <m/>
    <n v="761.42999999999302"/>
    <n v="0"/>
    <n v="0"/>
    <n v="0"/>
    <n v="0"/>
    <n v="761.42999999999302"/>
    <s v="N/A"/>
    <n v="761.42999999999302"/>
    <n v="761.42999999999302"/>
    <m/>
    <s v="Y"/>
    <m/>
    <n v="353000"/>
    <n v="352238.57"/>
    <n v="0"/>
    <n v="0"/>
    <n v="761.42999999999302"/>
    <n v="761.42999999999302"/>
    <n v="0"/>
    <n v="0"/>
    <s v="847.8471260.1.421100.000000.847001.200179"/>
    <n v="353000"/>
    <n v="352238.57"/>
    <n v="0"/>
    <n v="0"/>
    <n v="761.42999999999302"/>
    <n v="0"/>
    <n v="0"/>
    <n v="0"/>
    <n v="761.42999999999302"/>
    <n v="352238.57"/>
    <n v="351477.14"/>
  </r>
  <r>
    <x v="3"/>
    <s v="Academic &amp; student service office"/>
    <s v="2 Other Operating Costs"/>
    <n v="8471260"/>
    <s v="KUST - Student Life"/>
    <n v="425510"/>
    <x v="5"/>
    <x v="430"/>
    <n v="205000"/>
    <n v="105000"/>
    <n v="77273.75"/>
    <n v="0"/>
    <n v="0"/>
    <n v="27726.25"/>
    <n v="0"/>
    <n v="27726"/>
    <n v="0"/>
    <s v="National Day Event &amp; Gathering"/>
    <n v="0.25"/>
    <m/>
    <n v="0.25"/>
    <n v="0.25"/>
    <m/>
    <s v="Y"/>
    <m/>
    <n v="105000"/>
    <n v="98773.75"/>
    <n v="0"/>
    <n v="0"/>
    <n v="6226.25"/>
    <n v="6226.25"/>
    <n v="0"/>
    <n v="6226"/>
    <s v="847.8471260.1.425510.000000.847001.200179"/>
    <n v="99000"/>
    <n v="98773.75"/>
    <n v="0"/>
    <n v="0"/>
    <n v="226.25"/>
    <n v="0"/>
    <n v="0"/>
    <n v="0"/>
    <n v="0.25"/>
    <n v="98773.75"/>
    <n v="98773.5"/>
  </r>
  <r>
    <x v="3"/>
    <s v="Academic &amp; student service office"/>
    <s v="2 Other Operating Costs"/>
    <n v="8471260"/>
    <s v="KUST - Student Life"/>
    <n v="425746"/>
    <x v="78"/>
    <x v="431"/>
    <n v="9349361"/>
    <n v="9349361"/>
    <n v="-58814.48"/>
    <m/>
    <n v="662298.51"/>
    <n v="8745876.9700000007"/>
    <n v="9967605.25"/>
    <n v="1143175.75"/>
    <n v="1143175.75"/>
    <s v="In October, we will process pending invoices  for the Q1 &amp; Q2 &amp; Q3 and Oct. "/>
    <n v="-5300000"/>
    <s v="Student Transport Expected Shortage is AED 5,300,000"/>
    <m/>
    <n v="0"/>
    <n v="5300000"/>
    <s v="Y"/>
    <m/>
    <n v="9349361"/>
    <n v="-58814.48"/>
    <n v="0"/>
    <n v="9407298.5099999998"/>
    <n v="876.97000000067055"/>
    <n v="876.97000000067101"/>
    <n v="0"/>
    <n v="876.97000000067055"/>
    <s v="847.8471260.1.425746.000000.847001.200179"/>
    <n v="9349361"/>
    <n v="98990.26"/>
    <n v="0"/>
    <n v="8745000"/>
    <n v="505370.74"/>
    <n v="0"/>
    <n v="0"/>
    <n v="0"/>
    <n v="0"/>
    <n v="10491659.779999999"/>
    <n v="15287166.01"/>
  </r>
  <r>
    <x v="3"/>
    <s v="Academic &amp; student service office"/>
    <s v="2 Other Operating Costs"/>
    <n v="8471260"/>
    <s v="KUST - Student Life"/>
    <n v="425747"/>
    <x v="54"/>
    <x v="432"/>
    <n v="225000"/>
    <n v="410000"/>
    <n v="85680"/>
    <n v="230400"/>
    <n v="81632"/>
    <n v="12288"/>
    <m/>
    <n v="12288"/>
    <m/>
    <s v="Social events in the dorm  "/>
    <n v="0"/>
    <s v="N/A"/>
    <n v="0"/>
    <n v="0"/>
    <m/>
    <s v="Y"/>
    <m/>
    <n v="397712"/>
    <n v="397712"/>
    <n v="0"/>
    <n v="0"/>
    <n v="0"/>
    <n v="0"/>
    <n v="0"/>
    <n v="0"/>
    <s v="847.8471260.1.425747.000000.847001.200179"/>
    <n v="586812"/>
    <n v="401793.6"/>
    <n v="0"/>
    <n v="0"/>
    <n v="185018.4"/>
    <n v="0"/>
    <n v="0"/>
    <n v="0"/>
    <n v="0"/>
    <n v="397712"/>
    <n v="401793.6"/>
  </r>
  <r>
    <x v="3"/>
    <s v="Academic &amp; student service office"/>
    <s v="2 Other Operating Costs"/>
    <n v="8471260"/>
    <s v="KUST - Student Life"/>
    <n v="425760"/>
    <x v="35"/>
    <x v="433"/>
    <n v="936870"/>
    <n v="703970"/>
    <n v="279636.98"/>
    <n v="238050"/>
    <n v="62469.05"/>
    <n v="123813.97000000002"/>
    <n v="56907"/>
    <n v="61907"/>
    <n v="5000"/>
    <s v="_WRO Competition. National Day Event "/>
    <n v="-2.9999999984283932E-2"/>
    <s v="N/A"/>
    <n v="-2.9999999984283932E-2"/>
    <n v="-15854.839999999984"/>
    <m/>
    <s v="Y"/>
    <m/>
    <n v="703970"/>
    <n v="442827.3"/>
    <n v="25000"/>
    <n v="33450"/>
    <n v="202692.7"/>
    <n v="202692.7"/>
    <n v="0"/>
    <n v="202692.72999999998"/>
    <s v="847.8471260.1.425760.000000.847001.200179"/>
    <n v="575970"/>
    <n v="457648.93"/>
    <n v="0"/>
    <n v="47450"/>
    <n v="70871.069999999905"/>
    <n v="8586.91"/>
    <n v="7267.9"/>
    <n v="0"/>
    <n v="-15854.839999999984"/>
    <n v="522132.11"/>
    <n v="541808.57999999996"/>
  </r>
  <r>
    <x v="3"/>
    <s v="Academic &amp; student service office"/>
    <s v="2 Other Operating Costs"/>
    <n v="8471260"/>
    <s v="KUST - Student Life"/>
    <n v="425900"/>
    <x v="7"/>
    <x v="434"/>
    <n v="70800"/>
    <n v="126700"/>
    <n v="117403.98"/>
    <n v="0"/>
    <n v="0"/>
    <n v="9296.0200000000041"/>
    <n v="4634.5"/>
    <n v="4662"/>
    <n v="0"/>
    <s v="_catering requests for small events"/>
    <n v="-0.47999999999592546"/>
    <s v="N/A"/>
    <n v="-0.47999999999592546"/>
    <n v="-0.47999999999592546"/>
    <m/>
    <s v="Y"/>
    <m/>
    <n v="138988"/>
    <n v="135585.60000000001"/>
    <n v="0"/>
    <n v="0"/>
    <n v="3402.3999999999942"/>
    <n v="3402.4000000000301"/>
    <n v="-3.5925040720030665E-11"/>
    <n v="3402.8799999999901"/>
    <s v="847.8471260.1.425900.000000.847001.200179"/>
    <n v="144988"/>
    <n v="137684.41"/>
    <n v="0"/>
    <n v="0"/>
    <n v="6253.59"/>
    <n v="0"/>
    <n v="0"/>
    <n v="0"/>
    <n v="-0.47999999999592546"/>
    <n v="135585.60000000001"/>
    <n v="137684.89000000001"/>
  </r>
  <r>
    <x v="3"/>
    <s v="Academic &amp; student service office"/>
    <s v="2 Other Operating Costs"/>
    <n v="8471260"/>
    <s v="KUST - Student Life"/>
    <n v="428640"/>
    <x v="11"/>
    <x v="435"/>
    <n v="32500"/>
    <n v="63492"/>
    <n v="53454.94"/>
    <n v="0"/>
    <n v="0"/>
    <n v="10037.059999999998"/>
    <n v="5000"/>
    <n v="5037"/>
    <m/>
    <s v="_It will used to purchase gifts and prizes, trophies and medals for competitions and events "/>
    <n v="5.9999999997671694E-2"/>
    <s v="N/A"/>
    <n v="5.9999999997671694E-2"/>
    <n v="5.9999999997671694E-2"/>
    <m/>
    <s v="Y"/>
    <m/>
    <n v="63492"/>
    <n v="61287.44"/>
    <n v="0"/>
    <n v="0"/>
    <n v="2204.5599999999977"/>
    <n v="2204.5600000000099"/>
    <n v="-1.2278178473934531E-11"/>
    <n v="2204.5"/>
    <s v="847.8471260.1.428640.000000.847001.200179"/>
    <n v="63492"/>
    <n v="61287.44"/>
    <n v="0"/>
    <n v="0"/>
    <n v="2204.5600000000099"/>
    <n v="0"/>
    <n v="0"/>
    <n v="0"/>
    <n v="5.9999999997671694E-2"/>
    <n v="61287.44"/>
    <n v="61287.380000000005"/>
  </r>
  <r>
    <x v="3"/>
    <s v="Academic &amp; student service office"/>
    <s v="2 Other Operating Costs"/>
    <n v="8471260"/>
    <s v="KUST - Student Life"/>
    <n v="435530"/>
    <x v="79"/>
    <x v="436"/>
    <n v="12000"/>
    <n v="117000"/>
    <n v="54546.5"/>
    <n v="0"/>
    <n v="48600"/>
    <n v="13853.5"/>
    <n v="6926.75"/>
    <n v="6926.75"/>
    <m/>
    <s v="_ It will be used for music items and arts. "/>
    <n v="0"/>
    <s v="N/A"/>
    <n v="0"/>
    <n v="0"/>
    <m/>
    <s v="Y"/>
    <m/>
    <n v="117000"/>
    <n v="106121.25"/>
    <n v="9050"/>
    <n v="0"/>
    <n v="1828.75"/>
    <n v="1828.74999999999"/>
    <n v="1.0004441719502211E-11"/>
    <n v="1828.75"/>
    <s v="847.8471260.1.435530.000000.847001.200179"/>
    <n v="117000"/>
    <n v="106121.25"/>
    <n v="0"/>
    <n v="9050"/>
    <n v="1828.74999999999"/>
    <n v="0"/>
    <n v="0"/>
    <n v="0"/>
    <n v="0"/>
    <n v="115171.25"/>
    <n v="115171.25"/>
  </r>
  <r>
    <x v="3"/>
    <s v="Academic &amp; student service office"/>
    <s v="2 Other Operating Costs"/>
    <n v="8471260"/>
    <s v="KUST - Student Life"/>
    <n v="436110"/>
    <x v="31"/>
    <x v="437"/>
    <n v="13500"/>
    <n v="13500"/>
    <n v="1620.23"/>
    <m/>
    <m/>
    <n v="11879.77"/>
    <n v="7800"/>
    <n v="4080"/>
    <m/>
    <s v="_It will be used to print out welcoming notes to KU Residents_ Roll-ups and Flyers for the Orientation Printing Materials &amp; posters for Club Day and National Day "/>
    <n v="-0.22999999999956344"/>
    <s v="N/A"/>
    <n v="-0.22999999999956344"/>
    <n v="-4234.8799999999992"/>
    <m/>
    <s v="Y"/>
    <m/>
    <n v="13500"/>
    <n v="7039.73"/>
    <n v="0"/>
    <n v="0"/>
    <n v="6460.27"/>
    <n v="6460.27"/>
    <n v="0"/>
    <n v="6460.5"/>
    <s v="847.8471260.1.436110.000000.847001.200179"/>
    <n v="13500"/>
    <n v="7039.73"/>
    <n v="0"/>
    <n v="0"/>
    <n v="6460.27"/>
    <n v="0"/>
    <n v="4234.6499999999996"/>
    <n v="0"/>
    <n v="-4234.8799999999992"/>
    <n v="11274.38"/>
    <n v="15509.259999999998"/>
  </r>
  <r>
    <x v="3"/>
    <s v="Academic &amp; student service office"/>
    <s v="2 Other Operating Costs"/>
    <n v="8471270"/>
    <s v="KUST - Libraries"/>
    <n v="425900"/>
    <x v="7"/>
    <x v="438"/>
    <n v="50000"/>
    <n v="50000"/>
    <m/>
    <m/>
    <m/>
    <n v="50000"/>
    <m/>
    <m/>
    <m/>
    <m/>
    <n v="50000"/>
    <s v="Amount to hold for the upcoming events such as author workshops, OA events  "/>
    <n v="50000"/>
    <n v="50000"/>
    <m/>
    <s v="Y"/>
    <m/>
    <n v="50000"/>
    <n v="0"/>
    <n v="0"/>
    <n v="0"/>
    <n v="50000"/>
    <n v="50000"/>
    <n v="0"/>
    <n v="0"/>
    <s v="847.8471270.1.425900.000000.847001.200179"/>
    <n v="15000"/>
    <n v="0"/>
    <n v="0"/>
    <n v="0"/>
    <n v="12039"/>
    <n v="0"/>
    <n v="0"/>
    <n v="0"/>
    <n v="50000"/>
    <n v="0"/>
    <n v="-50000"/>
  </r>
  <r>
    <x v="3"/>
    <s v="Academic &amp; student service office"/>
    <s v="2 Other Operating Costs"/>
    <n v="8471270"/>
    <s v="KUST - Libraries"/>
    <n v="428090"/>
    <x v="9"/>
    <x v="439"/>
    <n v="300000"/>
    <n v="81738"/>
    <m/>
    <m/>
    <m/>
    <n v="81738"/>
    <m/>
    <m/>
    <n v="81738"/>
    <m/>
    <n v="0"/>
    <s v="Amout needed for the upcoming  professional development conferences ALA, SLA &amp; IFLA  "/>
    <n v="0"/>
    <n v="0"/>
    <m/>
    <s v="Y"/>
    <m/>
    <n v="81738"/>
    <n v="0"/>
    <n v="0"/>
    <n v="0"/>
    <n v="81738"/>
    <n v="81738"/>
    <n v="0"/>
    <n v="81738"/>
    <s v="847.8471270.1.428090.000000.847001.200179"/>
    <n v="81738"/>
    <n v="0"/>
    <n v="0"/>
    <n v="0"/>
    <n v="81738"/>
    <n v="0"/>
    <n v="0"/>
    <n v="0"/>
    <n v="0"/>
    <n v="81738"/>
    <n v="81738"/>
  </r>
  <r>
    <x v="3"/>
    <s v="Academic &amp; student service office"/>
    <s v="2 Other Operating Costs"/>
    <n v="8471270"/>
    <s v="KUST - Libraries"/>
    <n v="435330"/>
    <x v="77"/>
    <x v="440"/>
    <n v="15199430"/>
    <n v="15139430"/>
    <n v="12767176.51"/>
    <n v="1073562.97"/>
    <n v="1053366.4099999999"/>
    <n v="245324.11000000034"/>
    <m/>
    <m/>
    <n v="245324"/>
    <m/>
    <n v="0.11000000033527613"/>
    <s v="Amount needed to hold for pending payments to ACM ( 2021), ALMA ( 2022 project completion) and credit card purchases (50,000) for ILL Total amount 271,520 AED. "/>
    <n v="0.11000000033527613"/>
    <n v="0.11000000033527613"/>
    <m/>
    <s v="Y"/>
    <m/>
    <n v="15139430"/>
    <n v="13396190.74"/>
    <n v="816172.97"/>
    <n v="731910.63"/>
    <n v="195155.6599999998"/>
    <n v="195155.65999999701"/>
    <n v="2.7939677238464355E-9"/>
    <n v="195155.54999999946"/>
    <s v="847.8471270.1.435330.000000.847001.200179"/>
    <n v="15139430"/>
    <n v="13533104.15"/>
    <n v="73143.000000000495"/>
    <n v="1305980.06"/>
    <n v="227202.78999999599"/>
    <n v="0"/>
    <n v="0"/>
    <n v="0"/>
    <n v="0.11000000033527613"/>
    <n v="15189598.340000002"/>
    <n v="15157551.100000001"/>
  </r>
  <r>
    <x v="3"/>
    <s v="Academic &amp; student service office"/>
    <s v="2 Other Operating Costs"/>
    <n v="8471270"/>
    <s v="KUST - Libraries"/>
    <n v="436110"/>
    <x v="31"/>
    <x v="441"/>
    <n v="50000"/>
    <n v="50000"/>
    <m/>
    <m/>
    <m/>
    <n v="50000"/>
    <m/>
    <m/>
    <m/>
    <m/>
    <n v="50000"/>
    <s v="Amout to hold for stationery purchases 50,000AED"/>
    <n v="50000"/>
    <n v="50000"/>
    <m/>
    <s v="Y"/>
    <m/>
    <n v="50000"/>
    <n v="0"/>
    <n v="0"/>
    <n v="0"/>
    <n v="50000"/>
    <n v="50000"/>
    <n v="0"/>
    <n v="0"/>
    <s v="847.8471270.1.436110.000000.847001.200179"/>
    <n v="10000"/>
    <n v="0"/>
    <n v="0"/>
    <n v="0"/>
    <n v="10000"/>
    <n v="0"/>
    <n v="0"/>
    <n v="0"/>
    <n v="50000"/>
    <n v="0"/>
    <n v="-50000"/>
  </r>
  <r>
    <x v="3"/>
    <s v="Academic &amp; student service office"/>
    <s v="2 Other Operating Costs"/>
    <n v="8471280"/>
    <s v="KUST - Center for Teaching &amp; Learning"/>
    <n v="425100"/>
    <x v="14"/>
    <x v="442"/>
    <n v="2500"/>
    <n v="2500"/>
    <m/>
    <m/>
    <m/>
    <n v="2500"/>
    <n v="2500"/>
    <m/>
    <m/>
    <s v="CTL brochure to finalized on Fall 2022"/>
    <n v="0"/>
    <m/>
    <n v="0"/>
    <n v="0"/>
    <m/>
    <s v="Y"/>
    <m/>
    <n v="2500"/>
    <n v="0"/>
    <n v="0"/>
    <n v="0"/>
    <n v="2500"/>
    <n v="2500"/>
    <n v="0"/>
    <n v="2500"/>
    <s v="847.8471280.1.425100.000000.847001.200179"/>
    <n v="2500"/>
    <n v="0"/>
    <n v="0"/>
    <n v="0"/>
    <n v="2500"/>
    <n v="0"/>
    <n v="0"/>
    <n v="0"/>
    <n v="0"/>
    <n v="0"/>
    <n v="0"/>
  </r>
  <r>
    <x v="3"/>
    <s v="Academic &amp; student service office"/>
    <s v="2 Other Operating Costs"/>
    <n v="8471280"/>
    <s v="KUST - Center for Teaching &amp; Learning"/>
    <n v="425510"/>
    <x v="5"/>
    <x v="443"/>
    <n v="30000"/>
    <n v="98500"/>
    <n v="27665.17"/>
    <m/>
    <m/>
    <n v="70834.83"/>
    <n v="75840"/>
    <m/>
    <m/>
    <s v="PD week guest speakers' honorarium, food catering for Fall 2022 - In process. "/>
    <n v="-5005.1699999999983"/>
    <s v="More funds have been transferred recently from Acedemic Missions account."/>
    <m/>
    <n v="0"/>
    <n v="5005.1699999999983"/>
    <s v="Y"/>
    <m/>
    <n v="157078"/>
    <n v="120344.87"/>
    <n v="0"/>
    <n v="0"/>
    <n v="36733.130000000005"/>
    <n v="36733.129999999997"/>
    <n v="0"/>
    <n v="36733.130000000005"/>
    <s v="847.8471280.1.425510.000000.847001.200179"/>
    <n v="157078"/>
    <n v="129204.37"/>
    <n v="0"/>
    <n v="0"/>
    <n v="26928.63"/>
    <n v="0"/>
    <n v="0"/>
    <n v="0"/>
    <n v="0"/>
    <n v="120344.87"/>
    <n v="134209.53999999998"/>
  </r>
  <r>
    <x v="3"/>
    <s v="Academic &amp; student service office"/>
    <s v="2 Other Operating Costs"/>
    <n v="8471280"/>
    <s v="KUST - Center for Teaching &amp; Learning"/>
    <n v="425550"/>
    <x v="6"/>
    <x v="444"/>
    <n v="60000"/>
    <n v="60000"/>
    <n v="28416.86"/>
    <m/>
    <m/>
    <n v="31583.14"/>
    <n v="25700"/>
    <n v="21683.14"/>
    <m/>
    <s v="Conferences in the Fall 2022 - In process"/>
    <n v="-15800"/>
    <m/>
    <m/>
    <n v="0"/>
    <n v="15800"/>
    <s v="Y"/>
    <m/>
    <n v="60000"/>
    <n v="28416.86"/>
    <n v="0"/>
    <n v="0"/>
    <n v="31583.14"/>
    <n v="31583.14"/>
    <n v="0"/>
    <n v="31583.14"/>
    <s v="847.8471280.1.425550.000000.847001.200179"/>
    <n v="60000"/>
    <n v="28416.86"/>
    <n v="0"/>
    <n v="0"/>
    <n v="31583.14"/>
    <n v="0"/>
    <n v="0"/>
    <n v="0"/>
    <n v="0"/>
    <n v="28416.86"/>
    <n v="44216.86"/>
  </r>
  <r>
    <x v="3"/>
    <s v="Academic &amp; student service office"/>
    <s v="2 Other Operating Costs"/>
    <n v="8471280"/>
    <s v="KUST - Center for Teaching &amp; Learning"/>
    <n v="425710"/>
    <x v="80"/>
    <x v="445"/>
    <n v="0"/>
    <n v="300000"/>
    <m/>
    <m/>
    <m/>
    <n v="300000"/>
    <n v="366666"/>
    <m/>
    <m/>
    <s v="Teaching Awards Payment, Mini-grants payment, Advance HE Accreditation "/>
    <n v="-66666"/>
    <s v="More funds have been transferred recently from Building Decoration account"/>
    <m/>
    <n v="-120000"/>
    <n v="66666"/>
    <s v="Y"/>
    <m/>
    <n v="200000"/>
    <n v="57500"/>
    <n v="0"/>
    <n v="0"/>
    <n v="142500"/>
    <n v="142500"/>
    <n v="0"/>
    <n v="142500"/>
    <s v="847.8471280.1.425710.000000.847001.200179"/>
    <n v="200000"/>
    <n v="157500"/>
    <n v="0"/>
    <n v="0"/>
    <n v="42500"/>
    <n v="0"/>
    <n v="120000"/>
    <n v="0"/>
    <n v="-120000"/>
    <n v="177500"/>
    <n v="464166"/>
  </r>
  <r>
    <x v="3"/>
    <s v="Academic &amp; student service office"/>
    <s v="2 Other Operating Costs"/>
    <n v="8471280"/>
    <s v="KUST - Center for Teaching &amp; Learning"/>
    <n v="425760"/>
    <x v="35"/>
    <x v="446"/>
    <n v="30000"/>
    <n v="30000"/>
    <m/>
    <m/>
    <m/>
    <n v="30000"/>
    <n v="20000"/>
    <n v="10000"/>
    <m/>
    <s v="Experiential Learning Symposium &amp; Musabaqat Competition (website, fliers, roll-ups, catering, award, medals, and prizes)"/>
    <n v="0"/>
    <m/>
    <n v="0"/>
    <n v="0"/>
    <m/>
    <s v="Y"/>
    <m/>
    <n v="30000"/>
    <n v="3000"/>
    <n v="0"/>
    <n v="0"/>
    <n v="27000"/>
    <n v="27000"/>
    <n v="0"/>
    <n v="27000"/>
    <s v="847.8471280.1.425760.000000.847001.200179"/>
    <n v="30000"/>
    <n v="3000"/>
    <n v="0"/>
    <n v="0"/>
    <n v="27000"/>
    <n v="0"/>
    <n v="0"/>
    <n v="0"/>
    <n v="0"/>
    <n v="3000"/>
    <n v="3000"/>
  </r>
  <r>
    <x v="3"/>
    <s v="Academic &amp; student service office"/>
    <s v="2 Other Operating Costs"/>
    <n v="8471280"/>
    <s v="KUST - Center for Teaching &amp; Learning"/>
    <n v="425770"/>
    <x v="20"/>
    <x v="447"/>
    <n v="500000"/>
    <n v="141321"/>
    <n v="82742.5"/>
    <n v="0"/>
    <n v="0"/>
    <n v="58578.5"/>
    <m/>
    <m/>
    <m/>
    <m/>
    <n v="58578.5"/>
    <s v="Transfer is on process to local events account"/>
    <n v="58578.5"/>
    <n v="58578.5"/>
    <m/>
    <s v="Y"/>
    <m/>
    <n v="82743"/>
    <n v="82742.5"/>
    <n v="0"/>
    <n v="0"/>
    <n v="0.5"/>
    <n v="0.5"/>
    <n v="0"/>
    <n v="-58578"/>
    <s v="847.8471280.1.425770.000000.847001.200179"/>
    <n v="82743"/>
    <n v="82742.5"/>
    <n v="0"/>
    <n v="0"/>
    <n v="0.5"/>
    <n v="0"/>
    <n v="0"/>
    <n v="0"/>
    <n v="58578.5"/>
    <n v="82742.5"/>
    <n v="24164"/>
  </r>
  <r>
    <x v="3"/>
    <s v="Academic &amp; student service office"/>
    <s v="2 Other Operating Costs"/>
    <n v="8471280"/>
    <s v="KUST - Center for Teaching &amp; Learning"/>
    <n v="426610"/>
    <x v="8"/>
    <x v="448"/>
    <n v="321000"/>
    <n v="321000"/>
    <n v="201651.64"/>
    <n v="14692"/>
    <n v="59481"/>
    <n v="45175.359999999986"/>
    <m/>
    <n v="45175"/>
    <m/>
    <s v="Subscription to other teaching tools (Monday.com, Kahoot, etc.,) are on process"/>
    <n v="0.35999999998603016"/>
    <m/>
    <n v="0.35999999998603016"/>
    <n v="-7766.7525000000132"/>
    <m/>
    <s v="Y"/>
    <m/>
    <n v="321000"/>
    <n v="266911.89"/>
    <n v="14692"/>
    <n v="0"/>
    <n v="39396.109999999986"/>
    <n v="39396.11"/>
    <n v="0"/>
    <n v="39395.75"/>
    <s v="847.8471280.1.426610.000000.847001.200179"/>
    <n v="321000"/>
    <n v="271991.93"/>
    <n v="14692"/>
    <n v="0"/>
    <n v="34316.07"/>
    <n v="0"/>
    <n v="7767.1124999999993"/>
    <n v="0"/>
    <n v="-7766.7525000000132"/>
    <n v="289371.0025"/>
    <n v="302217.79499999998"/>
  </r>
  <r>
    <x v="3"/>
    <s v="Academic &amp; student service office"/>
    <s v="2 Other Operating Costs"/>
    <n v="8471280"/>
    <s v="KUST - Center for Teaching &amp; Learning"/>
    <n v="428640"/>
    <x v="11"/>
    <x v="449"/>
    <n v="15000"/>
    <n v="7612"/>
    <m/>
    <m/>
    <m/>
    <n v="7612"/>
    <m/>
    <n v="7612"/>
    <m/>
    <s v="Tutoring &amp; Mentoring Event"/>
    <n v="0"/>
    <m/>
    <n v="0"/>
    <n v="0"/>
    <m/>
    <s v="Y"/>
    <m/>
    <n v="7612"/>
    <n v="0"/>
    <n v="0"/>
    <n v="0"/>
    <n v="7612"/>
    <n v="7612"/>
    <n v="0"/>
    <n v="7612"/>
    <s v="847.8471280.1.428640.000000.847001.200179"/>
    <n v="7612"/>
    <n v="0"/>
    <n v="0"/>
    <n v="0"/>
    <n v="7612"/>
    <n v="0"/>
    <n v="0"/>
    <n v="0"/>
    <n v="0"/>
    <n v="0"/>
    <n v="0"/>
  </r>
  <r>
    <x v="3"/>
    <s v="Academic &amp; student service office"/>
    <s v="2 Other Operating Costs"/>
    <n v="8471280"/>
    <s v="KUST - Center for Teaching &amp; Learning"/>
    <n v="432170"/>
    <x v="47"/>
    <x v="450"/>
    <n v="200000"/>
    <n v="200000"/>
    <m/>
    <m/>
    <m/>
    <n v="200000"/>
    <m/>
    <m/>
    <m/>
    <m/>
    <n v="200000"/>
    <s v="Transfer is on process to higher education account"/>
    <n v="200000"/>
    <n v="200000"/>
    <m/>
    <s v="Y"/>
    <m/>
    <n v="0"/>
    <n v="0"/>
    <n v="0"/>
    <n v="0"/>
    <n v="0"/>
    <n v="0"/>
    <n v="0"/>
    <n v="-200000"/>
    <s v="847.8471280.1.432170.000000.847001.200179"/>
    <n v="0"/>
    <n v="0"/>
    <n v="0"/>
    <n v="0"/>
    <n v="0"/>
    <n v="0"/>
    <n v="0"/>
    <n v="0"/>
    <n v="200000"/>
    <n v="0"/>
    <n v="-200000"/>
  </r>
  <r>
    <x v="3"/>
    <s v="Academic &amp; student service office"/>
    <s v="2 Other Operating Costs"/>
    <n v="8471280"/>
    <s v="KUST - Center for Teaching &amp; Learning"/>
    <n v="435340"/>
    <x v="36"/>
    <x v="451"/>
    <n v="10000"/>
    <n v="10000"/>
    <m/>
    <m/>
    <m/>
    <n v="10000"/>
    <m/>
    <n v="10000"/>
    <m/>
    <s v="E-books to be recommended by CTL team/integrate in Bb so faculty can access it, to purchase by Library for CTL."/>
    <n v="0"/>
    <m/>
    <n v="0"/>
    <n v="0"/>
    <m/>
    <s v="Y"/>
    <m/>
    <n v="10000"/>
    <n v="0"/>
    <n v="0"/>
    <n v="0"/>
    <n v="10000"/>
    <n v="10000"/>
    <n v="0"/>
    <n v="10000"/>
    <s v="847.8471280.1.435340.000000.847001.200179"/>
    <n v="10000"/>
    <n v="0"/>
    <n v="0"/>
    <n v="0"/>
    <n v="10000"/>
    <n v="0"/>
    <n v="0"/>
    <n v="0"/>
    <n v="0"/>
    <n v="0"/>
    <n v="0"/>
  </r>
  <r>
    <x v="3"/>
    <s v="Academic &amp; student service office"/>
    <s v="2 Other Operating Costs"/>
    <n v="8471280"/>
    <s v="KUST - Center for Teaching &amp; Learning"/>
    <n v="435530"/>
    <x v="79"/>
    <x v="452"/>
    <n v="5000"/>
    <n v="5000"/>
    <m/>
    <m/>
    <m/>
    <n v="5000"/>
    <n v="2500"/>
    <n v="2500"/>
    <m/>
    <s v="Stationery not included in FM storeroom, staff offices' material requirements"/>
    <n v="0"/>
    <m/>
    <n v="0"/>
    <n v="0"/>
    <m/>
    <s v="Y"/>
    <m/>
    <n v="5000"/>
    <n v="0"/>
    <n v="0"/>
    <n v="0"/>
    <n v="5000"/>
    <n v="5000"/>
    <n v="0"/>
    <n v="5000"/>
    <s v="847.8471280.1.435530.000000.847001.200179"/>
    <n v="5000"/>
    <n v="1014"/>
    <n v="0"/>
    <n v="0"/>
    <n v="3986"/>
    <n v="0"/>
    <n v="0"/>
    <n v="0"/>
    <n v="0"/>
    <n v="0"/>
    <n v="1014"/>
  </r>
  <r>
    <x v="10"/>
    <s v="College of medicine"/>
    <s v="2 Other Operating Costs"/>
    <n v="8471305"/>
    <s v="KUST - Dean Of Medicine"/>
    <n v="420570"/>
    <x v="1"/>
    <x v="453"/>
    <n v="21895944"/>
    <n v="21895944"/>
    <n v="6288810"/>
    <m/>
    <m/>
    <n v="15607134"/>
    <n v="5202378"/>
    <n v="5202378"/>
    <n v="5202378"/>
    <s v="Clerkship /clincal education contract"/>
    <n v="0"/>
    <s v="second quarter invoice in payment process which is not reflected here.  CMHS awaiting sthird and fourth quarter iinvoice from contract partner. Acutal contract notes 25,770,240 required per the contract. Balance to be addressed before end of academic year.  Some surplus possible."/>
    <n v="0"/>
    <n v="0"/>
    <m/>
    <s v="Y"/>
    <m/>
    <n v="21895944"/>
    <n v="18866430"/>
    <n v="0"/>
    <n v="0"/>
    <n v="3029514"/>
    <n v="3029514"/>
    <n v="0"/>
    <n v="3029514"/>
    <s v="847.8471305.1.420570.000000.847001.200179"/>
    <n v="21895944"/>
    <n v="18866430"/>
    <n v="0"/>
    <n v="0"/>
    <n v="3029514"/>
    <n v="0"/>
    <n v="0"/>
    <n v="0"/>
    <n v="0"/>
    <n v="24068808"/>
    <n v="24068808"/>
  </r>
  <r>
    <x v="10"/>
    <s v="College of medicine"/>
    <s v="2 Other Operating Costs"/>
    <n v="8471305"/>
    <s v="KUST - Dean Of Medicine"/>
    <n v="421000"/>
    <x v="3"/>
    <x v="454"/>
    <n v="271000"/>
    <n v="271000"/>
    <n v="147834.06"/>
    <n v="0"/>
    <n v="0"/>
    <n v="123165.94"/>
    <n v="41056"/>
    <n v="41055"/>
    <n v="41055"/>
    <s v="Continuing edution events under discussion with OME"/>
    <n v="-5.9999999997671694E-2"/>
    <s v="Educational sessons on site by Barbar Oakley, funds just recently transferred for payment.  Further educational activity in discussions for 4th quarter."/>
    <n v="-5.9999999997671694E-2"/>
    <n v="-5.9999999997671694E-2"/>
    <m/>
    <s v="Y"/>
    <m/>
    <n v="271000"/>
    <n v="147834.06"/>
    <n v="0"/>
    <n v="0"/>
    <n v="123165.94"/>
    <n v="123165.94"/>
    <n v="0"/>
    <n v="123166"/>
    <s v="847.8471305.1.421000.000000.847001.200179"/>
    <n v="271000"/>
    <n v="147834.06"/>
    <n v="0"/>
    <n v="0"/>
    <n v="123165.94"/>
    <n v="0"/>
    <n v="0"/>
    <n v="0"/>
    <n v="-5.9999999997671694E-2"/>
    <n v="188889.06"/>
    <n v="188889.12"/>
  </r>
  <r>
    <x v="10"/>
    <s v="College of medicine"/>
    <s v="2 Other Operating Costs"/>
    <n v="8471305"/>
    <s v="KUST - Dean Of Medicine"/>
    <n v="421700"/>
    <x v="4"/>
    <x v="455"/>
    <n v="170000"/>
    <n v="170000"/>
    <n v="73837.02"/>
    <m/>
    <m/>
    <n v="96162.98"/>
    <n v="0"/>
    <n v="48081"/>
    <n v="48082"/>
    <s v="American Heart Association training center certification and Audio Visual certification"/>
    <n v="-2.0000000004074536E-2"/>
    <s v="certifications will be renewed as per contract dates based on quality management standards."/>
    <n v="-2.0000000004074536E-2"/>
    <n v="-2.0000000004074536E-2"/>
    <m/>
    <s v="Y"/>
    <m/>
    <n v="170000"/>
    <n v="73837.02"/>
    <n v="0"/>
    <n v="0"/>
    <n v="96162.98"/>
    <n v="96162.98"/>
    <n v="0"/>
    <n v="96163"/>
    <s v="847.8471305.1.421700.000000.847001.200179"/>
    <n v="170000"/>
    <n v="73837.02"/>
    <n v="0"/>
    <n v="0"/>
    <n v="96162.98"/>
    <n v="0"/>
    <n v="0"/>
    <n v="0"/>
    <n v="-2.0000000004074536E-2"/>
    <n v="121919.02"/>
    <n v="121919.04000000001"/>
  </r>
  <r>
    <x v="10"/>
    <s v="College of medicine"/>
    <s v="2 Other Operating Costs"/>
    <n v="8471305"/>
    <s v="KUST - Dean Of Medicine"/>
    <n v="422100"/>
    <x v="81"/>
    <x v="456"/>
    <n v="12000"/>
    <n v="12000"/>
    <m/>
    <m/>
    <m/>
    <n v="12000"/>
    <m/>
    <m/>
    <n v="12000"/>
    <s v="To be expended befor the end of  3rd quarter. "/>
    <n v="0"/>
    <s v="To be expended befor the end of  4th quarter. "/>
    <n v="0"/>
    <n v="0"/>
    <m/>
    <s v="Y"/>
    <m/>
    <n v="12000"/>
    <n v="0"/>
    <n v="0"/>
    <n v="0"/>
    <n v="12000"/>
    <n v="12000"/>
    <n v="0"/>
    <n v="12000"/>
    <s v="847.8471305.1.422100.000000.847001.200179"/>
    <n v="12000"/>
    <n v="0"/>
    <n v="0"/>
    <n v="0"/>
    <n v="12000"/>
    <n v="0"/>
    <n v="0"/>
    <n v="0"/>
    <n v="0"/>
    <n v="12000"/>
    <n v="12000"/>
  </r>
  <r>
    <x v="10"/>
    <s v="College of medicine"/>
    <s v="2 Other Operating Costs"/>
    <n v="8471305"/>
    <s v="KUST - Dean Of Medicine"/>
    <n v="425510"/>
    <x v="5"/>
    <x v="457"/>
    <n v="820000"/>
    <n v="601500"/>
    <n v="224036.23"/>
    <n v="0"/>
    <n v="76000"/>
    <n v="301463.77"/>
    <n v="75000"/>
    <n v="126000"/>
    <n v="100676"/>
    <s v="events for Q4 in progress for faculty and students  . Clinical  affairs director and OME  continues planning events locally for scholarly presenations and networking. Faculty currently in planning phase for November events."/>
    <n v="-212.22999999998137"/>
    <s v="events for Q4 in progress for faculty and students  . Clinical  affairs director and OME  continues planning events locally for scholarly presenations and networking. Faculty currently in planning phase for November events.    The research retreat that was canceled in October will be scheduled in Nov/Dec and the CMHS advisory meeting will also take place during this period.  The AAHC renewal is also in progress of payment for this quarter."/>
    <n v="-212.22999999998137"/>
    <n v="-2050.6299999999815"/>
    <m/>
    <s v="Y"/>
    <m/>
    <n v="601500"/>
    <n v="303736.23"/>
    <n v="0"/>
    <n v="0"/>
    <n v="297763.77"/>
    <n v="297763.77"/>
    <n v="0"/>
    <n v="297976"/>
    <s v="847.8471305.1.425510.000000.847001.200179"/>
    <n v="601500"/>
    <n v="316404.98"/>
    <n v="0"/>
    <n v="0"/>
    <n v="270972.52"/>
    <n v="738.4"/>
    <n v="0"/>
    <n v="1100"/>
    <n v="-2050.6299999999815"/>
    <n v="406250.63"/>
    <n v="420970.01"/>
  </r>
  <r>
    <x v="10"/>
    <s v="College of medicine"/>
    <s v="2 Other Operating Costs"/>
    <n v="8471305"/>
    <s v="KUST - Dean Of Medicine"/>
    <n v="425550"/>
    <x v="6"/>
    <x v="458"/>
    <n v="780000"/>
    <n v="622000"/>
    <n v="85529.62"/>
    <m/>
    <m/>
    <n v="536470.38"/>
    <n v="136000"/>
    <n v="200000"/>
    <n v="100000"/>
    <s v="AMEE , AAMC  and other confernce attendance scheduled. "/>
    <n v="100470.38"/>
    <s v="Several events planning for quarter four for faculty and students.  Also external local event planning for with KU Main office collaboration.   Possible surplus of 100,000 in this cost code."/>
    <n v="100470.38"/>
    <n v="87351.05"/>
    <m/>
    <s v="Y"/>
    <m/>
    <n v="607000"/>
    <n v="351181.9"/>
    <n v="0"/>
    <n v="0"/>
    <n v="255818.09999999998"/>
    <n v="255818.1"/>
    <n v="0"/>
    <n v="155347.71999999997"/>
    <s v="847.8471305.1.425550.000000.847001.200179"/>
    <n v="607000"/>
    <n v="367413.63"/>
    <n v="0"/>
    <n v="0"/>
    <n v="239586.37"/>
    <n v="13119.33"/>
    <n v="0"/>
    <n v="0"/>
    <n v="87351.05"/>
    <n v="464301.23000000004"/>
    <n v="393181.91000000003"/>
  </r>
  <r>
    <x v="10"/>
    <s v="College of medicine"/>
    <s v="2 Other Operating Costs"/>
    <n v="8471305"/>
    <s v="KUST - Dean Of Medicine"/>
    <n v="425720"/>
    <x v="37"/>
    <x v="459"/>
    <n v="2494345"/>
    <n v="2424345"/>
    <n v="1394432.45"/>
    <n v="0"/>
    <n v="692500"/>
    <n v="337412.55000000005"/>
    <n v="138000"/>
    <n v="100000"/>
    <m/>
    <s v="planning for quarter four for faculty, staff and students per OME and Clinical Affairs"/>
    <n v="99412.550000000047"/>
    <s v="Possible surplus of 100,000 in this cost code."/>
    <n v="99412.550000000047"/>
    <n v="79788.050000000047"/>
    <m/>
    <s v="Y"/>
    <m/>
    <n v="2424345"/>
    <n v="1474262.45"/>
    <n v="99801"/>
    <n v="804467.5"/>
    <n v="45814.050000000047"/>
    <n v="45814.049999999901"/>
    <n v="1.4551915228366852E-10"/>
    <n v="-53598.5"/>
    <s v="847.8471305.1.425720.000000.847001.200179"/>
    <n v="2449345"/>
    <n v="1297431.3"/>
    <n v="0"/>
    <n v="841579.26"/>
    <n v="310334.44"/>
    <n v="0"/>
    <n v="19624.5"/>
    <n v="0"/>
    <n v="79788.050000000047"/>
    <n v="2398155.4500000002"/>
    <n v="2078847.01"/>
  </r>
  <r>
    <x v="10"/>
    <s v="College of medicine"/>
    <s v="2 Other Operating Costs"/>
    <n v="8471305"/>
    <s v="KUST - Dean Of Medicine"/>
    <n v="425742"/>
    <x v="75"/>
    <x v="460"/>
    <n v="180000"/>
    <n v="180000"/>
    <n v="168989.59"/>
    <m/>
    <m/>
    <n v="11010.410000000003"/>
    <n v="0"/>
    <n v="11010.41"/>
    <n v="0"/>
    <s v="Late fourth quarter submission possible in this area.  "/>
    <n v="3.637978807091713E-12"/>
    <s v="Late fourth quarter submission possible in this area.  "/>
    <n v="3.637978807091713E-12"/>
    <n v="3.637978807091713E-12"/>
    <m/>
    <s v="Y"/>
    <m/>
    <n v="180000"/>
    <n v="179039.58"/>
    <n v="0"/>
    <n v="0"/>
    <n v="960.42000000001281"/>
    <n v="960.41999999998404"/>
    <n v="2.8762769943568856E-11"/>
    <n v="960.42000000000917"/>
    <s v="847.8471305.1.425742.000000.847001.200179"/>
    <n v="180000"/>
    <n v="179039.58"/>
    <n v="0"/>
    <n v="0"/>
    <n v="960.41999999998404"/>
    <n v="0"/>
    <n v="0"/>
    <n v="0"/>
    <n v="3.637978807091713E-12"/>
    <n v="179039.58"/>
    <n v="179039.58"/>
  </r>
  <r>
    <x v="10"/>
    <s v="College of medicine"/>
    <s v="2 Other Operating Costs"/>
    <n v="8471305"/>
    <s v="KUST - Dean Of Medicine"/>
    <n v="425744"/>
    <x v="26"/>
    <x v="461"/>
    <n v="0"/>
    <n v="100694"/>
    <n v="100002"/>
    <m/>
    <m/>
    <n v="692"/>
    <n v="0"/>
    <n v="0"/>
    <n v="692"/>
    <s v="Late fourth quarter submission possible in this area.  "/>
    <n v="0"/>
    <s v="Late fourth quarter submission possible in this area.  "/>
    <n v="0"/>
    <n v="0"/>
    <m/>
    <s v="Y"/>
    <m/>
    <n v="100694"/>
    <n v="100002"/>
    <n v="0"/>
    <n v="0"/>
    <n v="692"/>
    <n v="692"/>
    <n v="0"/>
    <n v="692"/>
    <s v="847.8471305.1.425744.000000.847001.200179"/>
    <n v="100694"/>
    <n v="100002"/>
    <n v="0"/>
    <n v="0"/>
    <n v="692"/>
    <n v="0"/>
    <n v="0"/>
    <n v="0"/>
    <n v="0"/>
    <n v="100694"/>
    <n v="100694"/>
  </r>
  <r>
    <x v="10"/>
    <s v="College of medicine"/>
    <s v="2 Other Operating Costs"/>
    <n v="8471305"/>
    <s v="KUST - Dean Of Medicine"/>
    <n v="425745"/>
    <x v="27"/>
    <x v="462"/>
    <n v="0"/>
    <n v="40400"/>
    <n v="39340"/>
    <m/>
    <m/>
    <n v="1060"/>
    <m/>
    <m/>
    <n v="1060"/>
    <s v="Late fourth quarter submission possible in this area.  "/>
    <n v="0"/>
    <s v="Late fourth quarter submission possible in this area.  "/>
    <n v="0"/>
    <n v="0"/>
    <m/>
    <s v="Y"/>
    <m/>
    <n v="55400"/>
    <n v="54543"/>
    <n v="0"/>
    <n v="0"/>
    <n v="857"/>
    <n v="857"/>
    <n v="0"/>
    <n v="857"/>
    <s v="847.8471305.1.425745.000000.847001.200179"/>
    <n v="55400"/>
    <n v="54543"/>
    <n v="0"/>
    <n v="0"/>
    <n v="857"/>
    <n v="0"/>
    <n v="0"/>
    <n v="0"/>
    <n v="0"/>
    <n v="55603"/>
    <n v="55603"/>
  </r>
  <r>
    <x v="10"/>
    <s v="College of medicine"/>
    <s v="2 Other Operating Costs"/>
    <n v="8471305"/>
    <s v="KUST - Dean Of Medicine"/>
    <n v="425746"/>
    <x v="78"/>
    <x v="463"/>
    <n v="312600"/>
    <n v="292600"/>
    <m/>
    <m/>
    <m/>
    <n v="292600"/>
    <n v="100000"/>
    <n v="100000"/>
    <n v="92600"/>
    <s v="A full P1-P4 cohort has resumed   funds will be noted and pay out invoice is submitted."/>
    <n v="0"/>
    <s v="A full P1-P4 cohort has resumed   funds will be noted and pay out invoice is submitted."/>
    <n v="0"/>
    <n v="0"/>
    <m/>
    <s v="Y"/>
    <m/>
    <n v="292600"/>
    <n v="0"/>
    <n v="0"/>
    <n v="0"/>
    <n v="292600"/>
    <n v="292600"/>
    <n v="0"/>
    <n v="292600"/>
    <s v="847.8471305.1.425746.000000.847001.200179"/>
    <n v="292600"/>
    <n v="0"/>
    <n v="0"/>
    <n v="0"/>
    <n v="292600"/>
    <n v="0"/>
    <n v="0"/>
    <n v="0"/>
    <n v="0"/>
    <n v="92600"/>
    <n v="92600"/>
  </r>
  <r>
    <x v="10"/>
    <s v="College of medicine"/>
    <s v="2 Other Operating Costs"/>
    <n v="8471305"/>
    <s v="KUST - Dean Of Medicine"/>
    <n v="425749"/>
    <x v="28"/>
    <x v="464"/>
    <n v="24213178"/>
    <n v="24213178"/>
    <n v="17903200.030000001"/>
    <m/>
    <m/>
    <n v="6309977.9699999988"/>
    <n v="2103326"/>
    <n v="2103326"/>
    <n v="2724000"/>
    <s v="Full cohort  of P1-P4 students, dund should be exhausted. "/>
    <n v="-620674.03000000119"/>
    <s v="This is ongoing  expense  as salary support for our current and new onboarded students for the full four year cohort. "/>
    <m/>
    <n v="0"/>
    <n v="620674.03000000119"/>
    <s v="Y"/>
    <m/>
    <n v="26413178"/>
    <n v="20741200.030000001"/>
    <n v="0"/>
    <n v="0"/>
    <n v="5671977.9699999988"/>
    <n v="5671977.9699999997"/>
    <n v="0"/>
    <n v="5671977.9699999988"/>
    <s v="847.8471305.1.425749.000000.847001.200179"/>
    <n v="26413178"/>
    <n v="26231200.030000001"/>
    <n v="0"/>
    <n v="0"/>
    <n v="181977.969999995"/>
    <n v="0"/>
    <n v="0"/>
    <n v="0"/>
    <n v="0"/>
    <n v="23465200.030000001"/>
    <n v="29575874.060000002"/>
  </r>
  <r>
    <x v="10"/>
    <s v="College of medicine"/>
    <s v="2 Other Operating Costs"/>
    <n v="8471305"/>
    <s v="KUST - Dean Of Medicine"/>
    <n v="425750"/>
    <x v="76"/>
    <x v="465"/>
    <n v="864069"/>
    <n v="864069"/>
    <n v="120718.5"/>
    <m/>
    <m/>
    <n v="743350.5"/>
    <m/>
    <m/>
    <m/>
    <s v="All internationally supported platforms such as  via Lecturio  - USMLE Prep, IFOM costs to underpin student success on standardized US testing program are in action or being planned for the next three months.  "/>
    <n v="743350.5"/>
    <s v="All internationally supported platforms should exhaust funds over the  the next three months.  Lecturio onsite to adjucnt online currently underway.  Lecturio has been contacted to provide lectures for reproductive and endocrine services.  To be billed this quarter."/>
    <n v="743350.5"/>
    <n v="743350.5"/>
    <m/>
    <s v="Y"/>
    <m/>
    <n v="864069"/>
    <n v="131112.59"/>
    <n v="0"/>
    <n v="0"/>
    <n v="732956.41"/>
    <n v="732956.41"/>
    <n v="0"/>
    <n v="-10394.089999999967"/>
    <s v="847.8471305.1.425750.000000.847001.200179"/>
    <n v="864069"/>
    <n v="131112.59"/>
    <n v="0"/>
    <n v="0"/>
    <n v="732956.41"/>
    <n v="0"/>
    <n v="0"/>
    <n v="0"/>
    <n v="743350.5"/>
    <n v="131112.59"/>
    <n v="-612237.91"/>
  </r>
  <r>
    <x v="10"/>
    <s v="College of medicine"/>
    <s v="2 Other Operating Costs"/>
    <n v="8471305"/>
    <s v="KUST - Dean Of Medicine"/>
    <n v="425762"/>
    <x v="30"/>
    <x v="466"/>
    <n v="2759974"/>
    <n v="2088974"/>
    <n v="4000.47"/>
    <m/>
    <m/>
    <n v="2084973.53"/>
    <n v="500000"/>
    <n v="1000000"/>
    <n v="500000"/>
    <s v=" international  internship electives are ongoing.  One invoice just submitted from GW."/>
    <n v="84973.530000000028"/>
    <s v=" Some surplus possible."/>
    <n v="84973.530000000028"/>
    <n v="71902.560000000027"/>
    <m/>
    <s v="Y"/>
    <m/>
    <n v="1907974"/>
    <n v="262766.96999999997"/>
    <n v="0"/>
    <n v="0"/>
    <n v="1645207.03"/>
    <n v="1645207.03"/>
    <n v="0"/>
    <n v="1560233.5"/>
    <s v="847.8471305.1.425762.000000.847001.200179"/>
    <n v="1907974"/>
    <n v="276740.03999999998"/>
    <n v="0"/>
    <n v="0"/>
    <n v="1631233.96"/>
    <n v="13070.97"/>
    <n v="0"/>
    <n v="0"/>
    <n v="71902.560000000027"/>
    <n v="775837.94"/>
    <n v="717908.45"/>
  </r>
  <r>
    <x v="10"/>
    <s v="College of medicine"/>
    <s v="2 Other Operating Costs"/>
    <n v="8471305"/>
    <s v="KUST - Dean Of Medicine"/>
    <n v="425763"/>
    <x v="15"/>
    <x v="467"/>
    <n v="200000"/>
    <n v="200000"/>
    <n v="2940"/>
    <m/>
    <m/>
    <n v="197060"/>
    <n v="75000"/>
    <n v="75000"/>
    <n v="47060"/>
    <s v="A full P1-P4 cohort will untilize  funds these funds."/>
    <n v="0"/>
    <s v="To be expended befor the end of  4th quarter. "/>
    <n v="0"/>
    <n v="0"/>
    <m/>
    <s v="Y"/>
    <m/>
    <n v="200000"/>
    <n v="2940"/>
    <n v="0"/>
    <n v="0"/>
    <n v="197060"/>
    <n v="197060"/>
    <n v="0"/>
    <n v="197060"/>
    <s v="847.8471305.1.425763.000000.847001.200179"/>
    <n v="200000"/>
    <n v="2940"/>
    <n v="0"/>
    <n v="0"/>
    <n v="197060"/>
    <n v="0"/>
    <n v="0"/>
    <n v="0"/>
    <n v="0"/>
    <n v="50000"/>
    <n v="50000"/>
  </r>
  <r>
    <x v="10"/>
    <s v="College of medicine"/>
    <s v="2 Other Operating Costs"/>
    <n v="8471305"/>
    <s v="KUST - Dean Of Medicine"/>
    <n v="425900"/>
    <x v="7"/>
    <x v="468"/>
    <n v="185000"/>
    <n v="185000"/>
    <n v="25446.28"/>
    <n v="0"/>
    <n v="0"/>
    <n v="159553.72"/>
    <n v="60407"/>
    <n v="50000"/>
    <n v="50000"/>
    <s v="A full P1-P4 cohort will untilize  funds these funds, falcn community events, recognitions etc."/>
    <n v="-853.27999999999884"/>
    <s v="To be expended befor the end of  4th quarter. "/>
    <n v="-853.27999999999884"/>
    <n v="-2554.2799999999988"/>
    <m/>
    <s v="Y"/>
    <m/>
    <n v="185000"/>
    <n v="54415.58"/>
    <n v="0"/>
    <n v="0"/>
    <n v="130584.42"/>
    <n v="130584.42"/>
    <n v="0"/>
    <n v="131437.70000000001"/>
    <s v="847.8471305.1.425900.000000.847001.200179"/>
    <n v="185000"/>
    <n v="57008.33"/>
    <n v="0"/>
    <n v="0"/>
    <n v="122237.67"/>
    <n v="1701"/>
    <n v="0"/>
    <n v="0"/>
    <n v="-2554.2799999999988"/>
    <n v="106116.58"/>
    <n v="111263.61"/>
  </r>
  <r>
    <x v="10"/>
    <s v="College of medicine"/>
    <s v="2 Other Operating Costs"/>
    <n v="8471305"/>
    <s v="KUST - Dean Of Medicine"/>
    <n v="426100"/>
    <x v="38"/>
    <x v="469"/>
    <n v="90000"/>
    <n v="90000"/>
    <m/>
    <m/>
    <m/>
    <n v="90000"/>
    <n v="50000"/>
    <n v="30000"/>
    <n v="10000"/>
    <s v="Travel to major confrences with booth and recruitment materials in Oct/Nov."/>
    <n v="0"/>
    <s v="To be expended befor the end of  4th quarter. "/>
    <n v="0"/>
    <n v="0"/>
    <m/>
    <s v="Y"/>
    <m/>
    <n v="90000"/>
    <n v="0"/>
    <n v="0"/>
    <n v="0"/>
    <n v="90000"/>
    <n v="90000"/>
    <n v="0"/>
    <n v="90000"/>
    <s v="847.8471305.1.426100.000000.847001.200179"/>
    <n v="90000"/>
    <n v="0"/>
    <n v="0"/>
    <n v="0"/>
    <n v="90000"/>
    <n v="0"/>
    <n v="0"/>
    <n v="0"/>
    <n v="0"/>
    <n v="10000"/>
    <n v="10000"/>
  </r>
  <r>
    <x v="10"/>
    <s v="College of medicine"/>
    <s v="2 Other Operating Costs"/>
    <n v="8471305"/>
    <s v="KUST - Dean Of Medicine"/>
    <n v="426610"/>
    <x v="8"/>
    <x v="470"/>
    <n v="777363"/>
    <n v="977363"/>
    <n v="855977.21"/>
    <n v="-7.2759576141834308E-12"/>
    <n v="10916.08"/>
    <n v="110469.71000000004"/>
    <n v="80000"/>
    <n v="15000"/>
    <n v="15470"/>
    <s v="eCurriculum Annual License_x000a_ and  Syllabus Generator Module Annual License submission pending, invoice just received."/>
    <n v="-0.28999999996449333"/>
    <s v="License submission pending, invoice just received."/>
    <n v="-0.28999999996449333"/>
    <n v="-0.28999999996449333"/>
    <m/>
    <s v="Y"/>
    <m/>
    <n v="977363"/>
    <n v="851613.69"/>
    <n v="0"/>
    <n v="10916.08"/>
    <n v="114833.23000000005"/>
    <n v="114833.23"/>
    <n v="0"/>
    <n v="114833.52000000002"/>
    <s v="847.8471305.1.426610.000000.847001.200179"/>
    <n v="977363"/>
    <n v="855139.77"/>
    <n v="0"/>
    <n v="7390"/>
    <n v="114833.23"/>
    <n v="0"/>
    <n v="0"/>
    <n v="0"/>
    <n v="-0.28999999996449333"/>
    <n v="877999.7699999999"/>
    <n v="878000.05999999994"/>
  </r>
  <r>
    <x v="10"/>
    <s v="College of medicine"/>
    <s v="2 Other Operating Costs"/>
    <n v="8471305"/>
    <s v="KUST - Dean Of Medicine"/>
    <n v="426900"/>
    <x v="51"/>
    <x v="471"/>
    <n v="21000"/>
    <n v="21000"/>
    <n v="235"/>
    <m/>
    <m/>
    <n v="20765"/>
    <n v="5000"/>
    <n v="8000"/>
    <n v="7000"/>
    <s v="Conference and other communication needs"/>
    <n v="765"/>
    <s v="Possible surplus in this cost code."/>
    <n v="765"/>
    <n v="765"/>
    <m/>
    <s v="Y"/>
    <m/>
    <n v="21000"/>
    <n v="235"/>
    <n v="0"/>
    <n v="0"/>
    <n v="20765"/>
    <n v="20765"/>
    <n v="0"/>
    <n v="20000"/>
    <s v="847.8471305.1.426900.000000.847001.200179"/>
    <n v="21000"/>
    <n v="235"/>
    <n v="0"/>
    <n v="0"/>
    <n v="20765"/>
    <n v="0"/>
    <n v="0"/>
    <n v="0"/>
    <n v="765"/>
    <n v="7235"/>
    <n v="6470"/>
  </r>
  <r>
    <x v="10"/>
    <s v="College of medicine"/>
    <s v="2 Other Operating Costs"/>
    <n v="8471305"/>
    <s v="KUST - Dean Of Medicine"/>
    <n v="427200"/>
    <x v="17"/>
    <x v="472"/>
    <n v="903674"/>
    <n v="81210"/>
    <m/>
    <m/>
    <m/>
    <n v="81210"/>
    <n v="40000"/>
    <n v="20000"/>
    <n v="20000"/>
    <s v="Articles are in progress and will be submitted once approved by journals. "/>
    <n v="1210"/>
    <s v="Possible surplus in this cost code."/>
    <n v="1210"/>
    <n v="1210"/>
    <m/>
    <s v="Y"/>
    <m/>
    <n v="81210"/>
    <n v="0"/>
    <n v="0"/>
    <n v="0"/>
    <n v="81210"/>
    <n v="81210"/>
    <n v="0"/>
    <n v="80000"/>
    <s v="847.8471305.1.427200.000000.847001.200179"/>
    <n v="81210"/>
    <n v="0"/>
    <n v="0"/>
    <n v="0"/>
    <n v="81210"/>
    <n v="0"/>
    <n v="0"/>
    <n v="0"/>
    <n v="1210"/>
    <n v="20000"/>
    <n v="18790"/>
  </r>
  <r>
    <x v="10"/>
    <s v="College of medicine"/>
    <s v="2 Other Operating Costs"/>
    <n v="8471305"/>
    <s v="KUST - Dean Of Medicine"/>
    <n v="427710"/>
    <x v="13"/>
    <x v="473"/>
    <n v="153178"/>
    <n v="153178"/>
    <n v="24512.25"/>
    <n v="0"/>
    <n v="25711"/>
    <n v="102954.75"/>
    <n v="30000"/>
    <n v="50000"/>
    <n v="15000"/>
    <s v="Faculty and Staff are submitting their renewals and applications."/>
    <n v="7954.75"/>
    <s v="Possible surplus in this cost code."/>
    <n v="7954.75"/>
    <n v="7954.75"/>
    <m/>
    <s v="Y"/>
    <m/>
    <n v="153178"/>
    <n v="50517.43"/>
    <n v="0"/>
    <n v="0"/>
    <n v="102660.57"/>
    <n v="102660.57"/>
    <n v="0"/>
    <n v="94705.82"/>
    <s v="847.8471305.1.427710.000000.847001.200179"/>
    <n v="153178"/>
    <n v="50517.43"/>
    <n v="0"/>
    <n v="0"/>
    <n v="102660.57"/>
    <n v="0"/>
    <n v="0"/>
    <n v="0"/>
    <n v="7954.75"/>
    <n v="65517.43"/>
    <n v="57562.68"/>
  </r>
  <r>
    <x v="10"/>
    <s v="College of medicine"/>
    <s v="2 Other Operating Costs"/>
    <n v="8471305"/>
    <s v="KUST - Dean Of Medicine"/>
    <n v="427810"/>
    <x v="69"/>
    <x v="474"/>
    <n v="10000"/>
    <n v="10000"/>
    <m/>
    <m/>
    <m/>
    <n v="10000"/>
    <n v="3000"/>
    <n v="3000"/>
    <n v="3000"/>
    <s v="Phone charges will be uploaded this quarter."/>
    <n v="1000"/>
    <s v="Possible surplus in this cost code."/>
    <n v="1000"/>
    <n v="1000"/>
    <m/>
    <s v="Y"/>
    <m/>
    <n v="10000"/>
    <n v="0"/>
    <n v="0"/>
    <n v="0"/>
    <n v="10000"/>
    <n v="10000"/>
    <n v="0"/>
    <n v="9000"/>
    <s v="847.8471305.1.427810.000000.847001.200179"/>
    <n v="10000"/>
    <n v="0"/>
    <n v="0"/>
    <n v="0"/>
    <n v="10000"/>
    <n v="0"/>
    <n v="0"/>
    <n v="0"/>
    <n v="1000"/>
    <n v="3000"/>
    <n v="2000"/>
  </r>
  <r>
    <x v="10"/>
    <s v="College of medicine"/>
    <s v="2 Other Operating Costs"/>
    <n v="8471305"/>
    <s v="KUST - Dean Of Medicine"/>
    <n v="428090"/>
    <x v="9"/>
    <x v="475"/>
    <n v="419000"/>
    <n v="69339"/>
    <n v="523.75"/>
    <m/>
    <m/>
    <n v="68815.25"/>
    <n v="20000"/>
    <n v="20000"/>
    <n v="20000"/>
    <s v="events for Q4 in progress for faculty and students  . Clinical  affairs director and OME  continues planning events locally for scholarly presenations and networking. Faculty currently in planning phase for November events."/>
    <n v="8815.25"/>
    <s v="Possible surplus in this cost code."/>
    <n v="8815.25"/>
    <n v="8815.25"/>
    <m/>
    <s v="Y"/>
    <m/>
    <n v="69339"/>
    <n v="523.75"/>
    <n v="0"/>
    <n v="0"/>
    <n v="68815.25"/>
    <n v="68815.25"/>
    <n v="0"/>
    <n v="60000"/>
    <s v="847.8471305.1.428090.000000.847001.200179"/>
    <n v="69339"/>
    <n v="43037.5"/>
    <n v="0"/>
    <n v="0"/>
    <n v="26301.5"/>
    <n v="0"/>
    <n v="0"/>
    <n v="0"/>
    <n v="8815.25"/>
    <n v="20523.75"/>
    <n v="54222.25"/>
  </r>
  <r>
    <x v="10"/>
    <s v="College of medicine"/>
    <s v="2 Other Operating Costs"/>
    <n v="8471305"/>
    <s v="KUST - Dean Of Medicine"/>
    <n v="428640"/>
    <x v="11"/>
    <x v="476"/>
    <n v="5000"/>
    <n v="2887"/>
    <n v="2819.61"/>
    <m/>
    <m/>
    <n v="67.389999999999873"/>
    <m/>
    <m/>
    <n v="67.389999999999901"/>
    <m/>
    <n v="0"/>
    <s v="To be exhausted this quarter"/>
    <n v="0"/>
    <n v="0"/>
    <m/>
    <s v="Y"/>
    <m/>
    <n v="2887"/>
    <n v="2819.61"/>
    <n v="0"/>
    <n v="0"/>
    <n v="67.389999999999873"/>
    <n v="67.389999999999901"/>
    <n v="0"/>
    <n v="67.389999999999873"/>
    <s v="847.8471305.1.428640.000000.847001.200179"/>
    <n v="2887"/>
    <n v="2819.61"/>
    <n v="0"/>
    <n v="0"/>
    <n v="67.389999999999901"/>
    <n v="0"/>
    <n v="0"/>
    <n v="0"/>
    <n v="0"/>
    <n v="2887"/>
    <n v="2887"/>
  </r>
  <r>
    <x v="10"/>
    <s v="College of medicine"/>
    <s v="2 Other Operating Costs"/>
    <n v="8471305"/>
    <s v="KUST - Dean Of Medicine"/>
    <n v="432205"/>
    <x v="24"/>
    <x v="477"/>
    <n v="26000"/>
    <n v="565385"/>
    <n v="522981"/>
    <n v="0"/>
    <n v="0"/>
    <n v="42404"/>
    <n v="0"/>
    <n v="20000"/>
    <n v="0"/>
    <s v="Possible emergent need"/>
    <n v="22404"/>
    <s v="Possible surplus in this cost code."/>
    <n v="22404"/>
    <n v="22404"/>
    <m/>
    <s v="Y"/>
    <m/>
    <n v="565385"/>
    <n v="522981"/>
    <n v="0"/>
    <n v="0"/>
    <n v="42404"/>
    <n v="42404"/>
    <n v="0"/>
    <n v="20000"/>
    <s v="847.8471305.1.432205.000000.847001.200179"/>
    <n v="565385"/>
    <n v="522981"/>
    <n v="0"/>
    <n v="0"/>
    <n v="42404"/>
    <n v="0"/>
    <n v="0"/>
    <n v="0"/>
    <n v="22404"/>
    <n v="522981"/>
    <n v="500577"/>
  </r>
  <r>
    <x v="10"/>
    <s v="College of medicine"/>
    <s v="2 Other Operating Costs"/>
    <n v="8471305"/>
    <s v="KUST - Dean Of Medicine"/>
    <n v="432209"/>
    <x v="32"/>
    <x v="478"/>
    <n v="516900"/>
    <n v="586900"/>
    <n v="332442.61"/>
    <n v="0"/>
    <n v="242373.5"/>
    <n v="12083.890000000014"/>
    <m/>
    <n v="12083.89"/>
    <m/>
    <s v="OPEX items under process "/>
    <n v="1.4551915228366852E-11"/>
    <s v="To be exhausted this quarter as processed via procurement. "/>
    <n v="1.4551915228366852E-11"/>
    <n v="1.4551915228366852E-11"/>
    <m/>
    <s v="Y"/>
    <m/>
    <n v="586900"/>
    <n v="347838.11"/>
    <n v="0"/>
    <n v="226978"/>
    <n v="12083.890000000014"/>
    <n v="12083.89"/>
    <n v="1.4551915228366852E-11"/>
    <n v="12083.89"/>
    <s v="847.8471305.1.432209.000000.847001.200179"/>
    <n v="586900"/>
    <n v="570068.61"/>
    <n v="0"/>
    <n v="4161"/>
    <n v="12670.39"/>
    <n v="0"/>
    <n v="0"/>
    <n v="0"/>
    <n v="1.4551915228366852E-11"/>
    <n v="574816.11"/>
    <n v="574229.61"/>
  </r>
  <r>
    <x v="10"/>
    <s v="College of medicine"/>
    <s v="2 Other Operating Costs"/>
    <n v="8471305"/>
    <s v="KUST - Dean Of Medicine"/>
    <n v="432210"/>
    <x v="82"/>
    <x v="479"/>
    <n v="35000"/>
    <n v="35000"/>
    <m/>
    <m/>
    <m/>
    <n v="35000"/>
    <m/>
    <m/>
    <n v="10000"/>
    <s v="Will inquire with  chairs related to small items"/>
    <n v="25000"/>
    <s v="surplus if unable to expend on small medical equipement such as dissection scissors etc…"/>
    <n v="25000"/>
    <n v="25000"/>
    <m/>
    <s v="Y"/>
    <m/>
    <n v="35000"/>
    <n v="0"/>
    <n v="0"/>
    <n v="0"/>
    <n v="35000"/>
    <n v="35000"/>
    <n v="0"/>
    <n v="10000"/>
    <s v="847.8471305.1.432210.000000.847001.200179"/>
    <n v="35000"/>
    <n v="0"/>
    <n v="0"/>
    <n v="0"/>
    <n v="35000"/>
    <n v="0"/>
    <n v="0"/>
    <n v="0"/>
    <n v="25000"/>
    <n v="10000"/>
    <n v="-15000"/>
  </r>
  <r>
    <x v="10"/>
    <s v="College of medicine"/>
    <s v="2 Other Operating Costs"/>
    <n v="8471305"/>
    <s v="KUST - Dean Of Medicine"/>
    <n v="435330"/>
    <x v="77"/>
    <x v="480"/>
    <n v="72000"/>
    <n v="1312390"/>
    <m/>
    <n v="1054944.71"/>
    <m/>
    <n v="257445.29000000004"/>
    <n v="257445"/>
    <m/>
    <m/>
    <s v="PR  have been submitted supported by Procuremtn and finance.  These are not reflected in in total  the report as of yet. "/>
    <n v="0.2900000000372529"/>
    <s v="To be exhausted this quarter as processed via procurement.  Emedley "/>
    <n v="0.2900000000372529"/>
    <n v="0.2900000000372529"/>
    <m/>
    <s v="Y"/>
    <m/>
    <n v="1312390"/>
    <n v="105637.37"/>
    <n v="148095.35999999999"/>
    <n v="783022.16"/>
    <n v="275635.11"/>
    <n v="275635.11"/>
    <n v="0"/>
    <n v="275634.81999999995"/>
    <s v="847.8471305.1.435330.000000.847001.200179"/>
    <n v="1312390"/>
    <n v="257634.35"/>
    <n v="148095.35999999999"/>
    <n v="631025.18000000005"/>
    <n v="275635.11"/>
    <n v="0"/>
    <n v="0"/>
    <n v="0"/>
    <n v="0.2900000000372529"/>
    <n v="1036754.89"/>
    <n v="1036754.6"/>
  </r>
  <r>
    <x v="10"/>
    <s v="College of medicine"/>
    <s v="2 Other Operating Costs"/>
    <n v="8471305"/>
    <s v="KUST - Dean Of Medicine"/>
    <n v="435340"/>
    <x v="36"/>
    <x v="481"/>
    <n v="591905"/>
    <n v="6515"/>
    <n v="305.68"/>
    <m/>
    <m/>
    <n v="6209.32"/>
    <m/>
    <m/>
    <n v="6209.32"/>
    <s v="To be expended befor the end of  4th quarter. "/>
    <n v="0"/>
    <s v="To be expended befor the end of  4th quarter. "/>
    <n v="0"/>
    <n v="0"/>
    <m/>
    <s v="Y"/>
    <m/>
    <n v="6515"/>
    <n v="305.68"/>
    <n v="0"/>
    <n v="0"/>
    <n v="6209.32"/>
    <n v="6209.32"/>
    <n v="0"/>
    <n v="6209.32"/>
    <s v="847.8471305.1.435340.000000.847001.200179"/>
    <n v="6515"/>
    <n v="305.68"/>
    <n v="0"/>
    <n v="0"/>
    <n v="6209.32"/>
    <n v="0"/>
    <n v="0"/>
    <n v="0"/>
    <n v="0"/>
    <n v="6515"/>
    <n v="6515"/>
  </r>
  <r>
    <x v="10"/>
    <s v="College of medicine"/>
    <s v="2 Other Operating Costs"/>
    <n v="8471305"/>
    <s v="KUST - Dean Of Medicine"/>
    <n v="435350"/>
    <x v="21"/>
    <x v="482"/>
    <n v="120000"/>
    <n v="345499"/>
    <n v="273623.65999999997"/>
    <m/>
    <m/>
    <n v="71875.340000000026"/>
    <n v="20000"/>
    <n v="30000"/>
    <n v="20000"/>
    <s v="Articles are in progress and will be submitted once approved by journals. "/>
    <n v="1875.3400000000256"/>
    <s v="To be expended befor the end of  4th quarter. Minimal surplus possible.  "/>
    <n v="1875.3400000000256"/>
    <n v="-11934.079999999974"/>
    <m/>
    <s v="Y"/>
    <m/>
    <n v="520499"/>
    <n v="341222.34"/>
    <n v="0"/>
    <n v="0"/>
    <n v="179276.65999999997"/>
    <n v="179276.66"/>
    <n v="0"/>
    <n v="177401.31999999995"/>
    <s v="847.8471305.1.435350.000000.847001.200179"/>
    <n v="520499"/>
    <n v="341492.34"/>
    <n v="0"/>
    <n v="0"/>
    <n v="179006.66"/>
    <n v="13809.42"/>
    <n v="0"/>
    <n v="0"/>
    <n v="-11934.079999999974"/>
    <n v="375031.76"/>
    <n v="387235.83999999997"/>
  </r>
  <r>
    <x v="10"/>
    <s v="College of medicine"/>
    <s v="2 Other Operating Costs"/>
    <n v="8471305"/>
    <s v="KUST - Dean Of Medicine"/>
    <n v="435508"/>
    <x v="33"/>
    <x v="483"/>
    <n v="1592072"/>
    <n v="1892072"/>
    <n v="994657.7"/>
    <n v="5630.0000000002301"/>
    <n v="672718.88"/>
    <n v="219065.41999999981"/>
    <n v="100000"/>
    <n v="119065"/>
    <m/>
    <s v="PR  have been submitted supported by Procuremtn and finance.  These are not reflected in in total  the report as of yet. "/>
    <n v="0.41999999980907887"/>
    <s v="To be expended befor the end of  4th quarter. Minimal surplus possible.  "/>
    <n v="0.41999999980907887"/>
    <n v="0.41999999980907887"/>
    <m/>
    <s v="Y"/>
    <m/>
    <n v="1892072"/>
    <n v="1099743.8500000001"/>
    <n v="5630"/>
    <n v="570158.88"/>
    <n v="216539.2699999999"/>
    <n v="216539.27"/>
    <n v="0"/>
    <n v="216538.85000000009"/>
    <s v="847.8471305.1.435508.000000.847001.200179"/>
    <n v="1892072"/>
    <n v="1141371.99"/>
    <n v="106452.52"/>
    <n v="524687"/>
    <n v="119560.49"/>
    <n v="0"/>
    <n v="0"/>
    <n v="0"/>
    <n v="0.41999999980907887"/>
    <n v="1675532.73"/>
    <n v="1772511.0900000003"/>
  </r>
  <r>
    <x v="10"/>
    <s v="College of medicine"/>
    <s v="2 Other Operating Costs"/>
    <n v="8471305"/>
    <s v="KUST - Dean Of Medicine"/>
    <n v="435530"/>
    <x v="79"/>
    <x v="484"/>
    <n v="10000"/>
    <n v="10000"/>
    <n v="80"/>
    <m/>
    <m/>
    <n v="9920"/>
    <n v="4000"/>
    <n v="4000"/>
    <n v="0"/>
    <s v="Items to be utilized by OME and Falcon Communities "/>
    <n v="1920"/>
    <s v="To be expended befor the end of  4th quarter. Minimal surplus possible.  "/>
    <n v="1920"/>
    <n v="1920"/>
    <m/>
    <s v="Y"/>
    <m/>
    <n v="10000"/>
    <n v="80"/>
    <n v="0"/>
    <n v="0"/>
    <n v="9920"/>
    <n v="9920"/>
    <n v="0"/>
    <n v="8000"/>
    <s v="847.8471305.1.435530.000000.847001.200179"/>
    <n v="10000"/>
    <n v="80"/>
    <n v="0"/>
    <n v="0"/>
    <n v="9920"/>
    <n v="0"/>
    <n v="0"/>
    <n v="0"/>
    <n v="1920"/>
    <n v="80"/>
    <n v="-1840"/>
  </r>
  <r>
    <x v="10"/>
    <s v="College of medicine"/>
    <s v="2 Other Operating Costs"/>
    <n v="8471305"/>
    <s v="KUST - Dean Of Medicine"/>
    <n v="436120"/>
    <x v="65"/>
    <x v="485"/>
    <n v="112000"/>
    <n v="112000"/>
    <n v="1055.25"/>
    <m/>
    <m/>
    <n v="110944.75"/>
    <n v="8000"/>
    <n v="20000"/>
    <n v="60000"/>
    <s v="PR  have recently been submitted"/>
    <n v="22944.75"/>
    <s v="To be expended befor the end of  4th quarter. Minimal surplus possible.  "/>
    <n v="22944.75"/>
    <n v="22944.75"/>
    <m/>
    <s v="Y"/>
    <m/>
    <n v="112000"/>
    <n v="3165.75"/>
    <n v="0"/>
    <n v="0"/>
    <n v="108834.25"/>
    <n v="108834.25"/>
    <n v="0"/>
    <n v="85889.5"/>
    <s v="847.8471305.1.436120.000000.847001.200179"/>
    <n v="87000"/>
    <n v="3165.75"/>
    <n v="0"/>
    <n v="0"/>
    <n v="83834.25"/>
    <n v="0"/>
    <n v="0"/>
    <n v="0"/>
    <n v="22944.75"/>
    <n v="63165.75"/>
    <n v="40221"/>
  </r>
  <r>
    <x v="6"/>
    <s v="Ankabut office"/>
    <s v="2 Other Operating Costs"/>
    <n v="8470810"/>
    <s v="KUST - Ankabut office"/>
    <s v="420810"/>
    <x v="73"/>
    <x v="486"/>
    <n v="10351793"/>
    <m/>
    <m/>
    <m/>
    <n v="0"/>
    <m/>
    <m/>
    <m/>
    <m/>
    <n v="0"/>
    <m/>
    <m/>
    <n v="0"/>
    <n v="0"/>
    <m/>
    <s v="Y"/>
    <m/>
    <n v="0"/>
    <n v="0"/>
    <n v="0"/>
    <n v="0"/>
    <n v="0"/>
    <n v="0"/>
    <n v="0"/>
    <n v="0"/>
    <s v="847.8470810.1.420810.000000.847001.200179"/>
    <n v="0"/>
    <n v="0"/>
    <n v="0"/>
    <n v="0"/>
    <n v="0"/>
    <n v="0"/>
    <n v="0"/>
    <n v="0"/>
    <n v="0"/>
    <n v="0"/>
    <n v="0"/>
  </r>
  <r>
    <x v="6"/>
    <s v="Ankabut office"/>
    <s v="2 Other Operating Costs"/>
    <n v="8470810"/>
    <s v="KUST - Ankabut office"/>
    <s v="430230"/>
    <x v="56"/>
    <x v="487"/>
    <n v="1021317"/>
    <m/>
    <m/>
    <m/>
    <n v="0"/>
    <m/>
    <m/>
    <m/>
    <m/>
    <n v="0"/>
    <m/>
    <m/>
    <n v="0"/>
    <n v="0"/>
    <m/>
    <s v="Y"/>
    <m/>
    <n v="0"/>
    <n v="0"/>
    <n v="0"/>
    <n v="0"/>
    <n v="0"/>
    <n v="0"/>
    <n v="0"/>
    <n v="0"/>
    <s v="847.8470810.1.430230.000000.847001.200179"/>
    <n v="0"/>
    <n v="0"/>
    <n v="0"/>
    <n v="0"/>
    <n v="0"/>
    <n v="0"/>
    <n v="0"/>
    <n v="0"/>
    <n v="0"/>
    <n v="0"/>
    <n v="0"/>
  </r>
  <r>
    <x v="6"/>
    <s v="Ankabut office"/>
    <s v="2 Other Operating Costs"/>
    <n v="8470810"/>
    <s v="KUST - Ankabut office"/>
    <s v="436110"/>
    <x v="31"/>
    <x v="488"/>
    <n v="360000"/>
    <m/>
    <m/>
    <m/>
    <n v="0"/>
    <m/>
    <m/>
    <m/>
    <m/>
    <n v="0"/>
    <m/>
    <m/>
    <n v="0"/>
    <n v="0"/>
    <m/>
    <s v="Y"/>
    <m/>
    <n v="0"/>
    <n v="0"/>
    <n v="0"/>
    <n v="0"/>
    <n v="0"/>
    <n v="0"/>
    <n v="0"/>
    <n v="0"/>
    <s v="847.8470810.1.436110.000000.847001.200179"/>
    <n v="0"/>
    <n v="0"/>
    <n v="0"/>
    <n v="0"/>
    <n v="0"/>
    <n v="0"/>
    <n v="0"/>
    <n v="0"/>
    <n v="0"/>
    <n v="0"/>
    <n v="0"/>
  </r>
  <r>
    <x v="3"/>
    <s v="Academic &amp; student service office"/>
    <s v="2 Other Operating Costs"/>
    <n v="8471210"/>
    <s v="KUST - SVP/ Academic &amp; Student Services Office"/>
    <s v="435530"/>
    <x v="79"/>
    <x v="489"/>
    <n v="20000"/>
    <m/>
    <m/>
    <m/>
    <n v="0"/>
    <m/>
    <m/>
    <m/>
    <m/>
    <n v="0"/>
    <m/>
    <m/>
    <n v="0"/>
    <n v="0"/>
    <m/>
    <s v="Y"/>
    <m/>
    <n v="0"/>
    <n v="0"/>
    <n v="0"/>
    <n v="0"/>
    <n v="0"/>
    <n v="0"/>
    <n v="0"/>
    <n v="0"/>
    <s v="847.8471210.1.435530.000000.847001.200179"/>
    <n v="0"/>
    <n v="0"/>
    <n v="0"/>
    <n v="0"/>
    <n v="0"/>
    <n v="0"/>
    <n v="0"/>
    <n v="0"/>
    <n v="0"/>
    <n v="0"/>
    <n v="0"/>
  </r>
  <r>
    <x v="3"/>
    <s v="Academic &amp; student service office"/>
    <s v="2 Other Operating Costs"/>
    <n v="8471250"/>
    <s v="KUST - Career Services"/>
    <s v="425720"/>
    <x v="37"/>
    <x v="490"/>
    <n v="560000"/>
    <m/>
    <m/>
    <m/>
    <n v="0"/>
    <m/>
    <m/>
    <m/>
    <m/>
    <n v="0"/>
    <m/>
    <m/>
    <n v="0"/>
    <n v="0"/>
    <m/>
    <s v="Y"/>
    <m/>
    <n v="0"/>
    <n v="0"/>
    <n v="0"/>
    <n v="0"/>
    <n v="0"/>
    <n v="0"/>
    <n v="0"/>
    <n v="0"/>
    <s v="847.8471250.1.425720.000000.847001.200179"/>
    <n v="0"/>
    <n v="0"/>
    <n v="0"/>
    <n v="0"/>
    <n v="0"/>
    <n v="0"/>
    <n v="0"/>
    <n v="0"/>
    <n v="0"/>
    <n v="0"/>
    <n v="0"/>
  </r>
  <r>
    <x v="10"/>
    <s v="College of medicine"/>
    <s v="2 Other Operating Costs"/>
    <n v="8471305"/>
    <s v="KUST - Dean Of Medicine"/>
    <s v="420810"/>
    <x v="73"/>
    <x v="491"/>
    <n v="263385"/>
    <m/>
    <m/>
    <m/>
    <n v="0"/>
    <m/>
    <m/>
    <m/>
    <m/>
    <n v="0"/>
    <m/>
    <m/>
    <n v="0"/>
    <n v="0"/>
    <m/>
    <s v="Y"/>
    <m/>
    <n v="0"/>
    <n v="0"/>
    <n v="0"/>
    <n v="0"/>
    <n v="0"/>
    <n v="0"/>
    <n v="0"/>
    <n v="0"/>
    <s v="847.8471305.1.420810.000000.847001.200179"/>
    <n v="0"/>
    <n v="0"/>
    <n v="0"/>
    <n v="0"/>
    <n v="0"/>
    <n v="0"/>
    <n v="0"/>
    <n v="0"/>
    <n v="0"/>
    <n v="0"/>
    <n v="0"/>
  </r>
  <r>
    <x v="10"/>
    <s v="College of medicine"/>
    <s v="2 Other Operating Costs"/>
    <n v="8471305"/>
    <s v="KUST - Dean Of Medicine"/>
    <s v="420811"/>
    <x v="68"/>
    <x v="492"/>
    <n v="0"/>
    <m/>
    <m/>
    <m/>
    <n v="0"/>
    <m/>
    <m/>
    <m/>
    <m/>
    <n v="0"/>
    <m/>
    <m/>
    <n v="0"/>
    <n v="0"/>
    <m/>
    <s v="Y"/>
    <m/>
    <n v="0"/>
    <n v="0"/>
    <n v="0"/>
    <n v="0"/>
    <n v="0"/>
    <n v="0"/>
    <n v="0"/>
    <n v="0"/>
    <s v="847.8471305.1.420811.000000.847001.200179"/>
    <n v="0"/>
    <n v="0"/>
    <n v="0"/>
    <n v="0"/>
    <n v="0"/>
    <n v="0"/>
    <n v="0"/>
    <n v="0"/>
    <n v="0"/>
    <n v="0"/>
    <n v="0"/>
  </r>
  <r>
    <x v="10"/>
    <s v="College of medicine"/>
    <s v="2 Other Operating Costs"/>
    <n v="8471305"/>
    <s v="KUST - Dean Of Medicine"/>
    <s v="436110"/>
    <x v="31"/>
    <x v="493"/>
    <n v="200000"/>
    <m/>
    <m/>
    <m/>
    <n v="0"/>
    <m/>
    <m/>
    <m/>
    <m/>
    <n v="0"/>
    <m/>
    <m/>
    <n v="0"/>
    <n v="0"/>
    <m/>
    <s v="Y"/>
    <m/>
    <n v="0"/>
    <n v="0"/>
    <n v="0"/>
    <n v="0"/>
    <n v="0"/>
    <n v="0"/>
    <n v="0"/>
    <n v="0"/>
    <s v="847.8471305.1.436110.000000.847001.200179"/>
    <n v="0"/>
    <n v="0"/>
    <n v="0"/>
    <n v="0"/>
    <n v="0"/>
    <n v="0"/>
    <n v="0"/>
    <n v="0"/>
    <n v="0"/>
    <n v="0"/>
    <n v="0"/>
  </r>
  <r>
    <x v="0"/>
    <s v="SVP/ Support Services Office"/>
    <m/>
    <n v="8470160"/>
    <s v="KUST - SVP/ Support Services Office"/>
    <s v="428090"/>
    <x v="9"/>
    <x v="494"/>
    <m/>
    <m/>
    <m/>
    <m/>
    <m/>
    <m/>
    <m/>
    <m/>
    <m/>
    <m/>
    <m/>
    <m/>
    <n v="0"/>
    <n v="0"/>
    <m/>
    <s v="Y"/>
    <m/>
    <n v="80000"/>
    <n v="33589.9"/>
    <n v="0"/>
    <n v="0"/>
    <n v="46410.1"/>
    <n v="46410.1"/>
    <n v="0"/>
    <n v="46410.1"/>
    <s v="847.8470160.1.428090.000000.847001.200179"/>
    <n v="80000"/>
    <n v="37589.800000000003"/>
    <n v="0"/>
    <n v="0"/>
    <n v="42410.2"/>
    <n v="0"/>
    <n v="0"/>
    <n v="0"/>
    <n v="0"/>
    <n v="33589.9"/>
    <n v="37589.800000000003"/>
  </r>
  <r>
    <x v="4"/>
    <s v="College of engineering"/>
    <m/>
    <n v="8470310"/>
    <s v="KUST - Aerospace Engineering"/>
    <s v="435340"/>
    <x v="36"/>
    <x v="495"/>
    <m/>
    <m/>
    <m/>
    <m/>
    <m/>
    <m/>
    <m/>
    <m/>
    <m/>
    <m/>
    <m/>
    <m/>
    <n v="0"/>
    <n v="0"/>
    <m/>
    <s v="Y"/>
    <m/>
    <n v="60000"/>
    <n v="0"/>
    <n v="0"/>
    <n v="56343.82"/>
    <n v="3656.1800000000003"/>
    <n v="3656.18"/>
    <n v="0"/>
    <n v="3656.1800000000003"/>
    <s v="847.8470310.1.435340.000000.847001.200179"/>
    <n v="60000"/>
    <n v="0"/>
    <n v="0"/>
    <n v="56343.82"/>
    <n v="3656.18"/>
    <n v="0"/>
    <n v="0"/>
    <n v="0"/>
    <n v="0"/>
    <n v="56343.82"/>
    <n v="56343.82"/>
  </r>
  <r>
    <x v="4"/>
    <s v="College of engineering"/>
    <m/>
    <n v="8470330"/>
    <s v="KUST - Electrical &amp; Computer Engineering"/>
    <s v="427710"/>
    <x v="13"/>
    <x v="496"/>
    <m/>
    <m/>
    <m/>
    <m/>
    <m/>
    <m/>
    <m/>
    <m/>
    <m/>
    <m/>
    <m/>
    <m/>
    <n v="0"/>
    <n v="0"/>
    <m/>
    <s v="Y"/>
    <m/>
    <n v="10000"/>
    <n v="0"/>
    <n v="0"/>
    <n v="0"/>
    <n v="10000"/>
    <n v="10000"/>
    <n v="0"/>
    <n v="10000"/>
    <s v="847.8470330.1.427710.000000.847001.200179"/>
    <n v="10000"/>
    <n v="0"/>
    <n v="0"/>
    <n v="0"/>
    <n v="10000"/>
    <n v="0"/>
    <n v="0"/>
    <n v="0"/>
    <n v="0"/>
    <n v="0"/>
    <n v="0"/>
  </r>
  <r>
    <x v="5"/>
    <s v="College of Art &amp; science"/>
    <m/>
    <n v="8470445"/>
    <s v="KUST - Mathematics"/>
    <s v="425510"/>
    <x v="5"/>
    <x v="497"/>
    <m/>
    <m/>
    <m/>
    <m/>
    <m/>
    <m/>
    <m/>
    <m/>
    <m/>
    <m/>
    <m/>
    <m/>
    <n v="0"/>
    <n v="0"/>
    <m/>
    <s v="Y"/>
    <m/>
    <n v="10000"/>
    <n v="0"/>
    <n v="0"/>
    <n v="0"/>
    <n v="10000"/>
    <n v="10000"/>
    <n v="0"/>
    <n v="10000"/>
    <s v="847.8470445.1.425510.000000.847001.200179"/>
    <n v="10000"/>
    <n v="0"/>
    <n v="0"/>
    <n v="0"/>
    <n v="10000"/>
    <n v="0"/>
    <n v="0"/>
    <n v="0"/>
    <n v="0"/>
    <n v="0"/>
    <n v="0"/>
  </r>
  <r>
    <x v="6"/>
    <s v="Administrations, Facilities &amp; EHS office"/>
    <m/>
    <n v="8470530"/>
    <s v="KUST - Facilities Management"/>
    <s v="435410"/>
    <x v="59"/>
    <x v="498"/>
    <m/>
    <m/>
    <m/>
    <m/>
    <m/>
    <m/>
    <m/>
    <m/>
    <m/>
    <m/>
    <m/>
    <m/>
    <n v="0"/>
    <n v="0"/>
    <m/>
    <s v="Y"/>
    <m/>
    <n v="11750"/>
    <n v="0"/>
    <n v="0"/>
    <n v="0"/>
    <n v="11750"/>
    <n v="11750"/>
    <n v="0"/>
    <n v="11750"/>
    <s v="847.8470530.1.435410.000000.847020.200179"/>
    <n v="11750"/>
    <n v="0"/>
    <n v="0"/>
    <n v="0"/>
    <n v="11750"/>
    <n v="0"/>
    <n v="0"/>
    <n v="0"/>
    <n v="0"/>
    <n v="0"/>
    <n v="0"/>
  </r>
  <r>
    <x v="9"/>
    <s v="Administrations, Facilities &amp; EHS office"/>
    <m/>
    <n v="8471160"/>
    <s v="KUST - Research Laboratories"/>
    <s v="422100"/>
    <x v="81"/>
    <x v="499"/>
    <m/>
    <m/>
    <m/>
    <m/>
    <m/>
    <m/>
    <m/>
    <m/>
    <m/>
    <m/>
    <m/>
    <m/>
    <n v="0"/>
    <n v="0"/>
    <m/>
    <s v="Y"/>
    <m/>
    <n v="160000"/>
    <n v="0"/>
    <n v="0"/>
    <n v="0"/>
    <n v="160000"/>
    <n v="160000"/>
    <n v="0"/>
    <n v="160000"/>
    <s v="847.8471160.1.422100.000000.847001.200179"/>
    <n v="160400"/>
    <n v="160400"/>
    <n v="0"/>
    <n v="0"/>
    <n v="0"/>
    <n v="0"/>
    <n v="0"/>
    <n v="0"/>
    <n v="0"/>
    <n v="0"/>
    <n v="160400"/>
  </r>
  <r>
    <x v="3"/>
    <s v="Academic &amp; student service office"/>
    <m/>
    <n v="8471250"/>
    <s v="KUST - Career Services"/>
    <s v="425761"/>
    <x v="29"/>
    <x v="500"/>
    <m/>
    <m/>
    <m/>
    <m/>
    <m/>
    <m/>
    <m/>
    <m/>
    <m/>
    <m/>
    <m/>
    <m/>
    <n v="0"/>
    <n v="-8995"/>
    <m/>
    <s v="Y"/>
    <m/>
    <n v="165000"/>
    <n v="51645"/>
    <n v="0"/>
    <n v="0"/>
    <n v="113355"/>
    <n v="113355"/>
    <n v="0"/>
    <n v="113355"/>
    <s v="847.8471250.1.425761.000000.847001.200179"/>
    <n v="80600"/>
    <n v="60245"/>
    <n v="0"/>
    <n v="0"/>
    <n v="20355"/>
    <n v="0"/>
    <n v="0"/>
    <n v="8995"/>
    <n v="-8995"/>
    <n v="60640"/>
    <n v="78235"/>
  </r>
  <r>
    <x v="10"/>
    <s v="College of medicine"/>
    <m/>
    <n v="8471305"/>
    <s v="KUST - Dean Of Medicine"/>
    <s v="436600"/>
    <x v="34"/>
    <x v="501"/>
    <m/>
    <m/>
    <m/>
    <m/>
    <m/>
    <m/>
    <m/>
    <m/>
    <m/>
    <m/>
    <m/>
    <m/>
    <n v="0"/>
    <n v="-6000"/>
    <m/>
    <s v="Y"/>
    <m/>
    <n v="6000"/>
    <n v="0"/>
    <n v="0"/>
    <n v="0"/>
    <n v="6000"/>
    <n v="6000"/>
    <n v="0"/>
    <n v="6000"/>
    <s v="847.8471305.1.436600.000000.847001.200179"/>
    <n v="6000"/>
    <n v="0"/>
    <n v="0"/>
    <n v="0"/>
    <n v="6000"/>
    <n v="6000"/>
    <n v="0"/>
    <n v="0"/>
    <n v="-6000"/>
    <n v="6000"/>
    <n v="12000"/>
  </r>
  <r>
    <x v="5"/>
    <m/>
    <m/>
    <n v="8470410"/>
    <s v="KUST - Institute of International &amp; Civil Security"/>
    <n v="428090"/>
    <x v="9"/>
    <x v="502"/>
    <m/>
    <m/>
    <m/>
    <m/>
    <m/>
    <m/>
    <m/>
    <m/>
    <m/>
    <m/>
    <m/>
    <m/>
    <m/>
    <n v="0"/>
    <m/>
    <m/>
    <m/>
    <m/>
    <m/>
    <m/>
    <m/>
    <m/>
    <m/>
    <m/>
    <m/>
    <s v="847.8470410.1.428090.000000.847001.200179"/>
    <n v="4529"/>
    <n v="4529"/>
    <n v="0"/>
    <n v="0"/>
    <n v="0"/>
    <m/>
    <m/>
    <m/>
    <m/>
    <m/>
    <n v="4529"/>
  </r>
  <r>
    <x v="6"/>
    <m/>
    <m/>
    <n v="8470520"/>
    <s v="KUST - Environment, Health &amp; Safety"/>
    <n v="428640"/>
    <x v="11"/>
    <x v="503"/>
    <m/>
    <m/>
    <m/>
    <m/>
    <m/>
    <m/>
    <m/>
    <m/>
    <m/>
    <m/>
    <m/>
    <m/>
    <m/>
    <n v="0"/>
    <m/>
    <m/>
    <m/>
    <m/>
    <m/>
    <m/>
    <m/>
    <m/>
    <m/>
    <m/>
    <m/>
    <s v="847.8470520.1.428640.000000.847001.200179"/>
    <n v="25000"/>
    <n v="0"/>
    <n v="0"/>
    <n v="0"/>
    <n v="25000"/>
    <m/>
    <m/>
    <m/>
    <m/>
    <m/>
    <n v="0"/>
  </r>
  <r>
    <x v="7"/>
    <m/>
    <m/>
    <n v="8470620"/>
    <s v="KUST - Finance Operations"/>
    <n v="425900"/>
    <x v="7"/>
    <x v="504"/>
    <m/>
    <m/>
    <m/>
    <m/>
    <m/>
    <m/>
    <m/>
    <m/>
    <m/>
    <m/>
    <m/>
    <m/>
    <m/>
    <n v="0"/>
    <m/>
    <m/>
    <m/>
    <m/>
    <m/>
    <m/>
    <m/>
    <m/>
    <m/>
    <m/>
    <m/>
    <s v="847.8470620.1.425900.000000.847001.200179"/>
    <n v="5000"/>
    <n v="1000"/>
    <n v="0"/>
    <n v="0"/>
    <n v="4000"/>
    <m/>
    <m/>
    <m/>
    <m/>
    <m/>
    <n v="1000"/>
  </r>
  <r>
    <x v="6"/>
    <m/>
    <m/>
    <n v="8470720"/>
    <s v="KUST - Procurement and Contracts"/>
    <n v="421000"/>
    <x v="3"/>
    <x v="505"/>
    <m/>
    <m/>
    <m/>
    <m/>
    <m/>
    <m/>
    <m/>
    <m/>
    <m/>
    <m/>
    <m/>
    <m/>
    <m/>
    <n v="0"/>
    <m/>
    <m/>
    <m/>
    <m/>
    <m/>
    <m/>
    <m/>
    <m/>
    <m/>
    <m/>
    <m/>
    <s v="847.8470720.1.421000.000000.847001.200179"/>
    <m/>
    <n v="-177900.66"/>
    <n v="0"/>
    <n v="0"/>
    <n v="177900.66"/>
    <m/>
    <m/>
    <m/>
    <m/>
    <m/>
    <n v="-177900.66"/>
  </r>
</pivotCacheRecords>
</file>

<file path=xl/pivotCache/pivotCacheRecords5.xml><?xml version="1.0" encoding="utf-8"?>
<pivotCacheRecords xmlns="http://schemas.openxmlformats.org/spreadsheetml/2006/main" xmlns:r="http://schemas.openxmlformats.org/officeDocument/2006/relationships" count="51">
  <r>
    <x v="0"/>
    <s v="office of the president"/>
    <s v="3 Capital Payments"/>
    <n v="8470110"/>
    <s v="KUST - Office of the President"/>
    <n v="492316"/>
    <x v="0"/>
    <s v="847.8470110.1.492316.000000.847001.300180"/>
    <n v="1220302"/>
    <n v="1220302"/>
    <n v="1220301.8"/>
    <m/>
    <n v="0"/>
    <n v="0.19999999995343401"/>
    <m/>
    <m/>
    <m/>
    <m/>
    <n v="0.19999999995343401"/>
    <m/>
    <s v="N"/>
    <n v="0"/>
    <n v="0.19999999995343401"/>
    <n v="0.19999999983701855"/>
    <m/>
    <m/>
    <n v="0.39999999979045253"/>
    <n v="1220302"/>
    <n v="1220301.8"/>
    <n v="0"/>
    <n v="1.16415321826935E-10"/>
    <n v="0.19999999983701855"/>
    <s v="847.8470110.1.492316.000000.847001.300180"/>
    <n v="1220302"/>
    <n v="1220301.8"/>
    <n v="0"/>
    <n v="1.16415321826935E-10"/>
    <n v="0.19999999983701855"/>
    <n v="1220301.6000000006"/>
  </r>
  <r>
    <x v="0"/>
    <s v="office of the president"/>
    <s v="3 Capital Payments"/>
    <n v="8470120"/>
    <s v="KUST - Audit"/>
    <n v="495113"/>
    <x v="1"/>
    <s v="847.8470120.1.495113.000000.847001.300180"/>
    <n v="0"/>
    <n v="56000"/>
    <m/>
    <n v="0"/>
    <n v="44351.48"/>
    <n v="11648.52"/>
    <m/>
    <m/>
    <m/>
    <m/>
    <n v="11648.52"/>
    <m/>
    <s v="N"/>
    <n v="11245.5"/>
    <n v="22894.02"/>
    <n v="11648.519999999997"/>
    <m/>
    <m/>
    <n v="23297.039999999997"/>
    <n v="56000"/>
    <n v="0"/>
    <n v="11245.5"/>
    <n v="44351.48"/>
    <n v="403.0199999999968"/>
    <s v="847.8470120.1.495113.000000.847001.300180"/>
    <n v="56000"/>
    <n v="0"/>
    <n v="0"/>
    <n v="44351.48"/>
    <n v="11648.519999999997"/>
    <n v="32702.960000000006"/>
  </r>
  <r>
    <x v="1"/>
    <s v="EVP office"/>
    <s v="3 Capital Payments"/>
    <n v="8470140"/>
    <s v="KUST - Communication"/>
    <n v="492310"/>
    <x v="2"/>
    <s v="847.8470140.1.492310.000000.847001.300180"/>
    <n v="137589"/>
    <n v="27589"/>
    <m/>
    <m/>
    <m/>
    <n v="27589"/>
    <m/>
    <m/>
    <m/>
    <m/>
    <n v="27589"/>
    <m/>
    <s v="Y"/>
    <n v="0"/>
    <n v="27589"/>
    <n v="27589"/>
    <m/>
    <m/>
    <n v="55178"/>
    <n v="27589"/>
    <n v="0"/>
    <n v="0"/>
    <n v="0"/>
    <n v="27589"/>
    <s v="847.8470140.1.492310.000000.847001.300180"/>
    <n v="27589"/>
    <n v="0"/>
    <n v="0"/>
    <n v="0"/>
    <n v="27589"/>
    <n v="-27589"/>
  </r>
  <r>
    <x v="2"/>
    <s v="Academic &amp; student service office"/>
    <s v="3 Capital Payments"/>
    <n v="8470230"/>
    <s v="KUST - Graduate Studies"/>
    <n v="492310"/>
    <x v="2"/>
    <s v="847.8470230.1.492310.000000.847001.300180"/>
    <n v="1380709"/>
    <n v="1380709"/>
    <n v="1333260"/>
    <n v="0"/>
    <n v="0"/>
    <n v="47449"/>
    <m/>
    <m/>
    <m/>
    <m/>
    <n v="47449"/>
    <m/>
    <s v="N"/>
    <n v="0"/>
    <n v="47449"/>
    <n v="47449"/>
    <m/>
    <m/>
    <n v="94898"/>
    <n v="1380709"/>
    <n v="1333260"/>
    <n v="0"/>
    <n v="0"/>
    <n v="47449"/>
    <s v="847.8470230.1.492310.000000.847001.300180"/>
    <n v="1380709"/>
    <n v="1333260"/>
    <n v="0"/>
    <n v="0"/>
    <n v="47449"/>
    <n v="1285811"/>
  </r>
  <r>
    <x v="3"/>
    <s v="College of engineering"/>
    <s v="3 Capital Payments"/>
    <n v="8470310"/>
    <s v="KUST - Aerospace Engineering"/>
    <n v="492316"/>
    <x v="0"/>
    <s v="847.8470310.1.492316.000000.847001.300180"/>
    <n v="1174460"/>
    <n v="1174460"/>
    <n v="364703.32"/>
    <n v="805100"/>
    <n v="0"/>
    <n v="4656.6799999999303"/>
    <m/>
    <m/>
    <m/>
    <m/>
    <n v="4656.6799999999303"/>
    <m/>
    <s v="N"/>
    <n v="0"/>
    <n v="4656.6799999999303"/>
    <n v="4656.6799999999348"/>
    <m/>
    <m/>
    <n v="9313.359999999866"/>
    <n v="1174460"/>
    <n v="364703.32"/>
    <n v="0"/>
    <n v="805100"/>
    <n v="4656.6799999999348"/>
    <s v="847.8470310.1.492316.000000.847001.300180"/>
    <n v="1174460"/>
    <n v="364703.32"/>
    <n v="0"/>
    <n v="805100"/>
    <n v="4656.6799999999348"/>
    <n v="1165146.6400000001"/>
  </r>
  <r>
    <x v="3"/>
    <s v="College of engineering"/>
    <s v="3 Capital Payments"/>
    <n v="8470315"/>
    <s v="KUST - Biomedical Engineering"/>
    <n v="492316"/>
    <x v="0"/>
    <s v="847.8470315.1.492316.000000.847001.300180"/>
    <n v="700693"/>
    <n v="700693"/>
    <n v="657144.79"/>
    <n v="-8.0035533756017698E-11"/>
    <n v="-15631.86"/>
    <n v="59180.070000000102"/>
    <m/>
    <m/>
    <m/>
    <m/>
    <n v="59180.070000000102"/>
    <m/>
    <s v="N"/>
    <n v="0"/>
    <n v="59180.070000000102"/>
    <n v="59180.069999999963"/>
    <m/>
    <m/>
    <n v="118360.14000000007"/>
    <n v="700693"/>
    <n v="657144.79"/>
    <n v="0"/>
    <n v="-15631.86"/>
    <n v="59180.069999999963"/>
    <s v="847.8470315.1.492316.000000.847001.300180"/>
    <n v="700693"/>
    <n v="657144.79"/>
    <n v="0"/>
    <n v="-15631.86"/>
    <n v="59180.069999999963"/>
    <n v="582332.8600000001"/>
  </r>
  <r>
    <x v="3"/>
    <s v="College of engineering"/>
    <s v="3 Capital Payments"/>
    <n v="8470320"/>
    <s v="KUST - Chemical Engineering"/>
    <n v="492316"/>
    <x v="0"/>
    <s v="847.8470320.1.492316.000000.847001.300180"/>
    <n v="1813427"/>
    <n v="931427"/>
    <n v="203900"/>
    <n v="519300"/>
    <n v="109938"/>
    <n v="98289"/>
    <m/>
    <m/>
    <m/>
    <m/>
    <n v="98289"/>
    <m/>
    <s v="N"/>
    <n v="70800"/>
    <n v="169089"/>
    <n v="90836"/>
    <m/>
    <m/>
    <n v="189125"/>
    <n v="834674"/>
    <n v="267018"/>
    <n v="70800"/>
    <n v="476820"/>
    <n v="20036"/>
    <s v="847.8470320.1.492316.000000.847001.300180"/>
    <n v="834674"/>
    <n v="267018"/>
    <n v="0"/>
    <n v="476820"/>
    <n v="90836"/>
    <n v="653002"/>
  </r>
  <r>
    <x v="3"/>
    <s v="College of engineering"/>
    <s v="3 Capital Payments"/>
    <n v="8470320"/>
    <s v="KUST - Chemical Engineering"/>
    <n v="495140"/>
    <x v="3"/>
    <s v="847.8470320.1.495140.000000.847001.300180"/>
    <n v="16097"/>
    <n v="16097"/>
    <m/>
    <m/>
    <m/>
    <n v="16097"/>
    <m/>
    <m/>
    <m/>
    <m/>
    <n v="16097"/>
    <m/>
    <s v="N"/>
    <n v="0"/>
    <n v="16097"/>
    <n v="16097"/>
    <m/>
    <m/>
    <n v="32194"/>
    <n v="16097"/>
    <n v="0"/>
    <n v="0"/>
    <n v="0"/>
    <n v="16097"/>
    <s v="847.8470320.1.495140.000000.847001.300180"/>
    <n v="16097"/>
    <n v="0"/>
    <n v="0"/>
    <n v="0"/>
    <n v="16097"/>
    <n v="-16097"/>
  </r>
  <r>
    <x v="3"/>
    <s v="College of engineering"/>
    <s v="3 Capital Payments"/>
    <n v="8470325"/>
    <s v="KUST - Civil Engineering"/>
    <n v="492316"/>
    <x v="0"/>
    <s v="847.8470325.1.492316.000000.847001.300180"/>
    <n v="611783"/>
    <n v="611783"/>
    <n v="487360"/>
    <n v="0"/>
    <n v="85460"/>
    <n v="38963"/>
    <m/>
    <m/>
    <m/>
    <m/>
    <n v="38963"/>
    <m/>
    <s v="N"/>
    <n v="0"/>
    <n v="38963"/>
    <n v="38963"/>
    <m/>
    <m/>
    <n v="77926"/>
    <n v="611783"/>
    <n v="536437"/>
    <n v="0"/>
    <n v="36383"/>
    <n v="38963"/>
    <s v="847.8470325.1.492316.000000.847001.300180"/>
    <n v="611783"/>
    <n v="559410"/>
    <n v="0"/>
    <n v="13410"/>
    <n v="38963"/>
    <n v="533857"/>
  </r>
  <r>
    <x v="3"/>
    <s v="College of engineering"/>
    <s v="3 Capital Payments"/>
    <n v="8470330"/>
    <s v="KUST - Electrical &amp; Computer Engineering"/>
    <n v="492316"/>
    <x v="0"/>
    <s v="847.8470330.1.492316.000000.847001.300180"/>
    <n v="456796"/>
    <n v="456796"/>
    <n v="38500"/>
    <n v="0"/>
    <n v="355300"/>
    <n v="62996"/>
    <m/>
    <m/>
    <m/>
    <m/>
    <n v="62996"/>
    <m/>
    <s v="N"/>
    <n v="0"/>
    <n v="62996"/>
    <n v="18336"/>
    <m/>
    <m/>
    <n v="81332"/>
    <n v="456796"/>
    <n v="394225"/>
    <n v="0"/>
    <n v="44235"/>
    <n v="18336"/>
    <s v="847.8470330.1.492316.000000.847001.300180"/>
    <n v="456796"/>
    <n v="394225"/>
    <n v="0"/>
    <n v="44235"/>
    <n v="18336"/>
    <n v="420124"/>
  </r>
  <r>
    <x v="3"/>
    <s v="College of engineering"/>
    <s v="3 Capital Payments"/>
    <n v="8470335"/>
    <s v="KUST - Industrial &amp; Systems Engineering"/>
    <n v="492316"/>
    <x v="0"/>
    <s v="847.8470335.1.492316.000000.847001.300180"/>
    <n v="234334"/>
    <n v="234334"/>
    <n v="11026.05"/>
    <n v="0"/>
    <n v="223066"/>
    <n v="241.95000000001201"/>
    <m/>
    <m/>
    <m/>
    <m/>
    <n v="241.95000000001201"/>
    <m/>
    <s v="N"/>
    <n v="0"/>
    <n v="241.95000000001201"/>
    <n v="241.95000000001164"/>
    <m/>
    <m/>
    <n v="483.90000000002362"/>
    <n v="234334"/>
    <n v="11026.05"/>
    <n v="0"/>
    <n v="223066"/>
    <n v="241.95000000001164"/>
    <s v="847.8470335.1.492316.000000.847001.300180"/>
    <n v="234334"/>
    <n v="11026.05"/>
    <n v="0"/>
    <n v="223066"/>
    <n v="241.95000000001164"/>
    <n v="233850.09999999998"/>
  </r>
  <r>
    <x v="3"/>
    <s v="College of engineering"/>
    <s v="3 Capital Payments"/>
    <n v="8470340"/>
    <s v="KUST - Mechanical Engineering"/>
    <n v="492316"/>
    <x v="0"/>
    <s v="847.8470340.1.492316.000000.847001.300180"/>
    <n v="533159"/>
    <n v="533159"/>
    <m/>
    <n v="0"/>
    <n v="532460"/>
    <n v="699"/>
    <m/>
    <m/>
    <m/>
    <m/>
    <n v="699"/>
    <m/>
    <s v="N"/>
    <n v="0"/>
    <n v="699"/>
    <n v="699"/>
    <m/>
    <m/>
    <n v="1398"/>
    <n v="533159"/>
    <n v="0"/>
    <n v="0"/>
    <n v="532460"/>
    <n v="699"/>
    <s v="847.8470340.1.492316.000000.847001.300180"/>
    <n v="533159"/>
    <n v="532460"/>
    <n v="0"/>
    <n v="0"/>
    <n v="699"/>
    <n v="531761"/>
  </r>
  <r>
    <x v="3"/>
    <s v="College of engineering"/>
    <s v="3 Capital Payments"/>
    <n v="8470345"/>
    <s v="KUST - Nuclear Engineering"/>
    <n v="492316"/>
    <x v="0"/>
    <s v="847.8470345.1.492316.000000.847001.300180"/>
    <n v="551330"/>
    <n v="551330"/>
    <n v="279820"/>
    <n v="63000"/>
    <n v="207881"/>
    <n v="629"/>
    <m/>
    <m/>
    <m/>
    <m/>
    <n v="629"/>
    <m/>
    <s v="N"/>
    <n v="0"/>
    <n v="629"/>
    <n v="630.73000000001048"/>
    <m/>
    <m/>
    <n v="1259.7299999999814"/>
    <n v="551330"/>
    <n v="279820"/>
    <n v="0"/>
    <n v="270879.27"/>
    <n v="630.72999999998137"/>
    <s v="847.8470345.1.492316.000000.847001.300180"/>
    <n v="551330"/>
    <n v="367320"/>
    <n v="0"/>
    <n v="183379.27"/>
    <n v="630.73000000001048"/>
    <n v="550068.54"/>
  </r>
  <r>
    <x v="3"/>
    <s v="College of engineering"/>
    <s v="3 Capital Payments"/>
    <n v="8470350"/>
    <s v="KUST - Petroleum Engineering"/>
    <n v="492316"/>
    <x v="0"/>
    <s v="847.8470350.1.492316.000000.847001.300180"/>
    <n v="1446520"/>
    <n v="1446520"/>
    <n v="862373.2"/>
    <n v="578702.18000000005"/>
    <n v="0"/>
    <n v="5444.62"/>
    <m/>
    <m/>
    <m/>
    <m/>
    <n v="5444.62"/>
    <m/>
    <s v="N"/>
    <n v="0"/>
    <n v="5444.62"/>
    <n v="82749.48000000004"/>
    <m/>
    <m/>
    <n v="88194.100000000035"/>
    <n v="1436520"/>
    <n v="942948.2"/>
    <n v="440666.76"/>
    <n v="-29844.44"/>
    <n v="82749.48000000004"/>
    <s v="847.8470350.1.492316.000000.847001.300180"/>
    <n v="1436520"/>
    <n v="942948.2"/>
    <n v="440666.76"/>
    <n v="-29844.44"/>
    <n v="82749.48000000004"/>
    <n v="1271021.04"/>
  </r>
  <r>
    <x v="4"/>
    <s v="College of Art &amp; science"/>
    <s v="3 Capital Payments"/>
    <n v="8470415"/>
    <s v="KUST - Chemistry"/>
    <n v="492316"/>
    <x v="0"/>
    <s v="847.8470415.1.492316.000000.847001.300180"/>
    <n v="1891417"/>
    <n v="1891417"/>
    <n v="71367"/>
    <n v="50038.6"/>
    <n v="1758059"/>
    <n v="11952.3999999999"/>
    <m/>
    <m/>
    <m/>
    <m/>
    <n v="11952.3999999999"/>
    <m/>
    <s v="N"/>
    <n v="0"/>
    <n v="11952.3999999999"/>
    <n v="14335"/>
    <m/>
    <m/>
    <n v="28729.3999999999"/>
    <n v="1891417"/>
    <n v="169546"/>
    <n v="0"/>
    <n v="1705094"/>
    <n v="16777"/>
    <s v="847.8470415.1.492316.000000.847001.300180"/>
    <n v="1891417"/>
    <n v="169546"/>
    <n v="0"/>
    <n v="1707536"/>
    <n v="14335"/>
    <n v="1862747"/>
  </r>
  <r>
    <x v="4"/>
    <s v="College of Art &amp; science"/>
    <s v="3 Capital Payments"/>
    <n v="8470425"/>
    <s v="KUST - Physics"/>
    <n v="492310"/>
    <x v="2"/>
    <s v="847.8470425.1.492310.000000.847001.300180"/>
    <n v="151348"/>
    <n v="127348"/>
    <n v="35280"/>
    <n v="0"/>
    <n v="0"/>
    <n v="92068"/>
    <m/>
    <m/>
    <m/>
    <m/>
    <n v="92068"/>
    <m/>
    <s v="N"/>
    <n v="0"/>
    <n v="92068"/>
    <n v="92068"/>
    <m/>
    <m/>
    <n v="184136"/>
    <n v="127348"/>
    <n v="35280"/>
    <n v="0"/>
    <n v="0"/>
    <n v="92068"/>
    <s v="847.8470425.1.492310.000000.847001.300180"/>
    <n v="127348"/>
    <n v="35280"/>
    <n v="0"/>
    <n v="0"/>
    <n v="92068"/>
    <n v="-56788"/>
  </r>
  <r>
    <x v="4"/>
    <s v="College of Art &amp; science"/>
    <s v="3 Capital Payments"/>
    <n v="8470425"/>
    <s v="KUST - Physics"/>
    <n v="492316"/>
    <x v="0"/>
    <s v="847.8470425.1.492316.000000.847001.300180"/>
    <n v="1551340"/>
    <n v="732340"/>
    <n v="286598.5"/>
    <n v="243881.73"/>
    <n v="119350.08"/>
    <n v="82509.6899999999"/>
    <m/>
    <m/>
    <m/>
    <m/>
    <n v="82509.6899999999"/>
    <m/>
    <s v="N"/>
    <n v="0"/>
    <n v="82509.6899999999"/>
    <n v="48945.689999999973"/>
    <m/>
    <m/>
    <n v="131455.37999999989"/>
    <n v="682340"/>
    <n v="408512.58"/>
    <n v="0"/>
    <n v="224881.73"/>
    <n v="48945.689999999973"/>
    <s v="847.8470425.1.492316.000000.847001.300180"/>
    <n v="682340"/>
    <n v="408512.58"/>
    <n v="0"/>
    <n v="224881.73"/>
    <n v="48945.689999999973"/>
    <n v="584448.62000000011"/>
  </r>
  <r>
    <x v="4"/>
    <s v="College of Art &amp; science"/>
    <s v="3 Capital Payments"/>
    <n v="8470450"/>
    <s v="KUST - Earth Science"/>
    <n v="492310"/>
    <x v="2"/>
    <s v="847.8470450.1.492310.000000.847001.300180"/>
    <n v="126346"/>
    <n v="126346"/>
    <n v="80205"/>
    <n v="0"/>
    <n v="0"/>
    <n v="46141"/>
    <m/>
    <m/>
    <m/>
    <m/>
    <n v="46141"/>
    <m/>
    <s v="N"/>
    <n v="0"/>
    <n v="72741"/>
    <n v="46141"/>
    <m/>
    <m/>
    <n v="118882"/>
    <n v="126346"/>
    <n v="80205"/>
    <n v="0"/>
    <n v="0"/>
    <n v="46141"/>
    <s v="847.8470450.1.492310.000000.847001.300180"/>
    <n v="126346"/>
    <n v="80205"/>
    <n v="0"/>
    <n v="0"/>
    <n v="46141"/>
    <n v="34064"/>
  </r>
  <r>
    <x v="4"/>
    <s v="College of Art &amp; science"/>
    <s v="3 Capital Payments"/>
    <n v="8470450"/>
    <s v="KUST - Earth Science"/>
    <n v="492316"/>
    <x v="0"/>
    <s v="847.8470450.1.492316.000000.847001.300180"/>
    <n v="146498"/>
    <n v="146498"/>
    <n v="309.52"/>
    <n v="117930"/>
    <m/>
    <n v="28258.48"/>
    <m/>
    <m/>
    <m/>
    <m/>
    <n v="28258.48"/>
    <m/>
    <s v="N"/>
    <n v="26600"/>
    <n v="28258.48"/>
    <n v="81323.48000000001"/>
    <m/>
    <m/>
    <n v="82901.960000000006"/>
    <n v="146498"/>
    <n v="309.52"/>
    <n v="51780"/>
    <n v="39765"/>
    <n v="54643.48000000001"/>
    <s v="847.8470450.1.492316.000000.847001.300180"/>
    <n v="146498"/>
    <n v="309.52"/>
    <n v="0"/>
    <n v="64865"/>
    <n v="81323.48000000001"/>
    <n v="-16148.960000000014"/>
  </r>
  <r>
    <x v="4"/>
    <s v="College of Art &amp; science"/>
    <s v="3 Capital Payments"/>
    <n v="8470455"/>
    <s v="KUST – Biology"/>
    <n v="492316"/>
    <x v="0"/>
    <s v="847.8470455.1.492316.000000.847001.300180"/>
    <n v="1754263"/>
    <n v="1489263"/>
    <n v="127095"/>
    <n v="1"/>
    <n v="1296072.5"/>
    <n v="66094.5"/>
    <m/>
    <m/>
    <m/>
    <m/>
    <n v="66094.5"/>
    <m/>
    <s v="N"/>
    <n v="0"/>
    <n v="66094.5"/>
    <n v="68194.5"/>
    <m/>
    <m/>
    <n v="134289"/>
    <n v="1489263"/>
    <n v="1268115"/>
    <n v="1"/>
    <n v="152952.5"/>
    <n v="68194.5"/>
    <s v="847.8470455.1.492316.000000.847001.300180"/>
    <n v="1489263"/>
    <n v="1319960"/>
    <n v="1"/>
    <n v="101107.5"/>
    <n v="68194.5"/>
    <n v="1352874"/>
  </r>
  <r>
    <x v="5"/>
    <s v="Administrations, Facilities &amp; EHS office"/>
    <s v="3 Capital Payments"/>
    <n v="8470520"/>
    <s v="KUST - Environment, Health &amp; Safety"/>
    <n v="492316"/>
    <x v="0"/>
    <s v="847.8470520.1.492316.000000.847001.300180"/>
    <n v="171987"/>
    <n v="987"/>
    <m/>
    <n v="0"/>
    <m/>
    <n v="987"/>
    <m/>
    <m/>
    <m/>
    <m/>
    <n v="987"/>
    <m/>
    <s v="Y"/>
    <n v="0"/>
    <n v="987"/>
    <n v="987"/>
    <m/>
    <m/>
    <n v="1974"/>
    <n v="987"/>
    <n v="0"/>
    <n v="0"/>
    <n v="0"/>
    <n v="987"/>
    <s v="847.8470520.1.492316.000000.847001.300180"/>
    <n v="987"/>
    <n v="0"/>
    <n v="0"/>
    <n v="0"/>
    <n v="987"/>
    <n v="-987"/>
  </r>
  <r>
    <x v="5"/>
    <s v="Administrations, Facilities &amp; EHS office"/>
    <s v="3 Capital Payments"/>
    <n v="8470530"/>
    <s v="KUST - Facilities Management"/>
    <n v="492200"/>
    <x v="4"/>
    <s v="847.8470530.1.492200.000000.847001.300180"/>
    <n v="2910350"/>
    <n v="2724350"/>
    <m/>
    <n v="1100000"/>
    <n v="1624208"/>
    <n v="142"/>
    <m/>
    <m/>
    <m/>
    <m/>
    <n v="142"/>
    <m/>
    <s v="Y"/>
    <n v="155700"/>
    <n v="142"/>
    <n v="299441.99999999994"/>
    <m/>
    <m/>
    <n v="143884"/>
    <n v="1923650"/>
    <n v="0"/>
    <n v="155700"/>
    <n v="1624208"/>
    <n v="143742"/>
    <s v="847.8470530.1.492200.000000.847001.300180"/>
    <n v="1923650"/>
    <n v="1431816.56"/>
    <n v="0"/>
    <n v="192391.44"/>
    <n v="299441.99999999994"/>
    <n v="1324766"/>
  </r>
  <r>
    <x v="5"/>
    <s v="Administrations, Facilities &amp; EHS office"/>
    <s v="3 Capital Payments"/>
    <n v="8470530"/>
    <s v="KUST - Facilities Management"/>
    <n v="492200"/>
    <x v="4"/>
    <s v="847.8470530.1.492200.000000.847010.300180"/>
    <n v="18425319"/>
    <n v="25123643"/>
    <n v="14827479.25"/>
    <n v="3000000"/>
    <n v="7249922.9299999997"/>
    <n v="46240.820000000298"/>
    <m/>
    <m/>
    <m/>
    <m/>
    <n v="46240.820000000298"/>
    <m/>
    <s v="Y"/>
    <n v="399000"/>
    <n v="46240.820000000298"/>
    <n v="2134438.8200000017"/>
    <m/>
    <n v="8988807.7300000004"/>
    <n v="362479.6400000006"/>
    <n v="22363643"/>
    <n v="17687599.25"/>
    <n v="-3426"/>
    <n v="4363230.93"/>
    <n v="316238.8200000003"/>
    <s v="847.8470530.1.492200.000000.847010.300180"/>
    <n v="22363643"/>
    <n v="19474858.579999998"/>
    <n v="-153426"/>
    <n v="907771.6"/>
    <n v="2134438.8200000017"/>
    <n v="27083573.09"/>
  </r>
  <r>
    <x v="5"/>
    <s v="Administrations, Facilities &amp; EHS office"/>
    <s v="3 Capital Payments"/>
    <n v="8470530"/>
    <s v="KUST - Facilities Management"/>
    <n v="492200"/>
    <x v="4"/>
    <s v="847.8470530.1.492200.000000.847020.300180"/>
    <n v="19458929"/>
    <n v="20771949"/>
    <n v="8794789.4000000004"/>
    <n v="2966819.5"/>
    <n v="8974286.5999999996"/>
    <n v="36053.5"/>
    <m/>
    <m/>
    <m/>
    <m/>
    <n v="36053.5"/>
    <m/>
    <s v="Y"/>
    <n v="0"/>
    <n v="590753.5"/>
    <n v="77616.260000001639"/>
    <m/>
    <m/>
    <n v="4936291.5"/>
    <n v="23531949"/>
    <n v="14420589.4"/>
    <n v="1320000"/>
    <n v="3445821.6"/>
    <n v="4345538"/>
    <s v="847.8470530.1.492200.000000.847020.300180"/>
    <n v="23531949"/>
    <n v="20990255.739999998"/>
    <n v="1470000"/>
    <n v="994077"/>
    <n v="77616.260000001639"/>
    <n v="23376716.479999997"/>
  </r>
  <r>
    <x v="5"/>
    <s v="Administrations, Facilities &amp; EHS office"/>
    <s v="3 Capital Payments"/>
    <n v="8470530"/>
    <s v="KUST - Facilities Management"/>
    <n v="492610"/>
    <x v="5"/>
    <s v="847.8470530.1.492610.000000.847010.300180"/>
    <n v="1136050"/>
    <n v="3102209"/>
    <n v="92200"/>
    <n v="0"/>
    <n v="223994"/>
    <n v="2786015"/>
    <m/>
    <m/>
    <m/>
    <s v="PR allready raised to cover the payments 3,031,000.00 "/>
    <n v="2786015"/>
    <m/>
    <s v="Y"/>
    <n v="0"/>
    <n v="2921015"/>
    <n v="83391"/>
    <m/>
    <m/>
    <n v="3010006"/>
    <n v="6379911"/>
    <n v="4600200"/>
    <n v="0"/>
    <n v="1690720"/>
    <n v="88991"/>
    <s v="847.8470530.1.492610.000000.847010.300180"/>
    <n v="6379911"/>
    <n v="6077200"/>
    <n v="6600"/>
    <n v="212720"/>
    <n v="83391"/>
    <n v="6213129"/>
  </r>
  <r>
    <x v="5"/>
    <s v="Administrations, Facilities &amp; EHS office"/>
    <s v="3 Capital Payments"/>
    <n v="8470530"/>
    <s v="KUST - Facilities Management"/>
    <n v="492610"/>
    <x v="5"/>
    <s v="847.8470530.1.492610.000000.847015.300180"/>
    <n v="32800"/>
    <n v="32800"/>
    <n v="31488"/>
    <m/>
    <n v="0"/>
    <n v="1312"/>
    <m/>
    <m/>
    <m/>
    <m/>
    <n v="1312"/>
    <m/>
    <s v="Y"/>
    <n v="0"/>
    <n v="1312"/>
    <n v="1312"/>
    <m/>
    <m/>
    <n v="2624"/>
    <n v="32800"/>
    <n v="31488"/>
    <n v="0"/>
    <n v="0"/>
    <n v="1312"/>
    <s v="847.8470530.1.492610.000000.847015.300180"/>
    <n v="32800"/>
    <n v="31488"/>
    <n v="0"/>
    <n v="0"/>
    <n v="1312"/>
    <n v="30176"/>
  </r>
  <r>
    <x v="5"/>
    <s v="Administrations, Facilities &amp; EHS office"/>
    <s v="3 Capital Payments"/>
    <n v="8470530"/>
    <s v="KUST - Facilities Management"/>
    <n v="492610"/>
    <x v="5"/>
    <s v="847.8470530.1.492610.000000.847020.300180"/>
    <n v="1375893"/>
    <n v="82893"/>
    <n v="41141"/>
    <n v="0"/>
    <n v="41141"/>
    <n v="611"/>
    <m/>
    <m/>
    <m/>
    <m/>
    <n v="611"/>
    <m/>
    <s v="Y"/>
    <n v="0"/>
    <n v="611"/>
    <n v="41752"/>
    <m/>
    <m/>
    <n v="42363"/>
    <n v="82893"/>
    <n v="41141"/>
    <n v="0"/>
    <n v="0"/>
    <n v="41752"/>
    <s v="847.8470530.1.492610.000000.847020.300180"/>
    <n v="82893"/>
    <n v="41141"/>
    <n v="0"/>
    <n v="0"/>
    <n v="41752"/>
    <n v="-611"/>
  </r>
  <r>
    <x v="5"/>
    <s v="Administrations, Facilities &amp; EHS office"/>
    <s v="3 Capital Payments"/>
    <n v="8470530"/>
    <s v="KUST - Facilities Management"/>
    <n v="495113"/>
    <x v="1"/>
    <s v="847.8470530.1.495113.000000.847010.300180"/>
    <n v="0"/>
    <n v="1000000"/>
    <m/>
    <n v="1000000"/>
    <m/>
    <n v="0"/>
    <m/>
    <m/>
    <m/>
    <m/>
    <n v="0"/>
    <m/>
    <s v="Y"/>
    <n v="1000000"/>
    <n v="1000000"/>
    <n v="1000000"/>
    <m/>
    <m/>
    <n v="1000000"/>
    <n v="1000000"/>
    <n v="0"/>
    <n v="1000000"/>
    <n v="0"/>
    <n v="0"/>
    <s v="847.8470530.1.495113.000000.847010.300180"/>
    <n v="1000000"/>
    <n v="0"/>
    <n v="0"/>
    <n v="0"/>
    <n v="1000000"/>
    <n v="-1000000"/>
  </r>
  <r>
    <x v="5"/>
    <s v="Administrations, Facilities &amp; EHS office"/>
    <s v="3 Capital Payments"/>
    <n v="8470530"/>
    <s v="KUST - Facilities Management"/>
    <n v="495140"/>
    <x v="3"/>
    <s v="847.8470530.1.495140.000000.847010.300180"/>
    <n v="30302"/>
    <n v="30312"/>
    <m/>
    <m/>
    <n v="30302.25"/>
    <n v="9.75"/>
    <m/>
    <m/>
    <m/>
    <m/>
    <n v="9.75"/>
    <m/>
    <s v="Y"/>
    <n v="0"/>
    <n v="9.75"/>
    <n v="9.75"/>
    <m/>
    <m/>
    <n v="19.5"/>
    <n v="30312"/>
    <n v="0"/>
    <n v="0"/>
    <n v="30302.25"/>
    <n v="9.75"/>
    <s v="847.8470530.1.495140.000000.847010.300180"/>
    <n v="30312"/>
    <n v="0"/>
    <n v="30302.25"/>
    <n v="0"/>
    <n v="9.75"/>
    <n v="30292.5"/>
  </r>
  <r>
    <x v="5"/>
    <s v="Procurement office"/>
    <s v="3 Capital Payments"/>
    <n v="8470720"/>
    <s v="KUST - Procurement and Contracts"/>
    <n v="495110"/>
    <x v="6"/>
    <s v="847.8470720.1.495110.000000.847001.300180"/>
    <n v="69286"/>
    <n v="0"/>
    <m/>
    <m/>
    <m/>
    <n v="0"/>
    <m/>
    <m/>
    <m/>
    <m/>
    <n v="0"/>
    <m/>
    <s v="N"/>
    <n v="0"/>
    <m/>
    <n v="0"/>
    <m/>
    <m/>
    <n v="0"/>
    <n v="0"/>
    <n v="0"/>
    <n v="0"/>
    <n v="0"/>
    <n v="0"/>
    <s v="847.8470720.1.495110.000000.847001.300180"/>
    <n v="0"/>
    <n v="0"/>
    <n v="0"/>
    <n v="0"/>
    <n v="0"/>
    <n v="0"/>
  </r>
  <r>
    <x v="5"/>
    <s v="Procurement office"/>
    <s v="3 Capital Payments"/>
    <n v="8470720"/>
    <s v="KUST - Procurement and Contracts"/>
    <n v="495113"/>
    <x v="1"/>
    <s v="847.8470720.1.495113.000000.847001.300180"/>
    <n v="0"/>
    <n v="69286"/>
    <n v="69286"/>
    <n v="0"/>
    <n v="0"/>
    <n v="0"/>
    <m/>
    <m/>
    <m/>
    <m/>
    <n v="0"/>
    <m/>
    <s v="N"/>
    <n v="0"/>
    <m/>
    <n v="0"/>
    <m/>
    <m/>
    <n v="0"/>
    <n v="69286"/>
    <n v="69286"/>
    <n v="0"/>
    <n v="0"/>
    <n v="0"/>
    <s v="847.8470720.1.495113.000000.847001.300180"/>
    <n v="69286"/>
    <n v="69286"/>
    <n v="0"/>
    <n v="0"/>
    <n v="0"/>
    <n v="69286"/>
  </r>
  <r>
    <x v="5"/>
    <s v="HR office"/>
    <s v="3 Capital Payments"/>
    <n v="8470730"/>
    <s v="KUST - Human Resources"/>
    <n v="492610"/>
    <x v="5"/>
    <s v="847.8470730.1.492610.000000.847001.300180"/>
    <n v="1135112"/>
    <n v="0"/>
    <m/>
    <m/>
    <m/>
    <n v="0"/>
    <m/>
    <m/>
    <m/>
    <m/>
    <n v="0"/>
    <m/>
    <s v="N"/>
    <n v="0"/>
    <m/>
    <n v="0"/>
    <m/>
    <m/>
    <n v="0"/>
    <n v="0"/>
    <n v="0"/>
    <n v="0"/>
    <n v="0"/>
    <n v="0"/>
    <s v="847.8470730.1.492610.000000.847001.300180"/>
    <n v="0"/>
    <n v="0"/>
    <n v="0"/>
    <n v="0"/>
    <n v="0"/>
    <n v="0"/>
  </r>
  <r>
    <x v="5"/>
    <s v="Ankabut office"/>
    <s v="3 Capital Payments"/>
    <n v="8470810"/>
    <s v="KUST - Ankabut office"/>
    <n v="492310"/>
    <x v="2"/>
    <s v="847.8470810.1.492310.000000.847001.300180"/>
    <n v="2800802"/>
    <n v="175000"/>
    <n v="162000"/>
    <n v="10335"/>
    <n v="0"/>
    <n v="2665"/>
    <m/>
    <m/>
    <m/>
    <m/>
    <n v="2665"/>
    <s v="Initial budget estimation"/>
    <s v="Y"/>
    <n v="0"/>
    <n v="2665"/>
    <n v="3950"/>
    <m/>
    <m/>
    <n v="6151.17"/>
    <n v="185000"/>
    <n v="172335"/>
    <n v="9178.83"/>
    <n v="0"/>
    <n v="3486.17"/>
    <s v="847.8470810.1.492310.000000.847001.300180"/>
    <n v="185000"/>
    <n v="181050"/>
    <n v="0"/>
    <n v="0"/>
    <n v="3950"/>
    <n v="177100"/>
  </r>
  <r>
    <x v="5"/>
    <s v="Ankabut office"/>
    <s v="3 Capital Payments"/>
    <n v="8470810"/>
    <s v="KUST - Ankabut office"/>
    <n v="492352"/>
    <x v="7"/>
    <s v="847.8470810.1.492352.000000.847001.300180"/>
    <n v="0"/>
    <n v="2016302"/>
    <m/>
    <n v="9.4587448984384498E-11"/>
    <n v="1999372.61"/>
    <n v="16929.389999999901"/>
    <m/>
    <m/>
    <m/>
    <m/>
    <n v="16929.389999999901"/>
    <s v="Initial budget estimation"/>
    <s v="Y"/>
    <n v="0"/>
    <n v="16929.389999999901"/>
    <n v="16929.389999999992"/>
    <m/>
    <m/>
    <n v="33858.779999999897"/>
    <n v="2016302"/>
    <n v="1935144.01"/>
    <n v="0"/>
    <n v="64228.6"/>
    <n v="16929.389999999992"/>
    <s v="847.8470810.1.492352.000000.847001.300180"/>
    <n v="2016302"/>
    <n v="1935144.01"/>
    <n v="0"/>
    <n v="64228.6"/>
    <n v="16929.389999999992"/>
    <n v="1982443.2200000002"/>
  </r>
  <r>
    <x v="5"/>
    <s v="Ankabut office"/>
    <s v="3 Capital Payments"/>
    <n v="8470810"/>
    <s v="KUST - Ankabut office"/>
    <n v="492354"/>
    <x v="8"/>
    <s v="847.8470810.1.492354.000000.847001.300180"/>
    <n v="0"/>
    <n v="321500"/>
    <m/>
    <n v="0"/>
    <n v="321320"/>
    <n v="180"/>
    <m/>
    <m/>
    <m/>
    <m/>
    <n v="180"/>
    <s v="Initial budget estimation"/>
    <s v="Y"/>
    <n v="0"/>
    <n v="180"/>
    <n v="180"/>
    <m/>
    <m/>
    <n v="360"/>
    <n v="321500"/>
    <n v="321320"/>
    <n v="0"/>
    <n v="0"/>
    <n v="180"/>
    <s v="847.8470810.1.492354.000000.847001.300180"/>
    <n v="321500"/>
    <n v="321320"/>
    <n v="0"/>
    <n v="0"/>
    <n v="180"/>
    <n v="321140"/>
  </r>
  <r>
    <x v="5"/>
    <s v="Ankabut office"/>
    <s v="3 Capital Payments"/>
    <n v="8470810"/>
    <s v="KUST - Ankabut office"/>
    <n v="492356"/>
    <x v="9"/>
    <s v="847.8470810.1.492356.000000.847001.300180"/>
    <n v="0"/>
    <n v="650000"/>
    <n v="84728"/>
    <n v="0"/>
    <n v="499108"/>
    <n v="66164"/>
    <m/>
    <m/>
    <m/>
    <m/>
    <n v="66164"/>
    <s v="Project of renovating Merged Classroom delayed"/>
    <s v="Y"/>
    <n v="0"/>
    <n v="66164"/>
    <n v="83257"/>
    <m/>
    <m/>
    <n v="149421"/>
    <n v="650000"/>
    <n v="566741"/>
    <n v="0"/>
    <n v="2"/>
    <n v="83257"/>
    <s v="847.8470810.1.492356.000000.847001.300180"/>
    <n v="650000"/>
    <n v="566741"/>
    <n v="0"/>
    <n v="2"/>
    <n v="83257"/>
    <n v="483486"/>
  </r>
  <r>
    <x v="5"/>
    <s v="Ankabut office"/>
    <s v="3 Capital Payments"/>
    <n v="8470810"/>
    <s v="KUST - Ankabut office"/>
    <n v="495110"/>
    <x v="6"/>
    <s v="847.8470810.1.495110.000000.847001.300180"/>
    <n v="646670"/>
    <n v="0"/>
    <m/>
    <m/>
    <m/>
    <n v="0"/>
    <m/>
    <m/>
    <m/>
    <m/>
    <n v="0"/>
    <m/>
    <s v="Y"/>
    <n v="0"/>
    <m/>
    <n v="0"/>
    <m/>
    <m/>
    <n v="0"/>
    <n v="0"/>
    <n v="0"/>
    <n v="0"/>
    <n v="0"/>
    <n v="0"/>
    <s v="847.8470810.1.495110.000000.847001.300180"/>
    <n v="0"/>
    <n v="0"/>
    <n v="0"/>
    <n v="0"/>
    <n v="0"/>
    <n v="0"/>
  </r>
  <r>
    <x v="5"/>
    <s v="Ankabut office"/>
    <s v="3 Capital Payments"/>
    <n v="8470810"/>
    <s v="KUST - Ankabut office"/>
    <n v="495113"/>
    <x v="1"/>
    <s v="847.8470810.1.495113.000000.847001.300180"/>
    <n v="0"/>
    <n v="104670"/>
    <m/>
    <n v="97737.21"/>
    <m/>
    <n v="6932.78999999999"/>
    <m/>
    <m/>
    <m/>
    <m/>
    <n v="6932.78999999999"/>
    <s v="Initial budget estimation"/>
    <s v="Y"/>
    <n v="73772.210000000006"/>
    <n v="80705"/>
    <n v="80705"/>
    <m/>
    <m/>
    <n v="87637.79"/>
    <n v="104670"/>
    <n v="0"/>
    <n v="73772.210000000006"/>
    <n v="23965"/>
    <n v="6932.7899999999936"/>
    <s v="847.8470810.1.495113.000000.847001.300180"/>
    <n v="104670"/>
    <n v="23965"/>
    <n v="0"/>
    <n v="0"/>
    <n v="80705"/>
    <n v="-56740"/>
  </r>
  <r>
    <x v="6"/>
    <s v="Research &amp; development office"/>
    <s v="3 Capital Payments"/>
    <n v="8471110"/>
    <s v="KUST - SVP/ Research &amp; Development Office"/>
    <n v="492316"/>
    <x v="0"/>
    <s v="847.8471110.1.492316.000000.847001.300180"/>
    <n v="2998678"/>
    <n v="2998678"/>
    <n v="2998678.09"/>
    <m/>
    <n v="-3750"/>
    <n v="3749.9100000001499"/>
    <m/>
    <m/>
    <m/>
    <m/>
    <n v="3749.9100000001499"/>
    <s v="none"/>
    <s v="Y"/>
    <n v="0"/>
    <n v="3749.9100000001499"/>
    <n v="3749.9099999999189"/>
    <m/>
    <m/>
    <n v="7499.8200000000688"/>
    <n v="2998678"/>
    <n v="2998678.09"/>
    <n v="0"/>
    <n v="-3749.9999999997699"/>
    <n v="3749.9099999999189"/>
    <s v="847.8471110.1.492316.000000.847001.300180"/>
    <n v="2998678"/>
    <n v="2998678.09"/>
    <n v="0"/>
    <n v="-3749.9999999997699"/>
    <n v="3749.9099999999189"/>
    <n v="2991178.1799999997"/>
  </r>
  <r>
    <x v="6"/>
    <s v="Research &amp; development office"/>
    <s v="3 Capital Payments"/>
    <n v="8471140"/>
    <s v="KUST - University Sponsored Research"/>
    <n v="492316"/>
    <x v="0"/>
    <s v="847.8471140.1.492316.000000.847001.300180"/>
    <n v="358538"/>
    <n v="358538"/>
    <n v="353642.9"/>
    <n v="0"/>
    <n v="-1.45519152283669E-11"/>
    <n v="4895.0999999999804"/>
    <m/>
    <m/>
    <m/>
    <m/>
    <n v="4895.0999999999804"/>
    <m/>
    <s v="Y"/>
    <n v="0"/>
    <n v="4895.0999999999804"/>
    <n v="4895.0999999999804"/>
    <m/>
    <m/>
    <n v="9790.1999999999607"/>
    <n v="358538"/>
    <n v="353642.9"/>
    <n v="0"/>
    <n v="-3.6379788070917101E-12"/>
    <n v="4895.0999999999804"/>
    <s v="847.8471140.1.492316.000000.847001.300180"/>
    <n v="358538"/>
    <n v="353642.9"/>
    <n v="0"/>
    <n v="-3.6379788070917101E-12"/>
    <n v="4895.0999999999804"/>
    <n v="348747.80000000005"/>
  </r>
  <r>
    <x v="6"/>
    <s v="Research &amp; development office"/>
    <s v="3 Capital Payments"/>
    <n v="8471160"/>
    <s v="KUST - Research Laboratories"/>
    <n v="492200"/>
    <x v="4"/>
    <s v="847.8471160.1.492200.000000.847001.300180"/>
    <n v="1304891"/>
    <n v="1304891"/>
    <n v="1176684.6299999999"/>
    <m/>
    <n v="128205.87"/>
    <n v="0.50000000011641499"/>
    <m/>
    <m/>
    <m/>
    <m/>
    <n v="0.50000000011641499"/>
    <m/>
    <s v="Y"/>
    <n v="0"/>
    <n v="0.50000000011641499"/>
    <n v="500.5"/>
    <m/>
    <m/>
    <n v="501.00000000023283"/>
    <n v="1337891"/>
    <n v="1176684.6299999999"/>
    <n v="0"/>
    <n v="160705.87"/>
    <n v="500.50000000011642"/>
    <s v="847.8471160.1.492200.000000.847001.300180"/>
    <n v="1337891"/>
    <n v="1304890.5"/>
    <n v="0"/>
    <n v="32500"/>
    <n v="500.5"/>
    <n v="1336890"/>
  </r>
  <r>
    <x v="6"/>
    <s v="Research &amp; development office"/>
    <s v="3 Capital Payments"/>
    <n v="8471160"/>
    <s v="KUST - Research Laboratories"/>
    <n v="492316"/>
    <x v="0"/>
    <s v="847.8471160.1.492316.000000.847001.300180"/>
    <n v="15928069"/>
    <n v="16096069"/>
    <n v="3807722.48"/>
    <n v="10861838.17"/>
    <n v="1359075.17"/>
    <n v="67433.179999999702"/>
    <n v="60000"/>
    <n v="0"/>
    <n v="0"/>
    <s v="Budget will be utilized to: (i) operationalize Core lab XRD equipment via lab chiller purchase due to Arzanah Building chiller system not functional with no rectification timeline indicated by Facilities, and (ii) purchase of convection oven to support CeCaS lab operations."/>
    <n v="7433.179999999702"/>
    <s v="None. AED 7.433k to be transferred to Finance to support outstanding laboratory infrastructure payments."/>
    <s v="Y"/>
    <n v="0"/>
    <n v="7433.179999999702"/>
    <n v="8222322.6299999999"/>
    <m/>
    <n v="2800000"/>
    <n v="8211390.8099999996"/>
    <n v="14988665"/>
    <n v="5495960.2400000002"/>
    <n v="22062.52"/>
    <n v="1266684.6100000001"/>
    <n v="8203957.6299999999"/>
    <s v="847.8471160.1.492316.000000.847001.300180"/>
    <n v="14988665"/>
    <n v="5567595.2400000002"/>
    <n v="22062.52"/>
    <n v="1176684.6100000001"/>
    <n v="8222322.6299999999"/>
    <n v="1344019.7399999993"/>
  </r>
  <r>
    <x v="6"/>
    <s v="Research &amp; development office"/>
    <s v="3 Capital Payments"/>
    <n v="8471170"/>
    <s v="KUST - Research Computing"/>
    <n v="492316"/>
    <x v="0"/>
    <s v="847.8471170.1.492316.000000.847001.300180"/>
    <n v="2751786"/>
    <n v="1118618"/>
    <m/>
    <m/>
    <m/>
    <n v="1118618"/>
    <m/>
    <m/>
    <m/>
    <m/>
    <n v="1118618"/>
    <s v="All RC requirements were moved to an SLA with Ankabut, and to be paid for by OPEX funds"/>
    <s v="Y"/>
    <n v="0"/>
    <n v="1118618"/>
    <n v="32942"/>
    <m/>
    <m/>
    <n v="1151560"/>
    <n v="32942"/>
    <n v="0"/>
    <n v="0"/>
    <n v="0"/>
    <n v="32942"/>
    <s v="847.8471170.1.492316.000000.847001.300180"/>
    <n v="32942"/>
    <n v="0"/>
    <n v="0"/>
    <n v="0"/>
    <n v="32942"/>
    <n v="-32942"/>
  </r>
  <r>
    <x v="6"/>
    <s v="Research &amp; development office"/>
    <s v="3 Capital Payments"/>
    <n v="8471170"/>
    <s v="KUST - Research Computing"/>
    <n v="495110"/>
    <x v="6"/>
    <s v="847.8471170.1.495110.000000.847001.300180"/>
    <n v="833665"/>
    <n v="0"/>
    <n v="0"/>
    <m/>
    <n v="0"/>
    <n v="0"/>
    <m/>
    <m/>
    <m/>
    <m/>
    <n v="0"/>
    <m/>
    <s v="Y"/>
    <n v="0"/>
    <n v="0"/>
    <n v="0"/>
    <m/>
    <m/>
    <n v="0"/>
    <n v="0"/>
    <n v="0"/>
    <n v="0"/>
    <n v="0"/>
    <n v="0"/>
    <s v="847.8471170.1.495110.000000.847001.300180"/>
    <n v="0"/>
    <n v="0"/>
    <n v="0"/>
    <n v="0"/>
    <n v="0"/>
    <n v="0"/>
  </r>
  <r>
    <x v="6"/>
    <s v="Research &amp; development office"/>
    <s v="3 Capital Payments"/>
    <n v="8471170"/>
    <s v="KUST - Research Computing"/>
    <n v="495113"/>
    <x v="1"/>
    <s v="847.8471170.1.495113.000000.847001.300180"/>
    <n v="0"/>
    <n v="138509"/>
    <n v="138508.82999999999"/>
    <m/>
    <m/>
    <n v="0.16999999998370199"/>
    <m/>
    <m/>
    <m/>
    <m/>
    <n v="0.16999999998370199"/>
    <m/>
    <s v="Y"/>
    <n v="0"/>
    <n v="0.16999999998370199"/>
    <n v="0.17000000001280569"/>
    <m/>
    <m/>
    <n v="0.33999999999650765"/>
    <n v="138509"/>
    <n v="138508.82999999999"/>
    <n v="0"/>
    <n v="0"/>
    <n v="0.17000000001280569"/>
    <s v="847.8471170.1.495113.000000.847001.300180"/>
    <n v="138509"/>
    <n v="138508.82999999999"/>
    <n v="0"/>
    <n v="0"/>
    <n v="0.17000000001280569"/>
    <n v="138508.65999999997"/>
  </r>
  <r>
    <x v="2"/>
    <s v="Academic &amp; student service office"/>
    <s v="3 Capital Payments"/>
    <n v="8471280"/>
    <s v="KUST - Center for Teaching &amp; Learning"/>
    <n v="492316"/>
    <x v="0"/>
    <s v="847.8471280.1.492316.000000.847001.300180"/>
    <n v="6879"/>
    <n v="6879"/>
    <m/>
    <m/>
    <m/>
    <n v="6879"/>
    <m/>
    <m/>
    <m/>
    <m/>
    <n v="6879"/>
    <m/>
    <s v="Y"/>
    <n v="0"/>
    <n v="6879"/>
    <n v="6879"/>
    <m/>
    <m/>
    <n v="13758"/>
    <n v="6879"/>
    <n v="0"/>
    <n v="0"/>
    <n v="0"/>
    <n v="6879"/>
    <s v="847.8471280.1.492316.000000.847001.300180"/>
    <n v="6879"/>
    <n v="0"/>
    <n v="0"/>
    <n v="0"/>
    <n v="6879"/>
    <n v="-6879"/>
  </r>
  <r>
    <x v="7"/>
    <s v="College of medicine"/>
    <s v="3 Capital Payments"/>
    <n v="8471305"/>
    <s v="KUST - Dean Of Medicine"/>
    <n v="492310"/>
    <x v="2"/>
    <s v="847.8471305.1.492310.000000.847001.300180"/>
    <n v="466679"/>
    <n v="913656"/>
    <n v="810672"/>
    <n v="0"/>
    <n v="13412"/>
    <n v="89572"/>
    <m/>
    <m/>
    <m/>
    <m/>
    <n v="89572"/>
    <s v="CAPEX closed, will need approval to spend. "/>
    <s v="Y"/>
    <n v="0"/>
    <n v="89572"/>
    <n v="89572.000000000102"/>
    <m/>
    <m/>
    <n v="179144.00000000012"/>
    <n v="913656"/>
    <n v="810672"/>
    <n v="0"/>
    <n v="13411.9999999999"/>
    <n v="89572.000000000102"/>
    <s v="847.8471305.1.492310.000000.847001.300180"/>
    <n v="913656"/>
    <n v="810672"/>
    <n v="0"/>
    <n v="13411.9999999999"/>
    <n v="89572.000000000102"/>
    <n v="734511.99999999977"/>
  </r>
  <r>
    <x v="7"/>
    <s v="College of medicine"/>
    <s v="3 Capital Payments"/>
    <n v="8471305"/>
    <s v="KUST - Dean Of Medicine"/>
    <n v="492316"/>
    <x v="0"/>
    <s v="847.8471305.1.492316.000000.847001.300180"/>
    <n v="17788291"/>
    <n v="17285244"/>
    <n v="10910225.220000001"/>
    <n v="414200"/>
    <n v="5948511.2199999997"/>
    <n v="12307.560000002401"/>
    <m/>
    <m/>
    <m/>
    <m/>
    <n v="12307.560000002401"/>
    <s v="CAPEX closed, will need approval to spend. "/>
    <s v="Y"/>
    <n v="0"/>
    <n v="12307.560000002401"/>
    <n v="54411.420000000624"/>
    <m/>
    <m/>
    <n v="50468.980000003256"/>
    <n v="17115075"/>
    <n v="11607341.359999999"/>
    <n v="0"/>
    <n v="5469572.2199999997"/>
    <n v="38161.420000000857"/>
    <s v="847.8471305.1.492316.000000.847001.300180"/>
    <n v="17115075"/>
    <n v="15233341.359999999"/>
    <n v="0"/>
    <n v="1827322.22"/>
    <n v="54411.420000000624"/>
    <n v="17006252.159999996"/>
  </r>
  <r>
    <x v="5"/>
    <s v="Administrations, Facilities &amp; EHS office"/>
    <s v="3 Capital Payments"/>
    <n v="8470530"/>
    <s v="KUST - Facilities Management"/>
    <s v="492200"/>
    <x v="4"/>
    <s v="847.8470530.1.492200.000000.847015.300180"/>
    <n v="3580020"/>
    <n v="0"/>
    <m/>
    <m/>
    <m/>
    <n v="0"/>
    <m/>
    <m/>
    <m/>
    <m/>
    <n v="0"/>
    <m/>
    <s v="Y"/>
    <n v="0"/>
    <n v="0"/>
    <n v="0"/>
    <m/>
    <m/>
    <n v="0"/>
    <n v="0"/>
    <n v="0"/>
    <n v="0"/>
    <n v="0"/>
    <n v="0"/>
    <s v="847.8470530.1.492200.000000.847015.300180"/>
    <n v="0"/>
    <n v="0"/>
    <n v="0"/>
    <n v="0"/>
    <n v="0"/>
    <n v="0"/>
  </r>
  <r>
    <x v="7"/>
    <s v="College of medicine"/>
    <s v="3 Capital Payments"/>
    <n v="8471305"/>
    <s v="KUST - Dean Of Medicine"/>
    <n v="492610"/>
    <x v="5"/>
    <s v="847.8471305.1.492610.000000.847001.300180"/>
    <n v="19606"/>
    <n v="19606"/>
    <n v="728.67"/>
    <m/>
    <m/>
    <n v="18877.330000000002"/>
    <m/>
    <m/>
    <m/>
    <m/>
    <n v="18877.330000000002"/>
    <s v="CAPEX closed, will need approval to spend. "/>
    <s v="Y"/>
    <n v="0"/>
    <n v="18877.330000000002"/>
    <n v="18877.330000000002"/>
    <m/>
    <m/>
    <n v="37754.660000000003"/>
    <n v="19606"/>
    <n v="728.67"/>
    <n v="0"/>
    <n v="0"/>
    <n v="18877.330000000002"/>
    <s v="847.8471305.1.492610.000000.847001.300180"/>
    <n v="19606"/>
    <n v="728.67"/>
    <n v="0"/>
    <n v="0"/>
    <n v="18877.330000000002"/>
    <n v="-18148.660000000003"/>
  </r>
  <r>
    <x v="7"/>
    <s v="College of medicine"/>
    <s v="3 Capital Payments"/>
    <n v="8471305"/>
    <s v="KUST - Dean Of Medicine"/>
    <n v="495140"/>
    <x v="3"/>
    <s v="847.8471305.1.495140.000000.847001.300180"/>
    <n v="171987"/>
    <n v="0"/>
    <m/>
    <m/>
    <m/>
    <n v="0"/>
    <m/>
    <m/>
    <m/>
    <m/>
    <n v="0"/>
    <m/>
    <s v="Y"/>
    <n v="0"/>
    <n v="0"/>
    <n v="0"/>
    <m/>
    <m/>
    <n v="0"/>
    <n v="0"/>
    <n v="0"/>
    <n v="0"/>
    <n v="0"/>
    <n v="0"/>
    <s v="847.8471305.1.495140.000000.847001.30018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 Account Description">
  <location ref="M3:N14" firstHeaderRow="1" firstDataRow="1" firstDataCol="1"/>
  <pivotFields count="11">
    <pivotField showAll="0"/>
    <pivotField showAll="0"/>
    <pivotField showAll="0"/>
    <pivotField axis="axisRow" showAll="0">
      <items count="11">
        <item x="4"/>
        <item x="6"/>
        <item x="1"/>
        <item x="3"/>
        <item x="5"/>
        <item x="2"/>
        <item x="9"/>
        <item x="7"/>
        <item x="8"/>
        <item x="0"/>
        <item t="default"/>
      </items>
    </pivotField>
    <pivotField showAll="0"/>
    <pivotField numFmtId="3" showAll="0"/>
    <pivotField numFmtId="3" showAll="0"/>
    <pivotField showAll="0"/>
    <pivotField showAll="0"/>
    <pivotField showAll="0"/>
    <pivotField dataField="1" numFmtId="3" showAll="0"/>
  </pivotFields>
  <rowFields count="1">
    <field x="3"/>
  </rowFields>
  <rowItems count="11">
    <i>
      <x/>
    </i>
    <i>
      <x v="1"/>
    </i>
    <i>
      <x v="2"/>
    </i>
    <i>
      <x v="3"/>
    </i>
    <i>
      <x v="4"/>
    </i>
    <i>
      <x v="5"/>
    </i>
    <i>
      <x v="6"/>
    </i>
    <i>
      <x v="7"/>
    </i>
    <i>
      <x v="8"/>
    </i>
    <i>
      <x v="9"/>
    </i>
    <i t="grand">
      <x/>
    </i>
  </rowItems>
  <colItems count="1">
    <i/>
  </colItems>
  <dataFields count="1">
    <dataField name=" Fund Available" fld="10" baseField="0" baseItem="0" numFmtId="164"/>
  </dataFields>
  <formats count="6">
    <format dxfId="152">
      <pivotArea outline="0" collapsedLevelsAreSubtotals="1" fieldPosition="0"/>
    </format>
    <format dxfId="151">
      <pivotArea dataOnly="0" labelOnly="1" outline="0" axis="axisValues" fieldPosition="0"/>
    </format>
    <format dxfId="150">
      <pivotArea dataOnly="0" labelOnly="1" outline="0" axis="axisValues" fieldPosition="0"/>
    </format>
    <format dxfId="149">
      <pivotArea outline="0" collapsedLevelsAreSubtotals="1" fieldPosition="0"/>
    </format>
    <format dxfId="148">
      <pivotArea dataOnly="0" labelOnly="1" outline="0" axis="axisValues" fieldPosition="0"/>
    </format>
    <format dxfId="1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 Account Description">
  <location ref="A40:B51" firstHeaderRow="1" firstDataRow="1" firstDataCol="1"/>
  <pivotFields count="11">
    <pivotField showAll="0"/>
    <pivotField showAll="0"/>
    <pivotField showAll="0"/>
    <pivotField axis="axisRow" showAll="0" sortType="descending">
      <items count="11">
        <item x="4"/>
        <item x="6"/>
        <item x="1"/>
        <item x="3"/>
        <item x="5"/>
        <item x="2"/>
        <item x="9"/>
        <item x="7"/>
        <item x="8"/>
        <item x="0"/>
        <item t="default"/>
      </items>
      <autoSortScope>
        <pivotArea dataOnly="0" outline="0" fieldPosition="0">
          <references count="1">
            <reference field="4294967294" count="1" selected="0">
              <x v="0"/>
            </reference>
          </references>
        </pivotArea>
      </autoSortScope>
    </pivotField>
    <pivotField showAll="0"/>
    <pivotField numFmtId="3" showAll="0"/>
    <pivotField numFmtId="3" showAll="0"/>
    <pivotField showAll="0"/>
    <pivotField showAll="0"/>
    <pivotField showAll="0"/>
    <pivotField dataField="1" numFmtId="3" showAll="0"/>
  </pivotFields>
  <rowFields count="1">
    <field x="3"/>
  </rowFields>
  <rowItems count="11">
    <i>
      <x v="9"/>
    </i>
    <i>
      <x v="5"/>
    </i>
    <i>
      <x/>
    </i>
    <i>
      <x v="4"/>
    </i>
    <i>
      <x v="6"/>
    </i>
    <i>
      <x v="7"/>
    </i>
    <i>
      <x v="3"/>
    </i>
    <i>
      <x v="2"/>
    </i>
    <i>
      <x v="8"/>
    </i>
    <i>
      <x v="1"/>
    </i>
    <i t="grand">
      <x/>
    </i>
  </rowItems>
  <colItems count="1">
    <i/>
  </colItems>
  <dataFields count="1">
    <dataField name=" Fund Available" fld="10" baseField="0" baseItem="0" numFmtId="164"/>
  </dataFields>
  <formats count="6">
    <format dxfId="146">
      <pivotArea outline="0" collapsedLevelsAreSubtotals="1" fieldPosition="0"/>
    </format>
    <format dxfId="145">
      <pivotArea dataOnly="0" labelOnly="1" outline="0" axis="axisValues" fieldPosition="0"/>
    </format>
    <format dxfId="144">
      <pivotArea dataOnly="0" labelOnly="1" outline="0" axis="axisValues" fieldPosition="0"/>
    </format>
    <format dxfId="143">
      <pivotArea outline="0" collapsedLevelsAreSubtotals="1" fieldPosition="0"/>
    </format>
    <format dxfId="142">
      <pivotArea dataOnly="0" labelOnly="1" outline="0" axis="axisValues" fieldPosition="0"/>
    </format>
    <format dxfId="1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3:E107" firstHeaderRow="0" firstDataRow="1" firstDataCol="1"/>
  <pivotFields count="45">
    <pivotField showAll="0"/>
    <pivotField showAll="0"/>
    <pivotField showAll="0"/>
    <pivotField showAll="0"/>
    <pivotField showAll="0"/>
    <pivotField showAll="0"/>
    <pivotField axis="axisRow" showAll="0" sortType="descending">
      <items count="84">
        <item x="0"/>
        <item x="1"/>
        <item x="20"/>
        <item x="21"/>
        <item x="14"/>
        <item x="63"/>
        <item x="47"/>
        <item x="46"/>
        <item x="9"/>
        <item x="59"/>
        <item x="40"/>
        <item x="8"/>
        <item x="72"/>
        <item x="5"/>
        <item x="6"/>
        <item x="70"/>
        <item x="37"/>
        <item x="52"/>
        <item x="75"/>
        <item x="7"/>
        <item x="66"/>
        <item x="11"/>
        <item x="61"/>
        <item x="64"/>
        <item x="38"/>
        <item x="60"/>
        <item x="25"/>
        <item x="39"/>
        <item x="80"/>
        <item x="43"/>
        <item x="44"/>
        <item x="12"/>
        <item x="68"/>
        <item x="33"/>
        <item x="32"/>
        <item x="2"/>
        <item x="77"/>
        <item x="24"/>
        <item x="73"/>
        <item x="48"/>
        <item x="3"/>
        <item x="41"/>
        <item x="82"/>
        <item x="50"/>
        <item x="58"/>
        <item x="18"/>
        <item x="55"/>
        <item x="62"/>
        <item x="19"/>
        <item x="51"/>
        <item x="28"/>
        <item x="17"/>
        <item x="31"/>
        <item x="16"/>
        <item x="71"/>
        <item x="56"/>
        <item x="45"/>
        <item x="57"/>
        <item x="23"/>
        <item x="79"/>
        <item x="22"/>
        <item x="42"/>
        <item x="76"/>
        <item x="10"/>
        <item x="49"/>
        <item x="4"/>
        <item x="65"/>
        <item x="54"/>
        <item x="35"/>
        <item x="29"/>
        <item x="30"/>
        <item x="26"/>
        <item x="15"/>
        <item x="27"/>
        <item x="74"/>
        <item x="78"/>
        <item x="13"/>
        <item x="69"/>
        <item x="36"/>
        <item x="34"/>
        <item x="67"/>
        <item x="81"/>
        <item x="53"/>
        <item t="default"/>
      </items>
      <autoSortScope>
        <pivotArea dataOnly="0" outline="0" fieldPosition="0">
          <references count="1">
            <reference field="4294967294" count="1" selected="0">
              <x v="3"/>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dataField="1" showAll="0" defaultSubtotal="0"/>
    <pivotField dataField="1" showAll="0" defaultSubtotal="0"/>
    <pivotField showAll="0"/>
    <pivotField showAll="0"/>
    <pivotField showAll="0"/>
    <pivotField showAll="0"/>
    <pivotField showAll="0"/>
    <pivotField showAll="0"/>
    <pivotField showAll="0"/>
    <pivotField showAll="0"/>
    <pivotField showAll="0"/>
    <pivotField numFmtId="43" showAll="0"/>
    <pivotField showAll="0" defaultSubtotal="0"/>
    <pivotField dataField="1" showAll="0" defaultSubtotal="0"/>
    <pivotField showAll="0" defaultSubtotal="0"/>
    <pivotField numFmtId="43" showAll="0" defaultSubtotal="0"/>
    <pivotField numFmtId="43" showAll="0" defaultSubtotal="0"/>
    <pivotField showAll="0" defaultSubtotal="0"/>
    <pivotField showAll="0"/>
    <pivotField showAll="0"/>
    <pivotField showAll="0"/>
    <pivotField numFmtId="43" showAll="0" defaultSubtotal="0"/>
    <pivotField showAll="0" defaultSubtotal="0"/>
    <pivotField dataField="1" numFmtId="43" showAll="0" defaultSubtotal="0"/>
  </pivotFields>
  <rowFields count="1">
    <field x="6"/>
  </rowFields>
  <rowItems count="84">
    <i>
      <x v="32"/>
    </i>
    <i>
      <x v="75"/>
    </i>
    <i>
      <x v="1"/>
    </i>
    <i>
      <x v="67"/>
    </i>
    <i>
      <x v="50"/>
    </i>
    <i>
      <x v="47"/>
    </i>
    <i>
      <x v="22"/>
    </i>
    <i>
      <x v="28"/>
    </i>
    <i>
      <x v="7"/>
    </i>
    <i>
      <x v="27"/>
    </i>
    <i>
      <x v="14"/>
    </i>
    <i>
      <x v="13"/>
    </i>
    <i>
      <x v="3"/>
    </i>
    <i>
      <x v="70"/>
    </i>
    <i>
      <x v="8"/>
    </i>
    <i>
      <x v="20"/>
    </i>
    <i>
      <x v="51"/>
    </i>
    <i>
      <x v="16"/>
    </i>
    <i>
      <x v="59"/>
    </i>
    <i>
      <x v="17"/>
    </i>
    <i>
      <x v="11"/>
    </i>
    <i>
      <x v="18"/>
    </i>
    <i>
      <x v="55"/>
    </i>
    <i>
      <x v="19"/>
    </i>
    <i>
      <x v="63"/>
    </i>
    <i>
      <x v="4"/>
    </i>
    <i>
      <x v="42"/>
    </i>
    <i>
      <x v="15"/>
    </i>
    <i>
      <x v="21"/>
    </i>
    <i>
      <x v="49"/>
    </i>
    <i>
      <x v="6"/>
    </i>
    <i>
      <x v="53"/>
    </i>
    <i>
      <x v="23"/>
    </i>
    <i>
      <x v="57"/>
    </i>
    <i>
      <x v="24"/>
    </i>
    <i>
      <x v="61"/>
    </i>
    <i>
      <x v="25"/>
    </i>
    <i>
      <x v="65"/>
    </i>
    <i>
      <x v="26"/>
    </i>
    <i>
      <x v="5"/>
    </i>
    <i>
      <x v="2"/>
    </i>
    <i>
      <x v="43"/>
    </i>
    <i>
      <x v="44"/>
    </i>
    <i>
      <x v="45"/>
    </i>
    <i>
      <x v="46"/>
    </i>
    <i>
      <x v="29"/>
    </i>
    <i>
      <x v="48"/>
    </i>
    <i>
      <x v="30"/>
    </i>
    <i>
      <x v="12"/>
    </i>
    <i>
      <x v="31"/>
    </i>
    <i>
      <x v="52"/>
    </i>
    <i>
      <x v="9"/>
    </i>
    <i>
      <x v="54"/>
    </i>
    <i>
      <x v="33"/>
    </i>
    <i>
      <x v="56"/>
    </i>
    <i>
      <x v="69"/>
    </i>
    <i>
      <x v="58"/>
    </i>
    <i>
      <x v="71"/>
    </i>
    <i>
      <x v="60"/>
    </i>
    <i>
      <x v="73"/>
    </i>
    <i>
      <x v="62"/>
    </i>
    <i>
      <x v="10"/>
    </i>
    <i>
      <x v="64"/>
    </i>
    <i>
      <x v="77"/>
    </i>
    <i>
      <x v="66"/>
    </i>
    <i>
      <x v="79"/>
    </i>
    <i>
      <x v="68"/>
    </i>
    <i>
      <x v="81"/>
    </i>
    <i>
      <x/>
    </i>
    <i>
      <x v="34"/>
    </i>
    <i>
      <x v="72"/>
    </i>
    <i>
      <x v="35"/>
    </i>
    <i>
      <x v="74"/>
    </i>
    <i>
      <x v="36"/>
    </i>
    <i>
      <x v="76"/>
    </i>
    <i>
      <x v="37"/>
    </i>
    <i>
      <x v="78"/>
    </i>
    <i>
      <x v="38"/>
    </i>
    <i>
      <x v="80"/>
    </i>
    <i>
      <x v="39"/>
    </i>
    <i>
      <x v="82"/>
    </i>
    <i>
      <x v="40"/>
    </i>
    <i>
      <x v="41"/>
    </i>
    <i t="grand">
      <x/>
    </i>
  </rowItems>
  <colFields count="1">
    <field x="-2"/>
  </colFields>
  <colItems count="4">
    <i>
      <x/>
    </i>
    <i i="1">
      <x v="1"/>
    </i>
    <i i="2">
      <x v="2"/>
    </i>
    <i i="3">
      <x v="3"/>
    </i>
  </colItems>
  <dataFields count="4">
    <dataField name="Sum of Budget 10-Dec-2022" fld="34" baseField="6" baseItem="0"/>
    <dataField name="Sum of Forecast 10-Dec-2022" fld="44" baseField="0" baseItem="0"/>
    <dataField name="Sum of Surplus" fld="21" baseField="6" baseItem="0"/>
    <dataField name="Sum of Shortage" fld="22" baseField="6" baseItem="0"/>
  </dataFields>
  <formats count="22">
    <format dxfId="123">
      <pivotArea outline="0" collapsedLevelsAreSubtotals="1" fieldPosition="0"/>
    </format>
    <format dxfId="122">
      <pivotArea field="6" type="button" dataOnly="0" labelOnly="1" outline="0" axis="axisRow" fieldPosition="0"/>
    </format>
    <format dxfId="121">
      <pivotArea dataOnly="0" labelOnly="1" grandRow="1" outline="0" fieldPosition="0"/>
    </format>
    <format dxfId="120">
      <pivotArea collapsedLevelsAreSubtotals="1" fieldPosition="0">
        <references count="1">
          <reference field="6" count="0"/>
        </references>
      </pivotArea>
    </format>
    <format dxfId="119">
      <pivotArea dataOnly="0" labelOnly="1"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8">
      <pivotArea dataOnly="0" labelOnly="1" fieldPosition="0">
        <references count="1">
          <reference field="6" count="33">
            <x v="50"/>
            <x v="51"/>
            <x v="52"/>
            <x v="53"/>
            <x v="54"/>
            <x v="55"/>
            <x v="56"/>
            <x v="57"/>
            <x v="58"/>
            <x v="59"/>
            <x v="60"/>
            <x v="61"/>
            <x v="62"/>
            <x v="63"/>
            <x v="64"/>
            <x v="65"/>
            <x v="66"/>
            <x v="67"/>
            <x v="68"/>
            <x v="69"/>
            <x v="70"/>
            <x v="71"/>
            <x v="72"/>
            <x v="73"/>
            <x v="74"/>
            <x v="75"/>
            <x v="76"/>
            <x v="77"/>
            <x v="78"/>
            <x v="79"/>
            <x v="80"/>
            <x v="81"/>
            <x v="82"/>
          </reference>
        </references>
      </pivotArea>
    </format>
    <format dxfId="117">
      <pivotArea collapsedLevelsAreSubtotals="1" fieldPosition="0">
        <references count="1">
          <reference field="6" count="0"/>
        </references>
      </pivotArea>
    </format>
    <format dxfId="116">
      <pivotArea field="6" type="button" dataOnly="0" labelOnly="1" outline="0" axis="axisRow" fieldPosition="0"/>
    </format>
    <format dxfId="115">
      <pivotArea dataOnly="0" labelOnly="1"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4">
      <pivotArea dataOnly="0" labelOnly="1" fieldPosition="0">
        <references count="1">
          <reference field="6" count="33">
            <x v="50"/>
            <x v="51"/>
            <x v="52"/>
            <x v="53"/>
            <x v="54"/>
            <x v="55"/>
            <x v="56"/>
            <x v="57"/>
            <x v="58"/>
            <x v="59"/>
            <x v="60"/>
            <x v="61"/>
            <x v="62"/>
            <x v="63"/>
            <x v="64"/>
            <x v="65"/>
            <x v="66"/>
            <x v="67"/>
            <x v="68"/>
            <x v="69"/>
            <x v="70"/>
            <x v="71"/>
            <x v="72"/>
            <x v="73"/>
            <x v="74"/>
            <x v="75"/>
            <x v="76"/>
            <x v="77"/>
            <x v="78"/>
            <x v="79"/>
            <x v="80"/>
            <x v="81"/>
            <x v="82"/>
          </reference>
        </references>
      </pivotArea>
    </format>
    <format dxfId="113">
      <pivotArea dataOnly="0" labelOnly="1" outline="0" fieldPosition="0">
        <references count="1">
          <reference field="4294967294" count="4">
            <x v="0"/>
            <x v="1"/>
            <x v="2"/>
            <x v="3"/>
          </reference>
        </references>
      </pivotArea>
    </format>
    <format dxfId="112">
      <pivotArea grandRow="1" outline="0" collapsedLevelsAreSubtotals="1" fieldPosition="0"/>
    </format>
    <format dxfId="111">
      <pivotArea dataOnly="0" labelOnly="1" grandRow="1" outline="0" fieldPosition="0"/>
    </format>
    <format dxfId="110">
      <pivotArea collapsedLevelsAreSubtotals="1" fieldPosition="0">
        <references count="1">
          <reference field="6" count="0"/>
        </references>
      </pivotArea>
    </format>
    <format dxfId="109">
      <pivotArea collapsedLevelsAreSubtotals="1" fieldPosition="0">
        <references count="1">
          <reference field="6" count="0"/>
        </references>
      </pivotArea>
    </format>
    <format dxfId="108">
      <pivotArea grandRow="1" outline="0" collapsedLevelsAreSubtotals="1" fieldPosition="0"/>
    </format>
    <format dxfId="107">
      <pivotArea grandRow="1" outline="0" collapsedLevelsAreSubtotals="1" fieldPosition="0"/>
    </format>
    <format dxfId="106">
      <pivotArea grandRow="1" outline="0" collapsedLevelsAreSubtotals="1" fieldPosition="0"/>
    </format>
    <format dxfId="105">
      <pivotArea grandRow="1" outline="0" collapsedLevelsAreSubtotals="1" fieldPosition="0"/>
    </format>
    <format dxfId="104">
      <pivotArea grandRow="1" outline="0" collapsedLevelsAreSubtotals="1" fieldPosition="0"/>
    </format>
    <format dxfId="103">
      <pivotArea dataOnly="0" labelOnly="1" outline="0" fieldPosition="0">
        <references count="1">
          <reference field="4294967294" count="4">
            <x v="0"/>
            <x v="1"/>
            <x v="2"/>
            <x v="3"/>
          </reference>
        </references>
      </pivotArea>
    </format>
    <format dxfId="10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5" firstHeaderRow="0" firstDataRow="1" firstDataCol="1"/>
  <pivotFields count="45">
    <pivotField axis="axisRow" showAll="0">
      <items count="13">
        <item x="3"/>
        <item x="5"/>
        <item x="4"/>
        <item x="10"/>
        <item x="8"/>
        <item x="1"/>
        <item x="0"/>
        <item x="2"/>
        <item x="7"/>
        <item x="9"/>
        <item x="6"/>
        <item m="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dataField="1" showAll="0" defaultSubtotal="0"/>
    <pivotField dataField="1" showAll="0" defaultSubtotal="0"/>
    <pivotField showAll="0"/>
    <pivotField showAll="0"/>
    <pivotField showAll="0"/>
    <pivotField showAll="0"/>
    <pivotField showAll="0"/>
    <pivotField showAll="0"/>
    <pivotField showAll="0"/>
    <pivotField showAll="0"/>
    <pivotField showAll="0"/>
    <pivotField numFmtId="43" showAll="0"/>
    <pivotField showAll="0" defaultSubtotal="0"/>
    <pivotField dataField="1" showAll="0" defaultSubtotal="0"/>
    <pivotField showAll="0" defaultSubtotal="0"/>
    <pivotField numFmtId="43" showAll="0" defaultSubtotal="0"/>
    <pivotField numFmtId="43" showAll="0" defaultSubtotal="0"/>
    <pivotField showAll="0" defaultSubtotal="0"/>
    <pivotField showAll="0"/>
    <pivotField showAll="0"/>
    <pivotField showAll="0"/>
    <pivotField numFmtId="43" showAll="0" defaultSubtotal="0"/>
    <pivotField showAll="0" defaultSubtotal="0"/>
    <pivotField dataField="1" numFmtId="43" showAll="0" defaultSubtotal="0"/>
  </pivotFields>
  <rowFields count="1">
    <field x="0"/>
  </rowFields>
  <rowItems count="12">
    <i>
      <x/>
    </i>
    <i>
      <x v="1"/>
    </i>
    <i>
      <x v="2"/>
    </i>
    <i>
      <x v="3"/>
    </i>
    <i>
      <x v="4"/>
    </i>
    <i>
      <x v="5"/>
    </i>
    <i>
      <x v="6"/>
    </i>
    <i>
      <x v="7"/>
    </i>
    <i>
      <x v="8"/>
    </i>
    <i>
      <x v="9"/>
    </i>
    <i>
      <x v="10"/>
    </i>
    <i t="grand">
      <x/>
    </i>
  </rowItems>
  <colFields count="1">
    <field x="-2"/>
  </colFields>
  <colItems count="4">
    <i>
      <x/>
    </i>
    <i i="1">
      <x v="1"/>
    </i>
    <i i="2">
      <x v="2"/>
    </i>
    <i i="3">
      <x v="3"/>
    </i>
  </colItems>
  <dataFields count="4">
    <dataField name="Sum of Budget 10-Dec-2022" fld="34" baseField="0" baseItem="0" numFmtId="3"/>
    <dataField name="Sum of Forecast 10-Dec-2022" fld="44" baseField="0" baseItem="0" numFmtId="164"/>
    <dataField name="Sum of Surplus" fld="21" baseField="0" baseItem="0" numFmtId="164"/>
    <dataField name="Sum of Shortage" fld="22" baseField="0" baseItem="0" numFmtId="164"/>
  </dataFields>
  <formats count="17">
    <format dxfId="140">
      <pivotArea outline="0" collapsedLevelsAreSubtotals="1" fieldPosition="0"/>
    </format>
    <format dxfId="139">
      <pivotArea field="0" type="button" dataOnly="0" labelOnly="1" outline="0" axis="axisRow" fieldPosition="0"/>
    </format>
    <format dxfId="138">
      <pivotArea dataOnly="0" labelOnly="1" outline="0" fieldPosition="0">
        <references count="1">
          <reference field="4294967294" count="4">
            <x v="0"/>
            <x v="1"/>
            <x v="2"/>
            <x v="3"/>
          </reference>
        </references>
      </pivotArea>
    </format>
    <format dxfId="137">
      <pivotArea dataOnly="0" labelOnly="1" grandRow="1" outline="0" fieldPosition="0"/>
    </format>
    <format dxfId="136">
      <pivotArea collapsedLevelsAreSubtotals="1" fieldPosition="0">
        <references count="1">
          <reference field="0" count="0"/>
        </references>
      </pivotArea>
    </format>
    <format dxfId="135">
      <pivotArea field="0" type="button" dataOnly="0" labelOnly="1" outline="0" axis="axisRow" fieldPosition="0"/>
    </format>
    <format dxfId="134">
      <pivotArea dataOnly="0" labelOnly="1" fieldPosition="0">
        <references count="1">
          <reference field="0" count="0"/>
        </references>
      </pivotArea>
    </format>
    <format dxfId="133">
      <pivotArea dataOnly="0" labelOnly="1" outline="0" fieldPosition="0">
        <references count="1">
          <reference field="4294967294" count="4">
            <x v="0"/>
            <x v="1"/>
            <x v="2"/>
            <x v="3"/>
          </reference>
        </references>
      </pivotArea>
    </format>
    <format dxfId="132">
      <pivotArea dataOnly="0" grandRow="1" axis="axisRow" fieldPosition="0"/>
    </format>
    <format dxfId="131">
      <pivotArea outline="0" fieldPosition="0">
        <references count="1">
          <reference field="4294967294" count="1">
            <x v="0"/>
          </reference>
        </references>
      </pivotArea>
    </format>
    <format dxfId="130">
      <pivotArea outline="0" collapsedLevelsAreSubtotals="1" fieldPosition="0">
        <references count="1">
          <reference field="4294967294" count="1" selected="0">
            <x v="1"/>
          </reference>
        </references>
      </pivotArea>
    </format>
    <format dxfId="129">
      <pivotArea outline="0" collapsedLevelsAreSubtotals="1" fieldPosition="0">
        <references count="1">
          <reference field="4294967294" count="1" selected="0">
            <x v="1"/>
          </reference>
        </references>
      </pivotArea>
    </format>
    <format dxfId="128">
      <pivotArea outline="0" collapsedLevelsAreSubtotals="1" fieldPosition="0">
        <references count="1">
          <reference field="4294967294" count="1" selected="0">
            <x v="2"/>
          </reference>
        </references>
      </pivotArea>
    </format>
    <format dxfId="127">
      <pivotArea outline="0" collapsedLevelsAreSubtotals="1" fieldPosition="0">
        <references count="1">
          <reference field="4294967294" count="1" selected="0">
            <x v="2"/>
          </reference>
        </references>
      </pivotArea>
    </format>
    <format dxfId="126">
      <pivotArea outline="0" collapsedLevelsAreSubtotals="1" fieldPosition="0">
        <references count="1">
          <reference field="4294967294" count="1" selected="0">
            <x v="3"/>
          </reference>
        </references>
      </pivotArea>
    </format>
    <format dxfId="125">
      <pivotArea outline="0" collapsedLevelsAreSubtotals="1" fieldPosition="0">
        <references count="1">
          <reference field="4294967294" count="1" selected="0">
            <x v="3"/>
          </reference>
        </references>
      </pivotArea>
    </format>
    <format dxfId="12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8" applyNumberFormats="0" applyBorderFormats="0" applyFontFormats="0" applyPatternFormats="0" applyAlignmentFormats="0" applyWidthHeightFormats="1" dataCaption="Values" showError="1" updatedVersion="6" minRefreshableVersion="3" useAutoFormatting="1" itemPrintTitles="1" createdVersion="6" indent="0" outline="1" outlineData="1" multipleFieldFilters="0">
  <location ref="A1:B508" firstHeaderRow="1" firstDataRow="1" firstDataCol="1"/>
  <pivotFields count="45">
    <pivotField showAll="0">
      <items count="13">
        <item x="3"/>
        <item x="5"/>
        <item x="4"/>
        <item x="10"/>
        <item x="8"/>
        <item x="1"/>
        <item x="0"/>
        <item x="2"/>
        <item x="7"/>
        <item x="9"/>
        <item x="6"/>
        <item m="1" x="11"/>
        <item t="default"/>
      </items>
    </pivotField>
    <pivotField showAll="0"/>
    <pivotField showAll="0"/>
    <pivotField showAll="0"/>
    <pivotField showAll="0"/>
    <pivotField showAll="0"/>
    <pivotField showAll="0"/>
    <pivotField axis="axisRow" showAll="0">
      <items count="507">
        <item x="0"/>
        <item x="1"/>
        <item x="2"/>
        <item x="3"/>
        <item x="4"/>
        <item x="5"/>
        <item x="6"/>
        <item x="7"/>
        <item x="8"/>
        <item x="9"/>
        <item x="10"/>
        <item x="11"/>
        <item x="12"/>
        <item x="13"/>
        <item x="14"/>
        <item x="15"/>
        <item x="16"/>
        <item x="17"/>
        <item x="18"/>
        <item x="19"/>
        <item x="20"/>
        <item x="21"/>
        <item x="22"/>
        <item x="23"/>
        <item x="24"/>
        <item x="25"/>
        <item x="26"/>
        <item x="494"/>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495"/>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496"/>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502"/>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497"/>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503"/>
        <item x="269"/>
        <item x="270"/>
        <item x="271"/>
        <item x="272"/>
        <item x="273"/>
        <item x="274"/>
        <item x="275"/>
        <item x="276"/>
        <item x="277"/>
        <item x="278"/>
        <item x="279"/>
        <item x="302"/>
        <item x="280"/>
        <item x="281"/>
        <item x="282"/>
        <item x="283"/>
        <item x="284"/>
        <item x="285"/>
        <item x="286"/>
        <item x="287"/>
        <item x="288"/>
        <item x="289"/>
        <item x="290"/>
        <item x="291"/>
        <item x="498"/>
        <item x="292"/>
        <item x="293"/>
        <item x="294"/>
        <item x="295"/>
        <item x="296"/>
        <item x="297"/>
        <item x="298"/>
        <item x="299"/>
        <item x="300"/>
        <item x="301"/>
        <item x="303"/>
        <item x="304"/>
        <item x="305"/>
        <item x="306"/>
        <item x="307"/>
        <item x="308"/>
        <item x="309"/>
        <item x="310"/>
        <item x="311"/>
        <item x="312"/>
        <item x="313"/>
        <item x="314"/>
        <item x="324"/>
        <item x="315"/>
        <item x="316"/>
        <item x="317"/>
        <item x="318"/>
        <item x="319"/>
        <item x="320"/>
        <item x="504"/>
        <item x="321"/>
        <item x="325"/>
        <item x="322"/>
        <item x="323"/>
        <item x="505"/>
        <item x="326"/>
        <item x="327"/>
        <item x="328"/>
        <item x="329"/>
        <item x="330"/>
        <item x="331"/>
        <item x="332"/>
        <item x="333"/>
        <item x="334"/>
        <item x="335"/>
        <item x="336"/>
        <item x="337"/>
        <item x="338"/>
        <item x="339"/>
        <item x="340"/>
        <item x="341"/>
        <item x="486"/>
        <item x="342"/>
        <item x="343"/>
        <item x="344"/>
        <item x="345"/>
        <item x="346"/>
        <item x="347"/>
        <item x="487"/>
        <item x="348"/>
        <item x="349"/>
        <item x="350"/>
        <item x="488"/>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499"/>
        <item x="389"/>
        <item x="390"/>
        <item x="391"/>
        <item x="392"/>
        <item x="393"/>
        <item x="394"/>
        <item x="395"/>
        <item x="396"/>
        <item x="397"/>
        <item x="398"/>
        <item x="399"/>
        <item x="400"/>
        <item x="489"/>
        <item x="401"/>
        <item x="402"/>
        <item x="403"/>
        <item x="404"/>
        <item x="405"/>
        <item x="406"/>
        <item x="407"/>
        <item x="408"/>
        <item x="409"/>
        <item x="410"/>
        <item x="411"/>
        <item x="412"/>
        <item x="413"/>
        <item x="414"/>
        <item x="415"/>
        <item x="416"/>
        <item x="417"/>
        <item x="418"/>
        <item x="419"/>
        <item x="420"/>
        <item x="421"/>
        <item x="422"/>
        <item x="490"/>
        <item x="500"/>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91"/>
        <item x="492"/>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93"/>
        <item x="485"/>
        <item x="50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dataField="1" showAll="0" defaultSubtotal="0"/>
    <pivotField showAll="0"/>
    <pivotField showAll="0"/>
    <pivotField showAll="0"/>
    <pivotField showAll="0"/>
    <pivotField showAll="0"/>
    <pivotField showAll="0"/>
    <pivotField showAll="0"/>
    <pivotField showAll="0"/>
    <pivotField showAll="0"/>
    <pivotField numFmtId="43" showAll="0"/>
    <pivotField showAll="0" defaultSubtotal="0"/>
    <pivotField showAll="0" defaultSubtotal="0"/>
    <pivotField showAll="0" defaultSubtotal="0"/>
    <pivotField numFmtId="43" showAll="0" defaultSubtotal="0"/>
    <pivotField numFmtId="43" showAll="0" defaultSubtotal="0"/>
    <pivotField showAll="0" defaultSubtotal="0"/>
    <pivotField showAll="0"/>
    <pivotField showAll="0"/>
    <pivotField showAll="0"/>
    <pivotField numFmtId="43" showAll="0" defaultSubtotal="0"/>
    <pivotField showAll="0" defaultSubtotal="0"/>
    <pivotField numFmtId="43" showAll="0" defaultSubtotal="0"/>
  </pivotFields>
  <rowFields count="1">
    <field x="7"/>
  </rowFields>
  <rowItems count="50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t="grand">
      <x/>
    </i>
  </rowItems>
  <colItems count="1">
    <i/>
  </colItems>
  <dataFields count="1">
    <dataField name="Sum of Shortage" fld="22" baseField="7" baseItem="0" numFmtId="2"/>
  </dataFields>
  <formats count="7">
    <format dxfId="101">
      <pivotArea outline="0" collapsedLevelsAreSubtotals="1" fieldPosition="0"/>
    </format>
    <format dxfId="100">
      <pivotArea field="0" type="button" dataOnly="0" labelOnly="1" outline="0"/>
    </format>
    <format dxfId="99">
      <pivotArea dataOnly="0" labelOnly="1" grandRow="1" outline="0" fieldPosition="0"/>
    </format>
    <format dxfId="98">
      <pivotArea field="0" type="button" dataOnly="0" labelOnly="1" outline="0"/>
    </format>
    <format dxfId="97">
      <pivotArea dataOnly="0" grandRow="1" axis="axisRow" fieldPosition="0"/>
    </format>
    <format dxfId="96">
      <pivotArea grandRow="1" outline="0" collapsedLevelsAreSubtotals="1" fieldPosition="0"/>
    </format>
    <format dxfId="9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2" firstHeaderRow="0" firstDataRow="1" firstDataCol="1"/>
  <pivotFields count="39">
    <pivotField axis="axisRow" showAll="0">
      <items count="9">
        <item x="2"/>
        <item x="4"/>
        <item x="3"/>
        <item x="7"/>
        <item x="1"/>
        <item x="0"/>
        <item x="6"/>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dataField="1" showAll="0" defaultSubtotal="0"/>
    <pivotField showAll="0" defaultSubtotal="0"/>
    <pivotField dataField="1" showAll="0" defaultSubtotal="0"/>
    <pivotField showAll="0" defaultSubtotal="0"/>
    <pivotField showAll="0"/>
    <pivotField showAll="0"/>
    <pivotField showAll="0"/>
    <pivotField showAll="0"/>
    <pivotField showAll="0"/>
    <pivotField showAll="0" defaultSubtotal="0"/>
    <pivotField dataField="1" numFmtId="43" showAll="0" defaultSubtotal="0"/>
    <pivotField showAll="0" defaultSubtotal="0"/>
    <pivotField showAll="0" defaultSubtotal="0"/>
    <pivotField showAll="0" defaultSubtotal="0"/>
    <pivotField numFmtId="43" showAll="0" defaultSubtotal="0"/>
    <pivotField dataField="1" numFmtId="2" showAll="0" defaultSubtotal="0"/>
  </pivotFields>
  <rowFields count="1">
    <field x="0"/>
  </rowFields>
  <rowItems count="9">
    <i>
      <x/>
    </i>
    <i>
      <x v="1"/>
    </i>
    <i>
      <x v="2"/>
    </i>
    <i>
      <x v="3"/>
    </i>
    <i>
      <x v="4"/>
    </i>
    <i>
      <x v="5"/>
    </i>
    <i>
      <x v="6"/>
    </i>
    <i>
      <x v="7"/>
    </i>
    <i t="grand">
      <x/>
    </i>
  </rowItems>
  <colFields count="1">
    <field x="-2"/>
  </colFields>
  <colItems count="4">
    <i>
      <x/>
    </i>
    <i i="1">
      <x v="1"/>
    </i>
    <i i="2">
      <x v="2"/>
    </i>
    <i i="3">
      <x v="3"/>
    </i>
  </colItems>
  <dataFields count="4">
    <dataField name="Sum of Budget 10-Dec-2022" fld="33" baseField="0" baseItem="0"/>
    <dataField name="Sum of Forecast 10-Dec-2022" fld="38" baseField="0" baseItem="0"/>
    <dataField name="Sum of Capex Surplus" fld="23" baseField="0" baseItem="0"/>
    <dataField name="Sum of Capex Shortage" fld="25" baseField="0" baseItem="0"/>
  </dataFields>
  <formats count="17">
    <format dxfId="78">
      <pivotArea collapsedLevelsAreSubtotals="1" fieldPosition="0">
        <references count="1">
          <reference field="0" count="0"/>
        </references>
      </pivotArea>
    </format>
    <format dxfId="77">
      <pivotArea outline="0" collapsedLevelsAreSubtotals="1" fieldPosition="0"/>
    </format>
    <format dxfId="76">
      <pivotArea dataOnly="0" grandRow="1" axis="axisRow" fieldPosition="0"/>
    </format>
    <format dxfId="75">
      <pivotArea collapsedLevelsAreSubtotals="1" fieldPosition="0">
        <references count="1">
          <reference field="0" count="0"/>
        </references>
      </pivotArea>
    </format>
    <format dxfId="74">
      <pivotArea dataOnly="0" labelOnly="1" fieldPosition="0">
        <references count="1">
          <reference field="0" count="0"/>
        </references>
      </pivotArea>
    </format>
    <format dxfId="73">
      <pivotArea collapsedLevelsAreSubtotals="1" fieldPosition="0">
        <references count="1">
          <reference field="0" count="0"/>
        </references>
      </pivotArea>
    </format>
    <format dxfId="72">
      <pivotArea field="0" type="button" dataOnly="0" labelOnly="1" outline="0" axis="axisRow" fieldPosition="0"/>
    </format>
    <format dxfId="71">
      <pivotArea dataOnly="0" labelOnly="1" fieldPosition="0">
        <references count="1">
          <reference field="0" count="0"/>
        </references>
      </pivotArea>
    </format>
    <format dxfId="70">
      <pivotArea dataOnly="0" labelOnly="1" outline="0" fieldPosition="0">
        <references count="1">
          <reference field="4294967294" count="4">
            <x v="0"/>
            <x v="1"/>
            <x v="2"/>
            <x v="3"/>
          </reference>
        </references>
      </pivotArea>
    </format>
    <format dxfId="69">
      <pivotArea grandRow="1" outline="0" collapsedLevelsAreSubtotals="1" fieldPosition="0"/>
    </format>
    <format dxfId="68">
      <pivotArea grandRow="1" outline="0" collapsedLevelsAreSubtotals="1" fieldPosition="0"/>
    </format>
    <format dxfId="67">
      <pivotArea grandRow="1" outline="0" collapsedLevelsAreSubtotals="1" fieldPosition="0"/>
    </format>
    <format dxfId="66">
      <pivotArea grandRow="1" outline="0" collapsedLevelsAreSubtotals="1" fieldPosition="0"/>
    </format>
    <format dxfId="65">
      <pivotArea grandRow="1" outline="0" collapsedLevelsAreSubtotals="1" fieldPosition="0"/>
    </format>
    <format dxfId="64">
      <pivotArea field="0" type="button" dataOnly="0" labelOnly="1" outline="0" axis="axisRow" fieldPosition="0"/>
    </format>
    <format dxfId="63">
      <pivotArea dataOnly="0" labelOnly="1" outline="0" fieldPosition="0">
        <references count="1">
          <reference field="4294967294" count="4">
            <x v="0"/>
            <x v="1"/>
            <x v="2"/>
            <x v="3"/>
          </reference>
        </references>
      </pivotArea>
    </format>
    <format dxfId="6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PivotTable4"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1:E32" firstHeaderRow="0" firstDataRow="1" firstDataCol="1"/>
  <pivotFields count="39">
    <pivotField showAll="0"/>
    <pivotField showAll="0"/>
    <pivotField showAll="0"/>
    <pivotField showAll="0"/>
    <pivotField showAll="0"/>
    <pivotField showAll="0"/>
    <pivotField axis="axisRow" showAll="0">
      <items count="11">
        <item x="4"/>
        <item x="6"/>
        <item x="1"/>
        <item x="3"/>
        <item x="5"/>
        <item x="2"/>
        <item x="9"/>
        <item x="7"/>
        <item x="8"/>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dataField="1" showAll="0" defaultSubtotal="0"/>
    <pivotField showAll="0" defaultSubtotal="0"/>
    <pivotField dataField="1" showAll="0" defaultSubtotal="0"/>
    <pivotField showAll="0" defaultSubtotal="0"/>
    <pivotField showAll="0"/>
    <pivotField showAll="0"/>
    <pivotField showAll="0"/>
    <pivotField showAll="0"/>
    <pivotField showAll="0"/>
    <pivotField showAll="0" defaultSubtotal="0"/>
    <pivotField dataField="1" numFmtId="43" showAll="0" defaultSubtotal="0"/>
    <pivotField showAll="0" defaultSubtotal="0"/>
    <pivotField showAll="0" defaultSubtotal="0"/>
    <pivotField showAll="0" defaultSubtotal="0"/>
    <pivotField numFmtId="43" showAll="0" defaultSubtotal="0"/>
    <pivotField dataField="1" numFmtId="2" showAll="0" defaultSubtotal="0"/>
  </pivotFields>
  <rowFields count="1">
    <field x="6"/>
  </rowFields>
  <rowItems count="11">
    <i>
      <x/>
    </i>
    <i>
      <x v="1"/>
    </i>
    <i>
      <x v="2"/>
    </i>
    <i>
      <x v="3"/>
    </i>
    <i>
      <x v="4"/>
    </i>
    <i>
      <x v="5"/>
    </i>
    <i>
      <x v="6"/>
    </i>
    <i>
      <x v="7"/>
    </i>
    <i>
      <x v="8"/>
    </i>
    <i>
      <x v="9"/>
    </i>
    <i t="grand">
      <x/>
    </i>
  </rowItems>
  <colFields count="1">
    <field x="-2"/>
  </colFields>
  <colItems count="4">
    <i>
      <x/>
    </i>
    <i i="1">
      <x v="1"/>
    </i>
    <i i="2">
      <x v="2"/>
    </i>
    <i i="3">
      <x v="3"/>
    </i>
  </colItems>
  <dataFields count="4">
    <dataField name="Sum of Budget 10-Dec-2022" fld="33" baseField="0" baseItem="0"/>
    <dataField name="Sum of Forecast 10-Dec-2022" fld="38" baseField="0" baseItem="0"/>
    <dataField name="Sum of Capex Surplus" fld="23" baseField="0" baseItem="0"/>
    <dataField name="Sum of Capex Shortage" fld="25" baseField="0" baseItem="0"/>
  </dataFields>
  <formats count="16">
    <format dxfId="94">
      <pivotArea outline="0" collapsedLevelsAreSubtotals="1" fieldPosition="0"/>
    </format>
    <format dxfId="93">
      <pivotArea collapsedLevelsAreSubtotals="1" fieldPosition="0">
        <references count="1">
          <reference field="6" count="0"/>
        </references>
      </pivotArea>
    </format>
    <format dxfId="92">
      <pivotArea field="6" type="button" dataOnly="0" labelOnly="1" outline="0" axis="axisRow" fieldPosition="0"/>
    </format>
    <format dxfId="91">
      <pivotArea dataOnly="0" labelOnly="1" fieldPosition="0">
        <references count="1">
          <reference field="6" count="0"/>
        </references>
      </pivotArea>
    </format>
    <format dxfId="90">
      <pivotArea dataOnly="0" labelOnly="1" outline="0" fieldPosition="0">
        <references count="1">
          <reference field="4294967294" count="4">
            <x v="0"/>
            <x v="1"/>
            <x v="2"/>
            <x v="3"/>
          </reference>
        </references>
      </pivotArea>
    </format>
    <format dxfId="89">
      <pivotArea grandRow="1" outline="0" collapsedLevelsAreSubtotals="1" fieldPosition="0"/>
    </format>
    <format dxfId="88">
      <pivotArea dataOnly="0" labelOnly="1" grandRow="1" outline="0" fieldPosition="0"/>
    </format>
    <format dxfId="87">
      <pivotArea grandRow="1" outline="0" collapsedLevelsAreSubtotals="1" fieldPosition="0"/>
    </format>
    <format dxfId="86">
      <pivotArea grandRow="1" outline="0" collapsedLevelsAreSubtotals="1" fieldPosition="0"/>
    </format>
    <format dxfId="85">
      <pivotArea grandRow="1" outline="0" collapsedLevelsAreSubtotals="1" fieldPosition="0"/>
    </format>
    <format dxfId="84">
      <pivotArea grandRow="1" outline="0" collapsedLevelsAreSubtotals="1" fieldPosition="0"/>
    </format>
    <format dxfId="83">
      <pivotArea grandRow="1" outline="0" collapsedLevelsAreSubtotals="1" fieldPosition="0"/>
    </format>
    <format dxfId="82">
      <pivotArea field="6" type="button" dataOnly="0" labelOnly="1" outline="0" axis="axisRow" fieldPosition="0"/>
    </format>
    <format dxfId="81">
      <pivotArea dataOnly="0" labelOnly="1" outline="0" fieldPosition="0">
        <references count="1">
          <reference field="4294967294" count="4">
            <x v="0"/>
            <x v="1"/>
            <x v="2"/>
            <x v="3"/>
          </reference>
        </references>
      </pivotArea>
    </format>
    <format dxfId="80">
      <pivotArea grandRow="1" outline="0" collapsedLevelsAreSubtotals="1" fieldPosition="0"/>
    </format>
    <format dxfId="7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2" cacheId="6"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location ref="A3:K87" firstHeaderRow="0" firstDataRow="1" firstDataCol="1"/>
  <pivotFields count="27">
    <pivotField showAll="0" insertBlankRow="1" defaultSubtotal="0">
      <extLst>
        <ext xmlns:x14="http://schemas.microsoft.com/office/spreadsheetml/2009/9/main" uri="{2946ED86-A175-432a-8AC1-64E0C546D7DE}">
          <x14:pivotField fillDownLabels="1"/>
        </ext>
      </extLst>
    </pivotField>
    <pivotField showAll="0"/>
    <pivotField showAll="0"/>
    <pivotField showAll="0"/>
    <pivotField showAll="0"/>
    <pivotField axis="axisRow" showAll="0" defaultSubtotal="0">
      <items count="84">
        <item sd="0" x="0"/>
        <item sd="0" x="1"/>
        <item sd="0" x="20"/>
        <item sd="0" x="21"/>
        <item sd="0" x="14"/>
        <item sd="0" x="63"/>
        <item sd="0" x="47"/>
        <item sd="0" x="46"/>
        <item sd="0" x="9"/>
        <item sd="0" x="59"/>
        <item sd="0" x="40"/>
        <item sd="0" x="8"/>
        <item sd="0" x="72"/>
        <item sd="0" x="5"/>
        <item sd="0" x="6"/>
        <item sd="0" x="70"/>
        <item sd="0" x="37"/>
        <item sd="0" x="52"/>
        <item sd="0" x="75"/>
        <item sd="0" x="7"/>
        <item sd="0" x="66"/>
        <item sd="0" x="11"/>
        <item sd="0" x="61"/>
        <item sd="0" x="64"/>
        <item sd="0" x="38"/>
        <item sd="0" x="60"/>
        <item sd="0" x="25"/>
        <item sd="0" x="39"/>
        <item sd="0" x="80"/>
        <item sd="0" x="43"/>
        <item sd="0" x="44"/>
        <item sd="0" x="12"/>
        <item sd="0" x="68"/>
        <item sd="0" x="33"/>
        <item sd="0" x="32"/>
        <item sd="0" x="2"/>
        <item sd="0" x="77"/>
        <item sd="0" x="24"/>
        <item sd="0" x="73"/>
        <item sd="0" x="48"/>
        <item sd="0" x="3"/>
        <item sd="0" x="41"/>
        <item sd="0" x="82"/>
        <item sd="0" x="50"/>
        <item sd="0" x="58"/>
        <item sd="0" x="18"/>
        <item sd="0" x="55"/>
        <item sd="0" x="62"/>
        <item sd="0" x="19"/>
        <item sd="0" x="51"/>
        <item sd="0" x="28"/>
        <item x="17"/>
        <item sd="0" x="31"/>
        <item sd="0" x="16"/>
        <item sd="0" x="71"/>
        <item sd="0" x="56"/>
        <item sd="0" x="45"/>
        <item sd="0" x="57"/>
        <item sd="0" x="23"/>
        <item sd="0" x="79"/>
        <item x="22"/>
        <item sd="0" x="42"/>
        <item sd="0" x="76"/>
        <item sd="0" x="10"/>
        <item sd="0" x="49"/>
        <item sd="0" x="4"/>
        <item sd="0" x="65"/>
        <item sd="0" x="54"/>
        <item sd="0" x="35"/>
        <item sd="0" x="29"/>
        <item sd="0" x="30"/>
        <item sd="0" x="26"/>
        <item sd="0" x="15"/>
        <item sd="0" x="27"/>
        <item sd="0" x="74"/>
        <item sd="0" x="78"/>
        <item sd="0" x="13"/>
        <item sd="0" x="69"/>
        <item sd="0" x="36"/>
        <item sd="0" x="34"/>
        <item sd="0" x="67"/>
        <item sd="0" x="81"/>
        <item sd="0" x="53"/>
        <item sd="0" m="1" x="83"/>
      </items>
      <extLst>
        <ext xmlns:x14="http://schemas.microsoft.com/office/spreadsheetml/2009/9/main" uri="{2946ED86-A175-432a-8AC1-64E0C546D7DE}">
          <x14:pivotField fillDownLabels="1"/>
        </ext>
      </extLst>
    </pivotField>
    <pivotField showAll="0"/>
    <pivotField showAll="0"/>
    <pivotField dataField="1" showAll="0" defaultSubtotal="0"/>
    <pivotField dataField="1" showAll="0" defaultSubtotal="0"/>
    <pivotField dataField="1" showAll="0" defaultSubtotal="0"/>
    <pivotField dataField="1" showAll="0" defaultSubtotal="0"/>
    <pivotField dataField="1" showAll="0" defaultSubtotal="0"/>
    <pivotField dataField="1" showAll="0"/>
    <pivotField dataField="1" showAll="0"/>
    <pivotField dataField="1" showAll="0"/>
    <pivotField showAll="0"/>
    <pivotField dataField="1" showAll="0" defaultSubtotal="0"/>
    <pivotField showAll="0"/>
    <pivotField dataField="1" showAll="0" defaultSubtotal="0"/>
    <pivotField showAll="0"/>
    <pivotField showAll="0" defaultSubtotal="0"/>
    <pivotField showAll="0" defaultSubtotal="0"/>
    <pivotField numFmtId="43" showAll="0" defaultSubtotal="0"/>
    <pivotField showAll="0" defaultSubtotal="0"/>
    <pivotField showAll="0" defaultSubtotal="0"/>
    <pivotField numFmtId="43" showAll="0" defaultSubtotal="0"/>
  </pivotFields>
  <rowFields count="1">
    <field x="5"/>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t="grand">
      <x/>
    </i>
  </rowItems>
  <colFields count="1">
    <field x="-2"/>
  </colFields>
  <colItems count="10">
    <i>
      <x/>
    </i>
    <i i="1">
      <x v="1"/>
    </i>
    <i i="2">
      <x v="2"/>
    </i>
    <i i="3">
      <x v="3"/>
    </i>
    <i i="4">
      <x v="4"/>
    </i>
    <i i="5">
      <x v="5"/>
    </i>
    <i i="6">
      <x v="6"/>
    </i>
    <i i="7">
      <x v="7"/>
    </i>
    <i i="8">
      <x v="8"/>
    </i>
    <i i="9">
      <x v="9"/>
    </i>
  </colItems>
  <dataFields count="10">
    <dataField name=" Revised Budget - Sep 22" fld="8" baseField="4" baseItem="12"/>
    <dataField name=" Actual Amount - Sep 22" fld="9" baseField="4" baseItem="12"/>
    <dataField name=" PR - Sep 22" fld="10" baseField="4" baseItem="12"/>
    <dataField name=" PO - Sep 22" fld="11" baseField="4" baseItem="12"/>
    <dataField name=" Fund Available - Sep 22" fld="12" baseField="4" baseItem="12"/>
    <dataField name=" Oct-22 Utilization Plan" fld="13" baseField="4" baseItem="0"/>
    <dataField name=" Nov-22 Utilization Plan" fld="14" baseField="4" baseItem="0"/>
    <dataField name=" Dec-22 Utilization Plan" fld="15" baseField="4" baseItem="0"/>
    <dataField name=" Budget Surplus Amount " fld="17" baseField="4" baseItem="4"/>
    <dataField name=" Forecast  " fld="19" baseField="5" baseItem="7"/>
  </dataFields>
  <formats count="13">
    <format dxfId="61">
      <pivotArea type="all" dataOnly="0" outline="0" fieldPosition="0"/>
    </format>
    <format dxfId="60">
      <pivotArea outline="0" collapsedLevelsAreSubtotals="1" fieldPosition="0"/>
    </format>
    <format dxfId="59">
      <pivotArea dataOnly="0" labelOnly="1" fieldPosition="0">
        <references count="1">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8">
      <pivotArea dataOnly="0" labelOnly="1" fieldPosition="0">
        <references count="1">
          <reference field="5" count="34">
            <x v="50"/>
            <x v="51"/>
            <x v="52"/>
            <x v="53"/>
            <x v="54"/>
            <x v="55"/>
            <x v="56"/>
            <x v="57"/>
            <x v="58"/>
            <x v="59"/>
            <x v="60"/>
            <x v="61"/>
            <x v="62"/>
            <x v="63"/>
            <x v="64"/>
            <x v="65"/>
            <x v="66"/>
            <x v="67"/>
            <x v="68"/>
            <x v="69"/>
            <x v="70"/>
            <x v="71"/>
            <x v="72"/>
            <x v="73"/>
            <x v="74"/>
            <x v="75"/>
            <x v="76"/>
            <x v="77"/>
            <x v="78"/>
            <x v="79"/>
            <x v="80"/>
            <x v="81"/>
            <x v="82"/>
            <x v="83"/>
          </reference>
        </references>
      </pivotArea>
    </format>
    <format dxfId="57">
      <pivotArea dataOnly="0" labelOnly="1" grandRow="1" outline="0" fieldPosition="0"/>
    </format>
    <format dxfId="56">
      <pivotArea dataOnly="0" labelOnly="1" outline="0" fieldPosition="0">
        <references count="1">
          <reference field="4294967294" count="9">
            <x v="0"/>
            <x v="1"/>
            <x v="2"/>
            <x v="3"/>
            <x v="4"/>
            <x v="5"/>
            <x v="6"/>
            <x v="7"/>
            <x v="8"/>
          </reference>
        </references>
      </pivotArea>
    </format>
    <format dxfId="55">
      <pivotArea dataOnly="0" labelOnly="1" outline="0" fieldPosition="0">
        <references count="1">
          <reference field="4294967294" count="1">
            <x v="9"/>
          </reference>
        </references>
      </pivotArea>
    </format>
    <format dxfId="54">
      <pivotArea dataOnly="0" labelOnly="1" outline="0" fieldPosition="0">
        <references count="1">
          <reference field="4294967294" count="1">
            <x v="9"/>
          </reference>
        </references>
      </pivotArea>
    </format>
    <format dxfId="53">
      <pivotArea collapsedLevelsAreSubtotals="1" fieldPosition="0">
        <references count="2">
          <reference field="4294967294" count="1" selected="0">
            <x v="9"/>
          </reference>
          <reference field="5" count="1">
            <x v="1"/>
          </reference>
        </references>
      </pivotArea>
    </format>
    <format dxfId="52">
      <pivotArea collapsedLevelsAreSubtotals="1" fieldPosition="0">
        <references count="2">
          <reference field="4294967294" count="1" selected="0">
            <x v="9"/>
          </reference>
          <reference field="5" count="1">
            <x v="32"/>
          </reference>
        </references>
      </pivotArea>
    </format>
    <format dxfId="51">
      <pivotArea collapsedLevelsAreSubtotals="1" fieldPosition="0">
        <references count="2">
          <reference field="4294967294" count="1" selected="0">
            <x v="9"/>
          </reference>
          <reference field="5" count="1">
            <x v="50"/>
          </reference>
        </references>
      </pivotArea>
    </format>
    <format dxfId="50">
      <pivotArea collapsedLevelsAreSubtotals="1" fieldPosition="0">
        <references count="2">
          <reference field="4294967294" count="1" selected="0">
            <x v="9"/>
          </reference>
          <reference field="5" count="1">
            <x v="67"/>
          </reference>
        </references>
      </pivotArea>
    </format>
    <format dxfId="49">
      <pivotArea collapsedLevelsAreSubtotals="1" fieldPosition="0">
        <references count="2">
          <reference field="4294967294" count="1" selected="0">
            <x v="9"/>
          </reference>
          <reference field="5" count="1">
            <x v="75"/>
          </reference>
        </references>
      </pivotArea>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 cacheId="7" applyNumberFormats="0" applyBorderFormats="0" applyFontFormats="0" applyPatternFormats="0" applyAlignmentFormats="0" applyWidthHeightFormats="1" dataCaption="Values" updatedVersion="6" minRefreshableVersion="3" printDrill="1" useAutoFormatting="1" itemPrintTitles="1" createdVersion="6" indent="0" compact="0" compactData="0">
  <location ref="A3:K34" firstHeaderRow="0" firstDataRow="1" firstDataCol="2"/>
  <pivotFields count="27">
    <pivotField axis="axisRow" compact="0" outline="0" showAll="0" insertBlankRow="1" defaultSubtotal="0">
      <items count="11">
        <item sd="0" x="2"/>
        <item sd="0" x="5"/>
        <item sd="0" x="8"/>
        <item sd="0" x="4"/>
        <item sd="0" x="3"/>
        <item sd="0" x="10"/>
        <item sd="0" x="1"/>
        <item sd="0" x="7"/>
        <item sd="0" x="0"/>
        <item sd="0" x="6"/>
        <item sd="0" x="9"/>
      </items>
      <extLst>
        <ext xmlns:x14="http://schemas.microsoft.com/office/spreadsheetml/2009/9/main" uri="{2946ED86-A175-432a-8AC1-64E0C546D7DE}">
          <x14:pivotField fillDownLabels="1"/>
        </ext>
      </extLst>
    </pivotField>
    <pivotField compact="0" outline="0" showAll="0"/>
    <pivotField compact="0" outline="0" showAll="0"/>
    <pivotField compact="0" outline="0" showAll="0" defaultSubtotal="0">
      <extLst>
        <ext xmlns:x14="http://schemas.microsoft.com/office/spreadsheetml/2009/9/main" uri="{2946ED86-A175-432a-8AC1-64E0C546D7DE}">
          <x14:pivotField fillDownLabels="1"/>
        </ext>
      </extLst>
    </pivotField>
    <pivotField compact="0" outline="0" showAll="0"/>
    <pivotField axis="axisRow" compact="0" outline="0" showAll="0" insertBlankRow="1" defaultSubtotal="0">
      <items count="10">
        <item sd="0" x="4"/>
        <item sd="0" x="6"/>
        <item sd="0" x="1"/>
        <item sd="0" x="3"/>
        <item sd="0" x="5"/>
        <item x="2"/>
        <item x="9"/>
        <item x="7"/>
        <item x="8"/>
        <item x="0"/>
      </items>
      <extLst>
        <ext xmlns:x14="http://schemas.microsoft.com/office/spreadsheetml/2009/9/main" uri="{2946ED86-A175-432a-8AC1-64E0C546D7DE}">
          <x14:pivotField fillDownLabels="1"/>
        </ext>
      </extLst>
    </pivotField>
    <pivotField compact="0" outline="0" showAll="0"/>
    <pivotField compact="0" outline="0" showAll="0"/>
    <pivotField dataField="1" compact="0" numFmtId="3" outline="0" showAll="0" defaultSubtotal="0"/>
    <pivotField dataField="1" compact="0" outline="0" showAll="0" defaultSubtotal="0"/>
    <pivotField dataField="1" compact="0" outline="0" showAll="0" defaultSubtotal="0"/>
    <pivotField dataField="1" compact="0" outline="0" showAll="0" defaultSubtotal="0"/>
    <pivotField dataField="1" compact="0" numFmtId="3" outline="0" showAll="0" defaultSubtotal="0"/>
    <pivotField dataField="1" compact="0" outline="0" showAll="0"/>
    <pivotField dataField="1" compact="0" outline="0" showAll="0"/>
    <pivotField dataField="1" compact="0" outline="0" showAll="0"/>
    <pivotField compact="0" outline="0" showAll="0"/>
    <pivotField dataField="1" compact="0" outline="0" showAll="0"/>
    <pivotField compact="0" outline="0" showAll="0"/>
    <pivotField compact="0" outline="0" showAll="0"/>
    <pivotField compact="0" outline="0" showAll="0" defaultSubtotal="0"/>
    <pivotField compact="0" outline="0" showAll="0" defaultSubtotal="0"/>
    <pivotField compact="0" numFmtId="43" outline="0" showAll="0" defaultSubtotal="0"/>
    <pivotField compact="0" numFmtId="43" outline="0" showAll="0" defaultSubtotal="0"/>
    <pivotField compact="0" numFmtId="43" outline="0" showAll="0" defaultSubtotal="0"/>
    <pivotField compact="0" numFmtId="43" outline="0" showAll="0" defaultSubtotal="0"/>
    <pivotField compact="0" numFmtId="43" outline="0" showAll="0" defaultSubtotal="0"/>
  </pivotFields>
  <rowFields count="2">
    <field x="5"/>
    <field x="0"/>
  </rowFields>
  <rowItems count="31">
    <i>
      <x/>
    </i>
    <i t="blank">
      <x/>
    </i>
    <i>
      <x v="1"/>
    </i>
    <i t="blank">
      <x v="1"/>
    </i>
    <i>
      <x v="2"/>
    </i>
    <i t="blank">
      <x v="2"/>
    </i>
    <i>
      <x v="3"/>
    </i>
    <i t="blank">
      <x v="3"/>
    </i>
    <i>
      <x v="4"/>
    </i>
    <i t="blank">
      <x v="4"/>
    </i>
    <i>
      <x v="5"/>
      <x/>
    </i>
    <i r="1">
      <x v="2"/>
    </i>
    <i r="1">
      <x v="3"/>
    </i>
    <i r="1">
      <x v="5"/>
    </i>
    <i r="1">
      <x v="6"/>
    </i>
    <i t="blank">
      <x v="5"/>
    </i>
    <i>
      <x v="6"/>
      <x v="2"/>
    </i>
    <i t="blank">
      <x v="6"/>
    </i>
    <i>
      <x v="7"/>
      <x v="2"/>
    </i>
    <i t="blank">
      <x v="7"/>
    </i>
    <i>
      <x v="8"/>
      <x v="2"/>
    </i>
    <i t="blank">
      <x v="8"/>
    </i>
    <i>
      <x v="9"/>
      <x/>
    </i>
    <i r="1">
      <x v="1"/>
    </i>
    <i r="1">
      <x v="3"/>
    </i>
    <i r="1">
      <x v="4"/>
    </i>
    <i r="1">
      <x v="5"/>
    </i>
    <i r="1">
      <x v="8"/>
    </i>
    <i r="1">
      <x v="10"/>
    </i>
    <i t="blank">
      <x v="9"/>
    </i>
    <i t="grand">
      <x/>
    </i>
  </rowItems>
  <colFields count="1">
    <field x="-2"/>
  </colFields>
  <colItems count="9">
    <i>
      <x/>
    </i>
    <i i="1">
      <x v="1"/>
    </i>
    <i i="2">
      <x v="2"/>
    </i>
    <i i="3">
      <x v="3"/>
    </i>
    <i i="4">
      <x v="4"/>
    </i>
    <i i="5">
      <x v="5"/>
    </i>
    <i i="6">
      <x v="6"/>
    </i>
    <i i="7">
      <x v="7"/>
    </i>
    <i i="8">
      <x v="8"/>
    </i>
  </colItems>
  <dataFields count="9">
    <dataField name=" Revised Budget - Sep 22" fld="8" baseField="0" baseItem="0"/>
    <dataField name=" Actual Amount - Sep 22" fld="9" baseField="4" baseItem="0"/>
    <dataField name=" PR - Sep 22" fld="10" baseField="4" baseItem="0"/>
    <dataField name=" PO - Sep 22" fld="11" baseField="4" baseItem="0"/>
    <dataField name=" Fund Available - Sep 22" fld="12" baseField="0" baseItem="0"/>
    <dataField name=" Oct-22 Utilization Plan" fld="13" baseField="4" baseItem="0"/>
    <dataField name=" Nov-22 Utilization Plan" fld="14" baseField="4" baseItem="0"/>
    <dataField name=" Dec-22 Utilization Plan" fld="15" baseField="4" baseItem="0"/>
    <dataField name=" Budget Surplus Amount" fld="17" baseField="0" baseItem="0"/>
  </dataFields>
  <formats count="8">
    <format dxfId="48">
      <pivotArea outline="0" fieldPosition="0">
        <references count="1">
          <reference field="5" count="0" selected="0"/>
        </references>
      </pivotArea>
    </format>
    <format dxfId="47">
      <pivotArea outline="0" fieldPosition="0">
        <references count="1">
          <reference field="5" count="0" selected="0"/>
        </references>
      </pivotArea>
    </format>
    <format dxfId="46">
      <pivotArea outline="0" fieldPosition="0">
        <references count="1">
          <reference field="5" count="0" selected="0"/>
        </references>
      </pivotArea>
    </format>
    <format dxfId="45">
      <pivotArea outline="0" fieldPosition="0">
        <references count="1">
          <reference field="5" count="0" selected="0"/>
        </references>
      </pivotArea>
    </format>
    <format dxfId="44">
      <pivotArea outline="0" fieldPosition="0">
        <references count="1">
          <reference field="5" count="0" selected="0"/>
        </references>
      </pivotArea>
    </format>
    <format dxfId="43">
      <pivotArea outline="0" fieldPosition="0">
        <references count="1">
          <reference field="5" count="0" selected="0"/>
        </references>
      </pivotArea>
    </format>
    <format dxfId="42">
      <pivotArea outline="0" fieldPosition="0">
        <references count="1">
          <reference field="5" count="0" selected="0"/>
        </references>
      </pivotArea>
    </format>
    <format dxfId="41">
      <pivotArea outline="0" fieldPosition="0">
        <references count="1">
          <reference field="5" count="0" selected="0"/>
        </references>
      </pivotArea>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PivotTable2" cacheId="6"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location ref="A3:K92" firstHeaderRow="0" firstDataRow="1" firstDataCol="1"/>
  <pivotFields count="27">
    <pivotField showAll="0" insertBlankRow="1" defaultSubtotal="0">
      <extLst>
        <ext xmlns:x14="http://schemas.microsoft.com/office/spreadsheetml/2009/9/main" uri="{2946ED86-A175-432a-8AC1-64E0C546D7DE}">
          <x14:pivotField fillDownLabels="1"/>
        </ext>
      </extLst>
    </pivotField>
    <pivotField showAll="0"/>
    <pivotField showAll="0"/>
    <pivotField axis="axisRow" showAll="0">
      <items count="58">
        <item x="30"/>
        <item x="9"/>
        <item x="35"/>
        <item x="1"/>
        <item x="27"/>
        <item x="10"/>
        <item x="50"/>
        <item x="53"/>
        <item x="11"/>
        <item x="20"/>
        <item x="12"/>
        <item x="3"/>
        <item x="36"/>
        <item x="18"/>
        <item x="8"/>
        <item x="54"/>
        <item x="23"/>
        <item x="26"/>
        <item x="13"/>
        <item x="28"/>
        <item x="29"/>
        <item x="32"/>
        <item x="4"/>
        <item x="7"/>
        <item x="34"/>
        <item x="24"/>
        <item x="14"/>
        <item x="38"/>
        <item x="19"/>
        <item x="2"/>
        <item x="5"/>
        <item x="52"/>
        <item x="40"/>
        <item x="25"/>
        <item x="15"/>
        <item x="16"/>
        <item x="0"/>
        <item x="6"/>
        <item x="17"/>
        <item x="39"/>
        <item x="21"/>
        <item x="22"/>
        <item x="33"/>
        <item x="47"/>
        <item x="45"/>
        <item x="44"/>
        <item x="41"/>
        <item x="48"/>
        <item x="51"/>
        <item x="49"/>
        <item x="46"/>
        <item x="37"/>
        <item x="55"/>
        <item x="43"/>
        <item x="42"/>
        <item x="31"/>
        <item m="1" x="56"/>
        <item t="default"/>
      </items>
    </pivotField>
    <pivotField showAll="0"/>
    <pivotField axis="axisRow" showAll="0" defaultSubtotal="0">
      <items count="84">
        <item sd="0" x="0"/>
        <item sd="0" x="1"/>
        <item sd="0" x="20"/>
        <item sd="0" x="21"/>
        <item sd="0" x="14"/>
        <item sd="0" x="63"/>
        <item sd="0" x="47"/>
        <item sd="0" x="46"/>
        <item sd="0" x="9"/>
        <item sd="0" x="59"/>
        <item sd="0" x="40"/>
        <item sd="0" x="8"/>
        <item sd="0" x="72"/>
        <item sd="0" x="5"/>
        <item sd="0" x="6"/>
        <item sd="0" x="70"/>
        <item sd="0" x="37"/>
        <item sd="0" x="52"/>
        <item sd="0" x="75"/>
        <item sd="0" x="7"/>
        <item sd="0" x="66"/>
        <item sd="0" x="11"/>
        <item sd="0" x="61"/>
        <item sd="0" x="64"/>
        <item sd="0" x="38"/>
        <item sd="0" x="60"/>
        <item sd="0" x="25"/>
        <item sd="0" x="39"/>
        <item sd="0" x="80"/>
        <item sd="0" x="43"/>
        <item sd="0" x="44"/>
        <item sd="0" x="12"/>
        <item sd="0" x="68"/>
        <item sd="0" x="33"/>
        <item sd="0" x="32"/>
        <item sd="0" x="2"/>
        <item sd="0" x="77"/>
        <item sd="0" x="24"/>
        <item sd="0" x="73"/>
        <item sd="0" x="48"/>
        <item sd="0" x="3"/>
        <item sd="0" x="41"/>
        <item sd="0" x="82"/>
        <item sd="0" x="50"/>
        <item sd="0" x="58"/>
        <item sd="0" x="18"/>
        <item sd="0" x="55"/>
        <item sd="0" x="62"/>
        <item sd="0" x="19"/>
        <item sd="0" x="51"/>
        <item sd="0" x="28"/>
        <item sd="0" x="17"/>
        <item sd="0" x="31"/>
        <item sd="0" x="16"/>
        <item sd="0" x="71"/>
        <item sd="0" x="56"/>
        <item sd="0" x="45"/>
        <item sd="0" x="57"/>
        <item sd="0" x="23"/>
        <item sd="0" x="79"/>
        <item x="22"/>
        <item sd="0" x="42"/>
        <item sd="0" x="76"/>
        <item sd="0" x="10"/>
        <item sd="0" x="49"/>
        <item sd="0" x="4"/>
        <item sd="0" x="65"/>
        <item sd="0" x="54"/>
        <item sd="0" x="35"/>
        <item sd="0" x="29"/>
        <item sd="0" x="30"/>
        <item sd="0" x="26"/>
        <item sd="0" x="15"/>
        <item sd="0" x="27"/>
        <item sd="0" x="74"/>
        <item sd="0" x="78"/>
        <item sd="0" x="13"/>
        <item sd="0" x="69"/>
        <item sd="0" x="36"/>
        <item sd="0" x="34"/>
        <item sd="0" x="67"/>
        <item sd="0" x="81"/>
        <item sd="0" x="53"/>
        <item sd="0" m="1" x="83"/>
      </items>
      <extLst>
        <ext xmlns:x14="http://schemas.microsoft.com/office/spreadsheetml/2009/9/main" uri="{2946ED86-A175-432a-8AC1-64E0C546D7DE}">
          <x14:pivotField fillDownLabels="1"/>
        </ext>
      </extLst>
    </pivotField>
    <pivotField showAll="0"/>
    <pivotField showAll="0"/>
    <pivotField dataField="1" showAll="0" defaultSubtotal="0"/>
    <pivotField dataField="1" showAll="0" defaultSubtotal="0"/>
    <pivotField dataField="1" showAll="0" defaultSubtotal="0"/>
    <pivotField dataField="1" showAll="0" defaultSubtotal="0"/>
    <pivotField dataField="1" showAll="0" defaultSubtotal="0"/>
    <pivotField dataField="1" showAll="0"/>
    <pivotField dataField="1" showAll="0"/>
    <pivotField dataField="1" showAll="0"/>
    <pivotField showAll="0"/>
    <pivotField dataField="1" showAll="0" defaultSubtotal="0"/>
    <pivotField showAll="0"/>
    <pivotField dataField="1" showAll="0" defaultSubtotal="0"/>
    <pivotField showAll="0"/>
    <pivotField showAll="0" defaultSubtotal="0"/>
    <pivotField showAll="0" defaultSubtotal="0"/>
    <pivotField numFmtId="43" showAll="0" defaultSubtotal="0"/>
    <pivotField showAll="0" defaultSubtotal="0"/>
    <pivotField showAll="0" defaultSubtotal="0"/>
    <pivotField numFmtId="43" showAll="0" defaultSubtotal="0"/>
  </pivotFields>
  <rowFields count="2">
    <field x="5"/>
    <field x="3"/>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r="1">
      <x v="27"/>
    </i>
    <i r="1">
      <x v="30"/>
    </i>
    <i r="1">
      <x v="39"/>
    </i>
    <i r="1">
      <x v="46"/>
    </i>
    <i r="1">
      <x v="54"/>
    </i>
    <i>
      <x v="61"/>
    </i>
    <i>
      <x v="62"/>
    </i>
    <i>
      <x v="63"/>
    </i>
    <i>
      <x v="64"/>
    </i>
    <i>
      <x v="65"/>
    </i>
    <i>
      <x v="66"/>
    </i>
    <i>
      <x v="67"/>
    </i>
    <i>
      <x v="68"/>
    </i>
    <i>
      <x v="69"/>
    </i>
    <i>
      <x v="70"/>
    </i>
    <i>
      <x v="71"/>
    </i>
    <i>
      <x v="72"/>
    </i>
    <i>
      <x v="73"/>
    </i>
    <i>
      <x v="74"/>
    </i>
    <i>
      <x v="75"/>
    </i>
    <i>
      <x v="76"/>
    </i>
    <i>
      <x v="77"/>
    </i>
    <i>
      <x v="78"/>
    </i>
    <i>
      <x v="79"/>
    </i>
    <i>
      <x v="80"/>
    </i>
    <i>
      <x v="81"/>
    </i>
    <i>
      <x v="82"/>
    </i>
    <i t="grand">
      <x/>
    </i>
  </rowItems>
  <colFields count="1">
    <field x="-2"/>
  </colFields>
  <colItems count="10">
    <i>
      <x/>
    </i>
    <i i="1">
      <x v="1"/>
    </i>
    <i i="2">
      <x v="2"/>
    </i>
    <i i="3">
      <x v="3"/>
    </i>
    <i i="4">
      <x v="4"/>
    </i>
    <i i="5">
      <x v="5"/>
    </i>
    <i i="6">
      <x v="6"/>
    </i>
    <i i="7">
      <x v="7"/>
    </i>
    <i i="8">
      <x v="8"/>
    </i>
    <i i="9">
      <x v="9"/>
    </i>
  </colItems>
  <dataFields count="10">
    <dataField name=" Revised Budget - Sep 22" fld="8" baseField="4" baseItem="12"/>
    <dataField name=" Actual Amount - Sep 22" fld="9" baseField="4" baseItem="12"/>
    <dataField name=" PR - Sep 22" fld="10" baseField="4" baseItem="12"/>
    <dataField name=" PO - Sep 22" fld="11" baseField="4" baseItem="12"/>
    <dataField name=" Fund Available - Sep 22" fld="12" baseField="4" baseItem="12"/>
    <dataField name=" Oct-22 Utilization Plan" fld="13" baseField="4" baseItem="0"/>
    <dataField name=" Nov-22 Utilization Plan" fld="14" baseField="4" baseItem="0"/>
    <dataField name=" Dec-22 Utilization Plan" fld="15" baseField="4" baseItem="0"/>
    <dataField name=" Budget Surplus Amount " fld="17" baseField="4" baseItem="4"/>
    <dataField name=" Forecast  " fld="19" baseField="5" baseItem="7"/>
  </dataFields>
  <formats count="25">
    <format dxfId="40">
      <pivotArea type="all" dataOnly="0" outline="0" fieldPosition="0"/>
    </format>
    <format dxfId="39">
      <pivotArea outline="0" collapsedLevelsAreSubtotals="1" fieldPosition="0"/>
    </format>
    <format dxfId="38">
      <pivotArea dataOnly="0" labelOnly="1" fieldPosition="0">
        <references count="1">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7">
      <pivotArea dataOnly="0" labelOnly="1" fieldPosition="0">
        <references count="1">
          <reference field="5" count="34">
            <x v="50"/>
            <x v="51"/>
            <x v="52"/>
            <x v="53"/>
            <x v="54"/>
            <x v="55"/>
            <x v="56"/>
            <x v="57"/>
            <x v="58"/>
            <x v="59"/>
            <x v="60"/>
            <x v="61"/>
            <x v="62"/>
            <x v="63"/>
            <x v="64"/>
            <x v="65"/>
            <x v="66"/>
            <x v="67"/>
            <x v="68"/>
            <x v="69"/>
            <x v="70"/>
            <x v="71"/>
            <x v="72"/>
            <x v="73"/>
            <x v="74"/>
            <x v="75"/>
            <x v="76"/>
            <x v="77"/>
            <x v="78"/>
            <x v="79"/>
            <x v="80"/>
            <x v="81"/>
            <x v="82"/>
            <x v="83"/>
          </reference>
        </references>
      </pivotArea>
    </format>
    <format dxfId="36">
      <pivotArea dataOnly="0" labelOnly="1" grandRow="1" outline="0" fieldPosition="0"/>
    </format>
    <format dxfId="35">
      <pivotArea dataOnly="0" labelOnly="1" outline="0" fieldPosition="0">
        <references count="1">
          <reference field="4294967294" count="9">
            <x v="0"/>
            <x v="1"/>
            <x v="2"/>
            <x v="3"/>
            <x v="4"/>
            <x v="5"/>
            <x v="6"/>
            <x v="7"/>
            <x v="8"/>
          </reference>
        </references>
      </pivotArea>
    </format>
    <format dxfId="34">
      <pivotArea collapsedLevelsAreSubtotals="1" fieldPosition="0">
        <references count="3">
          <reference field="4294967294" count="1" selected="0">
            <x v="8"/>
          </reference>
          <reference field="3" count="1">
            <x v="20"/>
          </reference>
          <reference field="5" count="1" selected="0">
            <x v="7"/>
          </reference>
        </references>
      </pivotArea>
    </format>
    <format dxfId="33">
      <pivotArea collapsedLevelsAreSubtotals="1" fieldPosition="0">
        <references count="3">
          <reference field="4294967294" count="1" selected="0">
            <x v="8"/>
          </reference>
          <reference field="3" count="1">
            <x v="55"/>
          </reference>
          <reference field="5" count="1" selected="0">
            <x v="20"/>
          </reference>
        </references>
      </pivotArea>
    </format>
    <format dxfId="32">
      <pivotArea collapsedLevelsAreSubtotals="1" fieldPosition="0">
        <references count="3">
          <reference field="4294967294" count="1" selected="0">
            <x v="8"/>
          </reference>
          <reference field="3" count="1">
            <x v="21"/>
          </reference>
          <reference field="5" count="1" selected="0">
            <x v="22"/>
          </reference>
        </references>
      </pivotArea>
    </format>
    <format dxfId="31">
      <pivotArea collapsedLevelsAreSubtotals="1" fieldPosition="0">
        <references count="3">
          <reference field="4294967294" count="1" selected="0">
            <x v="8"/>
          </reference>
          <reference field="3" count="1">
            <x v="19"/>
          </reference>
          <reference field="5" count="1" selected="0">
            <x v="27"/>
          </reference>
        </references>
      </pivotArea>
    </format>
    <format dxfId="30">
      <pivotArea collapsedLevelsAreSubtotals="1" fieldPosition="0">
        <references count="3">
          <reference field="4294967294" count="1" selected="0">
            <x v="8"/>
          </reference>
          <reference field="3" count="1">
            <x v="7"/>
          </reference>
          <reference field="5" count="1" selected="0">
            <x v="28"/>
          </reference>
        </references>
      </pivotArea>
    </format>
    <format dxfId="29">
      <pivotArea collapsedLevelsAreSubtotals="1" fieldPosition="0">
        <references count="3">
          <reference field="4294967294" count="1" selected="0">
            <x v="8"/>
          </reference>
          <reference field="3" count="1">
            <x v="23"/>
          </reference>
          <reference field="5" count="1" selected="0">
            <x v="50"/>
          </reference>
        </references>
      </pivotArea>
    </format>
    <format dxfId="28">
      <pivotArea collapsedLevelsAreSubtotals="1" fieldPosition="0">
        <references count="3">
          <reference field="4294967294" count="1" selected="0">
            <x v="8"/>
          </reference>
          <reference field="3" count="1">
            <x v="21"/>
          </reference>
          <reference field="5" count="1" selected="0">
            <x v="47"/>
          </reference>
        </references>
      </pivotArea>
    </format>
    <format dxfId="27">
      <pivotArea collapsedLevelsAreSubtotals="1" fieldPosition="0">
        <references count="3">
          <reference field="4294967294" count="1" selected="0">
            <x v="8"/>
          </reference>
          <reference field="3" count="1">
            <x v="2"/>
          </reference>
          <reference field="5" count="1" selected="0">
            <x v="77"/>
          </reference>
        </references>
      </pivotArea>
    </format>
    <format dxfId="26">
      <pivotArea collapsedLevelsAreSubtotals="1" fieldPosition="0">
        <references count="3">
          <reference field="4294967294" count="1" selected="0">
            <x v="8"/>
          </reference>
          <reference field="3" count="1">
            <x v="21"/>
          </reference>
          <reference field="5" count="1" selected="0">
            <x v="8"/>
          </reference>
        </references>
      </pivotArea>
    </format>
    <format dxfId="25">
      <pivotArea collapsedLevelsAreSubtotals="1" fieldPosition="0">
        <references count="3">
          <reference field="4294967294" count="1" selected="0">
            <x v="8"/>
          </reference>
          <reference field="3" count="1">
            <x v="48"/>
          </reference>
          <reference field="5" count="1" selected="0">
            <x v="75"/>
          </reference>
        </references>
      </pivotArea>
    </format>
    <format dxfId="24">
      <pivotArea collapsedLevelsAreSubtotals="1" fieldPosition="0">
        <references count="3">
          <reference field="4294967294" count="1" selected="0">
            <x v="8"/>
          </reference>
          <reference field="3" count="1">
            <x v="6"/>
          </reference>
          <reference field="5" count="1" selected="0">
            <x v="70"/>
          </reference>
        </references>
      </pivotArea>
    </format>
    <format dxfId="23">
      <pivotArea collapsedLevelsAreSubtotals="1" fieldPosition="0">
        <references count="3">
          <reference field="4294967294" count="1" selected="0">
            <x v="8"/>
          </reference>
          <reference field="3" count="1">
            <x v="7"/>
          </reference>
          <reference field="5" count="1" selected="0">
            <x v="13"/>
          </reference>
        </references>
      </pivotArea>
    </format>
    <format dxfId="22">
      <pivotArea collapsedLevelsAreSubtotals="1" fieldPosition="0">
        <references count="3">
          <reference field="4294967294" count="1" selected="0">
            <x v="8"/>
          </reference>
          <reference field="3" count="1">
            <x v="13"/>
          </reference>
          <reference field="5" count="1" selected="0">
            <x v="13"/>
          </reference>
        </references>
      </pivotArea>
    </format>
    <format dxfId="21">
      <pivotArea collapsedLevelsAreSubtotals="1" fieldPosition="0">
        <references count="3">
          <reference field="4294967294" count="1" selected="0">
            <x v="8"/>
          </reference>
          <reference field="3" count="1">
            <x v="15"/>
          </reference>
          <reference field="5" count="1" selected="0">
            <x v="13"/>
          </reference>
        </references>
      </pivotArea>
    </format>
    <format dxfId="20">
      <pivotArea collapsedLevelsAreSubtotals="1" fieldPosition="0">
        <references count="3">
          <reference field="4294967294" count="1" selected="0">
            <x v="8"/>
          </reference>
          <reference field="3" count="1">
            <x v="7"/>
          </reference>
          <reference field="5" count="1" selected="0">
            <x v="14"/>
          </reference>
        </references>
      </pivotArea>
    </format>
    <format dxfId="19">
      <pivotArea collapsedLevelsAreSubtotals="1" fieldPosition="0">
        <references count="3">
          <reference field="4294967294" count="1" selected="0">
            <x v="8"/>
          </reference>
          <reference field="3" count="1">
            <x v="15"/>
          </reference>
          <reference field="5" count="1" selected="0">
            <x v="19"/>
          </reference>
        </references>
      </pivotArea>
    </format>
    <format dxfId="18">
      <pivotArea collapsedLevelsAreSubtotals="1" fieldPosition="0">
        <references count="3">
          <reference field="4294967294" count="1" selected="0">
            <x v="8"/>
          </reference>
          <reference field="3" count="1">
            <x v="44"/>
          </reference>
          <reference field="5" count="1" selected="0">
            <x v="32"/>
          </reference>
        </references>
      </pivotArea>
    </format>
    <format dxfId="17">
      <pivotArea dataOnly="0" labelOnly="1" outline="0" fieldPosition="0">
        <references count="1">
          <reference field="4294967294" count="1">
            <x v="9"/>
          </reference>
        </references>
      </pivotArea>
    </format>
    <format dxfId="16">
      <pivotArea dataOnly="0" labelOnly="1" outline="0" fieldPosition="0">
        <references count="1">
          <reference field="4294967294" count="1">
            <x v="9"/>
          </reference>
        </references>
      </pivotArea>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PivotTable2" cacheId="6"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location ref="A3:F87" firstHeaderRow="0" firstDataRow="1" firstDataCol="1"/>
  <pivotFields count="27">
    <pivotField axis="axisRow" showAll="0" defaultSubtotal="0">
      <items count="18">
        <item sd="0" x="4"/>
        <item sd="0" x="7"/>
        <item sd="0" x="12"/>
        <item sd="0" x="6"/>
        <item sd="0" x="5"/>
        <item sd="0" x="15"/>
        <item sd="0" x="13"/>
        <item sd="0" x="1"/>
        <item sd="0" x="9"/>
        <item sd="0" x="11"/>
        <item sd="0" x="2"/>
        <item sd="0" x="0"/>
        <item sd="0" x="10"/>
        <item sd="0" x="3"/>
        <item sd="0" x="14"/>
        <item sd="0" x="8"/>
        <item sd="0" x="16"/>
        <item sd="0" m="1" x="17"/>
      </items>
    </pivotField>
    <pivotField showAll="0"/>
    <pivotField showAll="0"/>
    <pivotField showAll="0"/>
    <pivotField showAll="0"/>
    <pivotField axis="axisRow" showAll="0" defaultSubtotal="0">
      <items count="84">
        <item sd="0" x="0"/>
        <item sd="0" x="1"/>
        <item sd="0" x="20"/>
        <item sd="0" x="21"/>
        <item sd="0" x="14"/>
        <item sd="0" x="63"/>
        <item sd="0" x="47"/>
        <item sd="0" x="46"/>
        <item sd="0" x="9"/>
        <item sd="0" x="59"/>
        <item sd="0" x="40"/>
        <item sd="0" x="8"/>
        <item sd="0" x="72"/>
        <item sd="0" x="5"/>
        <item sd="0" x="6"/>
        <item sd="0" x="70"/>
        <item sd="0" x="37"/>
        <item sd="0" x="52"/>
        <item sd="0" x="75"/>
        <item sd="0" x="7"/>
        <item sd="0" x="66"/>
        <item sd="0" x="11"/>
        <item sd="0" x="61"/>
        <item sd="0" x="64"/>
        <item sd="0" x="38"/>
        <item sd="0" x="60"/>
        <item sd="0" x="25"/>
        <item sd="0" x="39"/>
        <item sd="0" x="80"/>
        <item sd="0" x="43"/>
        <item sd="0" x="44"/>
        <item sd="0" x="12"/>
        <item sd="0" x="68"/>
        <item sd="0" x="33"/>
        <item sd="0" x="32"/>
        <item sd="0" x="2"/>
        <item sd="0" x="77"/>
        <item sd="0" x="24"/>
        <item sd="0" x="73"/>
        <item sd="0" x="48"/>
        <item sd="0" x="3"/>
        <item sd="0" x="41"/>
        <item sd="0" x="82"/>
        <item sd="0" x="50"/>
        <item sd="0" x="58"/>
        <item sd="0" x="18"/>
        <item sd="0" x="55"/>
        <item sd="0" x="62"/>
        <item sd="0" x="19"/>
        <item sd="0" x="51"/>
        <item sd="0" x="28"/>
        <item sd="0" x="17"/>
        <item sd="0" x="31"/>
        <item sd="0" x="16"/>
        <item sd="0" x="71"/>
        <item sd="0" x="56"/>
        <item sd="0" x="45"/>
        <item sd="0" x="57"/>
        <item sd="0" x="23"/>
        <item sd="0" x="79"/>
        <item sd="0" x="22"/>
        <item sd="0" x="42"/>
        <item sd="0" x="76"/>
        <item sd="0" x="10"/>
        <item sd="0" x="49"/>
        <item sd="0" x="4"/>
        <item sd="0" x="65"/>
        <item sd="0" x="54"/>
        <item sd="0" x="35"/>
        <item sd="0" x="29"/>
        <item sd="0" x="30"/>
        <item sd="0" x="26"/>
        <item sd="0" x="15"/>
        <item sd="0" x="27"/>
        <item sd="0" x="74"/>
        <item sd="0" x="78"/>
        <item sd="0" x="13"/>
        <item sd="0" x="69"/>
        <item sd="0" x="36"/>
        <item sd="0" x="34"/>
        <item sd="0" x="67"/>
        <item sd="0" x="81"/>
        <item sd="0" x="53"/>
        <item m="1" x="83"/>
      </items>
      <extLst>
        <ext xmlns:x14="http://schemas.microsoft.com/office/spreadsheetml/2009/9/main" uri="{2946ED86-A175-432a-8AC1-64E0C546D7DE}">
          <x14:pivotField fillDownLabels="1"/>
        </ext>
      </extLst>
    </pivotField>
    <pivotField showAll="0"/>
    <pivotField showAl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defaultSubtotal="0"/>
    <pivotField showAll="0"/>
    <pivotField showAll="0" defaultSubtotal="0"/>
    <pivotField showAll="0"/>
    <pivotField showAll="0" defaultSubtotal="0"/>
    <pivotField dataField="1" showAll="0" defaultSubtotal="0"/>
    <pivotField dataField="1" numFmtId="43" showAll="0" defaultSubtotal="0"/>
    <pivotField dataField="1" showAll="0" defaultSubtotal="0"/>
    <pivotField dataField="1" showAll="0" defaultSubtotal="0"/>
    <pivotField dataField="1" numFmtId="43" showAll="0" defaultSubtotal="0"/>
  </pivotFields>
  <rowFields count="2">
    <field x="5"/>
    <field x="0"/>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t="grand">
      <x/>
    </i>
  </rowItems>
  <colFields count="1">
    <field x="-2"/>
  </colFields>
  <colItems count="5">
    <i>
      <x/>
    </i>
    <i i="1">
      <x v="1"/>
    </i>
    <i i="2">
      <x v="2"/>
    </i>
    <i i="3">
      <x v="3"/>
    </i>
    <i i="4">
      <x v="4"/>
    </i>
  </colItems>
  <dataFields count="5">
    <dataField name=" Revised Budget - Nov 22" fld="22" baseField="4" baseItem="31"/>
    <dataField name=" Actual Amount - Nov 22" fld="23" baseField="0" baseItem="0"/>
    <dataField name=" PR - Nov 22" fld="24" baseField="0" baseItem="0"/>
    <dataField name=" PO - Nov 22" fld="25" baseField="0" baseItem="0"/>
    <dataField name=" Fund Available - Nov 22" fld="26" baseField="0" baseItem="0"/>
  </dataFields>
  <formats count="6">
    <format dxfId="15">
      <pivotArea type="all" dataOnly="0" outline="0" fieldPosition="0"/>
    </format>
    <format dxfId="14">
      <pivotArea outline="0" collapsedLevelsAreSubtotals="1" fieldPosition="0"/>
    </format>
    <format dxfId="13">
      <pivotArea dataOnly="0" labelOnly="1" fieldPosition="0">
        <references count="1">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2">
      <pivotArea dataOnly="0" labelOnly="1" fieldPosition="0">
        <references count="1">
          <reference field="5" count="34">
            <x v="50"/>
            <x v="51"/>
            <x v="52"/>
            <x v="53"/>
            <x v="54"/>
            <x v="55"/>
            <x v="56"/>
            <x v="57"/>
            <x v="58"/>
            <x v="59"/>
            <x v="60"/>
            <x v="61"/>
            <x v="62"/>
            <x v="63"/>
            <x v="64"/>
            <x v="65"/>
            <x v="66"/>
            <x v="67"/>
            <x v="68"/>
            <x v="69"/>
            <x v="70"/>
            <x v="71"/>
            <x v="72"/>
            <x v="73"/>
            <x v="74"/>
            <x v="75"/>
            <x v="76"/>
            <x v="77"/>
            <x v="78"/>
            <x v="79"/>
            <x v="80"/>
            <x v="81"/>
            <x v="82"/>
            <x v="83"/>
          </reference>
        </references>
      </pivotArea>
    </format>
    <format dxfId="11">
      <pivotArea dataOnly="0" labelOnly="1" grandRow="1" outline="0" fieldPosition="0"/>
    </format>
    <format dxfId="10">
      <pivotArea dataOnly="0" labelOnly="1" outline="0" fieldPosition="0">
        <references count="1">
          <reference field="4294967294" count="5">
            <x v="0"/>
            <x v="1"/>
            <x v="2"/>
            <x v="3"/>
            <x v="4"/>
          </reference>
        </references>
      </pivotArea>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 cacheId="7" applyNumberFormats="0" applyBorderFormats="0" applyFontFormats="0" applyPatternFormats="0" applyAlignmentFormats="0" applyWidthHeightFormats="1" dataCaption="Values" updatedVersion="6" minRefreshableVersion="3" printDrill="1" useAutoFormatting="1" itemPrintTitles="1" createdVersion="6" indent="0" compact="0" compactData="0">
  <location ref="A3:G19" firstHeaderRow="0" firstDataRow="1" firstDataCol="2"/>
  <pivotFields count="27">
    <pivotField axis="axisRow" compact="0" outline="0" showAll="0" defaultSubtotal="0">
      <items count="11">
        <item sd="0" x="2"/>
        <item x="5"/>
        <item sd="0" x="8"/>
        <item sd="0" x="4"/>
        <item sd="0" x="3"/>
        <item sd="0" x="10"/>
        <item sd="0" x="1"/>
        <item sd="0" x="7"/>
        <item sd="0" x="0"/>
        <item sd="0" x="6"/>
        <item sd="0" x="9"/>
      </items>
      <extLst>
        <ext xmlns:x14="http://schemas.microsoft.com/office/spreadsheetml/2009/9/main" uri="{2946ED86-A175-432a-8AC1-64E0C546D7DE}">
          <x14:pivotField fillDownLabels="1"/>
        </ext>
      </extLst>
    </pivotField>
    <pivotField compact="0" outline="0" showAll="0"/>
    <pivotField compact="0" outline="0" showAll="0"/>
    <pivotField compact="0" outline="0" showAll="0" defaultSubtotal="0">
      <extLst>
        <ext xmlns:x14="http://schemas.microsoft.com/office/spreadsheetml/2009/9/main" uri="{2946ED86-A175-432a-8AC1-64E0C546D7DE}">
          <x14:pivotField fillDownLabels="1"/>
        </ext>
      </extLst>
    </pivotField>
    <pivotField compact="0" outline="0" showAll="0"/>
    <pivotField axis="axisRow" compact="0" outline="0" showAll="0" insertBlankRow="1" defaultSubtotal="0">
      <items count="10">
        <item sd="0" x="4"/>
        <item sd="0" x="6"/>
        <item sd="0" x="1"/>
        <item sd="0" x="3"/>
        <item sd="0" x="5"/>
        <item sd="0" x="2"/>
        <item sd="0" x="9"/>
        <item sd="0" x="7"/>
        <item sd="0" x="8"/>
        <item sd="0" x="0"/>
      </items>
      <extLst>
        <ext xmlns:x14="http://schemas.microsoft.com/office/spreadsheetml/2009/9/main" uri="{2946ED86-A175-432a-8AC1-64E0C546D7DE}">
          <x14:pivotField fillDownLabels="1"/>
        </ext>
      </extLst>
    </pivotField>
    <pivotField compact="0" outline="0" showAll="0"/>
    <pivotField compact="0" outline="0" showAll="0"/>
    <pivotField compact="0" numFmtId="3" outline="0" showAll="0" defaultSubtotal="0"/>
    <pivotField compact="0" outline="0" showAll="0" defaultSubtotal="0"/>
    <pivotField compact="0" outline="0" showAll="0" defaultSubtotal="0"/>
    <pivotField compact="0" outline="0" showAll="0" defaultSubtotal="0"/>
    <pivotField compact="0" numFmtId="3"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dataField="1" compact="0" numFmtId="43" outline="0" showAll="0" defaultSubtotal="0"/>
    <pivotField dataField="1" compact="0" numFmtId="43" outline="0" showAll="0" defaultSubtotal="0"/>
    <pivotField dataField="1" compact="0" numFmtId="43" outline="0" showAll="0" defaultSubtotal="0"/>
    <pivotField dataField="1" compact="0" numFmtId="43" outline="0" showAll="0" defaultSubtotal="0"/>
    <pivotField dataField="1" compact="0" numFmtId="43" outline="0" showAll="0" defaultSubtotal="0"/>
  </pivotFields>
  <rowFields count="2">
    <field x="0"/>
    <field x="5"/>
  </rowFields>
  <rowItems count="16">
    <i>
      <x/>
    </i>
    <i>
      <x v="1"/>
      <x/>
    </i>
    <i r="1">
      <x v="2"/>
    </i>
    <i r="1">
      <x v="3"/>
    </i>
    <i r="1">
      <x v="4"/>
    </i>
    <i r="1">
      <x v="9"/>
    </i>
    <i>
      <x v="2"/>
    </i>
    <i>
      <x v="3"/>
    </i>
    <i>
      <x v="4"/>
    </i>
    <i>
      <x v="5"/>
    </i>
    <i>
      <x v="6"/>
    </i>
    <i>
      <x v="7"/>
    </i>
    <i>
      <x v="8"/>
    </i>
    <i>
      <x v="9"/>
    </i>
    <i>
      <x v="10"/>
    </i>
    <i t="grand">
      <x/>
    </i>
  </rowItems>
  <colFields count="1">
    <field x="-2"/>
  </colFields>
  <colItems count="5">
    <i>
      <x/>
    </i>
    <i i="1">
      <x v="1"/>
    </i>
    <i i="2">
      <x v="2"/>
    </i>
    <i i="3">
      <x v="3"/>
    </i>
    <i i="4">
      <x v="4"/>
    </i>
  </colItems>
  <dataFields count="5">
    <dataField name=" Revised Budget - Nov-22" fld="22" baseField="0" baseItem="0"/>
    <dataField name=" Actual Amount - Nov-22" fld="23" baseField="0" baseItem="0"/>
    <dataField name=" PR - Nov-22" fld="24" baseField="0" baseItem="0"/>
    <dataField name=" PO - Nov-22" fld="25" baseField="0" baseItem="0"/>
    <dataField name=" Fund Available - Nov-22" fld="26" baseField="0" baseItem="0"/>
  </dataFields>
  <formats count="10">
    <format dxfId="9">
      <pivotArea outline="0" fieldPosition="0">
        <references count="1">
          <reference field="5" count="0" selected="0"/>
        </references>
      </pivotArea>
    </format>
    <format dxfId="8">
      <pivotArea outline="0" fieldPosition="0">
        <references count="1">
          <reference field="5" count="0" selected="0"/>
        </references>
      </pivotArea>
    </format>
    <format dxfId="7">
      <pivotArea outline="0" fieldPosition="0">
        <references count="1">
          <reference field="5" count="0" selected="0"/>
        </references>
      </pivotArea>
    </format>
    <format dxfId="6">
      <pivotArea outline="0" fieldPosition="0">
        <references count="1">
          <reference field="5" count="0" selected="0"/>
        </references>
      </pivotArea>
    </format>
    <format dxfId="5">
      <pivotArea outline="0" fieldPosition="0">
        <references count="1">
          <reference field="5" count="0" selected="0"/>
        </references>
      </pivotArea>
    </format>
    <format dxfId="4">
      <pivotArea outline="0" fieldPosition="0">
        <references count="1">
          <reference field="5" count="0" selected="0"/>
        </references>
      </pivotArea>
    </format>
    <format dxfId="3">
      <pivotArea outline="0" fieldPosition="0">
        <references count="1">
          <reference field="5" count="0" selected="0"/>
        </references>
      </pivotArea>
    </format>
    <format dxfId="2">
      <pivotArea outline="0" fieldPosition="0">
        <references count="1">
          <reference field="5" count="0" selected="0"/>
        </references>
      </pivotArea>
    </format>
    <format dxfId="1">
      <pivotArea dataOnly="0" labelOnly="1" outline="0" fieldPosition="0">
        <references count="1">
          <reference field="4294967294" count="1">
            <x v="4"/>
          </reference>
        </references>
      </pivotArea>
    </format>
    <format dxfId="0">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976F98-3C23-40A4-9B39-63DDDCBE9016}" name="Table1" displayName="Table1" ref="A1:AS44" totalsRowShown="0">
  <autoFilter ref="A1:AS44" xr:uid="{43976F98-3C23-40A4-9B39-63DDDCBE9016}"/>
  <tableColumns count="45">
    <tableColumn id="1" xr3:uid="{1B74BA1E-DF5C-4662-A655-AD9810BC473F}" name="SVP Level"/>
    <tableColumn id="2" xr3:uid="{EE94590F-18E3-4D23-BB36-D6E3E345A11F}" name="Cost Center Grpup"/>
    <tableColumn id="3" xr3:uid="{86A5C656-FE73-40CF-8A3A-F489F50570B5}" name="Chapter Name"/>
    <tableColumn id="4" xr3:uid="{9E0DC697-7F0C-4DD4-9C6B-B9D4C12598C5}" name="Cost Center Code"/>
    <tableColumn id="5" xr3:uid="{672F5097-3AC3-46E8-BBAB-2C312BBAA777}" name="Cost Center Description"/>
    <tableColumn id="6" xr3:uid="{DC93329A-6785-46C1-8BB9-661175ECC257}" name="Account Code"/>
    <tableColumn id="7" xr3:uid="{6EF28229-39F6-42D6-B43A-FAC807E4A8A8}" name="Account Description"/>
    <tableColumn id="8" xr3:uid="{C324948F-F4F1-430C-A6ED-1A1CFEC8D15C}" name="GL Account Combination"/>
    <tableColumn id="9" xr3:uid="{3CDF5DA5-C79C-426B-BB5C-52030CC2DCEC}" name="Annual Budget"/>
    <tableColumn id="10" xr3:uid="{5A7419E8-CC5A-4172-8DF7-FCE8B06F26B9}" name="Revised Budget - Sep 22"/>
    <tableColumn id="11" xr3:uid="{46EB1C0F-0FFD-4980-BFAC-CC16F0D266DB}" name="Actual Amount - Sep 22"/>
    <tableColumn id="12" xr3:uid="{0C0A96F6-AD16-4B0C-BB43-1C2F11E7581F}" name="PR - Sep 22"/>
    <tableColumn id="13" xr3:uid="{E6B1BFE7-227B-417A-A725-6E416BE2D843}" name="PO - Sep 22"/>
    <tableColumn id="14" xr3:uid="{A15537D1-06EB-4E0E-ABB1-289B4EE5BC20}" name="Fund Available - Sep 22"/>
    <tableColumn id="15" xr3:uid="{F5D602F7-167D-495C-8AE6-DB9B8DE9951C}" name="Oct-22 Utilization Plan"/>
    <tableColumn id="16" xr3:uid="{320456D1-702A-4419-9960-F591F410DEDA}" name="Nov-22 Utilization Plan"/>
    <tableColumn id="17" xr3:uid="{E83F9806-3A2B-4B7D-860C-B2B59F255BA8}" name="Dec-22 Utilization Plan"/>
    <tableColumn id="18" xr3:uid="{0A4AEE59-0246-4519-B578-9356FB50A588}" name="Utilization Justification"/>
    <tableColumn id="19" xr3:uid="{4E5D4B0E-F30E-4546-80F8-64C77D8EE567}" name="Budget Surplus Amount "/>
    <tableColumn id="20" xr3:uid="{A340EA87-2756-4C32-AD50-DC3E2F6F15E7}" name="Surplus Justification"/>
    <tableColumn id="21" xr3:uid="{BD61126E-B238-425E-B282-4DE0E143C895}" name="XX Surplus"/>
    <tableColumn id="22" xr3:uid="{1D81B847-F613-4C3B-88C4-D4CA96EE4844}" name="Surplus"/>
    <tableColumn id="23" xr3:uid="{3986842B-227E-4362-AFF5-B4EC11F1BBF9}" name="Shortage"/>
    <tableColumn id="24" xr3:uid="{BDB0A67B-3335-4D0D-9A14-403347D6B4B1}" name="Feedback"/>
    <tableColumn id="25" xr3:uid="{DB6B861F-D54C-4760-AEAD-3B3D805E5709}" name=" Expected Budget Surplus / Shortage Amount"/>
    <tableColumn id="26" xr3:uid="{02889136-1826-4714-9928-403CE6C4372D}" name="Revised Budget - Nov 22"/>
    <tableColumn id="27" xr3:uid="{FE9DABBA-B61E-4250-BDF5-E3D78D3F3575}" name="Actual Amount - Nov 22"/>
    <tableColumn id="28" xr3:uid="{B026BA66-8A42-4255-847D-CD8AEA7FEDF8}" name="PR - Nov 22"/>
    <tableColumn id="29" xr3:uid="{473C9C8F-BE3D-4068-9C25-D7506A77D540}" name="PO - Nov 22"/>
    <tableColumn id="30" xr3:uid="{C4F14DCA-2A04-418D-B76E-66EC3CB452A5}" name="Fund Available - Nov 22"/>
    <tableColumn id="31" xr3:uid="{CC26A2F5-AE65-400F-919E-2590E17DCEB4}" name="XXRec-01"/>
    <tableColumn id="32" xr3:uid="{29EC8FB3-E8B1-4382-94B4-DFB974266320}" name="XXReco-2"/>
    <tableColumn id="33" xr3:uid="{32DD9ACA-4333-4B23-9F82-85D6BD4AA9DC}" name="XxRec-3"/>
    <tableColumn id="34" xr3:uid="{5923D1A5-2E40-4EBB-BB4E-D9DBADB71732}" name="Account Coed -- 2"/>
    <tableColumn id="35" xr3:uid="{05AC7AA1-8BAD-41BA-A0FA-3925DA7E5E89}" name="Budget 10-Dec-2022"/>
    <tableColumn id="36" xr3:uid="{F1A98F81-896F-4EDB-B0E8-CE81F228B4ED}" name="Act 10-Dec-2022"/>
    <tableColumn id="37" xr3:uid="{576E6D61-3DDB-43EF-842A-7CA552167488}" name="PR 10-Dec-2022"/>
    <tableColumn id="38" xr3:uid="{A3628485-DFDB-4D9A-A5CE-EA1D30681C2C}" name="PO  10-Dec-2022"/>
    <tableColumn id="39" xr3:uid="{5BC37BC9-F850-41D1-9E01-DB622C545B24}" name="Fund Availbale  10-Dec-2022"/>
    <tableColumn id="40" xr3:uid="{EB10715A-8066-42CE-B43F-157A9500D2B9}" name="ECM"/>
    <tableColumn id="41" xr3:uid="{2BC27CBE-B61E-4AA2-98AD-90DDAB6035B7}" name="PMR"/>
    <tableColumn id="42" xr3:uid="{5B246820-4B04-4F39-945A-6BB0593D2CD7}" name="DTR"/>
    <tableColumn id="43" xr3:uid="{1D622D0D-FAEF-488C-AAEC-3F09E63D2DBB}" name="Surplus/ Shortage 09-Dec-2022"/>
    <tableColumn id="44" xr3:uid="{C4F73089-A4D0-4537-8F79-6FDEDB87357A}" name="XXXXForecast 09-Dec-2022"/>
    <tableColumn id="45" xr3:uid="{FB209091-B2DC-44CF-99F0-06178E8493B5}" name="Forecast 10-Dec-202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8D637D-456C-441B-9F06-C079BC76DDF3}" name="Table2" displayName="Table2" ref="A1:AS74" totalsRowShown="0">
  <autoFilter ref="A1:AS74" xr:uid="{0B8D637D-456C-441B-9F06-C079BC76DDF3}"/>
  <tableColumns count="45">
    <tableColumn id="1" xr3:uid="{30E9F4C0-8974-46EE-97F7-04D408AD8172}" name="SVP Level"/>
    <tableColumn id="2" xr3:uid="{41803B24-E4E4-4340-9EAF-8B8FED36C246}" name="Cost Center Grpup"/>
    <tableColumn id="3" xr3:uid="{688EDE18-500D-49BC-9116-B11EAC45B1DD}" name="Chapter Name"/>
    <tableColumn id="4" xr3:uid="{7F0C0905-2A0A-494B-9189-230D1B34048F}" name="Cost Center Code"/>
    <tableColumn id="5" xr3:uid="{F1AA1A24-06A9-422A-83DC-EA2FA95D8365}" name="Cost Center Description"/>
    <tableColumn id="6" xr3:uid="{0C354A49-6912-4E44-AC14-36B3C13BFDB4}" name="Account Code"/>
    <tableColumn id="7" xr3:uid="{628C1B25-D37C-4D89-9BE4-12C1DD30D7B1}" name="Account Description"/>
    <tableColumn id="8" xr3:uid="{25132C76-18BA-48E2-97F7-45EC0454F519}" name="GL Account Combination"/>
    <tableColumn id="9" xr3:uid="{AA3AD0DA-F193-4D6A-B072-55B9295C49CF}" name="Annual Budget"/>
    <tableColumn id="10" xr3:uid="{F7CBE117-1E2E-420D-B8B9-B65D16412A03}" name="Revised Budget - Sep 22"/>
    <tableColumn id="11" xr3:uid="{1BDB8B35-CE7D-4E35-93E0-564E2269675A}" name="Actual Amount - Sep 22"/>
    <tableColumn id="12" xr3:uid="{C4ADEDFA-8597-47AF-B237-5E7ECEBC8AB9}" name="PR - Sep 22"/>
    <tableColumn id="13" xr3:uid="{B541BC5B-0207-4190-8E3E-764C2DA84CC8}" name="PO - Sep 22"/>
    <tableColumn id="14" xr3:uid="{10879E62-7211-4072-A2D0-CFF855AAEE71}" name="Fund Available - Sep 22"/>
    <tableColumn id="15" xr3:uid="{07841299-351C-494A-AD5A-84540ACF2F87}" name="Oct-22 Utilization Plan"/>
    <tableColumn id="16" xr3:uid="{14D9F6DC-4CD8-4A7E-8407-90AEBCD06AFA}" name="Nov-22 Utilization Plan"/>
    <tableColumn id="17" xr3:uid="{1550ED12-994B-4DF9-B92B-59083D4F860E}" name="Dec-22 Utilization Plan"/>
    <tableColumn id="18" xr3:uid="{0201E37C-BE4C-478B-B19A-C069746C8B7A}" name="Utilization Justification"/>
    <tableColumn id="19" xr3:uid="{288DD3FA-ACA9-4A4C-9D1E-1BE52B86059E}" name="Budget Surplus Amount "/>
    <tableColumn id="20" xr3:uid="{1D7D1456-14BF-4358-9478-8D07D1DC1B7A}" name="Surplus Justification"/>
    <tableColumn id="21" xr3:uid="{22874AE1-3336-4D84-A96B-18D167BC34FF}" name="XX Surplus"/>
    <tableColumn id="22" xr3:uid="{39ED16A1-3367-47A5-AB1B-50312D25E395}" name="Surplus"/>
    <tableColumn id="23" xr3:uid="{8C64D087-206B-462E-A071-E081A97F3043}" name="Shortage"/>
    <tableColumn id="24" xr3:uid="{5069D7A7-D0D2-4BC3-8B58-7CCBCD05F2B4}" name="Feedback"/>
    <tableColumn id="25" xr3:uid="{30101521-555C-46BE-8EB6-E56B24E3E95A}" name=" Expected Budget Surplus / Shortage Amount"/>
    <tableColumn id="26" xr3:uid="{BA53DC11-D0F8-4C8C-87E8-13C433C3150F}" name="Revised Budget - Nov 22"/>
    <tableColumn id="27" xr3:uid="{1CE10F6F-BD89-4EED-9CB5-D40C5DE60097}" name="Actual Amount - Nov 22"/>
    <tableColumn id="28" xr3:uid="{B78E972E-BDC8-4B7C-A3CE-C460071159B1}" name="PR - Nov 22"/>
    <tableColumn id="29" xr3:uid="{AB8EB29C-8CDA-4DF0-9F29-19E4F84D7D21}" name="PO - Nov 22"/>
    <tableColumn id="30" xr3:uid="{65BC1874-B01C-4192-A919-CB46267C7040}" name="Fund Available - Nov 22"/>
    <tableColumn id="31" xr3:uid="{39E66AEF-F41D-4596-BD42-0845D8DE0581}" name="XXRec-01"/>
    <tableColumn id="32" xr3:uid="{CE2D6001-4699-49E2-96FA-E546CF677D00}" name="XXReco-2"/>
    <tableColumn id="33" xr3:uid="{9EA136CD-EC70-4F33-8BDC-A5EBCD73EBA4}" name="XxRec-3"/>
    <tableColumn id="34" xr3:uid="{876B63C4-C31D-410E-A7A0-E96866413479}" name="Account Coed -- 2"/>
    <tableColumn id="35" xr3:uid="{9CC35362-A7C5-42D7-93C2-F986A75C5E01}" name="Budget 10-Dec-2022"/>
    <tableColumn id="36" xr3:uid="{A928D7E1-CA75-4CF9-A5FE-B4D54FE9BDDB}" name="Act 10-Dec-2022"/>
    <tableColumn id="37" xr3:uid="{8C40D6E1-BB95-4E66-AE34-A28713188FDB}" name="PR 10-Dec-2022"/>
    <tableColumn id="38" xr3:uid="{2A913E19-D43E-4EBC-9ED4-F10057AA4CD5}" name="PO  10-Dec-2022"/>
    <tableColumn id="39" xr3:uid="{23C8B20B-8BAE-4145-B2CC-9E195E51A753}" name="Fund Availbale  10-Dec-2022"/>
    <tableColumn id="40" xr3:uid="{375B6A9C-3005-40B4-ABF0-81AABB7E28F5}" name="ECM"/>
    <tableColumn id="41" xr3:uid="{90CE3FB0-F1DF-498C-8CE5-E67931CBCBD2}" name="PMR"/>
    <tableColumn id="42" xr3:uid="{10978253-F1D7-4361-886E-4E3C0E1C9D54}" name="DTR"/>
    <tableColumn id="43" xr3:uid="{F20D9BB2-2B87-4C34-87EA-956835A419A4}" name="Surplus/ Shortage 09-Dec-2022"/>
    <tableColumn id="44" xr3:uid="{70B1A801-7FB4-4BA1-80B6-E4D5B12901BE}" name="XXXXForecast 09-Dec-2022"/>
    <tableColumn id="45" xr3:uid="{C7A1B7E7-DD50-4895-B6D8-F0485E8C9C1B}" name="Forecast 10-Dec-202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11.bin"/><Relationship Id="rId1" Type="http://schemas.openxmlformats.org/officeDocument/2006/relationships/pivotTable" Target="../pivotTables/pivotTable10.xml"/><Relationship Id="rId4" Type="http://schemas.openxmlformats.org/officeDocument/2006/relationships/comments" Target="../comments4.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3"/>
  <sheetViews>
    <sheetView showGridLines="0" workbookViewId="0">
      <selection activeCell="M3" sqref="M3:N14"/>
    </sheetView>
  </sheetViews>
  <sheetFormatPr defaultColWidth="9.1796875" defaultRowHeight="14.5" x14ac:dyDescent="0.35"/>
  <cols>
    <col min="1" max="1" width="7.26953125" style="271" customWidth="1"/>
    <col min="2" max="2" width="12" style="271" customWidth="1"/>
    <col min="3" max="3" width="6.81640625" style="271" customWidth="1"/>
    <col min="4" max="4" width="18.453125" style="271" customWidth="1"/>
    <col min="5" max="5" width="33.54296875" style="271" customWidth="1"/>
    <col min="6" max="7" width="9.7265625" style="271" customWidth="1"/>
    <col min="8" max="8" width="9" style="271" customWidth="1"/>
    <col min="9" max="9" width="8.1796875" style="271" customWidth="1"/>
    <col min="10" max="10" width="8.81640625" style="271" customWidth="1"/>
    <col min="11" max="11" width="13.1796875" style="271" bestFit="1" customWidth="1"/>
    <col min="12" max="12" width="15.54296875" style="271" customWidth="1"/>
    <col min="13" max="13" width="56.7265625" style="271" customWidth="1"/>
    <col min="14" max="14" width="14.81640625" style="276" customWidth="1"/>
    <col min="15" max="16384" width="9.1796875" style="271"/>
  </cols>
  <sheetData>
    <row r="1" spans="1:15" x14ac:dyDescent="0.35">
      <c r="A1" s="270" t="s">
        <v>984</v>
      </c>
    </row>
    <row r="2" spans="1:15" x14ac:dyDescent="0.35">
      <c r="A2" s="272" t="s">
        <v>2</v>
      </c>
      <c r="B2" s="272" t="s">
        <v>3</v>
      </c>
      <c r="C2" s="272" t="s">
        <v>4</v>
      </c>
      <c r="D2" s="272" t="s">
        <v>5</v>
      </c>
      <c r="E2" s="272" t="s">
        <v>6</v>
      </c>
      <c r="F2" s="272" t="s">
        <v>7</v>
      </c>
      <c r="G2" s="272" t="s">
        <v>8</v>
      </c>
      <c r="H2" s="272" t="s">
        <v>9</v>
      </c>
      <c r="I2" s="272" t="s">
        <v>10</v>
      </c>
      <c r="J2" s="272" t="s">
        <v>11</v>
      </c>
      <c r="K2" s="272" t="s">
        <v>12</v>
      </c>
    </row>
    <row r="3" spans="1:15" x14ac:dyDescent="0.35">
      <c r="A3" s="273" t="s">
        <v>985</v>
      </c>
      <c r="B3" s="273" t="s">
        <v>20</v>
      </c>
      <c r="C3" s="273" t="s">
        <v>986</v>
      </c>
      <c r="D3" s="273" t="s">
        <v>132</v>
      </c>
      <c r="E3" s="273" t="s">
        <v>657</v>
      </c>
      <c r="F3" s="274">
        <v>1220302</v>
      </c>
      <c r="G3" s="274">
        <v>1220302</v>
      </c>
      <c r="H3" s="274">
        <v>1220301.8</v>
      </c>
      <c r="I3" s="275"/>
      <c r="J3" s="274">
        <v>1.16415321826935E-10</v>
      </c>
      <c r="K3" s="274">
        <v>0.19999999983701899</v>
      </c>
      <c r="M3" s="178" t="s">
        <v>1021</v>
      </c>
      <c r="N3" s="278" t="s">
        <v>1022</v>
      </c>
      <c r="O3"/>
    </row>
    <row r="4" spans="1:15" x14ac:dyDescent="0.35">
      <c r="A4" s="273" t="s">
        <v>987</v>
      </c>
      <c r="B4" s="273" t="s">
        <v>45</v>
      </c>
      <c r="C4" s="273" t="s">
        <v>988</v>
      </c>
      <c r="D4" s="273" t="s">
        <v>658</v>
      </c>
      <c r="E4" s="273" t="s">
        <v>659</v>
      </c>
      <c r="F4" s="274">
        <v>0</v>
      </c>
      <c r="G4" s="274">
        <v>56000</v>
      </c>
      <c r="H4" s="275"/>
      <c r="I4" s="274">
        <v>11245.5</v>
      </c>
      <c r="J4" s="274">
        <v>44351.48</v>
      </c>
      <c r="K4" s="274">
        <v>403.01999999999703</v>
      </c>
      <c r="M4" s="264" t="s">
        <v>682</v>
      </c>
      <c r="N4" s="278">
        <v>289097.5800000038</v>
      </c>
      <c r="O4"/>
    </row>
    <row r="5" spans="1:15" x14ac:dyDescent="0.35">
      <c r="A5" s="273" t="s">
        <v>989</v>
      </c>
      <c r="B5" s="273" t="s">
        <v>54</v>
      </c>
      <c r="C5" s="273" t="s">
        <v>990</v>
      </c>
      <c r="D5" s="273" t="s">
        <v>660</v>
      </c>
      <c r="E5" s="273" t="s">
        <v>661</v>
      </c>
      <c r="F5" s="274">
        <v>137589</v>
      </c>
      <c r="G5" s="274">
        <v>27589</v>
      </c>
      <c r="H5" s="275"/>
      <c r="I5" s="275"/>
      <c r="J5" s="275"/>
      <c r="K5" s="274">
        <v>27589</v>
      </c>
      <c r="M5" s="264" t="s">
        <v>693</v>
      </c>
      <c r="N5" s="278">
        <v>0</v>
      </c>
      <c r="O5"/>
    </row>
    <row r="6" spans="1:15" x14ac:dyDescent="0.35">
      <c r="A6" s="273" t="s">
        <v>991</v>
      </c>
      <c r="B6" s="273" t="s">
        <v>97</v>
      </c>
      <c r="C6" s="273" t="s">
        <v>990</v>
      </c>
      <c r="D6" s="273" t="s">
        <v>660</v>
      </c>
      <c r="E6" s="273" t="s">
        <v>662</v>
      </c>
      <c r="F6" s="274">
        <v>1380709</v>
      </c>
      <c r="G6" s="274">
        <v>1380709</v>
      </c>
      <c r="H6" s="274">
        <v>1333260</v>
      </c>
      <c r="I6" s="274">
        <v>0</v>
      </c>
      <c r="J6" s="274">
        <v>0</v>
      </c>
      <c r="K6" s="274">
        <v>47449</v>
      </c>
      <c r="M6" s="264" t="s">
        <v>658</v>
      </c>
      <c r="N6" s="278">
        <v>7335.9799999999705</v>
      </c>
      <c r="O6"/>
    </row>
    <row r="7" spans="1:15" x14ac:dyDescent="0.35">
      <c r="A7" s="273" t="s">
        <v>992</v>
      </c>
      <c r="B7" s="273" t="s">
        <v>139</v>
      </c>
      <c r="C7" s="273" t="s">
        <v>986</v>
      </c>
      <c r="D7" s="273" t="s">
        <v>132</v>
      </c>
      <c r="E7" s="273" t="s">
        <v>663</v>
      </c>
      <c r="F7" s="274">
        <v>1174460</v>
      </c>
      <c r="G7" s="274">
        <v>1174460</v>
      </c>
      <c r="H7" s="274">
        <v>364703.32</v>
      </c>
      <c r="I7" s="274">
        <v>0</v>
      </c>
      <c r="J7" s="274">
        <v>805100</v>
      </c>
      <c r="K7" s="274">
        <v>4656.6799999998202</v>
      </c>
      <c r="M7" s="264" t="s">
        <v>666</v>
      </c>
      <c r="N7" s="278">
        <v>16106.75</v>
      </c>
      <c r="O7"/>
    </row>
    <row r="8" spans="1:15" x14ac:dyDescent="0.35">
      <c r="A8" s="273" t="s">
        <v>993</v>
      </c>
      <c r="B8" s="273" t="s">
        <v>154</v>
      </c>
      <c r="C8" s="273" t="s">
        <v>986</v>
      </c>
      <c r="D8" s="273" t="s">
        <v>132</v>
      </c>
      <c r="E8" s="273" t="s">
        <v>664</v>
      </c>
      <c r="F8" s="274">
        <v>700693</v>
      </c>
      <c r="G8" s="274">
        <v>700693</v>
      </c>
      <c r="H8" s="274">
        <v>657144.79</v>
      </c>
      <c r="I8" s="274">
        <v>0</v>
      </c>
      <c r="J8" s="274">
        <v>-15631.86</v>
      </c>
      <c r="K8" s="274">
        <v>59180.07</v>
      </c>
      <c r="M8" s="264" t="s">
        <v>687</v>
      </c>
      <c r="N8" s="278">
        <v>150932.33000000002</v>
      </c>
      <c r="O8"/>
    </row>
    <row r="9" spans="1:15" x14ac:dyDescent="0.35">
      <c r="A9" s="273" t="s">
        <v>994</v>
      </c>
      <c r="B9" s="273" t="s">
        <v>168</v>
      </c>
      <c r="C9" s="273" t="s">
        <v>986</v>
      </c>
      <c r="D9" s="273" t="s">
        <v>132</v>
      </c>
      <c r="E9" s="273" t="s">
        <v>665</v>
      </c>
      <c r="F9" s="274">
        <v>1813427</v>
      </c>
      <c r="G9" s="274">
        <v>834674</v>
      </c>
      <c r="H9" s="274">
        <v>267018</v>
      </c>
      <c r="I9" s="274">
        <v>70800</v>
      </c>
      <c r="J9" s="274">
        <v>476820</v>
      </c>
      <c r="K9" s="274">
        <v>20036</v>
      </c>
      <c r="M9" s="264" t="s">
        <v>660</v>
      </c>
      <c r="N9" s="278">
        <v>306769.00000000012</v>
      </c>
      <c r="O9"/>
    </row>
    <row r="10" spans="1:15" x14ac:dyDescent="0.35">
      <c r="A10" s="273" t="s">
        <v>994</v>
      </c>
      <c r="B10" s="273" t="s">
        <v>168</v>
      </c>
      <c r="C10" s="273" t="s">
        <v>995</v>
      </c>
      <c r="D10" s="273" t="s">
        <v>666</v>
      </c>
      <c r="E10" s="273" t="s">
        <v>667</v>
      </c>
      <c r="F10" s="274">
        <v>16097</v>
      </c>
      <c r="G10" s="274">
        <v>16097</v>
      </c>
      <c r="H10" s="275"/>
      <c r="I10" s="275"/>
      <c r="J10" s="275"/>
      <c r="K10" s="274">
        <v>16097</v>
      </c>
      <c r="M10" s="264" t="s">
        <v>702</v>
      </c>
      <c r="N10" s="278">
        <v>83257</v>
      </c>
      <c r="O10"/>
    </row>
    <row r="11" spans="1:15" x14ac:dyDescent="0.35">
      <c r="A11" s="273" t="s">
        <v>996</v>
      </c>
      <c r="B11" s="273" t="s">
        <v>181</v>
      </c>
      <c r="C11" s="273" t="s">
        <v>986</v>
      </c>
      <c r="D11" s="273" t="s">
        <v>132</v>
      </c>
      <c r="E11" s="273" t="s">
        <v>668</v>
      </c>
      <c r="F11" s="274">
        <v>611783</v>
      </c>
      <c r="G11" s="274">
        <v>611783</v>
      </c>
      <c r="H11" s="274">
        <v>559410</v>
      </c>
      <c r="I11" s="274">
        <v>0</v>
      </c>
      <c r="J11" s="274">
        <v>13410</v>
      </c>
      <c r="K11" s="274">
        <v>38963</v>
      </c>
      <c r="M11" s="264" t="s">
        <v>698</v>
      </c>
      <c r="N11" s="278">
        <v>16929.39</v>
      </c>
      <c r="O11"/>
    </row>
    <row r="12" spans="1:15" x14ac:dyDescent="0.35">
      <c r="A12" s="273" t="s">
        <v>997</v>
      </c>
      <c r="B12" s="273" t="s">
        <v>192</v>
      </c>
      <c r="C12" s="273" t="s">
        <v>986</v>
      </c>
      <c r="D12" s="273" t="s">
        <v>132</v>
      </c>
      <c r="E12" s="273" t="s">
        <v>669</v>
      </c>
      <c r="F12" s="274">
        <v>456796</v>
      </c>
      <c r="G12" s="274">
        <v>456796</v>
      </c>
      <c r="H12" s="274">
        <v>394225</v>
      </c>
      <c r="I12" s="274">
        <v>0</v>
      </c>
      <c r="J12" s="274">
        <v>44235</v>
      </c>
      <c r="K12" s="274">
        <v>18336</v>
      </c>
      <c r="M12" s="264" t="s">
        <v>700</v>
      </c>
      <c r="N12" s="278">
        <v>180</v>
      </c>
      <c r="O12"/>
    </row>
    <row r="13" spans="1:15" x14ac:dyDescent="0.35">
      <c r="A13" s="273" t="s">
        <v>998</v>
      </c>
      <c r="B13" s="273" t="s">
        <v>207</v>
      </c>
      <c r="C13" s="273" t="s">
        <v>986</v>
      </c>
      <c r="D13" s="273" t="s">
        <v>132</v>
      </c>
      <c r="E13" s="273" t="s">
        <v>670</v>
      </c>
      <c r="F13" s="274">
        <v>234334</v>
      </c>
      <c r="G13" s="274">
        <v>234334</v>
      </c>
      <c r="H13" s="274">
        <v>11026.05</v>
      </c>
      <c r="I13" s="274">
        <v>0</v>
      </c>
      <c r="J13" s="274">
        <v>223066</v>
      </c>
      <c r="K13" s="274">
        <v>241.95000000001201</v>
      </c>
      <c r="M13" s="264" t="s">
        <v>132</v>
      </c>
      <c r="N13" s="278">
        <v>8700463.8399999999</v>
      </c>
      <c r="O13"/>
    </row>
    <row r="14" spans="1:15" x14ac:dyDescent="0.35">
      <c r="A14" s="273" t="s">
        <v>999</v>
      </c>
      <c r="B14" s="273" t="s">
        <v>220</v>
      </c>
      <c r="C14" s="273" t="s">
        <v>986</v>
      </c>
      <c r="D14" s="273" t="s">
        <v>132</v>
      </c>
      <c r="E14" s="273" t="s">
        <v>671</v>
      </c>
      <c r="F14" s="274">
        <v>533159</v>
      </c>
      <c r="G14" s="274">
        <v>533159</v>
      </c>
      <c r="H14" s="275"/>
      <c r="I14" s="274">
        <v>0</v>
      </c>
      <c r="J14" s="274">
        <v>532460</v>
      </c>
      <c r="K14" s="274">
        <v>699</v>
      </c>
      <c r="M14" s="264" t="s">
        <v>719</v>
      </c>
      <c r="N14" s="278">
        <v>9571071.8700000029</v>
      </c>
      <c r="O14"/>
    </row>
    <row r="15" spans="1:15" x14ac:dyDescent="0.35">
      <c r="A15" s="273" t="s">
        <v>1000</v>
      </c>
      <c r="B15" s="273" t="s">
        <v>234</v>
      </c>
      <c r="C15" s="273" t="s">
        <v>986</v>
      </c>
      <c r="D15" s="273" t="s">
        <v>132</v>
      </c>
      <c r="E15" s="273" t="s">
        <v>672</v>
      </c>
      <c r="F15" s="274">
        <v>551330</v>
      </c>
      <c r="G15" s="274">
        <v>551330</v>
      </c>
      <c r="H15" s="274">
        <v>367320</v>
      </c>
      <c r="I15" s="274">
        <v>0</v>
      </c>
      <c r="J15" s="274">
        <v>183379.27</v>
      </c>
      <c r="K15" s="274">
        <v>630.72999999998103</v>
      </c>
      <c r="M15"/>
      <c r="N15" s="277"/>
      <c r="O15"/>
    </row>
    <row r="16" spans="1:15" x14ac:dyDescent="0.35">
      <c r="A16" s="273" t="s">
        <v>1001</v>
      </c>
      <c r="B16" s="273" t="s">
        <v>246</v>
      </c>
      <c r="C16" s="273" t="s">
        <v>986</v>
      </c>
      <c r="D16" s="273" t="s">
        <v>132</v>
      </c>
      <c r="E16" s="273" t="s">
        <v>673</v>
      </c>
      <c r="F16" s="274">
        <v>1446520</v>
      </c>
      <c r="G16" s="274">
        <v>1436520</v>
      </c>
      <c r="H16" s="274">
        <v>942948.2</v>
      </c>
      <c r="I16" s="274">
        <v>440666.76</v>
      </c>
      <c r="J16" s="274">
        <v>-29844.44</v>
      </c>
      <c r="K16" s="274">
        <v>82749.48</v>
      </c>
      <c r="M16"/>
      <c r="N16" s="277"/>
      <c r="O16"/>
    </row>
    <row r="17" spans="1:15" x14ac:dyDescent="0.35">
      <c r="A17" s="273" t="s">
        <v>1002</v>
      </c>
      <c r="B17" s="273" t="s">
        <v>274</v>
      </c>
      <c r="C17" s="273" t="s">
        <v>986</v>
      </c>
      <c r="D17" s="273" t="s">
        <v>132</v>
      </c>
      <c r="E17" s="273" t="s">
        <v>674</v>
      </c>
      <c r="F17" s="274">
        <v>1891417</v>
      </c>
      <c r="G17" s="274">
        <v>1891417</v>
      </c>
      <c r="H17" s="274">
        <v>169546</v>
      </c>
      <c r="I17" s="274">
        <v>0</v>
      </c>
      <c r="J17" s="274">
        <v>1707536</v>
      </c>
      <c r="K17" s="274">
        <v>14335</v>
      </c>
      <c r="M17"/>
      <c r="N17" s="277"/>
      <c r="O17"/>
    </row>
    <row r="18" spans="1:15" x14ac:dyDescent="0.35">
      <c r="A18" s="273" t="s">
        <v>1003</v>
      </c>
      <c r="B18" s="273" t="s">
        <v>287</v>
      </c>
      <c r="C18" s="273" t="s">
        <v>990</v>
      </c>
      <c r="D18" s="273" t="s">
        <v>660</v>
      </c>
      <c r="E18" s="273" t="s">
        <v>675</v>
      </c>
      <c r="F18" s="274">
        <v>151348</v>
      </c>
      <c r="G18" s="274">
        <v>127348</v>
      </c>
      <c r="H18" s="274">
        <v>35280</v>
      </c>
      <c r="I18" s="274">
        <v>0</v>
      </c>
      <c r="J18" s="274">
        <v>0</v>
      </c>
      <c r="K18" s="274">
        <v>92068</v>
      </c>
      <c r="M18"/>
      <c r="N18" s="277"/>
      <c r="O18"/>
    </row>
    <row r="19" spans="1:15" x14ac:dyDescent="0.35">
      <c r="A19" s="273" t="s">
        <v>1003</v>
      </c>
      <c r="B19" s="273" t="s">
        <v>287</v>
      </c>
      <c r="C19" s="273" t="s">
        <v>986</v>
      </c>
      <c r="D19" s="273" t="s">
        <v>132</v>
      </c>
      <c r="E19" s="273" t="s">
        <v>676</v>
      </c>
      <c r="F19" s="274">
        <v>1551340</v>
      </c>
      <c r="G19" s="274">
        <v>682340</v>
      </c>
      <c r="H19" s="274">
        <v>408512.58</v>
      </c>
      <c r="I19" s="274">
        <v>0</v>
      </c>
      <c r="J19" s="274">
        <v>224881.73</v>
      </c>
      <c r="K19" s="274">
        <v>48945.69</v>
      </c>
      <c r="M19"/>
      <c r="N19" s="277"/>
      <c r="O19"/>
    </row>
    <row r="20" spans="1:15" x14ac:dyDescent="0.35">
      <c r="A20" s="273" t="s">
        <v>1004</v>
      </c>
      <c r="B20" s="273" t="s">
        <v>333</v>
      </c>
      <c r="C20" s="273" t="s">
        <v>990</v>
      </c>
      <c r="D20" s="273" t="s">
        <v>660</v>
      </c>
      <c r="E20" s="273" t="s">
        <v>677</v>
      </c>
      <c r="F20" s="274">
        <v>126346</v>
      </c>
      <c r="G20" s="274">
        <v>126346</v>
      </c>
      <c r="H20" s="274">
        <v>80205</v>
      </c>
      <c r="I20" s="274">
        <v>0</v>
      </c>
      <c r="J20" s="274">
        <v>0</v>
      </c>
      <c r="K20" s="274">
        <v>46141</v>
      </c>
      <c r="M20"/>
      <c r="N20" s="277"/>
      <c r="O20"/>
    </row>
    <row r="21" spans="1:15" x14ac:dyDescent="0.35">
      <c r="A21" s="273" t="s">
        <v>1004</v>
      </c>
      <c r="B21" s="273" t="s">
        <v>333</v>
      </c>
      <c r="C21" s="273" t="s">
        <v>986</v>
      </c>
      <c r="D21" s="273" t="s">
        <v>132</v>
      </c>
      <c r="E21" s="273" t="s">
        <v>678</v>
      </c>
      <c r="F21" s="274">
        <v>146498</v>
      </c>
      <c r="G21" s="274">
        <v>146498</v>
      </c>
      <c r="H21" s="274">
        <v>309.52</v>
      </c>
      <c r="I21" s="274">
        <v>26600</v>
      </c>
      <c r="J21" s="274">
        <v>64865</v>
      </c>
      <c r="K21" s="274">
        <v>54723.48</v>
      </c>
    </row>
    <row r="22" spans="1:15" x14ac:dyDescent="0.35">
      <c r="A22" s="273" t="s">
        <v>1005</v>
      </c>
      <c r="B22" s="273" t="s">
        <v>341</v>
      </c>
      <c r="C22" s="273" t="s">
        <v>986</v>
      </c>
      <c r="D22" s="273" t="s">
        <v>132</v>
      </c>
      <c r="E22" s="273" t="s">
        <v>679</v>
      </c>
      <c r="F22" s="274">
        <v>1754263</v>
      </c>
      <c r="G22" s="274">
        <v>1489263</v>
      </c>
      <c r="H22" s="274">
        <v>1319960</v>
      </c>
      <c r="I22" s="274">
        <v>1</v>
      </c>
      <c r="J22" s="274">
        <v>101107.5</v>
      </c>
      <c r="K22" s="274">
        <v>68194.5</v>
      </c>
    </row>
    <row r="23" spans="1:15" x14ac:dyDescent="0.35">
      <c r="A23" s="273" t="s">
        <v>1006</v>
      </c>
      <c r="B23" s="273" t="s">
        <v>352</v>
      </c>
      <c r="C23" s="273" t="s">
        <v>986</v>
      </c>
      <c r="D23" s="273" t="s">
        <v>132</v>
      </c>
      <c r="E23" s="273" t="s">
        <v>680</v>
      </c>
      <c r="F23" s="274">
        <v>171987</v>
      </c>
      <c r="G23" s="274">
        <v>987</v>
      </c>
      <c r="H23" s="275"/>
      <c r="I23" s="274">
        <v>0</v>
      </c>
      <c r="J23" s="275"/>
      <c r="K23" s="274">
        <v>987</v>
      </c>
    </row>
    <row r="24" spans="1:15" x14ac:dyDescent="0.35">
      <c r="A24" s="273" t="s">
        <v>360</v>
      </c>
      <c r="B24" s="273" t="s">
        <v>361</v>
      </c>
      <c r="C24" s="273" t="s">
        <v>681</v>
      </c>
      <c r="D24" s="273" t="s">
        <v>682</v>
      </c>
      <c r="E24" s="273" t="s">
        <v>683</v>
      </c>
      <c r="F24" s="274">
        <v>2910350</v>
      </c>
      <c r="G24" s="274">
        <v>1923650</v>
      </c>
      <c r="H24" s="274">
        <v>1431816.56</v>
      </c>
      <c r="I24" s="274">
        <v>155700</v>
      </c>
      <c r="J24" s="274">
        <v>192391.44</v>
      </c>
      <c r="K24" s="274">
        <v>143742</v>
      </c>
    </row>
    <row r="25" spans="1:15" x14ac:dyDescent="0.35">
      <c r="A25" s="273" t="s">
        <v>360</v>
      </c>
      <c r="B25" s="273" t="s">
        <v>361</v>
      </c>
      <c r="C25" s="273" t="s">
        <v>681</v>
      </c>
      <c r="D25" s="273" t="s">
        <v>682</v>
      </c>
      <c r="E25" s="273" t="s">
        <v>684</v>
      </c>
      <c r="F25" s="274">
        <v>18425319</v>
      </c>
      <c r="G25" s="274">
        <v>22363643</v>
      </c>
      <c r="H25" s="274">
        <v>19474858.579999998</v>
      </c>
      <c r="I25" s="274">
        <v>245574</v>
      </c>
      <c r="J25" s="274">
        <v>2575971.6</v>
      </c>
      <c r="K25" s="274">
        <v>67238.820000003994</v>
      </c>
    </row>
    <row r="26" spans="1:15" x14ac:dyDescent="0.35">
      <c r="A26" s="273" t="s">
        <v>360</v>
      </c>
      <c r="B26" s="273" t="s">
        <v>361</v>
      </c>
      <c r="C26" s="273" t="s">
        <v>681</v>
      </c>
      <c r="D26" s="273" t="s">
        <v>682</v>
      </c>
      <c r="E26" s="273" t="s">
        <v>685</v>
      </c>
      <c r="F26" s="274">
        <v>3580020</v>
      </c>
      <c r="G26" s="274">
        <v>0</v>
      </c>
      <c r="H26" s="275"/>
      <c r="I26" s="275"/>
      <c r="J26" s="275"/>
      <c r="K26" s="274">
        <v>0</v>
      </c>
    </row>
    <row r="27" spans="1:15" x14ac:dyDescent="0.35">
      <c r="A27" s="273" t="s">
        <v>360</v>
      </c>
      <c r="B27" s="273" t="s">
        <v>361</v>
      </c>
      <c r="C27" s="273" t="s">
        <v>681</v>
      </c>
      <c r="D27" s="273" t="s">
        <v>682</v>
      </c>
      <c r="E27" s="273" t="s">
        <v>686</v>
      </c>
      <c r="F27" s="274">
        <v>19458929</v>
      </c>
      <c r="G27" s="274">
        <v>23531949</v>
      </c>
      <c r="H27" s="274">
        <v>20990255.739999998</v>
      </c>
      <c r="I27" s="274">
        <v>1470000</v>
      </c>
      <c r="J27" s="274">
        <v>994077</v>
      </c>
      <c r="K27" s="274">
        <v>77616.259999999806</v>
      </c>
    </row>
    <row r="28" spans="1:15" x14ac:dyDescent="0.35">
      <c r="A28" s="273" t="s">
        <v>360</v>
      </c>
      <c r="B28" s="273" t="s">
        <v>361</v>
      </c>
      <c r="C28" s="273" t="s">
        <v>1007</v>
      </c>
      <c r="D28" s="273" t="s">
        <v>687</v>
      </c>
      <c r="E28" s="273" t="s">
        <v>688</v>
      </c>
      <c r="F28" s="274">
        <v>1136050</v>
      </c>
      <c r="G28" s="274">
        <v>6379911</v>
      </c>
      <c r="H28" s="274">
        <v>6077200</v>
      </c>
      <c r="I28" s="274">
        <v>0</v>
      </c>
      <c r="J28" s="274">
        <v>213720</v>
      </c>
      <c r="K28" s="274">
        <v>88991</v>
      </c>
    </row>
    <row r="29" spans="1:15" x14ac:dyDescent="0.35">
      <c r="A29" s="273" t="s">
        <v>360</v>
      </c>
      <c r="B29" s="273" t="s">
        <v>361</v>
      </c>
      <c r="C29" s="273" t="s">
        <v>1007</v>
      </c>
      <c r="D29" s="273" t="s">
        <v>687</v>
      </c>
      <c r="E29" s="273" t="s">
        <v>689</v>
      </c>
      <c r="F29" s="274">
        <v>32800</v>
      </c>
      <c r="G29" s="274">
        <v>32800</v>
      </c>
      <c r="H29" s="274">
        <v>31488</v>
      </c>
      <c r="I29" s="275"/>
      <c r="J29" s="274">
        <v>0</v>
      </c>
      <c r="K29" s="274">
        <v>1312</v>
      </c>
    </row>
    <row r="30" spans="1:15" x14ac:dyDescent="0.35">
      <c r="A30" s="273" t="s">
        <v>360</v>
      </c>
      <c r="B30" s="273" t="s">
        <v>361</v>
      </c>
      <c r="C30" s="273" t="s">
        <v>1007</v>
      </c>
      <c r="D30" s="273" t="s">
        <v>687</v>
      </c>
      <c r="E30" s="273" t="s">
        <v>690</v>
      </c>
      <c r="F30" s="274">
        <v>1375893</v>
      </c>
      <c r="G30" s="274">
        <v>82893</v>
      </c>
      <c r="H30" s="274">
        <v>41141</v>
      </c>
      <c r="I30" s="274">
        <v>0</v>
      </c>
      <c r="J30" s="274">
        <v>0</v>
      </c>
      <c r="K30" s="274">
        <v>41752</v>
      </c>
    </row>
    <row r="31" spans="1:15" x14ac:dyDescent="0.35">
      <c r="A31" s="273" t="s">
        <v>360</v>
      </c>
      <c r="B31" s="273" t="s">
        <v>361</v>
      </c>
      <c r="C31" s="273" t="s">
        <v>988</v>
      </c>
      <c r="D31" s="273" t="s">
        <v>658</v>
      </c>
      <c r="E31" s="273" t="s">
        <v>691</v>
      </c>
      <c r="F31" s="274">
        <v>0</v>
      </c>
      <c r="G31" s="274">
        <v>1000000</v>
      </c>
      <c r="H31" s="275"/>
      <c r="I31" s="274">
        <v>1000000</v>
      </c>
      <c r="J31" s="275"/>
      <c r="K31" s="274">
        <v>0</v>
      </c>
    </row>
    <row r="32" spans="1:15" x14ac:dyDescent="0.35">
      <c r="A32" s="273" t="s">
        <v>360</v>
      </c>
      <c r="B32" s="273" t="s">
        <v>361</v>
      </c>
      <c r="C32" s="273" t="s">
        <v>995</v>
      </c>
      <c r="D32" s="273" t="s">
        <v>666</v>
      </c>
      <c r="E32" s="273" t="s">
        <v>692</v>
      </c>
      <c r="F32" s="274">
        <v>30302</v>
      </c>
      <c r="G32" s="274">
        <v>30312</v>
      </c>
      <c r="H32" s="275"/>
      <c r="I32" s="274">
        <v>30302.25</v>
      </c>
      <c r="J32" s="274">
        <v>0</v>
      </c>
      <c r="K32" s="274">
        <v>9.75</v>
      </c>
    </row>
    <row r="33" spans="1:11" x14ac:dyDescent="0.35">
      <c r="A33" s="273" t="s">
        <v>1008</v>
      </c>
      <c r="B33" s="273" t="s">
        <v>445</v>
      </c>
      <c r="C33" s="273" t="s">
        <v>1009</v>
      </c>
      <c r="D33" s="273" t="s">
        <v>693</v>
      </c>
      <c r="E33" s="273" t="s">
        <v>694</v>
      </c>
      <c r="F33" s="274">
        <v>69286</v>
      </c>
      <c r="G33" s="274">
        <v>0</v>
      </c>
      <c r="H33" s="275"/>
      <c r="I33" s="275"/>
      <c r="J33" s="275"/>
      <c r="K33" s="274">
        <v>0</v>
      </c>
    </row>
    <row r="34" spans="1:11" x14ac:dyDescent="0.35">
      <c r="A34" s="273" t="s">
        <v>1008</v>
      </c>
      <c r="B34" s="273" t="s">
        <v>445</v>
      </c>
      <c r="C34" s="273" t="s">
        <v>988</v>
      </c>
      <c r="D34" s="273" t="s">
        <v>658</v>
      </c>
      <c r="E34" s="273" t="s">
        <v>695</v>
      </c>
      <c r="F34" s="274">
        <v>0</v>
      </c>
      <c r="G34" s="274">
        <v>69286</v>
      </c>
      <c r="H34" s="274">
        <v>69286</v>
      </c>
      <c r="I34" s="274">
        <v>0</v>
      </c>
      <c r="J34" s="274">
        <v>0</v>
      </c>
      <c r="K34" s="274">
        <v>0</v>
      </c>
    </row>
    <row r="35" spans="1:11" x14ac:dyDescent="0.35">
      <c r="A35" s="273" t="s">
        <v>1010</v>
      </c>
      <c r="B35" s="273" t="s">
        <v>454</v>
      </c>
      <c r="C35" s="273" t="s">
        <v>1007</v>
      </c>
      <c r="D35" s="273" t="s">
        <v>687</v>
      </c>
      <c r="E35" s="273" t="s">
        <v>696</v>
      </c>
      <c r="F35" s="274">
        <v>1135112</v>
      </c>
      <c r="G35" s="274">
        <v>0</v>
      </c>
      <c r="H35" s="275"/>
      <c r="I35" s="275"/>
      <c r="J35" s="275"/>
      <c r="K35" s="274">
        <v>0</v>
      </c>
    </row>
    <row r="36" spans="1:11" x14ac:dyDescent="0.35">
      <c r="A36" s="273" t="s">
        <v>1011</v>
      </c>
      <c r="B36" s="273" t="s">
        <v>464</v>
      </c>
      <c r="C36" s="273" t="s">
        <v>990</v>
      </c>
      <c r="D36" s="273" t="s">
        <v>660</v>
      </c>
      <c r="E36" s="273" t="s">
        <v>697</v>
      </c>
      <c r="F36" s="274">
        <v>2800802</v>
      </c>
      <c r="G36" s="274">
        <v>185000</v>
      </c>
      <c r="H36" s="274">
        <v>172335</v>
      </c>
      <c r="I36" s="274">
        <v>0</v>
      </c>
      <c r="J36" s="274">
        <v>8715</v>
      </c>
      <c r="K36" s="274">
        <v>3950</v>
      </c>
    </row>
    <row r="37" spans="1:11" x14ac:dyDescent="0.35">
      <c r="A37" s="273" t="s">
        <v>1011</v>
      </c>
      <c r="B37" s="273" t="s">
        <v>464</v>
      </c>
      <c r="C37" s="273" t="s">
        <v>1012</v>
      </c>
      <c r="D37" s="273" t="s">
        <v>698</v>
      </c>
      <c r="E37" s="273" t="s">
        <v>699</v>
      </c>
      <c r="F37" s="274">
        <v>0</v>
      </c>
      <c r="G37" s="274">
        <v>2016302</v>
      </c>
      <c r="H37" s="274">
        <v>1935144.01</v>
      </c>
      <c r="I37" s="274">
        <v>0</v>
      </c>
      <c r="J37" s="274">
        <v>64228.6</v>
      </c>
      <c r="K37" s="274">
        <v>16929.39</v>
      </c>
    </row>
    <row r="38" spans="1:11" x14ac:dyDescent="0.35">
      <c r="A38" s="273" t="s">
        <v>1011</v>
      </c>
      <c r="B38" s="273" t="s">
        <v>464</v>
      </c>
      <c r="C38" s="273" t="s">
        <v>1013</v>
      </c>
      <c r="D38" s="273" t="s">
        <v>700</v>
      </c>
      <c r="E38" s="273" t="s">
        <v>701</v>
      </c>
      <c r="F38" s="274">
        <v>0</v>
      </c>
      <c r="G38" s="274">
        <v>321500</v>
      </c>
      <c r="H38" s="274">
        <v>321320</v>
      </c>
      <c r="I38" s="274">
        <v>0</v>
      </c>
      <c r="J38" s="274">
        <v>0</v>
      </c>
      <c r="K38" s="274">
        <v>180</v>
      </c>
    </row>
    <row r="39" spans="1:11" x14ac:dyDescent="0.35">
      <c r="A39" s="273" t="s">
        <v>1011</v>
      </c>
      <c r="B39" s="273" t="s">
        <v>464</v>
      </c>
      <c r="C39" s="273" t="s">
        <v>1014</v>
      </c>
      <c r="D39" s="273" t="s">
        <v>702</v>
      </c>
      <c r="E39" s="273" t="s">
        <v>703</v>
      </c>
      <c r="F39" s="274">
        <v>0</v>
      </c>
      <c r="G39" s="274">
        <v>650000</v>
      </c>
      <c r="H39" s="274">
        <v>566741</v>
      </c>
      <c r="I39" s="274">
        <v>0</v>
      </c>
      <c r="J39" s="274">
        <v>2</v>
      </c>
      <c r="K39" s="274">
        <v>83257</v>
      </c>
    </row>
    <row r="40" spans="1:11" x14ac:dyDescent="0.35">
      <c r="A40" s="273" t="s">
        <v>1011</v>
      </c>
      <c r="B40" s="273" t="s">
        <v>464</v>
      </c>
      <c r="C40" s="273" t="s">
        <v>1009</v>
      </c>
      <c r="D40" s="273" t="s">
        <v>693</v>
      </c>
      <c r="E40" s="273" t="s">
        <v>704</v>
      </c>
      <c r="F40" s="274">
        <v>646670</v>
      </c>
      <c r="G40" s="274">
        <v>0</v>
      </c>
      <c r="H40" s="275"/>
      <c r="I40" s="275"/>
      <c r="J40" s="275"/>
      <c r="K40" s="274">
        <v>0</v>
      </c>
    </row>
    <row r="41" spans="1:11" x14ac:dyDescent="0.35">
      <c r="A41" s="273" t="s">
        <v>1011</v>
      </c>
      <c r="B41" s="273" t="s">
        <v>464</v>
      </c>
      <c r="C41" s="273" t="s">
        <v>988</v>
      </c>
      <c r="D41" s="273" t="s">
        <v>658</v>
      </c>
      <c r="E41" s="273" t="s">
        <v>705</v>
      </c>
      <c r="F41" s="274">
        <v>0</v>
      </c>
      <c r="G41" s="274">
        <v>104670</v>
      </c>
      <c r="H41" s="274">
        <v>23965</v>
      </c>
      <c r="I41" s="274">
        <v>73772.210000000006</v>
      </c>
      <c r="J41" s="274">
        <v>0</v>
      </c>
      <c r="K41" s="274">
        <v>6932.78999999999</v>
      </c>
    </row>
    <row r="42" spans="1:11" x14ac:dyDescent="0.35">
      <c r="A42" s="273" t="s">
        <v>1015</v>
      </c>
      <c r="B42" s="273" t="s">
        <v>493</v>
      </c>
      <c r="C42" s="273" t="s">
        <v>986</v>
      </c>
      <c r="D42" s="273" t="s">
        <v>132</v>
      </c>
      <c r="E42" s="273" t="s">
        <v>706</v>
      </c>
      <c r="F42" s="274">
        <v>2998678</v>
      </c>
      <c r="G42" s="274">
        <v>2998678</v>
      </c>
      <c r="H42" s="274">
        <v>2998678.09</v>
      </c>
      <c r="I42" s="275"/>
      <c r="J42" s="274">
        <v>-3749.9999999997699</v>
      </c>
      <c r="K42" s="274">
        <v>3749.9099999999198</v>
      </c>
    </row>
    <row r="43" spans="1:11" x14ac:dyDescent="0.35">
      <c r="A43" s="273" t="s">
        <v>1016</v>
      </c>
      <c r="B43" s="273" t="s">
        <v>518</v>
      </c>
      <c r="C43" s="273" t="s">
        <v>986</v>
      </c>
      <c r="D43" s="273" t="s">
        <v>132</v>
      </c>
      <c r="E43" s="273" t="s">
        <v>707</v>
      </c>
      <c r="F43" s="274">
        <v>358538</v>
      </c>
      <c r="G43" s="274">
        <v>358538</v>
      </c>
      <c r="H43" s="274">
        <v>353642.9</v>
      </c>
      <c r="I43" s="274">
        <v>0</v>
      </c>
      <c r="J43" s="274">
        <v>-3.6379788070917101E-12</v>
      </c>
      <c r="K43" s="274">
        <v>4895.0999999999804</v>
      </c>
    </row>
    <row r="44" spans="1:11" x14ac:dyDescent="0.35">
      <c r="A44" s="273" t="s">
        <v>1017</v>
      </c>
      <c r="B44" s="273" t="s">
        <v>529</v>
      </c>
      <c r="C44" s="273" t="s">
        <v>681</v>
      </c>
      <c r="D44" s="273" t="s">
        <v>682</v>
      </c>
      <c r="E44" s="273" t="s">
        <v>708</v>
      </c>
      <c r="F44" s="274">
        <v>1304891</v>
      </c>
      <c r="G44" s="274">
        <v>1337891</v>
      </c>
      <c r="H44" s="274">
        <v>1304890.5</v>
      </c>
      <c r="I44" s="274">
        <v>0</v>
      </c>
      <c r="J44" s="274">
        <v>32500</v>
      </c>
      <c r="K44" s="274">
        <v>500.5</v>
      </c>
    </row>
    <row r="45" spans="1:11" x14ac:dyDescent="0.35">
      <c r="A45" s="273" t="s">
        <v>1017</v>
      </c>
      <c r="B45" s="273" t="s">
        <v>529</v>
      </c>
      <c r="C45" s="273" t="s">
        <v>986</v>
      </c>
      <c r="D45" s="273" t="s">
        <v>132</v>
      </c>
      <c r="E45" s="273" t="s">
        <v>709</v>
      </c>
      <c r="F45" s="274">
        <v>15928069</v>
      </c>
      <c r="G45" s="274">
        <v>14988665</v>
      </c>
      <c r="H45" s="274">
        <v>5585960.2400000002</v>
      </c>
      <c r="I45" s="274">
        <v>22062.52</v>
      </c>
      <c r="J45" s="274">
        <v>1176684.6100000001</v>
      </c>
      <c r="K45" s="274">
        <v>8203957.6299999999</v>
      </c>
    </row>
    <row r="46" spans="1:11" x14ac:dyDescent="0.35">
      <c r="A46" s="273" t="s">
        <v>1018</v>
      </c>
      <c r="B46" s="273" t="s">
        <v>536</v>
      </c>
      <c r="C46" s="273" t="s">
        <v>986</v>
      </c>
      <c r="D46" s="273" t="s">
        <v>132</v>
      </c>
      <c r="E46" s="273" t="s">
        <v>710</v>
      </c>
      <c r="F46" s="274">
        <v>2751786</v>
      </c>
      <c r="G46" s="274">
        <v>32942</v>
      </c>
      <c r="H46" s="275"/>
      <c r="I46" s="275"/>
      <c r="J46" s="275"/>
      <c r="K46" s="274">
        <v>32942</v>
      </c>
    </row>
    <row r="47" spans="1:11" x14ac:dyDescent="0.35">
      <c r="A47" s="273" t="s">
        <v>1018</v>
      </c>
      <c r="B47" s="273" t="s">
        <v>536</v>
      </c>
      <c r="C47" s="273" t="s">
        <v>1009</v>
      </c>
      <c r="D47" s="273" t="s">
        <v>693</v>
      </c>
      <c r="E47" s="273" t="s">
        <v>711</v>
      </c>
      <c r="F47" s="274">
        <v>833665</v>
      </c>
      <c r="G47" s="274">
        <v>0</v>
      </c>
      <c r="H47" s="274">
        <v>0</v>
      </c>
      <c r="I47" s="275"/>
      <c r="J47" s="274">
        <v>0</v>
      </c>
      <c r="K47" s="274">
        <v>0</v>
      </c>
    </row>
    <row r="48" spans="1:11" x14ac:dyDescent="0.35">
      <c r="A48" s="273" t="s">
        <v>1018</v>
      </c>
      <c r="B48" s="273" t="s">
        <v>536</v>
      </c>
      <c r="C48" s="273" t="s">
        <v>988</v>
      </c>
      <c r="D48" s="273" t="s">
        <v>658</v>
      </c>
      <c r="E48" s="273" t="s">
        <v>712</v>
      </c>
      <c r="F48" s="274">
        <v>0</v>
      </c>
      <c r="G48" s="274">
        <v>138509</v>
      </c>
      <c r="H48" s="274">
        <v>138508.82999999999</v>
      </c>
      <c r="I48" s="275"/>
      <c r="J48" s="275"/>
      <c r="K48" s="274">
        <v>0.16999999998370199</v>
      </c>
    </row>
    <row r="49" spans="1:11" x14ac:dyDescent="0.35">
      <c r="A49" s="273" t="s">
        <v>1019</v>
      </c>
      <c r="B49" s="273" t="s">
        <v>603</v>
      </c>
      <c r="C49" s="273" t="s">
        <v>986</v>
      </c>
      <c r="D49" s="273" t="s">
        <v>132</v>
      </c>
      <c r="E49" s="273" t="s">
        <v>713</v>
      </c>
      <c r="F49" s="274">
        <v>6879</v>
      </c>
      <c r="G49" s="274">
        <v>6879</v>
      </c>
      <c r="H49" s="275"/>
      <c r="I49" s="275"/>
      <c r="J49" s="275"/>
      <c r="K49" s="274">
        <v>6879</v>
      </c>
    </row>
    <row r="50" spans="1:11" x14ac:dyDescent="0.35">
      <c r="A50" s="273" t="s">
        <v>1020</v>
      </c>
      <c r="B50" s="273" t="s">
        <v>616</v>
      </c>
      <c r="C50" s="273" t="s">
        <v>990</v>
      </c>
      <c r="D50" s="273" t="s">
        <v>660</v>
      </c>
      <c r="E50" s="273" t="s">
        <v>714</v>
      </c>
      <c r="F50" s="274">
        <v>466679</v>
      </c>
      <c r="G50" s="274">
        <v>913656</v>
      </c>
      <c r="H50" s="274">
        <v>810672</v>
      </c>
      <c r="I50" s="274">
        <v>0</v>
      </c>
      <c r="J50" s="274">
        <v>13411.9999999999</v>
      </c>
      <c r="K50" s="274">
        <v>89572.000000000102</v>
      </c>
    </row>
    <row r="51" spans="1:11" x14ac:dyDescent="0.35">
      <c r="A51" s="273" t="s">
        <v>1020</v>
      </c>
      <c r="B51" s="273" t="s">
        <v>616</v>
      </c>
      <c r="C51" s="273" t="s">
        <v>986</v>
      </c>
      <c r="D51" s="273" t="s">
        <v>132</v>
      </c>
      <c r="E51" s="273" t="s">
        <v>715</v>
      </c>
      <c r="F51" s="274">
        <v>17788291</v>
      </c>
      <c r="G51" s="274">
        <v>17115075</v>
      </c>
      <c r="H51" s="274">
        <v>14929538.359999999</v>
      </c>
      <c r="I51" s="274">
        <v>0</v>
      </c>
      <c r="J51" s="274">
        <v>2150175.2200000002</v>
      </c>
      <c r="K51" s="274">
        <v>35361.419999999001</v>
      </c>
    </row>
    <row r="52" spans="1:11" x14ac:dyDescent="0.35">
      <c r="A52" s="273" t="s">
        <v>1020</v>
      </c>
      <c r="B52" s="273" t="s">
        <v>616</v>
      </c>
      <c r="C52" s="273" t="s">
        <v>1007</v>
      </c>
      <c r="D52" s="273" t="s">
        <v>687</v>
      </c>
      <c r="E52" s="273" t="s">
        <v>716</v>
      </c>
      <c r="F52" s="274">
        <v>19606</v>
      </c>
      <c r="G52" s="274">
        <v>19606</v>
      </c>
      <c r="H52" s="274">
        <v>728.67</v>
      </c>
      <c r="I52" s="275"/>
      <c r="J52" s="275"/>
      <c r="K52" s="274">
        <v>18877.330000000002</v>
      </c>
    </row>
    <row r="53" spans="1:11" x14ac:dyDescent="0.35">
      <c r="A53" s="273" t="s">
        <v>1020</v>
      </c>
      <c r="B53" s="273" t="s">
        <v>616</v>
      </c>
      <c r="C53" s="273" t="s">
        <v>995</v>
      </c>
      <c r="D53" s="273" t="s">
        <v>666</v>
      </c>
      <c r="E53" s="273" t="s">
        <v>717</v>
      </c>
      <c r="F53" s="274">
        <v>171987</v>
      </c>
      <c r="G53" s="274">
        <v>0</v>
      </c>
      <c r="H53" s="275"/>
      <c r="I53" s="275"/>
      <c r="J53" s="275"/>
      <c r="K53" s="27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4"/>
  <sheetViews>
    <sheetView zoomScale="85" zoomScaleNormal="85" workbookViewId="0">
      <selection activeCell="B4" sqref="B4"/>
    </sheetView>
  </sheetViews>
  <sheetFormatPr defaultRowHeight="14.5" x14ac:dyDescent="0.35"/>
  <cols>
    <col min="1" max="1" width="71.453125" bestFit="1" customWidth="1"/>
    <col min="2" max="2" width="23.26953125" bestFit="1" customWidth="1"/>
    <col min="3" max="3" width="12.1796875" bestFit="1" customWidth="1"/>
    <col min="4" max="4" width="13.26953125" bestFit="1" customWidth="1"/>
    <col min="5" max="5" width="15" bestFit="1" customWidth="1"/>
    <col min="6" max="6" width="10.54296875" bestFit="1" customWidth="1"/>
    <col min="7" max="7" width="13.26953125" bestFit="1" customWidth="1"/>
  </cols>
  <sheetData>
    <row r="1" spans="1:6" x14ac:dyDescent="0.35">
      <c r="A1" s="279" t="s">
        <v>1023</v>
      </c>
      <c r="B1" s="559" t="s">
        <v>1263</v>
      </c>
      <c r="C1" s="559"/>
      <c r="D1" s="559"/>
      <c r="E1" s="559"/>
    </row>
    <row r="2" spans="1:6" x14ac:dyDescent="0.35">
      <c r="A2" s="522" t="s">
        <v>1254</v>
      </c>
      <c r="B2" s="527" t="s">
        <v>1262</v>
      </c>
      <c r="C2" s="527" t="s">
        <v>1259</v>
      </c>
      <c r="D2" s="527" t="s">
        <v>1260</v>
      </c>
      <c r="E2" s="527" t="s">
        <v>1261</v>
      </c>
    </row>
    <row r="3" spans="1:6" ht="40.5" customHeight="1" x14ac:dyDescent="0.35">
      <c r="A3" s="528" t="s">
        <v>1253</v>
      </c>
      <c r="B3" s="524">
        <v>0</v>
      </c>
      <c r="C3" s="524">
        <v>14324525</v>
      </c>
      <c r="D3" s="524">
        <v>14324525</v>
      </c>
      <c r="E3" s="524"/>
    </row>
    <row r="4" spans="1:6" ht="29" x14ac:dyDescent="0.35">
      <c r="A4" s="529" t="s">
        <v>1255</v>
      </c>
      <c r="B4" s="542">
        <v>10620167</v>
      </c>
      <c r="C4" s="525">
        <v>8593046</v>
      </c>
      <c r="D4" s="525">
        <v>8843046</v>
      </c>
      <c r="E4" s="525"/>
      <c r="F4" s="217">
        <f>B4</f>
        <v>10620167</v>
      </c>
    </row>
    <row r="5" spans="1:6" x14ac:dyDescent="0.35">
      <c r="A5" s="268" t="s">
        <v>589</v>
      </c>
      <c r="B5" s="542">
        <v>3300000</v>
      </c>
      <c r="C5" s="526"/>
      <c r="D5" s="526"/>
      <c r="E5" s="526"/>
      <c r="F5" s="217">
        <f>B5</f>
        <v>3300000</v>
      </c>
    </row>
    <row r="6" spans="1:6" ht="29" x14ac:dyDescent="0.35">
      <c r="A6" s="530" t="s">
        <v>1256</v>
      </c>
      <c r="B6" s="526">
        <v>2000000</v>
      </c>
      <c r="C6" s="526">
        <v>2000000</v>
      </c>
      <c r="D6" s="526">
        <v>2000000</v>
      </c>
      <c r="E6" s="526"/>
    </row>
    <row r="7" spans="1:6" ht="29" x14ac:dyDescent="0.35">
      <c r="A7" s="530" t="s">
        <v>1257</v>
      </c>
      <c r="B7" s="542">
        <v>5000000</v>
      </c>
      <c r="C7" s="526"/>
      <c r="D7" s="526"/>
      <c r="E7" s="526"/>
      <c r="F7" s="217">
        <f>B7</f>
        <v>5000000</v>
      </c>
    </row>
    <row r="8" spans="1:6" ht="29" x14ac:dyDescent="0.35">
      <c r="A8" s="530" t="s">
        <v>1258</v>
      </c>
      <c r="B8" s="542">
        <v>3900000</v>
      </c>
      <c r="C8" s="526">
        <v>8400000</v>
      </c>
      <c r="D8" s="526">
        <v>8500000</v>
      </c>
      <c r="E8" s="526">
        <v>8600000</v>
      </c>
      <c r="F8" s="217">
        <f>B8</f>
        <v>3900000</v>
      </c>
    </row>
    <row r="9" spans="1:6" x14ac:dyDescent="0.35">
      <c r="A9" s="268" t="s">
        <v>108</v>
      </c>
      <c r="B9" s="526">
        <v>1320000</v>
      </c>
      <c r="C9" s="526"/>
      <c r="D9" s="526"/>
      <c r="E9" s="526"/>
      <c r="F9" s="546">
        <f>SUM(F4:F8)</f>
        <v>22820167</v>
      </c>
    </row>
    <row r="10" spans="1:6" x14ac:dyDescent="0.35">
      <c r="A10" s="523" t="s">
        <v>983</v>
      </c>
      <c r="B10" s="531">
        <f>SUM(B3:B9)</f>
        <v>26140167</v>
      </c>
      <c r="C10" s="531">
        <f t="shared" ref="C10:E10" si="0">SUM(C3:C9)</f>
        <v>33317571</v>
      </c>
      <c r="D10" s="531">
        <f t="shared" si="0"/>
        <v>33667571</v>
      </c>
      <c r="E10" s="531">
        <f t="shared" si="0"/>
        <v>8600000</v>
      </c>
    </row>
    <row r="11" spans="1:6" x14ac:dyDescent="0.35">
      <c r="A11" s="523" t="s">
        <v>719</v>
      </c>
      <c r="B11" s="558">
        <f>SUM(B10:E10)</f>
        <v>101725309</v>
      </c>
      <c r="C11" s="558"/>
      <c r="D11" s="558"/>
      <c r="E11" s="558"/>
    </row>
    <row r="14" spans="1:6" x14ac:dyDescent="0.35">
      <c r="A14" s="279" t="s">
        <v>1023</v>
      </c>
    </row>
    <row r="15" spans="1:6" x14ac:dyDescent="0.35">
      <c r="A15" s="265" t="s">
        <v>5</v>
      </c>
      <c r="B15" s="266" t="s">
        <v>979</v>
      </c>
    </row>
    <row r="16" spans="1:6" x14ac:dyDescent="0.35">
      <c r="A16" s="268" t="s">
        <v>81</v>
      </c>
      <c r="B16" s="269">
        <v>7626166.3799999924</v>
      </c>
    </row>
    <row r="17" spans="1:2" x14ac:dyDescent="0.35">
      <c r="A17" s="268" t="s">
        <v>551</v>
      </c>
      <c r="B17" s="269">
        <v>3375465.7466666624</v>
      </c>
    </row>
    <row r="18" spans="1:2" x14ac:dyDescent="0.35">
      <c r="A18" s="268" t="s">
        <v>37</v>
      </c>
      <c r="B18" s="269">
        <v>2513297.3079999993</v>
      </c>
    </row>
    <row r="19" spans="1:2" x14ac:dyDescent="0.35">
      <c r="A19" s="268" t="s">
        <v>74</v>
      </c>
      <c r="B19" s="269">
        <v>1656388.8680000002</v>
      </c>
    </row>
    <row r="20" spans="1:2" x14ac:dyDescent="0.35">
      <c r="A20" s="268" t="s">
        <v>79</v>
      </c>
      <c r="B20" s="269">
        <v>1244564.774</v>
      </c>
    </row>
    <row r="21" spans="1:2" x14ac:dyDescent="0.35">
      <c r="A21" s="268" t="s">
        <v>43</v>
      </c>
      <c r="B21" s="269">
        <v>1074170.5899999999</v>
      </c>
    </row>
    <row r="22" spans="1:2" x14ac:dyDescent="0.35">
      <c r="A22" s="268" t="s">
        <v>135</v>
      </c>
      <c r="B22" s="269">
        <v>1028188.7119999995</v>
      </c>
    </row>
    <row r="23" spans="1:2" x14ac:dyDescent="0.35">
      <c r="A23" s="268" t="s">
        <v>39</v>
      </c>
      <c r="B23" s="269">
        <v>1022004.088</v>
      </c>
    </row>
    <row r="24" spans="1:2" x14ac:dyDescent="0.35">
      <c r="A24" s="268" t="s">
        <v>29</v>
      </c>
      <c r="B24" s="269">
        <v>986022.38399999996</v>
      </c>
    </row>
    <row r="25" spans="1:2" x14ac:dyDescent="0.35">
      <c r="A25" s="268" t="s">
        <v>377</v>
      </c>
      <c r="B25" s="269">
        <v>939169.49</v>
      </c>
    </row>
    <row r="26" spans="1:2" x14ac:dyDescent="0.35">
      <c r="A26" s="268" t="s">
        <v>63</v>
      </c>
      <c r="B26" s="269">
        <v>776832.53</v>
      </c>
    </row>
    <row r="27" spans="1:2" x14ac:dyDescent="0.35">
      <c r="A27" s="268" t="s">
        <v>565</v>
      </c>
      <c r="B27" s="269">
        <v>766350.5</v>
      </c>
    </row>
    <row r="28" spans="1:2" x14ac:dyDescent="0.35">
      <c r="A28" s="268" t="s">
        <v>27</v>
      </c>
      <c r="B28" s="269">
        <v>718407.39999999991</v>
      </c>
    </row>
    <row r="29" spans="1:2" x14ac:dyDescent="0.35">
      <c r="A29" s="268" t="s">
        <v>110</v>
      </c>
      <c r="B29" s="269">
        <v>653320.60600000003</v>
      </c>
    </row>
    <row r="30" spans="1:2" x14ac:dyDescent="0.35">
      <c r="A30" s="268" t="s">
        <v>35</v>
      </c>
      <c r="B30" s="269">
        <v>554860.65800000005</v>
      </c>
    </row>
    <row r="31" spans="1:2" x14ac:dyDescent="0.35">
      <c r="A31" s="268" t="s">
        <v>33</v>
      </c>
      <c r="B31" s="269">
        <v>506264.82800000004</v>
      </c>
    </row>
    <row r="32" spans="1:2" x14ac:dyDescent="0.35">
      <c r="A32" s="267" t="s">
        <v>983</v>
      </c>
      <c r="B32" s="267">
        <f>SUM(B16:B31)</f>
        <v>25441474.862666652</v>
      </c>
    </row>
    <row r="39" spans="1:2" x14ac:dyDescent="0.35">
      <c r="A39" s="279" t="s">
        <v>1024</v>
      </c>
    </row>
    <row r="40" spans="1:2" x14ac:dyDescent="0.35">
      <c r="A40" s="178" t="s">
        <v>1021</v>
      </c>
      <c r="B40" s="278" t="s">
        <v>1022</v>
      </c>
    </row>
    <row r="41" spans="1:2" x14ac:dyDescent="0.35">
      <c r="A41" s="264" t="s">
        <v>132</v>
      </c>
      <c r="B41" s="278">
        <v>8700463.8399999999</v>
      </c>
    </row>
    <row r="42" spans="1:2" x14ac:dyDescent="0.35">
      <c r="A42" s="264" t="s">
        <v>660</v>
      </c>
      <c r="B42" s="278">
        <v>306769.00000000012</v>
      </c>
    </row>
    <row r="43" spans="1:2" x14ac:dyDescent="0.35">
      <c r="A43" s="264" t="s">
        <v>682</v>
      </c>
      <c r="B43" s="278">
        <v>289097.5800000038</v>
      </c>
    </row>
    <row r="44" spans="1:2" x14ac:dyDescent="0.35">
      <c r="A44" s="264" t="s">
        <v>687</v>
      </c>
      <c r="B44" s="278">
        <v>150932.33000000002</v>
      </c>
    </row>
    <row r="45" spans="1:2" x14ac:dyDescent="0.35">
      <c r="A45" s="264" t="s">
        <v>702</v>
      </c>
      <c r="B45" s="278">
        <v>83257</v>
      </c>
    </row>
    <row r="46" spans="1:2" x14ac:dyDescent="0.35">
      <c r="A46" s="264" t="s">
        <v>698</v>
      </c>
      <c r="B46" s="278">
        <v>16929.39</v>
      </c>
    </row>
    <row r="47" spans="1:2" x14ac:dyDescent="0.35">
      <c r="A47" s="264" t="s">
        <v>666</v>
      </c>
      <c r="B47" s="278">
        <v>16106.75</v>
      </c>
    </row>
    <row r="48" spans="1:2" x14ac:dyDescent="0.35">
      <c r="A48" s="264" t="s">
        <v>658</v>
      </c>
      <c r="B48" s="278">
        <v>7335.9799999999705</v>
      </c>
    </row>
    <row r="49" spans="1:7" x14ac:dyDescent="0.35">
      <c r="A49" s="264" t="s">
        <v>700</v>
      </c>
      <c r="B49" s="278">
        <v>180</v>
      </c>
    </row>
    <row r="50" spans="1:7" x14ac:dyDescent="0.35">
      <c r="A50" s="264" t="s">
        <v>693</v>
      </c>
      <c r="B50" s="278">
        <v>0</v>
      </c>
    </row>
    <row r="51" spans="1:7" x14ac:dyDescent="0.35">
      <c r="A51" s="264" t="s">
        <v>719</v>
      </c>
      <c r="B51" s="278">
        <v>9571071.8700000029</v>
      </c>
    </row>
    <row r="53" spans="1:7" x14ac:dyDescent="0.35">
      <c r="G53" s="229">
        <f>B54+B55+B58</f>
        <v>8988807.7300000004</v>
      </c>
    </row>
    <row r="54" spans="1:7" x14ac:dyDescent="0.35">
      <c r="A54" s="394" t="s">
        <v>1178</v>
      </c>
      <c r="B54" s="393">
        <v>1388807.7299999997</v>
      </c>
      <c r="E54" t="s">
        <v>1188</v>
      </c>
      <c r="F54" t="s">
        <v>1190</v>
      </c>
    </row>
    <row r="55" spans="1:7" x14ac:dyDescent="0.35">
      <c r="A55" s="556" t="s">
        <v>1272</v>
      </c>
      <c r="B55" s="544">
        <v>1600000</v>
      </c>
      <c r="C55" s="395" t="s">
        <v>1180</v>
      </c>
      <c r="E55" t="s">
        <v>1188</v>
      </c>
      <c r="F55" t="s">
        <v>1190</v>
      </c>
    </row>
    <row r="56" spans="1:7" x14ac:dyDescent="0.35">
      <c r="C56" s="395" t="s">
        <v>1182</v>
      </c>
      <c r="D56" s="393">
        <v>4700000</v>
      </c>
    </row>
    <row r="57" spans="1:7" x14ac:dyDescent="0.35">
      <c r="B57" s="543">
        <v>4700000</v>
      </c>
      <c r="C57" s="395" t="s">
        <v>1181</v>
      </c>
      <c r="E57" t="s">
        <v>1189</v>
      </c>
      <c r="F57">
        <v>8471160</v>
      </c>
    </row>
    <row r="58" spans="1:7" x14ac:dyDescent="0.35">
      <c r="A58" s="556" t="s">
        <v>1272</v>
      </c>
      <c r="B58" s="543">
        <v>6000000</v>
      </c>
      <c r="C58" s="395" t="s">
        <v>1179</v>
      </c>
      <c r="E58" t="s">
        <v>1188</v>
      </c>
      <c r="F58" t="s">
        <v>1190</v>
      </c>
    </row>
    <row r="59" spans="1:7" x14ac:dyDescent="0.35">
      <c r="B59" s="229">
        <f>GETPIVOTDATA("Fund Available",$A$40)-B54-B55-B57-B58-B56</f>
        <v>-4117735.8599999966</v>
      </c>
    </row>
    <row r="60" spans="1:7" x14ac:dyDescent="0.35">
      <c r="B60" s="183">
        <v>1800000</v>
      </c>
      <c r="C60" t="s">
        <v>10</v>
      </c>
    </row>
    <row r="61" spans="1:7" x14ac:dyDescent="0.35">
      <c r="B61" s="183">
        <v>1000000</v>
      </c>
      <c r="C61" t="s">
        <v>11</v>
      </c>
    </row>
    <row r="62" spans="1:7" x14ac:dyDescent="0.35">
      <c r="B62" s="229">
        <f>B59+B60+B61</f>
        <v>-1317735.8599999966</v>
      </c>
      <c r="C62" s="395" t="s">
        <v>1109</v>
      </c>
    </row>
    <row r="68" spans="1:2" x14ac:dyDescent="0.35">
      <c r="A68" s="279" t="s">
        <v>1024</v>
      </c>
      <c r="B68" s="532" t="s">
        <v>1263</v>
      </c>
    </row>
    <row r="69" spans="1:2" x14ac:dyDescent="0.35">
      <c r="A69" s="522" t="s">
        <v>1254</v>
      </c>
      <c r="B69" s="527" t="s">
        <v>1262</v>
      </c>
    </row>
    <row r="70" spans="1:2" ht="29" x14ac:dyDescent="0.35">
      <c r="A70" s="528" t="s">
        <v>1264</v>
      </c>
      <c r="B70" s="524">
        <v>1388807</v>
      </c>
    </row>
    <row r="71" spans="1:2" ht="29" x14ac:dyDescent="0.35">
      <c r="A71" s="528" t="s">
        <v>1265</v>
      </c>
      <c r="B71" s="524">
        <v>1600000</v>
      </c>
    </row>
    <row r="72" spans="1:2" ht="29" x14ac:dyDescent="0.35">
      <c r="A72" s="528" t="s">
        <v>1266</v>
      </c>
      <c r="B72" s="524">
        <v>6000000</v>
      </c>
    </row>
    <row r="73" spans="1:2" ht="29" x14ac:dyDescent="0.35">
      <c r="A73" s="529" t="s">
        <v>1267</v>
      </c>
      <c r="B73" s="525">
        <v>2800000</v>
      </c>
    </row>
    <row r="74" spans="1:2" x14ac:dyDescent="0.35">
      <c r="A74" s="523" t="s">
        <v>983</v>
      </c>
      <c r="B74" s="531">
        <f>SUM(B70:B73)</f>
        <v>11788807</v>
      </c>
    </row>
  </sheetData>
  <mergeCells count="2">
    <mergeCell ref="B11:E11"/>
    <mergeCell ref="B1:E1"/>
  </mergeCell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B1:K76"/>
  <sheetViews>
    <sheetView tabSelected="1" zoomScale="80" zoomScaleNormal="80" workbookViewId="0">
      <selection activeCell="F11" sqref="F11"/>
    </sheetView>
  </sheetViews>
  <sheetFormatPr defaultRowHeight="14.5" x14ac:dyDescent="0.35"/>
  <cols>
    <col min="2" max="2" width="58" customWidth="1"/>
    <col min="3" max="4" width="14.81640625" bestFit="1" customWidth="1"/>
    <col min="5" max="5" width="15.26953125" customWidth="1"/>
    <col min="6" max="6" width="23.7265625" customWidth="1"/>
    <col min="7" max="7" width="22.7265625" customWidth="1"/>
    <col min="8" max="8" width="14.7265625" style="183" customWidth="1"/>
    <col min="9" max="9" width="11.08984375" bestFit="1" customWidth="1"/>
    <col min="11" max="11" width="11.08984375" bestFit="1" customWidth="1"/>
  </cols>
  <sheetData>
    <row r="1" spans="2:11" x14ac:dyDescent="0.35">
      <c r="B1" s="395" t="s">
        <v>1238</v>
      </c>
    </row>
    <row r="2" spans="2:11" ht="29" x14ac:dyDescent="0.35">
      <c r="B2" s="502" t="s">
        <v>1235</v>
      </c>
      <c r="C2" s="499" t="s">
        <v>1240</v>
      </c>
      <c r="D2" s="499" t="s">
        <v>1241</v>
      </c>
      <c r="E2" s="499" t="s">
        <v>1243</v>
      </c>
      <c r="F2" s="521" t="s">
        <v>1251</v>
      </c>
      <c r="G2" s="521" t="s">
        <v>1252</v>
      </c>
    </row>
    <row r="3" spans="2:11" s="512" customFormat="1" x14ac:dyDescent="0.35">
      <c r="B3" s="496" t="s">
        <v>1250</v>
      </c>
      <c r="C3" s="513">
        <v>615049864</v>
      </c>
      <c r="D3" s="513">
        <v>615049864</v>
      </c>
      <c r="E3" s="515">
        <f>D3/C3</f>
        <v>1</v>
      </c>
      <c r="F3" s="514">
        <v>0</v>
      </c>
      <c r="G3" s="514">
        <v>0</v>
      </c>
      <c r="H3" s="548"/>
    </row>
    <row r="4" spans="2:11" x14ac:dyDescent="0.35">
      <c r="B4" s="496" t="s">
        <v>1236</v>
      </c>
      <c r="C4" s="500">
        <f>C21</f>
        <v>579850000</v>
      </c>
      <c r="D4" s="500">
        <f>D21</f>
        <v>549338348.94373345</v>
      </c>
      <c r="E4" s="515">
        <f t="shared" ref="E4:E5" si="0">D4/C4</f>
        <v>0.94738009647966448</v>
      </c>
      <c r="F4" s="500">
        <f>F21</f>
        <v>29224243.171466656</v>
      </c>
      <c r="G4" s="500">
        <f>G21</f>
        <v>26381942.930000003</v>
      </c>
    </row>
    <row r="5" spans="2:11" x14ac:dyDescent="0.35">
      <c r="B5" s="496" t="s">
        <v>1237</v>
      </c>
      <c r="C5" s="500">
        <f>C63</f>
        <v>110301000</v>
      </c>
      <c r="D5" s="500">
        <f>D63</f>
        <v>96073398.569999993</v>
      </c>
      <c r="E5" s="515">
        <f t="shared" si="0"/>
        <v>0.8710111292735333</v>
      </c>
      <c r="F5" s="500">
        <f>F63</f>
        <v>13008204.580000002</v>
      </c>
      <c r="G5" s="500">
        <f>G63</f>
        <v>11788807.73</v>
      </c>
    </row>
    <row r="6" spans="2:11" ht="15" thickBot="1" x14ac:dyDescent="0.4">
      <c r="B6" s="497" t="s">
        <v>719</v>
      </c>
      <c r="C6" s="498">
        <f>SUM(C3:C5)</f>
        <v>1305200864</v>
      </c>
      <c r="D6" s="498">
        <f t="shared" ref="D6:G6" si="1">SUM(D3:D5)</f>
        <v>1260461611.5137334</v>
      </c>
      <c r="E6" s="517">
        <f>D6/C6</f>
        <v>0.96572232388112589</v>
      </c>
      <c r="F6" s="498">
        <f t="shared" si="1"/>
        <v>42232447.751466662</v>
      </c>
      <c r="G6" s="498">
        <f t="shared" si="1"/>
        <v>38170750.660000004</v>
      </c>
    </row>
    <row r="7" spans="2:11" ht="15" thickTop="1" x14ac:dyDescent="0.35">
      <c r="B7" s="395"/>
      <c r="C7" s="395"/>
      <c r="D7" s="395"/>
      <c r="E7" s="395"/>
      <c r="F7" s="395"/>
      <c r="G7" s="395"/>
    </row>
    <row r="8" spans="2:11" x14ac:dyDescent="0.35">
      <c r="B8" s="395" t="s">
        <v>1023</v>
      </c>
    </row>
    <row r="9" spans="2:11" ht="29" x14ac:dyDescent="0.35">
      <c r="B9" s="502" t="s">
        <v>1187</v>
      </c>
      <c r="C9" s="499" t="s">
        <v>1239</v>
      </c>
      <c r="D9" s="499" t="s">
        <v>1241</v>
      </c>
      <c r="E9" s="518" t="s">
        <v>1243</v>
      </c>
      <c r="F9" s="521" t="s">
        <v>1251</v>
      </c>
      <c r="G9" s="521" t="s">
        <v>1252</v>
      </c>
    </row>
    <row r="10" spans="2:11" x14ac:dyDescent="0.35">
      <c r="B10" s="560" t="s">
        <v>1200</v>
      </c>
      <c r="C10" s="501">
        <v>119825091</v>
      </c>
      <c r="D10" s="501">
        <v>126890573.99816686</v>
      </c>
      <c r="E10" s="516">
        <f t="shared" ref="E10:E20" si="2">D10/C10</f>
        <v>1.0589649708521136</v>
      </c>
      <c r="F10" s="501">
        <v>2949190.4192499919</v>
      </c>
      <c r="G10" s="501">
        <v>15489500</v>
      </c>
      <c r="I10" s="217">
        <f>D10-C10</f>
        <v>7065482.9981668591</v>
      </c>
      <c r="K10" s="217">
        <f>D10-G10</f>
        <v>111401073.99816686</v>
      </c>
    </row>
    <row r="11" spans="2:11" x14ac:dyDescent="0.35">
      <c r="B11" s="496" t="s">
        <v>1194</v>
      </c>
      <c r="C11" s="501">
        <v>249482230</v>
      </c>
      <c r="D11" s="501">
        <v>246662223.26616657</v>
      </c>
      <c r="E11" s="516">
        <f t="shared" si="2"/>
        <v>0.9886965627418296</v>
      </c>
      <c r="F11" s="501">
        <v>4222125.3199166656</v>
      </c>
      <c r="G11" s="501">
        <v>6094123.1699999999</v>
      </c>
      <c r="I11" s="217">
        <f>D11-C11+G11</f>
        <v>3274116.4361665677</v>
      </c>
    </row>
    <row r="12" spans="2:11" x14ac:dyDescent="0.35">
      <c r="B12" s="496" t="s">
        <v>1197</v>
      </c>
      <c r="C12" s="501">
        <v>97518251</v>
      </c>
      <c r="D12" s="501">
        <v>101575564.52600004</v>
      </c>
      <c r="E12" s="516">
        <f t="shared" si="2"/>
        <v>1.0416056839042369</v>
      </c>
      <c r="F12" s="501">
        <v>1857867.0040000007</v>
      </c>
      <c r="G12" s="501">
        <v>3975438.45</v>
      </c>
    </row>
    <row r="13" spans="2:11" x14ac:dyDescent="0.35">
      <c r="B13" s="496" t="s">
        <v>1201</v>
      </c>
      <c r="C13" s="501">
        <v>62632442</v>
      </c>
      <c r="D13" s="501">
        <v>62898496.01000002</v>
      </c>
      <c r="E13" s="516">
        <f t="shared" si="2"/>
        <v>1.0042478626332343</v>
      </c>
      <c r="F13" s="501">
        <v>1051867.2600000002</v>
      </c>
      <c r="G13" s="501">
        <v>620674.03000000119</v>
      </c>
    </row>
    <row r="14" spans="2:11" x14ac:dyDescent="0.35">
      <c r="B14" s="496" t="s">
        <v>1198</v>
      </c>
      <c r="C14" s="501">
        <v>1116685</v>
      </c>
      <c r="D14" s="501">
        <v>1147368.182</v>
      </c>
      <c r="E14" s="516">
        <f t="shared" si="2"/>
        <v>1.0274770253025698</v>
      </c>
      <c r="F14" s="501">
        <v>7140.9180000001033</v>
      </c>
      <c r="G14" s="501">
        <v>189410</v>
      </c>
    </row>
    <row r="15" spans="2:11" x14ac:dyDescent="0.35">
      <c r="B15" s="496" t="s">
        <v>1196</v>
      </c>
      <c r="C15" s="501">
        <v>10501988</v>
      </c>
      <c r="D15" s="501">
        <v>229533.2304000002</v>
      </c>
      <c r="E15" s="516">
        <f t="shared" si="2"/>
        <v>2.1856169555706996E-2</v>
      </c>
      <c r="F15" s="501">
        <v>4542064.0598000009</v>
      </c>
      <c r="G15" s="501">
        <v>12797.279999999999</v>
      </c>
    </row>
    <row r="16" spans="2:11" x14ac:dyDescent="0.35">
      <c r="B16" s="496" t="s">
        <v>1195</v>
      </c>
      <c r="C16" s="501">
        <v>11046047</v>
      </c>
      <c r="D16" s="501">
        <v>5653827.924999998</v>
      </c>
      <c r="E16" s="516">
        <f t="shared" si="2"/>
        <v>0.51184174076029176</v>
      </c>
      <c r="F16" s="501">
        <v>2330659.6765000001</v>
      </c>
      <c r="G16" s="501"/>
    </row>
    <row r="17" spans="2:9" x14ac:dyDescent="0.35">
      <c r="B17" s="496" t="s">
        <v>1199</v>
      </c>
      <c r="C17" s="501">
        <v>472945</v>
      </c>
      <c r="D17" s="501">
        <v>76437.999999999985</v>
      </c>
      <c r="E17" s="516">
        <f t="shared" si="2"/>
        <v>0.16162133017581323</v>
      </c>
      <c r="F17" s="501">
        <v>233654.39999999999</v>
      </c>
      <c r="G17" s="501"/>
    </row>
    <row r="18" spans="2:9" x14ac:dyDescent="0.35">
      <c r="B18" s="496" t="s">
        <v>1192</v>
      </c>
      <c r="C18" s="501">
        <v>14987579</v>
      </c>
      <c r="D18" s="501">
        <v>14439970.940000001</v>
      </c>
      <c r="E18" s="516">
        <f t="shared" si="2"/>
        <v>0.96346254054774294</v>
      </c>
      <c r="F18" s="501">
        <v>392799.70999999996</v>
      </c>
      <c r="G18" s="501"/>
    </row>
    <row r="19" spans="2:9" x14ac:dyDescent="0.35">
      <c r="B19" s="496" t="s">
        <v>1191</v>
      </c>
      <c r="C19" s="501">
        <v>10579004</v>
      </c>
      <c r="D19" s="501">
        <v>-9453157.7740000002</v>
      </c>
      <c r="E19" s="516">
        <f t="shared" si="2"/>
        <v>-0.89357729461109947</v>
      </c>
      <c r="F19" s="501">
        <v>10545182.743999999</v>
      </c>
      <c r="G19" s="501"/>
    </row>
    <row r="20" spans="2:9" x14ac:dyDescent="0.35">
      <c r="B20" s="496" t="s">
        <v>1193</v>
      </c>
      <c r="C20" s="501">
        <v>1687738</v>
      </c>
      <c r="D20" s="501">
        <v>-782489.36</v>
      </c>
      <c r="E20" s="516">
        <f t="shared" si="2"/>
        <v>-0.46363200923366066</v>
      </c>
      <c r="F20" s="501">
        <v>1091691.6600000004</v>
      </c>
      <c r="G20" s="501"/>
    </row>
    <row r="21" spans="2:9" x14ac:dyDescent="0.35">
      <c r="B21" s="502" t="s">
        <v>719</v>
      </c>
      <c r="C21" s="503">
        <f>SUM(C10:C20)</f>
        <v>579850000</v>
      </c>
      <c r="D21" s="503">
        <f t="shared" ref="D21:G21" si="3">SUM(D10:D20)</f>
        <v>549338348.94373345</v>
      </c>
      <c r="E21" s="519">
        <f t="shared" ref="E21" si="4">D21/C21</f>
        <v>0.94738009647966448</v>
      </c>
      <c r="F21" s="503">
        <f t="shared" si="3"/>
        <v>29224243.171466656</v>
      </c>
      <c r="G21" s="503">
        <f t="shared" si="3"/>
        <v>26381942.930000003</v>
      </c>
      <c r="I21" s="278">
        <f>C21-D21</f>
        <v>30511651.056266546</v>
      </c>
    </row>
    <row r="22" spans="2:9" x14ac:dyDescent="0.35">
      <c r="B22" s="395"/>
      <c r="C22" s="395"/>
      <c r="D22" s="395"/>
      <c r="E22" s="520"/>
      <c r="F22" s="395"/>
      <c r="G22" s="395"/>
    </row>
    <row r="23" spans="2:9" x14ac:dyDescent="0.35">
      <c r="B23" s="395" t="s">
        <v>1023</v>
      </c>
      <c r="C23" s="395"/>
      <c r="D23" s="395"/>
      <c r="E23" s="520"/>
      <c r="F23" s="395"/>
      <c r="G23" s="395"/>
    </row>
    <row r="24" spans="2:9" ht="29" x14ac:dyDescent="0.35">
      <c r="B24" s="502" t="s">
        <v>1246</v>
      </c>
      <c r="C24" s="499" t="s">
        <v>1239</v>
      </c>
      <c r="D24" s="499" t="s">
        <v>1241</v>
      </c>
      <c r="E24" s="518" t="s">
        <v>1243</v>
      </c>
      <c r="F24" s="521" t="s">
        <v>1251</v>
      </c>
      <c r="G24" s="521" t="s">
        <v>1252</v>
      </c>
    </row>
    <row r="25" spans="2:9" x14ac:dyDescent="0.35">
      <c r="B25" s="500" t="s">
        <v>469</v>
      </c>
      <c r="C25" s="500">
        <v>12955785</v>
      </c>
      <c r="D25" s="500">
        <v>21436782.030000001</v>
      </c>
      <c r="E25" s="516">
        <f t="shared" ref="E25:E29" si="5">D25/C25</f>
        <v>1.6546108190279478</v>
      </c>
      <c r="F25" s="545">
        <v>588000</v>
      </c>
      <c r="G25" s="500">
        <v>10489500</v>
      </c>
      <c r="H25" s="555" t="s">
        <v>1271</v>
      </c>
    </row>
    <row r="26" spans="2:9" x14ac:dyDescent="0.35">
      <c r="B26" s="500" t="s">
        <v>589</v>
      </c>
      <c r="C26" s="500">
        <v>9641961</v>
      </c>
      <c r="D26" s="500">
        <v>15379766.01</v>
      </c>
      <c r="E26" s="516">
        <f t="shared" si="5"/>
        <v>1.5950869340790736</v>
      </c>
      <c r="F26" s="545">
        <v>0</v>
      </c>
      <c r="G26" s="500">
        <v>5300000</v>
      </c>
      <c r="H26" s="555" t="s">
        <v>1271</v>
      </c>
    </row>
    <row r="27" spans="2:9" x14ac:dyDescent="0.35">
      <c r="B27" s="500" t="s">
        <v>23</v>
      </c>
      <c r="C27" s="500">
        <v>23368056</v>
      </c>
      <c r="D27" s="500">
        <v>28341752.509999998</v>
      </c>
      <c r="E27" s="516">
        <f t="shared" si="5"/>
        <v>1.212841689098999</v>
      </c>
      <c r="F27" s="545">
        <v>1064099.58</v>
      </c>
      <c r="G27" s="500">
        <v>5000000</v>
      </c>
      <c r="H27" s="555" t="s">
        <v>1271</v>
      </c>
    </row>
    <row r="28" spans="2:9" x14ac:dyDescent="0.35">
      <c r="B28" s="500" t="s">
        <v>591</v>
      </c>
      <c r="C28" s="500">
        <v>586812</v>
      </c>
      <c r="D28" s="500">
        <v>4301793.5999999996</v>
      </c>
      <c r="E28" s="516">
        <f t="shared" si="5"/>
        <v>7.3307866914787017</v>
      </c>
      <c r="F28" s="545">
        <v>0</v>
      </c>
      <c r="G28" s="500">
        <v>3900000</v>
      </c>
      <c r="H28" s="555" t="s">
        <v>1271</v>
      </c>
    </row>
    <row r="29" spans="2:9" x14ac:dyDescent="0.35">
      <c r="B29" s="500" t="s">
        <v>108</v>
      </c>
      <c r="C29" s="500">
        <v>143993862</v>
      </c>
      <c r="D29" s="500">
        <v>148554372.71000001</v>
      </c>
      <c r="E29" s="516">
        <f t="shared" si="5"/>
        <v>1.031671563264273</v>
      </c>
      <c r="F29" s="545">
        <v>0</v>
      </c>
      <c r="G29" s="500">
        <v>1320674.0300000012</v>
      </c>
    </row>
    <row r="30" spans="2:9" x14ac:dyDescent="0.35">
      <c r="B30" s="500" t="s">
        <v>81</v>
      </c>
      <c r="C30" s="500">
        <v>94458414</v>
      </c>
      <c r="D30" s="500">
        <v>84012206.498166859</v>
      </c>
      <c r="E30" s="516">
        <f t="shared" ref="E30:E50" si="6">D30/C30</f>
        <v>0.88940945481221889</v>
      </c>
      <c r="F30" s="545">
        <v>5351489.8592499923</v>
      </c>
      <c r="G30" s="500"/>
      <c r="H30" s="549"/>
    </row>
    <row r="31" spans="2:9" x14ac:dyDescent="0.35">
      <c r="B31" s="500" t="s">
        <v>551</v>
      </c>
      <c r="C31" s="500">
        <v>80825600</v>
      </c>
      <c r="D31" s="500">
        <v>73990302.626666665</v>
      </c>
      <c r="E31" s="516">
        <f t="shared" si="6"/>
        <v>0.9154315294494153</v>
      </c>
      <c r="F31" s="545">
        <v>3296148.6866666637</v>
      </c>
      <c r="G31" s="500"/>
    </row>
    <row r="32" spans="2:9" x14ac:dyDescent="0.35">
      <c r="B32" s="500" t="s">
        <v>37</v>
      </c>
      <c r="C32" s="500">
        <v>16510753</v>
      </c>
      <c r="D32" s="500">
        <v>10985036.703</v>
      </c>
      <c r="E32" s="516">
        <f t="shared" si="6"/>
        <v>0.66532620910748286</v>
      </c>
      <c r="F32" s="545">
        <v>2793756.9994999999</v>
      </c>
      <c r="G32" s="500"/>
    </row>
    <row r="33" spans="2:7" x14ac:dyDescent="0.35">
      <c r="B33" s="500" t="s">
        <v>74</v>
      </c>
      <c r="C33" s="500">
        <v>4050052</v>
      </c>
      <c r="D33" s="500">
        <v>1386946.5039999997</v>
      </c>
      <c r="E33" s="516">
        <f t="shared" si="6"/>
        <v>0.3424515300050468</v>
      </c>
      <c r="F33" s="545">
        <v>1396867.6359999997</v>
      </c>
      <c r="G33" s="500"/>
    </row>
    <row r="34" spans="2:7" x14ac:dyDescent="0.35">
      <c r="B34" s="500" t="s">
        <v>79</v>
      </c>
      <c r="C34" s="500">
        <v>2975841</v>
      </c>
      <c r="D34" s="500">
        <v>193233.3204</v>
      </c>
      <c r="E34" s="516">
        <f t="shared" si="6"/>
        <v>6.4934020466819301E-2</v>
      </c>
      <c r="F34" s="545">
        <v>1259800.4247999999</v>
      </c>
      <c r="G34" s="500">
        <v>6923.7599999999984</v>
      </c>
    </row>
    <row r="35" spans="2:7" x14ac:dyDescent="0.35">
      <c r="B35" s="500" t="s">
        <v>135</v>
      </c>
      <c r="C35" s="500">
        <v>10024917</v>
      </c>
      <c r="D35" s="500">
        <v>7524212.1440000013</v>
      </c>
      <c r="E35" s="516">
        <f t="shared" si="6"/>
        <v>0.75055106630808033</v>
      </c>
      <c r="F35" s="545">
        <v>1101387.0109999995</v>
      </c>
      <c r="G35" s="500"/>
    </row>
    <row r="36" spans="2:7" x14ac:dyDescent="0.35">
      <c r="B36" s="500" t="s">
        <v>29</v>
      </c>
      <c r="C36" s="500">
        <v>2309023</v>
      </c>
      <c r="D36" s="500">
        <v>-206494.97199999998</v>
      </c>
      <c r="E36" s="516">
        <f t="shared" si="6"/>
        <v>-8.9429586452798429E-2</v>
      </c>
      <c r="F36" s="545">
        <v>1094958.652</v>
      </c>
      <c r="G36" s="500"/>
    </row>
    <row r="37" spans="2:7" x14ac:dyDescent="0.35">
      <c r="B37" s="500" t="s">
        <v>43</v>
      </c>
      <c r="C37" s="500">
        <v>1683996</v>
      </c>
      <c r="D37" s="500">
        <v>-568031.91999999993</v>
      </c>
      <c r="E37" s="516">
        <f t="shared" si="6"/>
        <v>-0.33731191760550494</v>
      </c>
      <c r="F37" s="545">
        <v>1091283.57</v>
      </c>
      <c r="G37" s="500"/>
    </row>
    <row r="38" spans="2:7" x14ac:dyDescent="0.35">
      <c r="B38" s="500" t="s">
        <v>377</v>
      </c>
      <c r="C38" s="500">
        <v>984151</v>
      </c>
      <c r="D38" s="500">
        <v>-380972.67999999993</v>
      </c>
      <c r="E38" s="516">
        <f t="shared" si="6"/>
        <v>-0.3871079539623492</v>
      </c>
      <c r="F38" s="545">
        <v>939169.49</v>
      </c>
      <c r="G38" s="500"/>
    </row>
    <row r="39" spans="2:7" x14ac:dyDescent="0.35">
      <c r="B39" s="500" t="s">
        <v>39</v>
      </c>
      <c r="C39" s="500">
        <v>1971328</v>
      </c>
      <c r="D39" s="500">
        <v>177638.42600000009</v>
      </c>
      <c r="E39" s="516">
        <f t="shared" si="6"/>
        <v>9.0111044940263674E-2</v>
      </c>
      <c r="F39" s="545">
        <v>888285.16399999999</v>
      </c>
      <c r="G39" s="500">
        <v>5080</v>
      </c>
    </row>
    <row r="40" spans="2:7" x14ac:dyDescent="0.35">
      <c r="B40" s="500" t="s">
        <v>63</v>
      </c>
      <c r="C40" s="500">
        <v>851328</v>
      </c>
      <c r="D40" s="500">
        <v>-733179.16</v>
      </c>
      <c r="E40" s="516">
        <f t="shared" si="6"/>
        <v>-0.86121819087355289</v>
      </c>
      <c r="F40" s="545">
        <v>776832.53</v>
      </c>
      <c r="G40" s="500"/>
    </row>
    <row r="41" spans="2:7" x14ac:dyDescent="0.35">
      <c r="B41" s="500" t="s">
        <v>565</v>
      </c>
      <c r="C41" s="500">
        <v>887069</v>
      </c>
      <c r="D41" s="500">
        <v>-635237.91</v>
      </c>
      <c r="E41" s="516">
        <f t="shared" si="6"/>
        <v>-0.71610879198799648</v>
      </c>
      <c r="F41" s="545">
        <v>766350.5</v>
      </c>
      <c r="G41" s="500"/>
    </row>
    <row r="42" spans="2:7" x14ac:dyDescent="0.35">
      <c r="B42" s="505" t="s">
        <v>27</v>
      </c>
      <c r="C42" s="500">
        <v>2475872</v>
      </c>
      <c r="D42" s="500">
        <v>679738.08</v>
      </c>
      <c r="E42" s="516">
        <f t="shared" si="6"/>
        <v>0.27454491993124036</v>
      </c>
      <c r="F42" s="545">
        <v>754143.22</v>
      </c>
      <c r="G42" s="500"/>
    </row>
    <row r="43" spans="2:7" x14ac:dyDescent="0.35">
      <c r="B43" s="500" t="s">
        <v>110</v>
      </c>
      <c r="C43" s="500">
        <v>2399560</v>
      </c>
      <c r="D43" s="500">
        <v>640624.36049999984</v>
      </c>
      <c r="E43" s="516">
        <f t="shared" si="6"/>
        <v>0.26697576243144572</v>
      </c>
      <c r="F43" s="538">
        <v>729420.49375000002</v>
      </c>
      <c r="G43" s="500"/>
    </row>
    <row r="44" spans="2:7" x14ac:dyDescent="0.35">
      <c r="B44" s="500" t="s">
        <v>31</v>
      </c>
      <c r="C44" s="500">
        <v>9642106</v>
      </c>
      <c r="D44" s="500">
        <v>7931620.5740000019</v>
      </c>
      <c r="E44" s="516">
        <f t="shared" si="6"/>
        <v>0.82260250758496145</v>
      </c>
      <c r="F44" s="538">
        <v>593823.826</v>
      </c>
      <c r="G44" s="500">
        <v>10878.689999999999</v>
      </c>
    </row>
    <row r="45" spans="2:7" x14ac:dyDescent="0.35">
      <c r="B45" s="500" t="s">
        <v>89</v>
      </c>
      <c r="C45" s="500">
        <v>694710</v>
      </c>
      <c r="D45" s="500">
        <v>-555768</v>
      </c>
      <c r="E45" s="516">
        <f t="shared" si="6"/>
        <v>-0.8</v>
      </c>
      <c r="F45" s="538">
        <v>555768</v>
      </c>
      <c r="G45" s="500"/>
    </row>
    <row r="46" spans="2:7" x14ac:dyDescent="0.35">
      <c r="B46" s="500" t="s">
        <v>21</v>
      </c>
      <c r="C46" s="500">
        <v>1929837</v>
      </c>
      <c r="D46" s="500">
        <v>212836.39200000011</v>
      </c>
      <c r="E46" s="516">
        <f t="shared" si="6"/>
        <v>0.1102872377304405</v>
      </c>
      <c r="F46" s="538">
        <v>538928.04800000007</v>
      </c>
      <c r="G46" s="500"/>
    </row>
    <row r="47" spans="2:7" x14ac:dyDescent="0.35">
      <c r="B47" s="500" t="s">
        <v>33</v>
      </c>
      <c r="C47" s="500">
        <v>1849204</v>
      </c>
      <c r="D47" s="500">
        <v>582277.42599999998</v>
      </c>
      <c r="E47" s="516">
        <f t="shared" si="6"/>
        <v>0.31488003811369647</v>
      </c>
      <c r="F47" s="538">
        <v>511651.42600000004</v>
      </c>
      <c r="G47" s="500">
        <v>15800</v>
      </c>
    </row>
    <row r="48" spans="2:7" x14ac:dyDescent="0.35">
      <c r="B48" s="505" t="s">
        <v>35</v>
      </c>
      <c r="C48" s="500">
        <v>1329212</v>
      </c>
      <c r="D48" s="500">
        <v>203306.72100000002</v>
      </c>
      <c r="E48" s="516">
        <f t="shared" si="6"/>
        <v>0.15295281791016033</v>
      </c>
      <c r="F48" s="538">
        <v>500374.61399999994</v>
      </c>
      <c r="G48" s="500"/>
    </row>
    <row r="49" spans="2:7" x14ac:dyDescent="0.35">
      <c r="B49" s="536" t="s">
        <v>1247</v>
      </c>
      <c r="C49" s="537">
        <v>151450551</v>
      </c>
      <c r="D49" s="537">
        <v>145883586.95000002</v>
      </c>
      <c r="E49" s="516">
        <f t="shared" si="6"/>
        <v>0.96324236515983375</v>
      </c>
      <c r="F49" s="539">
        <v>2631703.4405000005</v>
      </c>
      <c r="G49" s="537">
        <v>333086.45000000036</v>
      </c>
    </row>
    <row r="50" spans="2:7" x14ac:dyDescent="0.35">
      <c r="B50" s="502" t="s">
        <v>719</v>
      </c>
      <c r="C50" s="503">
        <f>SUM(C25:C49)</f>
        <v>579850000</v>
      </c>
      <c r="D50" s="503">
        <f t="shared" ref="D50:G50" si="7">SUM(D25:D49)</f>
        <v>549338348.94373345</v>
      </c>
      <c r="E50" s="533">
        <f t="shared" si="6"/>
        <v>0.94738009647966448</v>
      </c>
      <c r="F50" s="503">
        <f>SUM(F25:F49)</f>
        <v>29224243.171466649</v>
      </c>
      <c r="G50" s="503">
        <f t="shared" si="7"/>
        <v>26381942.930000003</v>
      </c>
    </row>
    <row r="51" spans="2:7" x14ac:dyDescent="0.35">
      <c r="B51" s="395"/>
      <c r="C51" s="395"/>
      <c r="D51" s="395"/>
      <c r="E51" s="520"/>
      <c r="F51" s="395"/>
      <c r="G51" s="395"/>
    </row>
    <row r="52" spans="2:7" x14ac:dyDescent="0.35">
      <c r="B52" s="395"/>
      <c r="C52" s="395"/>
      <c r="D52" s="395"/>
      <c r="E52" s="520"/>
      <c r="F52" s="395"/>
      <c r="G52" s="395"/>
    </row>
    <row r="53" spans="2:7" x14ac:dyDescent="0.35">
      <c r="B53" s="395" t="s">
        <v>1024</v>
      </c>
      <c r="C53" s="395"/>
      <c r="D53" s="395"/>
      <c r="E53" s="520"/>
      <c r="F53" s="395"/>
      <c r="G53" s="395"/>
    </row>
    <row r="54" spans="2:7" ht="29" x14ac:dyDescent="0.35">
      <c r="B54" s="502" t="s">
        <v>1187</v>
      </c>
      <c r="C54" s="499" t="s">
        <v>1239</v>
      </c>
      <c r="D54" s="499" t="s">
        <v>1242</v>
      </c>
      <c r="E54" s="518"/>
      <c r="F54" s="521" t="s">
        <v>1251</v>
      </c>
      <c r="G54" s="521" t="s">
        <v>1252</v>
      </c>
    </row>
    <row r="55" spans="2:7" x14ac:dyDescent="0.35">
      <c r="B55" s="490" t="s">
        <v>1194</v>
      </c>
      <c r="C55" s="491">
        <v>1387588</v>
      </c>
      <c r="D55" s="491">
        <v>1278932</v>
      </c>
      <c r="E55" s="516">
        <f t="shared" ref="E55:E63" si="8">D55/C55</f>
        <v>0.92169433578266746</v>
      </c>
      <c r="F55" s="491">
        <v>54328</v>
      </c>
      <c r="G55" s="491"/>
    </row>
    <row r="56" spans="2:7" x14ac:dyDescent="0.35">
      <c r="B56" s="490" t="s">
        <v>1196</v>
      </c>
      <c r="C56" s="491">
        <v>4463212</v>
      </c>
      <c r="D56" s="491">
        <v>3761196.66</v>
      </c>
      <c r="E56" s="516">
        <f t="shared" si="8"/>
        <v>0.84271073388402795</v>
      </c>
      <c r="F56" s="491">
        <v>351007.67</v>
      </c>
      <c r="G56" s="491"/>
    </row>
    <row r="57" spans="2:7" x14ac:dyDescent="0.35">
      <c r="B57" s="490" t="s">
        <v>1195</v>
      </c>
      <c r="C57" s="491">
        <v>6549846</v>
      </c>
      <c r="D57" s="491">
        <v>5925066.1800000006</v>
      </c>
      <c r="E57" s="516">
        <f t="shared" si="8"/>
        <v>0.90461152521753951</v>
      </c>
      <c r="F57" s="491">
        <v>312389.90999999992</v>
      </c>
      <c r="G57" s="491"/>
    </row>
    <row r="58" spans="2:7" x14ac:dyDescent="0.35">
      <c r="B58" s="490" t="s">
        <v>1201</v>
      </c>
      <c r="C58" s="491">
        <v>18048337</v>
      </c>
      <c r="D58" s="491">
        <v>17722615.499999996</v>
      </c>
      <c r="E58" s="516">
        <f t="shared" si="8"/>
        <v>0.98195282479488255</v>
      </c>
      <c r="F58" s="491">
        <v>162860.75000000076</v>
      </c>
      <c r="G58" s="491"/>
    </row>
    <row r="59" spans="2:7" x14ac:dyDescent="0.35">
      <c r="B59" s="490" t="s">
        <v>1192</v>
      </c>
      <c r="C59" s="491">
        <v>27589</v>
      </c>
      <c r="D59" s="491">
        <v>-27589</v>
      </c>
      <c r="E59" s="516">
        <f t="shared" si="8"/>
        <v>-1</v>
      </c>
      <c r="F59" s="491">
        <v>27589</v>
      </c>
      <c r="G59" s="491"/>
    </row>
    <row r="60" spans="2:7" x14ac:dyDescent="0.35">
      <c r="B60" s="490" t="s">
        <v>1191</v>
      </c>
      <c r="C60" s="491">
        <v>1276302</v>
      </c>
      <c r="D60" s="491">
        <v>1253004.5600000005</v>
      </c>
      <c r="E60" s="516">
        <f t="shared" si="8"/>
        <v>0.98174613845312519</v>
      </c>
      <c r="F60" s="491">
        <v>11648.719999999834</v>
      </c>
      <c r="G60" s="491"/>
    </row>
    <row r="61" spans="2:7" x14ac:dyDescent="0.35">
      <c r="B61" s="490" t="s">
        <v>1200</v>
      </c>
      <c r="C61" s="491">
        <v>19855223</v>
      </c>
      <c r="D61" s="491">
        <v>6126402.379999999</v>
      </c>
      <c r="E61" s="516">
        <f t="shared" si="8"/>
        <v>0.30855369289984802</v>
      </c>
      <c r="F61" s="491">
        <v>8264410.3099999996</v>
      </c>
      <c r="G61" s="491">
        <v>2800000</v>
      </c>
    </row>
    <row r="62" spans="2:7" x14ac:dyDescent="0.35">
      <c r="B62" s="507" t="s">
        <v>1197</v>
      </c>
      <c r="C62" s="506">
        <v>58692903</v>
      </c>
      <c r="D62" s="506">
        <v>60033770.289999992</v>
      </c>
      <c r="E62" s="516">
        <f t="shared" si="8"/>
        <v>1.022845475712796</v>
      </c>
      <c r="F62" s="506">
        <v>3823970.2200000035</v>
      </c>
      <c r="G62" s="506">
        <v>8988807.7300000004</v>
      </c>
    </row>
    <row r="63" spans="2:7" x14ac:dyDescent="0.35">
      <c r="B63" s="502" t="s">
        <v>719</v>
      </c>
      <c r="C63" s="503">
        <f>SUM(C55:C62)</f>
        <v>110301000</v>
      </c>
      <c r="D63" s="503">
        <f t="shared" ref="D63:G63" si="9">SUM(D55:D62)</f>
        <v>96073398.569999993</v>
      </c>
      <c r="E63" s="519">
        <f t="shared" si="8"/>
        <v>0.8710111292735333</v>
      </c>
      <c r="F63" s="503">
        <f t="shared" si="9"/>
        <v>13008204.580000002</v>
      </c>
      <c r="G63" s="503">
        <f t="shared" si="9"/>
        <v>11788807.73</v>
      </c>
    </row>
    <row r="64" spans="2:7" x14ac:dyDescent="0.35">
      <c r="B64" s="395"/>
      <c r="C64" s="395"/>
      <c r="D64" s="395"/>
      <c r="E64" s="520"/>
      <c r="F64" s="395"/>
      <c r="G64" s="395"/>
    </row>
    <row r="65" spans="2:7" x14ac:dyDescent="0.35">
      <c r="B65" s="395" t="s">
        <v>1024</v>
      </c>
      <c r="C65" s="395"/>
      <c r="D65" s="395"/>
      <c r="E65" s="520"/>
      <c r="F65" s="395"/>
      <c r="G65" s="395"/>
    </row>
    <row r="66" spans="2:7" ht="29" x14ac:dyDescent="0.35">
      <c r="B66" s="502" t="s">
        <v>1268</v>
      </c>
      <c r="C66" s="499" t="s">
        <v>1239</v>
      </c>
      <c r="D66" s="499" t="s">
        <v>1242</v>
      </c>
      <c r="E66" s="518" t="s">
        <v>1243</v>
      </c>
      <c r="F66" s="521" t="s">
        <v>1251</v>
      </c>
      <c r="G66" s="521" t="s">
        <v>1252</v>
      </c>
    </row>
    <row r="67" spans="2:7" x14ac:dyDescent="0.35">
      <c r="B67" s="496" t="s">
        <v>682</v>
      </c>
      <c r="C67" s="501">
        <v>49157133</v>
      </c>
      <c r="D67" s="501">
        <v>53121945.569999993</v>
      </c>
      <c r="E67" s="516">
        <f t="shared" ref="E67:E75" si="10">D67/C67</f>
        <v>1.0806558952492205</v>
      </c>
      <c r="F67" s="501">
        <v>2511997.5800000033</v>
      </c>
      <c r="G67" s="501">
        <v>8988807.7300000004</v>
      </c>
    </row>
    <row r="68" spans="2:7" x14ac:dyDescent="0.35">
      <c r="B68" s="496" t="s">
        <v>132</v>
      </c>
      <c r="C68" s="501">
        <v>47465333</v>
      </c>
      <c r="D68" s="501">
        <v>32594775.319999997</v>
      </c>
      <c r="E68" s="516">
        <f t="shared" si="10"/>
        <v>0.68670697664756708</v>
      </c>
      <c r="F68" s="501">
        <v>8835278.8399999999</v>
      </c>
      <c r="G68" s="501">
        <v>2800000</v>
      </c>
    </row>
    <row r="69" spans="2:7" x14ac:dyDescent="0.35">
      <c r="B69" s="496" t="s">
        <v>658</v>
      </c>
      <c r="C69" s="501">
        <v>1368465</v>
      </c>
      <c r="D69" s="501">
        <v>-816242.38000000012</v>
      </c>
      <c r="E69" s="516">
        <f t="shared" si="10"/>
        <v>-0.59646566042975169</v>
      </c>
      <c r="F69" s="501">
        <v>1092353.69</v>
      </c>
      <c r="G69" s="501"/>
    </row>
    <row r="70" spans="2:7" x14ac:dyDescent="0.35">
      <c r="B70" s="496" t="s">
        <v>660</v>
      </c>
      <c r="C70" s="501">
        <v>2760648</v>
      </c>
      <c r="D70" s="501">
        <v>2147110</v>
      </c>
      <c r="E70" s="516">
        <f t="shared" si="10"/>
        <v>0.77775580226091845</v>
      </c>
      <c r="F70" s="501">
        <v>306769.00000000012</v>
      </c>
      <c r="G70" s="501"/>
    </row>
    <row r="71" spans="2:7" x14ac:dyDescent="0.35">
      <c r="B71" s="496" t="s">
        <v>687</v>
      </c>
      <c r="C71" s="501">
        <v>6515210</v>
      </c>
      <c r="D71" s="501">
        <v>6224545.3399999999</v>
      </c>
      <c r="E71" s="516">
        <f t="shared" si="10"/>
        <v>0.9553867549933156</v>
      </c>
      <c r="F71" s="501">
        <v>145332.33000000002</v>
      </c>
      <c r="G71" s="501"/>
    </row>
    <row r="72" spans="2:7" x14ac:dyDescent="0.35">
      <c r="B72" s="496" t="s">
        <v>702</v>
      </c>
      <c r="C72" s="501">
        <v>650000</v>
      </c>
      <c r="D72" s="501">
        <v>483486</v>
      </c>
      <c r="E72" s="516">
        <f t="shared" si="10"/>
        <v>0.74382461538461542</v>
      </c>
      <c r="F72" s="501">
        <v>83257</v>
      </c>
      <c r="G72" s="501"/>
    </row>
    <row r="73" spans="2:7" x14ac:dyDescent="0.35">
      <c r="B73" s="496" t="s">
        <v>698</v>
      </c>
      <c r="C73" s="501">
        <v>2016302</v>
      </c>
      <c r="D73" s="501">
        <v>1982443.2200000002</v>
      </c>
      <c r="E73" s="516">
        <f t="shared" si="10"/>
        <v>0.9832074857833798</v>
      </c>
      <c r="F73" s="501">
        <v>16929.389999999992</v>
      </c>
      <c r="G73" s="501"/>
    </row>
    <row r="74" spans="2:7" x14ac:dyDescent="0.35">
      <c r="B74" s="496" t="s">
        <v>666</v>
      </c>
      <c r="C74" s="501">
        <v>46409</v>
      </c>
      <c r="D74" s="501">
        <v>14195.5</v>
      </c>
      <c r="E74" s="516">
        <f t="shared" si="10"/>
        <v>0.30587817018250768</v>
      </c>
      <c r="F74" s="501">
        <v>16106.75</v>
      </c>
      <c r="G74" s="501"/>
    </row>
    <row r="75" spans="2:7" x14ac:dyDescent="0.35">
      <c r="B75" s="496" t="s">
        <v>700</v>
      </c>
      <c r="C75" s="501">
        <v>321500</v>
      </c>
      <c r="D75" s="501">
        <v>321140</v>
      </c>
      <c r="E75" s="516">
        <f t="shared" si="10"/>
        <v>0.9988802488335925</v>
      </c>
      <c r="F75" s="501">
        <v>180</v>
      </c>
      <c r="G75" s="501"/>
    </row>
    <row r="76" spans="2:7" x14ac:dyDescent="0.35">
      <c r="B76" s="502" t="s">
        <v>719</v>
      </c>
      <c r="C76" s="503">
        <f>SUM(C67:C75)</f>
        <v>110301000</v>
      </c>
      <c r="D76" s="503">
        <f>SUM(D67:D75)</f>
        <v>96073398.569999993</v>
      </c>
      <c r="E76" s="519">
        <f t="shared" ref="E76" si="11">D76/C76</f>
        <v>0.8710111292735333</v>
      </c>
      <c r="F76" s="503">
        <f>SUM(F67:F75)</f>
        <v>13008204.580000004</v>
      </c>
      <c r="G76" s="503">
        <f>SUM(G67:G75)</f>
        <v>11788807.73</v>
      </c>
    </row>
  </sheetData>
  <sortState xmlns:xlrd2="http://schemas.microsoft.com/office/spreadsheetml/2017/richdata2" ref="B10:G20">
    <sortCondition descending="1" ref="G10:G20"/>
  </sortState>
  <conditionalFormatting sqref="G16:G17">
    <cfRule type="dataBar" priority="1">
      <dataBar>
        <cfvo type="min"/>
        <cfvo type="max"/>
        <color rgb="FF638EC6"/>
      </dataBar>
      <extLst>
        <ext xmlns:x14="http://schemas.microsoft.com/office/spreadsheetml/2009/9/main" uri="{B025F937-C7B1-47D3-B67F-A62EFF666E3E}">
          <x14:id>{23DAE153-6B10-41F0-998F-F6A00D4446AA}</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23DAE153-6B10-41F0-998F-F6A00D4446AA}">
            <x14:dataBar minLength="0" maxLength="100" border="1" negativeBarBorderColorSameAsPositive="0">
              <x14:cfvo type="autoMin"/>
              <x14:cfvo type="autoMax"/>
              <x14:borderColor rgb="FF638EC6"/>
              <x14:negativeFillColor rgb="FFFF0000"/>
              <x14:negativeBorderColor rgb="FFFF0000"/>
              <x14:axisColor rgb="FF000000"/>
            </x14:dataBar>
          </x14:cfRule>
          <xm:sqref>G16:G17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F1D91-D81E-454C-AFEF-0A6361FCDBB6}">
  <dimension ref="A1:AS48"/>
  <sheetViews>
    <sheetView topLeftCell="AI22" workbookViewId="0">
      <selection activeCell="AQ46" sqref="AQ46"/>
    </sheetView>
  </sheetViews>
  <sheetFormatPr defaultRowHeight="14.5" x14ac:dyDescent="0.35"/>
  <cols>
    <col min="1" max="1" width="10.6328125" customWidth="1"/>
    <col min="2" max="2" width="18.36328125" customWidth="1"/>
    <col min="3" max="3" width="14.90625" customWidth="1"/>
    <col min="4" max="4" width="17.36328125" customWidth="1"/>
    <col min="5" max="5" width="22.6328125" customWidth="1"/>
    <col min="6" max="6" width="14.36328125" customWidth="1"/>
    <col min="7" max="7" width="19.6328125" customWidth="1"/>
    <col min="8" max="8" width="23.453125" customWidth="1"/>
    <col min="9" max="9" width="15.08984375" customWidth="1"/>
    <col min="10" max="10" width="22.54296875" customWidth="1"/>
    <col min="11" max="11" width="22.36328125" customWidth="1"/>
    <col min="12" max="12" width="12" customWidth="1"/>
    <col min="13" max="13" width="12.26953125" customWidth="1"/>
    <col min="14" max="14" width="22" customWidth="1"/>
    <col min="15" max="15" width="21.453125" customWidth="1"/>
    <col min="16" max="16" width="21.81640625" customWidth="1"/>
    <col min="17" max="17" width="21.6328125" customWidth="1"/>
    <col min="18" max="18" width="21.81640625" customWidth="1"/>
    <col min="19" max="19" width="23.08984375" customWidth="1"/>
    <col min="20" max="20" width="19.453125" customWidth="1"/>
    <col min="21" max="21" width="11.6328125" customWidth="1"/>
    <col min="22" max="22" width="9" customWidth="1"/>
    <col min="23" max="23" width="10.26953125" customWidth="1"/>
    <col min="24" max="24" width="10.7265625" customWidth="1"/>
    <col min="25" max="25" width="40.36328125" customWidth="1"/>
    <col min="26" max="26" width="22.81640625" customWidth="1"/>
    <col min="27" max="27" width="22.6328125" customWidth="1"/>
    <col min="28" max="28" width="12.26953125" customWidth="1"/>
    <col min="29" max="29" width="12.54296875" customWidth="1"/>
    <col min="30" max="30" width="22.26953125" customWidth="1"/>
    <col min="31" max="31" width="10.54296875" customWidth="1"/>
    <col min="32" max="32" width="10.6328125" customWidth="1"/>
    <col min="33" max="33" width="9.36328125" customWidth="1"/>
    <col min="34" max="34" width="17.54296875" customWidth="1"/>
    <col min="35" max="35" width="19.54296875" customWidth="1"/>
    <col min="36" max="36" width="16.36328125" customWidth="1"/>
    <col min="37" max="37" width="15.81640625" customWidth="1"/>
    <col min="38" max="38" width="16.54296875" customWidth="1"/>
    <col min="39" max="39" width="26.26953125" customWidth="1"/>
    <col min="40" max="40" width="11.08984375" bestFit="1" customWidth="1"/>
    <col min="41" max="41" width="12.54296875" bestFit="1" customWidth="1"/>
    <col min="42" max="42" width="11.08984375" bestFit="1" customWidth="1"/>
    <col min="43" max="43" width="28.54296875" customWidth="1"/>
    <col min="44" max="44" width="25.08984375" customWidth="1"/>
    <col min="45" max="45" width="20.7265625" customWidth="1"/>
  </cols>
  <sheetData>
    <row r="1" spans="1:45" x14ac:dyDescent="0.35">
      <c r="A1" t="s">
        <v>1187</v>
      </c>
      <c r="B1" t="s">
        <v>959</v>
      </c>
      <c r="C1" t="s">
        <v>1</v>
      </c>
      <c r="D1" t="s">
        <v>2</v>
      </c>
      <c r="E1" t="s">
        <v>3</v>
      </c>
      <c r="F1" t="s">
        <v>4</v>
      </c>
      <c r="G1" t="s">
        <v>5</v>
      </c>
      <c r="H1" t="s">
        <v>6</v>
      </c>
      <c r="I1" t="s">
        <v>7</v>
      </c>
      <c r="J1" t="s">
        <v>903</v>
      </c>
      <c r="K1" t="s">
        <v>904</v>
      </c>
      <c r="L1" t="s">
        <v>905</v>
      </c>
      <c r="M1" t="s">
        <v>906</v>
      </c>
      <c r="N1" t="s">
        <v>907</v>
      </c>
      <c r="O1" t="s">
        <v>13</v>
      </c>
      <c r="P1" t="s">
        <v>14</v>
      </c>
      <c r="Q1" t="s">
        <v>15</v>
      </c>
      <c r="R1" t="s">
        <v>16</v>
      </c>
      <c r="S1" t="s">
        <v>925</v>
      </c>
      <c r="T1" t="s">
        <v>18</v>
      </c>
      <c r="U1" t="s">
        <v>1245</v>
      </c>
      <c r="V1" t="s">
        <v>1209</v>
      </c>
      <c r="W1" t="s">
        <v>1210</v>
      </c>
      <c r="X1" t="s">
        <v>721</v>
      </c>
      <c r="Y1" t="s">
        <v>941</v>
      </c>
      <c r="Z1" t="s">
        <v>926</v>
      </c>
      <c r="AA1" t="s">
        <v>927</v>
      </c>
      <c r="AB1" t="s">
        <v>928</v>
      </c>
      <c r="AC1" t="s">
        <v>929</v>
      </c>
      <c r="AD1" t="s">
        <v>930</v>
      </c>
      <c r="AE1" t="s">
        <v>1202</v>
      </c>
      <c r="AF1" t="s">
        <v>1203</v>
      </c>
      <c r="AG1" t="s">
        <v>1204</v>
      </c>
      <c r="AH1" t="s">
        <v>1215</v>
      </c>
      <c r="AI1" t="s">
        <v>1212</v>
      </c>
      <c r="AJ1" t="s">
        <v>1213</v>
      </c>
      <c r="AK1" t="s">
        <v>1221</v>
      </c>
      <c r="AL1" t="s">
        <v>1214</v>
      </c>
      <c r="AM1" t="s">
        <v>1220</v>
      </c>
      <c r="AN1" t="s">
        <v>1183</v>
      </c>
      <c r="AO1" t="s">
        <v>1184</v>
      </c>
      <c r="AP1" t="s">
        <v>1185</v>
      </c>
      <c r="AQ1" t="s">
        <v>1208</v>
      </c>
      <c r="AR1" t="s">
        <v>1211</v>
      </c>
      <c r="AS1" t="s">
        <v>1222</v>
      </c>
    </row>
    <row r="2" spans="1:45" x14ac:dyDescent="0.35">
      <c r="A2" t="s">
        <v>1200</v>
      </c>
      <c r="B2" t="s">
        <v>949</v>
      </c>
      <c r="D2">
        <v>8471160</v>
      </c>
      <c r="E2" t="s">
        <v>529</v>
      </c>
      <c r="F2" t="s">
        <v>919</v>
      </c>
      <c r="G2" t="s">
        <v>622</v>
      </c>
      <c r="H2" t="s">
        <v>920</v>
      </c>
      <c r="U2">
        <v>0</v>
      </c>
      <c r="V2">
        <v>0</v>
      </c>
      <c r="X2" t="s">
        <v>722</v>
      </c>
      <c r="Z2">
        <v>160000</v>
      </c>
      <c r="AA2">
        <v>0</v>
      </c>
      <c r="AB2">
        <v>0</v>
      </c>
      <c r="AC2">
        <v>0</v>
      </c>
      <c r="AD2">
        <v>160000</v>
      </c>
      <c r="AE2">
        <v>160000</v>
      </c>
      <c r="AF2">
        <v>0</v>
      </c>
      <c r="AG2">
        <v>160000</v>
      </c>
      <c r="AH2" t="s">
        <v>920</v>
      </c>
      <c r="AI2">
        <v>160400</v>
      </c>
      <c r="AJ2">
        <v>160400</v>
      </c>
      <c r="AK2">
        <v>0</v>
      </c>
      <c r="AL2">
        <v>0</v>
      </c>
      <c r="AM2">
        <v>0</v>
      </c>
      <c r="AN2">
        <v>0</v>
      </c>
      <c r="AO2">
        <v>0</v>
      </c>
      <c r="AP2">
        <v>0</v>
      </c>
      <c r="AQ2">
        <v>0</v>
      </c>
      <c r="AR2">
        <v>0</v>
      </c>
      <c r="AS2">
        <v>160400</v>
      </c>
    </row>
    <row r="3" spans="1:45" x14ac:dyDescent="0.35">
      <c r="A3" t="s">
        <v>1200</v>
      </c>
      <c r="B3" t="s">
        <v>955</v>
      </c>
      <c r="C3" t="s">
        <v>19</v>
      </c>
      <c r="D3">
        <v>8471170</v>
      </c>
      <c r="E3" t="s">
        <v>536</v>
      </c>
      <c r="F3">
        <v>428090</v>
      </c>
      <c r="G3" t="s">
        <v>39</v>
      </c>
      <c r="H3" t="s">
        <v>541</v>
      </c>
      <c r="I3">
        <v>45000</v>
      </c>
      <c r="J3">
        <v>12261</v>
      </c>
      <c r="N3">
        <v>12261</v>
      </c>
      <c r="O3">
        <v>12261</v>
      </c>
      <c r="R3" t="s">
        <v>823</v>
      </c>
      <c r="S3">
        <v>0</v>
      </c>
      <c r="U3">
        <v>0</v>
      </c>
      <c r="V3">
        <v>-22434.170000000002</v>
      </c>
      <c r="X3" t="s">
        <v>722</v>
      </c>
      <c r="Z3">
        <v>42261</v>
      </c>
      <c r="AA3">
        <v>21236.27</v>
      </c>
      <c r="AB3">
        <v>0</v>
      </c>
      <c r="AC3">
        <v>0</v>
      </c>
      <c r="AD3">
        <v>21024.73</v>
      </c>
      <c r="AE3">
        <v>21024.73</v>
      </c>
      <c r="AF3">
        <v>0</v>
      </c>
      <c r="AG3">
        <v>21024.73</v>
      </c>
      <c r="AH3" t="s">
        <v>541</v>
      </c>
      <c r="AI3">
        <v>42261</v>
      </c>
      <c r="AJ3">
        <v>31751.27</v>
      </c>
      <c r="AK3">
        <v>0</v>
      </c>
      <c r="AL3">
        <v>0</v>
      </c>
      <c r="AM3">
        <v>10509.73</v>
      </c>
      <c r="AN3">
        <v>1960.68</v>
      </c>
      <c r="AO3">
        <v>0</v>
      </c>
      <c r="AP3">
        <v>20473.490000000002</v>
      </c>
      <c r="AQ3">
        <v>-22434.170000000002</v>
      </c>
      <c r="AR3">
        <v>43670.44</v>
      </c>
      <c r="AS3">
        <v>76619.61</v>
      </c>
    </row>
    <row r="4" spans="1:45" x14ac:dyDescent="0.35">
      <c r="A4" t="s">
        <v>1200</v>
      </c>
      <c r="B4" t="s">
        <v>955</v>
      </c>
      <c r="C4" t="s">
        <v>19</v>
      </c>
      <c r="D4">
        <v>8471170</v>
      </c>
      <c r="E4" t="s">
        <v>536</v>
      </c>
      <c r="F4">
        <v>426610</v>
      </c>
      <c r="G4" t="s">
        <v>37</v>
      </c>
      <c r="H4" t="s">
        <v>540</v>
      </c>
      <c r="I4">
        <v>2618576</v>
      </c>
      <c r="J4">
        <v>2299576</v>
      </c>
      <c r="K4">
        <v>751513.28</v>
      </c>
      <c r="L4">
        <v>34038.690000000097</v>
      </c>
      <c r="M4">
        <v>843285.47</v>
      </c>
      <c r="N4">
        <v>670738.55999999982</v>
      </c>
      <c r="S4">
        <v>670738.55999999982</v>
      </c>
      <c r="T4" t="s">
        <v>833</v>
      </c>
      <c r="U4">
        <v>670738.55999999982</v>
      </c>
      <c r="V4">
        <v>670738.55999999982</v>
      </c>
      <c r="X4" t="s">
        <v>722</v>
      </c>
      <c r="Z4">
        <v>2269576</v>
      </c>
      <c r="AA4">
        <v>1040409.21</v>
      </c>
      <c r="AB4">
        <v>30921.19</v>
      </c>
      <c r="AC4">
        <v>584990</v>
      </c>
      <c r="AD4">
        <v>613255.60000000009</v>
      </c>
      <c r="AE4">
        <v>613255.6</v>
      </c>
      <c r="AF4">
        <v>0</v>
      </c>
      <c r="AG4">
        <v>-57482.95999999973</v>
      </c>
      <c r="AH4" t="s">
        <v>540</v>
      </c>
      <c r="AI4">
        <v>2269576</v>
      </c>
      <c r="AJ4">
        <v>1040409.21</v>
      </c>
      <c r="AK4">
        <v>-1.3099999999976699</v>
      </c>
      <c r="AL4">
        <v>614440</v>
      </c>
      <c r="AM4">
        <v>614728.1</v>
      </c>
      <c r="AN4">
        <v>0</v>
      </c>
      <c r="AO4">
        <v>0</v>
      </c>
      <c r="AP4">
        <v>0</v>
      </c>
      <c r="AQ4">
        <v>670738.55999999982</v>
      </c>
      <c r="AR4">
        <v>1656320.4</v>
      </c>
      <c r="AS4">
        <v>984109.34000000008</v>
      </c>
    </row>
    <row r="5" spans="1:45" x14ac:dyDescent="0.35">
      <c r="A5" t="s">
        <v>1200</v>
      </c>
      <c r="B5" t="s">
        <v>955</v>
      </c>
      <c r="C5" t="s">
        <v>19</v>
      </c>
      <c r="D5">
        <v>8471170</v>
      </c>
      <c r="E5" t="s">
        <v>536</v>
      </c>
      <c r="F5">
        <v>425900</v>
      </c>
      <c r="G5" t="s">
        <v>35</v>
      </c>
      <c r="H5" t="s">
        <v>539</v>
      </c>
      <c r="I5">
        <v>10000</v>
      </c>
      <c r="J5">
        <v>10000</v>
      </c>
      <c r="N5">
        <v>10000</v>
      </c>
      <c r="P5">
        <v>5000</v>
      </c>
      <c r="R5" t="s">
        <v>822</v>
      </c>
      <c r="S5">
        <v>5000</v>
      </c>
      <c r="T5" t="s">
        <v>832</v>
      </c>
      <c r="U5">
        <v>5000</v>
      </c>
      <c r="V5">
        <v>5000</v>
      </c>
      <c r="X5" t="s">
        <v>722</v>
      </c>
      <c r="Z5">
        <v>10000</v>
      </c>
      <c r="AA5">
        <v>0</v>
      </c>
      <c r="AB5">
        <v>0</v>
      </c>
      <c r="AC5">
        <v>0</v>
      </c>
      <c r="AD5">
        <v>10000</v>
      </c>
      <c r="AE5">
        <v>10000</v>
      </c>
      <c r="AF5">
        <v>0</v>
      </c>
      <c r="AG5">
        <v>5000</v>
      </c>
      <c r="AH5" t="s">
        <v>539</v>
      </c>
      <c r="AI5">
        <v>10000</v>
      </c>
      <c r="AJ5">
        <v>0</v>
      </c>
      <c r="AK5">
        <v>0</v>
      </c>
      <c r="AL5">
        <v>0</v>
      </c>
      <c r="AM5">
        <v>10000</v>
      </c>
      <c r="AN5">
        <v>0</v>
      </c>
      <c r="AO5">
        <v>0</v>
      </c>
      <c r="AP5">
        <v>0</v>
      </c>
      <c r="AQ5">
        <v>5000</v>
      </c>
      <c r="AR5">
        <v>0</v>
      </c>
      <c r="AS5">
        <v>-5000</v>
      </c>
    </row>
    <row r="6" spans="1:45" x14ac:dyDescent="0.35">
      <c r="A6" t="s">
        <v>1200</v>
      </c>
      <c r="B6" t="s">
        <v>955</v>
      </c>
      <c r="C6" t="s">
        <v>19</v>
      </c>
      <c r="D6">
        <v>8471170</v>
      </c>
      <c r="E6" t="s">
        <v>536</v>
      </c>
      <c r="F6">
        <v>420811</v>
      </c>
      <c r="G6" t="s">
        <v>469</v>
      </c>
      <c r="H6" t="s">
        <v>538</v>
      </c>
      <c r="I6">
        <v>0</v>
      </c>
      <c r="J6">
        <v>1709607</v>
      </c>
      <c r="L6">
        <v>871932.8</v>
      </c>
      <c r="N6">
        <v>837674.2</v>
      </c>
      <c r="S6">
        <v>-10489500</v>
      </c>
      <c r="T6" t="s">
        <v>980</v>
      </c>
      <c r="V6">
        <v>0</v>
      </c>
      <c r="W6">
        <v>10489500</v>
      </c>
      <c r="X6" t="s">
        <v>722</v>
      </c>
      <c r="Z6">
        <v>1709607</v>
      </c>
      <c r="AA6">
        <v>0</v>
      </c>
      <c r="AB6">
        <v>320932.8</v>
      </c>
      <c r="AC6">
        <v>551000</v>
      </c>
      <c r="AD6">
        <v>837674.2</v>
      </c>
      <c r="AE6">
        <v>837674.2</v>
      </c>
      <c r="AF6">
        <v>0</v>
      </c>
      <c r="AG6">
        <v>837674.2</v>
      </c>
      <c r="AH6" t="s">
        <v>538</v>
      </c>
      <c r="AI6">
        <v>1709607</v>
      </c>
      <c r="AJ6">
        <v>0</v>
      </c>
      <c r="AK6">
        <v>0</v>
      </c>
      <c r="AL6">
        <v>871932.8</v>
      </c>
      <c r="AM6">
        <v>837674.2</v>
      </c>
      <c r="AN6">
        <v>0</v>
      </c>
      <c r="AO6">
        <v>0</v>
      </c>
      <c r="AP6">
        <v>0</v>
      </c>
      <c r="AQ6">
        <v>0</v>
      </c>
      <c r="AR6">
        <v>871932.8</v>
      </c>
      <c r="AS6">
        <v>11361432.800000001</v>
      </c>
    </row>
    <row r="7" spans="1:45" x14ac:dyDescent="0.35">
      <c r="A7" t="s">
        <v>1200</v>
      </c>
      <c r="B7" t="s">
        <v>955</v>
      </c>
      <c r="C7" t="s">
        <v>19</v>
      </c>
      <c r="D7">
        <v>8471170</v>
      </c>
      <c r="E7" t="s">
        <v>536</v>
      </c>
      <c r="F7">
        <v>420810</v>
      </c>
      <c r="G7" t="s">
        <v>466</v>
      </c>
      <c r="H7" t="s">
        <v>537</v>
      </c>
      <c r="I7">
        <v>1709607</v>
      </c>
      <c r="J7">
        <v>319000</v>
      </c>
      <c r="N7">
        <v>319000</v>
      </c>
      <c r="S7">
        <v>319000</v>
      </c>
      <c r="U7">
        <v>319000</v>
      </c>
      <c r="V7">
        <v>319000</v>
      </c>
      <c r="X7" t="s">
        <v>722</v>
      </c>
      <c r="Z7">
        <v>319000</v>
      </c>
      <c r="AA7">
        <v>0</v>
      </c>
      <c r="AB7">
        <v>0</v>
      </c>
      <c r="AC7">
        <v>0</v>
      </c>
      <c r="AD7">
        <v>319000</v>
      </c>
      <c r="AE7">
        <v>319000</v>
      </c>
      <c r="AF7">
        <v>0</v>
      </c>
      <c r="AG7">
        <v>0</v>
      </c>
      <c r="AH7" t="s">
        <v>537</v>
      </c>
      <c r="AI7">
        <v>319000</v>
      </c>
      <c r="AJ7">
        <v>0</v>
      </c>
      <c r="AK7">
        <v>0</v>
      </c>
      <c r="AL7">
        <v>0</v>
      </c>
      <c r="AM7">
        <v>319000</v>
      </c>
      <c r="AN7">
        <v>0</v>
      </c>
      <c r="AO7">
        <v>0</v>
      </c>
      <c r="AP7">
        <v>0</v>
      </c>
      <c r="AQ7">
        <v>319000</v>
      </c>
      <c r="AR7">
        <v>0</v>
      </c>
      <c r="AS7">
        <v>-319000</v>
      </c>
    </row>
    <row r="8" spans="1:45" x14ac:dyDescent="0.35">
      <c r="A8" t="s">
        <v>1200</v>
      </c>
      <c r="B8" t="s">
        <v>955</v>
      </c>
      <c r="C8" t="s">
        <v>19</v>
      </c>
      <c r="D8">
        <v>8471160</v>
      </c>
      <c r="E8" t="s">
        <v>529</v>
      </c>
      <c r="F8">
        <v>436600</v>
      </c>
      <c r="G8" t="s">
        <v>137</v>
      </c>
      <c r="H8" t="s">
        <v>535</v>
      </c>
      <c r="I8">
        <v>0</v>
      </c>
      <c r="J8">
        <v>20000</v>
      </c>
      <c r="N8">
        <v>20000</v>
      </c>
      <c r="O8">
        <v>20000</v>
      </c>
      <c r="P8">
        <v>0</v>
      </c>
      <c r="Q8">
        <v>0</v>
      </c>
      <c r="R8" t="s">
        <v>821</v>
      </c>
      <c r="S8">
        <v>0</v>
      </c>
      <c r="U8">
        <v>0</v>
      </c>
      <c r="V8">
        <v>0</v>
      </c>
      <c r="X8" t="s">
        <v>722</v>
      </c>
      <c r="Z8">
        <v>20000</v>
      </c>
      <c r="AA8">
        <v>15359</v>
      </c>
      <c r="AB8">
        <v>0</v>
      </c>
      <c r="AC8">
        <v>0</v>
      </c>
      <c r="AD8">
        <v>4641</v>
      </c>
      <c r="AE8">
        <v>4641</v>
      </c>
      <c r="AF8">
        <v>0</v>
      </c>
      <c r="AG8">
        <v>4641</v>
      </c>
      <c r="AH8" t="s">
        <v>535</v>
      </c>
      <c r="AI8">
        <v>20000</v>
      </c>
      <c r="AJ8">
        <v>15359</v>
      </c>
      <c r="AK8">
        <v>0</v>
      </c>
      <c r="AL8">
        <v>0</v>
      </c>
      <c r="AM8">
        <v>4641</v>
      </c>
      <c r="AN8">
        <v>0</v>
      </c>
      <c r="AO8">
        <v>0</v>
      </c>
      <c r="AP8">
        <v>0</v>
      </c>
      <c r="AQ8">
        <v>0</v>
      </c>
      <c r="AR8">
        <v>15359</v>
      </c>
      <c r="AS8">
        <v>15359</v>
      </c>
    </row>
    <row r="9" spans="1:45" x14ac:dyDescent="0.35">
      <c r="A9" t="s">
        <v>1200</v>
      </c>
      <c r="B9" t="s">
        <v>955</v>
      </c>
      <c r="C9" t="s">
        <v>19</v>
      </c>
      <c r="D9">
        <v>8471160</v>
      </c>
      <c r="E9" t="s">
        <v>529</v>
      </c>
      <c r="F9">
        <v>435508</v>
      </c>
      <c r="G9" t="s">
        <v>135</v>
      </c>
      <c r="H9" t="s">
        <v>534</v>
      </c>
      <c r="I9">
        <v>2753398</v>
      </c>
      <c r="J9">
        <v>4157398</v>
      </c>
      <c r="K9">
        <v>831180.13</v>
      </c>
      <c r="L9">
        <v>1143117.57</v>
      </c>
      <c r="M9">
        <v>802993.35</v>
      </c>
      <c r="N9">
        <v>1380106.9499999997</v>
      </c>
      <c r="O9">
        <v>900000</v>
      </c>
      <c r="P9">
        <v>40000</v>
      </c>
      <c r="Q9">
        <v>5000</v>
      </c>
      <c r="R9" t="s">
        <v>820</v>
      </c>
      <c r="S9">
        <v>435106.94999999972</v>
      </c>
      <c r="T9" t="s">
        <v>831</v>
      </c>
      <c r="U9">
        <v>435106.94999999972</v>
      </c>
      <c r="V9">
        <v>424519.7999999997</v>
      </c>
      <c r="X9" t="s">
        <v>722</v>
      </c>
      <c r="Z9">
        <v>4097398</v>
      </c>
      <c r="AA9">
        <v>1132764.8899999999</v>
      </c>
      <c r="AB9">
        <v>690145.7</v>
      </c>
      <c r="AC9">
        <v>1640158.34</v>
      </c>
      <c r="AD9">
        <v>634329.07000000007</v>
      </c>
      <c r="AE9">
        <v>634329.06999999995</v>
      </c>
      <c r="AF9">
        <v>0</v>
      </c>
      <c r="AG9">
        <v>199222.12000000034</v>
      </c>
      <c r="AH9" t="s">
        <v>534</v>
      </c>
      <c r="AI9">
        <v>4696998</v>
      </c>
      <c r="AJ9">
        <v>1037843.99</v>
      </c>
      <c r="AK9">
        <v>1602317.74</v>
      </c>
      <c r="AL9">
        <v>1620727.39</v>
      </c>
      <c r="AM9">
        <v>436108.88</v>
      </c>
      <c r="AN9">
        <v>0</v>
      </c>
      <c r="AO9">
        <v>10587.15</v>
      </c>
      <c r="AP9">
        <v>0</v>
      </c>
      <c r="AQ9">
        <v>424519.7999999997</v>
      </c>
      <c r="AR9">
        <v>3478656.0799999996</v>
      </c>
      <c r="AS9">
        <v>3851956.4700000007</v>
      </c>
    </row>
    <row r="10" spans="1:45" x14ac:dyDescent="0.35">
      <c r="A10" t="s">
        <v>1200</v>
      </c>
      <c r="B10" t="s">
        <v>955</v>
      </c>
      <c r="C10" t="s">
        <v>19</v>
      </c>
      <c r="D10">
        <v>8471160</v>
      </c>
      <c r="E10" t="s">
        <v>529</v>
      </c>
      <c r="F10">
        <v>432209</v>
      </c>
      <c r="G10" t="s">
        <v>132</v>
      </c>
      <c r="H10" t="s">
        <v>533</v>
      </c>
      <c r="I10">
        <v>15319303</v>
      </c>
      <c r="J10">
        <v>13549303</v>
      </c>
      <c r="K10">
        <v>6443128.0300000003</v>
      </c>
      <c r="L10">
        <v>2912354.85</v>
      </c>
      <c r="M10">
        <v>4150387.85</v>
      </c>
      <c r="N10">
        <v>43432.269999999553</v>
      </c>
      <c r="O10">
        <v>35000</v>
      </c>
      <c r="P10">
        <v>7000</v>
      </c>
      <c r="Q10">
        <v>1000</v>
      </c>
      <c r="R10" t="s">
        <v>819</v>
      </c>
      <c r="S10">
        <v>432.26999999955297</v>
      </c>
      <c r="T10" t="s">
        <v>830</v>
      </c>
      <c r="U10">
        <v>432.26999999955297</v>
      </c>
      <c r="V10">
        <v>-7232.730000000447</v>
      </c>
      <c r="X10" t="s">
        <v>722</v>
      </c>
      <c r="Z10">
        <v>13449303</v>
      </c>
      <c r="AA10">
        <v>6745037.5300000003</v>
      </c>
      <c r="AB10">
        <v>2423461.2999999998</v>
      </c>
      <c r="AC10">
        <v>3524448.07</v>
      </c>
      <c r="AD10">
        <v>756356.10000000009</v>
      </c>
      <c r="AE10">
        <v>756356.10000000102</v>
      </c>
      <c r="AF10">
        <v>-9.3132257461547852E-10</v>
      </c>
      <c r="AG10">
        <v>755923.83000000054</v>
      </c>
      <c r="AH10" t="s">
        <v>533</v>
      </c>
      <c r="AI10">
        <v>12849303</v>
      </c>
      <c r="AJ10">
        <v>7215057.6900000004</v>
      </c>
      <c r="AK10">
        <v>1102830.8600000001</v>
      </c>
      <c r="AL10">
        <v>4376281.7</v>
      </c>
      <c r="AM10">
        <v>155132.75000000099</v>
      </c>
      <c r="AN10">
        <v>0</v>
      </c>
      <c r="AO10">
        <v>7665</v>
      </c>
      <c r="AP10">
        <v>0</v>
      </c>
      <c r="AQ10">
        <v>-7232.730000000447</v>
      </c>
      <c r="AR10">
        <v>12701611.9</v>
      </c>
      <c r="AS10">
        <v>12710067.98</v>
      </c>
    </row>
    <row r="11" spans="1:45" x14ac:dyDescent="0.35">
      <c r="A11" t="s">
        <v>1200</v>
      </c>
      <c r="B11" t="s">
        <v>955</v>
      </c>
      <c r="C11" t="s">
        <v>19</v>
      </c>
      <c r="D11">
        <v>8471160</v>
      </c>
      <c r="E11" t="s">
        <v>529</v>
      </c>
      <c r="F11">
        <v>426610</v>
      </c>
      <c r="G11" t="s">
        <v>37</v>
      </c>
      <c r="H11" t="s">
        <v>532</v>
      </c>
      <c r="I11">
        <v>161375</v>
      </c>
      <c r="J11">
        <v>507375</v>
      </c>
      <c r="K11">
        <v>87650</v>
      </c>
      <c r="L11">
        <v>62561.07</v>
      </c>
      <c r="M11">
        <v>269559.7</v>
      </c>
      <c r="N11">
        <v>87604.229999999981</v>
      </c>
      <c r="S11">
        <v>87604.229999999981</v>
      </c>
      <c r="T11" t="s">
        <v>829</v>
      </c>
      <c r="U11">
        <v>87604.229999999981</v>
      </c>
      <c r="V11">
        <v>87604.229999999981</v>
      </c>
      <c r="X11" t="s">
        <v>722</v>
      </c>
      <c r="Z11">
        <v>507375</v>
      </c>
      <c r="AA11">
        <v>152650</v>
      </c>
      <c r="AB11">
        <v>0</v>
      </c>
      <c r="AC11">
        <v>265024.2</v>
      </c>
      <c r="AD11">
        <v>89700.799999999988</v>
      </c>
      <c r="AE11">
        <v>89700.800000000003</v>
      </c>
      <c r="AF11">
        <v>0</v>
      </c>
      <c r="AG11">
        <v>2096.570000000007</v>
      </c>
      <c r="AH11" t="s">
        <v>532</v>
      </c>
      <c r="AI11">
        <v>507375</v>
      </c>
      <c r="AJ11">
        <v>171015</v>
      </c>
      <c r="AK11">
        <v>0</v>
      </c>
      <c r="AL11">
        <v>265024.2</v>
      </c>
      <c r="AM11">
        <v>71335.8</v>
      </c>
      <c r="AN11">
        <v>0</v>
      </c>
      <c r="AO11">
        <v>0</v>
      </c>
      <c r="AP11">
        <v>0</v>
      </c>
      <c r="AQ11">
        <v>87604.229999999981</v>
      </c>
      <c r="AR11">
        <v>417674.2</v>
      </c>
      <c r="AS11">
        <v>348434.97000000003</v>
      </c>
    </row>
    <row r="12" spans="1:45" x14ac:dyDescent="0.35">
      <c r="A12" t="s">
        <v>1200</v>
      </c>
      <c r="B12" t="s">
        <v>955</v>
      </c>
      <c r="C12" t="s">
        <v>19</v>
      </c>
      <c r="D12">
        <v>8471160</v>
      </c>
      <c r="E12" t="s">
        <v>529</v>
      </c>
      <c r="F12">
        <v>420811</v>
      </c>
      <c r="G12" t="s">
        <v>469</v>
      </c>
      <c r="H12" t="s">
        <v>531</v>
      </c>
      <c r="I12">
        <v>0</v>
      </c>
      <c r="J12">
        <v>588000</v>
      </c>
      <c r="N12">
        <v>588000</v>
      </c>
      <c r="S12">
        <v>588000</v>
      </c>
      <c r="T12" t="s">
        <v>828</v>
      </c>
      <c r="U12">
        <v>588000</v>
      </c>
      <c r="V12">
        <v>588000</v>
      </c>
      <c r="X12" t="s">
        <v>722</v>
      </c>
      <c r="Z12">
        <v>588000</v>
      </c>
      <c r="AA12">
        <v>0</v>
      </c>
      <c r="AB12">
        <v>0</v>
      </c>
      <c r="AC12">
        <v>0</v>
      </c>
      <c r="AD12">
        <v>588000</v>
      </c>
      <c r="AE12">
        <v>588000</v>
      </c>
      <c r="AF12">
        <v>0</v>
      </c>
      <c r="AG12">
        <v>0</v>
      </c>
      <c r="AH12" t="s">
        <v>531</v>
      </c>
      <c r="AI12">
        <v>588000</v>
      </c>
      <c r="AJ12">
        <v>0</v>
      </c>
      <c r="AK12">
        <v>0</v>
      </c>
      <c r="AL12">
        <v>0</v>
      </c>
      <c r="AM12">
        <v>588000</v>
      </c>
      <c r="AN12">
        <v>0</v>
      </c>
      <c r="AO12">
        <v>0</v>
      </c>
      <c r="AP12">
        <v>0</v>
      </c>
      <c r="AQ12">
        <v>588000</v>
      </c>
      <c r="AR12">
        <v>0</v>
      </c>
      <c r="AS12">
        <v>-588000</v>
      </c>
    </row>
    <row r="13" spans="1:45" x14ac:dyDescent="0.35">
      <c r="A13" t="s">
        <v>1200</v>
      </c>
      <c r="B13" t="s">
        <v>955</v>
      </c>
      <c r="C13" t="s">
        <v>19</v>
      </c>
      <c r="D13">
        <v>8471160</v>
      </c>
      <c r="E13" t="s">
        <v>529</v>
      </c>
      <c r="F13">
        <v>420810</v>
      </c>
      <c r="G13" t="s">
        <v>466</v>
      </c>
      <c r="H13" t="s">
        <v>530</v>
      </c>
      <c r="I13">
        <v>588000</v>
      </c>
      <c r="J13">
        <v>0</v>
      </c>
      <c r="N13">
        <v>0</v>
      </c>
      <c r="S13">
        <v>0</v>
      </c>
      <c r="U13">
        <v>0</v>
      </c>
      <c r="V13">
        <v>0</v>
      </c>
      <c r="X13" t="s">
        <v>722</v>
      </c>
      <c r="Z13">
        <v>0</v>
      </c>
      <c r="AA13">
        <v>0</v>
      </c>
      <c r="AB13">
        <v>0</v>
      </c>
      <c r="AC13">
        <v>0</v>
      </c>
      <c r="AD13">
        <v>0</v>
      </c>
      <c r="AE13">
        <v>0</v>
      </c>
      <c r="AF13">
        <v>0</v>
      </c>
      <c r="AG13">
        <v>0</v>
      </c>
      <c r="AH13" t="s">
        <v>530</v>
      </c>
      <c r="AI13">
        <v>0</v>
      </c>
      <c r="AJ13">
        <v>0</v>
      </c>
      <c r="AK13">
        <v>0</v>
      </c>
      <c r="AL13">
        <v>0</v>
      </c>
      <c r="AM13">
        <v>0</v>
      </c>
      <c r="AN13">
        <v>0</v>
      </c>
      <c r="AO13">
        <v>0</v>
      </c>
      <c r="AP13">
        <v>0</v>
      </c>
      <c r="AQ13">
        <v>0</v>
      </c>
      <c r="AR13">
        <v>0</v>
      </c>
      <c r="AS13">
        <v>0</v>
      </c>
    </row>
    <row r="14" spans="1:45" x14ac:dyDescent="0.35">
      <c r="A14" t="s">
        <v>1200</v>
      </c>
      <c r="B14" t="s">
        <v>955</v>
      </c>
      <c r="C14" t="s">
        <v>19</v>
      </c>
      <c r="D14">
        <v>8471150</v>
      </c>
      <c r="E14" t="s">
        <v>522</v>
      </c>
      <c r="F14">
        <v>428090</v>
      </c>
      <c r="G14" t="s">
        <v>39</v>
      </c>
      <c r="H14" t="s">
        <v>528</v>
      </c>
      <c r="I14">
        <v>50001</v>
      </c>
      <c r="J14">
        <v>13623</v>
      </c>
      <c r="N14">
        <v>13623</v>
      </c>
      <c r="P14">
        <v>13623</v>
      </c>
      <c r="R14" t="s">
        <v>818</v>
      </c>
      <c r="S14">
        <v>0</v>
      </c>
      <c r="U14">
        <v>0</v>
      </c>
      <c r="V14">
        <v>0</v>
      </c>
      <c r="X14" t="s">
        <v>722</v>
      </c>
      <c r="Z14">
        <v>13623</v>
      </c>
      <c r="AA14">
        <v>0</v>
      </c>
      <c r="AB14">
        <v>0</v>
      </c>
      <c r="AC14">
        <v>0</v>
      </c>
      <c r="AD14">
        <v>13623</v>
      </c>
      <c r="AE14">
        <v>13623</v>
      </c>
      <c r="AF14">
        <v>0</v>
      </c>
      <c r="AG14">
        <v>13623</v>
      </c>
      <c r="AH14" t="s">
        <v>528</v>
      </c>
      <c r="AI14">
        <v>13623</v>
      </c>
      <c r="AJ14">
        <v>0</v>
      </c>
      <c r="AK14">
        <v>0</v>
      </c>
      <c r="AL14">
        <v>0</v>
      </c>
      <c r="AM14">
        <v>13623</v>
      </c>
      <c r="AN14">
        <v>0</v>
      </c>
      <c r="AO14">
        <v>0</v>
      </c>
      <c r="AP14">
        <v>0</v>
      </c>
      <c r="AQ14">
        <v>0</v>
      </c>
      <c r="AR14">
        <v>0</v>
      </c>
      <c r="AS14">
        <v>0</v>
      </c>
    </row>
    <row r="15" spans="1:45" x14ac:dyDescent="0.35">
      <c r="A15" t="s">
        <v>1200</v>
      </c>
      <c r="B15" t="s">
        <v>955</v>
      </c>
      <c r="C15" t="s">
        <v>19</v>
      </c>
      <c r="D15">
        <v>8471150</v>
      </c>
      <c r="E15" t="s">
        <v>522</v>
      </c>
      <c r="F15">
        <v>426610</v>
      </c>
      <c r="G15" t="s">
        <v>37</v>
      </c>
      <c r="H15" t="s">
        <v>527</v>
      </c>
      <c r="I15">
        <v>120000</v>
      </c>
      <c r="J15">
        <v>118000</v>
      </c>
      <c r="L15">
        <v>0</v>
      </c>
      <c r="N15">
        <v>118000</v>
      </c>
      <c r="P15">
        <v>118000</v>
      </c>
      <c r="R15" t="s">
        <v>817</v>
      </c>
      <c r="S15">
        <v>0</v>
      </c>
      <c r="U15">
        <v>0</v>
      </c>
      <c r="V15">
        <v>0</v>
      </c>
      <c r="X15" t="s">
        <v>722</v>
      </c>
      <c r="Z15">
        <v>3881</v>
      </c>
      <c r="AA15">
        <v>3880.12</v>
      </c>
      <c r="AB15">
        <v>0</v>
      </c>
      <c r="AC15">
        <v>0</v>
      </c>
      <c r="AD15">
        <v>0.88000000000010914</v>
      </c>
      <c r="AE15">
        <v>0.88000000000010903</v>
      </c>
      <c r="AF15">
        <v>0</v>
      </c>
      <c r="AG15">
        <v>0.88000000000010914</v>
      </c>
      <c r="AH15" t="s">
        <v>527</v>
      </c>
      <c r="AI15">
        <v>3881</v>
      </c>
      <c r="AJ15">
        <v>3880.12</v>
      </c>
      <c r="AK15">
        <v>0</v>
      </c>
      <c r="AL15">
        <v>0</v>
      </c>
      <c r="AM15">
        <v>0.88000000000010903</v>
      </c>
      <c r="AN15">
        <v>0</v>
      </c>
      <c r="AO15">
        <v>0</v>
      </c>
      <c r="AP15">
        <v>0</v>
      </c>
      <c r="AQ15">
        <v>0</v>
      </c>
      <c r="AR15">
        <v>3880.12</v>
      </c>
      <c r="AS15">
        <v>3880.12</v>
      </c>
    </row>
    <row r="16" spans="1:45" x14ac:dyDescent="0.35">
      <c r="A16" t="s">
        <v>1200</v>
      </c>
      <c r="B16" t="s">
        <v>955</v>
      </c>
      <c r="C16" t="s">
        <v>19</v>
      </c>
      <c r="D16">
        <v>8471150</v>
      </c>
      <c r="E16" t="s">
        <v>522</v>
      </c>
      <c r="F16">
        <v>425900</v>
      </c>
      <c r="G16" t="s">
        <v>35</v>
      </c>
      <c r="H16" t="s">
        <v>526</v>
      </c>
      <c r="I16">
        <v>0</v>
      </c>
      <c r="J16">
        <v>2000</v>
      </c>
      <c r="K16">
        <v>525</v>
      </c>
      <c r="N16">
        <v>1475</v>
      </c>
      <c r="O16">
        <v>1475</v>
      </c>
      <c r="R16" t="s">
        <v>816</v>
      </c>
      <c r="S16">
        <v>0</v>
      </c>
      <c r="U16">
        <v>0</v>
      </c>
      <c r="V16">
        <v>0</v>
      </c>
      <c r="X16" t="s">
        <v>722</v>
      </c>
      <c r="Z16">
        <v>2000</v>
      </c>
      <c r="AA16">
        <v>525</v>
      </c>
      <c r="AB16">
        <v>0</v>
      </c>
      <c r="AC16">
        <v>0</v>
      </c>
      <c r="AD16">
        <v>1475</v>
      </c>
      <c r="AE16">
        <v>1475</v>
      </c>
      <c r="AF16">
        <v>0</v>
      </c>
      <c r="AG16">
        <v>1475</v>
      </c>
      <c r="AH16" t="s">
        <v>526</v>
      </c>
      <c r="AI16">
        <v>2000</v>
      </c>
      <c r="AJ16">
        <v>918.75</v>
      </c>
      <c r="AK16">
        <v>0</v>
      </c>
      <c r="AL16">
        <v>0</v>
      </c>
      <c r="AM16">
        <v>1081.25</v>
      </c>
      <c r="AN16">
        <v>0</v>
      </c>
      <c r="AO16">
        <v>0</v>
      </c>
      <c r="AP16">
        <v>0</v>
      </c>
      <c r="AQ16">
        <v>0</v>
      </c>
      <c r="AR16">
        <v>525</v>
      </c>
      <c r="AS16">
        <v>918.75</v>
      </c>
    </row>
    <row r="17" spans="1:45" x14ac:dyDescent="0.35">
      <c r="A17" t="s">
        <v>1200</v>
      </c>
      <c r="B17" t="s">
        <v>955</v>
      </c>
      <c r="C17" t="s">
        <v>19</v>
      </c>
      <c r="D17">
        <v>8471150</v>
      </c>
      <c r="E17" t="s">
        <v>522</v>
      </c>
      <c r="F17">
        <v>425550</v>
      </c>
      <c r="G17" t="s">
        <v>33</v>
      </c>
      <c r="H17" t="s">
        <v>525</v>
      </c>
      <c r="I17">
        <v>100002</v>
      </c>
      <c r="J17">
        <v>100002</v>
      </c>
      <c r="K17">
        <v>11745</v>
      </c>
      <c r="N17">
        <v>88257</v>
      </c>
      <c r="O17">
        <v>40000</v>
      </c>
      <c r="P17">
        <v>25000</v>
      </c>
      <c r="Q17">
        <v>23257</v>
      </c>
      <c r="R17" t="s">
        <v>815</v>
      </c>
      <c r="S17">
        <v>0</v>
      </c>
      <c r="U17">
        <v>0</v>
      </c>
      <c r="V17">
        <v>0</v>
      </c>
      <c r="X17" t="s">
        <v>722</v>
      </c>
      <c r="Z17">
        <v>100002</v>
      </c>
      <c r="AA17">
        <v>19542</v>
      </c>
      <c r="AB17">
        <v>0</v>
      </c>
      <c r="AC17">
        <v>0</v>
      </c>
      <c r="AD17">
        <v>80460</v>
      </c>
      <c r="AE17">
        <v>80460</v>
      </c>
      <c r="AF17">
        <v>0</v>
      </c>
      <c r="AG17">
        <v>80460</v>
      </c>
      <c r="AH17" t="s">
        <v>525</v>
      </c>
      <c r="AI17">
        <v>100002</v>
      </c>
      <c r="AJ17">
        <v>26095</v>
      </c>
      <c r="AK17">
        <v>0</v>
      </c>
      <c r="AL17">
        <v>0</v>
      </c>
      <c r="AM17">
        <v>73907</v>
      </c>
      <c r="AN17">
        <v>0</v>
      </c>
      <c r="AO17">
        <v>0</v>
      </c>
      <c r="AP17">
        <v>0</v>
      </c>
      <c r="AQ17">
        <v>0</v>
      </c>
      <c r="AR17">
        <v>42799</v>
      </c>
      <c r="AS17">
        <v>49352</v>
      </c>
    </row>
    <row r="18" spans="1:45" x14ac:dyDescent="0.35">
      <c r="A18" t="s">
        <v>1200</v>
      </c>
      <c r="B18" t="s">
        <v>955</v>
      </c>
      <c r="C18" t="s">
        <v>19</v>
      </c>
      <c r="D18">
        <v>8471150</v>
      </c>
      <c r="E18" t="s">
        <v>522</v>
      </c>
      <c r="F18">
        <v>425510</v>
      </c>
      <c r="G18" t="s">
        <v>31</v>
      </c>
      <c r="H18" t="s">
        <v>524</v>
      </c>
      <c r="I18">
        <v>100002</v>
      </c>
      <c r="J18">
        <v>100002</v>
      </c>
      <c r="N18">
        <v>100002</v>
      </c>
      <c r="O18">
        <v>50000</v>
      </c>
      <c r="P18">
        <v>50002</v>
      </c>
      <c r="R18" t="s">
        <v>814</v>
      </c>
      <c r="S18">
        <v>0</v>
      </c>
      <c r="U18">
        <v>0</v>
      </c>
      <c r="V18">
        <v>0</v>
      </c>
      <c r="X18" t="s">
        <v>722</v>
      </c>
      <c r="Z18">
        <v>100002</v>
      </c>
      <c r="AA18">
        <v>0</v>
      </c>
      <c r="AB18">
        <v>0</v>
      </c>
      <c r="AC18">
        <v>0</v>
      </c>
      <c r="AD18">
        <v>100002</v>
      </c>
      <c r="AE18">
        <v>100002</v>
      </c>
      <c r="AF18">
        <v>0</v>
      </c>
      <c r="AG18">
        <v>100002</v>
      </c>
      <c r="AH18" t="s">
        <v>524</v>
      </c>
      <c r="AI18">
        <v>100002</v>
      </c>
      <c r="AJ18">
        <v>0</v>
      </c>
      <c r="AK18">
        <v>0</v>
      </c>
      <c r="AL18">
        <v>0</v>
      </c>
      <c r="AM18">
        <v>100002</v>
      </c>
      <c r="AN18">
        <v>0</v>
      </c>
      <c r="AO18">
        <v>0</v>
      </c>
      <c r="AP18">
        <v>0</v>
      </c>
      <c r="AQ18">
        <v>0</v>
      </c>
      <c r="AR18">
        <v>0</v>
      </c>
      <c r="AS18">
        <v>0</v>
      </c>
    </row>
    <row r="19" spans="1:45" x14ac:dyDescent="0.35">
      <c r="A19" t="s">
        <v>1200</v>
      </c>
      <c r="B19" t="s">
        <v>955</v>
      </c>
      <c r="C19" t="s">
        <v>19</v>
      </c>
      <c r="D19">
        <v>8471150</v>
      </c>
      <c r="E19" t="s">
        <v>522</v>
      </c>
      <c r="F19">
        <v>420900</v>
      </c>
      <c r="G19" t="s">
        <v>25</v>
      </c>
      <c r="H19" t="s">
        <v>523</v>
      </c>
      <c r="I19">
        <v>3332844</v>
      </c>
      <c r="J19">
        <v>3332844</v>
      </c>
      <c r="K19">
        <v>2009692.38</v>
      </c>
      <c r="L19">
        <v>1099372.21</v>
      </c>
      <c r="M19">
        <v>-1.01863406598568E-10</v>
      </c>
      <c r="N19">
        <v>223779.41000000027</v>
      </c>
      <c r="O19">
        <v>23779.41</v>
      </c>
      <c r="P19">
        <v>200000</v>
      </c>
      <c r="R19" t="s">
        <v>813</v>
      </c>
      <c r="S19">
        <v>2.6193447411060333E-10</v>
      </c>
      <c r="U19">
        <v>2.6193447411060333E-10</v>
      </c>
      <c r="V19">
        <v>2.6193447411060333E-10</v>
      </c>
      <c r="X19" t="s">
        <v>722</v>
      </c>
      <c r="Z19">
        <v>3946963</v>
      </c>
      <c r="AA19">
        <v>2499471.7599999998</v>
      </c>
      <c r="AB19">
        <v>895461.22</v>
      </c>
      <c r="AC19">
        <v>34511.51</v>
      </c>
      <c r="AD19">
        <v>517518.51000000024</v>
      </c>
      <c r="AE19">
        <v>517518.51</v>
      </c>
      <c r="AF19">
        <v>0</v>
      </c>
      <c r="AG19">
        <v>517518.51</v>
      </c>
      <c r="AH19" t="s">
        <v>523</v>
      </c>
      <c r="AI19">
        <v>3946963</v>
      </c>
      <c r="AJ19">
        <v>2533983.27</v>
      </c>
      <c r="AK19">
        <v>895461.22</v>
      </c>
      <c r="AL19">
        <v>0</v>
      </c>
      <c r="AM19">
        <v>517518.51</v>
      </c>
      <c r="AN19">
        <v>0</v>
      </c>
      <c r="AO19">
        <v>0</v>
      </c>
      <c r="AP19">
        <v>0</v>
      </c>
      <c r="AQ19">
        <v>2.6193447411060333E-10</v>
      </c>
      <c r="AR19">
        <v>3429444.4899999993</v>
      </c>
      <c r="AS19">
        <v>3429444.4899999998</v>
      </c>
    </row>
    <row r="20" spans="1:45" x14ac:dyDescent="0.35">
      <c r="A20" t="s">
        <v>1200</v>
      </c>
      <c r="B20" t="s">
        <v>955</v>
      </c>
      <c r="C20" t="s">
        <v>19</v>
      </c>
      <c r="D20">
        <v>8471140</v>
      </c>
      <c r="E20" t="s">
        <v>518</v>
      </c>
      <c r="F20">
        <v>435523</v>
      </c>
      <c r="G20" t="s">
        <v>81</v>
      </c>
      <c r="H20" t="s">
        <v>521</v>
      </c>
      <c r="I20">
        <v>99831748</v>
      </c>
      <c r="J20">
        <v>90170195</v>
      </c>
      <c r="K20">
        <v>59036197.060000002</v>
      </c>
      <c r="L20">
        <v>1302442.29</v>
      </c>
      <c r="M20">
        <v>2812212.05</v>
      </c>
      <c r="N20">
        <v>27019343.599999998</v>
      </c>
      <c r="O20">
        <v>9006447.8666666672</v>
      </c>
      <c r="P20">
        <v>9006447.8666666672</v>
      </c>
      <c r="Q20">
        <v>7006447.8666666709</v>
      </c>
      <c r="S20">
        <v>1999999.9999999925</v>
      </c>
      <c r="T20" t="s">
        <v>827</v>
      </c>
      <c r="U20">
        <v>1999999.9999999925</v>
      </c>
      <c r="V20">
        <v>-274676.52075000759</v>
      </c>
      <c r="X20" t="s">
        <v>722</v>
      </c>
      <c r="Z20">
        <v>89763900</v>
      </c>
      <c r="AA20">
        <v>69027511.600000098</v>
      </c>
      <c r="AB20">
        <v>525790.75</v>
      </c>
      <c r="AC20">
        <v>3087234.18</v>
      </c>
      <c r="AD20">
        <v>17123363.469999902</v>
      </c>
      <c r="AE20">
        <v>17155350.429999799</v>
      </c>
      <c r="AF20">
        <v>-31986.959999896586</v>
      </c>
      <c r="AG20">
        <v>15123363.469999909</v>
      </c>
      <c r="AH20" t="s">
        <v>521</v>
      </c>
      <c r="AI20">
        <v>89786458</v>
      </c>
      <c r="AJ20">
        <v>76465079.940000206</v>
      </c>
      <c r="AK20">
        <v>517174.64</v>
      </c>
      <c r="AL20">
        <v>2943127.77</v>
      </c>
      <c r="AM20">
        <v>9889597.6099998001</v>
      </c>
      <c r="AN20">
        <v>235933.73999999996</v>
      </c>
      <c r="AO20">
        <v>1358179.65075</v>
      </c>
      <c r="AP20">
        <v>680563.13000000012</v>
      </c>
      <c r="AQ20">
        <v>-274676.52075000759</v>
      </c>
      <c r="AR20">
        <v>81921660.917416766</v>
      </c>
      <c r="AS20">
        <v>89481183.258166865</v>
      </c>
    </row>
    <row r="21" spans="1:45" x14ac:dyDescent="0.35">
      <c r="A21" t="s">
        <v>1200</v>
      </c>
      <c r="B21" t="s">
        <v>955</v>
      </c>
      <c r="C21" t="s">
        <v>19</v>
      </c>
      <c r="D21">
        <v>8471140</v>
      </c>
      <c r="E21" t="s">
        <v>518</v>
      </c>
      <c r="F21">
        <v>420570</v>
      </c>
      <c r="G21" t="s">
        <v>23</v>
      </c>
      <c r="H21" t="s">
        <v>519</v>
      </c>
      <c r="S21">
        <v>-3000000</v>
      </c>
      <c r="T21" t="s">
        <v>977</v>
      </c>
      <c r="V21">
        <v>0</v>
      </c>
      <c r="W21">
        <v>3000000</v>
      </c>
      <c r="X21" t="s">
        <v>722</v>
      </c>
      <c r="AG21">
        <v>0</v>
      </c>
      <c r="AH21" t="s">
        <v>519</v>
      </c>
      <c r="AK21">
        <v>0</v>
      </c>
      <c r="AL21">
        <v>0</v>
      </c>
      <c r="AN21">
        <v>0</v>
      </c>
      <c r="AP21">
        <v>0</v>
      </c>
      <c r="AQ21">
        <v>0</v>
      </c>
      <c r="AR21">
        <v>0</v>
      </c>
      <c r="AS21">
        <v>3000000</v>
      </c>
    </row>
    <row r="22" spans="1:45" x14ac:dyDescent="0.35">
      <c r="A22" t="s">
        <v>1200</v>
      </c>
      <c r="B22" t="s">
        <v>955</v>
      </c>
      <c r="C22" t="s">
        <v>19</v>
      </c>
      <c r="D22">
        <v>8471140</v>
      </c>
      <c r="E22" t="s">
        <v>518</v>
      </c>
      <c r="F22">
        <v>420570</v>
      </c>
      <c r="G22" t="s">
        <v>23</v>
      </c>
      <c r="H22" t="s">
        <v>519</v>
      </c>
      <c r="S22">
        <v>-2000000</v>
      </c>
      <c r="T22" t="s">
        <v>976</v>
      </c>
      <c r="V22">
        <v>0</v>
      </c>
      <c r="W22">
        <v>2000000</v>
      </c>
      <c r="X22" t="s">
        <v>722</v>
      </c>
      <c r="AG22">
        <v>0</v>
      </c>
      <c r="AH22" t="s">
        <v>519</v>
      </c>
      <c r="AK22">
        <v>0</v>
      </c>
      <c r="AL22">
        <v>0</v>
      </c>
      <c r="AN22">
        <v>0</v>
      </c>
      <c r="AP22">
        <v>0</v>
      </c>
      <c r="AQ22">
        <v>0</v>
      </c>
      <c r="AR22">
        <v>0</v>
      </c>
      <c r="AS22">
        <v>2000000</v>
      </c>
    </row>
    <row r="23" spans="1:45" x14ac:dyDescent="0.35">
      <c r="A23" t="s">
        <v>1200</v>
      </c>
      <c r="B23" t="s">
        <v>955</v>
      </c>
      <c r="C23" t="s">
        <v>19</v>
      </c>
      <c r="D23">
        <v>8471140</v>
      </c>
      <c r="E23" t="s">
        <v>518</v>
      </c>
      <c r="F23">
        <v>428090</v>
      </c>
      <c r="G23" t="s">
        <v>39</v>
      </c>
      <c r="H23" t="s">
        <v>520</v>
      </c>
      <c r="I23">
        <v>80000</v>
      </c>
      <c r="J23">
        <v>85693</v>
      </c>
      <c r="K23">
        <v>35236.71</v>
      </c>
      <c r="N23">
        <v>50456.29</v>
      </c>
      <c r="S23">
        <v>50456.29</v>
      </c>
      <c r="U23">
        <v>50456.29</v>
      </c>
      <c r="V23">
        <v>45403.16</v>
      </c>
      <c r="X23" t="s">
        <v>722</v>
      </c>
      <c r="Z23">
        <v>85693</v>
      </c>
      <c r="AA23">
        <v>78188.97</v>
      </c>
      <c r="AB23">
        <v>0</v>
      </c>
      <c r="AC23">
        <v>0</v>
      </c>
      <c r="AD23">
        <v>7504.0299999999988</v>
      </c>
      <c r="AE23">
        <v>7504.03</v>
      </c>
      <c r="AF23">
        <v>0</v>
      </c>
      <c r="AG23">
        <v>-42952.26</v>
      </c>
      <c r="AH23" t="s">
        <v>520</v>
      </c>
      <c r="AI23">
        <v>85693</v>
      </c>
      <c r="AJ23">
        <v>78188.97</v>
      </c>
      <c r="AK23">
        <v>0</v>
      </c>
      <c r="AL23">
        <v>0</v>
      </c>
      <c r="AM23">
        <v>7504.03</v>
      </c>
      <c r="AN23">
        <v>5053.13</v>
      </c>
      <c r="AO23">
        <v>0</v>
      </c>
      <c r="AP23">
        <v>0</v>
      </c>
      <c r="AQ23">
        <v>45403.16</v>
      </c>
      <c r="AR23">
        <v>83242.100000000006</v>
      </c>
      <c r="AS23">
        <v>37838.94</v>
      </c>
    </row>
    <row r="24" spans="1:45" x14ac:dyDescent="0.35">
      <c r="A24" t="s">
        <v>1200</v>
      </c>
      <c r="B24" t="s">
        <v>955</v>
      </c>
      <c r="C24" t="s">
        <v>19</v>
      </c>
      <c r="D24">
        <v>8471140</v>
      </c>
      <c r="E24" t="s">
        <v>518</v>
      </c>
      <c r="F24">
        <v>420570</v>
      </c>
      <c r="G24" t="s">
        <v>23</v>
      </c>
      <c r="H24" t="s">
        <v>519</v>
      </c>
      <c r="I24">
        <v>231840</v>
      </c>
      <c r="J24">
        <v>231840</v>
      </c>
      <c r="K24">
        <v>103329.59</v>
      </c>
      <c r="N24">
        <v>128510.41</v>
      </c>
      <c r="S24">
        <v>128510.41</v>
      </c>
      <c r="U24">
        <v>128510.41</v>
      </c>
      <c r="V24">
        <v>127959.16</v>
      </c>
      <c r="X24" t="s">
        <v>722</v>
      </c>
      <c r="Z24">
        <v>231840</v>
      </c>
      <c r="AA24">
        <v>103329.59</v>
      </c>
      <c r="AB24">
        <v>0</v>
      </c>
      <c r="AC24">
        <v>0</v>
      </c>
      <c r="AD24">
        <v>128510.41</v>
      </c>
      <c r="AE24">
        <v>128510.41</v>
      </c>
      <c r="AF24">
        <v>0</v>
      </c>
      <c r="AG24">
        <v>0</v>
      </c>
      <c r="AH24" t="s">
        <v>519</v>
      </c>
      <c r="AI24">
        <v>231840</v>
      </c>
      <c r="AJ24">
        <v>103329.59</v>
      </c>
      <c r="AK24">
        <v>0</v>
      </c>
      <c r="AL24">
        <v>0</v>
      </c>
      <c r="AM24">
        <v>128510.41</v>
      </c>
      <c r="AN24">
        <v>0</v>
      </c>
      <c r="AO24">
        <v>551.25</v>
      </c>
      <c r="AP24">
        <v>0</v>
      </c>
      <c r="AQ24">
        <v>127959.16</v>
      </c>
      <c r="AR24">
        <v>103880.84</v>
      </c>
      <c r="AS24">
        <v>-24078.320000000007</v>
      </c>
    </row>
    <row r="25" spans="1:45" x14ac:dyDescent="0.35">
      <c r="A25" t="s">
        <v>1200</v>
      </c>
      <c r="B25" t="s">
        <v>955</v>
      </c>
      <c r="C25" t="s">
        <v>19</v>
      </c>
      <c r="D25">
        <v>8471130</v>
      </c>
      <c r="E25" t="s">
        <v>512</v>
      </c>
      <c r="F25">
        <v>435523</v>
      </c>
      <c r="G25" t="s">
        <v>81</v>
      </c>
      <c r="H25" t="s">
        <v>517</v>
      </c>
      <c r="I25">
        <v>205962</v>
      </c>
      <c r="J25">
        <v>157190</v>
      </c>
      <c r="K25">
        <v>157599.53</v>
      </c>
      <c r="M25">
        <v>-409.91000000000298</v>
      </c>
      <c r="N25">
        <v>0.38000000000414502</v>
      </c>
      <c r="S25">
        <v>0.38000000000414502</v>
      </c>
      <c r="U25">
        <v>0.38000000000414502</v>
      </c>
      <c r="V25">
        <v>0.38000000000414502</v>
      </c>
      <c r="X25" t="s">
        <v>722</v>
      </c>
      <c r="Z25">
        <v>157190</v>
      </c>
      <c r="AA25">
        <v>157599.53</v>
      </c>
      <c r="AB25">
        <v>0</v>
      </c>
      <c r="AC25">
        <v>-409.91</v>
      </c>
      <c r="AD25">
        <v>0.38000000000118916</v>
      </c>
      <c r="AE25">
        <v>0.38000000000124601</v>
      </c>
      <c r="AF25">
        <v>-5.6843418860808015E-14</v>
      </c>
      <c r="AG25">
        <v>-2.9558577807620168E-12</v>
      </c>
      <c r="AH25" t="s">
        <v>517</v>
      </c>
      <c r="AI25">
        <v>157190</v>
      </c>
      <c r="AJ25">
        <v>157599.53</v>
      </c>
      <c r="AK25">
        <v>0</v>
      </c>
      <c r="AL25">
        <v>-409.91</v>
      </c>
      <c r="AM25">
        <v>0.38000000000124601</v>
      </c>
      <c r="AN25">
        <v>0</v>
      </c>
      <c r="AO25">
        <v>0</v>
      </c>
      <c r="AP25">
        <v>0</v>
      </c>
      <c r="AQ25">
        <v>0.38000000000414502</v>
      </c>
      <c r="AR25">
        <v>157189.62</v>
      </c>
      <c r="AS25">
        <v>157189.24</v>
      </c>
    </row>
    <row r="26" spans="1:45" x14ac:dyDescent="0.35">
      <c r="A26" t="s">
        <v>1200</v>
      </c>
      <c r="B26" t="s">
        <v>955</v>
      </c>
      <c r="C26" t="s">
        <v>19</v>
      </c>
      <c r="D26">
        <v>8471130</v>
      </c>
      <c r="E26" t="s">
        <v>512</v>
      </c>
      <c r="F26">
        <v>428090</v>
      </c>
      <c r="G26" t="s">
        <v>39</v>
      </c>
      <c r="H26" t="s">
        <v>516</v>
      </c>
      <c r="I26">
        <v>70000</v>
      </c>
      <c r="J26">
        <v>66459</v>
      </c>
      <c r="N26">
        <v>66459</v>
      </c>
      <c r="P26">
        <v>22000</v>
      </c>
      <c r="S26">
        <v>44459</v>
      </c>
      <c r="T26" t="s">
        <v>826</v>
      </c>
      <c r="U26">
        <v>44459</v>
      </c>
      <c r="V26">
        <v>44459</v>
      </c>
      <c r="X26" t="s">
        <v>722</v>
      </c>
      <c r="Z26">
        <v>66459</v>
      </c>
      <c r="AA26">
        <v>23760.37</v>
      </c>
      <c r="AB26">
        <v>0</v>
      </c>
      <c r="AC26">
        <v>0</v>
      </c>
      <c r="AD26">
        <v>42698.630000000005</v>
      </c>
      <c r="AE26">
        <v>42698.63</v>
      </c>
      <c r="AF26">
        <v>0</v>
      </c>
      <c r="AG26">
        <v>-1760.3699999999953</v>
      </c>
      <c r="AH26" t="s">
        <v>516</v>
      </c>
      <c r="AI26">
        <v>66459</v>
      </c>
      <c r="AJ26">
        <v>23760.37</v>
      </c>
      <c r="AK26">
        <v>0</v>
      </c>
      <c r="AL26">
        <v>0</v>
      </c>
      <c r="AM26">
        <v>42698.63</v>
      </c>
      <c r="AN26">
        <v>0</v>
      </c>
      <c r="AO26">
        <v>0</v>
      </c>
      <c r="AP26">
        <v>0</v>
      </c>
      <c r="AQ26">
        <v>44459</v>
      </c>
      <c r="AR26">
        <v>23760.37</v>
      </c>
      <c r="AS26">
        <v>-20698.63</v>
      </c>
    </row>
    <row r="27" spans="1:45" x14ac:dyDescent="0.35">
      <c r="A27" t="s">
        <v>1200</v>
      </c>
      <c r="B27" t="s">
        <v>955</v>
      </c>
      <c r="C27" t="s">
        <v>19</v>
      </c>
      <c r="D27">
        <v>8471130</v>
      </c>
      <c r="E27" t="s">
        <v>512</v>
      </c>
      <c r="F27">
        <v>427900</v>
      </c>
      <c r="G27" t="s">
        <v>459</v>
      </c>
      <c r="H27" t="s">
        <v>515</v>
      </c>
      <c r="I27">
        <v>5000</v>
      </c>
      <c r="J27">
        <v>0</v>
      </c>
      <c r="N27">
        <v>0</v>
      </c>
      <c r="S27">
        <v>0</v>
      </c>
      <c r="U27">
        <v>0</v>
      </c>
      <c r="V27">
        <v>0</v>
      </c>
      <c r="X27" t="s">
        <v>722</v>
      </c>
      <c r="Z27">
        <v>0</v>
      </c>
      <c r="AA27">
        <v>0</v>
      </c>
      <c r="AB27">
        <v>0</v>
      </c>
      <c r="AC27">
        <v>0</v>
      </c>
      <c r="AD27">
        <v>0</v>
      </c>
      <c r="AE27">
        <v>0</v>
      </c>
      <c r="AF27">
        <v>0</v>
      </c>
      <c r="AG27">
        <v>0</v>
      </c>
      <c r="AH27" t="s">
        <v>515</v>
      </c>
      <c r="AI27">
        <v>0</v>
      </c>
      <c r="AJ27">
        <v>0</v>
      </c>
      <c r="AK27">
        <v>0</v>
      </c>
      <c r="AL27">
        <v>0</v>
      </c>
      <c r="AM27">
        <v>0</v>
      </c>
      <c r="AN27">
        <v>0</v>
      </c>
      <c r="AO27">
        <v>0</v>
      </c>
      <c r="AP27">
        <v>0</v>
      </c>
      <c r="AQ27">
        <v>0</v>
      </c>
      <c r="AR27">
        <v>0</v>
      </c>
      <c r="AS27">
        <v>0</v>
      </c>
    </row>
    <row r="28" spans="1:45" x14ac:dyDescent="0.35">
      <c r="A28" t="s">
        <v>1200</v>
      </c>
      <c r="B28" t="s">
        <v>955</v>
      </c>
      <c r="C28" t="s">
        <v>19</v>
      </c>
      <c r="D28">
        <v>8471130</v>
      </c>
      <c r="E28" t="s">
        <v>512</v>
      </c>
      <c r="F28">
        <v>426610</v>
      </c>
      <c r="G28" t="s">
        <v>37</v>
      </c>
      <c r="H28" t="s">
        <v>514</v>
      </c>
      <c r="I28">
        <v>0</v>
      </c>
      <c r="J28">
        <v>171900</v>
      </c>
      <c r="K28">
        <v>171712.75</v>
      </c>
      <c r="N28">
        <v>187.25</v>
      </c>
      <c r="S28">
        <v>187.25</v>
      </c>
      <c r="U28">
        <v>187.25</v>
      </c>
      <c r="V28">
        <v>187.25</v>
      </c>
      <c r="X28" t="s">
        <v>722</v>
      </c>
      <c r="Z28">
        <v>171900</v>
      </c>
      <c r="AA28">
        <v>171712.75</v>
      </c>
      <c r="AB28">
        <v>0</v>
      </c>
      <c r="AC28">
        <v>0</v>
      </c>
      <c r="AD28">
        <v>187.25</v>
      </c>
      <c r="AE28">
        <v>187.25</v>
      </c>
      <c r="AF28">
        <v>0</v>
      </c>
      <c r="AG28">
        <v>0</v>
      </c>
      <c r="AH28" t="s">
        <v>514</v>
      </c>
      <c r="AI28">
        <v>171900</v>
      </c>
      <c r="AJ28">
        <v>171712.75</v>
      </c>
      <c r="AK28">
        <v>0</v>
      </c>
      <c r="AL28">
        <v>0</v>
      </c>
      <c r="AM28">
        <v>187.25</v>
      </c>
      <c r="AN28">
        <v>0</v>
      </c>
      <c r="AO28">
        <v>0</v>
      </c>
      <c r="AP28">
        <v>0</v>
      </c>
      <c r="AQ28">
        <v>187.25</v>
      </c>
      <c r="AR28">
        <v>171712.75</v>
      </c>
      <c r="AS28">
        <v>171525.5</v>
      </c>
    </row>
    <row r="29" spans="1:45" x14ac:dyDescent="0.35">
      <c r="A29" t="s">
        <v>1200</v>
      </c>
      <c r="B29" t="s">
        <v>955</v>
      </c>
      <c r="C29" t="s">
        <v>19</v>
      </c>
      <c r="D29">
        <v>8471130</v>
      </c>
      <c r="E29" t="s">
        <v>512</v>
      </c>
      <c r="F29">
        <v>420811</v>
      </c>
      <c r="G29" t="s">
        <v>469</v>
      </c>
      <c r="H29" t="s">
        <v>513</v>
      </c>
      <c r="I29">
        <v>0</v>
      </c>
      <c r="J29">
        <v>306385</v>
      </c>
      <c r="L29">
        <v>276944.2</v>
      </c>
      <c r="N29">
        <v>29440.799999999988</v>
      </c>
      <c r="Q29">
        <v>29440.799999999999</v>
      </c>
      <c r="S29">
        <v>0</v>
      </c>
      <c r="T29" t="s">
        <v>825</v>
      </c>
      <c r="U29">
        <v>0</v>
      </c>
      <c r="V29">
        <v>0</v>
      </c>
      <c r="X29" t="s">
        <v>722</v>
      </c>
      <c r="Z29">
        <v>306385</v>
      </c>
      <c r="AA29">
        <v>0</v>
      </c>
      <c r="AB29">
        <v>276944.2</v>
      </c>
      <c r="AC29">
        <v>0</v>
      </c>
      <c r="AD29">
        <v>29440.799999999988</v>
      </c>
      <c r="AE29">
        <v>29440.799999999999</v>
      </c>
      <c r="AF29">
        <v>0</v>
      </c>
      <c r="AG29">
        <v>29440.799999999988</v>
      </c>
      <c r="AH29" t="s">
        <v>513</v>
      </c>
      <c r="AI29">
        <v>306385</v>
      </c>
      <c r="AJ29">
        <v>0</v>
      </c>
      <c r="AK29">
        <v>276944.2</v>
      </c>
      <c r="AL29">
        <v>0</v>
      </c>
      <c r="AM29">
        <v>29440.799999999999</v>
      </c>
      <c r="AN29">
        <v>0</v>
      </c>
      <c r="AO29">
        <v>0</v>
      </c>
      <c r="AP29">
        <v>0</v>
      </c>
      <c r="AQ29">
        <v>0</v>
      </c>
      <c r="AR29">
        <v>306385</v>
      </c>
      <c r="AS29">
        <v>306385</v>
      </c>
    </row>
    <row r="30" spans="1:45" x14ac:dyDescent="0.35">
      <c r="A30" t="s">
        <v>1200</v>
      </c>
      <c r="B30" t="s">
        <v>955</v>
      </c>
      <c r="C30" t="s">
        <v>19</v>
      </c>
      <c r="D30">
        <v>8471122</v>
      </c>
      <c r="E30" t="s">
        <v>509</v>
      </c>
      <c r="F30">
        <v>428090</v>
      </c>
      <c r="G30" t="s">
        <v>39</v>
      </c>
      <c r="H30" t="s">
        <v>511</v>
      </c>
      <c r="I30">
        <v>0</v>
      </c>
      <c r="J30">
        <v>13623</v>
      </c>
      <c r="N30">
        <v>13623</v>
      </c>
      <c r="S30">
        <v>13623</v>
      </c>
      <c r="U30">
        <v>13623</v>
      </c>
      <c r="V30">
        <v>13623</v>
      </c>
      <c r="X30" t="s">
        <v>722</v>
      </c>
      <c r="Z30">
        <v>13623</v>
      </c>
      <c r="AA30">
        <v>0</v>
      </c>
      <c r="AB30">
        <v>0</v>
      </c>
      <c r="AC30">
        <v>0</v>
      </c>
      <c r="AD30">
        <v>13623</v>
      </c>
      <c r="AE30">
        <v>13623</v>
      </c>
      <c r="AF30">
        <v>0</v>
      </c>
      <c r="AG30">
        <v>0</v>
      </c>
      <c r="AH30" t="s">
        <v>511</v>
      </c>
      <c r="AI30">
        <v>13623</v>
      </c>
      <c r="AJ30">
        <v>0</v>
      </c>
      <c r="AK30">
        <v>0</v>
      </c>
      <c r="AL30">
        <v>0</v>
      </c>
      <c r="AM30">
        <v>13623</v>
      </c>
      <c r="AN30">
        <v>0</v>
      </c>
      <c r="AO30">
        <v>0</v>
      </c>
      <c r="AP30">
        <v>0</v>
      </c>
      <c r="AQ30">
        <v>13623</v>
      </c>
      <c r="AR30">
        <v>0</v>
      </c>
      <c r="AS30">
        <v>-13623</v>
      </c>
    </row>
    <row r="31" spans="1:45" x14ac:dyDescent="0.35">
      <c r="A31" t="s">
        <v>1200</v>
      </c>
      <c r="B31" t="s">
        <v>955</v>
      </c>
      <c r="C31" t="s">
        <v>19</v>
      </c>
      <c r="D31">
        <v>8471122</v>
      </c>
      <c r="E31" t="s">
        <v>509</v>
      </c>
      <c r="F31">
        <v>425900</v>
      </c>
      <c r="G31" t="s">
        <v>35</v>
      </c>
      <c r="H31" t="s">
        <v>510</v>
      </c>
      <c r="I31">
        <v>0</v>
      </c>
      <c r="J31">
        <v>50000</v>
      </c>
      <c r="N31">
        <v>50000</v>
      </c>
      <c r="S31">
        <v>50000</v>
      </c>
      <c r="U31">
        <v>50000</v>
      </c>
      <c r="V31">
        <v>50000</v>
      </c>
      <c r="X31" t="s">
        <v>722</v>
      </c>
      <c r="Z31">
        <v>50000</v>
      </c>
      <c r="AA31">
        <v>0</v>
      </c>
      <c r="AB31">
        <v>0</v>
      </c>
      <c r="AC31">
        <v>0</v>
      </c>
      <c r="AD31">
        <v>50000</v>
      </c>
      <c r="AE31">
        <v>50000</v>
      </c>
      <c r="AF31">
        <v>0</v>
      </c>
      <c r="AG31">
        <v>0</v>
      </c>
      <c r="AH31" t="s">
        <v>510</v>
      </c>
      <c r="AI31">
        <v>50000</v>
      </c>
      <c r="AJ31">
        <v>0</v>
      </c>
      <c r="AK31">
        <v>0</v>
      </c>
      <c r="AL31">
        <v>0</v>
      </c>
      <c r="AM31">
        <v>50000</v>
      </c>
      <c r="AN31">
        <v>0</v>
      </c>
      <c r="AO31">
        <v>0</v>
      </c>
      <c r="AP31">
        <v>0</v>
      </c>
      <c r="AQ31">
        <v>50000</v>
      </c>
      <c r="AR31">
        <v>0</v>
      </c>
      <c r="AS31">
        <v>-50000</v>
      </c>
    </row>
    <row r="32" spans="1:45" x14ac:dyDescent="0.35">
      <c r="A32" t="s">
        <v>1200</v>
      </c>
      <c r="B32" t="s">
        <v>955</v>
      </c>
      <c r="C32" t="s">
        <v>19</v>
      </c>
      <c r="D32">
        <v>8471121</v>
      </c>
      <c r="E32" t="s">
        <v>503</v>
      </c>
      <c r="F32">
        <v>435523</v>
      </c>
      <c r="G32" t="s">
        <v>81</v>
      </c>
      <c r="H32" t="s">
        <v>508</v>
      </c>
      <c r="I32">
        <v>926280</v>
      </c>
      <c r="J32">
        <v>826280</v>
      </c>
      <c r="N32">
        <v>826280</v>
      </c>
      <c r="S32">
        <v>826280</v>
      </c>
      <c r="U32">
        <v>826280</v>
      </c>
      <c r="V32">
        <v>826280</v>
      </c>
      <c r="X32" t="s">
        <v>722</v>
      </c>
      <c r="Z32">
        <v>826280</v>
      </c>
      <c r="AA32">
        <v>0</v>
      </c>
      <c r="AB32">
        <v>0</v>
      </c>
      <c r="AC32">
        <v>0</v>
      </c>
      <c r="AD32">
        <v>826280</v>
      </c>
      <c r="AE32">
        <v>826280</v>
      </c>
      <c r="AF32">
        <v>0</v>
      </c>
      <c r="AG32">
        <v>0</v>
      </c>
      <c r="AH32" t="s">
        <v>508</v>
      </c>
      <c r="AI32">
        <v>826280</v>
      </c>
      <c r="AJ32">
        <v>0</v>
      </c>
      <c r="AK32">
        <v>0</v>
      </c>
      <c r="AL32">
        <v>0</v>
      </c>
      <c r="AM32">
        <v>826280</v>
      </c>
      <c r="AN32">
        <v>0</v>
      </c>
      <c r="AO32">
        <v>0</v>
      </c>
      <c r="AP32">
        <v>0</v>
      </c>
      <c r="AQ32">
        <v>826280</v>
      </c>
      <c r="AR32">
        <v>0</v>
      </c>
      <c r="AS32">
        <v>-826280</v>
      </c>
    </row>
    <row r="33" spans="1:45" x14ac:dyDescent="0.35">
      <c r="A33" t="s">
        <v>1200</v>
      </c>
      <c r="B33" t="s">
        <v>955</v>
      </c>
      <c r="C33" t="s">
        <v>19</v>
      </c>
      <c r="D33">
        <v>8471121</v>
      </c>
      <c r="E33" t="s">
        <v>503</v>
      </c>
      <c r="F33">
        <v>432170</v>
      </c>
      <c r="G33" t="s">
        <v>390</v>
      </c>
      <c r="H33" t="s">
        <v>507</v>
      </c>
      <c r="I33">
        <v>500000</v>
      </c>
      <c r="J33">
        <v>0</v>
      </c>
      <c r="N33">
        <v>0</v>
      </c>
      <c r="S33">
        <v>0</v>
      </c>
      <c r="U33">
        <v>0</v>
      </c>
      <c r="V33">
        <v>0</v>
      </c>
      <c r="X33" t="s">
        <v>722</v>
      </c>
      <c r="Z33">
        <v>0</v>
      </c>
      <c r="AA33">
        <v>0</v>
      </c>
      <c r="AB33">
        <v>0</v>
      </c>
      <c r="AC33">
        <v>0</v>
      </c>
      <c r="AD33">
        <v>0</v>
      </c>
      <c r="AE33">
        <v>0</v>
      </c>
      <c r="AF33">
        <v>0</v>
      </c>
      <c r="AG33">
        <v>0</v>
      </c>
      <c r="AH33" t="s">
        <v>507</v>
      </c>
      <c r="AI33">
        <v>0</v>
      </c>
      <c r="AJ33">
        <v>0</v>
      </c>
      <c r="AK33">
        <v>0</v>
      </c>
      <c r="AL33">
        <v>0</v>
      </c>
      <c r="AM33">
        <v>0</v>
      </c>
      <c r="AN33">
        <v>0</v>
      </c>
      <c r="AO33">
        <v>0</v>
      </c>
      <c r="AP33">
        <v>0</v>
      </c>
      <c r="AQ33">
        <v>0</v>
      </c>
      <c r="AR33">
        <v>0</v>
      </c>
      <c r="AS33">
        <v>0</v>
      </c>
    </row>
    <row r="34" spans="1:45" x14ac:dyDescent="0.35">
      <c r="A34" t="s">
        <v>1200</v>
      </c>
      <c r="B34" t="s">
        <v>955</v>
      </c>
      <c r="C34" t="s">
        <v>19</v>
      </c>
      <c r="D34">
        <v>8471121</v>
      </c>
      <c r="E34" t="s">
        <v>503</v>
      </c>
      <c r="F34">
        <v>428090</v>
      </c>
      <c r="G34" t="s">
        <v>39</v>
      </c>
      <c r="H34" t="s">
        <v>506</v>
      </c>
      <c r="I34">
        <v>50000</v>
      </c>
      <c r="J34">
        <v>13623</v>
      </c>
      <c r="N34">
        <v>13623</v>
      </c>
      <c r="S34">
        <v>13623</v>
      </c>
      <c r="U34">
        <v>13623</v>
      </c>
      <c r="V34">
        <v>13623</v>
      </c>
      <c r="X34" t="s">
        <v>722</v>
      </c>
      <c r="Z34">
        <v>13623</v>
      </c>
      <c r="AA34">
        <v>0</v>
      </c>
      <c r="AB34">
        <v>0</v>
      </c>
      <c r="AC34">
        <v>0</v>
      </c>
      <c r="AD34">
        <v>13623</v>
      </c>
      <c r="AE34">
        <v>13623</v>
      </c>
      <c r="AF34">
        <v>0</v>
      </c>
      <c r="AG34">
        <v>0</v>
      </c>
      <c r="AH34" t="s">
        <v>506</v>
      </c>
      <c r="AI34">
        <v>13623</v>
      </c>
      <c r="AJ34">
        <v>0</v>
      </c>
      <c r="AK34">
        <v>0</v>
      </c>
      <c r="AL34">
        <v>0</v>
      </c>
      <c r="AM34">
        <v>13623</v>
      </c>
      <c r="AN34">
        <v>0</v>
      </c>
      <c r="AO34">
        <v>0</v>
      </c>
      <c r="AP34">
        <v>0</v>
      </c>
      <c r="AQ34">
        <v>13623</v>
      </c>
      <c r="AR34">
        <v>0</v>
      </c>
      <c r="AS34">
        <v>-13623</v>
      </c>
    </row>
    <row r="35" spans="1:45" x14ac:dyDescent="0.35">
      <c r="A35" t="s">
        <v>1200</v>
      </c>
      <c r="B35" t="s">
        <v>955</v>
      </c>
      <c r="C35" t="s">
        <v>19</v>
      </c>
      <c r="D35">
        <v>8471121</v>
      </c>
      <c r="E35" t="s">
        <v>503</v>
      </c>
      <c r="F35">
        <v>425900</v>
      </c>
      <c r="G35" t="s">
        <v>35</v>
      </c>
      <c r="H35" t="s">
        <v>505</v>
      </c>
      <c r="I35">
        <v>15000</v>
      </c>
      <c r="J35">
        <v>15000</v>
      </c>
      <c r="N35">
        <v>15000</v>
      </c>
      <c r="S35">
        <v>15000</v>
      </c>
      <c r="U35">
        <v>15000</v>
      </c>
      <c r="V35">
        <v>15000</v>
      </c>
      <c r="X35" t="s">
        <v>722</v>
      </c>
      <c r="Z35">
        <v>15000</v>
      </c>
      <c r="AA35">
        <v>0</v>
      </c>
      <c r="AB35">
        <v>0</v>
      </c>
      <c r="AC35">
        <v>0</v>
      </c>
      <c r="AD35">
        <v>15000</v>
      </c>
      <c r="AE35">
        <v>15000</v>
      </c>
      <c r="AF35">
        <v>0</v>
      </c>
      <c r="AG35">
        <v>0</v>
      </c>
      <c r="AH35" t="s">
        <v>505</v>
      </c>
      <c r="AI35">
        <v>15000</v>
      </c>
      <c r="AJ35">
        <v>0</v>
      </c>
      <c r="AK35">
        <v>0</v>
      </c>
      <c r="AL35">
        <v>0</v>
      </c>
      <c r="AM35">
        <v>15000</v>
      </c>
      <c r="AN35">
        <v>0</v>
      </c>
      <c r="AO35">
        <v>0</v>
      </c>
      <c r="AP35">
        <v>0</v>
      </c>
      <c r="AQ35">
        <v>15000</v>
      </c>
      <c r="AR35">
        <v>0</v>
      </c>
      <c r="AS35">
        <v>-15000</v>
      </c>
    </row>
    <row r="36" spans="1:45" x14ac:dyDescent="0.35">
      <c r="A36" t="s">
        <v>1200</v>
      </c>
      <c r="B36" t="s">
        <v>955</v>
      </c>
      <c r="C36" t="s">
        <v>19</v>
      </c>
      <c r="D36">
        <v>8471121</v>
      </c>
      <c r="E36" t="s">
        <v>503</v>
      </c>
      <c r="F36">
        <v>425510</v>
      </c>
      <c r="G36" t="s">
        <v>31</v>
      </c>
      <c r="H36" t="s">
        <v>504</v>
      </c>
      <c r="I36">
        <v>50000</v>
      </c>
      <c r="J36">
        <v>50000</v>
      </c>
      <c r="N36">
        <v>50000</v>
      </c>
      <c r="S36">
        <v>50000</v>
      </c>
      <c r="U36">
        <v>50000</v>
      </c>
      <c r="V36">
        <v>50000</v>
      </c>
      <c r="X36" t="s">
        <v>722</v>
      </c>
      <c r="Z36">
        <v>50000</v>
      </c>
      <c r="AA36">
        <v>0</v>
      </c>
      <c r="AB36">
        <v>0</v>
      </c>
      <c r="AC36">
        <v>0</v>
      </c>
      <c r="AD36">
        <v>50000</v>
      </c>
      <c r="AE36">
        <v>50000</v>
      </c>
      <c r="AF36">
        <v>0</v>
      </c>
      <c r="AG36">
        <v>0</v>
      </c>
      <c r="AH36" t="s">
        <v>504</v>
      </c>
      <c r="AI36">
        <v>50000</v>
      </c>
      <c r="AJ36">
        <v>0</v>
      </c>
      <c r="AK36">
        <v>0</v>
      </c>
      <c r="AL36">
        <v>0</v>
      </c>
      <c r="AM36">
        <v>50000</v>
      </c>
      <c r="AN36">
        <v>0</v>
      </c>
      <c r="AO36">
        <v>0</v>
      </c>
      <c r="AP36">
        <v>0</v>
      </c>
      <c r="AQ36">
        <v>50000</v>
      </c>
      <c r="AR36">
        <v>0</v>
      </c>
      <c r="AS36">
        <v>-50000</v>
      </c>
    </row>
    <row r="37" spans="1:45" x14ac:dyDescent="0.35">
      <c r="A37" t="s">
        <v>1200</v>
      </c>
      <c r="B37" t="s">
        <v>955</v>
      </c>
      <c r="C37" t="s">
        <v>19</v>
      </c>
      <c r="D37">
        <v>8471120</v>
      </c>
      <c r="E37" t="s">
        <v>498</v>
      </c>
      <c r="F37">
        <v>435523</v>
      </c>
      <c r="G37" t="s">
        <v>81</v>
      </c>
      <c r="H37" t="s">
        <v>502</v>
      </c>
      <c r="I37">
        <v>25510</v>
      </c>
      <c r="J37">
        <v>0</v>
      </c>
      <c r="N37">
        <v>0</v>
      </c>
      <c r="S37">
        <v>0</v>
      </c>
      <c r="U37">
        <v>0</v>
      </c>
      <c r="V37">
        <v>0</v>
      </c>
      <c r="X37" t="s">
        <v>722</v>
      </c>
      <c r="Z37">
        <v>0</v>
      </c>
      <c r="AA37">
        <v>0</v>
      </c>
      <c r="AB37">
        <v>0</v>
      </c>
      <c r="AC37">
        <v>0</v>
      </c>
      <c r="AD37">
        <v>0</v>
      </c>
      <c r="AE37">
        <v>0</v>
      </c>
      <c r="AF37">
        <v>0</v>
      </c>
      <c r="AG37">
        <v>0</v>
      </c>
      <c r="AH37" t="s">
        <v>502</v>
      </c>
      <c r="AI37">
        <v>0</v>
      </c>
      <c r="AJ37">
        <v>0</v>
      </c>
      <c r="AK37">
        <v>0</v>
      </c>
      <c r="AL37">
        <v>0</v>
      </c>
      <c r="AM37">
        <v>0</v>
      </c>
      <c r="AN37">
        <v>0</v>
      </c>
      <c r="AO37">
        <v>0</v>
      </c>
      <c r="AP37">
        <v>0</v>
      </c>
      <c r="AQ37">
        <v>0</v>
      </c>
      <c r="AR37">
        <v>0</v>
      </c>
      <c r="AS37">
        <v>0</v>
      </c>
    </row>
    <row r="38" spans="1:45" x14ac:dyDescent="0.35">
      <c r="A38" t="s">
        <v>1200</v>
      </c>
      <c r="B38" t="s">
        <v>955</v>
      </c>
      <c r="C38" t="s">
        <v>19</v>
      </c>
      <c r="D38">
        <v>8471120</v>
      </c>
      <c r="E38" t="s">
        <v>498</v>
      </c>
      <c r="F38">
        <v>429900</v>
      </c>
      <c r="G38" t="s">
        <v>413</v>
      </c>
      <c r="H38" t="s">
        <v>501</v>
      </c>
      <c r="I38">
        <v>55510</v>
      </c>
      <c r="J38">
        <v>55510</v>
      </c>
      <c r="N38">
        <v>55510</v>
      </c>
      <c r="O38">
        <v>10000</v>
      </c>
      <c r="P38">
        <v>22755</v>
      </c>
      <c r="Q38">
        <v>22755</v>
      </c>
      <c r="R38" t="s">
        <v>812</v>
      </c>
      <c r="S38">
        <v>0</v>
      </c>
      <c r="U38">
        <v>0</v>
      </c>
      <c r="V38">
        <v>0</v>
      </c>
      <c r="X38" t="s">
        <v>722</v>
      </c>
      <c r="Z38">
        <v>55510</v>
      </c>
      <c r="AA38">
        <v>0</v>
      </c>
      <c r="AB38">
        <v>0</v>
      </c>
      <c r="AC38">
        <v>0</v>
      </c>
      <c r="AD38">
        <v>55510</v>
      </c>
      <c r="AE38">
        <v>55510</v>
      </c>
      <c r="AF38">
        <v>0</v>
      </c>
      <c r="AG38">
        <v>55510</v>
      </c>
      <c r="AH38" t="s">
        <v>501</v>
      </c>
      <c r="AI38">
        <v>55510</v>
      </c>
      <c r="AJ38">
        <v>0</v>
      </c>
      <c r="AK38">
        <v>0</v>
      </c>
      <c r="AL38">
        <v>0</v>
      </c>
      <c r="AM38">
        <v>55510</v>
      </c>
      <c r="AN38">
        <v>0</v>
      </c>
      <c r="AO38">
        <v>0</v>
      </c>
      <c r="AP38">
        <v>0</v>
      </c>
      <c r="AQ38">
        <v>0</v>
      </c>
      <c r="AR38">
        <v>22755</v>
      </c>
      <c r="AS38">
        <v>22755</v>
      </c>
    </row>
    <row r="39" spans="1:45" x14ac:dyDescent="0.35">
      <c r="A39" t="s">
        <v>1200</v>
      </c>
      <c r="B39" t="s">
        <v>955</v>
      </c>
      <c r="C39" t="s">
        <v>19</v>
      </c>
      <c r="D39">
        <v>8471120</v>
      </c>
      <c r="E39" t="s">
        <v>498</v>
      </c>
      <c r="F39">
        <v>428090</v>
      </c>
      <c r="G39" t="s">
        <v>39</v>
      </c>
      <c r="H39" t="s">
        <v>500</v>
      </c>
      <c r="I39">
        <v>220000</v>
      </c>
      <c r="J39">
        <v>59942</v>
      </c>
      <c r="N39">
        <v>59942</v>
      </c>
      <c r="O39">
        <v>0</v>
      </c>
      <c r="P39">
        <v>19000</v>
      </c>
      <c r="Q39">
        <v>40942</v>
      </c>
      <c r="R39" t="s">
        <v>811</v>
      </c>
      <c r="S39">
        <v>0</v>
      </c>
      <c r="U39">
        <v>0</v>
      </c>
      <c r="V39">
        <v>-10495</v>
      </c>
      <c r="X39" t="s">
        <v>722</v>
      </c>
      <c r="Z39">
        <v>59942</v>
      </c>
      <c r="AA39">
        <v>8721</v>
      </c>
      <c r="AB39">
        <v>0</v>
      </c>
      <c r="AC39">
        <v>0</v>
      </c>
      <c r="AD39">
        <v>51221</v>
      </c>
      <c r="AE39">
        <v>51221</v>
      </c>
      <c r="AF39">
        <v>0</v>
      </c>
      <c r="AG39">
        <v>51221</v>
      </c>
      <c r="AH39" t="s">
        <v>500</v>
      </c>
      <c r="AI39">
        <v>59942</v>
      </c>
      <c r="AJ39">
        <v>8721</v>
      </c>
      <c r="AK39">
        <v>0</v>
      </c>
      <c r="AL39">
        <v>0</v>
      </c>
      <c r="AM39">
        <v>51221</v>
      </c>
      <c r="AN39">
        <v>0</v>
      </c>
      <c r="AO39">
        <v>0</v>
      </c>
      <c r="AP39">
        <v>10495</v>
      </c>
      <c r="AQ39">
        <v>-10495</v>
      </c>
      <c r="AR39">
        <v>60158</v>
      </c>
      <c r="AS39">
        <v>70653</v>
      </c>
    </row>
    <row r="40" spans="1:45" x14ac:dyDescent="0.35">
      <c r="A40" t="s">
        <v>1200</v>
      </c>
      <c r="B40" t="s">
        <v>955</v>
      </c>
      <c r="C40" t="s">
        <v>19</v>
      </c>
      <c r="D40">
        <v>8471120</v>
      </c>
      <c r="E40" t="s">
        <v>498</v>
      </c>
      <c r="F40">
        <v>425900</v>
      </c>
      <c r="G40" t="s">
        <v>35</v>
      </c>
      <c r="H40" t="s">
        <v>499</v>
      </c>
      <c r="I40">
        <v>110000</v>
      </c>
      <c r="J40">
        <v>110000</v>
      </c>
      <c r="N40">
        <v>110000</v>
      </c>
      <c r="O40">
        <v>0</v>
      </c>
      <c r="P40">
        <v>50000</v>
      </c>
      <c r="Q40">
        <v>60000</v>
      </c>
      <c r="R40" t="s">
        <v>810</v>
      </c>
      <c r="S40">
        <v>0</v>
      </c>
      <c r="U40">
        <v>0</v>
      </c>
      <c r="V40">
        <v>0</v>
      </c>
      <c r="X40" t="s">
        <v>722</v>
      </c>
      <c r="Z40">
        <v>110000</v>
      </c>
      <c r="AA40">
        <v>0</v>
      </c>
      <c r="AB40">
        <v>0</v>
      </c>
      <c r="AC40">
        <v>0</v>
      </c>
      <c r="AD40">
        <v>110000</v>
      </c>
      <c r="AE40">
        <v>110000</v>
      </c>
      <c r="AF40">
        <v>0</v>
      </c>
      <c r="AG40">
        <v>110000</v>
      </c>
      <c r="AH40" t="s">
        <v>499</v>
      </c>
      <c r="AI40">
        <v>110000</v>
      </c>
      <c r="AJ40">
        <v>0</v>
      </c>
      <c r="AK40">
        <v>0</v>
      </c>
      <c r="AL40">
        <v>0</v>
      </c>
      <c r="AM40">
        <v>110000</v>
      </c>
      <c r="AN40">
        <v>0</v>
      </c>
      <c r="AO40">
        <v>0</v>
      </c>
      <c r="AP40">
        <v>0</v>
      </c>
      <c r="AQ40">
        <v>0</v>
      </c>
      <c r="AR40">
        <v>60000</v>
      </c>
      <c r="AS40">
        <v>60000</v>
      </c>
    </row>
    <row r="41" spans="1:45" x14ac:dyDescent="0.35">
      <c r="A41" t="s">
        <v>1200</v>
      </c>
      <c r="B41" t="s">
        <v>955</v>
      </c>
      <c r="C41" t="s">
        <v>19</v>
      </c>
      <c r="D41">
        <v>8471110</v>
      </c>
      <c r="E41" t="s">
        <v>493</v>
      </c>
      <c r="F41">
        <v>435508</v>
      </c>
      <c r="G41" t="s">
        <v>135</v>
      </c>
      <c r="H41" t="s">
        <v>497</v>
      </c>
      <c r="I41">
        <v>0</v>
      </c>
      <c r="J41">
        <v>2000</v>
      </c>
      <c r="K41">
        <v>1875</v>
      </c>
      <c r="N41">
        <v>125</v>
      </c>
      <c r="S41">
        <v>125</v>
      </c>
      <c r="U41">
        <v>125</v>
      </c>
      <c r="V41">
        <v>125</v>
      </c>
      <c r="X41" t="s">
        <v>722</v>
      </c>
      <c r="Z41">
        <v>2000</v>
      </c>
      <c r="AA41">
        <v>1875</v>
      </c>
      <c r="AB41">
        <v>0</v>
      </c>
      <c r="AC41">
        <v>0</v>
      </c>
      <c r="AD41">
        <v>125</v>
      </c>
      <c r="AE41">
        <v>125</v>
      </c>
      <c r="AF41">
        <v>0</v>
      </c>
      <c r="AG41">
        <v>0</v>
      </c>
      <c r="AH41" t="s">
        <v>497</v>
      </c>
      <c r="AI41">
        <v>2000</v>
      </c>
      <c r="AJ41">
        <v>1875</v>
      </c>
      <c r="AK41">
        <v>0</v>
      </c>
      <c r="AL41">
        <v>0</v>
      </c>
      <c r="AM41">
        <v>125</v>
      </c>
      <c r="AN41">
        <v>0</v>
      </c>
      <c r="AO41">
        <v>0</v>
      </c>
      <c r="AP41">
        <v>0</v>
      </c>
      <c r="AQ41">
        <v>125</v>
      </c>
      <c r="AR41">
        <v>1875</v>
      </c>
      <c r="AS41">
        <v>1750</v>
      </c>
    </row>
    <row r="42" spans="1:45" x14ac:dyDescent="0.35">
      <c r="A42" t="s">
        <v>1200</v>
      </c>
      <c r="B42" t="s">
        <v>955</v>
      </c>
      <c r="C42" t="s">
        <v>19</v>
      </c>
      <c r="D42">
        <v>8471110</v>
      </c>
      <c r="E42" t="s">
        <v>493</v>
      </c>
      <c r="F42">
        <v>428090</v>
      </c>
      <c r="G42" t="s">
        <v>39</v>
      </c>
      <c r="H42" t="s">
        <v>496</v>
      </c>
      <c r="I42">
        <v>100000</v>
      </c>
      <c r="J42">
        <v>27246</v>
      </c>
      <c r="N42">
        <v>27246</v>
      </c>
      <c r="Q42">
        <v>27246</v>
      </c>
      <c r="R42" t="s">
        <v>809</v>
      </c>
      <c r="S42">
        <v>0</v>
      </c>
      <c r="T42" t="s">
        <v>824</v>
      </c>
      <c r="U42">
        <v>0</v>
      </c>
      <c r="V42">
        <v>-18095</v>
      </c>
      <c r="X42" t="s">
        <v>722</v>
      </c>
      <c r="Z42">
        <v>52246</v>
      </c>
      <c r="AA42">
        <v>21955</v>
      </c>
      <c r="AB42">
        <v>0</v>
      </c>
      <c r="AC42">
        <v>0</v>
      </c>
      <c r="AD42">
        <v>30291</v>
      </c>
      <c r="AE42">
        <v>30291</v>
      </c>
      <c r="AF42">
        <v>0</v>
      </c>
      <c r="AG42">
        <v>30291</v>
      </c>
      <c r="AH42" t="s">
        <v>496</v>
      </c>
      <c r="AI42">
        <v>52246</v>
      </c>
      <c r="AJ42">
        <v>48418.080000000002</v>
      </c>
      <c r="AK42">
        <v>0</v>
      </c>
      <c r="AL42">
        <v>0</v>
      </c>
      <c r="AM42">
        <v>3827.92</v>
      </c>
      <c r="AN42">
        <v>0</v>
      </c>
      <c r="AO42">
        <v>0</v>
      </c>
      <c r="AP42">
        <v>18095</v>
      </c>
      <c r="AQ42">
        <v>-18095</v>
      </c>
      <c r="AR42">
        <v>67296</v>
      </c>
      <c r="AS42">
        <v>111854.08</v>
      </c>
    </row>
    <row r="43" spans="1:45" x14ac:dyDescent="0.35">
      <c r="A43" t="s">
        <v>1200</v>
      </c>
      <c r="B43" t="s">
        <v>955</v>
      </c>
      <c r="C43" t="s">
        <v>19</v>
      </c>
      <c r="D43">
        <v>8471110</v>
      </c>
      <c r="E43" t="s">
        <v>493</v>
      </c>
      <c r="F43">
        <v>427710</v>
      </c>
      <c r="G43" t="s">
        <v>51</v>
      </c>
      <c r="H43" t="s">
        <v>495</v>
      </c>
      <c r="I43">
        <v>428951</v>
      </c>
      <c r="J43">
        <v>428951</v>
      </c>
      <c r="K43">
        <v>19687.28</v>
      </c>
      <c r="L43">
        <v>0</v>
      </c>
      <c r="M43">
        <v>299294.42</v>
      </c>
      <c r="N43">
        <v>109969.29999999999</v>
      </c>
      <c r="P43">
        <v>50000</v>
      </c>
      <c r="Q43">
        <v>59368</v>
      </c>
      <c r="R43" t="s">
        <v>808</v>
      </c>
      <c r="S43">
        <v>601.29999999998836</v>
      </c>
      <c r="T43" t="s">
        <v>824</v>
      </c>
      <c r="U43">
        <v>601.29999999998836</v>
      </c>
      <c r="V43">
        <v>601.29999999998836</v>
      </c>
      <c r="X43" t="s">
        <v>722</v>
      </c>
      <c r="Z43">
        <v>403951</v>
      </c>
      <c r="AA43">
        <v>30706.28</v>
      </c>
      <c r="AB43">
        <v>0</v>
      </c>
      <c r="AC43">
        <v>299294.42</v>
      </c>
      <c r="AD43">
        <v>73950.299999999988</v>
      </c>
      <c r="AE43">
        <v>73950.3</v>
      </c>
      <c r="AF43">
        <v>0</v>
      </c>
      <c r="AG43">
        <v>73349</v>
      </c>
      <c r="AH43" t="s">
        <v>495</v>
      </c>
      <c r="AI43">
        <v>403951</v>
      </c>
      <c r="AJ43">
        <v>30706.28</v>
      </c>
      <c r="AK43">
        <v>0</v>
      </c>
      <c r="AL43">
        <v>299294.42</v>
      </c>
      <c r="AM43">
        <v>73950.3</v>
      </c>
      <c r="AN43">
        <v>0</v>
      </c>
      <c r="AO43">
        <v>0</v>
      </c>
      <c r="AP43">
        <v>0</v>
      </c>
      <c r="AQ43">
        <v>601.29999999998836</v>
      </c>
      <c r="AR43">
        <v>389368.69999999995</v>
      </c>
      <c r="AS43">
        <v>388767.39999999997</v>
      </c>
    </row>
    <row r="44" spans="1:45" x14ac:dyDescent="0.35">
      <c r="A44" t="s">
        <v>1200</v>
      </c>
      <c r="B44" t="s">
        <v>955</v>
      </c>
      <c r="C44" t="s">
        <v>19</v>
      </c>
      <c r="D44">
        <v>8471110</v>
      </c>
      <c r="E44" t="s">
        <v>493</v>
      </c>
      <c r="F44">
        <v>425900</v>
      </c>
      <c r="G44" t="s">
        <v>35</v>
      </c>
      <c r="H44" t="s">
        <v>494</v>
      </c>
      <c r="I44">
        <v>30000</v>
      </c>
      <c r="J44">
        <v>28000</v>
      </c>
      <c r="N44">
        <v>28000</v>
      </c>
      <c r="P44">
        <v>14000</v>
      </c>
      <c r="Q44">
        <v>14000</v>
      </c>
      <c r="R44" t="s">
        <v>807</v>
      </c>
      <c r="S44">
        <v>0</v>
      </c>
      <c r="T44" t="s">
        <v>824</v>
      </c>
      <c r="U44">
        <v>0</v>
      </c>
      <c r="V44">
        <v>0</v>
      </c>
      <c r="X44" t="s">
        <v>722</v>
      </c>
      <c r="Z44">
        <v>28000</v>
      </c>
      <c r="AA44">
        <v>0</v>
      </c>
      <c r="AB44">
        <v>0</v>
      </c>
      <c r="AC44">
        <v>0</v>
      </c>
      <c r="AD44">
        <v>28000</v>
      </c>
      <c r="AE44">
        <v>28000</v>
      </c>
      <c r="AF44">
        <v>0</v>
      </c>
      <c r="AG44">
        <v>28000</v>
      </c>
      <c r="AH44" t="s">
        <v>494</v>
      </c>
      <c r="AI44">
        <v>28000</v>
      </c>
      <c r="AJ44">
        <v>0</v>
      </c>
      <c r="AK44">
        <v>0</v>
      </c>
      <c r="AL44">
        <v>0</v>
      </c>
      <c r="AM44">
        <v>28000</v>
      </c>
      <c r="AN44">
        <v>0</v>
      </c>
      <c r="AO44">
        <v>0</v>
      </c>
      <c r="AP44">
        <v>0</v>
      </c>
      <c r="AQ44">
        <v>0</v>
      </c>
      <c r="AR44">
        <v>14000</v>
      </c>
      <c r="AS44">
        <v>14000</v>
      </c>
    </row>
    <row r="46" spans="1:45" x14ac:dyDescent="0.35">
      <c r="AI46" s="183">
        <f>SUM(AI1:AI45)</f>
        <v>119825091</v>
      </c>
      <c r="AJ46" s="183">
        <f t="shared" ref="AJ46:AP46" si="0">SUM(AJ1:AJ45)</f>
        <v>89326104.810000211</v>
      </c>
      <c r="AK46" s="183">
        <f t="shared" si="0"/>
        <v>4394727.3499999996</v>
      </c>
      <c r="AL46" s="183">
        <f t="shared" si="0"/>
        <v>10990418.370000001</v>
      </c>
      <c r="AM46" s="183">
        <f t="shared" si="0"/>
        <v>15142362.429999802</v>
      </c>
      <c r="AN46" s="183">
        <f t="shared" si="0"/>
        <v>242947.54999999996</v>
      </c>
      <c r="AO46" s="183">
        <f t="shared" si="0"/>
        <v>1376983.0507499999</v>
      </c>
      <c r="AP46" s="183">
        <f t="shared" si="0"/>
        <v>729626.62000000011</v>
      </c>
    </row>
    <row r="48" spans="1:45" x14ac:dyDescent="0.35">
      <c r="AI48" s="229">
        <f>AI46-AJ46-AK46-AL46</f>
        <v>15113840.469999786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DD531-BDBE-40C6-9B01-B831F983799E}">
  <dimension ref="A1:AS74"/>
  <sheetViews>
    <sheetView topLeftCell="AK50" workbookViewId="0">
      <selection activeCell="AQ2" sqref="AQ2:AQ74"/>
    </sheetView>
  </sheetViews>
  <sheetFormatPr defaultRowHeight="14.5" x14ac:dyDescent="0.35"/>
  <cols>
    <col min="1" max="1" width="10.6328125" customWidth="1"/>
    <col min="2" max="2" width="18.36328125" customWidth="1"/>
    <col min="3" max="3" width="14.90625" customWidth="1"/>
    <col min="4" max="4" width="17.36328125" customWidth="1"/>
    <col min="5" max="5" width="22.6328125" customWidth="1"/>
    <col min="6" max="6" width="14.36328125" customWidth="1"/>
    <col min="7" max="7" width="19.6328125" customWidth="1"/>
    <col min="8" max="8" width="23.453125" customWidth="1"/>
    <col min="9" max="9" width="15.08984375" customWidth="1"/>
    <col min="10" max="10" width="22.54296875" customWidth="1"/>
    <col min="11" max="11" width="22.36328125" customWidth="1"/>
    <col min="12" max="12" width="12" customWidth="1"/>
    <col min="13" max="13" width="12.26953125" customWidth="1"/>
    <col min="14" max="14" width="22" customWidth="1"/>
    <col min="15" max="15" width="21.453125" customWidth="1"/>
    <col min="16" max="16" width="21.81640625" customWidth="1"/>
    <col min="17" max="17" width="21.6328125" customWidth="1"/>
    <col min="18" max="18" width="21.81640625" customWidth="1"/>
    <col min="19" max="19" width="23.08984375" customWidth="1"/>
    <col min="20" max="20" width="19.453125" customWidth="1"/>
    <col min="21" max="21" width="11.6328125" customWidth="1"/>
    <col min="22" max="22" width="9" customWidth="1"/>
    <col min="23" max="23" width="10.26953125" customWidth="1"/>
    <col min="24" max="24" width="10.7265625" customWidth="1"/>
    <col min="25" max="25" width="40.36328125" customWidth="1"/>
    <col min="26" max="26" width="22.81640625" customWidth="1"/>
    <col min="27" max="27" width="22.6328125" customWidth="1"/>
    <col min="28" max="28" width="12.26953125" customWidth="1"/>
    <col min="29" max="29" width="12.54296875" customWidth="1"/>
    <col min="30" max="30" width="22.26953125" customWidth="1"/>
    <col min="31" max="31" width="10.54296875" customWidth="1"/>
    <col min="32" max="32" width="10.6328125" customWidth="1"/>
    <col min="33" max="33" width="9.36328125" customWidth="1"/>
    <col min="34" max="34" width="17.54296875" customWidth="1"/>
    <col min="35" max="35" width="19.54296875" customWidth="1"/>
    <col min="36" max="36" width="16.36328125" customWidth="1"/>
    <col min="37" max="37" width="15.81640625" customWidth="1"/>
    <col min="38" max="38" width="16.54296875" customWidth="1"/>
    <col min="39" max="39" width="26.26953125" customWidth="1"/>
    <col min="43" max="43" width="28.54296875" customWidth="1"/>
    <col min="44" max="44" width="25.08984375" customWidth="1"/>
    <col min="45" max="45" width="20.7265625" customWidth="1"/>
  </cols>
  <sheetData>
    <row r="1" spans="1:45" x14ac:dyDescent="0.35">
      <c r="A1" t="s">
        <v>1187</v>
      </c>
      <c r="B1" t="s">
        <v>959</v>
      </c>
      <c r="C1" t="s">
        <v>1</v>
      </c>
      <c r="D1" t="s">
        <v>2</v>
      </c>
      <c r="E1" t="s">
        <v>3</v>
      </c>
      <c r="F1" t="s">
        <v>4</v>
      </c>
      <c r="G1" t="s">
        <v>5</v>
      </c>
      <c r="H1" t="s">
        <v>6</v>
      </c>
      <c r="I1" t="s">
        <v>7</v>
      </c>
      <c r="J1" t="s">
        <v>903</v>
      </c>
      <c r="K1" t="s">
        <v>904</v>
      </c>
      <c r="L1" t="s">
        <v>905</v>
      </c>
      <c r="M1" t="s">
        <v>906</v>
      </c>
      <c r="N1" t="s">
        <v>907</v>
      </c>
      <c r="O1" t="s">
        <v>13</v>
      </c>
      <c r="P1" t="s">
        <v>14</v>
      </c>
      <c r="Q1" t="s">
        <v>15</v>
      </c>
      <c r="R1" t="s">
        <v>16</v>
      </c>
      <c r="S1" t="s">
        <v>925</v>
      </c>
      <c r="T1" t="s">
        <v>18</v>
      </c>
      <c r="U1" t="s">
        <v>1245</v>
      </c>
      <c r="V1" t="s">
        <v>1209</v>
      </c>
      <c r="W1" t="s">
        <v>1210</v>
      </c>
      <c r="X1" t="s">
        <v>721</v>
      </c>
      <c r="Y1" t="s">
        <v>941</v>
      </c>
      <c r="Z1" t="s">
        <v>926</v>
      </c>
      <c r="AA1" t="s">
        <v>927</v>
      </c>
      <c r="AB1" t="s">
        <v>928</v>
      </c>
      <c r="AC1" t="s">
        <v>929</v>
      </c>
      <c r="AD1" t="s">
        <v>930</v>
      </c>
      <c r="AE1" t="s">
        <v>1202</v>
      </c>
      <c r="AF1" t="s">
        <v>1203</v>
      </c>
      <c r="AG1" t="s">
        <v>1204</v>
      </c>
      <c r="AH1" t="s">
        <v>1215</v>
      </c>
      <c r="AI1" t="s">
        <v>1212</v>
      </c>
      <c r="AJ1" t="s">
        <v>1213</v>
      </c>
      <c r="AK1" t="s">
        <v>1221</v>
      </c>
      <c r="AL1" t="s">
        <v>1214</v>
      </c>
      <c r="AM1" t="s">
        <v>1220</v>
      </c>
      <c r="AN1" t="s">
        <v>1183</v>
      </c>
      <c r="AO1" t="s">
        <v>1184</v>
      </c>
      <c r="AP1" t="s">
        <v>1185</v>
      </c>
      <c r="AQ1" t="s">
        <v>1208</v>
      </c>
      <c r="AR1" t="s">
        <v>1211</v>
      </c>
      <c r="AS1" t="s">
        <v>1222</v>
      </c>
    </row>
    <row r="2" spans="1:45" x14ac:dyDescent="0.35">
      <c r="A2" t="s">
        <v>1194</v>
      </c>
      <c r="B2" t="s">
        <v>946</v>
      </c>
      <c r="D2">
        <v>8471250</v>
      </c>
      <c r="E2" t="s">
        <v>577</v>
      </c>
      <c r="F2" t="s">
        <v>921</v>
      </c>
      <c r="G2" t="s">
        <v>110</v>
      </c>
      <c r="H2" t="s">
        <v>922</v>
      </c>
      <c r="U2">
        <v>0</v>
      </c>
      <c r="V2">
        <v>-8995</v>
      </c>
      <c r="X2" t="s">
        <v>722</v>
      </c>
      <c r="Z2">
        <v>165000</v>
      </c>
      <c r="AA2">
        <v>51645</v>
      </c>
      <c r="AB2">
        <v>0</v>
      </c>
      <c r="AC2">
        <v>0</v>
      </c>
      <c r="AD2">
        <v>113355</v>
      </c>
      <c r="AE2">
        <v>113355</v>
      </c>
      <c r="AF2">
        <v>0</v>
      </c>
      <c r="AG2">
        <v>113355</v>
      </c>
      <c r="AH2" t="s">
        <v>922</v>
      </c>
      <c r="AI2">
        <v>80600</v>
      </c>
      <c r="AJ2">
        <v>60245</v>
      </c>
      <c r="AK2">
        <v>0</v>
      </c>
      <c r="AL2">
        <v>0</v>
      </c>
      <c r="AM2">
        <v>20355</v>
      </c>
      <c r="AN2">
        <v>0</v>
      </c>
      <c r="AO2">
        <v>0</v>
      </c>
      <c r="AP2">
        <v>8995</v>
      </c>
      <c r="AQ2">
        <v>-8995</v>
      </c>
      <c r="AR2">
        <v>60640</v>
      </c>
      <c r="AS2">
        <v>78235</v>
      </c>
    </row>
    <row r="3" spans="1:45" x14ac:dyDescent="0.35">
      <c r="A3" t="s">
        <v>1194</v>
      </c>
      <c r="B3" t="s">
        <v>946</v>
      </c>
      <c r="C3" t="s">
        <v>19</v>
      </c>
      <c r="D3">
        <v>8471250</v>
      </c>
      <c r="E3" t="s">
        <v>577</v>
      </c>
      <c r="F3" t="s">
        <v>223</v>
      </c>
      <c r="G3" t="s">
        <v>224</v>
      </c>
      <c r="H3" t="s">
        <v>579</v>
      </c>
      <c r="I3">
        <v>560000</v>
      </c>
      <c r="M3">
        <v>0</v>
      </c>
      <c r="R3">
        <v>0</v>
      </c>
      <c r="U3">
        <v>0</v>
      </c>
      <c r="V3">
        <v>0</v>
      </c>
      <c r="X3" t="s">
        <v>722</v>
      </c>
      <c r="Z3">
        <v>0</v>
      </c>
      <c r="AA3">
        <v>0</v>
      </c>
      <c r="AB3">
        <v>0</v>
      </c>
      <c r="AC3">
        <v>0</v>
      </c>
      <c r="AD3">
        <v>0</v>
      </c>
      <c r="AE3">
        <v>0</v>
      </c>
      <c r="AF3">
        <v>0</v>
      </c>
      <c r="AG3">
        <v>0</v>
      </c>
      <c r="AH3" t="s">
        <v>579</v>
      </c>
      <c r="AI3">
        <v>0</v>
      </c>
      <c r="AJ3">
        <v>0</v>
      </c>
      <c r="AK3">
        <v>0</v>
      </c>
      <c r="AL3">
        <v>0</v>
      </c>
      <c r="AM3">
        <v>0</v>
      </c>
      <c r="AN3">
        <v>0</v>
      </c>
      <c r="AO3">
        <v>0</v>
      </c>
      <c r="AP3">
        <v>0</v>
      </c>
      <c r="AQ3">
        <v>0</v>
      </c>
      <c r="AR3">
        <v>0</v>
      </c>
      <c r="AS3">
        <v>0</v>
      </c>
    </row>
    <row r="4" spans="1:45" x14ac:dyDescent="0.35">
      <c r="A4" t="s">
        <v>1194</v>
      </c>
      <c r="B4" t="s">
        <v>946</v>
      </c>
      <c r="C4" t="s">
        <v>19</v>
      </c>
      <c r="D4">
        <v>8471210</v>
      </c>
      <c r="E4" t="s">
        <v>542</v>
      </c>
      <c r="F4" t="s">
        <v>546</v>
      </c>
      <c r="G4" t="s">
        <v>547</v>
      </c>
      <c r="H4" t="s">
        <v>548</v>
      </c>
      <c r="I4">
        <v>20000</v>
      </c>
      <c r="M4">
        <v>0</v>
      </c>
      <c r="R4">
        <v>0</v>
      </c>
      <c r="U4">
        <v>0</v>
      </c>
      <c r="V4">
        <v>0</v>
      </c>
      <c r="X4" t="s">
        <v>722</v>
      </c>
      <c r="Z4">
        <v>0</v>
      </c>
      <c r="AA4">
        <v>0</v>
      </c>
      <c r="AB4">
        <v>0</v>
      </c>
      <c r="AC4">
        <v>0</v>
      </c>
      <c r="AD4">
        <v>0</v>
      </c>
      <c r="AE4">
        <v>0</v>
      </c>
      <c r="AF4">
        <v>0</v>
      </c>
      <c r="AG4">
        <v>0</v>
      </c>
      <c r="AH4" t="s">
        <v>548</v>
      </c>
      <c r="AI4">
        <v>0</v>
      </c>
      <c r="AJ4">
        <v>0</v>
      </c>
      <c r="AK4">
        <v>0</v>
      </c>
      <c r="AL4">
        <v>0</v>
      </c>
      <c r="AM4">
        <v>0</v>
      </c>
      <c r="AN4">
        <v>0</v>
      </c>
      <c r="AO4">
        <v>0</v>
      </c>
      <c r="AP4">
        <v>0</v>
      </c>
      <c r="AQ4">
        <v>0</v>
      </c>
      <c r="AR4">
        <v>0</v>
      </c>
      <c r="AS4">
        <v>0</v>
      </c>
    </row>
    <row r="5" spans="1:45" x14ac:dyDescent="0.35">
      <c r="A5" t="s">
        <v>1194</v>
      </c>
      <c r="B5" t="s">
        <v>946</v>
      </c>
      <c r="C5" t="s">
        <v>19</v>
      </c>
      <c r="D5">
        <v>8471280</v>
      </c>
      <c r="E5" t="s">
        <v>603</v>
      </c>
      <c r="F5">
        <v>435530</v>
      </c>
      <c r="G5" t="s">
        <v>547</v>
      </c>
      <c r="H5" t="s">
        <v>615</v>
      </c>
      <c r="I5">
        <v>5000</v>
      </c>
      <c r="J5">
        <v>5000</v>
      </c>
      <c r="N5">
        <v>5000</v>
      </c>
      <c r="O5">
        <v>2500</v>
      </c>
      <c r="P5">
        <v>2500</v>
      </c>
      <c r="R5" t="s">
        <v>879</v>
      </c>
      <c r="S5">
        <v>0</v>
      </c>
      <c r="U5">
        <v>0</v>
      </c>
      <c r="V5">
        <v>0</v>
      </c>
      <c r="X5" t="s">
        <v>722</v>
      </c>
      <c r="Z5">
        <v>5000</v>
      </c>
      <c r="AA5">
        <v>0</v>
      </c>
      <c r="AB5">
        <v>0</v>
      </c>
      <c r="AC5">
        <v>0</v>
      </c>
      <c r="AD5">
        <v>5000</v>
      </c>
      <c r="AE5">
        <v>5000</v>
      </c>
      <c r="AF5">
        <v>0</v>
      </c>
      <c r="AG5">
        <v>5000</v>
      </c>
      <c r="AH5" t="s">
        <v>615</v>
      </c>
      <c r="AI5">
        <v>5000</v>
      </c>
      <c r="AJ5">
        <v>1014</v>
      </c>
      <c r="AK5">
        <v>0</v>
      </c>
      <c r="AL5">
        <v>0</v>
      </c>
      <c r="AM5">
        <v>3986</v>
      </c>
      <c r="AN5">
        <v>0</v>
      </c>
      <c r="AO5">
        <v>0</v>
      </c>
      <c r="AP5">
        <v>0</v>
      </c>
      <c r="AQ5">
        <v>0</v>
      </c>
      <c r="AR5">
        <v>0</v>
      </c>
      <c r="AS5">
        <v>1014</v>
      </c>
    </row>
    <row r="6" spans="1:45" x14ac:dyDescent="0.35">
      <c r="A6" t="s">
        <v>1194</v>
      </c>
      <c r="B6" t="s">
        <v>946</v>
      </c>
      <c r="C6" t="s">
        <v>19</v>
      </c>
      <c r="D6">
        <v>8471280</v>
      </c>
      <c r="E6" t="s">
        <v>603</v>
      </c>
      <c r="F6">
        <v>435340</v>
      </c>
      <c r="G6" t="s">
        <v>202</v>
      </c>
      <c r="H6" t="s">
        <v>614</v>
      </c>
      <c r="I6">
        <v>10000</v>
      </c>
      <c r="J6">
        <v>10000</v>
      </c>
      <c r="N6">
        <v>10000</v>
      </c>
      <c r="P6">
        <v>10000</v>
      </c>
      <c r="R6" t="s">
        <v>878</v>
      </c>
      <c r="S6">
        <v>0</v>
      </c>
      <c r="U6">
        <v>0</v>
      </c>
      <c r="V6">
        <v>0</v>
      </c>
      <c r="X6" t="s">
        <v>722</v>
      </c>
      <c r="Z6">
        <v>10000</v>
      </c>
      <c r="AA6">
        <v>0</v>
      </c>
      <c r="AB6">
        <v>0</v>
      </c>
      <c r="AC6">
        <v>0</v>
      </c>
      <c r="AD6">
        <v>10000</v>
      </c>
      <c r="AE6">
        <v>10000</v>
      </c>
      <c r="AF6">
        <v>0</v>
      </c>
      <c r="AG6">
        <v>10000</v>
      </c>
      <c r="AH6" t="s">
        <v>614</v>
      </c>
      <c r="AI6">
        <v>10000</v>
      </c>
      <c r="AJ6">
        <v>0</v>
      </c>
      <c r="AK6">
        <v>0</v>
      </c>
      <c r="AL6">
        <v>0</v>
      </c>
      <c r="AM6">
        <v>10000</v>
      </c>
      <c r="AN6">
        <v>0</v>
      </c>
      <c r="AO6">
        <v>0</v>
      </c>
      <c r="AP6">
        <v>0</v>
      </c>
      <c r="AQ6">
        <v>0</v>
      </c>
      <c r="AR6">
        <v>0</v>
      </c>
      <c r="AS6">
        <v>0</v>
      </c>
    </row>
    <row r="7" spans="1:45" x14ac:dyDescent="0.35">
      <c r="A7" t="s">
        <v>1194</v>
      </c>
      <c r="B7" t="s">
        <v>946</v>
      </c>
      <c r="C7" t="s">
        <v>19</v>
      </c>
      <c r="D7">
        <v>8471280</v>
      </c>
      <c r="E7" t="s">
        <v>603</v>
      </c>
      <c r="F7">
        <v>432170</v>
      </c>
      <c r="G7" t="s">
        <v>390</v>
      </c>
      <c r="H7" t="s">
        <v>613</v>
      </c>
      <c r="I7">
        <v>200000</v>
      </c>
      <c r="J7">
        <v>200000</v>
      </c>
      <c r="N7">
        <v>200000</v>
      </c>
      <c r="S7">
        <v>200000</v>
      </c>
      <c r="T7" t="s">
        <v>894</v>
      </c>
      <c r="U7">
        <v>200000</v>
      </c>
      <c r="V7">
        <v>200000</v>
      </c>
      <c r="X7" t="s">
        <v>722</v>
      </c>
      <c r="Z7">
        <v>0</v>
      </c>
      <c r="AA7">
        <v>0</v>
      </c>
      <c r="AB7">
        <v>0</v>
      </c>
      <c r="AC7">
        <v>0</v>
      </c>
      <c r="AD7">
        <v>0</v>
      </c>
      <c r="AE7">
        <v>0</v>
      </c>
      <c r="AF7">
        <v>0</v>
      </c>
      <c r="AG7">
        <v>-200000</v>
      </c>
      <c r="AH7" t="s">
        <v>613</v>
      </c>
      <c r="AI7">
        <v>0</v>
      </c>
      <c r="AJ7">
        <v>0</v>
      </c>
      <c r="AK7">
        <v>0</v>
      </c>
      <c r="AL7">
        <v>0</v>
      </c>
      <c r="AM7">
        <v>0</v>
      </c>
      <c r="AN7">
        <v>0</v>
      </c>
      <c r="AO7">
        <v>0</v>
      </c>
      <c r="AP7">
        <v>0</v>
      </c>
      <c r="AQ7">
        <v>200000</v>
      </c>
      <c r="AR7">
        <v>0</v>
      </c>
      <c r="AS7">
        <v>-200000</v>
      </c>
    </row>
    <row r="8" spans="1:45" x14ac:dyDescent="0.35">
      <c r="A8" t="s">
        <v>1194</v>
      </c>
      <c r="B8" t="s">
        <v>946</v>
      </c>
      <c r="C8" t="s">
        <v>19</v>
      </c>
      <c r="D8">
        <v>8471280</v>
      </c>
      <c r="E8" t="s">
        <v>603</v>
      </c>
      <c r="F8">
        <v>428640</v>
      </c>
      <c r="G8" t="s">
        <v>43</v>
      </c>
      <c r="H8" t="s">
        <v>612</v>
      </c>
      <c r="I8">
        <v>15000</v>
      </c>
      <c r="J8">
        <v>7612</v>
      </c>
      <c r="N8">
        <v>7612</v>
      </c>
      <c r="P8">
        <v>7612</v>
      </c>
      <c r="R8" t="s">
        <v>877</v>
      </c>
      <c r="S8">
        <v>0</v>
      </c>
      <c r="U8">
        <v>0</v>
      </c>
      <c r="V8">
        <v>0</v>
      </c>
      <c r="X8" t="s">
        <v>722</v>
      </c>
      <c r="Z8">
        <v>7612</v>
      </c>
      <c r="AA8">
        <v>0</v>
      </c>
      <c r="AB8">
        <v>0</v>
      </c>
      <c r="AC8">
        <v>0</v>
      </c>
      <c r="AD8">
        <v>7612</v>
      </c>
      <c r="AE8">
        <v>7612</v>
      </c>
      <c r="AF8">
        <v>0</v>
      </c>
      <c r="AG8">
        <v>7612</v>
      </c>
      <c r="AH8" t="s">
        <v>612</v>
      </c>
      <c r="AI8">
        <v>7612</v>
      </c>
      <c r="AJ8">
        <v>0</v>
      </c>
      <c r="AK8">
        <v>0</v>
      </c>
      <c r="AL8">
        <v>0</v>
      </c>
      <c r="AM8">
        <v>7612</v>
      </c>
      <c r="AN8">
        <v>0</v>
      </c>
      <c r="AO8">
        <v>0</v>
      </c>
      <c r="AP8">
        <v>0</v>
      </c>
      <c r="AQ8">
        <v>0</v>
      </c>
      <c r="AR8">
        <v>0</v>
      </c>
      <c r="AS8">
        <v>0</v>
      </c>
    </row>
    <row r="9" spans="1:45" x14ac:dyDescent="0.35">
      <c r="A9" t="s">
        <v>1194</v>
      </c>
      <c r="B9" t="s">
        <v>946</v>
      </c>
      <c r="C9" t="s">
        <v>19</v>
      </c>
      <c r="D9">
        <v>8471280</v>
      </c>
      <c r="E9" t="s">
        <v>603</v>
      </c>
      <c r="F9">
        <v>426610</v>
      </c>
      <c r="G9" t="s">
        <v>37</v>
      </c>
      <c r="H9" t="s">
        <v>611</v>
      </c>
      <c r="I9">
        <v>321000</v>
      </c>
      <c r="J9">
        <v>321000</v>
      </c>
      <c r="K9">
        <v>201651.64</v>
      </c>
      <c r="L9">
        <v>14692</v>
      </c>
      <c r="M9">
        <v>59481</v>
      </c>
      <c r="N9">
        <v>45175.359999999986</v>
      </c>
      <c r="P9">
        <v>45175</v>
      </c>
      <c r="R9" t="s">
        <v>876</v>
      </c>
      <c r="S9">
        <v>0.35999999998603016</v>
      </c>
      <c r="U9">
        <v>0.35999999998603016</v>
      </c>
      <c r="V9">
        <v>-7766.7525000000132</v>
      </c>
      <c r="X9" t="s">
        <v>722</v>
      </c>
      <c r="Z9">
        <v>321000</v>
      </c>
      <c r="AA9">
        <v>266911.89</v>
      </c>
      <c r="AB9">
        <v>14692</v>
      </c>
      <c r="AC9">
        <v>0</v>
      </c>
      <c r="AD9">
        <v>39396.109999999986</v>
      </c>
      <c r="AE9">
        <v>39396.11</v>
      </c>
      <c r="AF9">
        <v>0</v>
      </c>
      <c r="AG9">
        <v>39395.75</v>
      </c>
      <c r="AH9" t="s">
        <v>611</v>
      </c>
      <c r="AI9">
        <v>321000</v>
      </c>
      <c r="AJ9">
        <v>271991.93</v>
      </c>
      <c r="AK9">
        <v>14692</v>
      </c>
      <c r="AL9">
        <v>0</v>
      </c>
      <c r="AM9">
        <v>34316.07</v>
      </c>
      <c r="AN9">
        <v>0</v>
      </c>
      <c r="AO9">
        <v>7767.1124999999993</v>
      </c>
      <c r="AP9">
        <v>0</v>
      </c>
      <c r="AQ9">
        <v>-7766.7525000000132</v>
      </c>
      <c r="AR9">
        <v>289371.0025</v>
      </c>
      <c r="AS9">
        <v>302217.79499999998</v>
      </c>
    </row>
    <row r="10" spans="1:45" x14ac:dyDescent="0.35">
      <c r="A10" t="s">
        <v>1194</v>
      </c>
      <c r="B10" t="s">
        <v>946</v>
      </c>
      <c r="C10" t="s">
        <v>19</v>
      </c>
      <c r="D10">
        <v>8471280</v>
      </c>
      <c r="E10" t="s">
        <v>603</v>
      </c>
      <c r="F10">
        <v>425770</v>
      </c>
      <c r="G10" t="s">
        <v>74</v>
      </c>
      <c r="H10" t="s">
        <v>610</v>
      </c>
      <c r="I10">
        <v>500000</v>
      </c>
      <c r="J10">
        <v>141321</v>
      </c>
      <c r="K10">
        <v>82742.5</v>
      </c>
      <c r="L10">
        <v>0</v>
      </c>
      <c r="M10">
        <v>0</v>
      </c>
      <c r="N10">
        <v>58578.5</v>
      </c>
      <c r="S10">
        <v>58578.5</v>
      </c>
      <c r="T10" t="s">
        <v>893</v>
      </c>
      <c r="U10">
        <v>58578.5</v>
      </c>
      <c r="V10">
        <v>58578.5</v>
      </c>
      <c r="X10" t="s">
        <v>722</v>
      </c>
      <c r="Z10">
        <v>82743</v>
      </c>
      <c r="AA10">
        <v>82742.5</v>
      </c>
      <c r="AB10">
        <v>0</v>
      </c>
      <c r="AC10">
        <v>0</v>
      </c>
      <c r="AD10">
        <v>0.5</v>
      </c>
      <c r="AE10">
        <v>0.5</v>
      </c>
      <c r="AF10">
        <v>0</v>
      </c>
      <c r="AG10">
        <v>-58578</v>
      </c>
      <c r="AH10" t="s">
        <v>610</v>
      </c>
      <c r="AI10">
        <v>82743</v>
      </c>
      <c r="AJ10">
        <v>82742.5</v>
      </c>
      <c r="AK10">
        <v>0</v>
      </c>
      <c r="AL10">
        <v>0</v>
      </c>
      <c r="AM10">
        <v>0.5</v>
      </c>
      <c r="AN10">
        <v>0</v>
      </c>
      <c r="AO10">
        <v>0</v>
      </c>
      <c r="AP10">
        <v>0</v>
      </c>
      <c r="AQ10">
        <v>58578.5</v>
      </c>
      <c r="AR10">
        <v>82742.5</v>
      </c>
      <c r="AS10">
        <v>24164</v>
      </c>
    </row>
    <row r="11" spans="1:45" x14ac:dyDescent="0.35">
      <c r="A11" t="s">
        <v>1194</v>
      </c>
      <c r="B11" t="s">
        <v>946</v>
      </c>
      <c r="C11" t="s">
        <v>19</v>
      </c>
      <c r="D11">
        <v>8471280</v>
      </c>
      <c r="E11" t="s">
        <v>603</v>
      </c>
      <c r="F11">
        <v>425760</v>
      </c>
      <c r="G11" t="s">
        <v>142</v>
      </c>
      <c r="H11" t="s">
        <v>609</v>
      </c>
      <c r="I11">
        <v>30000</v>
      </c>
      <c r="J11">
        <v>30000</v>
      </c>
      <c r="N11">
        <v>30000</v>
      </c>
      <c r="O11">
        <v>20000</v>
      </c>
      <c r="P11">
        <v>10000</v>
      </c>
      <c r="R11" t="s">
        <v>875</v>
      </c>
      <c r="S11">
        <v>0</v>
      </c>
      <c r="U11">
        <v>0</v>
      </c>
      <c r="V11">
        <v>0</v>
      </c>
      <c r="X11" t="s">
        <v>722</v>
      </c>
      <c r="Z11">
        <v>30000</v>
      </c>
      <c r="AA11">
        <v>3000</v>
      </c>
      <c r="AB11">
        <v>0</v>
      </c>
      <c r="AC11">
        <v>0</v>
      </c>
      <c r="AD11">
        <v>27000</v>
      </c>
      <c r="AE11">
        <v>27000</v>
      </c>
      <c r="AF11">
        <v>0</v>
      </c>
      <c r="AG11">
        <v>27000</v>
      </c>
      <c r="AH11" t="s">
        <v>609</v>
      </c>
      <c r="AI11">
        <v>30000</v>
      </c>
      <c r="AJ11">
        <v>3000</v>
      </c>
      <c r="AK11">
        <v>0</v>
      </c>
      <c r="AL11">
        <v>0</v>
      </c>
      <c r="AM11">
        <v>27000</v>
      </c>
      <c r="AN11">
        <v>0</v>
      </c>
      <c r="AO11">
        <v>0</v>
      </c>
      <c r="AP11">
        <v>0</v>
      </c>
      <c r="AQ11">
        <v>0</v>
      </c>
      <c r="AR11">
        <v>3000</v>
      </c>
      <c r="AS11">
        <v>3000</v>
      </c>
    </row>
    <row r="12" spans="1:45" x14ac:dyDescent="0.35">
      <c r="A12" t="s">
        <v>1194</v>
      </c>
      <c r="B12" t="s">
        <v>946</v>
      </c>
      <c r="C12" t="s">
        <v>19</v>
      </c>
      <c r="D12">
        <v>8471280</v>
      </c>
      <c r="E12" t="s">
        <v>603</v>
      </c>
      <c r="F12">
        <v>425710</v>
      </c>
      <c r="G12" t="s">
        <v>607</v>
      </c>
      <c r="H12" t="s">
        <v>608</v>
      </c>
      <c r="I12">
        <v>0</v>
      </c>
      <c r="J12">
        <v>300000</v>
      </c>
      <c r="N12">
        <v>300000</v>
      </c>
      <c r="O12">
        <v>366666</v>
      </c>
      <c r="R12" t="s">
        <v>874</v>
      </c>
      <c r="S12">
        <v>-66666</v>
      </c>
      <c r="T12" t="s">
        <v>892</v>
      </c>
      <c r="V12">
        <v>-120000</v>
      </c>
      <c r="W12">
        <v>66666</v>
      </c>
      <c r="X12" t="s">
        <v>722</v>
      </c>
      <c r="Z12">
        <v>200000</v>
      </c>
      <c r="AA12">
        <v>57500</v>
      </c>
      <c r="AB12">
        <v>0</v>
      </c>
      <c r="AC12">
        <v>0</v>
      </c>
      <c r="AD12">
        <v>142500</v>
      </c>
      <c r="AE12">
        <v>142500</v>
      </c>
      <c r="AF12">
        <v>0</v>
      </c>
      <c r="AG12">
        <v>142500</v>
      </c>
      <c r="AH12" t="s">
        <v>608</v>
      </c>
      <c r="AI12">
        <v>200000</v>
      </c>
      <c r="AJ12">
        <v>157500</v>
      </c>
      <c r="AK12">
        <v>0</v>
      </c>
      <c r="AL12">
        <v>0</v>
      </c>
      <c r="AM12">
        <v>42500</v>
      </c>
      <c r="AN12">
        <v>0</v>
      </c>
      <c r="AO12">
        <v>120000</v>
      </c>
      <c r="AP12">
        <v>0</v>
      </c>
      <c r="AQ12">
        <v>-120000</v>
      </c>
      <c r="AR12">
        <v>177500</v>
      </c>
      <c r="AS12">
        <v>464166</v>
      </c>
    </row>
    <row r="13" spans="1:45" x14ac:dyDescent="0.35">
      <c r="A13" t="s">
        <v>1194</v>
      </c>
      <c r="B13" t="s">
        <v>946</v>
      </c>
      <c r="C13" t="s">
        <v>19</v>
      </c>
      <c r="D13">
        <v>8471280</v>
      </c>
      <c r="E13" t="s">
        <v>603</v>
      </c>
      <c r="F13">
        <v>425550</v>
      </c>
      <c r="G13" t="s">
        <v>33</v>
      </c>
      <c r="H13" t="s">
        <v>606</v>
      </c>
      <c r="I13">
        <v>60000</v>
      </c>
      <c r="J13">
        <v>60000</v>
      </c>
      <c r="K13">
        <v>28416.86</v>
      </c>
      <c r="N13">
        <v>31583.14</v>
      </c>
      <c r="O13">
        <v>25700</v>
      </c>
      <c r="P13">
        <v>21683.14</v>
      </c>
      <c r="R13" t="s">
        <v>873</v>
      </c>
      <c r="S13">
        <v>-15800</v>
      </c>
      <c r="V13">
        <v>0</v>
      </c>
      <c r="W13">
        <v>15800</v>
      </c>
      <c r="X13" t="s">
        <v>722</v>
      </c>
      <c r="Z13">
        <v>60000</v>
      </c>
      <c r="AA13">
        <v>28416.86</v>
      </c>
      <c r="AB13">
        <v>0</v>
      </c>
      <c r="AC13">
        <v>0</v>
      </c>
      <c r="AD13">
        <v>31583.14</v>
      </c>
      <c r="AE13">
        <v>31583.14</v>
      </c>
      <c r="AF13">
        <v>0</v>
      </c>
      <c r="AG13">
        <v>31583.14</v>
      </c>
      <c r="AH13" t="s">
        <v>606</v>
      </c>
      <c r="AI13">
        <v>60000</v>
      </c>
      <c r="AJ13">
        <v>28416.86</v>
      </c>
      <c r="AK13">
        <v>0</v>
      </c>
      <c r="AL13">
        <v>0</v>
      </c>
      <c r="AM13">
        <v>31583.14</v>
      </c>
      <c r="AN13">
        <v>0</v>
      </c>
      <c r="AO13">
        <v>0</v>
      </c>
      <c r="AP13">
        <v>0</v>
      </c>
      <c r="AQ13">
        <v>0</v>
      </c>
      <c r="AR13">
        <v>28416.86</v>
      </c>
      <c r="AS13">
        <v>44216.86</v>
      </c>
    </row>
    <row r="14" spans="1:45" x14ac:dyDescent="0.35">
      <c r="A14" t="s">
        <v>1194</v>
      </c>
      <c r="B14" t="s">
        <v>946</v>
      </c>
      <c r="C14" t="s">
        <v>19</v>
      </c>
      <c r="D14">
        <v>8471280</v>
      </c>
      <c r="E14" t="s">
        <v>603</v>
      </c>
      <c r="F14">
        <v>425510</v>
      </c>
      <c r="G14" t="s">
        <v>31</v>
      </c>
      <c r="H14" t="s">
        <v>605</v>
      </c>
      <c r="I14">
        <v>30000</v>
      </c>
      <c r="J14">
        <v>98500</v>
      </c>
      <c r="K14">
        <v>27665.17</v>
      </c>
      <c r="N14">
        <v>70834.83</v>
      </c>
      <c r="O14">
        <v>75840</v>
      </c>
      <c r="R14" t="s">
        <v>872</v>
      </c>
      <c r="S14">
        <v>-5005.1699999999983</v>
      </c>
      <c r="T14" t="s">
        <v>891</v>
      </c>
      <c r="V14">
        <v>0</v>
      </c>
      <c r="W14">
        <v>5005.1699999999983</v>
      </c>
      <c r="X14" t="s">
        <v>722</v>
      </c>
      <c r="Z14">
        <v>157078</v>
      </c>
      <c r="AA14">
        <v>120344.87</v>
      </c>
      <c r="AB14">
        <v>0</v>
      </c>
      <c r="AC14">
        <v>0</v>
      </c>
      <c r="AD14">
        <v>36733.130000000005</v>
      </c>
      <c r="AE14">
        <v>36733.129999999997</v>
      </c>
      <c r="AF14">
        <v>0</v>
      </c>
      <c r="AG14">
        <v>36733.130000000005</v>
      </c>
      <c r="AH14" t="s">
        <v>605</v>
      </c>
      <c r="AI14">
        <v>157078</v>
      </c>
      <c r="AJ14">
        <v>129204.37</v>
      </c>
      <c r="AK14">
        <v>0</v>
      </c>
      <c r="AL14">
        <v>0</v>
      </c>
      <c r="AM14">
        <v>26928.63</v>
      </c>
      <c r="AN14">
        <v>0</v>
      </c>
      <c r="AO14">
        <v>0</v>
      </c>
      <c r="AP14">
        <v>0</v>
      </c>
      <c r="AQ14">
        <v>0</v>
      </c>
      <c r="AR14">
        <v>120344.87</v>
      </c>
      <c r="AS14">
        <v>134209.53999999998</v>
      </c>
    </row>
    <row r="15" spans="1:45" x14ac:dyDescent="0.35">
      <c r="A15" t="s">
        <v>1194</v>
      </c>
      <c r="B15" t="s">
        <v>946</v>
      </c>
      <c r="C15" t="s">
        <v>19</v>
      </c>
      <c r="D15">
        <v>8471280</v>
      </c>
      <c r="E15" t="s">
        <v>603</v>
      </c>
      <c r="F15">
        <v>425100</v>
      </c>
      <c r="G15" t="s">
        <v>55</v>
      </c>
      <c r="H15" t="s">
        <v>604</v>
      </c>
      <c r="I15">
        <v>2500</v>
      </c>
      <c r="J15">
        <v>2500</v>
      </c>
      <c r="N15">
        <v>2500</v>
      </c>
      <c r="O15">
        <v>2500</v>
      </c>
      <c r="R15" t="s">
        <v>871</v>
      </c>
      <c r="S15">
        <v>0</v>
      </c>
      <c r="U15">
        <v>0</v>
      </c>
      <c r="V15">
        <v>0</v>
      </c>
      <c r="X15" t="s">
        <v>722</v>
      </c>
      <c r="Z15">
        <v>2500</v>
      </c>
      <c r="AA15">
        <v>0</v>
      </c>
      <c r="AB15">
        <v>0</v>
      </c>
      <c r="AC15">
        <v>0</v>
      </c>
      <c r="AD15">
        <v>2500</v>
      </c>
      <c r="AE15">
        <v>2500</v>
      </c>
      <c r="AF15">
        <v>0</v>
      </c>
      <c r="AG15">
        <v>2500</v>
      </c>
      <c r="AH15" t="s">
        <v>604</v>
      </c>
      <c r="AI15">
        <v>2500</v>
      </c>
      <c r="AJ15">
        <v>0</v>
      </c>
      <c r="AK15">
        <v>0</v>
      </c>
      <c r="AL15">
        <v>0</v>
      </c>
      <c r="AM15">
        <v>2500</v>
      </c>
      <c r="AN15">
        <v>0</v>
      </c>
      <c r="AO15">
        <v>0</v>
      </c>
      <c r="AP15">
        <v>0</v>
      </c>
      <c r="AQ15">
        <v>0</v>
      </c>
      <c r="AR15">
        <v>0</v>
      </c>
      <c r="AS15">
        <v>0</v>
      </c>
    </row>
    <row r="16" spans="1:45" x14ac:dyDescent="0.35">
      <c r="A16" t="s">
        <v>1194</v>
      </c>
      <c r="B16" t="s">
        <v>946</v>
      </c>
      <c r="C16" t="s">
        <v>19</v>
      </c>
      <c r="D16">
        <v>8471270</v>
      </c>
      <c r="E16" t="s">
        <v>598</v>
      </c>
      <c r="F16">
        <v>436110</v>
      </c>
      <c r="G16" t="s">
        <v>119</v>
      </c>
      <c r="H16" t="s">
        <v>602</v>
      </c>
      <c r="I16">
        <v>50000</v>
      </c>
      <c r="J16">
        <v>50000</v>
      </c>
      <c r="N16">
        <v>50000</v>
      </c>
      <c r="S16">
        <v>50000</v>
      </c>
      <c r="T16" t="s">
        <v>883</v>
      </c>
      <c r="U16">
        <v>50000</v>
      </c>
      <c r="V16">
        <v>50000</v>
      </c>
      <c r="X16" t="s">
        <v>722</v>
      </c>
      <c r="Z16">
        <v>50000</v>
      </c>
      <c r="AA16">
        <v>0</v>
      </c>
      <c r="AB16">
        <v>0</v>
      </c>
      <c r="AC16">
        <v>0</v>
      </c>
      <c r="AD16">
        <v>50000</v>
      </c>
      <c r="AE16">
        <v>50000</v>
      </c>
      <c r="AF16">
        <v>0</v>
      </c>
      <c r="AG16">
        <v>0</v>
      </c>
      <c r="AH16" t="s">
        <v>602</v>
      </c>
      <c r="AI16">
        <v>10000</v>
      </c>
      <c r="AJ16">
        <v>0</v>
      </c>
      <c r="AK16">
        <v>0</v>
      </c>
      <c r="AL16">
        <v>0</v>
      </c>
      <c r="AM16">
        <v>10000</v>
      </c>
      <c r="AN16">
        <v>0</v>
      </c>
      <c r="AO16">
        <v>0</v>
      </c>
      <c r="AP16">
        <v>0</v>
      </c>
      <c r="AQ16">
        <v>50000</v>
      </c>
      <c r="AR16">
        <v>0</v>
      </c>
      <c r="AS16">
        <v>-50000</v>
      </c>
    </row>
    <row r="17" spans="1:45" x14ac:dyDescent="0.35">
      <c r="A17" t="s">
        <v>1194</v>
      </c>
      <c r="B17" t="s">
        <v>946</v>
      </c>
      <c r="C17" t="s">
        <v>19</v>
      </c>
      <c r="D17">
        <v>8471270</v>
      </c>
      <c r="E17" t="s">
        <v>598</v>
      </c>
      <c r="F17">
        <v>435330</v>
      </c>
      <c r="G17" t="s">
        <v>573</v>
      </c>
      <c r="H17" t="s">
        <v>601</v>
      </c>
      <c r="I17">
        <v>15199430</v>
      </c>
      <c r="J17">
        <v>15139430</v>
      </c>
      <c r="K17">
        <v>12767176.51</v>
      </c>
      <c r="L17">
        <v>1073562.97</v>
      </c>
      <c r="M17">
        <v>1053366.4099999999</v>
      </c>
      <c r="N17">
        <v>245324.11000000034</v>
      </c>
      <c r="Q17">
        <v>245324</v>
      </c>
      <c r="S17">
        <v>0.11000000033527613</v>
      </c>
      <c r="T17" t="s">
        <v>882</v>
      </c>
      <c r="U17">
        <v>0.11000000033527613</v>
      </c>
      <c r="V17">
        <v>0.11000000033527613</v>
      </c>
      <c r="X17" t="s">
        <v>722</v>
      </c>
      <c r="Z17">
        <v>15139430</v>
      </c>
      <c r="AA17">
        <v>13396190.74</v>
      </c>
      <c r="AB17">
        <v>816172.97</v>
      </c>
      <c r="AC17">
        <v>731910.63</v>
      </c>
      <c r="AD17">
        <v>195155.6599999998</v>
      </c>
      <c r="AE17">
        <v>195155.65999999701</v>
      </c>
      <c r="AF17">
        <v>2.7939677238464355E-9</v>
      </c>
      <c r="AG17">
        <v>195155.54999999946</v>
      </c>
      <c r="AH17" t="s">
        <v>601</v>
      </c>
      <c r="AI17">
        <v>15139430</v>
      </c>
      <c r="AJ17">
        <v>13533104.15</v>
      </c>
      <c r="AK17">
        <v>73143.000000000495</v>
      </c>
      <c r="AL17">
        <v>1305980.06</v>
      </c>
      <c r="AM17">
        <v>227202.78999999599</v>
      </c>
      <c r="AN17">
        <v>0</v>
      </c>
      <c r="AO17">
        <v>0</v>
      </c>
      <c r="AP17">
        <v>0</v>
      </c>
      <c r="AQ17">
        <v>0.11000000033527613</v>
      </c>
      <c r="AR17">
        <v>15189598.340000002</v>
      </c>
      <c r="AS17">
        <v>15157551.100000001</v>
      </c>
    </row>
    <row r="18" spans="1:45" x14ac:dyDescent="0.35">
      <c r="A18" t="s">
        <v>1194</v>
      </c>
      <c r="B18" t="s">
        <v>946</v>
      </c>
      <c r="C18" t="s">
        <v>19</v>
      </c>
      <c r="D18">
        <v>8471270</v>
      </c>
      <c r="E18" t="s">
        <v>598</v>
      </c>
      <c r="F18">
        <v>428090</v>
      </c>
      <c r="G18" t="s">
        <v>39</v>
      </c>
      <c r="H18" t="s">
        <v>600</v>
      </c>
      <c r="I18">
        <v>300000</v>
      </c>
      <c r="J18">
        <v>81738</v>
      </c>
      <c r="N18">
        <v>81738</v>
      </c>
      <c r="Q18">
        <v>81738</v>
      </c>
      <c r="S18">
        <v>0</v>
      </c>
      <c r="T18" t="s">
        <v>881</v>
      </c>
      <c r="U18">
        <v>0</v>
      </c>
      <c r="V18">
        <v>0</v>
      </c>
      <c r="X18" t="s">
        <v>722</v>
      </c>
      <c r="Z18">
        <v>81738</v>
      </c>
      <c r="AA18">
        <v>0</v>
      </c>
      <c r="AB18">
        <v>0</v>
      </c>
      <c r="AC18">
        <v>0</v>
      </c>
      <c r="AD18">
        <v>81738</v>
      </c>
      <c r="AE18">
        <v>81738</v>
      </c>
      <c r="AF18">
        <v>0</v>
      </c>
      <c r="AG18">
        <v>81738</v>
      </c>
      <c r="AH18" t="s">
        <v>600</v>
      </c>
      <c r="AI18">
        <v>81738</v>
      </c>
      <c r="AJ18">
        <v>0</v>
      </c>
      <c r="AK18">
        <v>0</v>
      </c>
      <c r="AL18">
        <v>0</v>
      </c>
      <c r="AM18">
        <v>81738</v>
      </c>
      <c r="AN18">
        <v>0</v>
      </c>
      <c r="AO18">
        <v>0</v>
      </c>
      <c r="AP18">
        <v>0</v>
      </c>
      <c r="AQ18">
        <v>0</v>
      </c>
      <c r="AR18">
        <v>81738</v>
      </c>
      <c r="AS18">
        <v>81738</v>
      </c>
    </row>
    <row r="19" spans="1:45" x14ac:dyDescent="0.35">
      <c r="A19" t="s">
        <v>1194</v>
      </c>
      <c r="B19" t="s">
        <v>946</v>
      </c>
      <c r="C19" t="s">
        <v>19</v>
      </c>
      <c r="D19">
        <v>8471270</v>
      </c>
      <c r="E19" t="s">
        <v>598</v>
      </c>
      <c r="F19">
        <v>425900</v>
      </c>
      <c r="G19" t="s">
        <v>35</v>
      </c>
      <c r="H19" t="s">
        <v>599</v>
      </c>
      <c r="I19">
        <v>50000</v>
      </c>
      <c r="J19">
        <v>50000</v>
      </c>
      <c r="N19">
        <v>50000</v>
      </c>
      <c r="S19">
        <v>50000</v>
      </c>
      <c r="T19" t="s">
        <v>880</v>
      </c>
      <c r="U19">
        <v>50000</v>
      </c>
      <c r="V19">
        <v>50000</v>
      </c>
      <c r="X19" t="s">
        <v>722</v>
      </c>
      <c r="Z19">
        <v>50000</v>
      </c>
      <c r="AA19">
        <v>0</v>
      </c>
      <c r="AB19">
        <v>0</v>
      </c>
      <c r="AC19">
        <v>0</v>
      </c>
      <c r="AD19">
        <v>50000</v>
      </c>
      <c r="AE19">
        <v>50000</v>
      </c>
      <c r="AF19">
        <v>0</v>
      </c>
      <c r="AG19">
        <v>0</v>
      </c>
      <c r="AH19" t="s">
        <v>599</v>
      </c>
      <c r="AI19">
        <v>15000</v>
      </c>
      <c r="AJ19">
        <v>0</v>
      </c>
      <c r="AK19">
        <v>0</v>
      </c>
      <c r="AL19">
        <v>0</v>
      </c>
      <c r="AM19">
        <v>12039</v>
      </c>
      <c r="AN19">
        <v>0</v>
      </c>
      <c r="AO19">
        <v>0</v>
      </c>
      <c r="AP19">
        <v>0</v>
      </c>
      <c r="AQ19">
        <v>50000</v>
      </c>
      <c r="AR19">
        <v>0</v>
      </c>
      <c r="AS19">
        <v>-50000</v>
      </c>
    </row>
    <row r="20" spans="1:45" x14ac:dyDescent="0.35">
      <c r="A20" t="s">
        <v>1194</v>
      </c>
      <c r="B20" t="s">
        <v>946</v>
      </c>
      <c r="C20" t="s">
        <v>19</v>
      </c>
      <c r="D20">
        <v>8471260</v>
      </c>
      <c r="E20" t="s">
        <v>586</v>
      </c>
      <c r="F20">
        <v>436110</v>
      </c>
      <c r="G20" t="s">
        <v>119</v>
      </c>
      <c r="H20" t="s">
        <v>597</v>
      </c>
      <c r="I20">
        <v>13500</v>
      </c>
      <c r="J20">
        <v>13500</v>
      </c>
      <c r="K20">
        <v>1620.23</v>
      </c>
      <c r="N20">
        <v>11879.77</v>
      </c>
      <c r="O20">
        <v>7800</v>
      </c>
      <c r="P20">
        <v>4080</v>
      </c>
      <c r="R20" t="s">
        <v>870</v>
      </c>
      <c r="S20">
        <v>-0.22999999999956344</v>
      </c>
      <c r="T20" t="s">
        <v>889</v>
      </c>
      <c r="U20">
        <v>-0.22999999999956344</v>
      </c>
      <c r="V20">
        <v>-4234.8799999999992</v>
      </c>
      <c r="X20" t="s">
        <v>722</v>
      </c>
      <c r="Z20">
        <v>13500</v>
      </c>
      <c r="AA20">
        <v>7039.73</v>
      </c>
      <c r="AB20">
        <v>0</v>
      </c>
      <c r="AC20">
        <v>0</v>
      </c>
      <c r="AD20">
        <v>6460.27</v>
      </c>
      <c r="AE20">
        <v>6460.27</v>
      </c>
      <c r="AF20">
        <v>0</v>
      </c>
      <c r="AG20">
        <v>6460.5</v>
      </c>
      <c r="AH20" t="s">
        <v>597</v>
      </c>
      <c r="AI20">
        <v>13500</v>
      </c>
      <c r="AJ20">
        <v>7039.73</v>
      </c>
      <c r="AK20">
        <v>0</v>
      </c>
      <c r="AL20">
        <v>0</v>
      </c>
      <c r="AM20">
        <v>6460.27</v>
      </c>
      <c r="AN20">
        <v>0</v>
      </c>
      <c r="AO20">
        <v>4234.6499999999996</v>
      </c>
      <c r="AP20">
        <v>0</v>
      </c>
      <c r="AQ20">
        <v>-4234.8799999999992</v>
      </c>
      <c r="AR20">
        <v>11274.38</v>
      </c>
      <c r="AS20">
        <v>15509.259999999998</v>
      </c>
    </row>
    <row r="21" spans="1:45" x14ac:dyDescent="0.35">
      <c r="A21" t="s">
        <v>1194</v>
      </c>
      <c r="B21" t="s">
        <v>946</v>
      </c>
      <c r="C21" t="s">
        <v>19</v>
      </c>
      <c r="D21">
        <v>8471260</v>
      </c>
      <c r="E21" t="s">
        <v>586</v>
      </c>
      <c r="F21">
        <v>435530</v>
      </c>
      <c r="G21" t="s">
        <v>547</v>
      </c>
      <c r="H21" t="s">
        <v>596</v>
      </c>
      <c r="I21">
        <v>12000</v>
      </c>
      <c r="J21">
        <v>117000</v>
      </c>
      <c r="K21">
        <v>54546.5</v>
      </c>
      <c r="L21">
        <v>0</v>
      </c>
      <c r="M21">
        <v>48600</v>
      </c>
      <c r="N21">
        <v>13853.5</v>
      </c>
      <c r="O21">
        <v>6926.75</v>
      </c>
      <c r="P21">
        <v>6926.75</v>
      </c>
      <c r="R21" t="s">
        <v>869</v>
      </c>
      <c r="S21">
        <v>0</v>
      </c>
      <c r="T21" t="s">
        <v>889</v>
      </c>
      <c r="U21">
        <v>0</v>
      </c>
      <c r="V21">
        <v>0</v>
      </c>
      <c r="X21" t="s">
        <v>722</v>
      </c>
      <c r="Z21">
        <v>117000</v>
      </c>
      <c r="AA21">
        <v>106121.25</v>
      </c>
      <c r="AB21">
        <v>9050</v>
      </c>
      <c r="AC21">
        <v>0</v>
      </c>
      <c r="AD21">
        <v>1828.75</v>
      </c>
      <c r="AE21">
        <v>1828.74999999999</v>
      </c>
      <c r="AF21">
        <v>1.0004441719502211E-11</v>
      </c>
      <c r="AG21">
        <v>1828.75</v>
      </c>
      <c r="AH21" t="s">
        <v>596</v>
      </c>
      <c r="AI21">
        <v>117000</v>
      </c>
      <c r="AJ21">
        <v>106121.25</v>
      </c>
      <c r="AK21">
        <v>0</v>
      </c>
      <c r="AL21">
        <v>9050</v>
      </c>
      <c r="AM21">
        <v>1828.74999999999</v>
      </c>
      <c r="AN21">
        <v>0</v>
      </c>
      <c r="AO21">
        <v>0</v>
      </c>
      <c r="AP21">
        <v>0</v>
      </c>
      <c r="AQ21">
        <v>0</v>
      </c>
      <c r="AR21">
        <v>115171.25</v>
      </c>
      <c r="AS21">
        <v>115171.25</v>
      </c>
    </row>
    <row r="22" spans="1:45" x14ac:dyDescent="0.35">
      <c r="A22" t="s">
        <v>1194</v>
      </c>
      <c r="B22" t="s">
        <v>946</v>
      </c>
      <c r="C22" t="s">
        <v>19</v>
      </c>
      <c r="D22">
        <v>8471260</v>
      </c>
      <c r="E22" t="s">
        <v>586</v>
      </c>
      <c r="F22">
        <v>428640</v>
      </c>
      <c r="G22" t="s">
        <v>43</v>
      </c>
      <c r="H22" t="s">
        <v>595</v>
      </c>
      <c r="I22">
        <v>32500</v>
      </c>
      <c r="J22">
        <v>63492</v>
      </c>
      <c r="K22">
        <v>53454.94</v>
      </c>
      <c r="L22">
        <v>0</v>
      </c>
      <c r="M22">
        <v>0</v>
      </c>
      <c r="N22">
        <v>10037.059999999998</v>
      </c>
      <c r="O22">
        <v>5000</v>
      </c>
      <c r="P22">
        <v>5037</v>
      </c>
      <c r="R22" t="s">
        <v>868</v>
      </c>
      <c r="S22">
        <v>5.9999999997671694E-2</v>
      </c>
      <c r="T22" t="s">
        <v>889</v>
      </c>
      <c r="U22">
        <v>5.9999999997671694E-2</v>
      </c>
      <c r="V22">
        <v>5.9999999997671694E-2</v>
      </c>
      <c r="X22" t="s">
        <v>722</v>
      </c>
      <c r="Z22">
        <v>63492</v>
      </c>
      <c r="AA22">
        <v>61287.44</v>
      </c>
      <c r="AB22">
        <v>0</v>
      </c>
      <c r="AC22">
        <v>0</v>
      </c>
      <c r="AD22">
        <v>2204.5599999999977</v>
      </c>
      <c r="AE22">
        <v>2204.5600000000099</v>
      </c>
      <c r="AF22">
        <v>-1.2278178473934531E-11</v>
      </c>
      <c r="AG22">
        <v>2204.5</v>
      </c>
      <c r="AH22" t="s">
        <v>595</v>
      </c>
      <c r="AI22">
        <v>63492</v>
      </c>
      <c r="AJ22">
        <v>61287.44</v>
      </c>
      <c r="AK22">
        <v>0</v>
      </c>
      <c r="AL22">
        <v>0</v>
      </c>
      <c r="AM22">
        <v>2204.5600000000099</v>
      </c>
      <c r="AN22">
        <v>0</v>
      </c>
      <c r="AO22">
        <v>0</v>
      </c>
      <c r="AP22">
        <v>0</v>
      </c>
      <c r="AQ22">
        <v>5.9999999997671694E-2</v>
      </c>
      <c r="AR22">
        <v>61287.44</v>
      </c>
      <c r="AS22">
        <v>61287.380000000005</v>
      </c>
    </row>
    <row r="23" spans="1:45" x14ac:dyDescent="0.35">
      <c r="A23" t="s">
        <v>1194</v>
      </c>
      <c r="B23" t="s">
        <v>946</v>
      </c>
      <c r="C23" t="s">
        <v>19</v>
      </c>
      <c r="D23">
        <v>8471260</v>
      </c>
      <c r="E23" t="s">
        <v>586</v>
      </c>
      <c r="F23">
        <v>425900</v>
      </c>
      <c r="G23" t="s">
        <v>35</v>
      </c>
      <c r="H23" t="s">
        <v>594</v>
      </c>
      <c r="I23">
        <v>70800</v>
      </c>
      <c r="J23">
        <v>126700</v>
      </c>
      <c r="K23">
        <v>117403.98</v>
      </c>
      <c r="L23">
        <v>0</v>
      </c>
      <c r="M23">
        <v>0</v>
      </c>
      <c r="N23">
        <v>9296.0200000000041</v>
      </c>
      <c r="O23">
        <v>4634.5</v>
      </c>
      <c r="P23">
        <v>4662</v>
      </c>
      <c r="Q23">
        <v>0</v>
      </c>
      <c r="R23" t="s">
        <v>867</v>
      </c>
      <c r="S23">
        <v>-0.47999999999592546</v>
      </c>
      <c r="T23" t="s">
        <v>889</v>
      </c>
      <c r="U23">
        <v>-0.47999999999592546</v>
      </c>
      <c r="V23">
        <v>-0.47999999999592546</v>
      </c>
      <c r="X23" t="s">
        <v>722</v>
      </c>
      <c r="Z23">
        <v>138988</v>
      </c>
      <c r="AA23">
        <v>135585.60000000001</v>
      </c>
      <c r="AB23">
        <v>0</v>
      </c>
      <c r="AC23">
        <v>0</v>
      </c>
      <c r="AD23">
        <v>3402.3999999999942</v>
      </c>
      <c r="AE23">
        <v>3402.4000000000301</v>
      </c>
      <c r="AF23">
        <v>-3.5925040720030665E-11</v>
      </c>
      <c r="AG23">
        <v>3402.8799999999901</v>
      </c>
      <c r="AH23" t="s">
        <v>594</v>
      </c>
      <c r="AI23">
        <v>144988</v>
      </c>
      <c r="AJ23">
        <v>137684.41</v>
      </c>
      <c r="AK23">
        <v>0</v>
      </c>
      <c r="AL23">
        <v>0</v>
      </c>
      <c r="AM23">
        <v>6253.59</v>
      </c>
      <c r="AN23">
        <v>0</v>
      </c>
      <c r="AO23">
        <v>0</v>
      </c>
      <c r="AP23">
        <v>0</v>
      </c>
      <c r="AQ23">
        <v>-0.47999999999592546</v>
      </c>
      <c r="AR23">
        <v>135585.60000000001</v>
      </c>
      <c r="AS23">
        <v>137684.89000000001</v>
      </c>
    </row>
    <row r="24" spans="1:45" x14ac:dyDescent="0.35">
      <c r="A24" t="s">
        <v>1194</v>
      </c>
      <c r="B24" t="s">
        <v>946</v>
      </c>
      <c r="C24" t="s">
        <v>19</v>
      </c>
      <c r="D24">
        <v>8471260</v>
      </c>
      <c r="E24" t="s">
        <v>586</v>
      </c>
      <c r="F24">
        <v>425760</v>
      </c>
      <c r="G24" t="s">
        <v>142</v>
      </c>
      <c r="H24" t="s">
        <v>593</v>
      </c>
      <c r="I24">
        <v>936870</v>
      </c>
      <c r="J24">
        <v>703970</v>
      </c>
      <c r="K24">
        <v>279636.98</v>
      </c>
      <c r="L24">
        <v>238050</v>
      </c>
      <c r="M24">
        <v>62469.05</v>
      </c>
      <c r="N24">
        <v>123813.97000000002</v>
      </c>
      <c r="O24">
        <v>56907</v>
      </c>
      <c r="P24">
        <v>61907</v>
      </c>
      <c r="Q24">
        <v>5000</v>
      </c>
      <c r="R24" t="s">
        <v>866</v>
      </c>
      <c r="S24">
        <v>-2.9999999984283932E-2</v>
      </c>
      <c r="T24" t="s">
        <v>889</v>
      </c>
      <c r="U24">
        <v>-2.9999999984283932E-2</v>
      </c>
      <c r="V24">
        <v>-15854.839999999984</v>
      </c>
      <c r="X24" t="s">
        <v>722</v>
      </c>
      <c r="Z24">
        <v>703970</v>
      </c>
      <c r="AA24">
        <v>442827.3</v>
      </c>
      <c r="AB24">
        <v>25000</v>
      </c>
      <c r="AC24">
        <v>33450</v>
      </c>
      <c r="AD24">
        <v>202692.7</v>
      </c>
      <c r="AE24">
        <v>202692.7</v>
      </c>
      <c r="AF24">
        <v>0</v>
      </c>
      <c r="AG24">
        <v>202692.72999999998</v>
      </c>
      <c r="AH24" t="s">
        <v>593</v>
      </c>
      <c r="AI24">
        <v>575970</v>
      </c>
      <c r="AJ24">
        <v>457648.93</v>
      </c>
      <c r="AK24">
        <v>0</v>
      </c>
      <c r="AL24">
        <v>47450</v>
      </c>
      <c r="AM24">
        <v>70871.069999999905</v>
      </c>
      <c r="AN24">
        <v>8586.91</v>
      </c>
      <c r="AO24">
        <v>7267.9</v>
      </c>
      <c r="AP24">
        <v>0</v>
      </c>
      <c r="AQ24">
        <v>-15854.839999999984</v>
      </c>
      <c r="AR24">
        <v>522132.11</v>
      </c>
      <c r="AS24">
        <v>541808.57999999996</v>
      </c>
    </row>
    <row r="25" spans="1:45" x14ac:dyDescent="0.35">
      <c r="A25" t="s">
        <v>1194</v>
      </c>
      <c r="B25" t="s">
        <v>946</v>
      </c>
      <c r="C25" t="s">
        <v>19</v>
      </c>
      <c r="D25">
        <v>8471260</v>
      </c>
      <c r="E25" t="s">
        <v>586</v>
      </c>
      <c r="F25">
        <v>425747</v>
      </c>
      <c r="G25" t="s">
        <v>591</v>
      </c>
      <c r="H25" t="s">
        <v>592</v>
      </c>
      <c r="I25">
        <v>225000</v>
      </c>
      <c r="J25">
        <v>410000</v>
      </c>
      <c r="K25">
        <v>85680</v>
      </c>
      <c r="L25">
        <v>230400</v>
      </c>
      <c r="M25">
        <v>81632</v>
      </c>
      <c r="N25">
        <v>12288</v>
      </c>
      <c r="P25">
        <v>12288</v>
      </c>
      <c r="R25" t="s">
        <v>865</v>
      </c>
      <c r="S25">
        <v>0</v>
      </c>
      <c r="T25" t="s">
        <v>889</v>
      </c>
      <c r="U25">
        <v>0</v>
      </c>
      <c r="V25">
        <v>0</v>
      </c>
      <c r="X25" t="s">
        <v>722</v>
      </c>
      <c r="Z25">
        <v>397712</v>
      </c>
      <c r="AA25">
        <v>397712</v>
      </c>
      <c r="AB25">
        <v>0</v>
      </c>
      <c r="AC25">
        <v>0</v>
      </c>
      <c r="AD25">
        <v>0</v>
      </c>
      <c r="AE25">
        <v>0</v>
      </c>
      <c r="AF25">
        <v>0</v>
      </c>
      <c r="AG25">
        <v>0</v>
      </c>
      <c r="AH25" t="s">
        <v>592</v>
      </c>
      <c r="AI25">
        <v>586812</v>
      </c>
      <c r="AJ25">
        <v>401793.6</v>
      </c>
      <c r="AK25">
        <v>0</v>
      </c>
      <c r="AL25">
        <v>0</v>
      </c>
      <c r="AM25">
        <v>185018.4</v>
      </c>
      <c r="AN25">
        <v>0</v>
      </c>
      <c r="AO25">
        <v>0</v>
      </c>
      <c r="AP25">
        <v>0</v>
      </c>
      <c r="AQ25">
        <v>0</v>
      </c>
      <c r="AR25">
        <v>397712</v>
      </c>
      <c r="AS25">
        <v>401793.6</v>
      </c>
    </row>
    <row r="26" spans="1:45" x14ac:dyDescent="0.35">
      <c r="A26" t="s">
        <v>1194</v>
      </c>
      <c r="B26" t="s">
        <v>946</v>
      </c>
      <c r="C26" t="s">
        <v>19</v>
      </c>
      <c r="D26">
        <v>8471260</v>
      </c>
      <c r="E26" t="s">
        <v>586</v>
      </c>
      <c r="F26">
        <v>425746</v>
      </c>
      <c r="G26" t="s">
        <v>589</v>
      </c>
      <c r="H26" t="s">
        <v>590</v>
      </c>
      <c r="I26">
        <v>9349361</v>
      </c>
      <c r="J26">
        <v>9349361</v>
      </c>
      <c r="K26">
        <v>-58814.48</v>
      </c>
      <c r="M26">
        <v>662298.51</v>
      </c>
      <c r="N26">
        <v>8745876.9700000007</v>
      </c>
      <c r="O26">
        <v>9967605.25</v>
      </c>
      <c r="P26">
        <v>1143175.75</v>
      </c>
      <c r="Q26">
        <v>1143175.75</v>
      </c>
      <c r="R26" t="s">
        <v>864</v>
      </c>
      <c r="S26">
        <v>-5300000</v>
      </c>
      <c r="T26" t="s">
        <v>981</v>
      </c>
      <c r="V26">
        <v>0</v>
      </c>
      <c r="W26">
        <v>5300000</v>
      </c>
      <c r="X26" t="s">
        <v>722</v>
      </c>
      <c r="Z26">
        <v>9349361</v>
      </c>
      <c r="AA26">
        <v>-58814.48</v>
      </c>
      <c r="AB26">
        <v>0</v>
      </c>
      <c r="AC26">
        <v>9407298.5099999998</v>
      </c>
      <c r="AD26">
        <v>876.97000000067055</v>
      </c>
      <c r="AE26">
        <v>876.97000000067101</v>
      </c>
      <c r="AF26">
        <v>0</v>
      </c>
      <c r="AG26">
        <v>876.97000000067055</v>
      </c>
      <c r="AH26" t="s">
        <v>590</v>
      </c>
      <c r="AI26">
        <v>9349361</v>
      </c>
      <c r="AJ26">
        <v>98990.26</v>
      </c>
      <c r="AK26">
        <v>0</v>
      </c>
      <c r="AL26">
        <v>8745000</v>
      </c>
      <c r="AM26">
        <v>505370.74</v>
      </c>
      <c r="AN26">
        <v>0</v>
      </c>
      <c r="AO26">
        <v>0</v>
      </c>
      <c r="AP26">
        <v>0</v>
      </c>
      <c r="AQ26">
        <v>0</v>
      </c>
      <c r="AR26">
        <v>10491659.779999999</v>
      </c>
      <c r="AS26">
        <v>15287166.01</v>
      </c>
    </row>
    <row r="27" spans="1:45" x14ac:dyDescent="0.35">
      <c r="A27" t="s">
        <v>1194</v>
      </c>
      <c r="B27" t="s">
        <v>946</v>
      </c>
      <c r="C27" t="s">
        <v>19</v>
      </c>
      <c r="D27">
        <v>8471260</v>
      </c>
      <c r="E27" t="s">
        <v>586</v>
      </c>
      <c r="F27">
        <v>425510</v>
      </c>
      <c r="G27" t="s">
        <v>31</v>
      </c>
      <c r="H27" t="s">
        <v>588</v>
      </c>
      <c r="I27">
        <v>205000</v>
      </c>
      <c r="J27">
        <v>105000</v>
      </c>
      <c r="K27">
        <v>77273.75</v>
      </c>
      <c r="L27">
        <v>0</v>
      </c>
      <c r="M27">
        <v>0</v>
      </c>
      <c r="N27">
        <v>27726.25</v>
      </c>
      <c r="O27">
        <v>0</v>
      </c>
      <c r="P27">
        <v>27726</v>
      </c>
      <c r="Q27">
        <v>0</v>
      </c>
      <c r="R27" t="s">
        <v>863</v>
      </c>
      <c r="S27">
        <v>0.25</v>
      </c>
      <c r="U27">
        <v>0.25</v>
      </c>
      <c r="V27">
        <v>0.25</v>
      </c>
      <c r="X27" t="s">
        <v>722</v>
      </c>
      <c r="Z27">
        <v>105000</v>
      </c>
      <c r="AA27">
        <v>98773.75</v>
      </c>
      <c r="AB27">
        <v>0</v>
      </c>
      <c r="AC27">
        <v>0</v>
      </c>
      <c r="AD27">
        <v>6226.25</v>
      </c>
      <c r="AE27">
        <v>6226.25</v>
      </c>
      <c r="AF27">
        <v>0</v>
      </c>
      <c r="AG27">
        <v>6226</v>
      </c>
      <c r="AH27" t="s">
        <v>588</v>
      </c>
      <c r="AI27">
        <v>99000</v>
      </c>
      <c r="AJ27">
        <v>98773.75</v>
      </c>
      <c r="AK27">
        <v>0</v>
      </c>
      <c r="AL27">
        <v>0</v>
      </c>
      <c r="AM27">
        <v>226.25</v>
      </c>
      <c r="AN27">
        <v>0</v>
      </c>
      <c r="AO27">
        <v>0</v>
      </c>
      <c r="AP27">
        <v>0</v>
      </c>
      <c r="AQ27">
        <v>0.25</v>
      </c>
      <c r="AR27">
        <v>98773.75</v>
      </c>
      <c r="AS27">
        <v>98773.5</v>
      </c>
    </row>
    <row r="28" spans="1:45" x14ac:dyDescent="0.35">
      <c r="A28" t="s">
        <v>1194</v>
      </c>
      <c r="B28" t="s">
        <v>946</v>
      </c>
      <c r="C28" t="s">
        <v>19</v>
      </c>
      <c r="D28">
        <v>8471260</v>
      </c>
      <c r="E28" t="s">
        <v>586</v>
      </c>
      <c r="F28">
        <v>421100</v>
      </c>
      <c r="G28" t="s">
        <v>367</v>
      </c>
      <c r="H28" t="s">
        <v>587</v>
      </c>
      <c r="I28">
        <v>2058000</v>
      </c>
      <c r="J28">
        <v>353000</v>
      </c>
      <c r="K28">
        <v>352238.57</v>
      </c>
      <c r="N28">
        <v>761.42999999999302</v>
      </c>
      <c r="O28">
        <v>0</v>
      </c>
      <c r="P28">
        <v>0</v>
      </c>
      <c r="Q28">
        <v>0</v>
      </c>
      <c r="R28">
        <v>0</v>
      </c>
      <c r="S28">
        <v>761.42999999999302</v>
      </c>
      <c r="T28" t="s">
        <v>889</v>
      </c>
      <c r="U28">
        <v>761.42999999999302</v>
      </c>
      <c r="V28">
        <v>761.42999999999302</v>
      </c>
      <c r="X28" t="s">
        <v>722</v>
      </c>
      <c r="Z28">
        <v>353000</v>
      </c>
      <c r="AA28">
        <v>352238.57</v>
      </c>
      <c r="AB28">
        <v>0</v>
      </c>
      <c r="AC28">
        <v>0</v>
      </c>
      <c r="AD28">
        <v>761.42999999999302</v>
      </c>
      <c r="AE28">
        <v>761.42999999999302</v>
      </c>
      <c r="AF28">
        <v>0</v>
      </c>
      <c r="AG28">
        <v>0</v>
      </c>
      <c r="AH28" t="s">
        <v>587</v>
      </c>
      <c r="AI28">
        <v>353000</v>
      </c>
      <c r="AJ28">
        <v>352238.57</v>
      </c>
      <c r="AK28">
        <v>0</v>
      </c>
      <c r="AL28">
        <v>0</v>
      </c>
      <c r="AM28">
        <v>761.42999999999302</v>
      </c>
      <c r="AN28">
        <v>0</v>
      </c>
      <c r="AO28">
        <v>0</v>
      </c>
      <c r="AP28">
        <v>0</v>
      </c>
      <c r="AQ28">
        <v>761.42999999999302</v>
      </c>
      <c r="AR28">
        <v>352238.57</v>
      </c>
      <c r="AS28">
        <v>351477.14</v>
      </c>
    </row>
    <row r="29" spans="1:45" x14ac:dyDescent="0.35">
      <c r="A29" t="s">
        <v>1194</v>
      </c>
      <c r="B29" t="s">
        <v>946</v>
      </c>
      <c r="C29" t="s">
        <v>19</v>
      </c>
      <c r="D29">
        <v>8471250</v>
      </c>
      <c r="E29" t="s">
        <v>577</v>
      </c>
      <c r="F29">
        <v>436110</v>
      </c>
      <c r="G29" t="s">
        <v>119</v>
      </c>
      <c r="H29" t="s">
        <v>585</v>
      </c>
      <c r="I29">
        <v>10000</v>
      </c>
      <c r="J29">
        <v>10000</v>
      </c>
      <c r="N29">
        <v>10000</v>
      </c>
      <c r="Q29">
        <v>10000</v>
      </c>
      <c r="R29" t="s">
        <v>862</v>
      </c>
      <c r="S29">
        <v>0</v>
      </c>
      <c r="U29">
        <v>0</v>
      </c>
      <c r="V29">
        <v>-12167.5</v>
      </c>
      <c r="X29" t="s">
        <v>722</v>
      </c>
      <c r="Z29">
        <v>10000</v>
      </c>
      <c r="AA29">
        <v>0</v>
      </c>
      <c r="AB29">
        <v>0</v>
      </c>
      <c r="AC29">
        <v>0</v>
      </c>
      <c r="AD29">
        <v>10000</v>
      </c>
      <c r="AE29">
        <v>10000</v>
      </c>
      <c r="AF29">
        <v>0</v>
      </c>
      <c r="AG29">
        <v>10000</v>
      </c>
      <c r="AH29" t="s">
        <v>585</v>
      </c>
      <c r="AI29">
        <v>12170</v>
      </c>
      <c r="AJ29">
        <v>0</v>
      </c>
      <c r="AK29">
        <v>0</v>
      </c>
      <c r="AL29">
        <v>0</v>
      </c>
      <c r="AM29">
        <v>12170</v>
      </c>
      <c r="AN29">
        <v>0</v>
      </c>
      <c r="AO29">
        <v>12167.5</v>
      </c>
      <c r="AP29">
        <v>0</v>
      </c>
      <c r="AQ29">
        <v>-12167.5</v>
      </c>
      <c r="AR29">
        <v>22167.5</v>
      </c>
      <c r="AS29">
        <v>34335</v>
      </c>
    </row>
    <row r="30" spans="1:45" x14ac:dyDescent="0.35">
      <c r="A30" t="s">
        <v>1194</v>
      </c>
      <c r="B30" t="s">
        <v>946</v>
      </c>
      <c r="C30" t="s">
        <v>19</v>
      </c>
      <c r="D30">
        <v>8471250</v>
      </c>
      <c r="E30" t="s">
        <v>577</v>
      </c>
      <c r="F30">
        <v>428640</v>
      </c>
      <c r="G30" t="s">
        <v>43</v>
      </c>
      <c r="H30" t="s">
        <v>584</v>
      </c>
      <c r="I30">
        <v>46500</v>
      </c>
      <c r="J30">
        <v>70001</v>
      </c>
      <c r="N30">
        <v>70001</v>
      </c>
      <c r="P30">
        <v>70001</v>
      </c>
      <c r="R30" t="s">
        <v>861</v>
      </c>
      <c r="S30">
        <v>0</v>
      </c>
      <c r="U30">
        <v>0</v>
      </c>
      <c r="V30">
        <v>0</v>
      </c>
      <c r="X30" t="s">
        <v>722</v>
      </c>
      <c r="Z30">
        <v>1</v>
      </c>
      <c r="AA30">
        <v>0</v>
      </c>
      <c r="AB30">
        <v>0</v>
      </c>
      <c r="AC30">
        <v>0</v>
      </c>
      <c r="AD30">
        <v>1</v>
      </c>
      <c r="AE30">
        <v>1</v>
      </c>
      <c r="AF30">
        <v>0</v>
      </c>
      <c r="AG30">
        <v>1</v>
      </c>
      <c r="AH30" t="s">
        <v>584</v>
      </c>
      <c r="AI30">
        <v>1</v>
      </c>
      <c r="AJ30">
        <v>0</v>
      </c>
      <c r="AK30">
        <v>0</v>
      </c>
      <c r="AL30">
        <v>0</v>
      </c>
      <c r="AM30">
        <v>1</v>
      </c>
      <c r="AN30">
        <v>0</v>
      </c>
      <c r="AO30">
        <v>0</v>
      </c>
      <c r="AP30">
        <v>0</v>
      </c>
      <c r="AQ30">
        <v>0</v>
      </c>
      <c r="AR30">
        <v>0</v>
      </c>
      <c r="AS30">
        <v>0</v>
      </c>
    </row>
    <row r="31" spans="1:45" x14ac:dyDescent="0.35">
      <c r="A31" t="s">
        <v>1194</v>
      </c>
      <c r="B31" t="s">
        <v>946</v>
      </c>
      <c r="C31" t="s">
        <v>19</v>
      </c>
      <c r="D31">
        <v>8471250</v>
      </c>
      <c r="E31" t="s">
        <v>577</v>
      </c>
      <c r="F31">
        <v>428090</v>
      </c>
      <c r="G31" t="s">
        <v>39</v>
      </c>
      <c r="H31" t="s">
        <v>583</v>
      </c>
      <c r="I31">
        <v>0</v>
      </c>
      <c r="J31">
        <v>10000</v>
      </c>
      <c r="K31">
        <v>4400</v>
      </c>
      <c r="N31">
        <v>5600</v>
      </c>
      <c r="Q31">
        <v>5600</v>
      </c>
      <c r="R31" t="s">
        <v>860</v>
      </c>
      <c r="S31">
        <v>0</v>
      </c>
      <c r="U31">
        <v>0</v>
      </c>
      <c r="V31">
        <v>0</v>
      </c>
      <c r="X31" t="s">
        <v>722</v>
      </c>
      <c r="Z31">
        <v>10000</v>
      </c>
      <c r="AA31">
        <v>5935</v>
      </c>
      <c r="AB31">
        <v>0</v>
      </c>
      <c r="AC31">
        <v>0</v>
      </c>
      <c r="AD31">
        <v>4065</v>
      </c>
      <c r="AE31">
        <v>4065</v>
      </c>
      <c r="AF31">
        <v>0</v>
      </c>
      <c r="AG31">
        <v>4065</v>
      </c>
      <c r="AH31" t="s">
        <v>583</v>
      </c>
      <c r="AI31">
        <v>7536</v>
      </c>
      <c r="AJ31">
        <v>7535</v>
      </c>
      <c r="AK31">
        <v>0</v>
      </c>
      <c r="AL31">
        <v>0</v>
      </c>
      <c r="AM31">
        <v>1</v>
      </c>
      <c r="AN31">
        <v>0</v>
      </c>
      <c r="AO31">
        <v>0</v>
      </c>
      <c r="AP31">
        <v>0</v>
      </c>
      <c r="AQ31">
        <v>0</v>
      </c>
      <c r="AR31">
        <v>11535</v>
      </c>
      <c r="AS31">
        <v>13135</v>
      </c>
    </row>
    <row r="32" spans="1:45" x14ac:dyDescent="0.35">
      <c r="A32" t="s">
        <v>1194</v>
      </c>
      <c r="B32" t="s">
        <v>946</v>
      </c>
      <c r="C32" t="s">
        <v>19</v>
      </c>
      <c r="D32">
        <v>8471250</v>
      </c>
      <c r="E32" t="s">
        <v>577</v>
      </c>
      <c r="F32">
        <v>426610</v>
      </c>
      <c r="G32" t="s">
        <v>37</v>
      </c>
      <c r="H32" t="s">
        <v>582</v>
      </c>
      <c r="I32">
        <v>60608</v>
      </c>
      <c r="J32">
        <v>60608</v>
      </c>
      <c r="L32">
        <v>0</v>
      </c>
      <c r="M32">
        <v>60604.5</v>
      </c>
      <c r="N32">
        <v>3.5</v>
      </c>
      <c r="S32">
        <v>3.5</v>
      </c>
      <c r="T32" t="s">
        <v>888</v>
      </c>
      <c r="U32">
        <v>3.5</v>
      </c>
      <c r="V32">
        <v>3.5</v>
      </c>
      <c r="X32" t="s">
        <v>722</v>
      </c>
      <c r="Z32">
        <v>60608</v>
      </c>
      <c r="AA32">
        <v>60604.5</v>
      </c>
      <c r="AB32">
        <v>0</v>
      </c>
      <c r="AC32">
        <v>0</v>
      </c>
      <c r="AD32">
        <v>3.5</v>
      </c>
      <c r="AE32">
        <v>3.5</v>
      </c>
      <c r="AF32">
        <v>0</v>
      </c>
      <c r="AG32">
        <v>0</v>
      </c>
      <c r="AH32" t="s">
        <v>582</v>
      </c>
      <c r="AI32">
        <v>60608</v>
      </c>
      <c r="AJ32">
        <v>60604.5</v>
      </c>
      <c r="AK32">
        <v>0</v>
      </c>
      <c r="AL32">
        <v>0</v>
      </c>
      <c r="AM32">
        <v>3.5</v>
      </c>
      <c r="AN32">
        <v>0</v>
      </c>
      <c r="AO32">
        <v>0</v>
      </c>
      <c r="AP32">
        <v>0</v>
      </c>
      <c r="AQ32">
        <v>3.5</v>
      </c>
      <c r="AR32">
        <v>60604.5</v>
      </c>
      <c r="AS32">
        <v>60601</v>
      </c>
    </row>
    <row r="33" spans="1:45" x14ac:dyDescent="0.35">
      <c r="A33" t="s">
        <v>1194</v>
      </c>
      <c r="B33" t="s">
        <v>946</v>
      </c>
      <c r="C33" t="s">
        <v>19</v>
      </c>
      <c r="D33">
        <v>8471250</v>
      </c>
      <c r="E33" t="s">
        <v>577</v>
      </c>
      <c r="F33">
        <v>425900</v>
      </c>
      <c r="G33" t="s">
        <v>35</v>
      </c>
      <c r="H33" t="s">
        <v>581</v>
      </c>
      <c r="I33">
        <v>51000</v>
      </c>
      <c r="J33">
        <v>51000</v>
      </c>
      <c r="N33">
        <v>51000</v>
      </c>
      <c r="P33">
        <v>51000</v>
      </c>
      <c r="R33" t="s">
        <v>859</v>
      </c>
      <c r="S33">
        <v>0</v>
      </c>
      <c r="U33">
        <v>0</v>
      </c>
      <c r="V33">
        <v>0</v>
      </c>
      <c r="X33" t="s">
        <v>722</v>
      </c>
      <c r="Z33">
        <v>1000</v>
      </c>
      <c r="AA33">
        <v>0</v>
      </c>
      <c r="AB33">
        <v>0</v>
      </c>
      <c r="AC33">
        <v>0</v>
      </c>
      <c r="AD33">
        <v>1000</v>
      </c>
      <c r="AE33">
        <v>1000</v>
      </c>
      <c r="AF33">
        <v>0</v>
      </c>
      <c r="AG33">
        <v>1000</v>
      </c>
      <c r="AH33" t="s">
        <v>581</v>
      </c>
      <c r="AI33">
        <v>31400</v>
      </c>
      <c r="AJ33">
        <v>31400</v>
      </c>
      <c r="AK33">
        <v>0</v>
      </c>
      <c r="AL33">
        <v>0</v>
      </c>
      <c r="AM33">
        <v>0</v>
      </c>
      <c r="AN33">
        <v>0</v>
      </c>
      <c r="AO33">
        <v>0</v>
      </c>
      <c r="AP33">
        <v>0</v>
      </c>
      <c r="AQ33">
        <v>0</v>
      </c>
      <c r="AR33">
        <v>0</v>
      </c>
      <c r="AS33">
        <v>31400</v>
      </c>
    </row>
    <row r="34" spans="1:45" x14ac:dyDescent="0.35">
      <c r="A34" t="s">
        <v>1194</v>
      </c>
      <c r="B34" t="s">
        <v>946</v>
      </c>
      <c r="C34" t="s">
        <v>19</v>
      </c>
      <c r="D34">
        <v>8471250</v>
      </c>
      <c r="E34" t="s">
        <v>577</v>
      </c>
      <c r="F34">
        <v>425762</v>
      </c>
      <c r="G34" t="s">
        <v>112</v>
      </c>
      <c r="H34" t="s">
        <v>580</v>
      </c>
      <c r="I34">
        <v>520000</v>
      </c>
      <c r="J34">
        <v>520000</v>
      </c>
      <c r="K34">
        <v>398977.51</v>
      </c>
      <c r="N34">
        <v>121022.48999999999</v>
      </c>
      <c r="P34">
        <v>127674.49</v>
      </c>
      <c r="R34" t="s">
        <v>858</v>
      </c>
      <c r="S34">
        <v>-6652.0000000000146</v>
      </c>
      <c r="V34">
        <v>0</v>
      </c>
      <c r="W34">
        <v>6652.0000000000146</v>
      </c>
      <c r="X34" t="s">
        <v>722</v>
      </c>
      <c r="Z34">
        <v>520000</v>
      </c>
      <c r="AA34">
        <v>443183.95</v>
      </c>
      <c r="AB34">
        <v>0</v>
      </c>
      <c r="AC34">
        <v>0</v>
      </c>
      <c r="AD34">
        <v>76816.049999999988</v>
      </c>
      <c r="AE34">
        <v>76816.05</v>
      </c>
      <c r="AF34">
        <v>0</v>
      </c>
      <c r="AG34">
        <v>76816.049999999988</v>
      </c>
      <c r="AH34" t="s">
        <v>580</v>
      </c>
      <c r="AI34">
        <v>462420</v>
      </c>
      <c r="AJ34">
        <v>462418.95</v>
      </c>
      <c r="AK34">
        <v>0</v>
      </c>
      <c r="AL34">
        <v>0</v>
      </c>
      <c r="AM34">
        <v>1.0499999999865399</v>
      </c>
      <c r="AN34">
        <v>0</v>
      </c>
      <c r="AO34">
        <v>0</v>
      </c>
      <c r="AP34">
        <v>0</v>
      </c>
      <c r="AQ34">
        <v>0</v>
      </c>
      <c r="AR34">
        <v>443183.95</v>
      </c>
      <c r="AS34">
        <v>469070.95</v>
      </c>
    </row>
    <row r="35" spans="1:45" x14ac:dyDescent="0.35">
      <c r="A35" t="s">
        <v>1194</v>
      </c>
      <c r="B35" t="s">
        <v>946</v>
      </c>
      <c r="C35" t="s">
        <v>19</v>
      </c>
      <c r="D35">
        <v>8471250</v>
      </c>
      <c r="E35" t="s">
        <v>577</v>
      </c>
      <c r="F35">
        <v>425510</v>
      </c>
      <c r="G35" t="s">
        <v>31</v>
      </c>
      <c r="H35" t="s">
        <v>578</v>
      </c>
      <c r="I35">
        <v>317500</v>
      </c>
      <c r="J35">
        <v>830600</v>
      </c>
      <c r="K35">
        <v>67500</v>
      </c>
      <c r="L35">
        <v>734500</v>
      </c>
      <c r="M35">
        <v>0</v>
      </c>
      <c r="N35">
        <v>28600</v>
      </c>
      <c r="P35">
        <v>28600</v>
      </c>
      <c r="R35" t="s">
        <v>857</v>
      </c>
      <c r="S35">
        <v>0</v>
      </c>
      <c r="U35">
        <v>0</v>
      </c>
      <c r="V35">
        <v>-4725</v>
      </c>
      <c r="X35" t="s">
        <v>722</v>
      </c>
      <c r="Z35">
        <v>880600</v>
      </c>
      <c r="AA35">
        <v>112850</v>
      </c>
      <c r="AB35">
        <v>365000</v>
      </c>
      <c r="AC35">
        <v>358865</v>
      </c>
      <c r="AD35">
        <v>43885</v>
      </c>
      <c r="AE35">
        <v>43885</v>
      </c>
      <c r="AF35">
        <v>0</v>
      </c>
      <c r="AG35">
        <v>43885</v>
      </c>
      <c r="AH35" t="s">
        <v>578</v>
      </c>
      <c r="AI35">
        <v>992474</v>
      </c>
      <c r="AJ35">
        <v>471715</v>
      </c>
      <c r="AK35">
        <v>365000</v>
      </c>
      <c r="AL35">
        <v>0</v>
      </c>
      <c r="AM35">
        <v>155759</v>
      </c>
      <c r="AN35">
        <v>0</v>
      </c>
      <c r="AO35">
        <v>4725</v>
      </c>
      <c r="AP35">
        <v>0</v>
      </c>
      <c r="AQ35">
        <v>-4725</v>
      </c>
      <c r="AR35">
        <v>841440</v>
      </c>
      <c r="AS35">
        <v>846165</v>
      </c>
    </row>
    <row r="36" spans="1:45" x14ac:dyDescent="0.35">
      <c r="A36" t="s">
        <v>1194</v>
      </c>
      <c r="B36" t="s">
        <v>946</v>
      </c>
      <c r="C36" t="s">
        <v>19</v>
      </c>
      <c r="D36">
        <v>8471240</v>
      </c>
      <c r="E36" t="s">
        <v>562</v>
      </c>
      <c r="F36">
        <v>436120</v>
      </c>
      <c r="G36" t="s">
        <v>443</v>
      </c>
      <c r="H36" t="s">
        <v>576</v>
      </c>
      <c r="I36">
        <v>35000</v>
      </c>
      <c r="J36">
        <v>25000</v>
      </c>
      <c r="N36">
        <v>25000</v>
      </c>
      <c r="S36">
        <v>25000</v>
      </c>
      <c r="U36">
        <v>25000</v>
      </c>
      <c r="V36">
        <v>25000</v>
      </c>
      <c r="X36" t="s">
        <v>722</v>
      </c>
      <c r="Z36">
        <v>25000</v>
      </c>
      <c r="AA36">
        <v>0</v>
      </c>
      <c r="AB36">
        <v>0</v>
      </c>
      <c r="AC36">
        <v>0</v>
      </c>
      <c r="AD36">
        <v>25000</v>
      </c>
      <c r="AE36">
        <v>25000</v>
      </c>
      <c r="AF36">
        <v>0</v>
      </c>
      <c r="AG36">
        <v>0</v>
      </c>
      <c r="AH36" t="s">
        <v>576</v>
      </c>
      <c r="AI36">
        <v>25000</v>
      </c>
      <c r="AJ36">
        <v>0</v>
      </c>
      <c r="AK36">
        <v>0</v>
      </c>
      <c r="AL36">
        <v>0</v>
      </c>
      <c r="AM36">
        <v>25000</v>
      </c>
      <c r="AN36">
        <v>0</v>
      </c>
      <c r="AO36">
        <v>0</v>
      </c>
      <c r="AP36">
        <v>0</v>
      </c>
      <c r="AQ36">
        <v>25000</v>
      </c>
      <c r="AR36">
        <v>0</v>
      </c>
      <c r="AS36">
        <v>-25000</v>
      </c>
    </row>
    <row r="37" spans="1:45" x14ac:dyDescent="0.35">
      <c r="A37" t="s">
        <v>1194</v>
      </c>
      <c r="B37" t="s">
        <v>946</v>
      </c>
      <c r="C37" t="s">
        <v>19</v>
      </c>
      <c r="D37">
        <v>8471240</v>
      </c>
      <c r="E37" t="s">
        <v>562</v>
      </c>
      <c r="F37">
        <v>436110</v>
      </c>
      <c r="G37" t="s">
        <v>119</v>
      </c>
      <c r="H37" t="s">
        <v>575</v>
      </c>
      <c r="I37">
        <v>42000</v>
      </c>
      <c r="J37">
        <v>42000</v>
      </c>
      <c r="N37">
        <v>42000</v>
      </c>
      <c r="S37">
        <v>42000</v>
      </c>
      <c r="U37">
        <v>42000</v>
      </c>
      <c r="V37">
        <v>42000</v>
      </c>
      <c r="X37" t="s">
        <v>722</v>
      </c>
      <c r="Z37">
        <v>12000</v>
      </c>
      <c r="AA37">
        <v>0</v>
      </c>
      <c r="AB37">
        <v>0</v>
      </c>
      <c r="AC37">
        <v>0</v>
      </c>
      <c r="AD37">
        <v>12000</v>
      </c>
      <c r="AE37">
        <v>12000</v>
      </c>
      <c r="AF37">
        <v>0</v>
      </c>
      <c r="AG37">
        <v>-30000</v>
      </c>
      <c r="AH37" t="s">
        <v>575</v>
      </c>
      <c r="AI37">
        <v>12000</v>
      </c>
      <c r="AJ37">
        <v>0</v>
      </c>
      <c r="AK37">
        <v>0</v>
      </c>
      <c r="AL37">
        <v>0</v>
      </c>
      <c r="AM37">
        <v>12000</v>
      </c>
      <c r="AN37">
        <v>0</v>
      </c>
      <c r="AO37">
        <v>0</v>
      </c>
      <c r="AP37">
        <v>0</v>
      </c>
      <c r="AQ37">
        <v>42000</v>
      </c>
      <c r="AR37">
        <v>0</v>
      </c>
      <c r="AS37">
        <v>-42000</v>
      </c>
    </row>
    <row r="38" spans="1:45" x14ac:dyDescent="0.35">
      <c r="A38" t="s">
        <v>1194</v>
      </c>
      <c r="B38" t="s">
        <v>946</v>
      </c>
      <c r="C38" t="s">
        <v>19</v>
      </c>
      <c r="D38">
        <v>8471240</v>
      </c>
      <c r="E38" t="s">
        <v>562</v>
      </c>
      <c r="F38">
        <v>435330</v>
      </c>
      <c r="G38" t="s">
        <v>573</v>
      </c>
      <c r="H38" t="s">
        <v>574</v>
      </c>
      <c r="I38">
        <v>4750</v>
      </c>
      <c r="J38">
        <v>4750</v>
      </c>
      <c r="N38">
        <v>4750</v>
      </c>
      <c r="S38">
        <v>4750</v>
      </c>
      <c r="U38">
        <v>4750</v>
      </c>
      <c r="V38">
        <v>4750</v>
      </c>
      <c r="X38" t="s">
        <v>722</v>
      </c>
      <c r="Z38">
        <v>4750</v>
      </c>
      <c r="AA38">
        <v>0</v>
      </c>
      <c r="AB38">
        <v>0</v>
      </c>
      <c r="AC38">
        <v>0</v>
      </c>
      <c r="AD38">
        <v>4750</v>
      </c>
      <c r="AE38">
        <v>4750</v>
      </c>
      <c r="AF38">
        <v>0</v>
      </c>
      <c r="AG38">
        <v>0</v>
      </c>
      <c r="AH38" t="s">
        <v>574</v>
      </c>
      <c r="AI38">
        <v>4750</v>
      </c>
      <c r="AJ38">
        <v>0</v>
      </c>
      <c r="AK38">
        <v>0</v>
      </c>
      <c r="AL38">
        <v>0</v>
      </c>
      <c r="AM38">
        <v>4750</v>
      </c>
      <c r="AN38">
        <v>0</v>
      </c>
      <c r="AO38">
        <v>0</v>
      </c>
      <c r="AP38">
        <v>0</v>
      </c>
      <c r="AQ38">
        <v>4750</v>
      </c>
      <c r="AR38">
        <v>0</v>
      </c>
      <c r="AS38">
        <v>-4750</v>
      </c>
    </row>
    <row r="39" spans="1:45" x14ac:dyDescent="0.35">
      <c r="A39" t="s">
        <v>1194</v>
      </c>
      <c r="B39" t="s">
        <v>946</v>
      </c>
      <c r="C39" t="s">
        <v>19</v>
      </c>
      <c r="D39">
        <v>8471240</v>
      </c>
      <c r="E39" t="s">
        <v>562</v>
      </c>
      <c r="F39">
        <v>428640</v>
      </c>
      <c r="G39" t="s">
        <v>43</v>
      </c>
      <c r="H39" t="s">
        <v>572</v>
      </c>
      <c r="I39">
        <v>14000</v>
      </c>
      <c r="J39">
        <v>7104</v>
      </c>
      <c r="N39">
        <v>7104</v>
      </c>
      <c r="S39">
        <v>7104</v>
      </c>
      <c r="U39">
        <v>7104</v>
      </c>
      <c r="V39">
        <v>7104</v>
      </c>
      <c r="X39" t="s">
        <v>722</v>
      </c>
      <c r="Z39">
        <v>7104</v>
      </c>
      <c r="AA39">
        <v>0</v>
      </c>
      <c r="AB39">
        <v>0</v>
      </c>
      <c r="AC39">
        <v>0</v>
      </c>
      <c r="AD39">
        <v>7104</v>
      </c>
      <c r="AE39">
        <v>7104</v>
      </c>
      <c r="AF39">
        <v>0</v>
      </c>
      <c r="AG39">
        <v>0</v>
      </c>
      <c r="AH39" t="s">
        <v>572</v>
      </c>
      <c r="AI39">
        <v>7104</v>
      </c>
      <c r="AJ39">
        <v>0</v>
      </c>
      <c r="AK39">
        <v>0</v>
      </c>
      <c r="AL39">
        <v>0</v>
      </c>
      <c r="AM39">
        <v>7104</v>
      </c>
      <c r="AN39">
        <v>0</v>
      </c>
      <c r="AO39">
        <v>0</v>
      </c>
      <c r="AP39">
        <v>0</v>
      </c>
      <c r="AQ39">
        <v>7104</v>
      </c>
      <c r="AR39">
        <v>0</v>
      </c>
      <c r="AS39">
        <v>-7104</v>
      </c>
    </row>
    <row r="40" spans="1:45" x14ac:dyDescent="0.35">
      <c r="A40" t="s">
        <v>1194</v>
      </c>
      <c r="B40" t="s">
        <v>946</v>
      </c>
      <c r="C40" t="s">
        <v>19</v>
      </c>
      <c r="D40">
        <v>8471240</v>
      </c>
      <c r="E40" t="s">
        <v>562</v>
      </c>
      <c r="F40">
        <v>428090</v>
      </c>
      <c r="G40" t="s">
        <v>39</v>
      </c>
      <c r="H40" t="s">
        <v>571</v>
      </c>
      <c r="I40">
        <v>60000</v>
      </c>
      <c r="J40">
        <v>12382</v>
      </c>
      <c r="K40">
        <v>12381.18</v>
      </c>
      <c r="N40">
        <v>0.81999999999970896</v>
      </c>
      <c r="S40">
        <v>0.81999999999970896</v>
      </c>
      <c r="U40">
        <v>0.81999999999970896</v>
      </c>
      <c r="V40">
        <v>0.81999999999970896</v>
      </c>
      <c r="X40" t="s">
        <v>722</v>
      </c>
      <c r="Z40">
        <v>20092</v>
      </c>
      <c r="AA40">
        <v>20091.18</v>
      </c>
      <c r="AB40">
        <v>0</v>
      </c>
      <c r="AC40">
        <v>0</v>
      </c>
      <c r="AD40">
        <v>0.81999999999970896</v>
      </c>
      <c r="AE40">
        <v>0.81999999999970896</v>
      </c>
      <c r="AF40">
        <v>0</v>
      </c>
      <c r="AG40">
        <v>0</v>
      </c>
      <c r="AH40" t="s">
        <v>571</v>
      </c>
      <c r="AI40">
        <v>20092</v>
      </c>
      <c r="AJ40">
        <v>20091.18</v>
      </c>
      <c r="AK40">
        <v>0</v>
      </c>
      <c r="AL40">
        <v>0</v>
      </c>
      <c r="AM40">
        <v>0.81999999999970896</v>
      </c>
      <c r="AN40">
        <v>0</v>
      </c>
      <c r="AO40">
        <v>0</v>
      </c>
      <c r="AP40">
        <v>0</v>
      </c>
      <c r="AQ40">
        <v>0.81999999999970896</v>
      </c>
      <c r="AR40">
        <v>20091.18</v>
      </c>
      <c r="AS40">
        <v>20090.36</v>
      </c>
    </row>
    <row r="41" spans="1:45" x14ac:dyDescent="0.35">
      <c r="A41" t="s">
        <v>1194</v>
      </c>
      <c r="B41" t="s">
        <v>946</v>
      </c>
      <c r="C41" t="s">
        <v>19</v>
      </c>
      <c r="D41">
        <v>8471240</v>
      </c>
      <c r="E41" t="s">
        <v>562</v>
      </c>
      <c r="F41">
        <v>427710</v>
      </c>
      <c r="G41" t="s">
        <v>51</v>
      </c>
      <c r="H41" t="s">
        <v>570</v>
      </c>
      <c r="I41">
        <v>0</v>
      </c>
      <c r="J41">
        <v>11020</v>
      </c>
      <c r="K41">
        <v>11019</v>
      </c>
      <c r="N41">
        <v>1</v>
      </c>
      <c r="S41">
        <v>1</v>
      </c>
      <c r="U41">
        <v>1</v>
      </c>
      <c r="V41">
        <v>1</v>
      </c>
      <c r="X41" t="s">
        <v>722</v>
      </c>
      <c r="Z41">
        <v>11020</v>
      </c>
      <c r="AA41">
        <v>11019</v>
      </c>
      <c r="AB41">
        <v>0</v>
      </c>
      <c r="AC41">
        <v>0</v>
      </c>
      <c r="AD41">
        <v>1</v>
      </c>
      <c r="AE41">
        <v>1</v>
      </c>
      <c r="AF41">
        <v>0</v>
      </c>
      <c r="AG41">
        <v>0</v>
      </c>
      <c r="AH41" t="s">
        <v>570</v>
      </c>
      <c r="AI41">
        <v>11020</v>
      </c>
      <c r="AJ41">
        <v>11019</v>
      </c>
      <c r="AK41">
        <v>0</v>
      </c>
      <c r="AL41">
        <v>0</v>
      </c>
      <c r="AM41">
        <v>1</v>
      </c>
      <c r="AN41">
        <v>0</v>
      </c>
      <c r="AO41">
        <v>0</v>
      </c>
      <c r="AP41">
        <v>0</v>
      </c>
      <c r="AQ41">
        <v>1</v>
      </c>
      <c r="AR41">
        <v>11019</v>
      </c>
      <c r="AS41">
        <v>11018</v>
      </c>
    </row>
    <row r="42" spans="1:45" x14ac:dyDescent="0.35">
      <c r="A42" t="s">
        <v>1194</v>
      </c>
      <c r="B42" t="s">
        <v>946</v>
      </c>
      <c r="C42" t="s">
        <v>19</v>
      </c>
      <c r="D42">
        <v>8471240</v>
      </c>
      <c r="E42" t="s">
        <v>562</v>
      </c>
      <c r="F42">
        <v>426610</v>
      </c>
      <c r="G42" t="s">
        <v>37</v>
      </c>
      <c r="H42" t="s">
        <v>569</v>
      </c>
      <c r="I42">
        <v>0</v>
      </c>
      <c r="J42">
        <v>363000</v>
      </c>
      <c r="L42">
        <v>0</v>
      </c>
      <c r="M42">
        <v>362782.21</v>
      </c>
      <c r="N42">
        <v>217.78999999997905</v>
      </c>
      <c r="S42">
        <v>217.78999999997905</v>
      </c>
      <c r="U42">
        <v>217.78999999997905</v>
      </c>
      <c r="V42">
        <v>217.78999999997905</v>
      </c>
      <c r="X42" t="s">
        <v>722</v>
      </c>
      <c r="Z42">
        <v>363000</v>
      </c>
      <c r="AA42">
        <v>0</v>
      </c>
      <c r="AB42">
        <v>0</v>
      </c>
      <c r="AC42">
        <v>362782.21</v>
      </c>
      <c r="AD42">
        <v>217.78999999997905</v>
      </c>
      <c r="AE42">
        <v>217.78999999997899</v>
      </c>
      <c r="AF42">
        <v>0</v>
      </c>
      <c r="AG42">
        <v>0</v>
      </c>
      <c r="AH42" t="s">
        <v>569</v>
      </c>
      <c r="AI42">
        <v>363000</v>
      </c>
      <c r="AJ42">
        <v>145112.88</v>
      </c>
      <c r="AK42">
        <v>0</v>
      </c>
      <c r="AL42">
        <v>217669.33</v>
      </c>
      <c r="AM42">
        <v>217.78999999997899</v>
      </c>
      <c r="AN42">
        <v>0</v>
      </c>
      <c r="AO42">
        <v>0</v>
      </c>
      <c r="AP42">
        <v>0</v>
      </c>
      <c r="AQ42">
        <v>217.78999999997905</v>
      </c>
      <c r="AR42">
        <v>362782.21</v>
      </c>
      <c r="AS42">
        <v>362564.42</v>
      </c>
    </row>
    <row r="43" spans="1:45" x14ac:dyDescent="0.35">
      <c r="A43" t="s">
        <v>1194</v>
      </c>
      <c r="B43" t="s">
        <v>946</v>
      </c>
      <c r="C43" t="s">
        <v>19</v>
      </c>
      <c r="D43">
        <v>8471240</v>
      </c>
      <c r="E43" t="s">
        <v>562</v>
      </c>
      <c r="F43">
        <v>425900</v>
      </c>
      <c r="G43" t="s">
        <v>35</v>
      </c>
      <c r="H43" t="s">
        <v>568</v>
      </c>
      <c r="I43">
        <v>24000</v>
      </c>
      <c r="J43">
        <v>24000</v>
      </c>
      <c r="K43">
        <v>2294.25</v>
      </c>
      <c r="N43">
        <v>21705.75</v>
      </c>
      <c r="S43">
        <v>21705.75</v>
      </c>
      <c r="U43">
        <v>21705.75</v>
      </c>
      <c r="V43">
        <v>21705.75</v>
      </c>
      <c r="X43" t="s">
        <v>722</v>
      </c>
      <c r="Z43">
        <v>24000</v>
      </c>
      <c r="AA43">
        <v>2682.75</v>
      </c>
      <c r="AB43">
        <v>0</v>
      </c>
      <c r="AC43">
        <v>0</v>
      </c>
      <c r="AD43">
        <v>21317.25</v>
      </c>
      <c r="AE43">
        <v>21317.25</v>
      </c>
      <c r="AF43">
        <v>0</v>
      </c>
      <c r="AG43">
        <v>-388.5</v>
      </c>
      <c r="AH43" t="s">
        <v>568</v>
      </c>
      <c r="AI43">
        <v>24000</v>
      </c>
      <c r="AJ43">
        <v>7722.75</v>
      </c>
      <c r="AK43">
        <v>0</v>
      </c>
      <c r="AL43">
        <v>0</v>
      </c>
      <c r="AM43">
        <v>16277.25</v>
      </c>
      <c r="AN43">
        <v>0</v>
      </c>
      <c r="AO43">
        <v>0</v>
      </c>
      <c r="AP43">
        <v>0</v>
      </c>
      <c r="AQ43">
        <v>21705.75</v>
      </c>
      <c r="AR43">
        <v>2682.75</v>
      </c>
      <c r="AS43">
        <v>-13983</v>
      </c>
    </row>
    <row r="44" spans="1:45" x14ac:dyDescent="0.35">
      <c r="A44" t="s">
        <v>1194</v>
      </c>
      <c r="B44" t="s">
        <v>946</v>
      </c>
      <c r="C44" t="s">
        <v>19</v>
      </c>
      <c r="D44">
        <v>8471240</v>
      </c>
      <c r="E44" t="s">
        <v>562</v>
      </c>
      <c r="F44">
        <v>425761</v>
      </c>
      <c r="G44" t="s">
        <v>110</v>
      </c>
      <c r="H44" t="s">
        <v>567</v>
      </c>
      <c r="I44">
        <v>800000</v>
      </c>
      <c r="J44">
        <v>800000</v>
      </c>
      <c r="K44">
        <v>325555.34999999998</v>
      </c>
      <c r="N44">
        <v>474444.65</v>
      </c>
      <c r="Q44">
        <v>474445</v>
      </c>
      <c r="R44" t="s">
        <v>856</v>
      </c>
      <c r="S44">
        <v>-0.34999999997671694</v>
      </c>
      <c r="U44">
        <v>-0.34999999997671694</v>
      </c>
      <c r="V44">
        <v>-105923.07424999998</v>
      </c>
      <c r="X44" t="s">
        <v>722</v>
      </c>
      <c r="Z44">
        <v>792290</v>
      </c>
      <c r="AA44">
        <v>325555.34999999998</v>
      </c>
      <c r="AB44">
        <v>0</v>
      </c>
      <c r="AC44">
        <v>0</v>
      </c>
      <c r="AD44">
        <v>466734.65</v>
      </c>
      <c r="AE44">
        <v>466734.65</v>
      </c>
      <c r="AF44">
        <v>0</v>
      </c>
      <c r="AG44">
        <v>466735</v>
      </c>
      <c r="AH44" t="s">
        <v>567</v>
      </c>
      <c r="AI44">
        <v>792290</v>
      </c>
      <c r="AJ44">
        <v>325555.34999999998</v>
      </c>
      <c r="AK44">
        <v>0</v>
      </c>
      <c r="AL44">
        <v>0</v>
      </c>
      <c r="AM44">
        <v>466734.65</v>
      </c>
      <c r="AN44">
        <v>0</v>
      </c>
      <c r="AO44">
        <v>105922.72425</v>
      </c>
      <c r="AP44">
        <v>0</v>
      </c>
      <c r="AQ44">
        <v>-105923.07424999998</v>
      </c>
      <c r="AR44">
        <v>905923.07424999995</v>
      </c>
      <c r="AS44">
        <v>1011846.1484999999</v>
      </c>
    </row>
    <row r="45" spans="1:45" x14ac:dyDescent="0.35">
      <c r="A45" t="s">
        <v>1194</v>
      </c>
      <c r="B45" t="s">
        <v>946</v>
      </c>
      <c r="C45" t="s">
        <v>19</v>
      </c>
      <c r="D45">
        <v>8471240</v>
      </c>
      <c r="E45" t="s">
        <v>562</v>
      </c>
      <c r="F45">
        <v>425750</v>
      </c>
      <c r="G45" t="s">
        <v>565</v>
      </c>
      <c r="H45" t="s">
        <v>566</v>
      </c>
      <c r="I45">
        <v>23000</v>
      </c>
      <c r="J45">
        <v>23000</v>
      </c>
      <c r="N45">
        <v>23000</v>
      </c>
      <c r="S45">
        <v>23000</v>
      </c>
      <c r="U45">
        <v>23000</v>
      </c>
      <c r="V45">
        <v>23000</v>
      </c>
      <c r="X45" t="s">
        <v>722</v>
      </c>
      <c r="Z45">
        <v>23000</v>
      </c>
      <c r="AA45">
        <v>0</v>
      </c>
      <c r="AB45">
        <v>0</v>
      </c>
      <c r="AC45">
        <v>0</v>
      </c>
      <c r="AD45">
        <v>23000</v>
      </c>
      <c r="AE45">
        <v>23000</v>
      </c>
      <c r="AF45">
        <v>0</v>
      </c>
      <c r="AG45">
        <v>0</v>
      </c>
      <c r="AH45" t="s">
        <v>566</v>
      </c>
      <c r="AI45">
        <v>23000</v>
      </c>
      <c r="AJ45">
        <v>0</v>
      </c>
      <c r="AK45">
        <v>0</v>
      </c>
      <c r="AL45">
        <v>0</v>
      </c>
      <c r="AM45">
        <v>23000</v>
      </c>
      <c r="AN45">
        <v>0</v>
      </c>
      <c r="AO45">
        <v>0</v>
      </c>
      <c r="AP45">
        <v>0</v>
      </c>
      <c r="AQ45">
        <v>23000</v>
      </c>
      <c r="AR45">
        <v>0</v>
      </c>
      <c r="AS45">
        <v>-23000</v>
      </c>
    </row>
    <row r="46" spans="1:45" x14ac:dyDescent="0.35">
      <c r="A46" t="s">
        <v>1194</v>
      </c>
      <c r="B46" t="s">
        <v>946</v>
      </c>
      <c r="C46" t="s">
        <v>19</v>
      </c>
      <c r="D46">
        <v>8471240</v>
      </c>
      <c r="E46" t="s">
        <v>562</v>
      </c>
      <c r="F46">
        <v>425720</v>
      </c>
      <c r="G46" t="s">
        <v>224</v>
      </c>
      <c r="H46" t="s">
        <v>564</v>
      </c>
      <c r="I46">
        <v>128000</v>
      </c>
      <c r="J46">
        <v>128000</v>
      </c>
      <c r="N46">
        <v>128000</v>
      </c>
      <c r="R46" t="s">
        <v>855</v>
      </c>
      <c r="S46">
        <v>128000</v>
      </c>
      <c r="U46">
        <v>128000</v>
      </c>
      <c r="V46">
        <v>-117500</v>
      </c>
      <c r="X46" t="s">
        <v>722</v>
      </c>
      <c r="Z46">
        <v>228000</v>
      </c>
      <c r="AA46">
        <v>0</v>
      </c>
      <c r="AB46">
        <v>0</v>
      </c>
      <c r="AC46">
        <v>0</v>
      </c>
      <c r="AD46">
        <v>228000</v>
      </c>
      <c r="AE46">
        <v>228000</v>
      </c>
      <c r="AF46">
        <v>0</v>
      </c>
      <c r="AG46">
        <v>100000</v>
      </c>
      <c r="AH46" t="s">
        <v>564</v>
      </c>
      <c r="AI46">
        <v>246000</v>
      </c>
      <c r="AJ46">
        <v>0</v>
      </c>
      <c r="AK46">
        <v>0</v>
      </c>
      <c r="AL46">
        <v>0</v>
      </c>
      <c r="AM46">
        <v>246000</v>
      </c>
      <c r="AN46">
        <v>0</v>
      </c>
      <c r="AO46">
        <v>245500</v>
      </c>
      <c r="AP46">
        <v>0</v>
      </c>
      <c r="AQ46">
        <v>-117500</v>
      </c>
      <c r="AR46">
        <v>245500</v>
      </c>
      <c r="AS46">
        <v>363000</v>
      </c>
    </row>
    <row r="47" spans="1:45" x14ac:dyDescent="0.35">
      <c r="A47" t="s">
        <v>1194</v>
      </c>
      <c r="B47" t="s">
        <v>946</v>
      </c>
      <c r="C47" t="s">
        <v>19</v>
      </c>
      <c r="D47">
        <v>8470230</v>
      </c>
      <c r="E47" t="s">
        <v>97</v>
      </c>
      <c r="F47">
        <v>420550</v>
      </c>
      <c r="G47" t="s">
        <v>21</v>
      </c>
      <c r="H47" t="s">
        <v>98</v>
      </c>
      <c r="I47">
        <v>1020620</v>
      </c>
      <c r="J47">
        <v>1020620</v>
      </c>
      <c r="K47">
        <v>33110</v>
      </c>
      <c r="N47">
        <v>987510</v>
      </c>
      <c r="O47">
        <v>197502</v>
      </c>
      <c r="P47">
        <v>296253</v>
      </c>
      <c r="Q47">
        <v>493755</v>
      </c>
      <c r="R47" t="s">
        <v>839</v>
      </c>
      <c r="S47">
        <v>0</v>
      </c>
      <c r="U47">
        <v>0</v>
      </c>
      <c r="V47">
        <v>0</v>
      </c>
      <c r="X47" t="s">
        <v>722</v>
      </c>
      <c r="Z47">
        <v>1020620</v>
      </c>
      <c r="AA47">
        <v>33110</v>
      </c>
      <c r="AB47">
        <v>0</v>
      </c>
      <c r="AC47">
        <v>0</v>
      </c>
      <c r="AD47">
        <v>987510</v>
      </c>
      <c r="AE47">
        <v>987510</v>
      </c>
      <c r="AF47">
        <v>0</v>
      </c>
      <c r="AG47">
        <v>987510</v>
      </c>
      <c r="AH47" t="s">
        <v>98</v>
      </c>
      <c r="AI47">
        <v>1020620</v>
      </c>
      <c r="AJ47">
        <v>33110</v>
      </c>
      <c r="AK47">
        <v>0</v>
      </c>
      <c r="AL47">
        <v>0</v>
      </c>
      <c r="AM47">
        <v>987510</v>
      </c>
      <c r="AN47">
        <v>0</v>
      </c>
      <c r="AO47">
        <v>0</v>
      </c>
      <c r="AP47">
        <v>0</v>
      </c>
      <c r="AQ47">
        <v>0</v>
      </c>
      <c r="AR47">
        <v>526865</v>
      </c>
      <c r="AS47">
        <v>526865</v>
      </c>
    </row>
    <row r="48" spans="1:45" x14ac:dyDescent="0.35">
      <c r="A48" t="s">
        <v>1194</v>
      </c>
      <c r="B48" t="s">
        <v>946</v>
      </c>
      <c r="C48" t="s">
        <v>19</v>
      </c>
      <c r="D48">
        <v>8470230</v>
      </c>
      <c r="E48" t="s">
        <v>97</v>
      </c>
      <c r="F48">
        <v>425100</v>
      </c>
      <c r="G48" t="s">
        <v>55</v>
      </c>
      <c r="H48" t="s">
        <v>99</v>
      </c>
      <c r="I48">
        <v>300000</v>
      </c>
      <c r="J48">
        <v>300000</v>
      </c>
      <c r="N48">
        <v>300000</v>
      </c>
      <c r="O48">
        <v>0</v>
      </c>
      <c r="P48">
        <v>0</v>
      </c>
      <c r="Q48">
        <v>300000</v>
      </c>
      <c r="R48" t="s">
        <v>840</v>
      </c>
      <c r="S48">
        <v>0</v>
      </c>
      <c r="U48">
        <v>0</v>
      </c>
      <c r="V48">
        <v>0</v>
      </c>
      <c r="X48" t="s">
        <v>722</v>
      </c>
      <c r="Z48">
        <v>300000</v>
      </c>
      <c r="AA48">
        <v>0</v>
      </c>
      <c r="AB48">
        <v>0</v>
      </c>
      <c r="AC48">
        <v>0</v>
      </c>
      <c r="AD48">
        <v>300000</v>
      </c>
      <c r="AE48">
        <v>300000</v>
      </c>
      <c r="AF48">
        <v>0</v>
      </c>
      <c r="AG48">
        <v>300000</v>
      </c>
      <c r="AH48" t="s">
        <v>99</v>
      </c>
      <c r="AI48">
        <v>300000</v>
      </c>
      <c r="AJ48">
        <v>0</v>
      </c>
      <c r="AK48">
        <v>0</v>
      </c>
      <c r="AL48">
        <v>0</v>
      </c>
      <c r="AM48">
        <v>300000</v>
      </c>
      <c r="AN48">
        <v>0</v>
      </c>
      <c r="AO48">
        <v>0</v>
      </c>
      <c r="AP48">
        <v>0</v>
      </c>
      <c r="AQ48">
        <v>0</v>
      </c>
      <c r="AR48">
        <v>300000</v>
      </c>
      <c r="AS48">
        <v>300000</v>
      </c>
    </row>
    <row r="49" spans="1:45" x14ac:dyDescent="0.35">
      <c r="A49" t="s">
        <v>1194</v>
      </c>
      <c r="B49" t="s">
        <v>946</v>
      </c>
      <c r="C49" t="s">
        <v>19</v>
      </c>
      <c r="D49">
        <v>8470230</v>
      </c>
      <c r="E49" t="s">
        <v>97</v>
      </c>
      <c r="F49">
        <v>425510</v>
      </c>
      <c r="G49" t="s">
        <v>31</v>
      </c>
      <c r="H49" t="s">
        <v>100</v>
      </c>
      <c r="I49">
        <v>34000</v>
      </c>
      <c r="J49">
        <v>34000</v>
      </c>
      <c r="K49">
        <v>9463</v>
      </c>
      <c r="N49">
        <v>24537</v>
      </c>
      <c r="O49">
        <v>7361.0999999999995</v>
      </c>
      <c r="P49">
        <v>7361.0999999999995</v>
      </c>
      <c r="Q49">
        <v>9814.8000000000011</v>
      </c>
      <c r="R49" t="s">
        <v>841</v>
      </c>
      <c r="S49">
        <v>0</v>
      </c>
      <c r="U49">
        <v>0</v>
      </c>
      <c r="V49">
        <v>-20513.78</v>
      </c>
      <c r="X49" t="s">
        <v>722</v>
      </c>
      <c r="Z49">
        <v>34000</v>
      </c>
      <c r="AA49">
        <v>9463</v>
      </c>
      <c r="AB49">
        <v>0</v>
      </c>
      <c r="AC49">
        <v>0</v>
      </c>
      <c r="AD49">
        <v>24537</v>
      </c>
      <c r="AE49">
        <v>24537</v>
      </c>
      <c r="AF49">
        <v>0</v>
      </c>
      <c r="AG49">
        <v>24537</v>
      </c>
      <c r="AH49" t="s">
        <v>100</v>
      </c>
      <c r="AI49">
        <v>34000</v>
      </c>
      <c r="AJ49">
        <v>9463</v>
      </c>
      <c r="AK49">
        <v>0</v>
      </c>
      <c r="AL49">
        <v>0</v>
      </c>
      <c r="AM49">
        <v>24537</v>
      </c>
      <c r="AN49">
        <v>0</v>
      </c>
      <c r="AO49">
        <v>0</v>
      </c>
      <c r="AP49">
        <v>20513.78</v>
      </c>
      <c r="AQ49">
        <v>-20513.78</v>
      </c>
      <c r="AR49">
        <v>39791.58</v>
      </c>
      <c r="AS49">
        <v>60305.36</v>
      </c>
    </row>
    <row r="50" spans="1:45" x14ac:dyDescent="0.35">
      <c r="A50" t="s">
        <v>1194</v>
      </c>
      <c r="B50" t="s">
        <v>946</v>
      </c>
      <c r="C50" t="s">
        <v>19</v>
      </c>
      <c r="D50">
        <v>8470230</v>
      </c>
      <c r="E50" t="s">
        <v>97</v>
      </c>
      <c r="F50">
        <v>425550</v>
      </c>
      <c r="G50" t="s">
        <v>33</v>
      </c>
      <c r="H50" t="s">
        <v>101</v>
      </c>
      <c r="I50">
        <v>222000</v>
      </c>
      <c r="J50">
        <v>222000</v>
      </c>
      <c r="K50">
        <v>122474.17</v>
      </c>
      <c r="N50">
        <v>99525.83</v>
      </c>
      <c r="O50">
        <v>29857.749</v>
      </c>
      <c r="P50">
        <v>29857.749</v>
      </c>
      <c r="Q50">
        <v>39810.332000000002</v>
      </c>
      <c r="R50" t="s">
        <v>842</v>
      </c>
      <c r="S50">
        <v>0</v>
      </c>
      <c r="U50">
        <v>0</v>
      </c>
      <c r="V50">
        <v>-55888.869999999995</v>
      </c>
      <c r="X50" t="s">
        <v>722</v>
      </c>
      <c r="Z50">
        <v>222000</v>
      </c>
      <c r="AA50">
        <v>164563.12</v>
      </c>
      <c r="AB50">
        <v>0</v>
      </c>
      <c r="AC50">
        <v>0</v>
      </c>
      <c r="AD50">
        <v>57436.880000000005</v>
      </c>
      <c r="AE50">
        <v>57436.88</v>
      </c>
      <c r="AF50">
        <v>0</v>
      </c>
      <c r="AG50">
        <v>57436.880000000005</v>
      </c>
      <c r="AH50" t="s">
        <v>101</v>
      </c>
      <c r="AI50">
        <v>222000</v>
      </c>
      <c r="AJ50">
        <v>180813.12</v>
      </c>
      <c r="AK50">
        <v>0</v>
      </c>
      <c r="AL50">
        <v>0</v>
      </c>
      <c r="AM50">
        <v>41186.879999999997</v>
      </c>
      <c r="AN50">
        <v>5835.6299999999992</v>
      </c>
      <c r="AO50">
        <v>0</v>
      </c>
      <c r="AP50">
        <v>50053.24</v>
      </c>
      <c r="AQ50">
        <v>-55888.869999999995</v>
      </c>
      <c r="AR50">
        <v>260262.32199999999</v>
      </c>
      <c r="AS50">
        <v>332401.19199999998</v>
      </c>
    </row>
    <row r="51" spans="1:45" x14ac:dyDescent="0.35">
      <c r="A51" t="s">
        <v>1194</v>
      </c>
      <c r="B51" t="s">
        <v>946</v>
      </c>
      <c r="C51" t="s">
        <v>19</v>
      </c>
      <c r="D51">
        <v>8470230</v>
      </c>
      <c r="E51" t="s">
        <v>97</v>
      </c>
      <c r="F51">
        <v>425743</v>
      </c>
      <c r="G51" t="s">
        <v>102</v>
      </c>
      <c r="H51" t="s">
        <v>103</v>
      </c>
      <c r="I51">
        <v>240000</v>
      </c>
      <c r="J51">
        <v>240000</v>
      </c>
      <c r="K51">
        <v>240000</v>
      </c>
      <c r="N51">
        <v>0</v>
      </c>
      <c r="S51">
        <v>0</v>
      </c>
      <c r="U51">
        <v>0</v>
      </c>
      <c r="V51">
        <v>0</v>
      </c>
      <c r="X51" t="s">
        <v>722</v>
      </c>
      <c r="Z51">
        <v>240000</v>
      </c>
      <c r="AA51">
        <v>240000</v>
      </c>
      <c r="AB51">
        <v>0</v>
      </c>
      <c r="AC51">
        <v>0</v>
      </c>
      <c r="AD51">
        <v>0</v>
      </c>
      <c r="AE51">
        <v>0</v>
      </c>
      <c r="AF51">
        <v>0</v>
      </c>
      <c r="AG51">
        <v>0</v>
      </c>
      <c r="AH51" t="s">
        <v>103</v>
      </c>
      <c r="AI51">
        <v>240000</v>
      </c>
      <c r="AJ51">
        <v>240000</v>
      </c>
      <c r="AK51">
        <v>0</v>
      </c>
      <c r="AL51">
        <v>0</v>
      </c>
      <c r="AM51">
        <v>0</v>
      </c>
      <c r="AN51">
        <v>0</v>
      </c>
      <c r="AO51">
        <v>0</v>
      </c>
      <c r="AP51">
        <v>0</v>
      </c>
      <c r="AQ51">
        <v>0</v>
      </c>
      <c r="AR51">
        <v>240000</v>
      </c>
      <c r="AS51">
        <v>240000</v>
      </c>
    </row>
    <row r="52" spans="1:45" x14ac:dyDescent="0.35">
      <c r="A52" t="s">
        <v>1194</v>
      </c>
      <c r="B52" t="s">
        <v>946</v>
      </c>
      <c r="C52" t="s">
        <v>19</v>
      </c>
      <c r="D52">
        <v>8470230</v>
      </c>
      <c r="E52" t="s">
        <v>97</v>
      </c>
      <c r="F52">
        <v>425744</v>
      </c>
      <c r="G52" t="s">
        <v>104</v>
      </c>
      <c r="H52" t="s">
        <v>105</v>
      </c>
      <c r="I52">
        <v>4816800</v>
      </c>
      <c r="J52">
        <v>4716106</v>
      </c>
      <c r="K52">
        <v>2899455.57</v>
      </c>
      <c r="N52">
        <v>1816650.4300000002</v>
      </c>
      <c r="O52">
        <v>363330.08600000001</v>
      </c>
      <c r="P52">
        <v>908325.21499999997</v>
      </c>
      <c r="Q52">
        <v>544995.12899999996</v>
      </c>
      <c r="R52" t="s">
        <v>843</v>
      </c>
      <c r="S52">
        <v>0</v>
      </c>
      <c r="U52">
        <v>0</v>
      </c>
      <c r="V52">
        <v>0</v>
      </c>
      <c r="X52" t="s">
        <v>722</v>
      </c>
      <c r="Z52">
        <v>4716106</v>
      </c>
      <c r="AA52">
        <v>2899455.57</v>
      </c>
      <c r="AB52">
        <v>0</v>
      </c>
      <c r="AC52">
        <v>0</v>
      </c>
      <c r="AD52">
        <v>1816650.4300000002</v>
      </c>
      <c r="AE52">
        <v>1816650.43</v>
      </c>
      <c r="AF52">
        <v>0</v>
      </c>
      <c r="AG52">
        <v>1816650.4300000002</v>
      </c>
      <c r="AH52" t="s">
        <v>105</v>
      </c>
      <c r="AI52">
        <v>4716106</v>
      </c>
      <c r="AJ52">
        <v>2899455.57</v>
      </c>
      <c r="AK52">
        <v>0</v>
      </c>
      <c r="AL52">
        <v>0</v>
      </c>
      <c r="AM52">
        <v>1816650.43</v>
      </c>
      <c r="AN52">
        <v>0</v>
      </c>
      <c r="AO52">
        <v>0</v>
      </c>
      <c r="AP52">
        <v>0</v>
      </c>
      <c r="AQ52">
        <v>0</v>
      </c>
      <c r="AR52">
        <v>3444450.699</v>
      </c>
      <c r="AS52">
        <v>3444450.699</v>
      </c>
    </row>
    <row r="53" spans="1:45" x14ac:dyDescent="0.35">
      <c r="A53" t="s">
        <v>1194</v>
      </c>
      <c r="B53" t="s">
        <v>946</v>
      </c>
      <c r="C53" t="s">
        <v>19</v>
      </c>
      <c r="D53">
        <v>8470230</v>
      </c>
      <c r="E53" t="s">
        <v>97</v>
      </c>
      <c r="F53">
        <v>425745</v>
      </c>
      <c r="G53" t="s">
        <v>106</v>
      </c>
      <c r="H53" t="s">
        <v>107</v>
      </c>
      <c r="I53">
        <v>1971263</v>
      </c>
      <c r="J53">
        <v>1971263</v>
      </c>
      <c r="K53">
        <v>933228.17</v>
      </c>
      <c r="N53">
        <v>1038034.83</v>
      </c>
      <c r="O53">
        <v>226281.95200000002</v>
      </c>
      <c r="P53">
        <v>339422.92800000001</v>
      </c>
      <c r="Q53">
        <v>472331</v>
      </c>
      <c r="R53" t="s">
        <v>844</v>
      </c>
      <c r="S53">
        <v>-1.0500000001047738</v>
      </c>
      <c r="U53">
        <v>-1.0500000001047738</v>
      </c>
      <c r="V53">
        <v>-1.0500000001047738</v>
      </c>
      <c r="X53" t="s">
        <v>722</v>
      </c>
      <c r="Z53">
        <v>1971263</v>
      </c>
      <c r="AA53">
        <v>1122445.5</v>
      </c>
      <c r="AB53">
        <v>0</v>
      </c>
      <c r="AC53">
        <v>0</v>
      </c>
      <c r="AD53">
        <v>848817.5</v>
      </c>
      <c r="AE53">
        <v>848817.49999999895</v>
      </c>
      <c r="AF53">
        <v>1.0477378964424133E-9</v>
      </c>
      <c r="AG53">
        <v>848818.55</v>
      </c>
      <c r="AH53" t="s">
        <v>107</v>
      </c>
      <c r="AI53">
        <v>1971263</v>
      </c>
      <c r="AJ53">
        <v>1741016.35</v>
      </c>
      <c r="AK53">
        <v>0</v>
      </c>
      <c r="AL53">
        <v>0</v>
      </c>
      <c r="AM53">
        <v>230246.649999999</v>
      </c>
      <c r="AN53">
        <v>0</v>
      </c>
      <c r="AO53">
        <v>0</v>
      </c>
      <c r="AP53">
        <v>0</v>
      </c>
      <c r="AQ53">
        <v>-1.0500000001047738</v>
      </c>
      <c r="AR53">
        <v>1594776.5</v>
      </c>
      <c r="AS53">
        <v>2213348.4000000004</v>
      </c>
    </row>
    <row r="54" spans="1:45" x14ac:dyDescent="0.35">
      <c r="A54" t="s">
        <v>1194</v>
      </c>
      <c r="B54" t="s">
        <v>946</v>
      </c>
      <c r="C54" t="s">
        <v>19</v>
      </c>
      <c r="D54">
        <v>8470230</v>
      </c>
      <c r="E54" t="s">
        <v>97</v>
      </c>
      <c r="F54">
        <v>425749</v>
      </c>
      <c r="G54" t="s">
        <v>108</v>
      </c>
      <c r="H54" t="s">
        <v>109</v>
      </c>
      <c r="I54">
        <v>110824684</v>
      </c>
      <c r="J54">
        <v>110824684</v>
      </c>
      <c r="K54">
        <v>81132195.440000102</v>
      </c>
      <c r="N54">
        <v>29692488.559999898</v>
      </c>
      <c r="O54">
        <v>13954529.623199953</v>
      </c>
      <c r="P54">
        <v>11876195.423999961</v>
      </c>
      <c r="Q54">
        <v>11500000</v>
      </c>
      <c r="R54" t="s">
        <v>845</v>
      </c>
      <c r="S54">
        <v>-700000</v>
      </c>
      <c r="T54" t="s">
        <v>982</v>
      </c>
      <c r="V54">
        <v>0</v>
      </c>
      <c r="W54">
        <v>700000</v>
      </c>
      <c r="X54" t="s">
        <v>722</v>
      </c>
      <c r="Z54">
        <v>117580684</v>
      </c>
      <c r="AA54">
        <v>95323813.510000095</v>
      </c>
      <c r="AB54">
        <v>0</v>
      </c>
      <c r="AC54">
        <v>0</v>
      </c>
      <c r="AD54">
        <v>10800000</v>
      </c>
      <c r="AE54">
        <v>22256870.489999902</v>
      </c>
      <c r="AF54">
        <v>0</v>
      </c>
      <c r="AG54">
        <v>10800000</v>
      </c>
      <c r="AH54" t="s">
        <v>109</v>
      </c>
      <c r="AI54">
        <v>117580684</v>
      </c>
      <c r="AJ54">
        <v>106778498.65000001</v>
      </c>
      <c r="AK54">
        <v>0</v>
      </c>
      <c r="AL54">
        <v>0</v>
      </c>
      <c r="AM54">
        <v>10802185.349999901</v>
      </c>
      <c r="AN54">
        <v>0</v>
      </c>
      <c r="AO54">
        <v>0</v>
      </c>
      <c r="AP54">
        <v>0</v>
      </c>
      <c r="AQ54">
        <v>0</v>
      </c>
      <c r="AR54">
        <v>106823813.51000009</v>
      </c>
      <c r="AS54">
        <v>118978498.65000001</v>
      </c>
    </row>
    <row r="55" spans="1:45" x14ac:dyDescent="0.35">
      <c r="A55" t="s">
        <v>1194</v>
      </c>
      <c r="B55" t="s">
        <v>946</v>
      </c>
      <c r="C55" t="s">
        <v>19</v>
      </c>
      <c r="D55">
        <v>8470230</v>
      </c>
      <c r="E55" t="s">
        <v>97</v>
      </c>
      <c r="F55">
        <v>425761</v>
      </c>
      <c r="G55" t="s">
        <v>110</v>
      </c>
      <c r="H55" t="s">
        <v>111</v>
      </c>
      <c r="I55">
        <v>150000</v>
      </c>
      <c r="J55">
        <v>150000</v>
      </c>
      <c r="N55">
        <v>150000</v>
      </c>
      <c r="O55">
        <v>30000</v>
      </c>
      <c r="P55">
        <v>45000</v>
      </c>
      <c r="Q55">
        <v>75000</v>
      </c>
      <c r="R55" t="s">
        <v>846</v>
      </c>
      <c r="S55">
        <v>0</v>
      </c>
      <c r="U55">
        <v>0</v>
      </c>
      <c r="V55">
        <v>0</v>
      </c>
      <c r="X55" t="s">
        <v>722</v>
      </c>
      <c r="Z55">
        <v>150000</v>
      </c>
      <c r="AA55">
        <v>0</v>
      </c>
      <c r="AB55">
        <v>0</v>
      </c>
      <c r="AC55">
        <v>0</v>
      </c>
      <c r="AD55">
        <v>150000</v>
      </c>
      <c r="AE55">
        <v>150000</v>
      </c>
      <c r="AF55">
        <v>0</v>
      </c>
      <c r="AG55">
        <v>150000</v>
      </c>
      <c r="AH55" t="s">
        <v>111</v>
      </c>
      <c r="AI55">
        <v>150000</v>
      </c>
      <c r="AJ55">
        <v>0</v>
      </c>
      <c r="AK55">
        <v>0</v>
      </c>
      <c r="AL55">
        <v>0</v>
      </c>
      <c r="AM55">
        <v>150000</v>
      </c>
      <c r="AN55">
        <v>0</v>
      </c>
      <c r="AO55">
        <v>0</v>
      </c>
      <c r="AP55">
        <v>0</v>
      </c>
      <c r="AQ55">
        <v>0</v>
      </c>
      <c r="AR55">
        <v>75000</v>
      </c>
      <c r="AS55">
        <v>75000</v>
      </c>
    </row>
    <row r="56" spans="1:45" x14ac:dyDescent="0.35">
      <c r="A56" t="s">
        <v>1194</v>
      </c>
      <c r="B56" t="s">
        <v>946</v>
      </c>
      <c r="C56" t="s">
        <v>19</v>
      </c>
      <c r="D56">
        <v>8470230</v>
      </c>
      <c r="E56" t="s">
        <v>97</v>
      </c>
      <c r="F56">
        <v>425762</v>
      </c>
      <c r="G56" t="s">
        <v>112</v>
      </c>
      <c r="H56" t="s">
        <v>113</v>
      </c>
      <c r="I56">
        <v>150000</v>
      </c>
      <c r="J56">
        <v>150000</v>
      </c>
      <c r="K56">
        <v>56629.1</v>
      </c>
      <c r="N56">
        <v>93370.9</v>
      </c>
      <c r="O56">
        <v>46685.45</v>
      </c>
      <c r="P56">
        <v>28011.269999999997</v>
      </c>
      <c r="Q56">
        <v>18674.18</v>
      </c>
      <c r="R56" t="s">
        <v>847</v>
      </c>
      <c r="S56">
        <v>0</v>
      </c>
      <c r="U56">
        <v>0</v>
      </c>
      <c r="V56">
        <v>-5230</v>
      </c>
      <c r="X56" t="s">
        <v>722</v>
      </c>
      <c r="Z56">
        <v>150000</v>
      </c>
      <c r="AA56">
        <v>63860.57</v>
      </c>
      <c r="AB56">
        <v>0</v>
      </c>
      <c r="AC56">
        <v>0</v>
      </c>
      <c r="AD56">
        <v>86139.43</v>
      </c>
      <c r="AE56">
        <v>86139.43</v>
      </c>
      <c r="AF56">
        <v>0</v>
      </c>
      <c r="AG56">
        <v>86139.43</v>
      </c>
      <c r="AH56" t="s">
        <v>113</v>
      </c>
      <c r="AI56">
        <v>150000</v>
      </c>
      <c r="AJ56">
        <v>63860.57</v>
      </c>
      <c r="AK56">
        <v>0</v>
      </c>
      <c r="AL56">
        <v>0</v>
      </c>
      <c r="AM56">
        <v>86139.43</v>
      </c>
      <c r="AN56">
        <v>0</v>
      </c>
      <c r="AO56">
        <v>0</v>
      </c>
      <c r="AP56">
        <v>5230</v>
      </c>
      <c r="AQ56">
        <v>-5230</v>
      </c>
      <c r="AR56">
        <v>87764.75</v>
      </c>
      <c r="AS56">
        <v>92994.75</v>
      </c>
    </row>
    <row r="57" spans="1:45" x14ac:dyDescent="0.35">
      <c r="A57" t="s">
        <v>1194</v>
      </c>
      <c r="B57" t="s">
        <v>946</v>
      </c>
      <c r="C57" t="s">
        <v>19</v>
      </c>
      <c r="D57">
        <v>8470230</v>
      </c>
      <c r="E57" t="s">
        <v>97</v>
      </c>
      <c r="F57">
        <v>425900</v>
      </c>
      <c r="G57" t="s">
        <v>35</v>
      </c>
      <c r="H57" t="s">
        <v>114</v>
      </c>
      <c r="I57">
        <v>45648</v>
      </c>
      <c r="J57">
        <v>45648</v>
      </c>
      <c r="K57">
        <v>236.25</v>
      </c>
      <c r="N57">
        <v>45411.75</v>
      </c>
      <c r="O57">
        <v>9082.35</v>
      </c>
      <c r="P57">
        <v>13623.525</v>
      </c>
      <c r="Q57">
        <v>22705.875</v>
      </c>
      <c r="R57" t="s">
        <v>848</v>
      </c>
      <c r="S57">
        <v>0</v>
      </c>
      <c r="U57">
        <v>0</v>
      </c>
      <c r="V57">
        <v>0</v>
      </c>
      <c r="X57" t="s">
        <v>722</v>
      </c>
      <c r="Z57">
        <v>45648</v>
      </c>
      <c r="AA57">
        <v>1236.25</v>
      </c>
      <c r="AB57">
        <v>0</v>
      </c>
      <c r="AC57">
        <v>0</v>
      </c>
      <c r="AD57">
        <v>44411.75</v>
      </c>
      <c r="AE57">
        <v>44411.75</v>
      </c>
      <c r="AF57">
        <v>0</v>
      </c>
      <c r="AG57">
        <v>44411.75</v>
      </c>
      <c r="AH57" t="s">
        <v>114</v>
      </c>
      <c r="AI57">
        <v>45648</v>
      </c>
      <c r="AJ57">
        <v>1236.25</v>
      </c>
      <c r="AK57">
        <v>0</v>
      </c>
      <c r="AL57">
        <v>0</v>
      </c>
      <c r="AM57">
        <v>44411.75</v>
      </c>
      <c r="AN57">
        <v>0</v>
      </c>
      <c r="AO57">
        <v>0</v>
      </c>
      <c r="AP57">
        <v>0</v>
      </c>
      <c r="AQ57">
        <v>0</v>
      </c>
      <c r="AR57">
        <v>23942.125</v>
      </c>
      <c r="AS57">
        <v>23942.125</v>
      </c>
    </row>
    <row r="58" spans="1:45" x14ac:dyDescent="0.35">
      <c r="A58" t="s">
        <v>1194</v>
      </c>
      <c r="B58" t="s">
        <v>946</v>
      </c>
      <c r="C58" t="s">
        <v>19</v>
      </c>
      <c r="D58">
        <v>8470230</v>
      </c>
      <c r="E58" t="s">
        <v>97</v>
      </c>
      <c r="F58">
        <v>426610</v>
      </c>
      <c r="G58" t="s">
        <v>37</v>
      </c>
      <c r="H58" t="s">
        <v>115</v>
      </c>
      <c r="I58">
        <v>10000</v>
      </c>
      <c r="J58">
        <v>10000</v>
      </c>
      <c r="N58">
        <v>10000</v>
      </c>
      <c r="O58">
        <v>0</v>
      </c>
      <c r="P58">
        <v>0</v>
      </c>
      <c r="Q58">
        <v>10000</v>
      </c>
      <c r="R58" t="s">
        <v>849</v>
      </c>
      <c r="S58">
        <v>0</v>
      </c>
      <c r="U58">
        <v>0</v>
      </c>
      <c r="V58">
        <v>0</v>
      </c>
      <c r="X58" t="s">
        <v>722</v>
      </c>
      <c r="Z58">
        <v>10000</v>
      </c>
      <c r="AA58">
        <v>0</v>
      </c>
      <c r="AB58">
        <v>0</v>
      </c>
      <c r="AC58">
        <v>0</v>
      </c>
      <c r="AD58">
        <v>10000</v>
      </c>
      <c r="AE58">
        <v>10000</v>
      </c>
      <c r="AF58">
        <v>0</v>
      </c>
      <c r="AG58">
        <v>10000</v>
      </c>
      <c r="AH58" t="s">
        <v>115</v>
      </c>
      <c r="AI58">
        <v>10000</v>
      </c>
      <c r="AJ58">
        <v>0</v>
      </c>
      <c r="AK58">
        <v>0</v>
      </c>
      <c r="AL58">
        <v>0</v>
      </c>
      <c r="AM58">
        <v>10000</v>
      </c>
      <c r="AN58">
        <v>0</v>
      </c>
      <c r="AO58">
        <v>0</v>
      </c>
      <c r="AP58">
        <v>0</v>
      </c>
      <c r="AQ58">
        <v>0</v>
      </c>
      <c r="AR58">
        <v>10000</v>
      </c>
      <c r="AS58">
        <v>10000</v>
      </c>
    </row>
    <row r="59" spans="1:45" x14ac:dyDescent="0.35">
      <c r="A59" t="s">
        <v>1194</v>
      </c>
      <c r="B59" t="s">
        <v>946</v>
      </c>
      <c r="C59" t="s">
        <v>19</v>
      </c>
      <c r="D59">
        <v>8470230</v>
      </c>
      <c r="E59" t="s">
        <v>97</v>
      </c>
      <c r="F59">
        <v>428090</v>
      </c>
      <c r="G59" t="s">
        <v>39</v>
      </c>
      <c r="H59" t="s">
        <v>116</v>
      </c>
      <c r="I59">
        <v>97000</v>
      </c>
      <c r="J59">
        <v>26429</v>
      </c>
      <c r="N59">
        <v>26429</v>
      </c>
      <c r="O59">
        <v>0</v>
      </c>
      <c r="P59">
        <v>21143.200000000001</v>
      </c>
      <c r="Q59">
        <v>5285.8</v>
      </c>
      <c r="R59" t="s">
        <v>850</v>
      </c>
      <c r="S59">
        <v>0</v>
      </c>
      <c r="U59">
        <v>0</v>
      </c>
      <c r="V59">
        <v>0</v>
      </c>
      <c r="X59" t="s">
        <v>722</v>
      </c>
      <c r="Z59">
        <v>26429</v>
      </c>
      <c r="AA59">
        <v>0</v>
      </c>
      <c r="AB59">
        <v>0</v>
      </c>
      <c r="AC59">
        <v>0</v>
      </c>
      <c r="AD59">
        <v>26429</v>
      </c>
      <c r="AE59">
        <v>26429</v>
      </c>
      <c r="AF59">
        <v>0</v>
      </c>
      <c r="AG59">
        <v>26429</v>
      </c>
      <c r="AH59" t="s">
        <v>116</v>
      </c>
      <c r="AI59">
        <v>26429</v>
      </c>
      <c r="AJ59">
        <v>0</v>
      </c>
      <c r="AK59">
        <v>0</v>
      </c>
      <c r="AL59">
        <v>0</v>
      </c>
      <c r="AM59">
        <v>26429</v>
      </c>
      <c r="AN59">
        <v>0</v>
      </c>
      <c r="AO59">
        <v>0</v>
      </c>
      <c r="AP59">
        <v>0</v>
      </c>
      <c r="AQ59">
        <v>0</v>
      </c>
      <c r="AR59">
        <v>5285.8</v>
      </c>
      <c r="AS59">
        <v>5285.8</v>
      </c>
    </row>
    <row r="60" spans="1:45" x14ac:dyDescent="0.35">
      <c r="A60" t="s">
        <v>1194</v>
      </c>
      <c r="B60" t="s">
        <v>946</v>
      </c>
      <c r="C60" t="s">
        <v>19</v>
      </c>
      <c r="D60">
        <v>8470230</v>
      </c>
      <c r="E60" t="s">
        <v>97</v>
      </c>
      <c r="F60">
        <v>428640</v>
      </c>
      <c r="G60" t="s">
        <v>43</v>
      </c>
      <c r="H60" t="s">
        <v>117</v>
      </c>
      <c r="I60">
        <v>80000</v>
      </c>
      <c r="J60">
        <v>40596</v>
      </c>
      <c r="N60">
        <v>40596</v>
      </c>
      <c r="O60">
        <v>0</v>
      </c>
      <c r="P60">
        <v>16238.400000000001</v>
      </c>
      <c r="Q60">
        <v>24357.599999999999</v>
      </c>
      <c r="R60" t="s">
        <v>851</v>
      </c>
      <c r="S60">
        <v>0</v>
      </c>
      <c r="U60">
        <v>0</v>
      </c>
      <c r="V60">
        <v>0</v>
      </c>
      <c r="X60" t="s">
        <v>722</v>
      </c>
      <c r="Z60">
        <v>40596</v>
      </c>
      <c r="AA60">
        <v>0</v>
      </c>
      <c r="AB60">
        <v>0</v>
      </c>
      <c r="AC60">
        <v>0</v>
      </c>
      <c r="AD60">
        <v>40596</v>
      </c>
      <c r="AE60">
        <v>40596</v>
      </c>
      <c r="AF60">
        <v>0</v>
      </c>
      <c r="AG60">
        <v>40596</v>
      </c>
      <c r="AH60" t="s">
        <v>117</v>
      </c>
      <c r="AI60">
        <v>40596</v>
      </c>
      <c r="AJ60">
        <v>0</v>
      </c>
      <c r="AK60">
        <v>0</v>
      </c>
      <c r="AL60">
        <v>0</v>
      </c>
      <c r="AM60">
        <v>40596</v>
      </c>
      <c r="AN60">
        <v>0</v>
      </c>
      <c r="AO60">
        <v>0</v>
      </c>
      <c r="AP60">
        <v>0</v>
      </c>
      <c r="AQ60">
        <v>0</v>
      </c>
      <c r="AR60">
        <v>24357.599999999999</v>
      </c>
      <c r="AS60">
        <v>24357.599999999999</v>
      </c>
    </row>
    <row r="61" spans="1:45" x14ac:dyDescent="0.35">
      <c r="A61" t="s">
        <v>1194</v>
      </c>
      <c r="B61" t="s">
        <v>946</v>
      </c>
      <c r="C61" t="s">
        <v>19</v>
      </c>
      <c r="D61">
        <v>8470230</v>
      </c>
      <c r="E61" t="s">
        <v>97</v>
      </c>
      <c r="F61">
        <v>436110</v>
      </c>
      <c r="G61" t="s">
        <v>119</v>
      </c>
      <c r="H61" t="s">
        <v>120</v>
      </c>
      <c r="I61">
        <v>5000</v>
      </c>
      <c r="J61">
        <v>5000</v>
      </c>
      <c r="N61">
        <v>5000</v>
      </c>
      <c r="O61">
        <v>0</v>
      </c>
      <c r="P61">
        <v>2500</v>
      </c>
      <c r="Q61">
        <v>2500</v>
      </c>
      <c r="R61" t="s">
        <v>852</v>
      </c>
      <c r="S61">
        <v>0</v>
      </c>
      <c r="U61">
        <v>0</v>
      </c>
      <c r="V61">
        <v>0</v>
      </c>
      <c r="X61" t="s">
        <v>722</v>
      </c>
      <c r="Z61">
        <v>5000</v>
      </c>
      <c r="AA61">
        <v>0</v>
      </c>
      <c r="AB61">
        <v>0</v>
      </c>
      <c r="AC61">
        <v>0</v>
      </c>
      <c r="AD61">
        <v>5000</v>
      </c>
      <c r="AE61">
        <v>5000</v>
      </c>
      <c r="AF61">
        <v>0</v>
      </c>
      <c r="AG61">
        <v>5000</v>
      </c>
      <c r="AH61" t="s">
        <v>120</v>
      </c>
      <c r="AI61">
        <v>5000</v>
      </c>
      <c r="AJ61">
        <v>0</v>
      </c>
      <c r="AK61">
        <v>0</v>
      </c>
      <c r="AL61">
        <v>0</v>
      </c>
      <c r="AM61">
        <v>5000</v>
      </c>
      <c r="AN61">
        <v>0</v>
      </c>
      <c r="AO61">
        <v>0</v>
      </c>
      <c r="AP61">
        <v>0</v>
      </c>
      <c r="AQ61">
        <v>0</v>
      </c>
      <c r="AR61">
        <v>2500</v>
      </c>
      <c r="AS61">
        <v>2500</v>
      </c>
    </row>
    <row r="62" spans="1:45" x14ac:dyDescent="0.35">
      <c r="A62" t="s">
        <v>1194</v>
      </c>
      <c r="B62" t="s">
        <v>946</v>
      </c>
      <c r="C62" t="s">
        <v>19</v>
      </c>
      <c r="D62">
        <v>8471240</v>
      </c>
      <c r="E62" t="s">
        <v>562</v>
      </c>
      <c r="F62">
        <v>425510</v>
      </c>
      <c r="G62" t="s">
        <v>31</v>
      </c>
      <c r="H62" t="s">
        <v>563</v>
      </c>
      <c r="I62">
        <v>220000</v>
      </c>
      <c r="J62">
        <v>220000</v>
      </c>
      <c r="K62">
        <v>51401.25</v>
      </c>
      <c r="L62">
        <v>0</v>
      </c>
      <c r="M62">
        <v>0</v>
      </c>
      <c r="N62">
        <v>168598.75</v>
      </c>
      <c r="Q62">
        <v>168599</v>
      </c>
      <c r="S62">
        <v>-0.25</v>
      </c>
      <c r="T62" t="s">
        <v>887</v>
      </c>
      <c r="U62">
        <v>-0.25</v>
      </c>
      <c r="V62">
        <v>-0.25</v>
      </c>
      <c r="X62" t="s">
        <v>722</v>
      </c>
      <c r="Z62">
        <v>85000</v>
      </c>
      <c r="AA62">
        <v>52661.440000000002</v>
      </c>
      <c r="AB62">
        <v>0</v>
      </c>
      <c r="AC62">
        <v>0</v>
      </c>
      <c r="AD62">
        <v>32338.559999999998</v>
      </c>
      <c r="AE62">
        <v>32338.560000000001</v>
      </c>
      <c r="AF62">
        <v>0</v>
      </c>
      <c r="AG62">
        <v>32338.809999999998</v>
      </c>
      <c r="AH62" t="s">
        <v>563</v>
      </c>
      <c r="AI62">
        <v>85000</v>
      </c>
      <c r="AJ62">
        <v>67336.44</v>
      </c>
      <c r="AK62">
        <v>0</v>
      </c>
      <c r="AL62">
        <v>0</v>
      </c>
      <c r="AM62">
        <v>16193.56</v>
      </c>
      <c r="AN62">
        <v>0</v>
      </c>
      <c r="AO62">
        <v>0</v>
      </c>
      <c r="AP62">
        <v>0</v>
      </c>
      <c r="AQ62">
        <v>-0.25</v>
      </c>
      <c r="AR62">
        <v>221260.44</v>
      </c>
      <c r="AS62">
        <v>235935.69</v>
      </c>
    </row>
    <row r="63" spans="1:45" x14ac:dyDescent="0.35">
      <c r="A63" t="s">
        <v>1194</v>
      </c>
      <c r="B63" t="s">
        <v>946</v>
      </c>
      <c r="C63" t="s">
        <v>19</v>
      </c>
      <c r="D63">
        <v>8471230</v>
      </c>
      <c r="E63" t="s">
        <v>558</v>
      </c>
      <c r="F63">
        <v>426610</v>
      </c>
      <c r="G63" t="s">
        <v>37</v>
      </c>
      <c r="H63" t="s">
        <v>561</v>
      </c>
      <c r="I63">
        <v>120000</v>
      </c>
      <c r="J63">
        <v>120000</v>
      </c>
      <c r="K63">
        <v>14479.23</v>
      </c>
      <c r="N63">
        <v>105520.77</v>
      </c>
      <c r="Q63">
        <v>105521</v>
      </c>
      <c r="R63" s="226" t="s">
        <v>854</v>
      </c>
      <c r="S63">
        <v>-0.22999999999592546</v>
      </c>
      <c r="U63">
        <v>-0.22999999999592546</v>
      </c>
      <c r="V63">
        <v>-0.22999999999592546</v>
      </c>
      <c r="X63" t="s">
        <v>722</v>
      </c>
      <c r="Z63">
        <v>14480</v>
      </c>
      <c r="AA63">
        <v>14479.23</v>
      </c>
      <c r="AB63">
        <v>0</v>
      </c>
      <c r="AC63">
        <v>0</v>
      </c>
      <c r="AD63">
        <v>0.77000000000043656</v>
      </c>
      <c r="AE63">
        <v>0.770000000000437</v>
      </c>
      <c r="AF63">
        <v>0</v>
      </c>
      <c r="AG63">
        <v>0.99999999999636202</v>
      </c>
      <c r="AH63" t="s">
        <v>561</v>
      </c>
      <c r="AI63">
        <v>14480</v>
      </c>
      <c r="AJ63">
        <v>14479.23</v>
      </c>
      <c r="AK63">
        <v>0</v>
      </c>
      <c r="AL63">
        <v>0</v>
      </c>
      <c r="AM63">
        <v>0.770000000000437</v>
      </c>
      <c r="AN63">
        <v>0</v>
      </c>
      <c r="AO63">
        <v>0</v>
      </c>
      <c r="AP63">
        <v>0</v>
      </c>
      <c r="AQ63">
        <v>-0.22999999999592546</v>
      </c>
      <c r="AR63">
        <v>120000.23</v>
      </c>
      <c r="AS63">
        <v>120000.45999999999</v>
      </c>
    </row>
    <row r="64" spans="1:45" x14ac:dyDescent="0.35">
      <c r="A64" t="s">
        <v>1194</v>
      </c>
      <c r="B64" t="s">
        <v>946</v>
      </c>
      <c r="C64" t="s">
        <v>19</v>
      </c>
      <c r="D64">
        <v>8471230</v>
      </c>
      <c r="E64" t="s">
        <v>558</v>
      </c>
      <c r="F64">
        <v>425742</v>
      </c>
      <c r="G64" t="s">
        <v>559</v>
      </c>
      <c r="H64" t="s">
        <v>560</v>
      </c>
      <c r="I64">
        <v>2000000</v>
      </c>
      <c r="J64">
        <v>1247000</v>
      </c>
      <c r="K64">
        <v>691086.57</v>
      </c>
      <c r="L64">
        <v>92515.74</v>
      </c>
      <c r="M64">
        <v>161631.32999999999</v>
      </c>
      <c r="N64">
        <v>301766.3600000001</v>
      </c>
      <c r="R64" s="226" t="s">
        <v>854</v>
      </c>
      <c r="S64">
        <v>301766.3600000001</v>
      </c>
      <c r="U64">
        <v>301766.3600000001</v>
      </c>
      <c r="V64">
        <v>292771.3600000001</v>
      </c>
      <c r="X64" t="s">
        <v>722</v>
      </c>
      <c r="Z64">
        <v>1552520</v>
      </c>
      <c r="AA64">
        <v>1310063.82</v>
      </c>
      <c r="AB64">
        <v>0</v>
      </c>
      <c r="AC64">
        <v>94651.33</v>
      </c>
      <c r="AD64">
        <v>147804.84999999992</v>
      </c>
      <c r="AE64">
        <v>147804.85</v>
      </c>
      <c r="AF64">
        <v>0</v>
      </c>
      <c r="AG64">
        <v>-153961.51000000018</v>
      </c>
      <c r="AH64" t="s">
        <v>560</v>
      </c>
      <c r="AI64">
        <v>1552520</v>
      </c>
      <c r="AJ64">
        <v>1366366.08</v>
      </c>
      <c r="AK64">
        <v>0</v>
      </c>
      <c r="AL64">
        <v>94651.33</v>
      </c>
      <c r="AM64">
        <v>91502.589999999895</v>
      </c>
      <c r="AN64">
        <v>0</v>
      </c>
      <c r="AO64">
        <v>0</v>
      </c>
      <c r="AP64">
        <v>8995</v>
      </c>
      <c r="AQ64">
        <v>292771.3600000001</v>
      </c>
      <c r="AR64">
        <v>1413710.1500000001</v>
      </c>
      <c r="AS64">
        <v>1177241.05</v>
      </c>
    </row>
    <row r="65" spans="1:45" x14ac:dyDescent="0.35">
      <c r="A65" t="s">
        <v>1194</v>
      </c>
      <c r="B65" t="s">
        <v>946</v>
      </c>
      <c r="C65" t="s">
        <v>19</v>
      </c>
      <c r="D65">
        <v>8471220</v>
      </c>
      <c r="E65" t="s">
        <v>549</v>
      </c>
      <c r="F65">
        <v>436120</v>
      </c>
      <c r="G65" t="s">
        <v>443</v>
      </c>
      <c r="H65" t="s">
        <v>557</v>
      </c>
      <c r="I65">
        <v>6000</v>
      </c>
      <c r="J65">
        <v>6000</v>
      </c>
      <c r="N65">
        <v>6000</v>
      </c>
      <c r="S65">
        <v>6000</v>
      </c>
      <c r="U65">
        <v>6000</v>
      </c>
      <c r="V65">
        <v>6000</v>
      </c>
      <c r="X65" t="s">
        <v>722</v>
      </c>
      <c r="Z65">
        <v>6000</v>
      </c>
      <c r="AA65">
        <v>0</v>
      </c>
      <c r="AB65">
        <v>0</v>
      </c>
      <c r="AC65">
        <v>0</v>
      </c>
      <c r="AD65">
        <v>6000</v>
      </c>
      <c r="AE65">
        <v>6000</v>
      </c>
      <c r="AF65">
        <v>0</v>
      </c>
      <c r="AG65">
        <v>0</v>
      </c>
      <c r="AH65" t="s">
        <v>557</v>
      </c>
      <c r="AI65">
        <v>6000</v>
      </c>
      <c r="AJ65">
        <v>0</v>
      </c>
      <c r="AK65">
        <v>0</v>
      </c>
      <c r="AL65">
        <v>0</v>
      </c>
      <c r="AM65">
        <v>6000</v>
      </c>
      <c r="AN65">
        <v>0</v>
      </c>
      <c r="AO65">
        <v>0</v>
      </c>
      <c r="AP65">
        <v>0</v>
      </c>
      <c r="AQ65">
        <v>6000</v>
      </c>
      <c r="AR65">
        <v>0</v>
      </c>
      <c r="AS65">
        <v>-6000</v>
      </c>
    </row>
    <row r="66" spans="1:45" x14ac:dyDescent="0.35">
      <c r="A66" t="s">
        <v>1194</v>
      </c>
      <c r="B66" t="s">
        <v>946</v>
      </c>
      <c r="C66" t="s">
        <v>19</v>
      </c>
      <c r="D66">
        <v>8471220</v>
      </c>
      <c r="E66" t="s">
        <v>549</v>
      </c>
      <c r="F66">
        <v>436110</v>
      </c>
      <c r="G66" t="s">
        <v>119</v>
      </c>
      <c r="H66" t="s">
        <v>556</v>
      </c>
      <c r="I66">
        <v>300000</v>
      </c>
      <c r="J66">
        <v>300000</v>
      </c>
      <c r="K66">
        <v>115500</v>
      </c>
      <c r="L66">
        <v>0</v>
      </c>
      <c r="M66">
        <v>0</v>
      </c>
      <c r="N66">
        <v>184500</v>
      </c>
      <c r="S66">
        <v>184500</v>
      </c>
      <c r="T66" t="s">
        <v>886</v>
      </c>
      <c r="U66">
        <v>184500</v>
      </c>
      <c r="V66">
        <v>184500</v>
      </c>
      <c r="X66" t="s">
        <v>722</v>
      </c>
      <c r="Z66">
        <v>280000</v>
      </c>
      <c r="AA66">
        <v>115500</v>
      </c>
      <c r="AB66">
        <v>0</v>
      </c>
      <c r="AC66">
        <v>15800</v>
      </c>
      <c r="AD66">
        <v>148700</v>
      </c>
      <c r="AE66">
        <v>148700</v>
      </c>
      <c r="AF66">
        <v>0</v>
      </c>
      <c r="AG66">
        <v>-35800</v>
      </c>
      <c r="AH66" t="s">
        <v>556</v>
      </c>
      <c r="AI66">
        <v>280000</v>
      </c>
      <c r="AJ66">
        <v>115500</v>
      </c>
      <c r="AK66">
        <v>0</v>
      </c>
      <c r="AL66">
        <v>15800</v>
      </c>
      <c r="AM66">
        <v>148700</v>
      </c>
      <c r="AN66">
        <v>0</v>
      </c>
      <c r="AO66">
        <v>0</v>
      </c>
      <c r="AP66">
        <v>0</v>
      </c>
      <c r="AQ66">
        <v>184500</v>
      </c>
      <c r="AR66">
        <v>131300</v>
      </c>
      <c r="AS66">
        <v>-53200</v>
      </c>
    </row>
    <row r="67" spans="1:45" x14ac:dyDescent="0.35">
      <c r="A67" t="s">
        <v>1194</v>
      </c>
      <c r="B67" t="s">
        <v>946</v>
      </c>
      <c r="C67" t="s">
        <v>19</v>
      </c>
      <c r="D67">
        <v>8471220</v>
      </c>
      <c r="E67" t="s">
        <v>549</v>
      </c>
      <c r="F67">
        <v>435340</v>
      </c>
      <c r="G67" t="s">
        <v>202</v>
      </c>
      <c r="H67" t="s">
        <v>555</v>
      </c>
      <c r="I67">
        <v>9500000</v>
      </c>
      <c r="J67">
        <v>9500000</v>
      </c>
      <c r="K67">
        <v>4279841.18</v>
      </c>
      <c r="L67">
        <v>4852865.17</v>
      </c>
      <c r="M67">
        <v>0</v>
      </c>
      <c r="N67">
        <v>367293.65000000037</v>
      </c>
      <c r="S67">
        <v>367293.65000000037</v>
      </c>
      <c r="T67" t="s">
        <v>885</v>
      </c>
      <c r="U67">
        <v>367293.65000000037</v>
      </c>
      <c r="V67">
        <v>367293.65000000037</v>
      </c>
      <c r="X67" t="s">
        <v>722</v>
      </c>
      <c r="Z67">
        <v>9500000</v>
      </c>
      <c r="AA67">
        <v>9132706.3499999996</v>
      </c>
      <c r="AB67">
        <v>0</v>
      </c>
      <c r="AC67">
        <v>0</v>
      </c>
      <c r="AD67">
        <v>367293.65000000037</v>
      </c>
      <c r="AE67">
        <v>367293.65</v>
      </c>
      <c r="AF67">
        <v>0</v>
      </c>
      <c r="AG67">
        <v>0</v>
      </c>
      <c r="AH67" t="s">
        <v>555</v>
      </c>
      <c r="AI67">
        <v>9500000</v>
      </c>
      <c r="AJ67">
        <v>9132706.3499999996</v>
      </c>
      <c r="AK67">
        <v>0</v>
      </c>
      <c r="AL67">
        <v>0</v>
      </c>
      <c r="AM67">
        <v>367293.65</v>
      </c>
      <c r="AN67">
        <v>0</v>
      </c>
      <c r="AO67">
        <v>0</v>
      </c>
      <c r="AP67">
        <v>0</v>
      </c>
      <c r="AQ67">
        <v>367293.65000000037</v>
      </c>
      <c r="AR67">
        <v>9132706.3499999996</v>
      </c>
      <c r="AS67">
        <v>8765412.6999999993</v>
      </c>
    </row>
    <row r="68" spans="1:45" x14ac:dyDescent="0.35">
      <c r="A68" t="s">
        <v>1194</v>
      </c>
      <c r="B68" t="s">
        <v>946</v>
      </c>
      <c r="C68" t="s">
        <v>19</v>
      </c>
      <c r="D68">
        <v>8471220</v>
      </c>
      <c r="E68" t="s">
        <v>549</v>
      </c>
      <c r="F68">
        <v>426900</v>
      </c>
      <c r="G68" t="s">
        <v>400</v>
      </c>
      <c r="H68" t="s">
        <v>554</v>
      </c>
      <c r="I68">
        <v>11000</v>
      </c>
      <c r="J68">
        <v>11000</v>
      </c>
      <c r="N68">
        <v>11000</v>
      </c>
      <c r="S68">
        <v>11000</v>
      </c>
      <c r="U68">
        <v>11000</v>
      </c>
      <c r="V68">
        <v>11000</v>
      </c>
      <c r="X68" t="s">
        <v>722</v>
      </c>
      <c r="Z68">
        <v>11000</v>
      </c>
      <c r="AA68">
        <v>0</v>
      </c>
      <c r="AB68">
        <v>0</v>
      </c>
      <c r="AC68">
        <v>0</v>
      </c>
      <c r="AD68">
        <v>11000</v>
      </c>
      <c r="AE68">
        <v>11000</v>
      </c>
      <c r="AF68">
        <v>0</v>
      </c>
      <c r="AG68">
        <v>0</v>
      </c>
      <c r="AH68" t="s">
        <v>554</v>
      </c>
      <c r="AI68">
        <v>11000</v>
      </c>
      <c r="AJ68">
        <v>0</v>
      </c>
      <c r="AK68">
        <v>0</v>
      </c>
      <c r="AL68">
        <v>0</v>
      </c>
      <c r="AM68">
        <v>11000</v>
      </c>
      <c r="AN68">
        <v>0</v>
      </c>
      <c r="AO68">
        <v>0</v>
      </c>
      <c r="AP68">
        <v>0</v>
      </c>
      <c r="AQ68">
        <v>11000</v>
      </c>
      <c r="AR68">
        <v>0</v>
      </c>
      <c r="AS68">
        <v>-11000</v>
      </c>
    </row>
    <row r="69" spans="1:45" x14ac:dyDescent="0.35">
      <c r="A69" t="s">
        <v>1194</v>
      </c>
      <c r="B69" t="s">
        <v>946</v>
      </c>
      <c r="C69" t="s">
        <v>19</v>
      </c>
      <c r="D69">
        <v>8471220</v>
      </c>
      <c r="E69" t="s">
        <v>549</v>
      </c>
      <c r="F69">
        <v>425745</v>
      </c>
      <c r="G69" t="s">
        <v>106</v>
      </c>
      <c r="H69" t="s">
        <v>553</v>
      </c>
      <c r="I69">
        <v>0</v>
      </c>
      <c r="K69">
        <v>-11290.12</v>
      </c>
      <c r="N69">
        <v>11290.12</v>
      </c>
      <c r="S69">
        <v>11290.12</v>
      </c>
      <c r="U69">
        <v>11290.12</v>
      </c>
      <c r="V69">
        <v>11290.12</v>
      </c>
      <c r="X69" t="s">
        <v>722</v>
      </c>
      <c r="Z69">
        <v>0</v>
      </c>
      <c r="AA69">
        <v>-14070.8</v>
      </c>
      <c r="AB69">
        <v>0</v>
      </c>
      <c r="AC69">
        <v>0</v>
      </c>
      <c r="AD69">
        <v>14070.8</v>
      </c>
      <c r="AE69">
        <v>14070.8</v>
      </c>
      <c r="AF69">
        <v>0</v>
      </c>
      <c r="AG69">
        <v>2780.6799999999985</v>
      </c>
      <c r="AH69" t="s">
        <v>553</v>
      </c>
      <c r="AI69">
        <v>0</v>
      </c>
      <c r="AJ69">
        <v>-15194</v>
      </c>
      <c r="AK69">
        <v>0</v>
      </c>
      <c r="AL69">
        <v>0</v>
      </c>
      <c r="AM69">
        <v>15194</v>
      </c>
      <c r="AN69">
        <v>0</v>
      </c>
      <c r="AO69">
        <v>0</v>
      </c>
      <c r="AP69">
        <v>0</v>
      </c>
      <c r="AQ69">
        <v>11290.12</v>
      </c>
      <c r="AR69">
        <v>-14070.8</v>
      </c>
      <c r="AS69">
        <v>-26484.120000000003</v>
      </c>
    </row>
    <row r="70" spans="1:45" x14ac:dyDescent="0.35">
      <c r="A70" t="s">
        <v>1194</v>
      </c>
      <c r="B70" t="s">
        <v>946</v>
      </c>
      <c r="C70" t="s">
        <v>19</v>
      </c>
      <c r="D70">
        <v>8471220</v>
      </c>
      <c r="E70" t="s">
        <v>549</v>
      </c>
      <c r="F70">
        <v>425741</v>
      </c>
      <c r="G70" t="s">
        <v>551</v>
      </c>
      <c r="H70" t="s">
        <v>552</v>
      </c>
      <c r="I70">
        <v>80501600</v>
      </c>
      <c r="J70">
        <v>80582600</v>
      </c>
      <c r="K70">
        <v>49281401.380000003</v>
      </c>
      <c r="N70">
        <v>31301198.619999997</v>
      </c>
      <c r="O70">
        <v>10243611</v>
      </c>
      <c r="P70">
        <v>10246984</v>
      </c>
      <c r="Q70">
        <v>7514454.9333333336</v>
      </c>
      <c r="S70">
        <v>3296148.6866666637</v>
      </c>
      <c r="T70" t="s">
        <v>884</v>
      </c>
      <c r="U70">
        <v>3296148.6866666637</v>
      </c>
      <c r="V70">
        <v>3296148.6866666637</v>
      </c>
      <c r="X70" t="s">
        <v>722</v>
      </c>
      <c r="Z70">
        <v>80825600</v>
      </c>
      <c r="AA70">
        <v>59526469.380000003</v>
      </c>
      <c r="AB70">
        <v>0</v>
      </c>
      <c r="AC70">
        <v>0</v>
      </c>
      <c r="AD70">
        <v>21299130.619999997</v>
      </c>
      <c r="AE70">
        <v>21299130.620000001</v>
      </c>
      <c r="AF70">
        <v>0</v>
      </c>
      <c r="AG70">
        <v>18002981.933333334</v>
      </c>
      <c r="AH70" t="s">
        <v>552</v>
      </c>
      <c r="AI70">
        <v>80825600</v>
      </c>
      <c r="AJ70">
        <v>69771996.379999995</v>
      </c>
      <c r="AK70">
        <v>0</v>
      </c>
      <c r="AL70">
        <v>0</v>
      </c>
      <c r="AM70">
        <v>11053603.619999999</v>
      </c>
      <c r="AN70">
        <v>0</v>
      </c>
      <c r="AO70">
        <v>0</v>
      </c>
      <c r="AP70">
        <v>0</v>
      </c>
      <c r="AQ70">
        <v>3296148.6866666637</v>
      </c>
      <c r="AR70">
        <v>67040924.313333333</v>
      </c>
      <c r="AS70">
        <v>73990302.626666665</v>
      </c>
    </row>
    <row r="71" spans="1:45" x14ac:dyDescent="0.35">
      <c r="A71" t="s">
        <v>1194</v>
      </c>
      <c r="B71" t="s">
        <v>946</v>
      </c>
      <c r="C71" t="s">
        <v>19</v>
      </c>
      <c r="D71">
        <v>8471220</v>
      </c>
      <c r="E71" t="s">
        <v>549</v>
      </c>
      <c r="F71">
        <v>425510</v>
      </c>
      <c r="G71" t="s">
        <v>31</v>
      </c>
      <c r="H71" t="s">
        <v>550</v>
      </c>
      <c r="I71">
        <v>2200</v>
      </c>
      <c r="J71">
        <v>2200</v>
      </c>
      <c r="N71">
        <v>2200</v>
      </c>
      <c r="S71">
        <v>2200</v>
      </c>
      <c r="U71">
        <v>2200</v>
      </c>
      <c r="V71">
        <v>2200</v>
      </c>
      <c r="X71" t="s">
        <v>722</v>
      </c>
      <c r="Z71">
        <v>22200</v>
      </c>
      <c r="AA71">
        <v>8800</v>
      </c>
      <c r="AB71">
        <v>0</v>
      </c>
      <c r="AC71">
        <v>0</v>
      </c>
      <c r="AD71">
        <v>13400</v>
      </c>
      <c r="AE71">
        <v>13400</v>
      </c>
      <c r="AF71">
        <v>0</v>
      </c>
      <c r="AG71">
        <v>11200</v>
      </c>
      <c r="AH71" t="s">
        <v>550</v>
      </c>
      <c r="AI71">
        <v>22200</v>
      </c>
      <c r="AJ71">
        <v>8800</v>
      </c>
      <c r="AK71">
        <v>0</v>
      </c>
      <c r="AL71">
        <v>0</v>
      </c>
      <c r="AM71">
        <v>13400</v>
      </c>
      <c r="AN71">
        <v>0</v>
      </c>
      <c r="AO71">
        <v>0</v>
      </c>
      <c r="AP71">
        <v>0</v>
      </c>
      <c r="AQ71">
        <v>2200</v>
      </c>
      <c r="AR71">
        <v>8800</v>
      </c>
      <c r="AS71">
        <v>6600</v>
      </c>
    </row>
    <row r="72" spans="1:45" x14ac:dyDescent="0.35">
      <c r="A72" t="s">
        <v>1194</v>
      </c>
      <c r="B72" t="s">
        <v>946</v>
      </c>
      <c r="C72" t="s">
        <v>19</v>
      </c>
      <c r="D72">
        <v>8471210</v>
      </c>
      <c r="E72" t="s">
        <v>542</v>
      </c>
      <c r="F72">
        <v>428640</v>
      </c>
      <c r="G72" t="s">
        <v>43</v>
      </c>
      <c r="H72" t="s">
        <v>545</v>
      </c>
      <c r="I72">
        <v>20000</v>
      </c>
      <c r="J72">
        <v>149</v>
      </c>
      <c r="N72">
        <v>149</v>
      </c>
      <c r="S72">
        <v>149</v>
      </c>
      <c r="U72">
        <v>149</v>
      </c>
      <c r="V72">
        <v>149</v>
      </c>
      <c r="X72" t="s">
        <v>722</v>
      </c>
      <c r="Z72">
        <v>149</v>
      </c>
      <c r="AA72">
        <v>0</v>
      </c>
      <c r="AB72">
        <v>0</v>
      </c>
      <c r="AC72">
        <v>0</v>
      </c>
      <c r="AD72">
        <v>149</v>
      </c>
      <c r="AE72">
        <v>149</v>
      </c>
      <c r="AF72">
        <v>0</v>
      </c>
      <c r="AG72">
        <v>0</v>
      </c>
      <c r="AH72" t="s">
        <v>545</v>
      </c>
      <c r="AI72">
        <v>149</v>
      </c>
      <c r="AJ72">
        <v>0</v>
      </c>
      <c r="AK72">
        <v>0</v>
      </c>
      <c r="AL72">
        <v>0</v>
      </c>
      <c r="AM72">
        <v>149</v>
      </c>
      <c r="AN72">
        <v>0</v>
      </c>
      <c r="AO72">
        <v>0</v>
      </c>
      <c r="AP72">
        <v>0</v>
      </c>
      <c r="AQ72">
        <v>149</v>
      </c>
      <c r="AR72">
        <v>0</v>
      </c>
      <c r="AS72">
        <v>-149</v>
      </c>
    </row>
    <row r="73" spans="1:45" x14ac:dyDescent="0.35">
      <c r="A73" t="s">
        <v>1194</v>
      </c>
      <c r="B73" t="s">
        <v>946</v>
      </c>
      <c r="C73" t="s">
        <v>19</v>
      </c>
      <c r="D73">
        <v>8471210</v>
      </c>
      <c r="E73" t="s">
        <v>542</v>
      </c>
      <c r="F73">
        <v>428090</v>
      </c>
      <c r="G73" t="s">
        <v>39</v>
      </c>
      <c r="H73" t="s">
        <v>544</v>
      </c>
      <c r="I73">
        <v>100000</v>
      </c>
      <c r="J73">
        <v>57246</v>
      </c>
      <c r="K73">
        <v>12000</v>
      </c>
      <c r="N73">
        <v>45246</v>
      </c>
      <c r="R73" s="226" t="s">
        <v>853</v>
      </c>
      <c r="S73">
        <v>45246</v>
      </c>
      <c r="U73">
        <v>45246</v>
      </c>
      <c r="V73">
        <v>45246</v>
      </c>
      <c r="X73" t="s">
        <v>722</v>
      </c>
      <c r="Z73">
        <v>57246</v>
      </c>
      <c r="AA73">
        <v>56700</v>
      </c>
      <c r="AB73">
        <v>0</v>
      </c>
      <c r="AC73">
        <v>0</v>
      </c>
      <c r="AD73">
        <v>546</v>
      </c>
      <c r="AE73">
        <v>546</v>
      </c>
      <c r="AF73">
        <v>0</v>
      </c>
      <c r="AG73">
        <v>-44700</v>
      </c>
      <c r="AH73" t="s">
        <v>544</v>
      </c>
      <c r="AI73">
        <v>57246</v>
      </c>
      <c r="AJ73">
        <v>56700</v>
      </c>
      <c r="AK73">
        <v>0</v>
      </c>
      <c r="AL73">
        <v>0</v>
      </c>
      <c r="AM73">
        <v>546</v>
      </c>
      <c r="AN73">
        <v>0</v>
      </c>
      <c r="AO73">
        <v>0</v>
      </c>
      <c r="AP73">
        <v>0</v>
      </c>
      <c r="AQ73">
        <v>45246</v>
      </c>
      <c r="AR73">
        <v>56700</v>
      </c>
      <c r="AS73">
        <v>11454</v>
      </c>
    </row>
    <row r="74" spans="1:45" x14ac:dyDescent="0.35">
      <c r="A74" t="s">
        <v>1194</v>
      </c>
      <c r="B74" t="s">
        <v>946</v>
      </c>
      <c r="C74" t="s">
        <v>19</v>
      </c>
      <c r="D74">
        <v>8471210</v>
      </c>
      <c r="E74" t="s">
        <v>542</v>
      </c>
      <c r="F74">
        <v>425900</v>
      </c>
      <c r="G74" t="s">
        <v>35</v>
      </c>
      <c r="H74" t="s">
        <v>543</v>
      </c>
      <c r="I74">
        <v>15000</v>
      </c>
      <c r="J74">
        <v>15000</v>
      </c>
      <c r="K74">
        <v>13795</v>
      </c>
      <c r="L74">
        <v>0</v>
      </c>
      <c r="M74">
        <v>0</v>
      </c>
      <c r="N74">
        <v>1205</v>
      </c>
      <c r="S74">
        <v>1205</v>
      </c>
      <c r="U74">
        <v>1205</v>
      </c>
      <c r="V74">
        <v>1205</v>
      </c>
      <c r="X74" t="s">
        <v>722</v>
      </c>
      <c r="Z74">
        <v>15000</v>
      </c>
      <c r="AA74">
        <v>13795</v>
      </c>
      <c r="AB74">
        <v>0</v>
      </c>
      <c r="AC74">
        <v>0</v>
      </c>
      <c r="AD74">
        <v>1205</v>
      </c>
      <c r="AE74">
        <v>1205</v>
      </c>
      <c r="AF74">
        <v>0</v>
      </c>
      <c r="AG74">
        <v>0</v>
      </c>
      <c r="AH74" t="s">
        <v>543</v>
      </c>
      <c r="AI74">
        <v>15000</v>
      </c>
      <c r="AJ74">
        <v>14792.5</v>
      </c>
      <c r="AK74">
        <v>0</v>
      </c>
      <c r="AL74">
        <v>0</v>
      </c>
      <c r="AM74">
        <v>207.5</v>
      </c>
      <c r="AN74">
        <v>0</v>
      </c>
      <c r="AO74">
        <v>0</v>
      </c>
      <c r="AP74">
        <v>0</v>
      </c>
      <c r="AQ74">
        <v>1205</v>
      </c>
      <c r="AR74">
        <v>13795</v>
      </c>
      <c r="AS74">
        <v>13587.5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3:G114"/>
  <sheetViews>
    <sheetView workbookViewId="0">
      <selection activeCell="B4" sqref="B4"/>
    </sheetView>
  </sheetViews>
  <sheetFormatPr defaultRowHeight="14.5" x14ac:dyDescent="0.35"/>
  <cols>
    <col min="1" max="1" width="32.6328125" customWidth="1"/>
    <col min="2" max="2" width="24.08984375" customWidth="1"/>
    <col min="3" max="3" width="25.36328125" customWidth="1"/>
    <col min="4" max="4" width="13.36328125" customWidth="1"/>
    <col min="5" max="5" width="14.6328125" customWidth="1"/>
    <col min="7" max="7" width="11.453125" bestFit="1" customWidth="1"/>
  </cols>
  <sheetData>
    <row r="3" spans="1:7" x14ac:dyDescent="0.35">
      <c r="A3" s="443" t="s">
        <v>1205</v>
      </c>
      <c r="B3" s="443" t="s">
        <v>1223</v>
      </c>
      <c r="C3" s="443" t="s">
        <v>1224</v>
      </c>
      <c r="D3" s="443" t="s">
        <v>1225</v>
      </c>
      <c r="E3" s="443" t="s">
        <v>1226</v>
      </c>
    </row>
    <row r="4" spans="1:7" x14ac:dyDescent="0.35">
      <c r="A4" s="490" t="s">
        <v>1194</v>
      </c>
      <c r="B4" s="491">
        <v>249482230</v>
      </c>
      <c r="C4" s="493">
        <v>246662223.26616657</v>
      </c>
      <c r="D4" s="493">
        <v>4222125.3199166656</v>
      </c>
      <c r="E4" s="493">
        <v>6094123.1699999999</v>
      </c>
    </row>
    <row r="5" spans="1:7" x14ac:dyDescent="0.35">
      <c r="A5" s="490" t="s">
        <v>1196</v>
      </c>
      <c r="B5" s="491">
        <v>10501988</v>
      </c>
      <c r="C5" s="493">
        <v>229533.2304000002</v>
      </c>
      <c r="D5" s="493">
        <v>4542064.0598000009</v>
      </c>
      <c r="E5" s="493">
        <v>12797.279999999999</v>
      </c>
    </row>
    <row r="6" spans="1:7" x14ac:dyDescent="0.35">
      <c r="A6" s="490" t="s">
        <v>1195</v>
      </c>
      <c r="B6" s="491">
        <v>11046047</v>
      </c>
      <c r="C6" s="493">
        <v>5653827.924999998</v>
      </c>
      <c r="D6" s="493">
        <v>2330659.6765000001</v>
      </c>
      <c r="E6" s="493"/>
    </row>
    <row r="7" spans="1:7" x14ac:dyDescent="0.35">
      <c r="A7" s="490" t="s">
        <v>1201</v>
      </c>
      <c r="B7" s="491">
        <v>62632442</v>
      </c>
      <c r="C7" s="493">
        <v>62898496.01000002</v>
      </c>
      <c r="D7" s="493">
        <v>1051867.2600000002</v>
      </c>
      <c r="E7" s="493">
        <v>620674.03000000119</v>
      </c>
    </row>
    <row r="8" spans="1:7" x14ac:dyDescent="0.35">
      <c r="A8" s="490" t="s">
        <v>1199</v>
      </c>
      <c r="B8" s="491">
        <v>472945</v>
      </c>
      <c r="C8" s="493">
        <v>76437.999999999985</v>
      </c>
      <c r="D8" s="493">
        <v>233654.39999999999</v>
      </c>
      <c r="E8" s="493"/>
    </row>
    <row r="9" spans="1:7" x14ac:dyDescent="0.35">
      <c r="A9" s="490" t="s">
        <v>1192</v>
      </c>
      <c r="B9" s="491">
        <v>14987579</v>
      </c>
      <c r="C9" s="493">
        <v>14439970.940000001</v>
      </c>
      <c r="D9" s="493">
        <v>392799.70999999996</v>
      </c>
      <c r="E9" s="493"/>
    </row>
    <row r="10" spans="1:7" x14ac:dyDescent="0.35">
      <c r="A10" s="490" t="s">
        <v>1191</v>
      </c>
      <c r="B10" s="491">
        <v>10579004</v>
      </c>
      <c r="C10" s="493">
        <v>-9453157.7740000002</v>
      </c>
      <c r="D10" s="493">
        <v>10545182.743999999</v>
      </c>
      <c r="E10" s="493"/>
    </row>
    <row r="11" spans="1:7" x14ac:dyDescent="0.35">
      <c r="A11" s="490" t="s">
        <v>1193</v>
      </c>
      <c r="B11" s="491">
        <v>1687738</v>
      </c>
      <c r="C11" s="493">
        <v>-782489.36</v>
      </c>
      <c r="D11" s="493">
        <v>1091691.6600000004</v>
      </c>
      <c r="E11" s="493"/>
    </row>
    <row r="12" spans="1:7" x14ac:dyDescent="0.35">
      <c r="A12" s="490" t="s">
        <v>1198</v>
      </c>
      <c r="B12" s="491">
        <v>1116685</v>
      </c>
      <c r="C12" s="493">
        <v>1147368.182</v>
      </c>
      <c r="D12" s="493">
        <v>7140.9180000001033</v>
      </c>
      <c r="E12" s="493">
        <v>189410</v>
      </c>
    </row>
    <row r="13" spans="1:7" x14ac:dyDescent="0.35">
      <c r="A13" s="490" t="s">
        <v>1200</v>
      </c>
      <c r="B13" s="491">
        <v>119825091</v>
      </c>
      <c r="C13" s="493">
        <v>126890573.99816686</v>
      </c>
      <c r="D13" s="493">
        <v>2949190.4192499919</v>
      </c>
      <c r="E13" s="493">
        <v>15489500</v>
      </c>
      <c r="G13">
        <f>GETPIVOTDATA("Sum of Budget 10-Dec-2022",$A$3,"SVP Level","SVP - Research Office")-GETPIVOTDATA("Sum of Forecast 10-Dec-2022",$A$3,"SVP Level","SVP - Research Office")-GETPIVOTDATA("Sum of Surplus",$A$3,"SVP Level","SVP - Research Office")</f>
        <v>-10014673.417416852</v>
      </c>
    </row>
    <row r="14" spans="1:7" x14ac:dyDescent="0.35">
      <c r="A14" s="490" t="s">
        <v>1197</v>
      </c>
      <c r="B14" s="491">
        <v>97518251</v>
      </c>
      <c r="C14" s="493">
        <v>101575564.52600004</v>
      </c>
      <c r="D14" s="493">
        <v>1857867.0040000007</v>
      </c>
      <c r="E14" s="493">
        <v>3975438.45</v>
      </c>
    </row>
    <row r="15" spans="1:7" ht="15" thickBot="1" x14ac:dyDescent="0.4">
      <c r="A15" s="492" t="s">
        <v>719</v>
      </c>
      <c r="B15" s="494">
        <v>579850000</v>
      </c>
      <c r="C15" s="495">
        <v>549338348.94373345</v>
      </c>
      <c r="D15" s="495">
        <v>29224243.17146666</v>
      </c>
      <c r="E15" s="495">
        <v>26381942.93</v>
      </c>
    </row>
    <row r="16" spans="1:7" ht="15" thickTop="1" x14ac:dyDescent="0.35">
      <c r="C16" s="183"/>
      <c r="D16" s="229"/>
    </row>
    <row r="17" spans="1:5" x14ac:dyDescent="0.35">
      <c r="C17" s="183">
        <f>GETPIVOTDATA("Sum of Budget 10-Dec-2022",$A$3)-GETPIVOTDATA("Sum of Forecast 10-Dec-2022",$A$3)</f>
        <v>30511651.056266546</v>
      </c>
      <c r="D17" s="183">
        <f>GETPIVOTDATA("Sum of Surplus",$A$3)-GETPIVOTDATA("Sum of Shortage",$A$3)</f>
        <v>2842300.2414666601</v>
      </c>
    </row>
    <row r="18" spans="1:5" x14ac:dyDescent="0.35">
      <c r="A18" s="264" t="s">
        <v>1227</v>
      </c>
      <c r="C18" s="183"/>
    </row>
    <row r="19" spans="1:5" x14ac:dyDescent="0.35">
      <c r="A19" t="s">
        <v>1244</v>
      </c>
    </row>
    <row r="20" spans="1:5" x14ac:dyDescent="0.35">
      <c r="C20" s="480">
        <f>GETPIVOTDATA("Sum of Forecast 10-Dec-2022",$A$3)/GETPIVOTDATA("Sum of Budget 10-Dec-2022",$A$3)</f>
        <v>0.94738009647966448</v>
      </c>
    </row>
    <row r="23" spans="1:5" x14ac:dyDescent="0.35">
      <c r="A23" s="504" t="s">
        <v>1205</v>
      </c>
      <c r="B23" s="504" t="s">
        <v>1223</v>
      </c>
      <c r="C23" s="504" t="s">
        <v>1224</v>
      </c>
      <c r="D23" s="504" t="s">
        <v>1225</v>
      </c>
      <c r="E23" s="504" t="s">
        <v>1226</v>
      </c>
    </row>
    <row r="24" spans="1:5" x14ac:dyDescent="0.35">
      <c r="A24" s="490" t="s">
        <v>469</v>
      </c>
      <c r="B24" s="493">
        <v>12955785</v>
      </c>
      <c r="C24" s="493">
        <v>21436782.030000001</v>
      </c>
      <c r="D24" s="493">
        <v>588000</v>
      </c>
      <c r="E24" s="493">
        <v>10489500</v>
      </c>
    </row>
    <row r="25" spans="1:5" x14ac:dyDescent="0.35">
      <c r="A25" s="490" t="s">
        <v>589</v>
      </c>
      <c r="B25" s="493">
        <v>9641961</v>
      </c>
      <c r="C25" s="493">
        <v>15379766.01</v>
      </c>
      <c r="D25" s="493">
        <v>0</v>
      </c>
      <c r="E25" s="493">
        <v>5300000</v>
      </c>
    </row>
    <row r="26" spans="1:5" x14ac:dyDescent="0.35">
      <c r="A26" s="490" t="s">
        <v>23</v>
      </c>
      <c r="B26" s="493">
        <v>23368056</v>
      </c>
      <c r="C26" s="493">
        <v>28341752.509999998</v>
      </c>
      <c r="D26" s="493">
        <v>1064099.58</v>
      </c>
      <c r="E26" s="493">
        <v>5000000</v>
      </c>
    </row>
    <row r="27" spans="1:5" x14ac:dyDescent="0.35">
      <c r="A27" s="490" t="s">
        <v>591</v>
      </c>
      <c r="B27" s="493">
        <v>586812</v>
      </c>
      <c r="C27" s="493">
        <v>4301793.5999999996</v>
      </c>
      <c r="D27" s="493">
        <v>0</v>
      </c>
      <c r="E27" s="493">
        <v>3900000</v>
      </c>
    </row>
    <row r="28" spans="1:5" x14ac:dyDescent="0.35">
      <c r="A28" s="490" t="s">
        <v>108</v>
      </c>
      <c r="B28" s="493">
        <v>143993862</v>
      </c>
      <c r="C28" s="493">
        <v>148554372.71000001</v>
      </c>
      <c r="D28" s="493">
        <v>0</v>
      </c>
      <c r="E28" s="493">
        <v>1320674.0300000012</v>
      </c>
    </row>
    <row r="29" spans="1:5" x14ac:dyDescent="0.35">
      <c r="A29" s="490" t="s">
        <v>435</v>
      </c>
      <c r="B29" s="493">
        <v>520230</v>
      </c>
      <c r="C29" s="493">
        <v>613400</v>
      </c>
      <c r="D29" s="493">
        <v>0</v>
      </c>
      <c r="E29" s="493">
        <v>94130</v>
      </c>
    </row>
    <row r="30" spans="1:5" x14ac:dyDescent="0.35">
      <c r="A30" s="490" t="s">
        <v>432</v>
      </c>
      <c r="B30" s="493">
        <v>383200</v>
      </c>
      <c r="C30" s="493">
        <v>352725</v>
      </c>
      <c r="D30" s="493">
        <v>0</v>
      </c>
      <c r="E30" s="493">
        <v>88200</v>
      </c>
    </row>
    <row r="31" spans="1:5" x14ac:dyDescent="0.35">
      <c r="A31" s="490" t="s">
        <v>607</v>
      </c>
      <c r="B31" s="493">
        <v>200000</v>
      </c>
      <c r="C31" s="493">
        <v>464166</v>
      </c>
      <c r="D31" s="493">
        <v>-120000</v>
      </c>
      <c r="E31" s="493">
        <v>66666</v>
      </c>
    </row>
    <row r="32" spans="1:5" x14ac:dyDescent="0.35">
      <c r="A32" s="490" t="s">
        <v>385</v>
      </c>
      <c r="B32" s="493">
        <v>22819178</v>
      </c>
      <c r="C32" s="493">
        <v>23384872.958000004</v>
      </c>
      <c r="D32" s="493">
        <v>67124.351999999635</v>
      </c>
      <c r="E32" s="493">
        <v>43854.340000000317</v>
      </c>
    </row>
    <row r="33" spans="1:5" x14ac:dyDescent="0.35">
      <c r="A33" s="490" t="s">
        <v>357</v>
      </c>
      <c r="B33" s="493">
        <v>965000</v>
      </c>
      <c r="C33" s="493">
        <v>960972.58199999994</v>
      </c>
      <c r="D33" s="493">
        <v>4551.2080000000087</v>
      </c>
      <c r="E33" s="493">
        <v>31584.110000000015</v>
      </c>
    </row>
    <row r="34" spans="1:5" x14ac:dyDescent="0.35">
      <c r="A34" s="490" t="s">
        <v>33</v>
      </c>
      <c r="B34" s="493">
        <v>1849204</v>
      </c>
      <c r="C34" s="493">
        <v>582277.42599999998</v>
      </c>
      <c r="D34" s="493">
        <v>511651.42600000004</v>
      </c>
      <c r="E34" s="493">
        <v>15800</v>
      </c>
    </row>
    <row r="35" spans="1:5" x14ac:dyDescent="0.35">
      <c r="A35" s="490" t="s">
        <v>31</v>
      </c>
      <c r="B35" s="493">
        <v>9642106</v>
      </c>
      <c r="C35" s="493">
        <v>7931620.5740000019</v>
      </c>
      <c r="D35" s="493">
        <v>593823.826</v>
      </c>
      <c r="E35" s="493">
        <v>10878.689999999999</v>
      </c>
    </row>
    <row r="36" spans="1:5" x14ac:dyDescent="0.35">
      <c r="A36" s="490" t="s">
        <v>79</v>
      </c>
      <c r="B36" s="493">
        <v>2975841</v>
      </c>
      <c r="C36" s="493">
        <v>193233.3204</v>
      </c>
      <c r="D36" s="493">
        <v>1259800.4247999999</v>
      </c>
      <c r="E36" s="493">
        <v>6923.7599999999984</v>
      </c>
    </row>
    <row r="37" spans="1:5" x14ac:dyDescent="0.35">
      <c r="A37" s="490" t="s">
        <v>112</v>
      </c>
      <c r="B37" s="493">
        <v>2520394</v>
      </c>
      <c r="C37" s="493">
        <v>1279974.1499999999</v>
      </c>
      <c r="D37" s="493">
        <v>66672.560000000027</v>
      </c>
      <c r="E37" s="493">
        <v>6652.0000000000146</v>
      </c>
    </row>
    <row r="38" spans="1:5" x14ac:dyDescent="0.35">
      <c r="A38" s="490" t="s">
        <v>39</v>
      </c>
      <c r="B38" s="493">
        <v>1971328</v>
      </c>
      <c r="C38" s="493">
        <v>177638.42600000009</v>
      </c>
      <c r="D38" s="493">
        <v>888285.16399999999</v>
      </c>
      <c r="E38" s="493">
        <v>5080</v>
      </c>
    </row>
    <row r="39" spans="1:5" x14ac:dyDescent="0.35">
      <c r="A39" s="490" t="s">
        <v>737</v>
      </c>
      <c r="B39" s="493">
        <v>0</v>
      </c>
      <c r="C39" s="493">
        <v>2000</v>
      </c>
      <c r="D39" s="493">
        <v>0</v>
      </c>
      <c r="E39" s="493">
        <v>2000</v>
      </c>
    </row>
    <row r="40" spans="1:5" x14ac:dyDescent="0.35">
      <c r="A40" s="490" t="s">
        <v>63</v>
      </c>
      <c r="B40" s="493">
        <v>851328</v>
      </c>
      <c r="C40" s="493">
        <v>-733179.16</v>
      </c>
      <c r="D40" s="493">
        <v>776832.53</v>
      </c>
      <c r="E40" s="493"/>
    </row>
    <row r="41" spans="1:5" x14ac:dyDescent="0.35">
      <c r="A41" s="490" t="s">
        <v>224</v>
      </c>
      <c r="B41" s="493">
        <v>2840815</v>
      </c>
      <c r="C41" s="493">
        <v>2563382.196</v>
      </c>
      <c r="D41" s="493">
        <v>-27240.365999999951</v>
      </c>
      <c r="E41" s="493"/>
    </row>
    <row r="42" spans="1:5" x14ac:dyDescent="0.35">
      <c r="A42" s="490" t="s">
        <v>547</v>
      </c>
      <c r="B42" s="493">
        <v>132000</v>
      </c>
      <c r="C42" s="493">
        <v>114345.25</v>
      </c>
      <c r="D42" s="493">
        <v>1920</v>
      </c>
      <c r="E42" s="493"/>
    </row>
    <row r="43" spans="1:5" x14ac:dyDescent="0.35">
      <c r="A43" s="490" t="s">
        <v>403</v>
      </c>
      <c r="B43" s="493">
        <v>16839517</v>
      </c>
      <c r="C43" s="493">
        <v>19176118.940000001</v>
      </c>
      <c r="D43" s="493">
        <v>0.45999999949708581</v>
      </c>
      <c r="E43" s="493"/>
    </row>
    <row r="44" spans="1:5" x14ac:dyDescent="0.35">
      <c r="A44" s="490" t="s">
        <v>37</v>
      </c>
      <c r="B44" s="493">
        <v>16510753</v>
      </c>
      <c r="C44" s="493">
        <v>10985036.703</v>
      </c>
      <c r="D44" s="493">
        <v>2793756.9994999999</v>
      </c>
      <c r="E44" s="493"/>
    </row>
    <row r="45" spans="1:5" x14ac:dyDescent="0.35">
      <c r="A45" s="490" t="s">
        <v>559</v>
      </c>
      <c r="B45" s="493">
        <v>1732520</v>
      </c>
      <c r="C45" s="493">
        <v>1356280.6300000001</v>
      </c>
      <c r="D45" s="493">
        <v>292771.3600000001</v>
      </c>
      <c r="E45" s="493"/>
    </row>
    <row r="46" spans="1:5" x14ac:dyDescent="0.35">
      <c r="A46" s="490" t="s">
        <v>416</v>
      </c>
      <c r="B46" s="493">
        <v>64000</v>
      </c>
      <c r="C46" s="493">
        <v>-51170</v>
      </c>
      <c r="D46" s="493">
        <v>75585</v>
      </c>
      <c r="E46" s="493"/>
    </row>
    <row r="47" spans="1:5" x14ac:dyDescent="0.35">
      <c r="A47" s="490" t="s">
        <v>35</v>
      </c>
      <c r="B47" s="493">
        <v>1329212</v>
      </c>
      <c r="C47" s="493">
        <v>203306.72100000002</v>
      </c>
      <c r="D47" s="493">
        <v>500374.61399999994</v>
      </c>
      <c r="E47" s="493"/>
    </row>
    <row r="48" spans="1:5" x14ac:dyDescent="0.35">
      <c r="A48" s="490" t="s">
        <v>41</v>
      </c>
      <c r="B48" s="493">
        <v>50000</v>
      </c>
      <c r="C48" s="493">
        <v>-40000</v>
      </c>
      <c r="D48" s="493">
        <v>40000</v>
      </c>
      <c r="E48" s="493"/>
    </row>
    <row r="49" spans="1:5" x14ac:dyDescent="0.35">
      <c r="A49" s="490" t="s">
        <v>55</v>
      </c>
      <c r="B49" s="493">
        <v>5917464</v>
      </c>
      <c r="C49" s="493">
        <v>7570186.3700000001</v>
      </c>
      <c r="D49" s="493">
        <v>-887554.22</v>
      </c>
      <c r="E49" s="493"/>
    </row>
    <row r="50" spans="1:5" x14ac:dyDescent="0.35">
      <c r="A50" s="490" t="s">
        <v>646</v>
      </c>
      <c r="B50" s="493">
        <v>35000</v>
      </c>
      <c r="C50" s="493">
        <v>-15000</v>
      </c>
      <c r="D50" s="493">
        <v>25000</v>
      </c>
      <c r="E50" s="493"/>
    </row>
    <row r="51" spans="1:5" x14ac:dyDescent="0.35">
      <c r="A51" s="490" t="s">
        <v>475</v>
      </c>
      <c r="B51" s="493">
        <v>2198728</v>
      </c>
      <c r="C51" s="493">
        <v>2072538.54</v>
      </c>
      <c r="D51" s="493">
        <v>0</v>
      </c>
      <c r="E51" s="493"/>
    </row>
    <row r="52" spans="1:5" x14ac:dyDescent="0.35">
      <c r="A52" s="490" t="s">
        <v>43</v>
      </c>
      <c r="B52" s="493">
        <v>1683996</v>
      </c>
      <c r="C52" s="493">
        <v>-568031.91999999993</v>
      </c>
      <c r="D52" s="493">
        <v>1091283.57</v>
      </c>
      <c r="E52" s="493"/>
    </row>
    <row r="53" spans="1:5" x14ac:dyDescent="0.35">
      <c r="A53" s="490" t="s">
        <v>400</v>
      </c>
      <c r="B53" s="493">
        <v>53000</v>
      </c>
      <c r="C53" s="493">
        <v>-22637.313999999998</v>
      </c>
      <c r="D53" s="493">
        <v>42805.584000000003</v>
      </c>
      <c r="E53" s="493"/>
    </row>
    <row r="54" spans="1:5" x14ac:dyDescent="0.35">
      <c r="A54" s="490" t="s">
        <v>390</v>
      </c>
      <c r="B54" s="493">
        <v>30000</v>
      </c>
      <c r="C54" s="493">
        <v>-197196</v>
      </c>
      <c r="D54" s="493">
        <v>217834</v>
      </c>
      <c r="E54" s="493"/>
    </row>
    <row r="55" spans="1:5" x14ac:dyDescent="0.35">
      <c r="A55" s="490" t="s">
        <v>61</v>
      </c>
      <c r="B55" s="493">
        <v>927677</v>
      </c>
      <c r="C55" s="493">
        <v>909458.5</v>
      </c>
      <c r="D55" s="493">
        <v>0.25</v>
      </c>
      <c r="E55" s="493"/>
    </row>
    <row r="56" spans="1:5" x14ac:dyDescent="0.35">
      <c r="A56" s="490" t="s">
        <v>439</v>
      </c>
      <c r="B56" s="493">
        <v>124500</v>
      </c>
      <c r="C56" s="493">
        <v>104993.1299999999</v>
      </c>
      <c r="D56" s="493">
        <v>-0.16999999989639036</v>
      </c>
      <c r="E56" s="493"/>
    </row>
    <row r="57" spans="1:5" x14ac:dyDescent="0.35">
      <c r="A57" s="490" t="s">
        <v>418</v>
      </c>
      <c r="B57" s="493">
        <v>1044290</v>
      </c>
      <c r="C57" s="493">
        <v>932788.96</v>
      </c>
      <c r="D57" s="493">
        <v>45070</v>
      </c>
      <c r="E57" s="493"/>
    </row>
    <row r="58" spans="1:5" x14ac:dyDescent="0.35">
      <c r="A58" s="490" t="s">
        <v>354</v>
      </c>
      <c r="B58" s="493">
        <v>110000</v>
      </c>
      <c r="C58" s="493">
        <v>-10000</v>
      </c>
      <c r="D58" s="493">
        <v>20000</v>
      </c>
      <c r="E58" s="493"/>
    </row>
    <row r="59" spans="1:5" x14ac:dyDescent="0.35">
      <c r="A59" s="490" t="s">
        <v>369</v>
      </c>
      <c r="B59" s="493">
        <v>8878043</v>
      </c>
      <c r="C59" s="493">
        <v>8747637.2599999998</v>
      </c>
      <c r="D59" s="493">
        <v>3.2400000000307045</v>
      </c>
      <c r="E59" s="493"/>
    </row>
    <row r="60" spans="1:5" x14ac:dyDescent="0.35">
      <c r="A60" s="490" t="s">
        <v>426</v>
      </c>
      <c r="B60" s="493">
        <v>336000</v>
      </c>
      <c r="C60" s="493">
        <v>277439.5</v>
      </c>
      <c r="D60" s="493">
        <v>9280.25</v>
      </c>
      <c r="E60" s="493"/>
    </row>
    <row r="61" spans="1:5" x14ac:dyDescent="0.35">
      <c r="A61" s="490" t="s">
        <v>29</v>
      </c>
      <c r="B61" s="493">
        <v>2309023</v>
      </c>
      <c r="C61" s="493">
        <v>-206494.97199999998</v>
      </c>
      <c r="D61" s="493">
        <v>1094958.652</v>
      </c>
      <c r="E61" s="493"/>
    </row>
    <row r="62" spans="1:5" x14ac:dyDescent="0.35">
      <c r="A62" s="490" t="s">
        <v>102</v>
      </c>
      <c r="B62" s="493">
        <v>240000</v>
      </c>
      <c r="C62" s="493">
        <v>240000</v>
      </c>
      <c r="D62" s="493">
        <v>0</v>
      </c>
      <c r="E62" s="493"/>
    </row>
    <row r="63" spans="1:5" x14ac:dyDescent="0.35">
      <c r="A63" s="490" t="s">
        <v>437</v>
      </c>
      <c r="B63" s="493">
        <v>3600</v>
      </c>
      <c r="C63" s="493">
        <v>-1814.9480000000003</v>
      </c>
      <c r="D63" s="493">
        <v>2451.0880000000002</v>
      </c>
      <c r="E63" s="493"/>
    </row>
    <row r="64" spans="1:5" x14ac:dyDescent="0.35">
      <c r="A64" s="490" t="s">
        <v>74</v>
      </c>
      <c r="B64" s="493">
        <v>4050052</v>
      </c>
      <c r="C64" s="493">
        <v>1386946.5039999997</v>
      </c>
      <c r="D64" s="493">
        <v>1396867.6359999997</v>
      </c>
      <c r="E64" s="493"/>
    </row>
    <row r="65" spans="1:5" x14ac:dyDescent="0.35">
      <c r="A65" s="490" t="s">
        <v>398</v>
      </c>
      <c r="B65" s="493">
        <v>10000</v>
      </c>
      <c r="C65" s="493">
        <v>-8304</v>
      </c>
      <c r="D65" s="493">
        <v>9152</v>
      </c>
      <c r="E65" s="493"/>
    </row>
    <row r="66" spans="1:5" x14ac:dyDescent="0.35">
      <c r="A66" s="490" t="s">
        <v>422</v>
      </c>
      <c r="B66" s="493">
        <v>140000</v>
      </c>
      <c r="C66" s="493">
        <v>92773.68</v>
      </c>
      <c r="D66" s="493">
        <v>26828.160000000003</v>
      </c>
      <c r="E66" s="493"/>
    </row>
    <row r="67" spans="1:5" x14ac:dyDescent="0.35">
      <c r="A67" s="490" t="s">
        <v>66</v>
      </c>
      <c r="B67" s="493">
        <v>85230</v>
      </c>
      <c r="C67" s="493">
        <v>-54198.866000000002</v>
      </c>
      <c r="D67" s="493">
        <v>67486.766000000003</v>
      </c>
      <c r="E67" s="493"/>
    </row>
    <row r="68" spans="1:5" x14ac:dyDescent="0.35">
      <c r="A68" s="490" t="s">
        <v>413</v>
      </c>
      <c r="B68" s="493">
        <v>99510</v>
      </c>
      <c r="C68" s="493">
        <v>61255</v>
      </c>
      <c r="D68" s="493">
        <v>2750</v>
      </c>
      <c r="E68" s="493"/>
    </row>
    <row r="69" spans="1:5" x14ac:dyDescent="0.35">
      <c r="A69" s="490" t="s">
        <v>377</v>
      </c>
      <c r="B69" s="493">
        <v>984151</v>
      </c>
      <c r="C69" s="493">
        <v>-380972.67999999993</v>
      </c>
      <c r="D69" s="493">
        <v>939169.49</v>
      </c>
      <c r="E69" s="493"/>
    </row>
    <row r="70" spans="1:5" x14ac:dyDescent="0.35">
      <c r="A70" s="490" t="s">
        <v>68</v>
      </c>
      <c r="B70" s="493">
        <v>63812</v>
      </c>
      <c r="C70" s="493">
        <v>27812</v>
      </c>
      <c r="D70" s="493">
        <v>16000</v>
      </c>
      <c r="E70" s="493"/>
    </row>
    <row r="71" spans="1:5" x14ac:dyDescent="0.35">
      <c r="A71" s="490" t="s">
        <v>380</v>
      </c>
      <c r="B71" s="493">
        <v>50000</v>
      </c>
      <c r="C71" s="493">
        <v>-20564</v>
      </c>
      <c r="D71" s="493">
        <v>35282</v>
      </c>
      <c r="E71" s="493"/>
    </row>
    <row r="72" spans="1:5" x14ac:dyDescent="0.35">
      <c r="A72" s="490" t="s">
        <v>482</v>
      </c>
      <c r="B72" s="493">
        <v>360000</v>
      </c>
      <c r="C72" s="493">
        <v>383208.86</v>
      </c>
      <c r="D72" s="493">
        <v>0.48999999999068677</v>
      </c>
      <c r="E72" s="493"/>
    </row>
    <row r="73" spans="1:5" x14ac:dyDescent="0.35">
      <c r="A73" s="490" t="s">
        <v>46</v>
      </c>
      <c r="B73" s="493">
        <v>550028</v>
      </c>
      <c r="C73" s="493">
        <v>550028</v>
      </c>
      <c r="D73" s="493">
        <v>0</v>
      </c>
      <c r="E73" s="493"/>
    </row>
    <row r="74" spans="1:5" x14ac:dyDescent="0.35">
      <c r="A74" s="490" t="s">
        <v>119</v>
      </c>
      <c r="B74" s="493">
        <v>611501</v>
      </c>
      <c r="C74" s="493">
        <v>-15484.445999999996</v>
      </c>
      <c r="D74" s="493">
        <v>397987.68599999999</v>
      </c>
      <c r="E74" s="493"/>
    </row>
    <row r="75" spans="1:5" x14ac:dyDescent="0.35">
      <c r="A75" s="490" t="s">
        <v>424</v>
      </c>
      <c r="B75" s="493">
        <v>1653455</v>
      </c>
      <c r="C75" s="493">
        <v>1763912.1120000002</v>
      </c>
      <c r="D75" s="493">
        <v>-2944.661999999988</v>
      </c>
      <c r="E75" s="493"/>
    </row>
    <row r="76" spans="1:5" x14ac:dyDescent="0.35">
      <c r="A76" s="490" t="s">
        <v>479</v>
      </c>
      <c r="B76" s="493">
        <v>1022000</v>
      </c>
      <c r="C76" s="493">
        <v>1007214.5399999999</v>
      </c>
      <c r="D76" s="493">
        <v>13551.230000000098</v>
      </c>
      <c r="E76" s="493"/>
    </row>
    <row r="77" spans="1:5" x14ac:dyDescent="0.35">
      <c r="A77" s="490" t="s">
        <v>135</v>
      </c>
      <c r="B77" s="493">
        <v>10024917</v>
      </c>
      <c r="C77" s="493">
        <v>7524212.1440000013</v>
      </c>
      <c r="D77" s="493">
        <v>1101387.0109999995</v>
      </c>
      <c r="E77" s="493"/>
    </row>
    <row r="78" spans="1:5" x14ac:dyDescent="0.35">
      <c r="A78" s="490" t="s">
        <v>383</v>
      </c>
      <c r="B78" s="493">
        <v>200211</v>
      </c>
      <c r="C78" s="493">
        <v>198214.59999999998</v>
      </c>
      <c r="D78" s="493">
        <v>998.20000000001164</v>
      </c>
      <c r="E78" s="493"/>
    </row>
    <row r="79" spans="1:5" x14ac:dyDescent="0.35">
      <c r="A79" s="490" t="s">
        <v>110</v>
      </c>
      <c r="B79" s="493">
        <v>2399560</v>
      </c>
      <c r="C79" s="493">
        <v>640624.36049999984</v>
      </c>
      <c r="D79" s="493">
        <v>729420.49375000002</v>
      </c>
      <c r="E79" s="493"/>
    </row>
    <row r="80" spans="1:5" x14ac:dyDescent="0.35">
      <c r="A80" s="490" t="s">
        <v>89</v>
      </c>
      <c r="B80" s="493">
        <v>694710</v>
      </c>
      <c r="C80" s="493">
        <v>-555768</v>
      </c>
      <c r="D80" s="493">
        <v>555768</v>
      </c>
      <c r="E80" s="493"/>
    </row>
    <row r="81" spans="1:5" x14ac:dyDescent="0.35">
      <c r="A81" s="490" t="s">
        <v>104</v>
      </c>
      <c r="B81" s="493">
        <v>4816800</v>
      </c>
      <c r="C81" s="493">
        <v>3545144.699</v>
      </c>
      <c r="D81" s="493">
        <v>0</v>
      </c>
      <c r="E81" s="493"/>
    </row>
    <row r="82" spans="1:5" x14ac:dyDescent="0.35">
      <c r="A82" s="490" t="s">
        <v>81</v>
      </c>
      <c r="B82" s="493">
        <v>94458414</v>
      </c>
      <c r="C82" s="493">
        <v>84012206.498166859</v>
      </c>
      <c r="D82" s="493">
        <v>5351489.8592499923</v>
      </c>
      <c r="E82" s="493"/>
    </row>
    <row r="83" spans="1:5" x14ac:dyDescent="0.35">
      <c r="A83" s="490" t="s">
        <v>106</v>
      </c>
      <c r="B83" s="493">
        <v>2026663</v>
      </c>
      <c r="C83" s="493">
        <v>2242467.2800000003</v>
      </c>
      <c r="D83" s="493">
        <v>11289.069999999896</v>
      </c>
      <c r="E83" s="493"/>
    </row>
    <row r="84" spans="1:5" x14ac:dyDescent="0.35">
      <c r="A84" s="490" t="s">
        <v>565</v>
      </c>
      <c r="B84" s="493">
        <v>887069</v>
      </c>
      <c r="C84" s="493">
        <v>-635237.91</v>
      </c>
      <c r="D84" s="493">
        <v>766350.5</v>
      </c>
      <c r="E84" s="493"/>
    </row>
    <row r="85" spans="1:5" x14ac:dyDescent="0.35">
      <c r="A85" s="490" t="s">
        <v>362</v>
      </c>
      <c r="B85" s="493">
        <v>9192788</v>
      </c>
      <c r="C85" s="493">
        <v>9132865.6199999992</v>
      </c>
      <c r="D85" s="493">
        <v>39941.189999999711</v>
      </c>
      <c r="E85" s="493"/>
    </row>
    <row r="86" spans="1:5" x14ac:dyDescent="0.35">
      <c r="A86" s="490" t="s">
        <v>394</v>
      </c>
      <c r="B86" s="493">
        <v>20000</v>
      </c>
      <c r="C86" s="493">
        <v>-20000</v>
      </c>
      <c r="D86" s="493">
        <v>20000</v>
      </c>
      <c r="E86" s="493"/>
    </row>
    <row r="87" spans="1:5" x14ac:dyDescent="0.35">
      <c r="A87" s="490" t="s">
        <v>473</v>
      </c>
      <c r="B87" s="493">
        <v>2630114</v>
      </c>
      <c r="C87" s="493">
        <v>2286255.09</v>
      </c>
      <c r="D87" s="493">
        <v>1000</v>
      </c>
      <c r="E87" s="493"/>
    </row>
    <row r="88" spans="1:5" x14ac:dyDescent="0.35">
      <c r="A88" s="490" t="s">
        <v>443</v>
      </c>
      <c r="B88" s="493">
        <v>314495</v>
      </c>
      <c r="C88" s="493">
        <v>180915.00199999998</v>
      </c>
      <c r="D88" s="493">
        <v>64555.637999999992</v>
      </c>
      <c r="E88" s="493"/>
    </row>
    <row r="89" spans="1:5" x14ac:dyDescent="0.35">
      <c r="A89" s="490" t="s">
        <v>137</v>
      </c>
      <c r="B89" s="493">
        <v>295592</v>
      </c>
      <c r="C89" s="493">
        <v>10645.303999999996</v>
      </c>
      <c r="D89" s="493">
        <v>121246.97600000001</v>
      </c>
      <c r="E89" s="493"/>
    </row>
    <row r="90" spans="1:5" x14ac:dyDescent="0.35">
      <c r="A90" s="490" t="s">
        <v>142</v>
      </c>
      <c r="B90" s="493">
        <v>1009055</v>
      </c>
      <c r="C90" s="493">
        <v>557295.90799999994</v>
      </c>
      <c r="D90" s="493">
        <v>155516.47200000001</v>
      </c>
      <c r="E90" s="493"/>
    </row>
    <row r="91" spans="1:5" x14ac:dyDescent="0.35">
      <c r="A91" s="490" t="s">
        <v>622</v>
      </c>
      <c r="B91" s="493">
        <v>172400</v>
      </c>
      <c r="C91" s="493">
        <v>172400</v>
      </c>
      <c r="D91" s="493">
        <v>0</v>
      </c>
      <c r="E91" s="493"/>
    </row>
    <row r="92" spans="1:5" x14ac:dyDescent="0.35">
      <c r="A92" s="490" t="s">
        <v>21</v>
      </c>
      <c r="B92" s="493">
        <v>1929837</v>
      </c>
      <c r="C92" s="493">
        <v>212836.39200000011</v>
      </c>
      <c r="D92" s="493">
        <v>538928.04800000007</v>
      </c>
      <c r="E92" s="493"/>
    </row>
    <row r="93" spans="1:5" x14ac:dyDescent="0.35">
      <c r="A93" s="490" t="s">
        <v>132</v>
      </c>
      <c r="B93" s="493">
        <v>15165927</v>
      </c>
      <c r="C93" s="493">
        <v>14216979.601</v>
      </c>
      <c r="D93" s="493">
        <v>346063.5004999995</v>
      </c>
      <c r="E93" s="493"/>
    </row>
    <row r="94" spans="1:5" x14ac:dyDescent="0.35">
      <c r="A94" s="490" t="s">
        <v>59</v>
      </c>
      <c r="B94" s="493">
        <v>2801253</v>
      </c>
      <c r="C94" s="493">
        <v>1770382.8420000002</v>
      </c>
      <c r="D94" s="493">
        <v>391486.74800000002</v>
      </c>
      <c r="E94" s="493"/>
    </row>
    <row r="95" spans="1:5" x14ac:dyDescent="0.35">
      <c r="A95" s="490" t="s">
        <v>25</v>
      </c>
      <c r="B95" s="493">
        <v>4034063</v>
      </c>
      <c r="C95" s="493">
        <v>3412697.0659999996</v>
      </c>
      <c r="D95" s="493">
        <v>45758.944000000265</v>
      </c>
      <c r="E95" s="493"/>
    </row>
    <row r="96" spans="1:5" x14ac:dyDescent="0.35">
      <c r="A96" s="490" t="s">
        <v>551</v>
      </c>
      <c r="B96" s="493">
        <v>80825600</v>
      </c>
      <c r="C96" s="493">
        <v>73990302.626666665</v>
      </c>
      <c r="D96" s="493">
        <v>3296148.6866666637</v>
      </c>
      <c r="E96" s="493"/>
    </row>
    <row r="97" spans="1:5" x14ac:dyDescent="0.35">
      <c r="A97" s="490" t="s">
        <v>573</v>
      </c>
      <c r="B97" s="493">
        <v>16456570</v>
      </c>
      <c r="C97" s="493">
        <v>16189555.700000001</v>
      </c>
      <c r="D97" s="493">
        <v>4750.4000000003725</v>
      </c>
      <c r="E97" s="493"/>
    </row>
    <row r="98" spans="1:5" x14ac:dyDescent="0.35">
      <c r="A98" s="490" t="s">
        <v>51</v>
      </c>
      <c r="B98" s="493">
        <v>777324</v>
      </c>
      <c r="C98" s="493">
        <v>562272.86400000006</v>
      </c>
      <c r="D98" s="493">
        <v>54182.145999999986</v>
      </c>
      <c r="E98" s="493"/>
    </row>
    <row r="99" spans="1:5" x14ac:dyDescent="0.35">
      <c r="A99" s="490" t="s">
        <v>95</v>
      </c>
      <c r="B99" s="493">
        <v>2080385</v>
      </c>
      <c r="C99" s="493">
        <v>1956377.8799999976</v>
      </c>
      <c r="D99" s="493">
        <v>26685.260000001312</v>
      </c>
      <c r="E99" s="493"/>
    </row>
    <row r="100" spans="1:5" x14ac:dyDescent="0.35">
      <c r="A100" s="490" t="s">
        <v>202</v>
      </c>
      <c r="B100" s="493">
        <v>9725515</v>
      </c>
      <c r="C100" s="493">
        <v>8709071.5199999996</v>
      </c>
      <c r="D100" s="493">
        <v>486493.65000000037</v>
      </c>
      <c r="E100" s="493"/>
    </row>
    <row r="101" spans="1:5" x14ac:dyDescent="0.35">
      <c r="A101" s="490" t="s">
        <v>466</v>
      </c>
      <c r="B101" s="493">
        <v>319000</v>
      </c>
      <c r="C101" s="493">
        <v>-319000</v>
      </c>
      <c r="D101" s="493">
        <v>319000</v>
      </c>
      <c r="E101" s="493"/>
    </row>
    <row r="102" spans="1:5" x14ac:dyDescent="0.35">
      <c r="A102" s="490" t="s">
        <v>459</v>
      </c>
      <c r="B102" s="493">
        <v>4000</v>
      </c>
      <c r="C102" s="493">
        <v>-3200</v>
      </c>
      <c r="D102" s="493">
        <v>3200</v>
      </c>
      <c r="E102" s="493"/>
    </row>
    <row r="103" spans="1:5" x14ac:dyDescent="0.35">
      <c r="A103" s="490" t="s">
        <v>392</v>
      </c>
      <c r="B103" s="493">
        <v>26000</v>
      </c>
      <c r="C103" s="493">
        <v>-15952</v>
      </c>
      <c r="D103" s="493">
        <v>20976</v>
      </c>
      <c r="E103" s="493"/>
    </row>
    <row r="104" spans="1:5" x14ac:dyDescent="0.35">
      <c r="A104" s="490" t="s">
        <v>408</v>
      </c>
      <c r="B104" s="493">
        <v>4691229</v>
      </c>
      <c r="C104" s="493">
        <v>5548061.6299999999</v>
      </c>
      <c r="D104" s="493">
        <v>0.60999999986961484</v>
      </c>
      <c r="E104" s="493"/>
    </row>
    <row r="105" spans="1:5" x14ac:dyDescent="0.35">
      <c r="A105" s="490" t="s">
        <v>27</v>
      </c>
      <c r="B105" s="493">
        <v>2475872</v>
      </c>
      <c r="C105" s="493">
        <v>679738.08</v>
      </c>
      <c r="D105" s="493">
        <v>754143.22</v>
      </c>
      <c r="E105" s="493"/>
    </row>
    <row r="106" spans="1:5" x14ac:dyDescent="0.35">
      <c r="A106" s="490" t="s">
        <v>367</v>
      </c>
      <c r="B106" s="493">
        <v>1080475</v>
      </c>
      <c r="C106" s="493">
        <v>977021.75999999989</v>
      </c>
      <c r="D106" s="493">
        <v>76190.370000000083</v>
      </c>
      <c r="E106" s="493"/>
    </row>
    <row r="107" spans="1:5" ht="15" thickBot="1" x14ac:dyDescent="0.4">
      <c r="A107" s="492" t="s">
        <v>719</v>
      </c>
      <c r="B107" s="495">
        <v>579850000</v>
      </c>
      <c r="C107" s="495">
        <v>549338348.94373345</v>
      </c>
      <c r="D107" s="495">
        <v>29224243.171466652</v>
      </c>
      <c r="E107" s="495">
        <v>26381942.93</v>
      </c>
    </row>
    <row r="108" spans="1:5" ht="15" thickTop="1" x14ac:dyDescent="0.35"/>
    <row r="109" spans="1:5" x14ac:dyDescent="0.35">
      <c r="A109" s="264" t="s">
        <v>1227</v>
      </c>
    </row>
    <row r="110" spans="1:5" x14ac:dyDescent="0.35">
      <c r="C110" s="183">
        <f>GETPIVOTDATA("Sum of Budget 10-Dec-2022",$A$23)-GETPIVOTDATA("Sum of Forecast 10-Dec-2022",$A$23)</f>
        <v>30511651.056266546</v>
      </c>
    </row>
    <row r="111" spans="1:5" x14ac:dyDescent="0.35">
      <c r="C111" s="480">
        <f>GETPIVOTDATA("Sum of Forecast 10-Dec-2022",$A$23)/GETPIVOTDATA("Sum of Budget 10-Dec-2022",$A$23)</f>
        <v>0.94738009647966448</v>
      </c>
    </row>
    <row r="114" spans="6:6" x14ac:dyDescent="0.35">
      <c r="F114">
        <f>83-24</f>
        <v>59</v>
      </c>
    </row>
  </sheetData>
  <pageMargins left="0.7" right="0.7" top="0.75" bottom="0.75" header="0.3" footer="0.3"/>
  <pageSetup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20"/>
  <sheetViews>
    <sheetView topLeftCell="A483" workbookViewId="0">
      <selection activeCell="B508" sqref="B508"/>
    </sheetView>
  </sheetViews>
  <sheetFormatPr defaultRowHeight="14.5" x14ac:dyDescent="0.35"/>
  <cols>
    <col min="1" max="1" width="39.7265625" customWidth="1"/>
    <col min="2" max="3" width="14.6328125" customWidth="1"/>
    <col min="4" max="5" width="14.6328125" bestFit="1" customWidth="1"/>
  </cols>
  <sheetData>
    <row r="1" spans="1:2" x14ac:dyDescent="0.35">
      <c r="A1" s="178" t="s">
        <v>1205</v>
      </c>
      <c r="B1" t="s">
        <v>1226</v>
      </c>
    </row>
    <row r="2" spans="1:2" x14ac:dyDescent="0.35">
      <c r="A2" s="264" t="s">
        <v>22</v>
      </c>
      <c r="B2" s="553"/>
    </row>
    <row r="3" spans="1:2" x14ac:dyDescent="0.35">
      <c r="A3" s="264" t="s">
        <v>24</v>
      </c>
      <c r="B3" s="553"/>
    </row>
    <row r="4" spans="1:2" x14ac:dyDescent="0.35">
      <c r="A4" s="264" t="s">
        <v>26</v>
      </c>
      <c r="B4" s="553"/>
    </row>
    <row r="5" spans="1:2" x14ac:dyDescent="0.35">
      <c r="A5" s="264" t="s">
        <v>28</v>
      </c>
      <c r="B5" s="553"/>
    </row>
    <row r="6" spans="1:2" x14ac:dyDescent="0.35">
      <c r="A6" s="264" t="s">
        <v>30</v>
      </c>
      <c r="B6" s="553"/>
    </row>
    <row r="7" spans="1:2" x14ac:dyDescent="0.35">
      <c r="A7" s="264" t="s">
        <v>32</v>
      </c>
      <c r="B7" s="553"/>
    </row>
    <row r="8" spans="1:2" x14ac:dyDescent="0.35">
      <c r="A8" s="264" t="s">
        <v>34</v>
      </c>
      <c r="B8" s="553"/>
    </row>
    <row r="9" spans="1:2" x14ac:dyDescent="0.35">
      <c r="A9" s="264" t="s">
        <v>36</v>
      </c>
      <c r="B9" s="553"/>
    </row>
    <row r="10" spans="1:2" x14ac:dyDescent="0.35">
      <c r="A10" s="264" t="s">
        <v>38</v>
      </c>
      <c r="B10" s="553"/>
    </row>
    <row r="11" spans="1:2" x14ac:dyDescent="0.35">
      <c r="A11" s="264" t="s">
        <v>40</v>
      </c>
      <c r="B11" s="553"/>
    </row>
    <row r="12" spans="1:2" x14ac:dyDescent="0.35">
      <c r="A12" s="264" t="s">
        <v>42</v>
      </c>
      <c r="B12" s="553"/>
    </row>
    <row r="13" spans="1:2" x14ac:dyDescent="0.35">
      <c r="A13" s="264" t="s">
        <v>44</v>
      </c>
      <c r="B13" s="553"/>
    </row>
    <row r="14" spans="1:2" x14ac:dyDescent="0.35">
      <c r="A14" s="264" t="s">
        <v>47</v>
      </c>
      <c r="B14" s="553"/>
    </row>
    <row r="15" spans="1:2" x14ac:dyDescent="0.35">
      <c r="A15" s="264" t="s">
        <v>49</v>
      </c>
      <c r="B15" s="553"/>
    </row>
    <row r="16" spans="1:2" x14ac:dyDescent="0.35">
      <c r="A16" s="264" t="s">
        <v>50</v>
      </c>
      <c r="B16" s="553"/>
    </row>
    <row r="17" spans="1:2" x14ac:dyDescent="0.35">
      <c r="A17" s="264" t="s">
        <v>52</v>
      </c>
      <c r="B17" s="553"/>
    </row>
    <row r="18" spans="1:2" x14ac:dyDescent="0.35">
      <c r="A18" s="264" t="s">
        <v>53</v>
      </c>
      <c r="B18" s="553"/>
    </row>
    <row r="19" spans="1:2" x14ac:dyDescent="0.35">
      <c r="A19" s="264" t="s">
        <v>56</v>
      </c>
      <c r="B19" s="553"/>
    </row>
    <row r="20" spans="1:2" x14ac:dyDescent="0.35">
      <c r="A20" s="264" t="s">
        <v>57</v>
      </c>
      <c r="B20" s="553"/>
    </row>
    <row r="21" spans="1:2" x14ac:dyDescent="0.35">
      <c r="A21" s="264" t="s">
        <v>58</v>
      </c>
      <c r="B21" s="553"/>
    </row>
    <row r="22" spans="1:2" x14ac:dyDescent="0.35">
      <c r="A22" s="264" t="s">
        <v>60</v>
      </c>
      <c r="B22" s="553"/>
    </row>
    <row r="23" spans="1:2" x14ac:dyDescent="0.35">
      <c r="A23" s="264" t="s">
        <v>62</v>
      </c>
      <c r="B23" s="553"/>
    </row>
    <row r="24" spans="1:2" x14ac:dyDescent="0.35">
      <c r="A24" s="264" t="s">
        <v>64</v>
      </c>
      <c r="B24" s="553"/>
    </row>
    <row r="25" spans="1:2" x14ac:dyDescent="0.35">
      <c r="A25" s="264" t="s">
        <v>65</v>
      </c>
      <c r="B25" s="553"/>
    </row>
    <row r="26" spans="1:2" x14ac:dyDescent="0.35">
      <c r="A26" s="264" t="s">
        <v>67</v>
      </c>
      <c r="B26" s="553"/>
    </row>
    <row r="27" spans="1:2" x14ac:dyDescent="0.35">
      <c r="A27" s="264" t="s">
        <v>69</v>
      </c>
      <c r="B27" s="553"/>
    </row>
    <row r="28" spans="1:2" x14ac:dyDescent="0.35">
      <c r="A28" s="264" t="s">
        <v>71</v>
      </c>
      <c r="B28" s="553"/>
    </row>
    <row r="29" spans="1:2" x14ac:dyDescent="0.35">
      <c r="A29" s="264" t="s">
        <v>910</v>
      </c>
      <c r="B29" s="553"/>
    </row>
    <row r="30" spans="1:2" x14ac:dyDescent="0.35">
      <c r="A30" s="264" t="s">
        <v>73</v>
      </c>
      <c r="B30" s="553"/>
    </row>
    <row r="31" spans="1:2" x14ac:dyDescent="0.35">
      <c r="A31" s="264" t="s">
        <v>75</v>
      </c>
      <c r="B31" s="553"/>
    </row>
    <row r="32" spans="1:2" x14ac:dyDescent="0.35">
      <c r="A32" s="264" t="s">
        <v>76</v>
      </c>
      <c r="B32" s="553"/>
    </row>
    <row r="33" spans="1:2" x14ac:dyDescent="0.35">
      <c r="A33" s="264" t="s">
        <v>77</v>
      </c>
      <c r="B33" s="553"/>
    </row>
    <row r="34" spans="1:2" x14ac:dyDescent="0.35">
      <c r="A34" s="264" t="s">
        <v>78</v>
      </c>
      <c r="B34" s="553"/>
    </row>
    <row r="35" spans="1:2" x14ac:dyDescent="0.35">
      <c r="A35" s="264" t="s">
        <v>80</v>
      </c>
      <c r="B35" s="553"/>
    </row>
    <row r="36" spans="1:2" x14ac:dyDescent="0.35">
      <c r="A36" s="264" t="s">
        <v>82</v>
      </c>
      <c r="B36" s="553"/>
    </row>
    <row r="37" spans="1:2" x14ac:dyDescent="0.35">
      <c r="A37" s="264" t="s">
        <v>84</v>
      </c>
      <c r="B37" s="553"/>
    </row>
    <row r="38" spans="1:2" x14ac:dyDescent="0.35">
      <c r="A38" s="264" t="s">
        <v>85</v>
      </c>
      <c r="B38" s="553"/>
    </row>
    <row r="39" spans="1:2" x14ac:dyDescent="0.35">
      <c r="A39" s="264" t="s">
        <v>86</v>
      </c>
      <c r="B39" s="553"/>
    </row>
    <row r="40" spans="1:2" x14ac:dyDescent="0.35">
      <c r="A40" s="264" t="s">
        <v>87</v>
      </c>
      <c r="B40" s="553"/>
    </row>
    <row r="41" spans="1:2" x14ac:dyDescent="0.35">
      <c r="A41" s="264" t="s">
        <v>88</v>
      </c>
      <c r="B41" s="553"/>
    </row>
    <row r="42" spans="1:2" x14ac:dyDescent="0.35">
      <c r="A42" s="264" t="s">
        <v>90</v>
      </c>
      <c r="B42" s="553"/>
    </row>
    <row r="43" spans="1:2" x14ac:dyDescent="0.35">
      <c r="A43" s="264" t="s">
        <v>91</v>
      </c>
      <c r="B43" s="553"/>
    </row>
    <row r="44" spans="1:2" x14ac:dyDescent="0.35">
      <c r="A44" s="264" t="s">
        <v>92</v>
      </c>
      <c r="B44" s="553"/>
    </row>
    <row r="45" spans="1:2" x14ac:dyDescent="0.35">
      <c r="A45" s="264" t="s">
        <v>93</v>
      </c>
      <c r="B45" s="553"/>
    </row>
    <row r="46" spans="1:2" x14ac:dyDescent="0.35">
      <c r="A46" s="264" t="s">
        <v>94</v>
      </c>
      <c r="B46" s="553"/>
    </row>
    <row r="47" spans="1:2" x14ac:dyDescent="0.35">
      <c r="A47" s="264" t="s">
        <v>96</v>
      </c>
      <c r="B47" s="553"/>
    </row>
    <row r="48" spans="1:2" x14ac:dyDescent="0.35">
      <c r="A48" s="264" t="s">
        <v>98</v>
      </c>
      <c r="B48" s="553"/>
    </row>
    <row r="49" spans="1:2" x14ac:dyDescent="0.35">
      <c r="A49" s="264" t="s">
        <v>99</v>
      </c>
      <c r="B49" s="553"/>
    </row>
    <row r="50" spans="1:2" x14ac:dyDescent="0.35">
      <c r="A50" s="264" t="s">
        <v>100</v>
      </c>
      <c r="B50" s="553"/>
    </row>
    <row r="51" spans="1:2" x14ac:dyDescent="0.35">
      <c r="A51" s="264" t="s">
        <v>101</v>
      </c>
      <c r="B51" s="553"/>
    </row>
    <row r="52" spans="1:2" x14ac:dyDescent="0.35">
      <c r="A52" s="264" t="s">
        <v>103</v>
      </c>
      <c r="B52" s="553"/>
    </row>
    <row r="53" spans="1:2" x14ac:dyDescent="0.35">
      <c r="A53" s="264" t="s">
        <v>105</v>
      </c>
      <c r="B53" s="553"/>
    </row>
    <row r="54" spans="1:2" x14ac:dyDescent="0.35">
      <c r="A54" s="264" t="s">
        <v>107</v>
      </c>
      <c r="B54" s="553"/>
    </row>
    <row r="55" spans="1:2" x14ac:dyDescent="0.35">
      <c r="A55" s="264" t="s">
        <v>109</v>
      </c>
      <c r="B55" s="553">
        <v>700000</v>
      </c>
    </row>
    <row r="56" spans="1:2" x14ac:dyDescent="0.35">
      <c r="A56" s="264" t="s">
        <v>111</v>
      </c>
      <c r="B56" s="553"/>
    </row>
    <row r="57" spans="1:2" x14ac:dyDescent="0.35">
      <c r="A57" s="264" t="s">
        <v>113</v>
      </c>
      <c r="B57" s="553"/>
    </row>
    <row r="58" spans="1:2" x14ac:dyDescent="0.35">
      <c r="A58" s="264" t="s">
        <v>114</v>
      </c>
      <c r="B58" s="553"/>
    </row>
    <row r="59" spans="1:2" x14ac:dyDescent="0.35">
      <c r="A59" s="264" t="s">
        <v>115</v>
      </c>
      <c r="B59" s="553"/>
    </row>
    <row r="60" spans="1:2" x14ac:dyDescent="0.35">
      <c r="A60" s="264" t="s">
        <v>116</v>
      </c>
      <c r="B60" s="553"/>
    </row>
    <row r="61" spans="1:2" x14ac:dyDescent="0.35">
      <c r="A61" s="264" t="s">
        <v>117</v>
      </c>
      <c r="B61" s="553"/>
    </row>
    <row r="62" spans="1:2" x14ac:dyDescent="0.35">
      <c r="A62" s="264" t="s">
        <v>120</v>
      </c>
      <c r="B62" s="553"/>
    </row>
    <row r="63" spans="1:2" x14ac:dyDescent="0.35">
      <c r="A63" s="264" t="s">
        <v>122</v>
      </c>
      <c r="B63" s="553"/>
    </row>
    <row r="64" spans="1:2" x14ac:dyDescent="0.35">
      <c r="A64" s="264" t="s">
        <v>123</v>
      </c>
      <c r="B64" s="553"/>
    </row>
    <row r="65" spans="1:2" x14ac:dyDescent="0.35">
      <c r="A65" s="264" t="s">
        <v>124</v>
      </c>
      <c r="B65" s="553"/>
    </row>
    <row r="66" spans="1:2" x14ac:dyDescent="0.35">
      <c r="A66" s="264" t="s">
        <v>125</v>
      </c>
      <c r="B66" s="553"/>
    </row>
    <row r="67" spans="1:2" x14ac:dyDescent="0.35">
      <c r="A67" s="264" t="s">
        <v>126</v>
      </c>
      <c r="B67" s="553"/>
    </row>
    <row r="68" spans="1:2" x14ac:dyDescent="0.35">
      <c r="A68" s="264" t="s">
        <v>127</v>
      </c>
      <c r="B68" s="553"/>
    </row>
    <row r="69" spans="1:2" x14ac:dyDescent="0.35">
      <c r="A69" s="264" t="s">
        <v>128</v>
      </c>
      <c r="B69" s="553"/>
    </row>
    <row r="70" spans="1:2" x14ac:dyDescent="0.35">
      <c r="A70" s="264" t="s">
        <v>129</v>
      </c>
      <c r="B70" s="553"/>
    </row>
    <row r="71" spans="1:2" x14ac:dyDescent="0.35">
      <c r="A71" s="264" t="s">
        <v>130</v>
      </c>
      <c r="B71" s="553"/>
    </row>
    <row r="72" spans="1:2" x14ac:dyDescent="0.35">
      <c r="A72" s="264" t="s">
        <v>131</v>
      </c>
      <c r="B72" s="553"/>
    </row>
    <row r="73" spans="1:2" x14ac:dyDescent="0.35">
      <c r="A73" s="264" t="s">
        <v>133</v>
      </c>
      <c r="B73" s="553"/>
    </row>
    <row r="74" spans="1:2" x14ac:dyDescent="0.35">
      <c r="A74" s="264" t="s">
        <v>134</v>
      </c>
      <c r="B74" s="553"/>
    </row>
    <row r="75" spans="1:2" x14ac:dyDescent="0.35">
      <c r="A75" s="264" t="s">
        <v>136</v>
      </c>
      <c r="B75" s="553"/>
    </row>
    <row r="76" spans="1:2" x14ac:dyDescent="0.35">
      <c r="A76" s="264" t="s">
        <v>138</v>
      </c>
      <c r="B76" s="553"/>
    </row>
    <row r="77" spans="1:2" x14ac:dyDescent="0.35">
      <c r="A77" s="264" t="s">
        <v>140</v>
      </c>
      <c r="B77" s="553"/>
    </row>
    <row r="78" spans="1:2" x14ac:dyDescent="0.35">
      <c r="A78" s="264" t="s">
        <v>141</v>
      </c>
      <c r="B78" s="553"/>
    </row>
    <row r="79" spans="1:2" x14ac:dyDescent="0.35">
      <c r="A79" s="264" t="s">
        <v>143</v>
      </c>
      <c r="B79" s="553"/>
    </row>
    <row r="80" spans="1:2" x14ac:dyDescent="0.35">
      <c r="A80" s="264" t="s">
        <v>144</v>
      </c>
      <c r="B80" s="553"/>
    </row>
    <row r="81" spans="1:2" x14ac:dyDescent="0.35">
      <c r="A81" s="264" t="s">
        <v>145</v>
      </c>
      <c r="B81" s="553"/>
    </row>
    <row r="82" spans="1:2" x14ac:dyDescent="0.35">
      <c r="A82" s="264" t="s">
        <v>146</v>
      </c>
      <c r="B82" s="553"/>
    </row>
    <row r="83" spans="1:2" x14ac:dyDescent="0.35">
      <c r="A83" s="264" t="s">
        <v>147</v>
      </c>
      <c r="B83" s="553"/>
    </row>
    <row r="84" spans="1:2" x14ac:dyDescent="0.35">
      <c r="A84" s="264" t="s">
        <v>148</v>
      </c>
      <c r="B84" s="553"/>
    </row>
    <row r="85" spans="1:2" x14ac:dyDescent="0.35">
      <c r="A85" s="264" t="s">
        <v>149</v>
      </c>
      <c r="B85" s="553"/>
    </row>
    <row r="86" spans="1:2" x14ac:dyDescent="0.35">
      <c r="A86" s="264" t="s">
        <v>912</v>
      </c>
      <c r="B86" s="553"/>
    </row>
    <row r="87" spans="1:2" x14ac:dyDescent="0.35">
      <c r="A87" s="264" t="s">
        <v>150</v>
      </c>
      <c r="B87" s="553"/>
    </row>
    <row r="88" spans="1:2" x14ac:dyDescent="0.35">
      <c r="A88" s="264" t="s">
        <v>151</v>
      </c>
      <c r="B88" s="553"/>
    </row>
    <row r="89" spans="1:2" x14ac:dyDescent="0.35">
      <c r="A89" s="264" t="s">
        <v>152</v>
      </c>
      <c r="B89" s="553"/>
    </row>
    <row r="90" spans="1:2" x14ac:dyDescent="0.35">
      <c r="A90" s="264" t="s">
        <v>153</v>
      </c>
      <c r="B90" s="553"/>
    </row>
    <row r="91" spans="1:2" x14ac:dyDescent="0.35">
      <c r="A91" s="264" t="s">
        <v>155</v>
      </c>
      <c r="B91" s="553"/>
    </row>
    <row r="92" spans="1:2" x14ac:dyDescent="0.35">
      <c r="A92" s="264" t="s">
        <v>156</v>
      </c>
      <c r="B92" s="553"/>
    </row>
    <row r="93" spans="1:2" x14ac:dyDescent="0.35">
      <c r="A93" s="264" t="s">
        <v>157</v>
      </c>
      <c r="B93" s="553"/>
    </row>
    <row r="94" spans="1:2" x14ac:dyDescent="0.35">
      <c r="A94" s="264" t="s">
        <v>158</v>
      </c>
      <c r="B94" s="553"/>
    </row>
    <row r="95" spans="1:2" x14ac:dyDescent="0.35">
      <c r="A95" s="264" t="s">
        <v>159</v>
      </c>
      <c r="B95" s="553"/>
    </row>
    <row r="96" spans="1:2" x14ac:dyDescent="0.35">
      <c r="A96" s="264" t="s">
        <v>160</v>
      </c>
      <c r="B96" s="553"/>
    </row>
    <row r="97" spans="1:2" x14ac:dyDescent="0.35">
      <c r="A97" s="264" t="s">
        <v>161</v>
      </c>
      <c r="B97" s="553"/>
    </row>
    <row r="98" spans="1:2" x14ac:dyDescent="0.35">
      <c r="A98" s="264" t="s">
        <v>162</v>
      </c>
      <c r="B98" s="553"/>
    </row>
    <row r="99" spans="1:2" x14ac:dyDescent="0.35">
      <c r="A99" s="264" t="s">
        <v>163</v>
      </c>
      <c r="B99" s="553"/>
    </row>
    <row r="100" spans="1:2" x14ac:dyDescent="0.35">
      <c r="A100" s="264" t="s">
        <v>164</v>
      </c>
      <c r="B100" s="553"/>
    </row>
    <row r="101" spans="1:2" x14ac:dyDescent="0.35">
      <c r="A101" s="264" t="s">
        <v>165</v>
      </c>
      <c r="B101" s="553"/>
    </row>
    <row r="102" spans="1:2" x14ac:dyDescent="0.35">
      <c r="A102" s="264" t="s">
        <v>166</v>
      </c>
      <c r="B102" s="553"/>
    </row>
    <row r="103" spans="1:2" x14ac:dyDescent="0.35">
      <c r="A103" s="264" t="s">
        <v>167</v>
      </c>
      <c r="B103" s="553"/>
    </row>
    <row r="104" spans="1:2" x14ac:dyDescent="0.35">
      <c r="A104" s="264" t="s">
        <v>169</v>
      </c>
      <c r="B104" s="553"/>
    </row>
    <row r="105" spans="1:2" x14ac:dyDescent="0.35">
      <c r="A105" s="264" t="s">
        <v>170</v>
      </c>
      <c r="B105" s="553"/>
    </row>
    <row r="106" spans="1:2" x14ac:dyDescent="0.35">
      <c r="A106" s="264" t="s">
        <v>171</v>
      </c>
      <c r="B106" s="553"/>
    </row>
    <row r="107" spans="1:2" x14ac:dyDescent="0.35">
      <c r="A107" s="264" t="s">
        <v>172</v>
      </c>
      <c r="B107" s="553"/>
    </row>
    <row r="108" spans="1:2" x14ac:dyDescent="0.35">
      <c r="A108" s="264" t="s">
        <v>173</v>
      </c>
      <c r="B108" s="553"/>
    </row>
    <row r="109" spans="1:2" x14ac:dyDescent="0.35">
      <c r="A109" s="264" t="s">
        <v>174</v>
      </c>
      <c r="B109" s="553"/>
    </row>
    <row r="110" spans="1:2" x14ac:dyDescent="0.35">
      <c r="A110" s="264" t="s">
        <v>175</v>
      </c>
      <c r="B110" s="553"/>
    </row>
    <row r="111" spans="1:2" x14ac:dyDescent="0.35">
      <c r="A111" s="264" t="s">
        <v>176</v>
      </c>
      <c r="B111" s="553"/>
    </row>
    <row r="112" spans="1:2" x14ac:dyDescent="0.35">
      <c r="A112" s="264" t="s">
        <v>177</v>
      </c>
      <c r="B112" s="553"/>
    </row>
    <row r="113" spans="1:2" x14ac:dyDescent="0.35">
      <c r="A113" s="264" t="s">
        <v>178</v>
      </c>
      <c r="B113" s="553"/>
    </row>
    <row r="114" spans="1:2" x14ac:dyDescent="0.35">
      <c r="A114" s="264" t="s">
        <v>179</v>
      </c>
      <c r="B114" s="553"/>
    </row>
    <row r="115" spans="1:2" x14ac:dyDescent="0.35">
      <c r="A115" s="264" t="s">
        <v>180</v>
      </c>
      <c r="B115" s="553"/>
    </row>
    <row r="116" spans="1:2" x14ac:dyDescent="0.35">
      <c r="A116" s="264" t="s">
        <v>182</v>
      </c>
      <c r="B116" s="553"/>
    </row>
    <row r="117" spans="1:2" x14ac:dyDescent="0.35">
      <c r="A117" s="264" t="s">
        <v>183</v>
      </c>
      <c r="B117" s="553"/>
    </row>
    <row r="118" spans="1:2" x14ac:dyDescent="0.35">
      <c r="A118" s="264" t="s">
        <v>184</v>
      </c>
      <c r="B118" s="553"/>
    </row>
    <row r="119" spans="1:2" x14ac:dyDescent="0.35">
      <c r="A119" s="264" t="s">
        <v>185</v>
      </c>
      <c r="B119" s="553"/>
    </row>
    <row r="120" spans="1:2" x14ac:dyDescent="0.35">
      <c r="A120" s="264" t="s">
        <v>186</v>
      </c>
      <c r="B120" s="553"/>
    </row>
    <row r="121" spans="1:2" x14ac:dyDescent="0.35">
      <c r="A121" s="264" t="s">
        <v>187</v>
      </c>
      <c r="B121" s="553"/>
    </row>
    <row r="122" spans="1:2" x14ac:dyDescent="0.35">
      <c r="A122" s="264" t="s">
        <v>188</v>
      </c>
      <c r="B122" s="553"/>
    </row>
    <row r="123" spans="1:2" x14ac:dyDescent="0.35">
      <c r="A123" s="264" t="s">
        <v>189</v>
      </c>
      <c r="B123" s="553"/>
    </row>
    <row r="124" spans="1:2" x14ac:dyDescent="0.35">
      <c r="A124" s="264" t="s">
        <v>190</v>
      </c>
      <c r="B124" s="553"/>
    </row>
    <row r="125" spans="1:2" x14ac:dyDescent="0.35">
      <c r="A125" s="264" t="s">
        <v>191</v>
      </c>
      <c r="B125" s="553"/>
    </row>
    <row r="126" spans="1:2" x14ac:dyDescent="0.35">
      <c r="A126" s="264" t="s">
        <v>193</v>
      </c>
      <c r="B126" s="553"/>
    </row>
    <row r="127" spans="1:2" x14ac:dyDescent="0.35">
      <c r="A127" s="264" t="s">
        <v>194</v>
      </c>
      <c r="B127" s="553"/>
    </row>
    <row r="128" spans="1:2" x14ac:dyDescent="0.35">
      <c r="A128" s="264" t="s">
        <v>195</v>
      </c>
      <c r="B128" s="553"/>
    </row>
    <row r="129" spans="1:2" x14ac:dyDescent="0.35">
      <c r="A129" s="264" t="s">
        <v>196</v>
      </c>
      <c r="B129" s="553"/>
    </row>
    <row r="130" spans="1:2" x14ac:dyDescent="0.35">
      <c r="A130" s="264" t="s">
        <v>197</v>
      </c>
      <c r="B130" s="553"/>
    </row>
    <row r="131" spans="1:2" x14ac:dyDescent="0.35">
      <c r="A131" s="264" t="s">
        <v>198</v>
      </c>
      <c r="B131" s="553"/>
    </row>
    <row r="132" spans="1:2" x14ac:dyDescent="0.35">
      <c r="A132" s="264" t="s">
        <v>199</v>
      </c>
      <c r="B132" s="553"/>
    </row>
    <row r="133" spans="1:2" x14ac:dyDescent="0.35">
      <c r="A133" s="264" t="s">
        <v>914</v>
      </c>
      <c r="B133" s="553"/>
    </row>
    <row r="134" spans="1:2" x14ac:dyDescent="0.35">
      <c r="A134" s="264" t="s">
        <v>200</v>
      </c>
      <c r="B134" s="553"/>
    </row>
    <row r="135" spans="1:2" x14ac:dyDescent="0.35">
      <c r="A135" s="264" t="s">
        <v>201</v>
      </c>
      <c r="B135" s="553"/>
    </row>
    <row r="136" spans="1:2" x14ac:dyDescent="0.35">
      <c r="A136" s="264" t="s">
        <v>203</v>
      </c>
      <c r="B136" s="553"/>
    </row>
    <row r="137" spans="1:2" x14ac:dyDescent="0.35">
      <c r="A137" s="264" t="s">
        <v>204</v>
      </c>
      <c r="B137" s="553"/>
    </row>
    <row r="138" spans="1:2" x14ac:dyDescent="0.35">
      <c r="A138" s="264" t="s">
        <v>205</v>
      </c>
      <c r="B138" s="553"/>
    </row>
    <row r="139" spans="1:2" x14ac:dyDescent="0.35">
      <c r="A139" s="264" t="s">
        <v>206</v>
      </c>
      <c r="B139" s="553"/>
    </row>
    <row r="140" spans="1:2" x14ac:dyDescent="0.35">
      <c r="A140" s="264" t="s">
        <v>208</v>
      </c>
      <c r="B140" s="553"/>
    </row>
    <row r="141" spans="1:2" x14ac:dyDescent="0.35">
      <c r="A141" s="264" t="s">
        <v>209</v>
      </c>
      <c r="B141" s="553"/>
    </row>
    <row r="142" spans="1:2" x14ac:dyDescent="0.35">
      <c r="A142" s="264" t="s">
        <v>210</v>
      </c>
      <c r="B142" s="553"/>
    </row>
    <row r="143" spans="1:2" x14ac:dyDescent="0.35">
      <c r="A143" s="264" t="s">
        <v>211</v>
      </c>
      <c r="B143" s="553"/>
    </row>
    <row r="144" spans="1:2" x14ac:dyDescent="0.35">
      <c r="A144" s="264" t="s">
        <v>212</v>
      </c>
      <c r="B144" s="553"/>
    </row>
    <row r="145" spans="1:2" x14ac:dyDescent="0.35">
      <c r="A145" s="264" t="s">
        <v>213</v>
      </c>
      <c r="B145" s="553"/>
    </row>
    <row r="146" spans="1:2" x14ac:dyDescent="0.35">
      <c r="A146" s="264" t="s">
        <v>214</v>
      </c>
      <c r="B146" s="553"/>
    </row>
    <row r="147" spans="1:2" x14ac:dyDescent="0.35">
      <c r="A147" s="264" t="s">
        <v>215</v>
      </c>
      <c r="B147" s="553"/>
    </row>
    <row r="148" spans="1:2" x14ac:dyDescent="0.35">
      <c r="A148" s="264" t="s">
        <v>216</v>
      </c>
      <c r="B148" s="553"/>
    </row>
    <row r="149" spans="1:2" x14ac:dyDescent="0.35">
      <c r="A149" s="264" t="s">
        <v>217</v>
      </c>
      <c r="B149" s="553"/>
    </row>
    <row r="150" spans="1:2" x14ac:dyDescent="0.35">
      <c r="A150" s="264" t="s">
        <v>218</v>
      </c>
      <c r="B150" s="553"/>
    </row>
    <row r="151" spans="1:2" x14ac:dyDescent="0.35">
      <c r="A151" s="264" t="s">
        <v>219</v>
      </c>
      <c r="B151" s="553"/>
    </row>
    <row r="152" spans="1:2" x14ac:dyDescent="0.35">
      <c r="A152" s="264" t="s">
        <v>221</v>
      </c>
      <c r="B152" s="553"/>
    </row>
    <row r="153" spans="1:2" x14ac:dyDescent="0.35">
      <c r="A153" s="264" t="s">
        <v>222</v>
      </c>
      <c r="B153" s="553"/>
    </row>
    <row r="154" spans="1:2" x14ac:dyDescent="0.35">
      <c r="A154" s="264" t="s">
        <v>225</v>
      </c>
      <c r="B154" s="553"/>
    </row>
    <row r="155" spans="1:2" x14ac:dyDescent="0.35">
      <c r="A155" s="264" t="s">
        <v>226</v>
      </c>
      <c r="B155" s="553"/>
    </row>
    <row r="156" spans="1:2" x14ac:dyDescent="0.35">
      <c r="A156" s="264" t="s">
        <v>227</v>
      </c>
      <c r="B156" s="553"/>
    </row>
    <row r="157" spans="1:2" x14ac:dyDescent="0.35">
      <c r="A157" s="264" t="s">
        <v>228</v>
      </c>
      <c r="B157" s="553"/>
    </row>
    <row r="158" spans="1:2" x14ac:dyDescent="0.35">
      <c r="A158" s="264" t="s">
        <v>229</v>
      </c>
      <c r="B158" s="553"/>
    </row>
    <row r="159" spans="1:2" x14ac:dyDescent="0.35">
      <c r="A159" s="264" t="s">
        <v>230</v>
      </c>
      <c r="B159" s="553"/>
    </row>
    <row r="160" spans="1:2" x14ac:dyDescent="0.35">
      <c r="A160" s="264" t="s">
        <v>231</v>
      </c>
      <c r="B160" s="553"/>
    </row>
    <row r="161" spans="1:2" x14ac:dyDescent="0.35">
      <c r="A161" s="264" t="s">
        <v>232</v>
      </c>
      <c r="B161" s="553"/>
    </row>
    <row r="162" spans="1:2" x14ac:dyDescent="0.35">
      <c r="A162" s="264" t="s">
        <v>233</v>
      </c>
      <c r="B162" s="553"/>
    </row>
    <row r="163" spans="1:2" x14ac:dyDescent="0.35">
      <c r="A163" s="264" t="s">
        <v>235</v>
      </c>
      <c r="B163" s="553"/>
    </row>
    <row r="164" spans="1:2" x14ac:dyDescent="0.35">
      <c r="A164" s="264" t="s">
        <v>236</v>
      </c>
      <c r="B164" s="553"/>
    </row>
    <row r="165" spans="1:2" x14ac:dyDescent="0.35">
      <c r="A165" s="264" t="s">
        <v>237</v>
      </c>
      <c r="B165" s="553"/>
    </row>
    <row r="166" spans="1:2" x14ac:dyDescent="0.35">
      <c r="A166" s="264" t="s">
        <v>238</v>
      </c>
      <c r="B166" s="553"/>
    </row>
    <row r="167" spans="1:2" x14ac:dyDescent="0.35">
      <c r="A167" s="264" t="s">
        <v>239</v>
      </c>
      <c r="B167" s="553"/>
    </row>
    <row r="168" spans="1:2" x14ac:dyDescent="0.35">
      <c r="A168" s="264" t="s">
        <v>240</v>
      </c>
      <c r="B168" s="553"/>
    </row>
    <row r="169" spans="1:2" x14ac:dyDescent="0.35">
      <c r="A169" s="264" t="s">
        <v>241</v>
      </c>
      <c r="B169" s="553"/>
    </row>
    <row r="170" spans="1:2" x14ac:dyDescent="0.35">
      <c r="A170" s="264" t="s">
        <v>242</v>
      </c>
      <c r="B170" s="553"/>
    </row>
    <row r="171" spans="1:2" x14ac:dyDescent="0.35">
      <c r="A171" s="264" t="s">
        <v>243</v>
      </c>
      <c r="B171" s="553"/>
    </row>
    <row r="172" spans="1:2" x14ac:dyDescent="0.35">
      <c r="A172" s="264" t="s">
        <v>244</v>
      </c>
      <c r="B172" s="553"/>
    </row>
    <row r="173" spans="1:2" x14ac:dyDescent="0.35">
      <c r="A173" s="264" t="s">
        <v>245</v>
      </c>
      <c r="B173" s="553"/>
    </row>
    <row r="174" spans="1:2" x14ac:dyDescent="0.35">
      <c r="A174" s="264" t="s">
        <v>247</v>
      </c>
      <c r="B174" s="553"/>
    </row>
    <row r="175" spans="1:2" x14ac:dyDescent="0.35">
      <c r="A175" s="264" t="s">
        <v>248</v>
      </c>
      <c r="B175" s="553"/>
    </row>
    <row r="176" spans="1:2" x14ac:dyDescent="0.35">
      <c r="A176" s="264" t="s">
        <v>249</v>
      </c>
      <c r="B176" s="553"/>
    </row>
    <row r="177" spans="1:2" x14ac:dyDescent="0.35">
      <c r="A177" s="264" t="s">
        <v>250</v>
      </c>
      <c r="B177" s="553"/>
    </row>
    <row r="178" spans="1:2" x14ac:dyDescent="0.35">
      <c r="A178" s="264" t="s">
        <v>251</v>
      </c>
      <c r="B178" s="553"/>
    </row>
    <row r="179" spans="1:2" x14ac:dyDescent="0.35">
      <c r="A179" s="264" t="s">
        <v>252</v>
      </c>
      <c r="B179" s="553"/>
    </row>
    <row r="180" spans="1:2" x14ac:dyDescent="0.35">
      <c r="A180" s="264" t="s">
        <v>253</v>
      </c>
      <c r="B180" s="553"/>
    </row>
    <row r="181" spans="1:2" x14ac:dyDescent="0.35">
      <c r="A181" s="264" t="s">
        <v>254</v>
      </c>
      <c r="B181" s="553"/>
    </row>
    <row r="182" spans="1:2" x14ac:dyDescent="0.35">
      <c r="A182" s="264" t="s">
        <v>255</v>
      </c>
      <c r="B182" s="553"/>
    </row>
    <row r="183" spans="1:2" x14ac:dyDescent="0.35">
      <c r="A183" s="264" t="s">
        <v>256</v>
      </c>
      <c r="B183" s="553"/>
    </row>
    <row r="184" spans="1:2" x14ac:dyDescent="0.35">
      <c r="A184" s="264" t="s">
        <v>257</v>
      </c>
      <c r="B184" s="553"/>
    </row>
    <row r="185" spans="1:2" x14ac:dyDescent="0.35">
      <c r="A185" s="264" t="s">
        <v>258</v>
      </c>
      <c r="B185" s="553"/>
    </row>
    <row r="186" spans="1:2" x14ac:dyDescent="0.35">
      <c r="A186" s="264" t="s">
        <v>260</v>
      </c>
      <c r="B186" s="553"/>
    </row>
    <row r="187" spans="1:2" x14ac:dyDescent="0.35">
      <c r="A187" s="264" t="s">
        <v>261</v>
      </c>
      <c r="B187" s="553"/>
    </row>
    <row r="188" spans="1:2" x14ac:dyDescent="0.35">
      <c r="A188" s="264" t="s">
        <v>262</v>
      </c>
      <c r="B188" s="553">
        <v>5873.5200000000013</v>
      </c>
    </row>
    <row r="189" spans="1:2" x14ac:dyDescent="0.35">
      <c r="A189" s="264" t="s">
        <v>263</v>
      </c>
      <c r="B189" s="553"/>
    </row>
    <row r="190" spans="1:2" x14ac:dyDescent="0.35">
      <c r="A190" s="264" t="s">
        <v>264</v>
      </c>
      <c r="B190" s="553"/>
    </row>
    <row r="191" spans="1:2" x14ac:dyDescent="0.35">
      <c r="A191" s="264" t="s">
        <v>265</v>
      </c>
      <c r="B191" s="553"/>
    </row>
    <row r="192" spans="1:2" x14ac:dyDescent="0.35">
      <c r="A192" s="264" t="s">
        <v>266</v>
      </c>
      <c r="B192" s="553"/>
    </row>
    <row r="193" spans="1:2" x14ac:dyDescent="0.35">
      <c r="A193" s="264" t="s">
        <v>267</v>
      </c>
      <c r="B193" s="553"/>
    </row>
    <row r="194" spans="1:2" x14ac:dyDescent="0.35">
      <c r="A194" s="264" t="s">
        <v>269</v>
      </c>
      <c r="B194" s="553"/>
    </row>
    <row r="195" spans="1:2" x14ac:dyDescent="0.35">
      <c r="A195" s="264" t="s">
        <v>270</v>
      </c>
      <c r="B195" s="553"/>
    </row>
    <row r="196" spans="1:2" x14ac:dyDescent="0.35">
      <c r="A196" s="264" t="s">
        <v>271</v>
      </c>
      <c r="B196" s="553"/>
    </row>
    <row r="197" spans="1:2" x14ac:dyDescent="0.35">
      <c r="A197" s="264" t="s">
        <v>1216</v>
      </c>
      <c r="B197" s="553"/>
    </row>
    <row r="198" spans="1:2" x14ac:dyDescent="0.35">
      <c r="A198" s="264" t="s">
        <v>272</v>
      </c>
      <c r="B198" s="553"/>
    </row>
    <row r="199" spans="1:2" x14ac:dyDescent="0.35">
      <c r="A199" s="264" t="s">
        <v>273</v>
      </c>
      <c r="B199" s="553"/>
    </row>
    <row r="200" spans="1:2" x14ac:dyDescent="0.35">
      <c r="A200" s="264" t="s">
        <v>275</v>
      </c>
      <c r="B200" s="553"/>
    </row>
    <row r="201" spans="1:2" x14ac:dyDescent="0.35">
      <c r="A201" s="264" t="s">
        <v>276</v>
      </c>
      <c r="B201" s="553"/>
    </row>
    <row r="202" spans="1:2" x14ac:dyDescent="0.35">
      <c r="A202" s="264" t="s">
        <v>277</v>
      </c>
      <c r="B202" s="553"/>
    </row>
    <row r="203" spans="1:2" x14ac:dyDescent="0.35">
      <c r="A203" s="264" t="s">
        <v>278</v>
      </c>
      <c r="B203" s="553"/>
    </row>
    <row r="204" spans="1:2" x14ac:dyDescent="0.35">
      <c r="A204" s="264" t="s">
        <v>279</v>
      </c>
      <c r="B204" s="553"/>
    </row>
    <row r="205" spans="1:2" x14ac:dyDescent="0.35">
      <c r="A205" s="264" t="s">
        <v>280</v>
      </c>
      <c r="B205" s="553"/>
    </row>
    <row r="206" spans="1:2" x14ac:dyDescent="0.35">
      <c r="A206" s="264" t="s">
        <v>281</v>
      </c>
      <c r="B206" s="553"/>
    </row>
    <row r="207" spans="1:2" x14ac:dyDescent="0.35">
      <c r="A207" s="264" t="s">
        <v>282</v>
      </c>
      <c r="B207" s="553"/>
    </row>
    <row r="208" spans="1:2" x14ac:dyDescent="0.35">
      <c r="A208" s="264" t="s">
        <v>283</v>
      </c>
      <c r="B208" s="553"/>
    </row>
    <row r="209" spans="1:2" x14ac:dyDescent="0.35">
      <c r="A209" s="264" t="s">
        <v>284</v>
      </c>
      <c r="B209" s="553"/>
    </row>
    <row r="210" spans="1:2" x14ac:dyDescent="0.35">
      <c r="A210" s="264" t="s">
        <v>285</v>
      </c>
      <c r="B210" s="553"/>
    </row>
    <row r="211" spans="1:2" x14ac:dyDescent="0.35">
      <c r="A211" s="264" t="s">
        <v>286</v>
      </c>
      <c r="B211" s="553"/>
    </row>
    <row r="212" spans="1:2" x14ac:dyDescent="0.35">
      <c r="A212" s="264" t="s">
        <v>288</v>
      </c>
      <c r="B212" s="553"/>
    </row>
    <row r="213" spans="1:2" x14ac:dyDescent="0.35">
      <c r="A213" s="264" t="s">
        <v>289</v>
      </c>
      <c r="B213" s="553"/>
    </row>
    <row r="214" spans="1:2" x14ac:dyDescent="0.35">
      <c r="A214" s="264" t="s">
        <v>290</v>
      </c>
      <c r="B214" s="553"/>
    </row>
    <row r="215" spans="1:2" x14ac:dyDescent="0.35">
      <c r="A215" s="264" t="s">
        <v>291</v>
      </c>
      <c r="B215" s="553"/>
    </row>
    <row r="216" spans="1:2" x14ac:dyDescent="0.35">
      <c r="A216" s="264" t="s">
        <v>292</v>
      </c>
      <c r="B216" s="553"/>
    </row>
    <row r="217" spans="1:2" x14ac:dyDescent="0.35">
      <c r="A217" s="264" t="s">
        <v>293</v>
      </c>
      <c r="B217" s="553"/>
    </row>
    <row r="218" spans="1:2" x14ac:dyDescent="0.35">
      <c r="A218" s="264" t="s">
        <v>294</v>
      </c>
      <c r="B218" s="553"/>
    </row>
    <row r="219" spans="1:2" x14ac:dyDescent="0.35">
      <c r="A219" s="264" t="s">
        <v>295</v>
      </c>
      <c r="B219" s="553"/>
    </row>
    <row r="220" spans="1:2" x14ac:dyDescent="0.35">
      <c r="A220" s="264" t="s">
        <v>297</v>
      </c>
      <c r="B220" s="553"/>
    </row>
    <row r="221" spans="1:2" x14ac:dyDescent="0.35">
      <c r="A221" s="264" t="s">
        <v>298</v>
      </c>
      <c r="B221" s="553"/>
    </row>
    <row r="222" spans="1:2" x14ac:dyDescent="0.35">
      <c r="A222" s="264" t="s">
        <v>299</v>
      </c>
      <c r="B222" s="553"/>
    </row>
    <row r="223" spans="1:2" x14ac:dyDescent="0.35">
      <c r="A223" s="264" t="s">
        <v>300</v>
      </c>
      <c r="B223" s="553"/>
    </row>
    <row r="224" spans="1:2" x14ac:dyDescent="0.35">
      <c r="A224" s="264" t="s">
        <v>301</v>
      </c>
      <c r="B224" s="553"/>
    </row>
    <row r="225" spans="1:2" x14ac:dyDescent="0.35">
      <c r="A225" s="264" t="s">
        <v>302</v>
      </c>
      <c r="B225" s="553"/>
    </row>
    <row r="226" spans="1:2" x14ac:dyDescent="0.35">
      <c r="A226" s="264" t="s">
        <v>304</v>
      </c>
      <c r="B226" s="553"/>
    </row>
    <row r="227" spans="1:2" x14ac:dyDescent="0.35">
      <c r="A227" s="264" t="s">
        <v>305</v>
      </c>
      <c r="B227" s="553"/>
    </row>
    <row r="228" spans="1:2" x14ac:dyDescent="0.35">
      <c r="A228" s="264" t="s">
        <v>306</v>
      </c>
      <c r="B228" s="553"/>
    </row>
    <row r="229" spans="1:2" x14ac:dyDescent="0.35">
      <c r="A229" s="264" t="s">
        <v>307</v>
      </c>
      <c r="B229" s="553"/>
    </row>
    <row r="230" spans="1:2" x14ac:dyDescent="0.35">
      <c r="A230" s="264" t="s">
        <v>309</v>
      </c>
      <c r="B230" s="553"/>
    </row>
    <row r="231" spans="1:2" x14ac:dyDescent="0.35">
      <c r="A231" s="264" t="s">
        <v>310</v>
      </c>
      <c r="B231" s="553"/>
    </row>
    <row r="232" spans="1:2" x14ac:dyDescent="0.35">
      <c r="A232" s="264" t="s">
        <v>311</v>
      </c>
      <c r="B232" s="553"/>
    </row>
    <row r="233" spans="1:2" x14ac:dyDescent="0.35">
      <c r="A233" s="264" t="s">
        <v>312</v>
      </c>
      <c r="B233" s="553"/>
    </row>
    <row r="234" spans="1:2" x14ac:dyDescent="0.35">
      <c r="A234" s="264" t="s">
        <v>313</v>
      </c>
      <c r="B234" s="553"/>
    </row>
    <row r="235" spans="1:2" x14ac:dyDescent="0.35">
      <c r="A235" s="264" t="s">
        <v>314</v>
      </c>
      <c r="B235" s="553"/>
    </row>
    <row r="236" spans="1:2" x14ac:dyDescent="0.35">
      <c r="A236" s="264" t="s">
        <v>315</v>
      </c>
      <c r="B236" s="553"/>
    </row>
    <row r="237" spans="1:2" x14ac:dyDescent="0.35">
      <c r="A237" s="264" t="s">
        <v>316</v>
      </c>
      <c r="B237" s="553"/>
    </row>
    <row r="238" spans="1:2" x14ac:dyDescent="0.35">
      <c r="A238" s="264" t="s">
        <v>317</v>
      </c>
      <c r="B238" s="553"/>
    </row>
    <row r="239" spans="1:2" x14ac:dyDescent="0.35">
      <c r="A239" s="264" t="s">
        <v>318</v>
      </c>
      <c r="B239" s="553"/>
    </row>
    <row r="240" spans="1:2" x14ac:dyDescent="0.35">
      <c r="A240" s="264" t="s">
        <v>319</v>
      </c>
      <c r="B240" s="553"/>
    </row>
    <row r="241" spans="1:2" x14ac:dyDescent="0.35">
      <c r="A241" s="264" t="s">
        <v>320</v>
      </c>
      <c r="B241" s="553"/>
    </row>
    <row r="242" spans="1:2" x14ac:dyDescent="0.35">
      <c r="A242" s="264" t="s">
        <v>321</v>
      </c>
      <c r="B242" s="553"/>
    </row>
    <row r="243" spans="1:2" x14ac:dyDescent="0.35">
      <c r="A243" s="264" t="s">
        <v>322</v>
      </c>
      <c r="B243" s="553"/>
    </row>
    <row r="244" spans="1:2" x14ac:dyDescent="0.35">
      <c r="A244" s="264" t="s">
        <v>323</v>
      </c>
      <c r="B244" s="553">
        <v>6923.7599999999984</v>
      </c>
    </row>
    <row r="245" spans="1:2" x14ac:dyDescent="0.35">
      <c r="A245" s="264" t="s">
        <v>324</v>
      </c>
      <c r="B245" s="553"/>
    </row>
    <row r="246" spans="1:2" x14ac:dyDescent="0.35">
      <c r="A246" s="264" t="s">
        <v>326</v>
      </c>
      <c r="B246" s="553"/>
    </row>
    <row r="247" spans="1:2" x14ac:dyDescent="0.35">
      <c r="A247" s="264" t="s">
        <v>916</v>
      </c>
      <c r="B247" s="553"/>
    </row>
    <row r="248" spans="1:2" x14ac:dyDescent="0.35">
      <c r="A248" s="264" t="s">
        <v>327</v>
      </c>
      <c r="B248" s="553"/>
    </row>
    <row r="249" spans="1:2" x14ac:dyDescent="0.35">
      <c r="A249" s="264" t="s">
        <v>328</v>
      </c>
      <c r="B249" s="553"/>
    </row>
    <row r="250" spans="1:2" x14ac:dyDescent="0.35">
      <c r="A250" s="264" t="s">
        <v>329</v>
      </c>
      <c r="B250" s="553"/>
    </row>
    <row r="251" spans="1:2" x14ac:dyDescent="0.35">
      <c r="A251" s="264" t="s">
        <v>330</v>
      </c>
      <c r="B251" s="553"/>
    </row>
    <row r="252" spans="1:2" x14ac:dyDescent="0.35">
      <c r="A252" s="264" t="s">
        <v>331</v>
      </c>
      <c r="B252" s="553"/>
    </row>
    <row r="253" spans="1:2" x14ac:dyDescent="0.35">
      <c r="A253" s="264" t="s">
        <v>332</v>
      </c>
      <c r="B253" s="553"/>
    </row>
    <row r="254" spans="1:2" x14ac:dyDescent="0.35">
      <c r="A254" s="264" t="s">
        <v>334</v>
      </c>
      <c r="B254" s="553"/>
    </row>
    <row r="255" spans="1:2" x14ac:dyDescent="0.35">
      <c r="A255" s="264" t="s">
        <v>335</v>
      </c>
      <c r="B255" s="553"/>
    </row>
    <row r="256" spans="1:2" x14ac:dyDescent="0.35">
      <c r="A256" s="264" t="s">
        <v>336</v>
      </c>
      <c r="B256" s="553"/>
    </row>
    <row r="257" spans="1:2" x14ac:dyDescent="0.35">
      <c r="A257" s="264" t="s">
        <v>337</v>
      </c>
      <c r="B257" s="553"/>
    </row>
    <row r="258" spans="1:2" x14ac:dyDescent="0.35">
      <c r="A258" s="264" t="s">
        <v>338</v>
      </c>
      <c r="B258" s="553"/>
    </row>
    <row r="259" spans="1:2" x14ac:dyDescent="0.35">
      <c r="A259" s="264" t="s">
        <v>339</v>
      </c>
      <c r="B259" s="553"/>
    </row>
    <row r="260" spans="1:2" x14ac:dyDescent="0.35">
      <c r="A260" s="264" t="s">
        <v>340</v>
      </c>
      <c r="B260" s="553"/>
    </row>
    <row r="261" spans="1:2" x14ac:dyDescent="0.35">
      <c r="A261" s="264" t="s">
        <v>342</v>
      </c>
      <c r="B261" s="553"/>
    </row>
    <row r="262" spans="1:2" x14ac:dyDescent="0.35">
      <c r="A262" s="264" t="s">
        <v>343</v>
      </c>
      <c r="B262" s="553"/>
    </row>
    <row r="263" spans="1:2" x14ac:dyDescent="0.35">
      <c r="A263" s="264" t="s">
        <v>344</v>
      </c>
      <c r="B263" s="553"/>
    </row>
    <row r="264" spans="1:2" x14ac:dyDescent="0.35">
      <c r="A264" s="264" t="s">
        <v>345</v>
      </c>
      <c r="B264" s="553"/>
    </row>
    <row r="265" spans="1:2" x14ac:dyDescent="0.35">
      <c r="A265" s="264" t="s">
        <v>346</v>
      </c>
      <c r="B265" s="553"/>
    </row>
    <row r="266" spans="1:2" x14ac:dyDescent="0.35">
      <c r="A266" s="264" t="s">
        <v>347</v>
      </c>
      <c r="B266" s="553"/>
    </row>
    <row r="267" spans="1:2" x14ac:dyDescent="0.35">
      <c r="A267" s="264" t="s">
        <v>348</v>
      </c>
      <c r="B267" s="553"/>
    </row>
    <row r="268" spans="1:2" x14ac:dyDescent="0.35">
      <c r="A268" s="264" t="s">
        <v>349</v>
      </c>
      <c r="B268" s="553"/>
    </row>
    <row r="269" spans="1:2" x14ac:dyDescent="0.35">
      <c r="A269" s="264" t="s">
        <v>350</v>
      </c>
      <c r="B269" s="553"/>
    </row>
    <row r="270" spans="1:2" x14ac:dyDescent="0.35">
      <c r="A270" s="264" t="s">
        <v>351</v>
      </c>
      <c r="B270" s="553"/>
    </row>
    <row r="271" spans="1:2" x14ac:dyDescent="0.35">
      <c r="A271" s="264" t="s">
        <v>353</v>
      </c>
      <c r="B271" s="553"/>
    </row>
    <row r="272" spans="1:2" x14ac:dyDescent="0.35">
      <c r="A272" s="264" t="s">
        <v>355</v>
      </c>
      <c r="B272" s="553"/>
    </row>
    <row r="273" spans="1:2" x14ac:dyDescent="0.35">
      <c r="A273" s="264" t="s">
        <v>356</v>
      </c>
      <c r="B273" s="553"/>
    </row>
    <row r="274" spans="1:2" x14ac:dyDescent="0.35">
      <c r="A274" s="264" t="s">
        <v>358</v>
      </c>
      <c r="B274" s="553">
        <v>31584.110000000015</v>
      </c>
    </row>
    <row r="275" spans="1:2" x14ac:dyDescent="0.35">
      <c r="A275" s="264" t="s">
        <v>359</v>
      </c>
      <c r="B275" s="553"/>
    </row>
    <row r="276" spans="1:2" x14ac:dyDescent="0.35">
      <c r="A276" s="264" t="s">
        <v>1217</v>
      </c>
      <c r="B276" s="553"/>
    </row>
    <row r="277" spans="1:2" x14ac:dyDescent="0.35">
      <c r="A277" s="264" t="s">
        <v>363</v>
      </c>
      <c r="B277" s="553"/>
    </row>
    <row r="278" spans="1:2" x14ac:dyDescent="0.35">
      <c r="A278" s="264" t="s">
        <v>364</v>
      </c>
      <c r="B278" s="553"/>
    </row>
    <row r="279" spans="1:2" x14ac:dyDescent="0.35">
      <c r="A279" s="264" t="s">
        <v>365</v>
      </c>
      <c r="B279" s="553"/>
    </row>
    <row r="280" spans="1:2" x14ac:dyDescent="0.35">
      <c r="A280" s="264" t="s">
        <v>366</v>
      </c>
      <c r="B280" s="553"/>
    </row>
    <row r="281" spans="1:2" x14ac:dyDescent="0.35">
      <c r="A281" s="264" t="s">
        <v>368</v>
      </c>
      <c r="B281" s="553"/>
    </row>
    <row r="282" spans="1:2" x14ac:dyDescent="0.35">
      <c r="A282" s="264" t="s">
        <v>370</v>
      </c>
      <c r="B282" s="553"/>
    </row>
    <row r="283" spans="1:2" x14ac:dyDescent="0.35">
      <c r="A283" s="264" t="s">
        <v>371</v>
      </c>
      <c r="B283" s="553"/>
    </row>
    <row r="284" spans="1:2" x14ac:dyDescent="0.35">
      <c r="A284" s="264" t="s">
        <v>372</v>
      </c>
      <c r="B284" s="553"/>
    </row>
    <row r="285" spans="1:2" x14ac:dyDescent="0.35">
      <c r="A285" s="264" t="s">
        <v>373</v>
      </c>
      <c r="B285" s="553"/>
    </row>
    <row r="286" spans="1:2" x14ac:dyDescent="0.35">
      <c r="A286" s="264" t="s">
        <v>374</v>
      </c>
      <c r="B286" s="553"/>
    </row>
    <row r="287" spans="1:2" x14ac:dyDescent="0.35">
      <c r="A287" s="264" t="s">
        <v>375</v>
      </c>
      <c r="B287" s="553"/>
    </row>
    <row r="288" spans="1:2" x14ac:dyDescent="0.35">
      <c r="A288" s="264" t="s">
        <v>974</v>
      </c>
      <c r="B288" s="553">
        <v>3900000</v>
      </c>
    </row>
    <row r="289" spans="1:2" x14ac:dyDescent="0.35">
      <c r="A289" s="264" t="s">
        <v>376</v>
      </c>
      <c r="B289" s="553"/>
    </row>
    <row r="290" spans="1:2" x14ac:dyDescent="0.35">
      <c r="A290" s="264" t="s">
        <v>378</v>
      </c>
      <c r="B290" s="553"/>
    </row>
    <row r="291" spans="1:2" x14ac:dyDescent="0.35">
      <c r="A291" s="264" t="s">
        <v>379</v>
      </c>
      <c r="B291" s="553"/>
    </row>
    <row r="292" spans="1:2" x14ac:dyDescent="0.35">
      <c r="A292" s="264" t="s">
        <v>381</v>
      </c>
      <c r="B292" s="553"/>
    </row>
    <row r="293" spans="1:2" x14ac:dyDescent="0.35">
      <c r="A293" s="264" t="s">
        <v>382</v>
      </c>
      <c r="B293" s="553"/>
    </row>
    <row r="294" spans="1:2" x14ac:dyDescent="0.35">
      <c r="A294" s="264" t="s">
        <v>384</v>
      </c>
      <c r="B294" s="553"/>
    </row>
    <row r="295" spans="1:2" x14ac:dyDescent="0.35">
      <c r="A295" s="264" t="s">
        <v>386</v>
      </c>
      <c r="B295" s="553"/>
    </row>
    <row r="296" spans="1:2" x14ac:dyDescent="0.35">
      <c r="A296" s="264" t="s">
        <v>387</v>
      </c>
      <c r="B296" s="553">
        <v>43854.340000000317</v>
      </c>
    </row>
    <row r="297" spans="1:2" x14ac:dyDescent="0.35">
      <c r="A297" s="264" t="s">
        <v>388</v>
      </c>
      <c r="B297" s="553"/>
    </row>
    <row r="298" spans="1:2" x14ac:dyDescent="0.35">
      <c r="A298" s="264" t="s">
        <v>389</v>
      </c>
      <c r="B298" s="553"/>
    </row>
    <row r="299" spans="1:2" x14ac:dyDescent="0.35">
      <c r="A299" s="264" t="s">
        <v>391</v>
      </c>
      <c r="B299" s="553"/>
    </row>
    <row r="300" spans="1:2" x14ac:dyDescent="0.35">
      <c r="A300" s="264" t="s">
        <v>393</v>
      </c>
      <c r="B300" s="553"/>
    </row>
    <row r="301" spans="1:2" x14ac:dyDescent="0.35">
      <c r="A301" s="264" t="s">
        <v>918</v>
      </c>
      <c r="B301" s="553"/>
    </row>
    <row r="302" spans="1:2" x14ac:dyDescent="0.35">
      <c r="A302" s="264" t="s">
        <v>395</v>
      </c>
      <c r="B302" s="553"/>
    </row>
    <row r="303" spans="1:2" x14ac:dyDescent="0.35">
      <c r="A303" s="264" t="s">
        <v>397</v>
      </c>
      <c r="B303" s="553"/>
    </row>
    <row r="304" spans="1:2" x14ac:dyDescent="0.35">
      <c r="A304" s="264" t="s">
        <v>399</v>
      </c>
      <c r="B304" s="553"/>
    </row>
    <row r="305" spans="1:2" x14ac:dyDescent="0.35">
      <c r="A305" s="264" t="s">
        <v>401</v>
      </c>
      <c r="B305" s="553"/>
    </row>
    <row r="306" spans="1:2" x14ac:dyDescent="0.35">
      <c r="A306" s="264" t="s">
        <v>402</v>
      </c>
      <c r="B306" s="553"/>
    </row>
    <row r="307" spans="1:2" x14ac:dyDescent="0.35">
      <c r="A307" s="264" t="s">
        <v>404</v>
      </c>
      <c r="B307" s="553"/>
    </row>
    <row r="308" spans="1:2" x14ac:dyDescent="0.35">
      <c r="A308" s="264" t="s">
        <v>405</v>
      </c>
      <c r="B308" s="553"/>
    </row>
    <row r="309" spans="1:2" x14ac:dyDescent="0.35">
      <c r="A309" s="264" t="s">
        <v>406</v>
      </c>
      <c r="B309" s="553"/>
    </row>
    <row r="310" spans="1:2" x14ac:dyDescent="0.35">
      <c r="A310" s="264" t="s">
        <v>407</v>
      </c>
      <c r="B310" s="553"/>
    </row>
    <row r="311" spans="1:2" x14ac:dyDescent="0.35">
      <c r="A311" s="264" t="s">
        <v>409</v>
      </c>
      <c r="B311" s="553"/>
    </row>
    <row r="312" spans="1:2" x14ac:dyDescent="0.35">
      <c r="A312" s="264" t="s">
        <v>410</v>
      </c>
      <c r="B312" s="553"/>
    </row>
    <row r="313" spans="1:2" x14ac:dyDescent="0.35">
      <c r="A313" s="264" t="s">
        <v>411</v>
      </c>
      <c r="B313" s="553"/>
    </row>
    <row r="314" spans="1:2" x14ac:dyDescent="0.35">
      <c r="A314" s="264" t="s">
        <v>412</v>
      </c>
      <c r="B314" s="553"/>
    </row>
    <row r="315" spans="1:2" x14ac:dyDescent="0.35">
      <c r="A315" s="264" t="s">
        <v>414</v>
      </c>
      <c r="B315" s="553"/>
    </row>
    <row r="316" spans="1:2" x14ac:dyDescent="0.35">
      <c r="A316" s="264" t="s">
        <v>417</v>
      </c>
      <c r="B316" s="553"/>
    </row>
    <row r="317" spans="1:2" x14ac:dyDescent="0.35">
      <c r="A317" s="264" t="s">
        <v>419</v>
      </c>
      <c r="B317" s="553"/>
    </row>
    <row r="318" spans="1:2" x14ac:dyDescent="0.35">
      <c r="A318" s="264" t="s">
        <v>420</v>
      </c>
      <c r="B318" s="553"/>
    </row>
    <row r="319" spans="1:2" x14ac:dyDescent="0.35">
      <c r="A319" s="264" t="s">
        <v>421</v>
      </c>
      <c r="B319" s="553"/>
    </row>
    <row r="320" spans="1:2" x14ac:dyDescent="0.35">
      <c r="A320" s="264" t="s">
        <v>423</v>
      </c>
      <c r="B320" s="553"/>
    </row>
    <row r="321" spans="1:2" x14ac:dyDescent="0.35">
      <c r="A321" s="264" t="s">
        <v>425</v>
      </c>
      <c r="B321" s="553"/>
    </row>
    <row r="322" spans="1:2" x14ac:dyDescent="0.35">
      <c r="A322" s="264" t="s">
        <v>427</v>
      </c>
      <c r="B322" s="553"/>
    </row>
    <row r="323" spans="1:2" x14ac:dyDescent="0.35">
      <c r="A323" s="264" t="s">
        <v>428</v>
      </c>
      <c r="B323" s="553"/>
    </row>
    <row r="324" spans="1:2" x14ac:dyDescent="0.35">
      <c r="A324" s="264" t="s">
        <v>738</v>
      </c>
      <c r="B324" s="553">
        <v>2000</v>
      </c>
    </row>
    <row r="325" spans="1:2" x14ac:dyDescent="0.35">
      <c r="A325" s="264" t="s">
        <v>430</v>
      </c>
      <c r="B325" s="553"/>
    </row>
    <row r="326" spans="1:2" x14ac:dyDescent="0.35">
      <c r="A326" s="264" t="s">
        <v>433</v>
      </c>
      <c r="B326" s="553">
        <v>88200</v>
      </c>
    </row>
    <row r="327" spans="1:2" x14ac:dyDescent="0.35">
      <c r="A327" s="264" t="s">
        <v>434</v>
      </c>
      <c r="B327" s="553"/>
    </row>
    <row r="328" spans="1:2" x14ac:dyDescent="0.35">
      <c r="A328" s="264" t="s">
        <v>436</v>
      </c>
      <c r="B328" s="553">
        <v>94130</v>
      </c>
    </row>
    <row r="329" spans="1:2" x14ac:dyDescent="0.35">
      <c r="A329" s="264" t="s">
        <v>438</v>
      </c>
      <c r="B329" s="553"/>
    </row>
    <row r="330" spans="1:2" x14ac:dyDescent="0.35">
      <c r="A330" s="264" t="s">
        <v>440</v>
      </c>
      <c r="B330" s="553"/>
    </row>
    <row r="331" spans="1:2" x14ac:dyDescent="0.35">
      <c r="A331" s="264" t="s">
        <v>1218</v>
      </c>
      <c r="B331" s="553"/>
    </row>
    <row r="332" spans="1:2" x14ac:dyDescent="0.35">
      <c r="A332" s="264" t="s">
        <v>441</v>
      </c>
      <c r="B332" s="553"/>
    </row>
    <row r="333" spans="1:2" x14ac:dyDescent="0.35">
      <c r="A333" s="264" t="s">
        <v>740</v>
      </c>
      <c r="B333" s="553">
        <v>5080</v>
      </c>
    </row>
    <row r="334" spans="1:2" x14ac:dyDescent="0.35">
      <c r="A334" s="264" t="s">
        <v>442</v>
      </c>
      <c r="B334" s="553"/>
    </row>
    <row r="335" spans="1:2" x14ac:dyDescent="0.35">
      <c r="A335" s="264" t="s">
        <v>444</v>
      </c>
      <c r="B335" s="553"/>
    </row>
    <row r="336" spans="1:2" x14ac:dyDescent="0.35">
      <c r="A336" s="264" t="s">
        <v>1219</v>
      </c>
      <c r="B336" s="553"/>
    </row>
    <row r="337" spans="1:2" x14ac:dyDescent="0.35">
      <c r="A337" s="264" t="s">
        <v>446</v>
      </c>
      <c r="B337" s="553"/>
    </row>
    <row r="338" spans="1:2" x14ac:dyDescent="0.35">
      <c r="A338" s="264" t="s">
        <v>447</v>
      </c>
      <c r="B338" s="553"/>
    </row>
    <row r="339" spans="1:2" x14ac:dyDescent="0.35">
      <c r="A339" s="264" t="s">
        <v>448</v>
      </c>
      <c r="B339" s="553"/>
    </row>
    <row r="340" spans="1:2" x14ac:dyDescent="0.35">
      <c r="A340" s="264" t="s">
        <v>449</v>
      </c>
      <c r="B340" s="553"/>
    </row>
    <row r="341" spans="1:2" x14ac:dyDescent="0.35">
      <c r="A341" s="264" t="s">
        <v>450</v>
      </c>
      <c r="B341" s="553"/>
    </row>
    <row r="342" spans="1:2" x14ac:dyDescent="0.35">
      <c r="A342" s="264" t="s">
        <v>451</v>
      </c>
      <c r="B342" s="553"/>
    </row>
    <row r="343" spans="1:2" x14ac:dyDescent="0.35">
      <c r="A343" s="264" t="s">
        <v>452</v>
      </c>
      <c r="B343" s="553"/>
    </row>
    <row r="344" spans="1:2" x14ac:dyDescent="0.35">
      <c r="A344" s="264" t="s">
        <v>453</v>
      </c>
      <c r="B344" s="553"/>
    </row>
    <row r="345" spans="1:2" x14ac:dyDescent="0.35">
      <c r="A345" s="264" t="s">
        <v>455</v>
      </c>
      <c r="B345" s="553"/>
    </row>
    <row r="346" spans="1:2" x14ac:dyDescent="0.35">
      <c r="A346" s="264" t="s">
        <v>456</v>
      </c>
      <c r="B346" s="553"/>
    </row>
    <row r="347" spans="1:2" x14ac:dyDescent="0.35">
      <c r="A347" s="264" t="s">
        <v>457</v>
      </c>
      <c r="B347" s="553"/>
    </row>
    <row r="348" spans="1:2" x14ac:dyDescent="0.35">
      <c r="A348" s="264" t="s">
        <v>458</v>
      </c>
      <c r="B348" s="553"/>
    </row>
    <row r="349" spans="1:2" x14ac:dyDescent="0.35">
      <c r="A349" s="264" t="s">
        <v>460</v>
      </c>
      <c r="B349" s="553"/>
    </row>
    <row r="350" spans="1:2" x14ac:dyDescent="0.35">
      <c r="A350" s="264" t="s">
        <v>461</v>
      </c>
      <c r="B350" s="553"/>
    </row>
    <row r="351" spans="1:2" x14ac:dyDescent="0.35">
      <c r="A351" s="264" t="s">
        <v>462</v>
      </c>
      <c r="B351" s="553"/>
    </row>
    <row r="352" spans="1:2" x14ac:dyDescent="0.35">
      <c r="A352" s="264" t="s">
        <v>463</v>
      </c>
      <c r="B352" s="553"/>
    </row>
    <row r="353" spans="1:2" x14ac:dyDescent="0.35">
      <c r="A353" s="264" t="s">
        <v>467</v>
      </c>
      <c r="B353" s="553"/>
    </row>
    <row r="354" spans="1:2" x14ac:dyDescent="0.35">
      <c r="A354" s="264" t="s">
        <v>470</v>
      </c>
      <c r="B354" s="553"/>
    </row>
    <row r="355" spans="1:2" x14ac:dyDescent="0.35">
      <c r="A355" s="264" t="s">
        <v>471</v>
      </c>
      <c r="B355" s="553"/>
    </row>
    <row r="356" spans="1:2" x14ac:dyDescent="0.35">
      <c r="A356" s="264" t="s">
        <v>472</v>
      </c>
      <c r="B356" s="553"/>
    </row>
    <row r="357" spans="1:2" x14ac:dyDescent="0.35">
      <c r="A357" s="264" t="s">
        <v>474</v>
      </c>
      <c r="B357" s="553"/>
    </row>
    <row r="358" spans="1:2" x14ac:dyDescent="0.35">
      <c r="A358" s="264" t="s">
        <v>476</v>
      </c>
      <c r="B358" s="553"/>
    </row>
    <row r="359" spans="1:2" x14ac:dyDescent="0.35">
      <c r="A359" s="264" t="s">
        <v>477</v>
      </c>
      <c r="B359" s="553"/>
    </row>
    <row r="360" spans="1:2" x14ac:dyDescent="0.35">
      <c r="A360" s="264" t="s">
        <v>478</v>
      </c>
      <c r="B360" s="553"/>
    </row>
    <row r="361" spans="1:2" x14ac:dyDescent="0.35">
      <c r="A361" s="264" t="s">
        <v>480</v>
      </c>
      <c r="B361" s="553"/>
    </row>
    <row r="362" spans="1:2" x14ac:dyDescent="0.35">
      <c r="A362" s="264" t="s">
        <v>481</v>
      </c>
      <c r="B362" s="553"/>
    </row>
    <row r="363" spans="1:2" x14ac:dyDescent="0.35">
      <c r="A363" s="264" t="s">
        <v>483</v>
      </c>
      <c r="B363" s="553"/>
    </row>
    <row r="364" spans="1:2" x14ac:dyDescent="0.35">
      <c r="A364" s="264" t="s">
        <v>484</v>
      </c>
      <c r="B364" s="553"/>
    </row>
    <row r="365" spans="1:2" x14ac:dyDescent="0.35">
      <c r="A365" s="264" t="s">
        <v>486</v>
      </c>
      <c r="B365" s="553"/>
    </row>
    <row r="366" spans="1:2" x14ac:dyDescent="0.35">
      <c r="A366" s="264" t="s">
        <v>487</v>
      </c>
      <c r="B366" s="553"/>
    </row>
    <row r="367" spans="1:2" x14ac:dyDescent="0.35">
      <c r="A367" s="264" t="s">
        <v>488</v>
      </c>
      <c r="B367" s="553"/>
    </row>
    <row r="368" spans="1:2" x14ac:dyDescent="0.35">
      <c r="A368" s="264" t="s">
        <v>489</v>
      </c>
      <c r="B368" s="553"/>
    </row>
    <row r="369" spans="1:2" x14ac:dyDescent="0.35">
      <c r="A369" s="264" t="s">
        <v>490</v>
      </c>
      <c r="B369" s="553"/>
    </row>
    <row r="370" spans="1:2" x14ac:dyDescent="0.35">
      <c r="A370" s="264" t="s">
        <v>491</v>
      </c>
      <c r="B370" s="553"/>
    </row>
    <row r="371" spans="1:2" x14ac:dyDescent="0.35">
      <c r="A371" s="264" t="s">
        <v>492</v>
      </c>
      <c r="B371" s="553"/>
    </row>
    <row r="372" spans="1:2" x14ac:dyDescent="0.35">
      <c r="A372" s="264" t="s">
        <v>494</v>
      </c>
      <c r="B372" s="553"/>
    </row>
    <row r="373" spans="1:2" x14ac:dyDescent="0.35">
      <c r="A373" s="264" t="s">
        <v>495</v>
      </c>
      <c r="B373" s="553"/>
    </row>
    <row r="374" spans="1:2" x14ac:dyDescent="0.35">
      <c r="A374" s="264" t="s">
        <v>496</v>
      </c>
      <c r="B374" s="553"/>
    </row>
    <row r="375" spans="1:2" x14ac:dyDescent="0.35">
      <c r="A375" s="264" t="s">
        <v>497</v>
      </c>
      <c r="B375" s="553"/>
    </row>
    <row r="376" spans="1:2" x14ac:dyDescent="0.35">
      <c r="A376" s="264" t="s">
        <v>499</v>
      </c>
      <c r="B376" s="553"/>
    </row>
    <row r="377" spans="1:2" x14ac:dyDescent="0.35">
      <c r="A377" s="264" t="s">
        <v>500</v>
      </c>
      <c r="B377" s="553"/>
    </row>
    <row r="378" spans="1:2" x14ac:dyDescent="0.35">
      <c r="A378" s="264" t="s">
        <v>501</v>
      </c>
      <c r="B378" s="553"/>
    </row>
    <row r="379" spans="1:2" x14ac:dyDescent="0.35">
      <c r="A379" s="264" t="s">
        <v>502</v>
      </c>
      <c r="B379" s="553"/>
    </row>
    <row r="380" spans="1:2" x14ac:dyDescent="0.35">
      <c r="A380" s="264" t="s">
        <v>504</v>
      </c>
      <c r="B380" s="553"/>
    </row>
    <row r="381" spans="1:2" x14ac:dyDescent="0.35">
      <c r="A381" s="264" t="s">
        <v>505</v>
      </c>
      <c r="B381" s="553"/>
    </row>
    <row r="382" spans="1:2" x14ac:dyDescent="0.35">
      <c r="A382" s="264" t="s">
        <v>506</v>
      </c>
      <c r="B382" s="553"/>
    </row>
    <row r="383" spans="1:2" x14ac:dyDescent="0.35">
      <c r="A383" s="264" t="s">
        <v>507</v>
      </c>
      <c r="B383" s="553"/>
    </row>
    <row r="384" spans="1:2" x14ac:dyDescent="0.35">
      <c r="A384" s="264" t="s">
        <v>508</v>
      </c>
      <c r="B384" s="553"/>
    </row>
    <row r="385" spans="1:2" x14ac:dyDescent="0.35">
      <c r="A385" s="264" t="s">
        <v>510</v>
      </c>
      <c r="B385" s="553"/>
    </row>
    <row r="386" spans="1:2" x14ac:dyDescent="0.35">
      <c r="A386" s="264" t="s">
        <v>511</v>
      </c>
      <c r="B386" s="553"/>
    </row>
    <row r="387" spans="1:2" x14ac:dyDescent="0.35">
      <c r="A387" s="264" t="s">
        <v>513</v>
      </c>
      <c r="B387" s="553"/>
    </row>
    <row r="388" spans="1:2" x14ac:dyDescent="0.35">
      <c r="A388" s="264" t="s">
        <v>514</v>
      </c>
      <c r="B388" s="553"/>
    </row>
    <row r="389" spans="1:2" x14ac:dyDescent="0.35">
      <c r="A389" s="264" t="s">
        <v>515</v>
      </c>
      <c r="B389" s="553"/>
    </row>
    <row r="390" spans="1:2" x14ac:dyDescent="0.35">
      <c r="A390" s="264" t="s">
        <v>516</v>
      </c>
      <c r="B390" s="553"/>
    </row>
    <row r="391" spans="1:2" x14ac:dyDescent="0.35">
      <c r="A391" s="264" t="s">
        <v>517</v>
      </c>
      <c r="B391" s="553"/>
    </row>
    <row r="392" spans="1:2" x14ac:dyDescent="0.35">
      <c r="A392" s="264" t="s">
        <v>519</v>
      </c>
      <c r="B392" s="553">
        <v>5000000</v>
      </c>
    </row>
    <row r="393" spans="1:2" x14ac:dyDescent="0.35">
      <c r="A393" s="264" t="s">
        <v>520</v>
      </c>
      <c r="B393" s="553"/>
    </row>
    <row r="394" spans="1:2" x14ac:dyDescent="0.35">
      <c r="A394" s="264" t="s">
        <v>521</v>
      </c>
      <c r="B394" s="553"/>
    </row>
    <row r="395" spans="1:2" x14ac:dyDescent="0.35">
      <c r="A395" s="264" t="s">
        <v>523</v>
      </c>
      <c r="B395" s="553"/>
    </row>
    <row r="396" spans="1:2" x14ac:dyDescent="0.35">
      <c r="A396" s="264" t="s">
        <v>524</v>
      </c>
      <c r="B396" s="553"/>
    </row>
    <row r="397" spans="1:2" x14ac:dyDescent="0.35">
      <c r="A397" s="264" t="s">
        <v>525</v>
      </c>
      <c r="B397" s="553"/>
    </row>
    <row r="398" spans="1:2" x14ac:dyDescent="0.35">
      <c r="A398" s="264" t="s">
        <v>526</v>
      </c>
      <c r="B398" s="553"/>
    </row>
    <row r="399" spans="1:2" x14ac:dyDescent="0.35">
      <c r="A399" s="264" t="s">
        <v>527</v>
      </c>
      <c r="B399" s="553"/>
    </row>
    <row r="400" spans="1:2" x14ac:dyDescent="0.35">
      <c r="A400" s="264" t="s">
        <v>528</v>
      </c>
      <c r="B400" s="553"/>
    </row>
    <row r="401" spans="1:2" x14ac:dyDescent="0.35">
      <c r="A401" s="264" t="s">
        <v>530</v>
      </c>
      <c r="B401" s="553"/>
    </row>
    <row r="402" spans="1:2" x14ac:dyDescent="0.35">
      <c r="A402" s="264" t="s">
        <v>531</v>
      </c>
      <c r="B402" s="553"/>
    </row>
    <row r="403" spans="1:2" x14ac:dyDescent="0.35">
      <c r="A403" s="264" t="s">
        <v>920</v>
      </c>
      <c r="B403" s="553"/>
    </row>
    <row r="404" spans="1:2" x14ac:dyDescent="0.35">
      <c r="A404" s="264" t="s">
        <v>532</v>
      </c>
      <c r="B404" s="553"/>
    </row>
    <row r="405" spans="1:2" x14ac:dyDescent="0.35">
      <c r="A405" s="264" t="s">
        <v>533</v>
      </c>
      <c r="B405" s="553"/>
    </row>
    <row r="406" spans="1:2" x14ac:dyDescent="0.35">
      <c r="A406" s="264" t="s">
        <v>534</v>
      </c>
      <c r="B406" s="553"/>
    </row>
    <row r="407" spans="1:2" x14ac:dyDescent="0.35">
      <c r="A407" s="264" t="s">
        <v>535</v>
      </c>
      <c r="B407" s="553"/>
    </row>
    <row r="408" spans="1:2" x14ac:dyDescent="0.35">
      <c r="A408" s="264" t="s">
        <v>537</v>
      </c>
      <c r="B408" s="553"/>
    </row>
    <row r="409" spans="1:2" x14ac:dyDescent="0.35">
      <c r="A409" s="264" t="s">
        <v>538</v>
      </c>
      <c r="B409" s="553">
        <v>10489500</v>
      </c>
    </row>
    <row r="410" spans="1:2" x14ac:dyDescent="0.35">
      <c r="A410" s="264" t="s">
        <v>539</v>
      </c>
      <c r="B410" s="553"/>
    </row>
    <row r="411" spans="1:2" x14ac:dyDescent="0.35">
      <c r="A411" s="264" t="s">
        <v>540</v>
      </c>
      <c r="B411" s="553"/>
    </row>
    <row r="412" spans="1:2" x14ac:dyDescent="0.35">
      <c r="A412" s="264" t="s">
        <v>541</v>
      </c>
      <c r="B412" s="553"/>
    </row>
    <row r="413" spans="1:2" x14ac:dyDescent="0.35">
      <c r="A413" s="264" t="s">
        <v>543</v>
      </c>
      <c r="B413" s="553"/>
    </row>
    <row r="414" spans="1:2" x14ac:dyDescent="0.35">
      <c r="A414" s="264" t="s">
        <v>544</v>
      </c>
      <c r="B414" s="553"/>
    </row>
    <row r="415" spans="1:2" x14ac:dyDescent="0.35">
      <c r="A415" s="264" t="s">
        <v>545</v>
      </c>
      <c r="B415" s="553"/>
    </row>
    <row r="416" spans="1:2" x14ac:dyDescent="0.35">
      <c r="A416" s="264" t="s">
        <v>548</v>
      </c>
      <c r="B416" s="553"/>
    </row>
    <row r="417" spans="1:2" x14ac:dyDescent="0.35">
      <c r="A417" s="264" t="s">
        <v>550</v>
      </c>
      <c r="B417" s="553"/>
    </row>
    <row r="418" spans="1:2" x14ac:dyDescent="0.35">
      <c r="A418" s="264" t="s">
        <v>552</v>
      </c>
      <c r="B418" s="553"/>
    </row>
    <row r="419" spans="1:2" x14ac:dyDescent="0.35">
      <c r="A419" s="264" t="s">
        <v>553</v>
      </c>
      <c r="B419" s="553"/>
    </row>
    <row r="420" spans="1:2" x14ac:dyDescent="0.35">
      <c r="A420" s="264" t="s">
        <v>554</v>
      </c>
      <c r="B420" s="553"/>
    </row>
    <row r="421" spans="1:2" x14ac:dyDescent="0.35">
      <c r="A421" s="264" t="s">
        <v>555</v>
      </c>
      <c r="B421" s="553"/>
    </row>
    <row r="422" spans="1:2" x14ac:dyDescent="0.35">
      <c r="A422" s="264" t="s">
        <v>556</v>
      </c>
      <c r="B422" s="553"/>
    </row>
    <row r="423" spans="1:2" x14ac:dyDescent="0.35">
      <c r="A423" s="264" t="s">
        <v>557</v>
      </c>
      <c r="B423" s="553"/>
    </row>
    <row r="424" spans="1:2" x14ac:dyDescent="0.35">
      <c r="A424" s="264" t="s">
        <v>560</v>
      </c>
      <c r="B424" s="553"/>
    </row>
    <row r="425" spans="1:2" x14ac:dyDescent="0.35">
      <c r="A425" s="264" t="s">
        <v>561</v>
      </c>
      <c r="B425" s="553"/>
    </row>
    <row r="426" spans="1:2" x14ac:dyDescent="0.35">
      <c r="A426" s="264" t="s">
        <v>563</v>
      </c>
      <c r="B426" s="553"/>
    </row>
    <row r="427" spans="1:2" x14ac:dyDescent="0.35">
      <c r="A427" s="264" t="s">
        <v>564</v>
      </c>
      <c r="B427" s="553"/>
    </row>
    <row r="428" spans="1:2" x14ac:dyDescent="0.35">
      <c r="A428" s="264" t="s">
        <v>566</v>
      </c>
      <c r="B428" s="553"/>
    </row>
    <row r="429" spans="1:2" x14ac:dyDescent="0.35">
      <c r="A429" s="264" t="s">
        <v>567</v>
      </c>
      <c r="B429" s="553"/>
    </row>
    <row r="430" spans="1:2" x14ac:dyDescent="0.35">
      <c r="A430" s="264" t="s">
        <v>568</v>
      </c>
      <c r="B430" s="553"/>
    </row>
    <row r="431" spans="1:2" x14ac:dyDescent="0.35">
      <c r="A431" s="264" t="s">
        <v>569</v>
      </c>
      <c r="B431" s="553"/>
    </row>
    <row r="432" spans="1:2" x14ac:dyDescent="0.35">
      <c r="A432" s="264" t="s">
        <v>570</v>
      </c>
      <c r="B432" s="553"/>
    </row>
    <row r="433" spans="1:2" x14ac:dyDescent="0.35">
      <c r="A433" s="264" t="s">
        <v>571</v>
      </c>
      <c r="B433" s="553"/>
    </row>
    <row r="434" spans="1:2" x14ac:dyDescent="0.35">
      <c r="A434" s="264" t="s">
        <v>572</v>
      </c>
      <c r="B434" s="553"/>
    </row>
    <row r="435" spans="1:2" x14ac:dyDescent="0.35">
      <c r="A435" s="264" t="s">
        <v>574</v>
      </c>
      <c r="B435" s="553"/>
    </row>
    <row r="436" spans="1:2" x14ac:dyDescent="0.35">
      <c r="A436" s="264" t="s">
        <v>575</v>
      </c>
      <c r="B436" s="553"/>
    </row>
    <row r="437" spans="1:2" x14ac:dyDescent="0.35">
      <c r="A437" s="264" t="s">
        <v>576</v>
      </c>
      <c r="B437" s="553"/>
    </row>
    <row r="438" spans="1:2" x14ac:dyDescent="0.35">
      <c r="A438" s="264" t="s">
        <v>578</v>
      </c>
      <c r="B438" s="553"/>
    </row>
    <row r="439" spans="1:2" x14ac:dyDescent="0.35">
      <c r="A439" s="264" t="s">
        <v>579</v>
      </c>
      <c r="B439" s="553"/>
    </row>
    <row r="440" spans="1:2" x14ac:dyDescent="0.35">
      <c r="A440" s="264" t="s">
        <v>922</v>
      </c>
      <c r="B440" s="553"/>
    </row>
    <row r="441" spans="1:2" x14ac:dyDescent="0.35">
      <c r="A441" s="264" t="s">
        <v>580</v>
      </c>
      <c r="B441" s="553">
        <v>6652.0000000000146</v>
      </c>
    </row>
    <row r="442" spans="1:2" x14ac:dyDescent="0.35">
      <c r="A442" s="264" t="s">
        <v>581</v>
      </c>
      <c r="B442" s="553"/>
    </row>
    <row r="443" spans="1:2" x14ac:dyDescent="0.35">
      <c r="A443" s="264" t="s">
        <v>582</v>
      </c>
      <c r="B443" s="553"/>
    </row>
    <row r="444" spans="1:2" x14ac:dyDescent="0.35">
      <c r="A444" s="264" t="s">
        <v>583</v>
      </c>
      <c r="B444" s="553"/>
    </row>
    <row r="445" spans="1:2" x14ac:dyDescent="0.35">
      <c r="A445" s="264" t="s">
        <v>584</v>
      </c>
      <c r="B445" s="553"/>
    </row>
    <row r="446" spans="1:2" x14ac:dyDescent="0.35">
      <c r="A446" s="264" t="s">
        <v>585</v>
      </c>
      <c r="B446" s="553"/>
    </row>
    <row r="447" spans="1:2" x14ac:dyDescent="0.35">
      <c r="A447" s="264" t="s">
        <v>587</v>
      </c>
      <c r="B447" s="553"/>
    </row>
    <row r="448" spans="1:2" x14ac:dyDescent="0.35">
      <c r="A448" s="264" t="s">
        <v>588</v>
      </c>
      <c r="B448" s="553"/>
    </row>
    <row r="449" spans="1:2" x14ac:dyDescent="0.35">
      <c r="A449" s="264" t="s">
        <v>590</v>
      </c>
      <c r="B449" s="553">
        <v>5300000</v>
      </c>
    </row>
    <row r="450" spans="1:2" x14ac:dyDescent="0.35">
      <c r="A450" s="264" t="s">
        <v>592</v>
      </c>
      <c r="B450" s="553"/>
    </row>
    <row r="451" spans="1:2" x14ac:dyDescent="0.35">
      <c r="A451" s="264" t="s">
        <v>593</v>
      </c>
      <c r="B451" s="553"/>
    </row>
    <row r="452" spans="1:2" x14ac:dyDescent="0.35">
      <c r="A452" s="264" t="s">
        <v>594</v>
      </c>
      <c r="B452" s="553"/>
    </row>
    <row r="453" spans="1:2" x14ac:dyDescent="0.35">
      <c r="A453" s="264" t="s">
        <v>595</v>
      </c>
      <c r="B453" s="553"/>
    </row>
    <row r="454" spans="1:2" x14ac:dyDescent="0.35">
      <c r="A454" s="264" t="s">
        <v>596</v>
      </c>
      <c r="B454" s="553"/>
    </row>
    <row r="455" spans="1:2" x14ac:dyDescent="0.35">
      <c r="A455" s="264" t="s">
        <v>597</v>
      </c>
      <c r="B455" s="553"/>
    </row>
    <row r="456" spans="1:2" x14ac:dyDescent="0.35">
      <c r="A456" s="264" t="s">
        <v>599</v>
      </c>
      <c r="B456" s="553"/>
    </row>
    <row r="457" spans="1:2" x14ac:dyDescent="0.35">
      <c r="A457" s="264" t="s">
        <v>600</v>
      </c>
      <c r="B457" s="553"/>
    </row>
    <row r="458" spans="1:2" x14ac:dyDescent="0.35">
      <c r="A458" s="264" t="s">
        <v>601</v>
      </c>
      <c r="B458" s="553"/>
    </row>
    <row r="459" spans="1:2" x14ac:dyDescent="0.35">
      <c r="A459" s="264" t="s">
        <v>602</v>
      </c>
      <c r="B459" s="553"/>
    </row>
    <row r="460" spans="1:2" x14ac:dyDescent="0.35">
      <c r="A460" s="264" t="s">
        <v>604</v>
      </c>
      <c r="B460" s="553"/>
    </row>
    <row r="461" spans="1:2" x14ac:dyDescent="0.35">
      <c r="A461" s="264" t="s">
        <v>605</v>
      </c>
      <c r="B461" s="553">
        <v>5005.1699999999983</v>
      </c>
    </row>
    <row r="462" spans="1:2" x14ac:dyDescent="0.35">
      <c r="A462" s="264" t="s">
        <v>606</v>
      </c>
      <c r="B462" s="553">
        <v>15800</v>
      </c>
    </row>
    <row r="463" spans="1:2" x14ac:dyDescent="0.35">
      <c r="A463" s="264" t="s">
        <v>608</v>
      </c>
      <c r="B463" s="553">
        <v>66666</v>
      </c>
    </row>
    <row r="464" spans="1:2" x14ac:dyDescent="0.35">
      <c r="A464" s="264" t="s">
        <v>609</v>
      </c>
      <c r="B464" s="553"/>
    </row>
    <row r="465" spans="1:2" x14ac:dyDescent="0.35">
      <c r="A465" s="264" t="s">
        <v>610</v>
      </c>
      <c r="B465" s="553"/>
    </row>
    <row r="466" spans="1:2" x14ac:dyDescent="0.35">
      <c r="A466" s="264" t="s">
        <v>611</v>
      </c>
      <c r="B466" s="553"/>
    </row>
    <row r="467" spans="1:2" x14ac:dyDescent="0.35">
      <c r="A467" s="264" t="s">
        <v>612</v>
      </c>
      <c r="B467" s="553"/>
    </row>
    <row r="468" spans="1:2" x14ac:dyDescent="0.35">
      <c r="A468" s="264" t="s">
        <v>613</v>
      </c>
      <c r="B468" s="553"/>
    </row>
    <row r="469" spans="1:2" x14ac:dyDescent="0.35">
      <c r="A469" s="264" t="s">
        <v>614</v>
      </c>
      <c r="B469" s="553"/>
    </row>
    <row r="470" spans="1:2" x14ac:dyDescent="0.35">
      <c r="A470" s="264" t="s">
        <v>615</v>
      </c>
      <c r="B470" s="553"/>
    </row>
    <row r="471" spans="1:2" x14ac:dyDescent="0.35">
      <c r="A471" s="264" t="s">
        <v>617</v>
      </c>
      <c r="B471" s="553"/>
    </row>
    <row r="472" spans="1:2" x14ac:dyDescent="0.35">
      <c r="A472" s="264" t="s">
        <v>618</v>
      </c>
      <c r="B472" s="553"/>
    </row>
    <row r="473" spans="1:2" x14ac:dyDescent="0.35">
      <c r="A473" s="264" t="s">
        <v>619</v>
      </c>
      <c r="B473" s="553"/>
    </row>
    <row r="474" spans="1:2" x14ac:dyDescent="0.35">
      <c r="A474" s="264" t="s">
        <v>620</v>
      </c>
      <c r="B474" s="553"/>
    </row>
    <row r="475" spans="1:2" x14ac:dyDescent="0.35">
      <c r="A475" s="264" t="s">
        <v>621</v>
      </c>
      <c r="B475" s="553"/>
    </row>
    <row r="476" spans="1:2" x14ac:dyDescent="0.35">
      <c r="A476" s="264" t="s">
        <v>623</v>
      </c>
      <c r="B476" s="553"/>
    </row>
    <row r="477" spans="1:2" x14ac:dyDescent="0.35">
      <c r="A477" s="264" t="s">
        <v>624</v>
      </c>
      <c r="B477" s="553"/>
    </row>
    <row r="478" spans="1:2" x14ac:dyDescent="0.35">
      <c r="A478" s="264" t="s">
        <v>625</v>
      </c>
      <c r="B478" s="553"/>
    </row>
    <row r="479" spans="1:2" x14ac:dyDescent="0.35">
      <c r="A479" s="264" t="s">
        <v>626</v>
      </c>
      <c r="B479" s="553"/>
    </row>
    <row r="480" spans="1:2" x14ac:dyDescent="0.35">
      <c r="A480" s="264" t="s">
        <v>627</v>
      </c>
      <c r="B480" s="553"/>
    </row>
    <row r="481" spans="1:2" x14ac:dyDescent="0.35">
      <c r="A481" s="264" t="s">
        <v>628</v>
      </c>
      <c r="B481" s="553"/>
    </row>
    <row r="482" spans="1:2" x14ac:dyDescent="0.35">
      <c r="A482" s="264" t="s">
        <v>629</v>
      </c>
      <c r="B482" s="553"/>
    </row>
    <row r="483" spans="1:2" x14ac:dyDescent="0.35">
      <c r="A483" s="264" t="s">
        <v>630</v>
      </c>
      <c r="B483" s="553"/>
    </row>
    <row r="484" spans="1:2" x14ac:dyDescent="0.35">
      <c r="A484" s="264" t="s">
        <v>631</v>
      </c>
      <c r="B484" s="553">
        <v>620674.03000000119</v>
      </c>
    </row>
    <row r="485" spans="1:2" x14ac:dyDescent="0.35">
      <c r="A485" s="264" t="s">
        <v>632</v>
      </c>
      <c r="B485" s="553"/>
    </row>
    <row r="486" spans="1:2" x14ac:dyDescent="0.35">
      <c r="A486" s="264" t="s">
        <v>633</v>
      </c>
      <c r="B486" s="553"/>
    </row>
    <row r="487" spans="1:2" x14ac:dyDescent="0.35">
      <c r="A487" s="264" t="s">
        <v>634</v>
      </c>
      <c r="B487" s="553"/>
    </row>
    <row r="488" spans="1:2" x14ac:dyDescent="0.35">
      <c r="A488" s="264" t="s">
        <v>635</v>
      </c>
      <c r="B488" s="553"/>
    </row>
    <row r="489" spans="1:2" x14ac:dyDescent="0.35">
      <c r="A489" s="264" t="s">
        <v>636</v>
      </c>
      <c r="B489" s="553"/>
    </row>
    <row r="490" spans="1:2" x14ac:dyDescent="0.35">
      <c r="A490" s="264" t="s">
        <v>637</v>
      </c>
      <c r="B490" s="553"/>
    </row>
    <row r="491" spans="1:2" x14ac:dyDescent="0.35">
      <c r="A491" s="264" t="s">
        <v>638</v>
      </c>
      <c r="B491" s="553"/>
    </row>
    <row r="492" spans="1:2" x14ac:dyDescent="0.35">
      <c r="A492" s="264" t="s">
        <v>639</v>
      </c>
      <c r="B492" s="553"/>
    </row>
    <row r="493" spans="1:2" x14ac:dyDescent="0.35">
      <c r="A493" s="264" t="s">
        <v>640</v>
      </c>
      <c r="B493" s="553"/>
    </row>
    <row r="494" spans="1:2" x14ac:dyDescent="0.35">
      <c r="A494" s="264" t="s">
        <v>641</v>
      </c>
      <c r="B494" s="553"/>
    </row>
    <row r="495" spans="1:2" x14ac:dyDescent="0.35">
      <c r="A495" s="264" t="s">
        <v>642</v>
      </c>
      <c r="B495" s="553"/>
    </row>
    <row r="496" spans="1:2" x14ac:dyDescent="0.35">
      <c r="A496" s="264" t="s">
        <v>643</v>
      </c>
      <c r="B496" s="553"/>
    </row>
    <row r="497" spans="1:2" x14ac:dyDescent="0.35">
      <c r="A497" s="264" t="s">
        <v>644</v>
      </c>
      <c r="B497" s="553"/>
    </row>
    <row r="498" spans="1:2" x14ac:dyDescent="0.35">
      <c r="A498" s="264" t="s">
        <v>645</v>
      </c>
      <c r="B498" s="553"/>
    </row>
    <row r="499" spans="1:2" x14ac:dyDescent="0.35">
      <c r="A499" s="264" t="s">
        <v>647</v>
      </c>
      <c r="B499" s="553"/>
    </row>
    <row r="500" spans="1:2" x14ac:dyDescent="0.35">
      <c r="A500" s="264" t="s">
        <v>648</v>
      </c>
      <c r="B500" s="553"/>
    </row>
    <row r="501" spans="1:2" x14ac:dyDescent="0.35">
      <c r="A501" s="264" t="s">
        <v>649</v>
      </c>
      <c r="B501" s="553"/>
    </row>
    <row r="502" spans="1:2" x14ac:dyDescent="0.35">
      <c r="A502" s="264" t="s">
        <v>650</v>
      </c>
      <c r="B502" s="553"/>
    </row>
    <row r="503" spans="1:2" x14ac:dyDescent="0.35">
      <c r="A503" s="264" t="s">
        <v>651</v>
      </c>
      <c r="B503" s="553"/>
    </row>
    <row r="504" spans="1:2" x14ac:dyDescent="0.35">
      <c r="A504" s="264" t="s">
        <v>652</v>
      </c>
      <c r="B504" s="553"/>
    </row>
    <row r="505" spans="1:2" x14ac:dyDescent="0.35">
      <c r="A505" s="264" t="s">
        <v>653</v>
      </c>
      <c r="B505" s="553"/>
    </row>
    <row r="506" spans="1:2" x14ac:dyDescent="0.35">
      <c r="A506" s="264" t="s">
        <v>654</v>
      </c>
      <c r="B506" s="553"/>
    </row>
    <row r="507" spans="1:2" x14ac:dyDescent="0.35">
      <c r="A507" s="264" t="s">
        <v>924</v>
      </c>
      <c r="B507" s="553"/>
    </row>
    <row r="508" spans="1:2" ht="15" thickBot="1" x14ac:dyDescent="0.4">
      <c r="A508" s="492" t="s">
        <v>719</v>
      </c>
      <c r="B508" s="554">
        <v>26381942.930000003</v>
      </c>
    </row>
    <row r="509" spans="1:2" ht="15" thickTop="1" x14ac:dyDescent="0.35"/>
    <row r="519" ht="15" thickBot="1" x14ac:dyDescent="0.4"/>
    <row r="520" ht="15" thickTop="1"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F89"/>
  <sheetViews>
    <sheetView topLeftCell="A7" workbookViewId="0">
      <selection activeCell="A32" sqref="A32"/>
    </sheetView>
  </sheetViews>
  <sheetFormatPr defaultColWidth="22.26953125" defaultRowHeight="14.5" x14ac:dyDescent="0.35"/>
  <cols>
    <col min="1" max="1" width="44.90625" customWidth="1"/>
    <col min="2" max="6" width="22.26953125" style="183"/>
  </cols>
  <sheetData>
    <row r="3" spans="1:6" x14ac:dyDescent="0.35">
      <c r="A3" t="s">
        <v>1205</v>
      </c>
      <c r="B3" s="183" t="s">
        <v>1223</v>
      </c>
      <c r="C3" s="183" t="s">
        <v>1224</v>
      </c>
      <c r="D3" s="183" t="s">
        <v>1225</v>
      </c>
      <c r="F3" s="183" t="s">
        <v>1226</v>
      </c>
    </row>
    <row r="4" spans="1:6" x14ac:dyDescent="0.35">
      <c r="A4" t="s">
        <v>469</v>
      </c>
      <c r="B4" s="183">
        <v>12955785</v>
      </c>
      <c r="C4" s="183">
        <v>21436782.030000001</v>
      </c>
      <c r="D4" s="183">
        <v>588000</v>
      </c>
      <c r="F4" s="183">
        <v>10489500</v>
      </c>
    </row>
    <row r="5" spans="1:6" x14ac:dyDescent="0.35">
      <c r="A5" t="s">
        <v>589</v>
      </c>
      <c r="B5" s="183">
        <v>9641961</v>
      </c>
      <c r="C5" s="183">
        <v>15379766.01</v>
      </c>
      <c r="D5" s="183">
        <v>0</v>
      </c>
      <c r="F5" s="183">
        <v>5300000</v>
      </c>
    </row>
    <row r="6" spans="1:6" x14ac:dyDescent="0.35">
      <c r="A6" t="s">
        <v>23</v>
      </c>
      <c r="B6" s="183">
        <v>23368056</v>
      </c>
      <c r="C6" s="183">
        <v>28341752.509999998</v>
      </c>
      <c r="D6" s="183">
        <v>1064099.58</v>
      </c>
      <c r="F6" s="183">
        <v>5000000</v>
      </c>
    </row>
    <row r="7" spans="1:6" x14ac:dyDescent="0.35">
      <c r="A7" t="s">
        <v>591</v>
      </c>
      <c r="B7" s="183">
        <v>586812</v>
      </c>
      <c r="C7" s="183">
        <v>4301793.5999999996</v>
      </c>
      <c r="D7" s="183">
        <v>0</v>
      </c>
      <c r="F7" s="183">
        <v>3900000</v>
      </c>
    </row>
    <row r="8" spans="1:6" x14ac:dyDescent="0.35">
      <c r="A8" t="s">
        <v>108</v>
      </c>
      <c r="B8" s="183">
        <v>143993862</v>
      </c>
      <c r="C8" s="183">
        <v>148554372.71000001</v>
      </c>
      <c r="D8" s="183">
        <v>0</v>
      </c>
      <c r="F8" s="183">
        <v>1320674.0300000012</v>
      </c>
    </row>
    <row r="9" spans="1:6" x14ac:dyDescent="0.35">
      <c r="A9" t="s">
        <v>81</v>
      </c>
      <c r="B9" s="183">
        <v>94458414</v>
      </c>
      <c r="C9" s="183">
        <v>84012206.498166859</v>
      </c>
      <c r="D9" s="183">
        <v>5351489.8592499923</v>
      </c>
    </row>
    <row r="10" spans="1:6" x14ac:dyDescent="0.35">
      <c r="A10" t="s">
        <v>551</v>
      </c>
      <c r="B10" s="183">
        <v>80825600</v>
      </c>
      <c r="C10" s="183">
        <v>73990302.626666665</v>
      </c>
      <c r="D10" s="183">
        <v>3296148.6866666637</v>
      </c>
    </row>
    <row r="11" spans="1:6" x14ac:dyDescent="0.35">
      <c r="A11" t="s">
        <v>37</v>
      </c>
      <c r="B11" s="183">
        <v>16510753</v>
      </c>
      <c r="C11" s="183">
        <v>10985036.703</v>
      </c>
      <c r="D11" s="183">
        <v>2793756.9994999999</v>
      </c>
    </row>
    <row r="12" spans="1:6" x14ac:dyDescent="0.35">
      <c r="A12" t="s">
        <v>74</v>
      </c>
      <c r="B12" s="183">
        <v>4050052</v>
      </c>
      <c r="C12" s="183">
        <v>1386946.5039999997</v>
      </c>
      <c r="D12" s="183">
        <v>1396867.6359999997</v>
      </c>
      <c r="E12" s="541">
        <f>D12/1000000</f>
        <v>1.3968676359999996</v>
      </c>
    </row>
    <row r="13" spans="1:6" x14ac:dyDescent="0.35">
      <c r="A13" t="s">
        <v>79</v>
      </c>
      <c r="B13" s="183">
        <v>2975841</v>
      </c>
      <c r="C13" s="183">
        <v>193233.3204</v>
      </c>
      <c r="D13" s="183">
        <v>1259800.4247999999</v>
      </c>
      <c r="E13" s="541">
        <f t="shared" ref="E13:E16" si="0">D13/1000000</f>
        <v>1.2598004247999999</v>
      </c>
      <c r="F13" s="183">
        <v>6923.7599999999984</v>
      </c>
    </row>
    <row r="14" spans="1:6" x14ac:dyDescent="0.35">
      <c r="A14" t="s">
        <v>135</v>
      </c>
      <c r="B14" s="183">
        <v>10024917</v>
      </c>
      <c r="C14" s="183">
        <v>7524212.1440000013</v>
      </c>
      <c r="D14" s="183">
        <v>1101387.0109999995</v>
      </c>
      <c r="E14" s="541">
        <f t="shared" si="0"/>
        <v>1.1013870109999995</v>
      </c>
    </row>
    <row r="15" spans="1:6" x14ac:dyDescent="0.35">
      <c r="A15" t="s">
        <v>29</v>
      </c>
      <c r="B15" s="183">
        <v>2309023</v>
      </c>
      <c r="C15" s="183">
        <v>-206494.97199999998</v>
      </c>
      <c r="D15" s="183">
        <v>1094958.652</v>
      </c>
      <c r="E15" s="541">
        <f t="shared" si="0"/>
        <v>1.0949586520000001</v>
      </c>
    </row>
    <row r="16" spans="1:6" x14ac:dyDescent="0.35">
      <c r="A16" t="s">
        <v>43</v>
      </c>
      <c r="B16" s="183">
        <v>1683996</v>
      </c>
      <c r="C16" s="183">
        <v>-568031.91999999993</v>
      </c>
      <c r="D16" s="183">
        <v>1091283.57</v>
      </c>
      <c r="E16" s="541">
        <f t="shared" si="0"/>
        <v>1.0912835700000001</v>
      </c>
    </row>
    <row r="17" spans="1:6" x14ac:dyDescent="0.35">
      <c r="A17" t="s">
        <v>377</v>
      </c>
      <c r="B17" s="183">
        <v>984151</v>
      </c>
      <c r="C17" s="183">
        <v>-380972.67999999993</v>
      </c>
      <c r="D17" s="183">
        <v>939169.49</v>
      </c>
    </row>
    <row r="18" spans="1:6" x14ac:dyDescent="0.35">
      <c r="A18" t="s">
        <v>39</v>
      </c>
      <c r="B18" s="183">
        <v>1971328</v>
      </c>
      <c r="C18" s="183">
        <v>177638.42600000009</v>
      </c>
      <c r="D18" s="183">
        <v>888285.16399999999</v>
      </c>
      <c r="F18" s="183">
        <v>5080</v>
      </c>
    </row>
    <row r="19" spans="1:6" x14ac:dyDescent="0.35">
      <c r="A19" t="s">
        <v>63</v>
      </c>
      <c r="B19" s="183">
        <v>851328</v>
      </c>
      <c r="C19" s="183">
        <v>-733179.16</v>
      </c>
      <c r="D19" s="183">
        <v>776832.53</v>
      </c>
    </row>
    <row r="20" spans="1:6" x14ac:dyDescent="0.35">
      <c r="A20" t="s">
        <v>565</v>
      </c>
      <c r="B20" s="183">
        <v>887069</v>
      </c>
      <c r="C20" s="183">
        <v>-635237.91</v>
      </c>
      <c r="D20" s="183">
        <v>766350.5</v>
      </c>
    </row>
    <row r="21" spans="1:6" x14ac:dyDescent="0.35">
      <c r="A21" t="s">
        <v>27</v>
      </c>
      <c r="B21" s="183">
        <v>2475872</v>
      </c>
      <c r="C21" s="183">
        <v>679738.08</v>
      </c>
      <c r="D21" s="183">
        <v>754143.22</v>
      </c>
    </row>
    <row r="22" spans="1:6" x14ac:dyDescent="0.35">
      <c r="A22" t="s">
        <v>110</v>
      </c>
      <c r="B22" s="183">
        <v>2399560</v>
      </c>
      <c r="C22" s="183">
        <v>640624.36049999984</v>
      </c>
      <c r="D22" s="183">
        <v>729420.49375000002</v>
      </c>
    </row>
    <row r="23" spans="1:6" x14ac:dyDescent="0.35">
      <c r="A23" t="s">
        <v>31</v>
      </c>
      <c r="B23" s="183">
        <v>9642106</v>
      </c>
      <c r="C23" s="183">
        <v>7931620.5740000019</v>
      </c>
      <c r="D23" s="183">
        <v>593823.826</v>
      </c>
      <c r="F23" s="183">
        <v>10878.689999999999</v>
      </c>
    </row>
    <row r="24" spans="1:6" x14ac:dyDescent="0.35">
      <c r="A24" t="s">
        <v>89</v>
      </c>
      <c r="B24" s="183">
        <v>694710</v>
      </c>
      <c r="C24" s="183">
        <v>-555768</v>
      </c>
      <c r="D24" s="183">
        <v>555768</v>
      </c>
    </row>
    <row r="25" spans="1:6" x14ac:dyDescent="0.35">
      <c r="A25" t="s">
        <v>21</v>
      </c>
      <c r="B25" s="183">
        <v>1929837</v>
      </c>
      <c r="C25" s="183">
        <v>212836.39200000011</v>
      </c>
      <c r="D25" s="183">
        <v>538928.04800000007</v>
      </c>
    </row>
    <row r="26" spans="1:6" x14ac:dyDescent="0.35">
      <c r="A26" t="s">
        <v>33</v>
      </c>
      <c r="B26" s="183">
        <v>1849204</v>
      </c>
      <c r="C26" s="183">
        <v>582277.42599999998</v>
      </c>
      <c r="D26" s="183">
        <v>511651.42600000004</v>
      </c>
      <c r="F26" s="183">
        <v>15800</v>
      </c>
    </row>
    <row r="27" spans="1:6" x14ac:dyDescent="0.35">
      <c r="A27" t="s">
        <v>35</v>
      </c>
      <c r="B27" s="183">
        <v>1329212</v>
      </c>
      <c r="C27" s="183">
        <v>203306.72100000002</v>
      </c>
      <c r="D27" s="183">
        <v>500374.61399999994</v>
      </c>
    </row>
    <row r="29" spans="1:6" x14ac:dyDescent="0.35">
      <c r="A29" s="540" t="s">
        <v>1269</v>
      </c>
      <c r="D29" s="183" t="s">
        <v>1270</v>
      </c>
      <c r="E29" s="183" t="s">
        <v>1270</v>
      </c>
    </row>
    <row r="30" spans="1:6" x14ac:dyDescent="0.35">
      <c r="A30" t="s">
        <v>202</v>
      </c>
      <c r="B30" s="183">
        <v>9725515</v>
      </c>
      <c r="C30" s="183">
        <v>8709071.5199999996</v>
      </c>
      <c r="D30" s="183">
        <v>486493.65000000037</v>
      </c>
      <c r="E30" s="277">
        <f>D30/1000</f>
        <v>486.4936500000004</v>
      </c>
    </row>
    <row r="31" spans="1:6" x14ac:dyDescent="0.35">
      <c r="A31" t="s">
        <v>119</v>
      </c>
      <c r="B31" s="183">
        <v>611501</v>
      </c>
      <c r="C31" s="183">
        <v>-15484.445999999996</v>
      </c>
      <c r="D31" s="183">
        <v>397987.68599999999</v>
      </c>
      <c r="E31" s="277">
        <f t="shared" ref="E31:E70" si="1">D31/1000</f>
        <v>397.987686</v>
      </c>
    </row>
    <row r="32" spans="1:6" x14ac:dyDescent="0.35">
      <c r="A32" t="s">
        <v>59</v>
      </c>
      <c r="B32" s="183">
        <v>2801253</v>
      </c>
      <c r="C32" s="183">
        <v>1770382.8420000002</v>
      </c>
      <c r="D32" s="183">
        <v>391486.74800000002</v>
      </c>
      <c r="E32" s="277">
        <f t="shared" si="1"/>
        <v>391.48674800000003</v>
      </c>
    </row>
    <row r="33" spans="1:6" x14ac:dyDescent="0.35">
      <c r="A33" t="s">
        <v>132</v>
      </c>
      <c r="B33" s="183">
        <v>15165927</v>
      </c>
      <c r="C33" s="183">
        <v>14216979.601</v>
      </c>
      <c r="D33" s="183">
        <v>346063.5004999995</v>
      </c>
      <c r="E33" s="277">
        <f t="shared" si="1"/>
        <v>346.06350049999952</v>
      </c>
    </row>
    <row r="34" spans="1:6" x14ac:dyDescent="0.35">
      <c r="A34" t="s">
        <v>466</v>
      </c>
      <c r="B34" s="183">
        <v>319000</v>
      </c>
      <c r="C34" s="183">
        <v>-319000</v>
      </c>
      <c r="D34" s="183">
        <v>319000</v>
      </c>
      <c r="E34" s="277">
        <f t="shared" si="1"/>
        <v>319</v>
      </c>
    </row>
    <row r="35" spans="1:6" x14ac:dyDescent="0.35">
      <c r="A35" t="s">
        <v>559</v>
      </c>
      <c r="B35" s="183">
        <v>1732520</v>
      </c>
      <c r="C35" s="183">
        <v>1356280.6300000001</v>
      </c>
      <c r="D35" s="183">
        <v>292771.3600000001</v>
      </c>
      <c r="E35" s="277">
        <f t="shared" si="1"/>
        <v>292.77136000000013</v>
      </c>
    </row>
    <row r="36" spans="1:6" x14ac:dyDescent="0.35">
      <c r="A36" t="s">
        <v>390</v>
      </c>
      <c r="B36" s="183">
        <v>30000</v>
      </c>
      <c r="C36" s="183">
        <v>-197196</v>
      </c>
      <c r="D36" s="183">
        <v>217834</v>
      </c>
      <c r="E36" s="277">
        <f t="shared" si="1"/>
        <v>217.834</v>
      </c>
    </row>
    <row r="37" spans="1:6" x14ac:dyDescent="0.35">
      <c r="A37" t="s">
        <v>142</v>
      </c>
      <c r="B37" s="183">
        <v>1009055</v>
      </c>
      <c r="C37" s="183">
        <v>557295.90799999994</v>
      </c>
      <c r="D37" s="183">
        <v>155516.47200000001</v>
      </c>
      <c r="E37" s="277">
        <f t="shared" si="1"/>
        <v>155.51647200000002</v>
      </c>
    </row>
    <row r="38" spans="1:6" x14ac:dyDescent="0.35">
      <c r="A38" t="s">
        <v>137</v>
      </c>
      <c r="B38" s="183">
        <v>295592</v>
      </c>
      <c r="C38" s="183">
        <v>10645.303999999996</v>
      </c>
      <c r="D38" s="183">
        <v>121246.97600000001</v>
      </c>
      <c r="E38" s="277">
        <f t="shared" si="1"/>
        <v>121.246976</v>
      </c>
    </row>
    <row r="39" spans="1:6" x14ac:dyDescent="0.35">
      <c r="A39" t="s">
        <v>367</v>
      </c>
      <c r="B39" s="183">
        <v>1080475</v>
      </c>
      <c r="C39" s="183">
        <v>977021.75999999989</v>
      </c>
      <c r="D39" s="183">
        <v>76190.370000000083</v>
      </c>
      <c r="E39" s="277">
        <f t="shared" si="1"/>
        <v>76.190370000000087</v>
      </c>
    </row>
    <row r="40" spans="1:6" x14ac:dyDescent="0.35">
      <c r="A40" t="s">
        <v>416</v>
      </c>
      <c r="B40" s="183">
        <v>64000</v>
      </c>
      <c r="C40" s="183">
        <v>-51170</v>
      </c>
      <c r="D40" s="183">
        <v>75585</v>
      </c>
      <c r="E40" s="277">
        <f t="shared" si="1"/>
        <v>75.584999999999994</v>
      </c>
    </row>
    <row r="41" spans="1:6" x14ac:dyDescent="0.35">
      <c r="A41" t="s">
        <v>66</v>
      </c>
      <c r="B41" s="183">
        <v>85230</v>
      </c>
      <c r="C41" s="183">
        <v>-54198.866000000002</v>
      </c>
      <c r="D41" s="183">
        <v>67486.766000000003</v>
      </c>
      <c r="E41" s="277">
        <f t="shared" si="1"/>
        <v>67.486766000000003</v>
      </c>
    </row>
    <row r="42" spans="1:6" x14ac:dyDescent="0.35">
      <c r="A42" t="s">
        <v>385</v>
      </c>
      <c r="B42" s="183">
        <v>22819178</v>
      </c>
      <c r="C42" s="183">
        <v>23384872.958000004</v>
      </c>
      <c r="D42" s="183">
        <v>67124.351999999635</v>
      </c>
      <c r="E42" s="277">
        <f t="shared" si="1"/>
        <v>67.124351999999632</v>
      </c>
      <c r="F42" s="183">
        <v>43854.340000000317</v>
      </c>
    </row>
    <row r="43" spans="1:6" x14ac:dyDescent="0.35">
      <c r="A43" t="s">
        <v>112</v>
      </c>
      <c r="B43" s="183">
        <v>2520394</v>
      </c>
      <c r="C43" s="183">
        <v>1279974.1499999999</v>
      </c>
      <c r="D43" s="183">
        <v>66672.560000000027</v>
      </c>
      <c r="E43" s="277">
        <f t="shared" si="1"/>
        <v>66.672560000000033</v>
      </c>
      <c r="F43" s="183">
        <v>6652.0000000000146</v>
      </c>
    </row>
    <row r="44" spans="1:6" x14ac:dyDescent="0.35">
      <c r="A44" t="s">
        <v>443</v>
      </c>
      <c r="B44" s="183">
        <v>314495</v>
      </c>
      <c r="C44" s="183">
        <v>180915.00199999998</v>
      </c>
      <c r="D44" s="183">
        <v>64555.637999999992</v>
      </c>
      <c r="E44" s="277">
        <f t="shared" si="1"/>
        <v>64.555637999999988</v>
      </c>
    </row>
    <row r="45" spans="1:6" x14ac:dyDescent="0.35">
      <c r="A45" t="s">
        <v>51</v>
      </c>
      <c r="B45" s="183">
        <v>777324</v>
      </c>
      <c r="C45" s="183">
        <v>562272.86400000006</v>
      </c>
      <c r="D45" s="183">
        <v>54182.145999999986</v>
      </c>
      <c r="E45" s="277">
        <f t="shared" si="1"/>
        <v>54.182145999999989</v>
      </c>
    </row>
    <row r="46" spans="1:6" x14ac:dyDescent="0.35">
      <c r="A46" t="s">
        <v>25</v>
      </c>
      <c r="B46" s="183">
        <v>4034063</v>
      </c>
      <c r="C46" s="183">
        <v>3412697.0659999996</v>
      </c>
      <c r="D46" s="183">
        <v>45758.944000000265</v>
      </c>
      <c r="E46" s="277">
        <f t="shared" si="1"/>
        <v>45.758944000000263</v>
      </c>
    </row>
    <row r="47" spans="1:6" x14ac:dyDescent="0.35">
      <c r="A47" t="s">
        <v>418</v>
      </c>
      <c r="B47" s="183">
        <v>1044290</v>
      </c>
      <c r="C47" s="183">
        <v>932788.96</v>
      </c>
      <c r="D47" s="183">
        <v>45070</v>
      </c>
      <c r="E47" s="277">
        <f t="shared" si="1"/>
        <v>45.07</v>
      </c>
    </row>
    <row r="48" spans="1:6" x14ac:dyDescent="0.35">
      <c r="A48" t="s">
        <v>400</v>
      </c>
      <c r="B48" s="183">
        <v>53000</v>
      </c>
      <c r="C48" s="183">
        <v>-22637.313999999998</v>
      </c>
      <c r="D48" s="183">
        <v>42805.584000000003</v>
      </c>
      <c r="E48" s="277">
        <f t="shared" si="1"/>
        <v>42.805584000000003</v>
      </c>
    </row>
    <row r="49" spans="1:6" x14ac:dyDescent="0.35">
      <c r="A49" t="s">
        <v>41</v>
      </c>
      <c r="B49" s="183">
        <v>50000</v>
      </c>
      <c r="C49" s="183">
        <v>-40000</v>
      </c>
      <c r="D49" s="183">
        <v>40000</v>
      </c>
      <c r="E49" s="277">
        <f t="shared" si="1"/>
        <v>40</v>
      </c>
    </row>
    <row r="50" spans="1:6" x14ac:dyDescent="0.35">
      <c r="A50" t="s">
        <v>362</v>
      </c>
      <c r="B50" s="183">
        <v>9192788</v>
      </c>
      <c r="C50" s="183">
        <v>9132865.6199999992</v>
      </c>
      <c r="D50" s="183">
        <v>39941.189999999711</v>
      </c>
      <c r="E50" s="277">
        <f t="shared" si="1"/>
        <v>39.941189999999715</v>
      </c>
    </row>
    <row r="51" spans="1:6" x14ac:dyDescent="0.35">
      <c r="A51" t="s">
        <v>380</v>
      </c>
      <c r="B51" s="183">
        <v>50000</v>
      </c>
      <c r="C51" s="183">
        <v>-20564</v>
      </c>
      <c r="D51" s="183">
        <v>35282</v>
      </c>
      <c r="E51" s="277">
        <f t="shared" si="1"/>
        <v>35.281999999999996</v>
      </c>
    </row>
    <row r="52" spans="1:6" x14ac:dyDescent="0.35">
      <c r="A52" t="s">
        <v>422</v>
      </c>
      <c r="B52" s="183">
        <v>140000</v>
      </c>
      <c r="C52" s="183">
        <v>92773.68</v>
      </c>
      <c r="D52" s="183">
        <v>26828.160000000003</v>
      </c>
      <c r="E52" s="277">
        <f t="shared" si="1"/>
        <v>26.828160000000004</v>
      </c>
    </row>
    <row r="53" spans="1:6" x14ac:dyDescent="0.35">
      <c r="A53" t="s">
        <v>95</v>
      </c>
      <c r="B53" s="183">
        <v>2080385</v>
      </c>
      <c r="C53" s="183">
        <v>1956377.8799999976</v>
      </c>
      <c r="D53" s="183">
        <v>26685.260000001312</v>
      </c>
      <c r="E53" s="277">
        <f t="shared" si="1"/>
        <v>26.68526000000131</v>
      </c>
    </row>
    <row r="54" spans="1:6" x14ac:dyDescent="0.35">
      <c r="A54" t="s">
        <v>646</v>
      </c>
      <c r="B54" s="183">
        <v>35000</v>
      </c>
      <c r="C54" s="183">
        <v>-15000</v>
      </c>
      <c r="D54" s="183">
        <v>25000</v>
      </c>
      <c r="E54" s="277">
        <f t="shared" si="1"/>
        <v>25</v>
      </c>
    </row>
    <row r="55" spans="1:6" x14ac:dyDescent="0.35">
      <c r="A55" t="s">
        <v>392</v>
      </c>
      <c r="B55" s="183">
        <v>26000</v>
      </c>
      <c r="C55" s="183">
        <v>-15952</v>
      </c>
      <c r="D55" s="183">
        <v>20976</v>
      </c>
      <c r="E55" s="277">
        <f t="shared" si="1"/>
        <v>20.975999999999999</v>
      </c>
    </row>
    <row r="56" spans="1:6" x14ac:dyDescent="0.35">
      <c r="A56" t="s">
        <v>354</v>
      </c>
      <c r="B56" s="183">
        <v>110000</v>
      </c>
      <c r="C56" s="183">
        <v>-10000</v>
      </c>
      <c r="D56" s="183">
        <v>20000</v>
      </c>
      <c r="E56" s="277">
        <f t="shared" si="1"/>
        <v>20</v>
      </c>
    </row>
    <row r="57" spans="1:6" x14ac:dyDescent="0.35">
      <c r="A57" t="s">
        <v>394</v>
      </c>
      <c r="B57" s="183">
        <v>20000</v>
      </c>
      <c r="C57" s="183">
        <v>-20000</v>
      </c>
      <c r="D57" s="183">
        <v>20000</v>
      </c>
      <c r="E57" s="277">
        <f t="shared" si="1"/>
        <v>20</v>
      </c>
    </row>
    <row r="58" spans="1:6" x14ac:dyDescent="0.35">
      <c r="A58" t="s">
        <v>68</v>
      </c>
      <c r="B58" s="183">
        <v>63812</v>
      </c>
      <c r="C58" s="183">
        <v>27812</v>
      </c>
      <c r="D58" s="183">
        <v>16000</v>
      </c>
      <c r="E58" s="277">
        <f t="shared" si="1"/>
        <v>16</v>
      </c>
    </row>
    <row r="59" spans="1:6" x14ac:dyDescent="0.35">
      <c r="A59" t="s">
        <v>479</v>
      </c>
      <c r="B59" s="183">
        <v>1022000</v>
      </c>
      <c r="C59" s="183">
        <v>1007214.5399999999</v>
      </c>
      <c r="D59" s="183">
        <v>13551.230000000098</v>
      </c>
      <c r="E59" s="277">
        <f t="shared" si="1"/>
        <v>13.551230000000098</v>
      </c>
    </row>
    <row r="60" spans="1:6" x14ac:dyDescent="0.35">
      <c r="A60" t="s">
        <v>106</v>
      </c>
      <c r="B60" s="183">
        <v>2026663</v>
      </c>
      <c r="C60" s="183">
        <v>2242467.2800000003</v>
      </c>
      <c r="D60" s="183">
        <v>11289.069999999896</v>
      </c>
      <c r="E60" s="277">
        <f t="shared" si="1"/>
        <v>11.289069999999896</v>
      </c>
    </row>
    <row r="61" spans="1:6" x14ac:dyDescent="0.35">
      <c r="A61" t="s">
        <v>426</v>
      </c>
      <c r="B61" s="183">
        <v>336000</v>
      </c>
      <c r="C61" s="183">
        <v>277439.5</v>
      </c>
      <c r="D61" s="183">
        <v>9280.25</v>
      </c>
      <c r="E61" s="277">
        <f t="shared" si="1"/>
        <v>9.2802500000000006</v>
      </c>
    </row>
    <row r="62" spans="1:6" x14ac:dyDescent="0.35">
      <c r="A62" t="s">
        <v>398</v>
      </c>
      <c r="B62" s="183">
        <v>10000</v>
      </c>
      <c r="C62" s="183">
        <v>-8304</v>
      </c>
      <c r="D62" s="183">
        <v>9152</v>
      </c>
      <c r="E62" s="277">
        <f t="shared" si="1"/>
        <v>9.1519999999999992</v>
      </c>
    </row>
    <row r="63" spans="1:6" x14ac:dyDescent="0.35">
      <c r="A63" t="s">
        <v>573</v>
      </c>
      <c r="B63" s="183">
        <v>16456570</v>
      </c>
      <c r="C63" s="183">
        <v>16189555.700000001</v>
      </c>
      <c r="D63" s="183">
        <v>4750.4000000003725</v>
      </c>
      <c r="E63" s="277">
        <f t="shared" si="1"/>
        <v>4.7504000000003721</v>
      </c>
    </row>
    <row r="64" spans="1:6" x14ac:dyDescent="0.35">
      <c r="A64" t="s">
        <v>357</v>
      </c>
      <c r="B64" s="183">
        <v>965000</v>
      </c>
      <c r="C64" s="183">
        <v>960972.58199999994</v>
      </c>
      <c r="D64" s="183">
        <v>4551.2080000000087</v>
      </c>
      <c r="E64" s="277">
        <f t="shared" si="1"/>
        <v>4.5512080000000088</v>
      </c>
      <c r="F64" s="183">
        <v>31584.110000000015</v>
      </c>
    </row>
    <row r="65" spans="1:6" x14ac:dyDescent="0.35">
      <c r="A65" t="s">
        <v>459</v>
      </c>
      <c r="B65" s="183">
        <v>4000</v>
      </c>
      <c r="C65" s="183">
        <v>-3200</v>
      </c>
      <c r="D65" s="183">
        <v>3200</v>
      </c>
      <c r="E65" s="277">
        <f t="shared" si="1"/>
        <v>3.2</v>
      </c>
    </row>
    <row r="66" spans="1:6" x14ac:dyDescent="0.35">
      <c r="A66" t="s">
        <v>413</v>
      </c>
      <c r="B66" s="183">
        <v>99510</v>
      </c>
      <c r="C66" s="183">
        <v>61255</v>
      </c>
      <c r="D66" s="183">
        <v>2750</v>
      </c>
      <c r="E66" s="277">
        <f t="shared" si="1"/>
        <v>2.75</v>
      </c>
    </row>
    <row r="67" spans="1:6" x14ac:dyDescent="0.35">
      <c r="A67" t="s">
        <v>437</v>
      </c>
      <c r="B67" s="183">
        <v>3600</v>
      </c>
      <c r="C67" s="183">
        <v>-1814.9480000000003</v>
      </c>
      <c r="D67" s="183">
        <v>2451.0880000000002</v>
      </c>
      <c r="E67" s="277">
        <f t="shared" si="1"/>
        <v>2.4510880000000004</v>
      </c>
    </row>
    <row r="68" spans="1:6" x14ac:dyDescent="0.35">
      <c r="A68" t="s">
        <v>547</v>
      </c>
      <c r="B68" s="183">
        <v>132000</v>
      </c>
      <c r="C68" s="183">
        <v>114345.25</v>
      </c>
      <c r="D68" s="183">
        <v>1920</v>
      </c>
      <c r="E68" s="277">
        <f t="shared" si="1"/>
        <v>1.92</v>
      </c>
    </row>
    <row r="69" spans="1:6" x14ac:dyDescent="0.35">
      <c r="A69" t="s">
        <v>473</v>
      </c>
      <c r="B69" s="183">
        <v>2630114</v>
      </c>
      <c r="C69" s="183">
        <v>2286255.09</v>
      </c>
      <c r="D69" s="183">
        <v>1000</v>
      </c>
      <c r="E69" s="277">
        <f t="shared" si="1"/>
        <v>1</v>
      </c>
    </row>
    <row r="70" spans="1:6" x14ac:dyDescent="0.35">
      <c r="A70" t="s">
        <v>383</v>
      </c>
      <c r="B70" s="183">
        <v>200211</v>
      </c>
      <c r="C70" s="183">
        <v>198214.59999999998</v>
      </c>
      <c r="D70" s="183">
        <v>998.20000000001164</v>
      </c>
      <c r="E70" s="277">
        <f t="shared" si="1"/>
        <v>0.99820000000001163</v>
      </c>
    </row>
    <row r="71" spans="1:6" x14ac:dyDescent="0.35">
      <c r="A71" t="s">
        <v>369</v>
      </c>
      <c r="B71" s="183">
        <v>8878043</v>
      </c>
      <c r="C71" s="183">
        <v>8747637.2599999998</v>
      </c>
      <c r="D71" s="183">
        <v>3.2400000000307045</v>
      </c>
    </row>
    <row r="72" spans="1:6" x14ac:dyDescent="0.35">
      <c r="A72" t="s">
        <v>408</v>
      </c>
      <c r="B72" s="183">
        <v>4691229</v>
      </c>
      <c r="C72" s="183">
        <v>5548061.6299999999</v>
      </c>
      <c r="D72" s="183">
        <v>0.60999999986961484</v>
      </c>
    </row>
    <row r="73" spans="1:6" x14ac:dyDescent="0.35">
      <c r="A73" t="s">
        <v>482</v>
      </c>
      <c r="B73" s="183">
        <v>360000</v>
      </c>
      <c r="C73" s="183">
        <v>383208.86</v>
      </c>
      <c r="D73" s="183">
        <v>0.48999999999068677</v>
      </c>
    </row>
    <row r="74" spans="1:6" x14ac:dyDescent="0.35">
      <c r="A74" t="s">
        <v>403</v>
      </c>
      <c r="B74" s="183">
        <v>16839517</v>
      </c>
      <c r="C74" s="183">
        <v>19176118.940000001</v>
      </c>
      <c r="D74" s="183">
        <v>0.45999999949708581</v>
      </c>
    </row>
    <row r="75" spans="1:6" x14ac:dyDescent="0.35">
      <c r="A75" t="s">
        <v>61</v>
      </c>
      <c r="B75" s="183">
        <v>927677</v>
      </c>
      <c r="C75" s="183">
        <v>909458.5</v>
      </c>
      <c r="D75" s="183">
        <v>0.25</v>
      </c>
    </row>
    <row r="76" spans="1:6" x14ac:dyDescent="0.35">
      <c r="A76" t="s">
        <v>435</v>
      </c>
      <c r="B76" s="183">
        <v>520230</v>
      </c>
      <c r="C76" s="183">
        <v>613400</v>
      </c>
      <c r="D76" s="183">
        <v>0</v>
      </c>
      <c r="F76" s="183">
        <v>94130</v>
      </c>
    </row>
    <row r="77" spans="1:6" x14ac:dyDescent="0.35">
      <c r="A77" t="s">
        <v>432</v>
      </c>
      <c r="B77" s="183">
        <v>383200</v>
      </c>
      <c r="C77" s="183">
        <v>352725</v>
      </c>
      <c r="D77" s="183">
        <v>0</v>
      </c>
      <c r="F77" s="183">
        <v>88200</v>
      </c>
    </row>
    <row r="78" spans="1:6" x14ac:dyDescent="0.35">
      <c r="A78" t="s">
        <v>737</v>
      </c>
      <c r="B78" s="183">
        <v>0</v>
      </c>
      <c r="C78" s="183">
        <v>2000</v>
      </c>
      <c r="D78" s="183">
        <v>0</v>
      </c>
      <c r="F78" s="183">
        <v>2000</v>
      </c>
    </row>
    <row r="79" spans="1:6" x14ac:dyDescent="0.35">
      <c r="A79" t="s">
        <v>475</v>
      </c>
      <c r="B79" s="183">
        <v>2198728</v>
      </c>
      <c r="C79" s="183">
        <v>2072538.54</v>
      </c>
      <c r="D79" s="183">
        <v>0</v>
      </c>
    </row>
    <row r="80" spans="1:6" x14ac:dyDescent="0.35">
      <c r="A80" t="s">
        <v>102</v>
      </c>
      <c r="B80" s="183">
        <v>240000</v>
      </c>
      <c r="C80" s="183">
        <v>240000</v>
      </c>
      <c r="D80" s="183">
        <v>0</v>
      </c>
    </row>
    <row r="81" spans="1:6" x14ac:dyDescent="0.35">
      <c r="A81" t="s">
        <v>46</v>
      </c>
      <c r="B81" s="183">
        <v>550028</v>
      </c>
      <c r="C81" s="183">
        <v>550028</v>
      </c>
      <c r="D81" s="183">
        <v>0</v>
      </c>
    </row>
    <row r="82" spans="1:6" x14ac:dyDescent="0.35">
      <c r="A82" t="s">
        <v>104</v>
      </c>
      <c r="B82" s="183">
        <v>4816800</v>
      </c>
      <c r="C82" s="183">
        <v>3545144.699</v>
      </c>
      <c r="D82" s="183">
        <v>0</v>
      </c>
    </row>
    <row r="83" spans="1:6" x14ac:dyDescent="0.35">
      <c r="A83" t="s">
        <v>622</v>
      </c>
      <c r="B83" s="183">
        <v>172400</v>
      </c>
      <c r="C83" s="183">
        <v>172400</v>
      </c>
      <c r="D83" s="183">
        <v>0</v>
      </c>
    </row>
    <row r="84" spans="1:6" x14ac:dyDescent="0.35">
      <c r="A84" t="s">
        <v>439</v>
      </c>
      <c r="B84" s="183">
        <v>124500</v>
      </c>
      <c r="C84" s="183">
        <v>104993.1299999999</v>
      </c>
      <c r="D84" s="183">
        <v>-0.16999999989639036</v>
      </c>
    </row>
    <row r="85" spans="1:6" x14ac:dyDescent="0.35">
      <c r="A85" t="s">
        <v>424</v>
      </c>
      <c r="B85" s="183">
        <v>1653455</v>
      </c>
      <c r="C85" s="183">
        <v>1763912.1120000002</v>
      </c>
      <c r="D85" s="183">
        <v>-2944.661999999988</v>
      </c>
    </row>
    <row r="86" spans="1:6" x14ac:dyDescent="0.35">
      <c r="A86" t="s">
        <v>224</v>
      </c>
      <c r="B86" s="183">
        <v>2840815</v>
      </c>
      <c r="C86" s="183">
        <v>2563382.196</v>
      </c>
      <c r="D86" s="183">
        <v>-27240.365999999951</v>
      </c>
    </row>
    <row r="87" spans="1:6" x14ac:dyDescent="0.35">
      <c r="A87" t="s">
        <v>607</v>
      </c>
      <c r="B87" s="183">
        <v>200000</v>
      </c>
      <c r="C87" s="183">
        <v>464166</v>
      </c>
      <c r="D87" s="183">
        <v>-120000</v>
      </c>
      <c r="F87" s="183">
        <v>66666</v>
      </c>
    </row>
    <row r="88" spans="1:6" x14ac:dyDescent="0.35">
      <c r="A88" t="s">
        <v>55</v>
      </c>
      <c r="B88" s="183">
        <v>5917464</v>
      </c>
      <c r="C88" s="183">
        <v>7570186.3700000001</v>
      </c>
      <c r="D88" s="183">
        <v>-887554.22</v>
      </c>
    </row>
    <row r="89" spans="1:6" x14ac:dyDescent="0.35">
      <c r="A89" t="s">
        <v>719</v>
      </c>
      <c r="B89" s="183">
        <v>579850000</v>
      </c>
      <c r="C89" s="183">
        <v>549338348.94373345</v>
      </c>
      <c r="D89" s="183">
        <v>29224243.171466652</v>
      </c>
      <c r="F89" s="183">
        <v>26381942.93</v>
      </c>
    </row>
  </sheetData>
  <sortState xmlns:xlrd2="http://schemas.microsoft.com/office/spreadsheetml/2017/richdata2" ref="A9:E86">
    <sortCondition descending="1" ref="D9:D86"/>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rgb="FF00B050"/>
  </sheetPr>
  <dimension ref="A1:AU518"/>
  <sheetViews>
    <sheetView showGridLines="0" topLeftCell="AK1" zoomScale="80" zoomScaleNormal="80" workbookViewId="0">
      <pane ySplit="1" topLeftCell="A452" activePane="bottomLeft" state="frozen"/>
      <selection activeCell="B102" sqref="B102"/>
      <selection pane="bottomLeft" activeCell="AR493" sqref="AR493"/>
    </sheetView>
  </sheetViews>
  <sheetFormatPr defaultColWidth="8.7265625" defaultRowHeight="14.5" x14ac:dyDescent="0.35"/>
  <cols>
    <col min="1" max="1" width="21.1796875" style="1" customWidth="1"/>
    <col min="2" max="2" width="17.26953125" style="226" customWidth="1"/>
    <col min="3" max="3" width="15.81640625" style="1" customWidth="1"/>
    <col min="4" max="4" width="12.453125" style="1" bestFit="1" customWidth="1"/>
    <col min="5" max="5" width="35.81640625" style="1" customWidth="1"/>
    <col min="6" max="6" width="10.1796875" style="1" bestFit="1" customWidth="1"/>
    <col min="7" max="7" width="32.1796875" style="1" customWidth="1"/>
    <col min="8" max="9" width="33.54296875" style="1" customWidth="1"/>
    <col min="10" max="10" width="16.54296875" style="1" customWidth="1"/>
    <col min="11" max="11" width="18.81640625" style="1" bestFit="1" customWidth="1"/>
    <col min="12" max="12" width="10.54296875" style="1" bestFit="1" customWidth="1"/>
    <col min="13" max="13" width="10.81640625" style="1" bestFit="1" customWidth="1"/>
    <col min="14" max="14" width="18.81640625" style="1" bestFit="1" customWidth="1"/>
    <col min="15" max="15" width="14" style="1" customWidth="1"/>
    <col min="16" max="16" width="14.1796875" style="1" customWidth="1"/>
    <col min="17" max="17" width="14.1796875" style="211" customWidth="1"/>
    <col min="18" max="18" width="27.1796875" style="1" customWidth="1"/>
    <col min="19" max="19" width="15.54296875" style="211" customWidth="1"/>
    <col min="20" max="21" width="28.54296875" style="1" customWidth="1"/>
    <col min="22" max="24" width="23.1796875" style="1" customWidth="1"/>
    <col min="25" max="25" width="16.54296875" style="1" customWidth="1"/>
    <col min="26" max="26" width="10.7265625" style="1" customWidth="1"/>
    <col min="27" max="27" width="20.54296875" style="211" customWidth="1"/>
    <col min="28" max="28" width="20.1796875" style="211" customWidth="1"/>
    <col min="29" max="30" width="14.7265625" style="211" customWidth="1"/>
    <col min="31" max="31" width="19.54296875" style="211" customWidth="1"/>
    <col min="32" max="32" width="21.54296875" style="211" customWidth="1"/>
    <col min="33" max="33" width="11.1796875" style="211" customWidth="1"/>
    <col min="34" max="34" width="18.81640625" style="1" customWidth="1"/>
    <col min="35" max="35" width="42.1796875" style="1" bestFit="1" customWidth="1"/>
    <col min="36" max="40" width="18.81640625" style="1" customWidth="1"/>
    <col min="41" max="41" width="18" style="1" customWidth="1"/>
    <col min="42" max="42" width="15.1796875" style="1" customWidth="1"/>
    <col min="43" max="43" width="13.453125" style="1" bestFit="1" customWidth="1"/>
    <col min="44" max="44" width="26.453125" style="1" customWidth="1"/>
    <col min="45" max="45" width="23.54296875" style="1" customWidth="1"/>
    <col min="46" max="46" width="32.1796875" style="1" customWidth="1"/>
    <col min="47" max="47" width="11.453125" style="479" bestFit="1" customWidth="1"/>
    <col min="48" max="16384" width="8.7265625" style="1"/>
  </cols>
  <sheetData>
    <row r="1" spans="1:47" s="413" customFormat="1" ht="60" x14ac:dyDescent="0.35">
      <c r="A1" s="402" t="s">
        <v>1187</v>
      </c>
      <c r="B1" s="402" t="s">
        <v>959</v>
      </c>
      <c r="C1" s="402" t="s">
        <v>1</v>
      </c>
      <c r="D1" s="403" t="s">
        <v>2</v>
      </c>
      <c r="E1" s="404" t="s">
        <v>3</v>
      </c>
      <c r="F1" s="405" t="s">
        <v>4</v>
      </c>
      <c r="G1" s="402" t="s">
        <v>5</v>
      </c>
      <c r="H1" s="403" t="s">
        <v>6</v>
      </c>
      <c r="I1" s="403" t="s">
        <v>7</v>
      </c>
      <c r="J1" s="403" t="s">
        <v>903</v>
      </c>
      <c r="K1" s="403" t="s">
        <v>904</v>
      </c>
      <c r="L1" s="403" t="s">
        <v>905</v>
      </c>
      <c r="M1" s="403" t="s">
        <v>906</v>
      </c>
      <c r="N1" s="404" t="s">
        <v>907</v>
      </c>
      <c r="O1" s="405" t="s">
        <v>13</v>
      </c>
      <c r="P1" s="405" t="s">
        <v>14</v>
      </c>
      <c r="Q1" s="406" t="s">
        <v>15</v>
      </c>
      <c r="R1" s="407" t="s">
        <v>16</v>
      </c>
      <c r="S1" s="406" t="s">
        <v>925</v>
      </c>
      <c r="T1" s="408" t="s">
        <v>18</v>
      </c>
      <c r="U1" s="551" t="s">
        <v>1249</v>
      </c>
      <c r="V1" s="262" t="s">
        <v>1245</v>
      </c>
      <c r="W1" s="262" t="s">
        <v>1209</v>
      </c>
      <c r="X1" s="262" t="s">
        <v>1210</v>
      </c>
      <c r="Y1" s="409" t="s">
        <v>721</v>
      </c>
      <c r="Z1" s="410" t="s">
        <v>941</v>
      </c>
      <c r="AA1" s="411" t="s">
        <v>926</v>
      </c>
      <c r="AB1" s="411" t="s">
        <v>927</v>
      </c>
      <c r="AC1" s="411" t="s">
        <v>928</v>
      </c>
      <c r="AD1" s="411" t="s">
        <v>929</v>
      </c>
      <c r="AE1" s="411" t="s">
        <v>930</v>
      </c>
      <c r="AF1" s="412" t="s">
        <v>1202</v>
      </c>
      <c r="AG1" s="412" t="s">
        <v>1203</v>
      </c>
      <c r="AH1" s="413" t="s">
        <v>1204</v>
      </c>
      <c r="AI1" s="413" t="s">
        <v>1215</v>
      </c>
      <c r="AJ1" s="446" t="s">
        <v>1212</v>
      </c>
      <c r="AK1" s="446" t="s">
        <v>1213</v>
      </c>
      <c r="AL1" s="446" t="s">
        <v>1221</v>
      </c>
      <c r="AM1" s="446" t="s">
        <v>1214</v>
      </c>
      <c r="AN1" s="446" t="s">
        <v>1220</v>
      </c>
      <c r="AO1" s="411" t="s">
        <v>1183</v>
      </c>
      <c r="AP1" s="411" t="s">
        <v>1184</v>
      </c>
      <c r="AQ1" s="411" t="s">
        <v>1185</v>
      </c>
      <c r="AR1" s="414" t="s">
        <v>1208</v>
      </c>
      <c r="AS1" s="444" t="s">
        <v>1211</v>
      </c>
      <c r="AT1" s="446" t="s">
        <v>1222</v>
      </c>
      <c r="AU1" s="476"/>
    </row>
    <row r="2" spans="1:47" s="35" customFormat="1" ht="29" hidden="1" x14ac:dyDescent="0.35">
      <c r="A2" s="35" t="s">
        <v>1191</v>
      </c>
      <c r="B2" s="224" t="s">
        <v>943</v>
      </c>
      <c r="C2" s="222" t="s">
        <v>19</v>
      </c>
      <c r="D2" s="136">
        <v>8470110</v>
      </c>
      <c r="E2" s="137" t="s">
        <v>20</v>
      </c>
      <c r="F2" s="138">
        <v>420550</v>
      </c>
      <c r="G2" s="137" t="s">
        <v>21</v>
      </c>
      <c r="H2" s="137" t="s">
        <v>22</v>
      </c>
      <c r="I2" s="137">
        <v>30000</v>
      </c>
      <c r="J2" s="140">
        <v>27000</v>
      </c>
      <c r="K2" s="147"/>
      <c r="L2" s="142"/>
      <c r="M2" s="143"/>
      <c r="N2" s="144">
        <f t="shared" ref="N2:N65" si="0">J2-K2-L2-M2</f>
        <v>27000</v>
      </c>
      <c r="O2" s="145"/>
      <c r="P2" s="145"/>
      <c r="Q2" s="145"/>
      <c r="R2" s="146"/>
      <c r="S2" s="139">
        <f t="shared" ref="S2:S65" si="1">N2-O2-P2-Q2</f>
        <v>27000</v>
      </c>
      <c r="T2" s="172"/>
      <c r="U2" s="137" t="s">
        <v>22</v>
      </c>
      <c r="V2" s="261">
        <f t="shared" ref="V2:V14" si="2">AN2*0.8</f>
        <v>21600</v>
      </c>
      <c r="W2" s="261">
        <f>V2-(AO2+AP2+AQ2)</f>
        <v>21600</v>
      </c>
      <c r="X2" s="261"/>
      <c r="Y2" s="176" t="s">
        <v>838</v>
      </c>
      <c r="Z2" s="176"/>
      <c r="AA2" s="186">
        <v>27000</v>
      </c>
      <c r="AB2" s="186">
        <v>0</v>
      </c>
      <c r="AC2" s="176">
        <v>0</v>
      </c>
      <c r="AD2" s="176">
        <v>0</v>
      </c>
      <c r="AE2" s="186">
        <v>27000</v>
      </c>
      <c r="AF2" s="35">
        <v>27000</v>
      </c>
      <c r="AG2" s="212">
        <v>0</v>
      </c>
      <c r="AH2" s="212">
        <f t="shared" ref="AH2:AH65" si="3">AE2-V2</f>
        <v>5400</v>
      </c>
      <c r="AI2" s="212" t="s">
        <v>22</v>
      </c>
      <c r="AJ2" s="212">
        <v>27000</v>
      </c>
      <c r="AK2" s="212">
        <v>0</v>
      </c>
      <c r="AL2" s="212">
        <v>0</v>
      </c>
      <c r="AM2" s="212">
        <v>0</v>
      </c>
      <c r="AN2" s="212">
        <v>27000</v>
      </c>
      <c r="AO2" s="176">
        <v>0</v>
      </c>
      <c r="AP2" s="176">
        <v>0</v>
      </c>
      <c r="AQ2" s="176">
        <v>0</v>
      </c>
      <c r="AR2" s="212">
        <f t="shared" ref="AR2:AR65" si="4">V2-AO2-AP2-AQ2</f>
        <v>21600</v>
      </c>
      <c r="AS2" s="212">
        <f t="shared" ref="AS2:AS65" si="5">AB2+AC2+AD2+Q2+AO2+AP2+AQ2</f>
        <v>0</v>
      </c>
      <c r="AT2" s="473">
        <f t="shared" ref="AT2:AT65" si="6">AK2+AL2+AM2+AO2+AP2+AQ2+X2+Q2-W2</f>
        <v>-21600</v>
      </c>
      <c r="AU2" s="477"/>
    </row>
    <row r="3" spans="1:47" s="35" customFormat="1" ht="29" hidden="1" x14ac:dyDescent="0.35">
      <c r="A3" s="35" t="s">
        <v>1191</v>
      </c>
      <c r="B3" s="224" t="s">
        <v>943</v>
      </c>
      <c r="C3" s="222" t="s">
        <v>19</v>
      </c>
      <c r="D3" s="136">
        <v>8470110</v>
      </c>
      <c r="E3" s="137" t="s">
        <v>20</v>
      </c>
      <c r="F3" s="138">
        <v>420570</v>
      </c>
      <c r="G3" s="137" t="s">
        <v>23</v>
      </c>
      <c r="H3" s="137" t="s">
        <v>24</v>
      </c>
      <c r="I3" s="137">
        <v>3705121</v>
      </c>
      <c r="J3" s="140">
        <v>1</v>
      </c>
      <c r="K3" s="147"/>
      <c r="L3" s="142"/>
      <c r="M3" s="143"/>
      <c r="N3" s="144">
        <f t="shared" si="0"/>
        <v>1</v>
      </c>
      <c r="O3" s="145"/>
      <c r="P3" s="145"/>
      <c r="Q3" s="145"/>
      <c r="R3" s="146"/>
      <c r="S3" s="139">
        <f t="shared" si="1"/>
        <v>1</v>
      </c>
      <c r="T3" s="172"/>
      <c r="U3" s="137" t="s">
        <v>24</v>
      </c>
      <c r="V3" s="261">
        <f t="shared" si="2"/>
        <v>0.8</v>
      </c>
      <c r="W3" s="261">
        <f t="shared" ref="W3:W66" si="7">V3-(AO3+AP3+AQ3)</f>
        <v>0.8</v>
      </c>
      <c r="X3" s="261"/>
      <c r="Y3" s="176" t="s">
        <v>838</v>
      </c>
      <c r="Z3" s="176"/>
      <c r="AA3" s="186">
        <v>1</v>
      </c>
      <c r="AB3" s="186">
        <v>0</v>
      </c>
      <c r="AC3" s="176">
        <v>0</v>
      </c>
      <c r="AD3" s="176">
        <v>0</v>
      </c>
      <c r="AE3" s="186">
        <v>1</v>
      </c>
      <c r="AF3" s="35">
        <v>1</v>
      </c>
      <c r="AG3" s="212">
        <v>0</v>
      </c>
      <c r="AH3" s="212">
        <f t="shared" si="3"/>
        <v>0.19999999999999996</v>
      </c>
      <c r="AI3" s="212" t="s">
        <v>24</v>
      </c>
      <c r="AJ3" s="212">
        <v>1</v>
      </c>
      <c r="AK3" s="212">
        <v>0</v>
      </c>
      <c r="AL3" s="212">
        <v>0</v>
      </c>
      <c r="AM3" s="212">
        <v>0</v>
      </c>
      <c r="AN3" s="212">
        <v>1</v>
      </c>
      <c r="AO3" s="176">
        <v>0</v>
      </c>
      <c r="AP3" s="176">
        <v>0</v>
      </c>
      <c r="AQ3" s="176">
        <v>0</v>
      </c>
      <c r="AR3" s="212">
        <f t="shared" si="4"/>
        <v>0.8</v>
      </c>
      <c r="AS3" s="212">
        <f t="shared" si="5"/>
        <v>0</v>
      </c>
      <c r="AT3" s="473">
        <f t="shared" si="6"/>
        <v>-0.8</v>
      </c>
      <c r="AU3" s="477"/>
    </row>
    <row r="4" spans="1:47" s="35" customFormat="1" ht="29" hidden="1" x14ac:dyDescent="0.35">
      <c r="A4" s="35" t="s">
        <v>1191</v>
      </c>
      <c r="B4" s="224" t="s">
        <v>943</v>
      </c>
      <c r="C4" s="222" t="s">
        <v>19</v>
      </c>
      <c r="D4" s="136">
        <v>8470110</v>
      </c>
      <c r="E4" s="137" t="s">
        <v>20</v>
      </c>
      <c r="F4" s="138">
        <v>420900</v>
      </c>
      <c r="G4" s="137" t="s">
        <v>25</v>
      </c>
      <c r="H4" s="137" t="s">
        <v>26</v>
      </c>
      <c r="I4" s="137">
        <v>1500</v>
      </c>
      <c r="J4" s="140">
        <v>4500</v>
      </c>
      <c r="K4" s="147"/>
      <c r="L4" s="142"/>
      <c r="M4" s="143"/>
      <c r="N4" s="144">
        <f t="shared" si="0"/>
        <v>4500</v>
      </c>
      <c r="O4" s="145"/>
      <c r="P4" s="145"/>
      <c r="Q4" s="145"/>
      <c r="R4" s="146"/>
      <c r="S4" s="139">
        <f t="shared" si="1"/>
        <v>4500</v>
      </c>
      <c r="T4" s="172"/>
      <c r="U4" s="137" t="s">
        <v>26</v>
      </c>
      <c r="V4" s="261">
        <f t="shared" si="2"/>
        <v>3600</v>
      </c>
      <c r="W4" s="261">
        <f t="shared" si="7"/>
        <v>40.800000000000182</v>
      </c>
      <c r="X4" s="261"/>
      <c r="Y4" s="176" t="s">
        <v>838</v>
      </c>
      <c r="Z4" s="176"/>
      <c r="AA4" s="186">
        <v>4500</v>
      </c>
      <c r="AB4" s="186">
        <v>0</v>
      </c>
      <c r="AC4" s="176">
        <v>0</v>
      </c>
      <c r="AD4" s="176">
        <v>0</v>
      </c>
      <c r="AE4" s="186">
        <v>4500</v>
      </c>
      <c r="AF4" s="35">
        <v>4500</v>
      </c>
      <c r="AG4" s="212">
        <v>0</v>
      </c>
      <c r="AH4" s="212">
        <f t="shared" si="3"/>
        <v>900</v>
      </c>
      <c r="AI4" s="212" t="s">
        <v>26</v>
      </c>
      <c r="AJ4" s="212">
        <v>4500</v>
      </c>
      <c r="AK4" s="212">
        <v>0</v>
      </c>
      <c r="AL4" s="212">
        <v>0</v>
      </c>
      <c r="AM4" s="212">
        <v>0</v>
      </c>
      <c r="AN4" s="212">
        <v>4500</v>
      </c>
      <c r="AO4" s="176">
        <v>0</v>
      </c>
      <c r="AP4" s="176">
        <v>3559.2</v>
      </c>
      <c r="AQ4" s="176">
        <v>0</v>
      </c>
      <c r="AR4" s="212">
        <f t="shared" si="4"/>
        <v>40.800000000000182</v>
      </c>
      <c r="AS4" s="212">
        <f t="shared" si="5"/>
        <v>3559.2</v>
      </c>
      <c r="AT4" s="473">
        <f t="shared" si="6"/>
        <v>3518.3999999999996</v>
      </c>
      <c r="AU4" s="477"/>
    </row>
    <row r="5" spans="1:47" s="35" customFormat="1" ht="29" hidden="1" x14ac:dyDescent="0.35">
      <c r="A5" s="35" t="s">
        <v>1191</v>
      </c>
      <c r="B5" s="224" t="s">
        <v>943</v>
      </c>
      <c r="C5" s="222" t="s">
        <v>19</v>
      </c>
      <c r="D5" s="136">
        <v>8470110</v>
      </c>
      <c r="E5" s="137" t="s">
        <v>20</v>
      </c>
      <c r="F5" s="138">
        <v>421000</v>
      </c>
      <c r="G5" s="137" t="s">
        <v>27</v>
      </c>
      <c r="H5" s="137" t="s">
        <v>28</v>
      </c>
      <c r="I5" s="137">
        <v>200000</v>
      </c>
      <c r="J5" s="140">
        <v>149972</v>
      </c>
      <c r="K5" s="147"/>
      <c r="L5" s="142"/>
      <c r="M5" s="143"/>
      <c r="N5" s="144">
        <f t="shared" si="0"/>
        <v>149972</v>
      </c>
      <c r="O5" s="145"/>
      <c r="P5" s="145"/>
      <c r="Q5" s="145"/>
      <c r="R5" s="146"/>
      <c r="S5" s="139">
        <f t="shared" si="1"/>
        <v>149972</v>
      </c>
      <c r="T5" s="172"/>
      <c r="U5" s="137" t="s">
        <v>28</v>
      </c>
      <c r="V5" s="261">
        <f t="shared" si="2"/>
        <v>119977.60000000001</v>
      </c>
      <c r="W5" s="261">
        <f t="shared" si="7"/>
        <v>119977.60000000001</v>
      </c>
      <c r="X5" s="261"/>
      <c r="Y5" s="176" t="s">
        <v>838</v>
      </c>
      <c r="Z5" s="176"/>
      <c r="AA5" s="186">
        <v>149972</v>
      </c>
      <c r="AB5" s="186">
        <v>0</v>
      </c>
      <c r="AC5" s="176">
        <v>0</v>
      </c>
      <c r="AD5" s="176">
        <v>0</v>
      </c>
      <c r="AE5" s="186">
        <v>149972</v>
      </c>
      <c r="AF5" s="35">
        <v>149972</v>
      </c>
      <c r="AG5" s="212">
        <v>0</v>
      </c>
      <c r="AH5" s="212">
        <f t="shared" si="3"/>
        <v>29994.399999999994</v>
      </c>
      <c r="AI5" s="212" t="s">
        <v>28</v>
      </c>
      <c r="AJ5" s="212">
        <v>149972</v>
      </c>
      <c r="AK5" s="212">
        <v>0</v>
      </c>
      <c r="AL5" s="212">
        <v>0</v>
      </c>
      <c r="AM5" s="212">
        <v>0</v>
      </c>
      <c r="AN5" s="212">
        <v>149972</v>
      </c>
      <c r="AO5" s="176">
        <v>0</v>
      </c>
      <c r="AP5" s="176">
        <v>0</v>
      </c>
      <c r="AQ5" s="176">
        <v>0</v>
      </c>
      <c r="AR5" s="212">
        <f t="shared" si="4"/>
        <v>119977.60000000001</v>
      </c>
      <c r="AS5" s="212">
        <f t="shared" si="5"/>
        <v>0</v>
      </c>
      <c r="AT5" s="473">
        <f t="shared" si="6"/>
        <v>-119977.60000000001</v>
      </c>
      <c r="AU5" s="477"/>
    </row>
    <row r="6" spans="1:47" s="35" customFormat="1" ht="29" hidden="1" x14ac:dyDescent="0.35">
      <c r="A6" s="35" t="s">
        <v>1191</v>
      </c>
      <c r="B6" s="224" t="s">
        <v>943</v>
      </c>
      <c r="C6" s="222" t="s">
        <v>19</v>
      </c>
      <c r="D6" s="136">
        <v>8470110</v>
      </c>
      <c r="E6" s="137" t="s">
        <v>20</v>
      </c>
      <c r="F6" s="138">
        <v>421700</v>
      </c>
      <c r="G6" s="137" t="s">
        <v>29</v>
      </c>
      <c r="H6" s="137" t="s">
        <v>30</v>
      </c>
      <c r="I6" s="137">
        <v>25000</v>
      </c>
      <c r="J6" s="140">
        <v>25000</v>
      </c>
      <c r="K6" s="147"/>
      <c r="L6" s="142"/>
      <c r="M6" s="143"/>
      <c r="N6" s="144">
        <f t="shared" si="0"/>
        <v>25000</v>
      </c>
      <c r="O6" s="145"/>
      <c r="P6" s="145"/>
      <c r="Q6" s="145"/>
      <c r="R6" s="146"/>
      <c r="S6" s="139">
        <f t="shared" si="1"/>
        <v>25000</v>
      </c>
      <c r="T6" s="172"/>
      <c r="U6" s="137" t="s">
        <v>30</v>
      </c>
      <c r="V6" s="261">
        <f t="shared" si="2"/>
        <v>20000</v>
      </c>
      <c r="W6" s="261">
        <f t="shared" si="7"/>
        <v>20000</v>
      </c>
      <c r="X6" s="261"/>
      <c r="Y6" s="176" t="s">
        <v>838</v>
      </c>
      <c r="Z6" s="176"/>
      <c r="AA6" s="186">
        <v>25000</v>
      </c>
      <c r="AB6" s="186">
        <v>0</v>
      </c>
      <c r="AC6" s="176">
        <v>0</v>
      </c>
      <c r="AD6" s="176">
        <v>0</v>
      </c>
      <c r="AE6" s="186">
        <v>25000</v>
      </c>
      <c r="AF6" s="35">
        <v>25000</v>
      </c>
      <c r="AG6" s="212">
        <v>0</v>
      </c>
      <c r="AH6" s="212">
        <f t="shared" si="3"/>
        <v>5000</v>
      </c>
      <c r="AI6" s="212" t="s">
        <v>30</v>
      </c>
      <c r="AJ6" s="212">
        <v>25000</v>
      </c>
      <c r="AK6" s="212">
        <v>0</v>
      </c>
      <c r="AL6" s="212">
        <v>0</v>
      </c>
      <c r="AM6" s="212">
        <v>0</v>
      </c>
      <c r="AN6" s="212">
        <v>25000</v>
      </c>
      <c r="AO6" s="176">
        <v>0</v>
      </c>
      <c r="AP6" s="176">
        <v>0</v>
      </c>
      <c r="AQ6" s="176">
        <v>0</v>
      </c>
      <c r="AR6" s="212">
        <f t="shared" si="4"/>
        <v>20000</v>
      </c>
      <c r="AS6" s="212">
        <f t="shared" si="5"/>
        <v>0</v>
      </c>
      <c r="AT6" s="473">
        <f t="shared" si="6"/>
        <v>-20000</v>
      </c>
      <c r="AU6" s="477"/>
    </row>
    <row r="7" spans="1:47" s="35" customFormat="1" ht="29" hidden="1" x14ac:dyDescent="0.35">
      <c r="A7" s="35" t="s">
        <v>1191</v>
      </c>
      <c r="B7" s="224" t="s">
        <v>943</v>
      </c>
      <c r="C7" s="222" t="s">
        <v>19</v>
      </c>
      <c r="D7" s="136">
        <v>8470110</v>
      </c>
      <c r="E7" s="137" t="s">
        <v>20</v>
      </c>
      <c r="F7" s="138">
        <v>425510</v>
      </c>
      <c r="G7" s="137" t="s">
        <v>31</v>
      </c>
      <c r="H7" s="137" t="s">
        <v>32</v>
      </c>
      <c r="I7" s="137">
        <v>300000</v>
      </c>
      <c r="J7" s="140">
        <v>300000</v>
      </c>
      <c r="K7" s="141">
        <v>40110</v>
      </c>
      <c r="L7" s="142"/>
      <c r="M7" s="143"/>
      <c r="N7" s="144">
        <f t="shared" si="0"/>
        <v>259890</v>
      </c>
      <c r="O7" s="145"/>
      <c r="P7" s="145"/>
      <c r="Q7" s="145"/>
      <c r="R7" s="146"/>
      <c r="S7" s="139">
        <f t="shared" si="1"/>
        <v>259890</v>
      </c>
      <c r="T7" s="172"/>
      <c r="U7" s="137" t="s">
        <v>32</v>
      </c>
      <c r="V7" s="261">
        <f t="shared" si="2"/>
        <v>200124</v>
      </c>
      <c r="W7" s="261">
        <f t="shared" si="7"/>
        <v>193569</v>
      </c>
      <c r="X7" s="261"/>
      <c r="Y7" s="176" t="s">
        <v>838</v>
      </c>
      <c r="Z7" s="176"/>
      <c r="AA7" s="186">
        <v>300000</v>
      </c>
      <c r="AB7" s="186">
        <v>42310</v>
      </c>
      <c r="AC7" s="176">
        <v>0</v>
      </c>
      <c r="AD7" s="176">
        <v>0</v>
      </c>
      <c r="AE7" s="186">
        <v>257690</v>
      </c>
      <c r="AF7" s="35">
        <v>257690</v>
      </c>
      <c r="AG7" s="212">
        <v>0</v>
      </c>
      <c r="AH7" s="212">
        <f t="shared" si="3"/>
        <v>57566</v>
      </c>
      <c r="AI7" s="212" t="s">
        <v>32</v>
      </c>
      <c r="AJ7" s="212">
        <v>300000</v>
      </c>
      <c r="AK7" s="212">
        <v>49845</v>
      </c>
      <c r="AL7" s="212">
        <v>0</v>
      </c>
      <c r="AM7" s="212">
        <v>0</v>
      </c>
      <c r="AN7" s="212">
        <v>250155</v>
      </c>
      <c r="AO7" s="176">
        <v>0</v>
      </c>
      <c r="AP7" s="176">
        <v>6555</v>
      </c>
      <c r="AQ7" s="176">
        <v>0</v>
      </c>
      <c r="AR7" s="212">
        <f t="shared" si="4"/>
        <v>193569</v>
      </c>
      <c r="AS7" s="212">
        <f t="shared" si="5"/>
        <v>48865</v>
      </c>
      <c r="AT7" s="473">
        <f t="shared" si="6"/>
        <v>-137169</v>
      </c>
      <c r="AU7" s="477"/>
    </row>
    <row r="8" spans="1:47" s="35" customFormat="1" ht="29" hidden="1" x14ac:dyDescent="0.35">
      <c r="A8" s="35" t="s">
        <v>1191</v>
      </c>
      <c r="B8" s="224" t="s">
        <v>943</v>
      </c>
      <c r="C8" s="222" t="s">
        <v>19</v>
      </c>
      <c r="D8" s="136">
        <v>8470110</v>
      </c>
      <c r="E8" s="137" t="s">
        <v>20</v>
      </c>
      <c r="F8" s="138">
        <v>425550</v>
      </c>
      <c r="G8" s="137" t="s">
        <v>33</v>
      </c>
      <c r="H8" s="137" t="s">
        <v>34</v>
      </c>
      <c r="I8" s="137">
        <v>300000</v>
      </c>
      <c r="J8" s="140">
        <v>300000</v>
      </c>
      <c r="K8" s="141">
        <v>6600</v>
      </c>
      <c r="L8" s="142"/>
      <c r="M8" s="143"/>
      <c r="N8" s="144">
        <f t="shared" si="0"/>
        <v>293400</v>
      </c>
      <c r="O8" s="145"/>
      <c r="P8" s="145"/>
      <c r="Q8" s="145"/>
      <c r="R8" s="146"/>
      <c r="S8" s="139">
        <f t="shared" si="1"/>
        <v>293400</v>
      </c>
      <c r="T8" s="172"/>
      <c r="U8" s="137" t="s">
        <v>34</v>
      </c>
      <c r="V8" s="261">
        <f t="shared" si="2"/>
        <v>237920</v>
      </c>
      <c r="W8" s="261">
        <f t="shared" si="7"/>
        <v>226075</v>
      </c>
      <c r="X8" s="261"/>
      <c r="Y8" s="176" t="s">
        <v>838</v>
      </c>
      <c r="Z8" s="176"/>
      <c r="AA8" s="186">
        <v>300000</v>
      </c>
      <c r="AB8" s="186">
        <v>0</v>
      </c>
      <c r="AC8" s="176">
        <v>0</v>
      </c>
      <c r="AD8" s="176">
        <v>0</v>
      </c>
      <c r="AE8" s="186">
        <v>300000</v>
      </c>
      <c r="AF8" s="35">
        <v>300000</v>
      </c>
      <c r="AG8" s="212">
        <v>0</v>
      </c>
      <c r="AH8" s="212">
        <f t="shared" si="3"/>
        <v>62080</v>
      </c>
      <c r="AI8" s="212" t="s">
        <v>34</v>
      </c>
      <c r="AJ8" s="212">
        <v>300000</v>
      </c>
      <c r="AK8" s="212">
        <v>2600</v>
      </c>
      <c r="AL8" s="212">
        <v>0</v>
      </c>
      <c r="AM8" s="212">
        <v>0</v>
      </c>
      <c r="AN8" s="212">
        <v>297400</v>
      </c>
      <c r="AO8" s="176">
        <v>0</v>
      </c>
      <c r="AP8" s="176">
        <v>0</v>
      </c>
      <c r="AQ8" s="176">
        <v>11845</v>
      </c>
      <c r="AR8" s="212">
        <f t="shared" si="4"/>
        <v>226075</v>
      </c>
      <c r="AS8" s="212">
        <f t="shared" si="5"/>
        <v>11845</v>
      </c>
      <c r="AT8" s="473">
        <f t="shared" si="6"/>
        <v>-211630</v>
      </c>
      <c r="AU8" s="477"/>
    </row>
    <row r="9" spans="1:47" s="35" customFormat="1" ht="29" hidden="1" x14ac:dyDescent="0.35">
      <c r="A9" s="35" t="s">
        <v>1191</v>
      </c>
      <c r="B9" s="224" t="s">
        <v>943</v>
      </c>
      <c r="C9" s="222" t="s">
        <v>19</v>
      </c>
      <c r="D9" s="136">
        <v>8470110</v>
      </c>
      <c r="E9" s="137" t="s">
        <v>20</v>
      </c>
      <c r="F9" s="138">
        <v>425900</v>
      </c>
      <c r="G9" s="137" t="s">
        <v>35</v>
      </c>
      <c r="H9" s="137" t="s">
        <v>36</v>
      </c>
      <c r="I9" s="137">
        <v>10000</v>
      </c>
      <c r="J9" s="140">
        <v>10000</v>
      </c>
      <c r="K9" s="141">
        <v>5302.5</v>
      </c>
      <c r="L9" s="142"/>
      <c r="M9" s="143"/>
      <c r="N9" s="144">
        <f t="shared" si="0"/>
        <v>4697.5</v>
      </c>
      <c r="O9" s="145"/>
      <c r="P9" s="145"/>
      <c r="Q9" s="145"/>
      <c r="R9" s="146"/>
      <c r="S9" s="139">
        <f t="shared" si="1"/>
        <v>4697.5</v>
      </c>
      <c r="T9" s="172"/>
      <c r="U9" s="137" t="s">
        <v>36</v>
      </c>
      <c r="V9" s="261">
        <f t="shared" si="2"/>
        <v>25471</v>
      </c>
      <c r="W9" s="261">
        <f t="shared" si="7"/>
        <v>25471</v>
      </c>
      <c r="X9" s="261"/>
      <c r="Y9" s="176" t="s">
        <v>838</v>
      </c>
      <c r="Z9" s="176"/>
      <c r="AA9" s="186">
        <v>39425</v>
      </c>
      <c r="AB9" s="186">
        <v>5302.5</v>
      </c>
      <c r="AC9" s="176">
        <v>0</v>
      </c>
      <c r="AD9" s="176">
        <v>0</v>
      </c>
      <c r="AE9" s="186">
        <v>34122.5</v>
      </c>
      <c r="AF9" s="35">
        <v>34122.5</v>
      </c>
      <c r="AG9" s="212">
        <v>0</v>
      </c>
      <c r="AH9" s="212">
        <f t="shared" si="3"/>
        <v>8651.5</v>
      </c>
      <c r="AI9" s="212" t="s">
        <v>36</v>
      </c>
      <c r="AJ9" s="212">
        <v>39425</v>
      </c>
      <c r="AK9" s="212">
        <v>7586.25</v>
      </c>
      <c r="AL9" s="212">
        <v>0</v>
      </c>
      <c r="AM9" s="212">
        <v>0</v>
      </c>
      <c r="AN9" s="212">
        <v>31838.75</v>
      </c>
      <c r="AO9" s="176">
        <v>0</v>
      </c>
      <c r="AP9" s="176">
        <v>0</v>
      </c>
      <c r="AQ9" s="176">
        <v>0</v>
      </c>
      <c r="AR9" s="212">
        <f t="shared" si="4"/>
        <v>25471</v>
      </c>
      <c r="AS9" s="212">
        <f t="shared" si="5"/>
        <v>5302.5</v>
      </c>
      <c r="AT9" s="473">
        <f t="shared" si="6"/>
        <v>-17884.75</v>
      </c>
      <c r="AU9" s="477"/>
    </row>
    <row r="10" spans="1:47" s="35" customFormat="1" ht="29" hidden="1" x14ac:dyDescent="0.35">
      <c r="A10" s="35" t="s">
        <v>1191</v>
      </c>
      <c r="B10" s="224" t="s">
        <v>943</v>
      </c>
      <c r="C10" s="222" t="s">
        <v>19</v>
      </c>
      <c r="D10" s="136">
        <v>8470110</v>
      </c>
      <c r="E10" s="137" t="s">
        <v>20</v>
      </c>
      <c r="F10" s="138">
        <v>426610</v>
      </c>
      <c r="G10" s="137" t="s">
        <v>37</v>
      </c>
      <c r="H10" s="137" t="s">
        <v>38</v>
      </c>
      <c r="I10" s="137">
        <v>518388</v>
      </c>
      <c r="J10" s="140">
        <v>508388</v>
      </c>
      <c r="K10" s="141">
        <v>42239.5</v>
      </c>
      <c r="L10" s="142"/>
      <c r="M10" s="143"/>
      <c r="N10" s="144">
        <f t="shared" si="0"/>
        <v>466148.5</v>
      </c>
      <c r="O10" s="145"/>
      <c r="P10" s="145"/>
      <c r="Q10" s="145"/>
      <c r="R10" s="146"/>
      <c r="S10" s="139">
        <f t="shared" si="1"/>
        <v>466148.5</v>
      </c>
      <c r="T10" s="172"/>
      <c r="U10" s="137" t="s">
        <v>38</v>
      </c>
      <c r="V10" s="261">
        <f t="shared" si="2"/>
        <v>372918.80000000005</v>
      </c>
      <c r="W10" s="261">
        <f t="shared" si="7"/>
        <v>372918.80000000005</v>
      </c>
      <c r="X10" s="261"/>
      <c r="Y10" s="176" t="s">
        <v>838</v>
      </c>
      <c r="Z10" s="176"/>
      <c r="AA10" s="186">
        <v>508388</v>
      </c>
      <c r="AB10" s="186">
        <v>42239.5</v>
      </c>
      <c r="AC10" s="176">
        <v>0</v>
      </c>
      <c r="AD10" s="176">
        <v>0</v>
      </c>
      <c r="AE10" s="186">
        <v>466148.5</v>
      </c>
      <c r="AF10" s="35">
        <v>466148.5</v>
      </c>
      <c r="AG10" s="212">
        <v>0</v>
      </c>
      <c r="AH10" s="212">
        <f t="shared" si="3"/>
        <v>93229.699999999953</v>
      </c>
      <c r="AI10" s="212" t="s">
        <v>38</v>
      </c>
      <c r="AJ10" s="212">
        <v>508388</v>
      </c>
      <c r="AK10" s="212">
        <v>42239.5</v>
      </c>
      <c r="AL10" s="212">
        <v>0</v>
      </c>
      <c r="AM10" s="212">
        <v>0</v>
      </c>
      <c r="AN10" s="212">
        <v>466148.5</v>
      </c>
      <c r="AO10" s="176">
        <v>0</v>
      </c>
      <c r="AP10" s="176">
        <v>0</v>
      </c>
      <c r="AQ10" s="176">
        <v>0</v>
      </c>
      <c r="AR10" s="212">
        <f t="shared" si="4"/>
        <v>372918.80000000005</v>
      </c>
      <c r="AS10" s="212">
        <f t="shared" si="5"/>
        <v>42239.5</v>
      </c>
      <c r="AT10" s="473">
        <f t="shared" si="6"/>
        <v>-330679.30000000005</v>
      </c>
      <c r="AU10" s="477"/>
    </row>
    <row r="11" spans="1:47" s="35" customFormat="1" ht="29" hidden="1" x14ac:dyDescent="0.35">
      <c r="A11" s="35" t="s">
        <v>1191</v>
      </c>
      <c r="B11" s="224" t="s">
        <v>943</v>
      </c>
      <c r="C11" s="222" t="s">
        <v>19</v>
      </c>
      <c r="D11" s="136">
        <v>8470110</v>
      </c>
      <c r="E11" s="137" t="s">
        <v>20</v>
      </c>
      <c r="F11" s="138">
        <v>428090</v>
      </c>
      <c r="G11" s="137" t="s">
        <v>39</v>
      </c>
      <c r="H11" s="137" t="s">
        <v>40</v>
      </c>
      <c r="I11" s="137">
        <v>1000000</v>
      </c>
      <c r="J11" s="140">
        <v>276463</v>
      </c>
      <c r="K11" s="141">
        <v>137470.5</v>
      </c>
      <c r="L11" s="142"/>
      <c r="M11" s="143"/>
      <c r="N11" s="144">
        <f t="shared" si="0"/>
        <v>138992.5</v>
      </c>
      <c r="O11" s="145"/>
      <c r="P11" s="145"/>
      <c r="Q11" s="145"/>
      <c r="R11" s="146"/>
      <c r="S11" s="139">
        <f t="shared" si="1"/>
        <v>138992.5</v>
      </c>
      <c r="T11" s="172"/>
      <c r="U11" s="137" t="s">
        <v>40</v>
      </c>
      <c r="V11" s="261">
        <f t="shared" si="2"/>
        <v>11618</v>
      </c>
      <c r="W11" s="261">
        <f t="shared" si="7"/>
        <v>-66997</v>
      </c>
      <c r="X11" s="261"/>
      <c r="Y11" s="176" t="s">
        <v>838</v>
      </c>
      <c r="Z11" s="176"/>
      <c r="AA11" s="186">
        <v>276463</v>
      </c>
      <c r="AB11" s="186">
        <v>238820.5</v>
      </c>
      <c r="AC11" s="176">
        <v>0</v>
      </c>
      <c r="AD11" s="176">
        <v>0</v>
      </c>
      <c r="AE11" s="186">
        <v>37642.5</v>
      </c>
      <c r="AF11" s="35">
        <v>37642.5</v>
      </c>
      <c r="AG11" s="212">
        <v>0</v>
      </c>
      <c r="AH11" s="212">
        <f t="shared" si="3"/>
        <v>26024.5</v>
      </c>
      <c r="AI11" s="212" t="s">
        <v>40</v>
      </c>
      <c r="AJ11" s="212">
        <v>276463</v>
      </c>
      <c r="AK11" s="212">
        <v>261940.5</v>
      </c>
      <c r="AL11" s="212">
        <v>0</v>
      </c>
      <c r="AM11" s="212">
        <v>0</v>
      </c>
      <c r="AN11" s="212">
        <v>14522.5</v>
      </c>
      <c r="AO11" s="176">
        <v>0</v>
      </c>
      <c r="AP11" s="176">
        <v>0</v>
      </c>
      <c r="AQ11" s="176">
        <v>78615</v>
      </c>
      <c r="AR11" s="212">
        <f t="shared" si="4"/>
        <v>-66997</v>
      </c>
      <c r="AS11" s="212">
        <f t="shared" si="5"/>
        <v>317435.5</v>
      </c>
      <c r="AT11" s="473">
        <f t="shared" si="6"/>
        <v>407552.5</v>
      </c>
      <c r="AU11" s="477"/>
    </row>
    <row r="12" spans="1:47" s="35" customFormat="1" ht="29" hidden="1" x14ac:dyDescent="0.35">
      <c r="A12" s="35" t="s">
        <v>1191</v>
      </c>
      <c r="B12" s="224" t="s">
        <v>943</v>
      </c>
      <c r="C12" s="222" t="s">
        <v>19</v>
      </c>
      <c r="D12" s="136">
        <v>8470110</v>
      </c>
      <c r="E12" s="137" t="s">
        <v>20</v>
      </c>
      <c r="F12" s="138">
        <v>428400</v>
      </c>
      <c r="G12" s="137" t="s">
        <v>41</v>
      </c>
      <c r="H12" s="137" t="s">
        <v>42</v>
      </c>
      <c r="I12" s="137">
        <v>50000</v>
      </c>
      <c r="J12" s="140">
        <v>50000</v>
      </c>
      <c r="K12" s="147"/>
      <c r="L12" s="142"/>
      <c r="M12" s="143"/>
      <c r="N12" s="144">
        <f t="shared" si="0"/>
        <v>50000</v>
      </c>
      <c r="O12" s="145"/>
      <c r="P12" s="145"/>
      <c r="Q12" s="145"/>
      <c r="R12" s="146"/>
      <c r="S12" s="139">
        <f t="shared" si="1"/>
        <v>50000</v>
      </c>
      <c r="T12" s="172"/>
      <c r="U12" s="137" t="s">
        <v>42</v>
      </c>
      <c r="V12" s="261">
        <f t="shared" si="2"/>
        <v>40000</v>
      </c>
      <c r="W12" s="261">
        <f t="shared" si="7"/>
        <v>40000</v>
      </c>
      <c r="X12" s="261"/>
      <c r="Y12" s="176" t="s">
        <v>838</v>
      </c>
      <c r="Z12" s="176"/>
      <c r="AA12" s="186">
        <v>50000</v>
      </c>
      <c r="AB12" s="186">
        <v>0</v>
      </c>
      <c r="AC12" s="176">
        <v>0</v>
      </c>
      <c r="AD12" s="176">
        <v>0</v>
      </c>
      <c r="AE12" s="186">
        <v>50000</v>
      </c>
      <c r="AF12" s="35">
        <v>50000</v>
      </c>
      <c r="AG12" s="212">
        <v>0</v>
      </c>
      <c r="AH12" s="212">
        <f t="shared" si="3"/>
        <v>10000</v>
      </c>
      <c r="AI12" s="212" t="s">
        <v>42</v>
      </c>
      <c r="AJ12" s="212">
        <v>50000</v>
      </c>
      <c r="AK12" s="212">
        <v>0</v>
      </c>
      <c r="AL12" s="212">
        <v>0</v>
      </c>
      <c r="AM12" s="212">
        <v>0</v>
      </c>
      <c r="AN12" s="212">
        <v>50000</v>
      </c>
      <c r="AO12" s="176">
        <v>0</v>
      </c>
      <c r="AP12" s="176">
        <v>0</v>
      </c>
      <c r="AQ12" s="176">
        <v>0</v>
      </c>
      <c r="AR12" s="212">
        <f t="shared" si="4"/>
        <v>40000</v>
      </c>
      <c r="AS12" s="212">
        <f t="shared" si="5"/>
        <v>0</v>
      </c>
      <c r="AT12" s="473">
        <f t="shared" si="6"/>
        <v>-40000</v>
      </c>
      <c r="AU12" s="477"/>
    </row>
    <row r="13" spans="1:47" s="35" customFormat="1" ht="29" hidden="1" x14ac:dyDescent="0.35">
      <c r="A13" s="35" t="s">
        <v>1191</v>
      </c>
      <c r="B13" s="224" t="s">
        <v>943</v>
      </c>
      <c r="C13" s="222" t="s">
        <v>19</v>
      </c>
      <c r="D13" s="136">
        <v>8470110</v>
      </c>
      <c r="E13" s="137" t="s">
        <v>20</v>
      </c>
      <c r="F13" s="138">
        <v>428640</v>
      </c>
      <c r="G13" s="137" t="s">
        <v>43</v>
      </c>
      <c r="H13" s="137" t="s">
        <v>44</v>
      </c>
      <c r="I13" s="137">
        <v>100000</v>
      </c>
      <c r="J13" s="140">
        <v>50745</v>
      </c>
      <c r="K13" s="147"/>
      <c r="L13" s="142"/>
      <c r="M13" s="143"/>
      <c r="N13" s="144">
        <f t="shared" si="0"/>
        <v>50745</v>
      </c>
      <c r="O13" s="145"/>
      <c r="P13" s="145"/>
      <c r="Q13" s="145"/>
      <c r="R13" s="146"/>
      <c r="S13" s="139">
        <f t="shared" si="1"/>
        <v>50745</v>
      </c>
      <c r="T13" s="172"/>
      <c r="U13" s="137" t="s">
        <v>44</v>
      </c>
      <c r="V13" s="261">
        <f t="shared" si="2"/>
        <v>40596</v>
      </c>
      <c r="W13" s="261">
        <f t="shared" si="7"/>
        <v>40596</v>
      </c>
      <c r="X13" s="261"/>
      <c r="Y13" s="176" t="s">
        <v>838</v>
      </c>
      <c r="Z13" s="176"/>
      <c r="AA13" s="186">
        <v>50745</v>
      </c>
      <c r="AB13" s="186">
        <v>0</v>
      </c>
      <c r="AC13" s="176">
        <v>0</v>
      </c>
      <c r="AD13" s="176">
        <v>0</v>
      </c>
      <c r="AE13" s="186">
        <v>50745</v>
      </c>
      <c r="AF13" s="35">
        <v>50745</v>
      </c>
      <c r="AG13" s="212">
        <v>0</v>
      </c>
      <c r="AH13" s="212">
        <f t="shared" si="3"/>
        <v>10149</v>
      </c>
      <c r="AI13" s="212" t="s">
        <v>44</v>
      </c>
      <c r="AJ13" s="212">
        <v>50745</v>
      </c>
      <c r="AK13" s="212">
        <v>0</v>
      </c>
      <c r="AL13" s="212">
        <v>0</v>
      </c>
      <c r="AM13" s="212">
        <v>0</v>
      </c>
      <c r="AN13" s="212">
        <v>50745</v>
      </c>
      <c r="AO13" s="176">
        <v>0</v>
      </c>
      <c r="AP13" s="176">
        <v>0</v>
      </c>
      <c r="AQ13" s="176">
        <v>0</v>
      </c>
      <c r="AR13" s="212">
        <f t="shared" si="4"/>
        <v>40596</v>
      </c>
      <c r="AS13" s="212">
        <f t="shared" si="5"/>
        <v>0</v>
      </c>
      <c r="AT13" s="473">
        <f t="shared" si="6"/>
        <v>-40596</v>
      </c>
      <c r="AU13" s="477"/>
    </row>
    <row r="14" spans="1:47" s="35" customFormat="1" ht="29" hidden="1" x14ac:dyDescent="0.35">
      <c r="A14" s="35" t="s">
        <v>1191</v>
      </c>
      <c r="B14" s="224" t="s">
        <v>943</v>
      </c>
      <c r="C14" s="222" t="s">
        <v>19</v>
      </c>
      <c r="D14" s="136">
        <v>8470120</v>
      </c>
      <c r="E14" s="137" t="s">
        <v>45</v>
      </c>
      <c r="F14" s="138">
        <v>420120</v>
      </c>
      <c r="G14" s="137" t="s">
        <v>46</v>
      </c>
      <c r="H14" s="137" t="s">
        <v>47</v>
      </c>
      <c r="I14" s="137">
        <v>500000</v>
      </c>
      <c r="J14" s="140">
        <v>550028</v>
      </c>
      <c r="K14" s="141">
        <v>79851</v>
      </c>
      <c r="L14" s="148">
        <v>0</v>
      </c>
      <c r="M14" s="140">
        <v>470177</v>
      </c>
      <c r="N14" s="144">
        <f t="shared" si="0"/>
        <v>0</v>
      </c>
      <c r="O14" s="145"/>
      <c r="P14" s="145"/>
      <c r="Q14" s="145"/>
      <c r="R14" s="146"/>
      <c r="S14" s="139">
        <f t="shared" si="1"/>
        <v>0</v>
      </c>
      <c r="T14" s="172"/>
      <c r="U14" s="137" t="s">
        <v>47</v>
      </c>
      <c r="V14" s="261">
        <f t="shared" si="2"/>
        <v>0</v>
      </c>
      <c r="W14" s="261">
        <f t="shared" si="7"/>
        <v>0</v>
      </c>
      <c r="X14" s="261"/>
      <c r="Y14" s="176" t="s">
        <v>838</v>
      </c>
      <c r="Z14" s="176"/>
      <c r="AA14" s="186">
        <v>550028</v>
      </c>
      <c r="AB14" s="186">
        <v>124262</v>
      </c>
      <c r="AC14" s="176">
        <v>0</v>
      </c>
      <c r="AD14" s="176">
        <v>425766</v>
      </c>
      <c r="AE14" s="186">
        <v>0</v>
      </c>
      <c r="AF14" s="35">
        <v>0</v>
      </c>
      <c r="AG14" s="212">
        <v>0</v>
      </c>
      <c r="AH14" s="212">
        <f t="shared" si="3"/>
        <v>0</v>
      </c>
      <c r="AI14" s="212" t="s">
        <v>47</v>
      </c>
      <c r="AJ14" s="212">
        <v>550028</v>
      </c>
      <c r="AK14" s="212">
        <v>306043</v>
      </c>
      <c r="AL14" s="212">
        <v>0</v>
      </c>
      <c r="AM14" s="212">
        <v>243985</v>
      </c>
      <c r="AN14" s="212">
        <v>0</v>
      </c>
      <c r="AO14" s="176">
        <v>0</v>
      </c>
      <c r="AP14" s="176">
        <v>0</v>
      </c>
      <c r="AQ14" s="176">
        <v>0</v>
      </c>
      <c r="AR14" s="212">
        <f t="shared" si="4"/>
        <v>0</v>
      </c>
      <c r="AS14" s="212">
        <f t="shared" si="5"/>
        <v>550028</v>
      </c>
      <c r="AT14" s="473">
        <f t="shared" si="6"/>
        <v>550028</v>
      </c>
      <c r="AU14" s="477"/>
    </row>
    <row r="15" spans="1:47" s="35" customFormat="1" hidden="1" x14ac:dyDescent="0.35">
      <c r="A15" s="35" t="s">
        <v>1192</v>
      </c>
      <c r="B15" s="224" t="s">
        <v>944</v>
      </c>
      <c r="C15" s="222" t="s">
        <v>19</v>
      </c>
      <c r="D15" s="136">
        <v>8470130</v>
      </c>
      <c r="E15" s="137" t="s">
        <v>48</v>
      </c>
      <c r="F15" s="138">
        <v>421000</v>
      </c>
      <c r="G15" s="137" t="s">
        <v>27</v>
      </c>
      <c r="H15" s="137" t="s">
        <v>49</v>
      </c>
      <c r="I15" s="137">
        <v>720000</v>
      </c>
      <c r="J15" s="140">
        <v>604900</v>
      </c>
      <c r="K15" s="147"/>
      <c r="L15" s="142"/>
      <c r="M15" s="143"/>
      <c r="N15" s="144">
        <f t="shared" si="0"/>
        <v>604900</v>
      </c>
      <c r="O15" s="145"/>
      <c r="P15" s="145"/>
      <c r="Q15" s="149"/>
      <c r="R15" s="146"/>
      <c r="S15" s="254">
        <f t="shared" si="1"/>
        <v>604900</v>
      </c>
      <c r="T15" s="172"/>
      <c r="U15" s="137" t="s">
        <v>49</v>
      </c>
      <c r="V15" s="261">
        <f t="shared" ref="V15:V27" si="8">S15</f>
        <v>604900</v>
      </c>
      <c r="W15" s="261">
        <f t="shared" si="7"/>
        <v>604900</v>
      </c>
      <c r="X15" s="261"/>
      <c r="Y15" s="177" t="s">
        <v>722</v>
      </c>
      <c r="Z15" s="177"/>
      <c r="AA15" s="186">
        <v>604900</v>
      </c>
      <c r="AB15" s="186">
        <v>10000</v>
      </c>
      <c r="AC15" s="176">
        <v>0</v>
      </c>
      <c r="AD15" s="176">
        <v>0</v>
      </c>
      <c r="AE15" s="186">
        <v>594900</v>
      </c>
      <c r="AF15" s="35">
        <v>594900</v>
      </c>
      <c r="AG15" s="212">
        <v>0</v>
      </c>
      <c r="AH15" s="212">
        <f t="shared" si="3"/>
        <v>-10000</v>
      </c>
      <c r="AI15" s="212" t="s">
        <v>49</v>
      </c>
      <c r="AJ15" s="212">
        <v>604900</v>
      </c>
      <c r="AK15" s="212">
        <v>10000</v>
      </c>
      <c r="AL15" s="212">
        <v>0</v>
      </c>
      <c r="AM15" s="212">
        <v>0</v>
      </c>
      <c r="AN15" s="212">
        <v>594900</v>
      </c>
      <c r="AO15" s="176">
        <v>0</v>
      </c>
      <c r="AP15" s="176">
        <v>0</v>
      </c>
      <c r="AQ15" s="176">
        <v>0</v>
      </c>
      <c r="AR15" s="212">
        <f t="shared" si="4"/>
        <v>604900</v>
      </c>
      <c r="AS15" s="212">
        <f t="shared" si="5"/>
        <v>10000</v>
      </c>
      <c r="AT15" s="473">
        <f t="shared" si="6"/>
        <v>-594900</v>
      </c>
      <c r="AU15" s="478"/>
    </row>
    <row r="16" spans="1:47" s="35" customFormat="1" hidden="1" x14ac:dyDescent="0.35">
      <c r="A16" s="35" t="s">
        <v>1192</v>
      </c>
      <c r="B16" s="224" t="s">
        <v>944</v>
      </c>
      <c r="C16" s="222" t="s">
        <v>19</v>
      </c>
      <c r="D16" s="136">
        <v>8470130</v>
      </c>
      <c r="E16" s="137" t="s">
        <v>48</v>
      </c>
      <c r="F16" s="138">
        <v>426610</v>
      </c>
      <c r="G16" s="137" t="s">
        <v>37</v>
      </c>
      <c r="H16" s="137" t="s">
        <v>50</v>
      </c>
      <c r="I16" s="137">
        <v>735000</v>
      </c>
      <c r="J16" s="140">
        <v>735000</v>
      </c>
      <c r="K16" s="147"/>
      <c r="L16" s="142"/>
      <c r="M16" s="143"/>
      <c r="N16" s="144">
        <f t="shared" si="0"/>
        <v>735000</v>
      </c>
      <c r="O16" s="145"/>
      <c r="P16" s="145"/>
      <c r="Q16" s="149"/>
      <c r="R16" s="146"/>
      <c r="S16" s="254">
        <f t="shared" si="1"/>
        <v>735000</v>
      </c>
      <c r="T16" s="172"/>
      <c r="U16" s="137" t="s">
        <v>50</v>
      </c>
      <c r="V16" s="261">
        <f t="shared" si="8"/>
        <v>735000</v>
      </c>
      <c r="W16" s="261">
        <f t="shared" si="7"/>
        <v>735000</v>
      </c>
      <c r="X16" s="261"/>
      <c r="Y16" s="177" t="s">
        <v>722</v>
      </c>
      <c r="Z16" s="177"/>
      <c r="AA16" s="186">
        <v>735000</v>
      </c>
      <c r="AB16" s="186">
        <v>0</v>
      </c>
      <c r="AC16" s="176">
        <v>312205</v>
      </c>
      <c r="AD16" s="176">
        <v>0</v>
      </c>
      <c r="AE16" s="186">
        <v>422795</v>
      </c>
      <c r="AF16" s="35">
        <v>422795</v>
      </c>
      <c r="AG16" s="212">
        <v>0</v>
      </c>
      <c r="AH16" s="212">
        <f t="shared" si="3"/>
        <v>-312205</v>
      </c>
      <c r="AI16" s="212" t="s">
        <v>50</v>
      </c>
      <c r="AJ16" s="212">
        <v>735000</v>
      </c>
      <c r="AK16" s="212">
        <v>0</v>
      </c>
      <c r="AL16" s="212">
        <v>312205</v>
      </c>
      <c r="AM16" s="212">
        <v>0</v>
      </c>
      <c r="AN16" s="212">
        <v>422795</v>
      </c>
      <c r="AO16" s="176">
        <v>0</v>
      </c>
      <c r="AP16" s="176">
        <v>0</v>
      </c>
      <c r="AQ16" s="176">
        <v>0</v>
      </c>
      <c r="AR16" s="212">
        <f t="shared" si="4"/>
        <v>735000</v>
      </c>
      <c r="AS16" s="212">
        <f t="shared" si="5"/>
        <v>312205</v>
      </c>
      <c r="AT16" s="473">
        <f t="shared" si="6"/>
        <v>-422795</v>
      </c>
      <c r="AU16" s="478"/>
    </row>
    <row r="17" spans="1:47" s="35" customFormat="1" hidden="1" x14ac:dyDescent="0.35">
      <c r="A17" s="35" t="s">
        <v>1192</v>
      </c>
      <c r="B17" s="224" t="s">
        <v>944</v>
      </c>
      <c r="C17" s="222" t="s">
        <v>19</v>
      </c>
      <c r="D17" s="136">
        <v>8470130</v>
      </c>
      <c r="E17" s="137" t="s">
        <v>48</v>
      </c>
      <c r="F17" s="138">
        <v>427710</v>
      </c>
      <c r="G17" s="137" t="s">
        <v>51</v>
      </c>
      <c r="H17" s="137" t="s">
        <v>52</v>
      </c>
      <c r="I17" s="137">
        <v>0</v>
      </c>
      <c r="J17" s="140">
        <v>115000</v>
      </c>
      <c r="K17" s="141">
        <v>114759</v>
      </c>
      <c r="L17" s="142"/>
      <c r="M17" s="143"/>
      <c r="N17" s="144">
        <f t="shared" si="0"/>
        <v>241</v>
      </c>
      <c r="O17" s="145"/>
      <c r="P17" s="145"/>
      <c r="Q17" s="149"/>
      <c r="R17" s="146"/>
      <c r="S17" s="254">
        <f t="shared" si="1"/>
        <v>241</v>
      </c>
      <c r="T17" s="172"/>
      <c r="U17" s="137" t="s">
        <v>52</v>
      </c>
      <c r="V17" s="261">
        <f t="shared" si="8"/>
        <v>241</v>
      </c>
      <c r="W17" s="261">
        <f t="shared" si="7"/>
        <v>241</v>
      </c>
      <c r="X17" s="261"/>
      <c r="Y17" s="177" t="s">
        <v>722</v>
      </c>
      <c r="Z17" s="177"/>
      <c r="AA17" s="186">
        <v>115000</v>
      </c>
      <c r="AB17" s="186">
        <v>114759</v>
      </c>
      <c r="AC17" s="176">
        <v>0</v>
      </c>
      <c r="AD17" s="176">
        <v>0</v>
      </c>
      <c r="AE17" s="186">
        <v>241</v>
      </c>
      <c r="AF17" s="35">
        <v>241</v>
      </c>
      <c r="AG17" s="212">
        <v>0</v>
      </c>
      <c r="AH17" s="212">
        <f t="shared" si="3"/>
        <v>0</v>
      </c>
      <c r="AI17" s="212" t="s">
        <v>52</v>
      </c>
      <c r="AJ17" s="212">
        <v>115000</v>
      </c>
      <c r="AK17" s="212">
        <v>114759</v>
      </c>
      <c r="AL17" s="212">
        <v>0</v>
      </c>
      <c r="AM17" s="212">
        <v>0</v>
      </c>
      <c r="AN17" s="212">
        <v>241</v>
      </c>
      <c r="AO17" s="176">
        <v>0</v>
      </c>
      <c r="AP17" s="176">
        <v>0</v>
      </c>
      <c r="AQ17" s="176">
        <v>0</v>
      </c>
      <c r="AR17" s="212">
        <f t="shared" si="4"/>
        <v>241</v>
      </c>
      <c r="AS17" s="212">
        <f t="shared" si="5"/>
        <v>114759</v>
      </c>
      <c r="AT17" s="473">
        <f t="shared" si="6"/>
        <v>114518</v>
      </c>
      <c r="AU17" s="478"/>
    </row>
    <row r="18" spans="1:47" s="35" customFormat="1" hidden="1" x14ac:dyDescent="0.35">
      <c r="A18" s="35" t="s">
        <v>1192</v>
      </c>
      <c r="B18" s="224" t="s">
        <v>944</v>
      </c>
      <c r="C18" s="222" t="s">
        <v>19</v>
      </c>
      <c r="D18" s="136">
        <v>8470130</v>
      </c>
      <c r="E18" s="137" t="s">
        <v>48</v>
      </c>
      <c r="F18" s="138">
        <v>428090</v>
      </c>
      <c r="G18" s="137" t="s">
        <v>39</v>
      </c>
      <c r="H18" s="137" t="s">
        <v>53</v>
      </c>
      <c r="I18" s="137">
        <v>180000</v>
      </c>
      <c r="J18" s="140">
        <v>37543</v>
      </c>
      <c r="K18" s="141">
        <v>1650</v>
      </c>
      <c r="L18" s="142"/>
      <c r="M18" s="143"/>
      <c r="N18" s="144">
        <f t="shared" si="0"/>
        <v>35893</v>
      </c>
      <c r="O18" s="145"/>
      <c r="P18" s="145"/>
      <c r="Q18" s="149"/>
      <c r="R18" s="146"/>
      <c r="S18" s="254">
        <f t="shared" si="1"/>
        <v>35893</v>
      </c>
      <c r="T18" s="172"/>
      <c r="U18" s="137" t="s">
        <v>53</v>
      </c>
      <c r="V18" s="261">
        <f t="shared" si="8"/>
        <v>35893</v>
      </c>
      <c r="W18" s="261">
        <f t="shared" si="7"/>
        <v>33142.050000000003</v>
      </c>
      <c r="X18" s="261"/>
      <c r="Y18" s="177" t="s">
        <v>722</v>
      </c>
      <c r="Z18" s="177"/>
      <c r="AA18" s="186">
        <v>37543</v>
      </c>
      <c r="AB18" s="186">
        <v>7480</v>
      </c>
      <c r="AC18" s="176">
        <v>0</v>
      </c>
      <c r="AD18" s="176">
        <v>0</v>
      </c>
      <c r="AE18" s="186">
        <v>30063</v>
      </c>
      <c r="AF18" s="35">
        <v>30063</v>
      </c>
      <c r="AG18" s="212">
        <v>0</v>
      </c>
      <c r="AH18" s="212">
        <f t="shared" si="3"/>
        <v>-5830</v>
      </c>
      <c r="AI18" s="212" t="s">
        <v>53</v>
      </c>
      <c r="AJ18" s="212">
        <v>37543</v>
      </c>
      <c r="AK18" s="212">
        <v>7480</v>
      </c>
      <c r="AL18" s="212">
        <v>0</v>
      </c>
      <c r="AM18" s="212">
        <v>0</v>
      </c>
      <c r="AN18" s="212">
        <v>30063</v>
      </c>
      <c r="AO18" s="176">
        <v>0</v>
      </c>
      <c r="AP18" s="176">
        <v>0</v>
      </c>
      <c r="AQ18" s="176">
        <v>2750.95</v>
      </c>
      <c r="AR18" s="212">
        <f t="shared" si="4"/>
        <v>33142.050000000003</v>
      </c>
      <c r="AS18" s="212">
        <f t="shared" si="5"/>
        <v>10230.950000000001</v>
      </c>
      <c r="AT18" s="473">
        <f t="shared" si="6"/>
        <v>-22911.100000000002</v>
      </c>
      <c r="AU18" s="478"/>
    </row>
    <row r="19" spans="1:47" s="35" customFormat="1" ht="43.5" hidden="1" x14ac:dyDescent="0.35">
      <c r="A19" s="35" t="s">
        <v>1192</v>
      </c>
      <c r="B19" s="224" t="s">
        <v>944</v>
      </c>
      <c r="C19" s="222" t="s">
        <v>19</v>
      </c>
      <c r="D19" s="136">
        <v>8470140</v>
      </c>
      <c r="E19" s="137" t="s">
        <v>54</v>
      </c>
      <c r="F19" s="138">
        <v>425100</v>
      </c>
      <c r="G19" s="137" t="s">
        <v>55</v>
      </c>
      <c r="H19" s="137" t="s">
        <v>56</v>
      </c>
      <c r="I19" s="137">
        <v>4578464</v>
      </c>
      <c r="J19" s="140">
        <v>5227464</v>
      </c>
      <c r="K19" s="141">
        <v>2057917.4399999999</v>
      </c>
      <c r="L19" s="148">
        <v>2056990</v>
      </c>
      <c r="M19" s="140">
        <v>622131.75</v>
      </c>
      <c r="N19" s="144">
        <f t="shared" si="0"/>
        <v>490424.81000000006</v>
      </c>
      <c r="O19" s="250">
        <v>160000</v>
      </c>
      <c r="P19" s="250">
        <v>250000</v>
      </c>
      <c r="Q19" s="250">
        <f>95745-15320</f>
        <v>80425</v>
      </c>
      <c r="R19" s="150" t="s">
        <v>724</v>
      </c>
      <c r="S19" s="254">
        <f t="shared" si="1"/>
        <v>-0.18999999994412065</v>
      </c>
      <c r="T19" s="172"/>
      <c r="U19" s="137" t="s">
        <v>56</v>
      </c>
      <c r="V19" s="261">
        <f t="shared" si="8"/>
        <v>-0.18999999994412065</v>
      </c>
      <c r="W19" s="261">
        <f t="shared" si="7"/>
        <v>-1058054.22</v>
      </c>
      <c r="X19" s="261"/>
      <c r="Y19" s="177" t="s">
        <v>722</v>
      </c>
      <c r="Z19" s="177"/>
      <c r="AA19" s="186">
        <v>5297464</v>
      </c>
      <c r="AB19" s="186">
        <v>2587112.62</v>
      </c>
      <c r="AC19" s="176">
        <v>1346800</v>
      </c>
      <c r="AD19" s="176">
        <v>999823</v>
      </c>
      <c r="AE19" s="214">
        <v>363728.37999999989</v>
      </c>
      <c r="AF19" s="35">
        <v>363728.38</v>
      </c>
      <c r="AG19" s="212">
        <v>0</v>
      </c>
      <c r="AH19" s="212">
        <f t="shared" si="3"/>
        <v>363728.56999999983</v>
      </c>
      <c r="AI19" s="212" t="s">
        <v>56</v>
      </c>
      <c r="AJ19" s="212">
        <v>5297464</v>
      </c>
      <c r="AK19" s="212">
        <v>3128172.31</v>
      </c>
      <c r="AL19" s="212">
        <v>1120343.3600000001</v>
      </c>
      <c r="AM19" s="212">
        <v>890637.45</v>
      </c>
      <c r="AN19" s="212">
        <v>158310.88</v>
      </c>
      <c r="AO19" s="176">
        <v>0</v>
      </c>
      <c r="AP19" s="176">
        <v>1058054.03</v>
      </c>
      <c r="AQ19" s="176">
        <v>0</v>
      </c>
      <c r="AR19" s="212">
        <f t="shared" si="4"/>
        <v>-1058054.22</v>
      </c>
      <c r="AS19" s="212">
        <f t="shared" si="5"/>
        <v>6072214.6500000004</v>
      </c>
      <c r="AT19" s="473">
        <f t="shared" si="6"/>
        <v>7335686.3700000001</v>
      </c>
      <c r="AU19" s="478"/>
    </row>
    <row r="20" spans="1:47" s="35" customFormat="1" ht="29" hidden="1" x14ac:dyDescent="0.35">
      <c r="A20" s="35" t="s">
        <v>1192</v>
      </c>
      <c r="B20" s="224" t="s">
        <v>944</v>
      </c>
      <c r="C20" s="222" t="s">
        <v>19</v>
      </c>
      <c r="D20" s="136">
        <v>8470140</v>
      </c>
      <c r="E20" s="137" t="s">
        <v>54</v>
      </c>
      <c r="F20" s="138">
        <v>425510</v>
      </c>
      <c r="G20" s="137" t="s">
        <v>31</v>
      </c>
      <c r="H20" s="137" t="s">
        <v>57</v>
      </c>
      <c r="I20" s="137">
        <v>5425358</v>
      </c>
      <c r="J20" s="140">
        <v>6216546</v>
      </c>
      <c r="K20" s="141">
        <v>2569677.79</v>
      </c>
      <c r="L20" s="148">
        <v>2206800</v>
      </c>
      <c r="M20" s="140">
        <v>1089369.49</v>
      </c>
      <c r="N20" s="144">
        <f t="shared" si="0"/>
        <v>350698.72</v>
      </c>
      <c r="O20" s="145">
        <v>100699</v>
      </c>
      <c r="P20" s="145">
        <v>250000</v>
      </c>
      <c r="Q20" s="149"/>
      <c r="R20" s="150" t="s">
        <v>725</v>
      </c>
      <c r="S20" s="254">
        <f t="shared" si="1"/>
        <v>-0.28000000002793968</v>
      </c>
      <c r="T20" s="172"/>
      <c r="U20" s="137" t="s">
        <v>57</v>
      </c>
      <c r="V20" s="261">
        <f t="shared" si="8"/>
        <v>-0.28000000002793968</v>
      </c>
      <c r="W20" s="261">
        <f t="shared" si="7"/>
        <v>-1995.2800000000279</v>
      </c>
      <c r="X20" s="261"/>
      <c r="Y20" s="177" t="s">
        <v>722</v>
      </c>
      <c r="Z20" s="177"/>
      <c r="AA20" s="186">
        <v>6256444</v>
      </c>
      <c r="AB20" s="186">
        <v>4019855.79</v>
      </c>
      <c r="AC20" s="176">
        <v>681500</v>
      </c>
      <c r="AD20" s="176">
        <v>1323021.29</v>
      </c>
      <c r="AE20" s="186">
        <v>232066.91999999993</v>
      </c>
      <c r="AF20" s="35">
        <v>232066.92</v>
      </c>
      <c r="AG20" s="212">
        <v>0</v>
      </c>
      <c r="AH20" s="212">
        <f t="shared" si="3"/>
        <v>232067.19999999995</v>
      </c>
      <c r="AI20" s="212" t="s">
        <v>57</v>
      </c>
      <c r="AJ20" s="212">
        <v>6467596</v>
      </c>
      <c r="AK20" s="212">
        <v>5051607.4800000004</v>
      </c>
      <c r="AL20" s="212">
        <v>699700</v>
      </c>
      <c r="AM20" s="212">
        <v>642812.32999999996</v>
      </c>
      <c r="AN20" s="212">
        <v>73476.189999999493</v>
      </c>
      <c r="AO20" s="176">
        <v>0</v>
      </c>
      <c r="AP20" s="176">
        <v>1995</v>
      </c>
      <c r="AQ20" s="176">
        <v>0</v>
      </c>
      <c r="AR20" s="212">
        <f t="shared" si="4"/>
        <v>-1995.2800000000279</v>
      </c>
      <c r="AS20" s="212">
        <f t="shared" si="5"/>
        <v>6026372.0800000001</v>
      </c>
      <c r="AT20" s="473">
        <f t="shared" si="6"/>
        <v>6398110.0900000008</v>
      </c>
      <c r="AU20" s="478"/>
    </row>
    <row r="21" spans="1:47" s="35" customFormat="1" hidden="1" x14ac:dyDescent="0.35">
      <c r="A21" s="35" t="s">
        <v>1192</v>
      </c>
      <c r="B21" s="224" t="s">
        <v>944</v>
      </c>
      <c r="C21" s="222" t="s">
        <v>19</v>
      </c>
      <c r="D21" s="136">
        <v>8470140</v>
      </c>
      <c r="E21" s="137" t="s">
        <v>54</v>
      </c>
      <c r="F21" s="138">
        <v>425550</v>
      </c>
      <c r="G21" s="137" t="s">
        <v>33</v>
      </c>
      <c r="H21" s="137" t="s">
        <v>58</v>
      </c>
      <c r="I21" s="137">
        <v>791955</v>
      </c>
      <c r="J21" s="140">
        <v>2955</v>
      </c>
      <c r="K21" s="141">
        <v>2942.71</v>
      </c>
      <c r="L21" s="142"/>
      <c r="M21" s="143"/>
      <c r="N21" s="144">
        <f t="shared" si="0"/>
        <v>12.289999999999964</v>
      </c>
      <c r="O21" s="145"/>
      <c r="P21" s="145"/>
      <c r="Q21" s="149"/>
      <c r="R21" s="146"/>
      <c r="S21" s="254">
        <f t="shared" si="1"/>
        <v>12.289999999999964</v>
      </c>
      <c r="T21" s="172"/>
      <c r="U21" s="137" t="s">
        <v>58</v>
      </c>
      <c r="V21" s="261">
        <f t="shared" si="8"/>
        <v>12.289999999999964</v>
      </c>
      <c r="W21" s="261">
        <f t="shared" si="7"/>
        <v>12.289999999999964</v>
      </c>
      <c r="X21" s="261"/>
      <c r="Y21" s="177" t="s">
        <v>722</v>
      </c>
      <c r="Z21" s="177"/>
      <c r="AA21" s="186">
        <v>59402</v>
      </c>
      <c r="AB21" s="186">
        <v>2942.71</v>
      </c>
      <c r="AC21" s="176">
        <v>0</v>
      </c>
      <c r="AD21" s="176">
        <v>56458</v>
      </c>
      <c r="AE21" s="186">
        <v>1.2900000000008731</v>
      </c>
      <c r="AF21" s="35">
        <v>1.29000000000087</v>
      </c>
      <c r="AG21" s="212">
        <v>3.1086244689504383E-15</v>
      </c>
      <c r="AH21" s="212">
        <f t="shared" si="3"/>
        <v>-10.999999999999091</v>
      </c>
      <c r="AI21" s="212" t="s">
        <v>58</v>
      </c>
      <c r="AJ21" s="212">
        <v>59402</v>
      </c>
      <c r="AK21" s="212">
        <v>2942.71</v>
      </c>
      <c r="AL21" s="212">
        <v>0</v>
      </c>
      <c r="AM21" s="212">
        <v>56458</v>
      </c>
      <c r="AN21" s="212">
        <v>1.29000000000087</v>
      </c>
      <c r="AO21" s="176">
        <v>0</v>
      </c>
      <c r="AP21" s="176">
        <v>0</v>
      </c>
      <c r="AQ21" s="176">
        <v>0</v>
      </c>
      <c r="AR21" s="212">
        <f t="shared" si="4"/>
        <v>12.289999999999964</v>
      </c>
      <c r="AS21" s="212">
        <f t="shared" si="5"/>
        <v>59400.71</v>
      </c>
      <c r="AT21" s="473">
        <f t="shared" si="6"/>
        <v>59388.42</v>
      </c>
      <c r="AU21" s="478"/>
    </row>
    <row r="22" spans="1:47" s="35" customFormat="1" hidden="1" x14ac:dyDescent="0.35">
      <c r="A22" s="35" t="s">
        <v>1192</v>
      </c>
      <c r="B22" s="224" t="s">
        <v>944</v>
      </c>
      <c r="C22" s="222" t="s">
        <v>19</v>
      </c>
      <c r="D22" s="136">
        <v>8470140</v>
      </c>
      <c r="E22" s="137" t="s">
        <v>54</v>
      </c>
      <c r="F22" s="138">
        <v>425763</v>
      </c>
      <c r="G22" s="137" t="s">
        <v>59</v>
      </c>
      <c r="H22" s="137" t="s">
        <v>60</v>
      </c>
      <c r="I22" s="137">
        <v>0</v>
      </c>
      <c r="J22" s="140">
        <v>453163</v>
      </c>
      <c r="K22" s="141">
        <v>154662.9</v>
      </c>
      <c r="L22" s="148">
        <v>298500</v>
      </c>
      <c r="M22" s="140">
        <v>0</v>
      </c>
      <c r="N22" s="144">
        <f t="shared" si="0"/>
        <v>9.9999999976716936E-2</v>
      </c>
      <c r="O22" s="145"/>
      <c r="P22" s="145"/>
      <c r="Q22" s="149"/>
      <c r="R22" s="146"/>
      <c r="S22" s="254">
        <f t="shared" si="1"/>
        <v>9.9999999976716936E-2</v>
      </c>
      <c r="T22" s="172"/>
      <c r="U22" s="137" t="s">
        <v>60</v>
      </c>
      <c r="V22" s="261">
        <f t="shared" si="8"/>
        <v>9.9999999976716936E-2</v>
      </c>
      <c r="W22" s="261">
        <f t="shared" si="7"/>
        <v>9.9999999976716936E-2</v>
      </c>
      <c r="X22" s="261"/>
      <c r="Y22" s="177" t="s">
        <v>722</v>
      </c>
      <c r="Z22" s="177"/>
      <c r="AA22" s="186">
        <v>453163</v>
      </c>
      <c r="AB22" s="186">
        <v>154662.9</v>
      </c>
      <c r="AC22" s="176">
        <v>298500</v>
      </c>
      <c r="AD22" s="176">
        <v>0</v>
      </c>
      <c r="AE22" s="186">
        <v>9.9999999976716936E-2</v>
      </c>
      <c r="AF22" s="35">
        <v>9.9999999976716894E-2</v>
      </c>
      <c r="AG22" s="212">
        <v>0</v>
      </c>
      <c r="AH22" s="212">
        <f t="shared" si="3"/>
        <v>0</v>
      </c>
      <c r="AI22" s="212" t="s">
        <v>60</v>
      </c>
      <c r="AJ22" s="212">
        <v>453663</v>
      </c>
      <c r="AK22" s="212">
        <v>154662.9</v>
      </c>
      <c r="AL22" s="212">
        <v>249000</v>
      </c>
      <c r="AM22" s="212">
        <v>49975</v>
      </c>
      <c r="AN22" s="212">
        <v>25.099999999976699</v>
      </c>
      <c r="AO22" s="176">
        <v>0</v>
      </c>
      <c r="AP22" s="176">
        <v>0</v>
      </c>
      <c r="AQ22" s="176">
        <v>0</v>
      </c>
      <c r="AR22" s="212">
        <f t="shared" si="4"/>
        <v>9.9999999976716936E-2</v>
      </c>
      <c r="AS22" s="212">
        <f t="shared" si="5"/>
        <v>453162.9</v>
      </c>
      <c r="AT22" s="473">
        <f t="shared" si="6"/>
        <v>453637.80000000005</v>
      </c>
      <c r="AU22" s="478"/>
    </row>
    <row r="23" spans="1:47" s="35" customFormat="1" ht="43.5" hidden="1" x14ac:dyDescent="0.35">
      <c r="A23" s="35" t="s">
        <v>1192</v>
      </c>
      <c r="B23" s="224" t="s">
        <v>944</v>
      </c>
      <c r="C23" s="222" t="s">
        <v>19</v>
      </c>
      <c r="D23" s="136">
        <v>8470140</v>
      </c>
      <c r="E23" s="137" t="s">
        <v>54</v>
      </c>
      <c r="F23" s="138">
        <v>427100</v>
      </c>
      <c r="G23" s="137" t="s">
        <v>61</v>
      </c>
      <c r="H23" s="137" t="s">
        <v>62</v>
      </c>
      <c r="I23" s="137">
        <v>1157850</v>
      </c>
      <c r="J23" s="140">
        <v>1157850</v>
      </c>
      <c r="K23" s="147"/>
      <c r="L23" s="148">
        <v>909458.75</v>
      </c>
      <c r="M23" s="143"/>
      <c r="N23" s="144">
        <f t="shared" si="0"/>
        <v>248391.25</v>
      </c>
      <c r="O23" s="145">
        <v>156000</v>
      </c>
      <c r="P23" s="145">
        <v>92391</v>
      </c>
      <c r="Q23" s="149"/>
      <c r="R23" s="150" t="s">
        <v>723</v>
      </c>
      <c r="S23" s="254">
        <f t="shared" si="1"/>
        <v>0.25</v>
      </c>
      <c r="T23" s="172"/>
      <c r="U23" s="137" t="s">
        <v>62</v>
      </c>
      <c r="V23" s="261">
        <f t="shared" si="8"/>
        <v>0.25</v>
      </c>
      <c r="W23" s="261">
        <f t="shared" si="7"/>
        <v>0.25</v>
      </c>
      <c r="X23" s="261"/>
      <c r="Y23" s="177" t="s">
        <v>722</v>
      </c>
      <c r="Z23" s="177"/>
      <c r="AA23" s="186">
        <v>1097850</v>
      </c>
      <c r="AB23" s="186">
        <v>477456.84</v>
      </c>
      <c r="AC23" s="176">
        <v>0</v>
      </c>
      <c r="AD23" s="176">
        <v>432001.91</v>
      </c>
      <c r="AE23" s="186">
        <v>188391.24999999994</v>
      </c>
      <c r="AF23" s="35">
        <v>188391.25</v>
      </c>
      <c r="AG23" s="212">
        <v>0</v>
      </c>
      <c r="AH23" s="212">
        <f t="shared" si="3"/>
        <v>188390.99999999994</v>
      </c>
      <c r="AI23" s="212" t="s">
        <v>62</v>
      </c>
      <c r="AJ23" s="212">
        <v>927677</v>
      </c>
      <c r="AK23" s="212">
        <v>477456.84</v>
      </c>
      <c r="AL23" s="212">
        <v>0</v>
      </c>
      <c r="AM23" s="212">
        <v>432001.91</v>
      </c>
      <c r="AN23" s="212">
        <v>0.74999999994179201</v>
      </c>
      <c r="AO23" s="176">
        <v>0</v>
      </c>
      <c r="AP23" s="176">
        <v>0</v>
      </c>
      <c r="AQ23" s="176">
        <v>0</v>
      </c>
      <c r="AR23" s="212">
        <f t="shared" si="4"/>
        <v>0.25</v>
      </c>
      <c r="AS23" s="212">
        <f t="shared" si="5"/>
        <v>909458.75</v>
      </c>
      <c r="AT23" s="473">
        <f t="shared" si="6"/>
        <v>909458.5</v>
      </c>
      <c r="AU23" s="478"/>
    </row>
    <row r="24" spans="1:47" s="35" customFormat="1" hidden="1" x14ac:dyDescent="0.35">
      <c r="A24" s="35" t="s">
        <v>1192</v>
      </c>
      <c r="B24" s="224" t="s">
        <v>944</v>
      </c>
      <c r="C24" s="222" t="s">
        <v>19</v>
      </c>
      <c r="D24" s="136">
        <v>8470140</v>
      </c>
      <c r="E24" s="137" t="s">
        <v>54</v>
      </c>
      <c r="F24" s="138">
        <v>427200</v>
      </c>
      <c r="G24" s="137" t="s">
        <v>63</v>
      </c>
      <c r="H24" s="137" t="s">
        <v>64</v>
      </c>
      <c r="I24" s="137">
        <v>750000</v>
      </c>
      <c r="J24" s="140">
        <v>50000</v>
      </c>
      <c r="K24" s="141">
        <v>20841.47</v>
      </c>
      <c r="L24" s="142"/>
      <c r="M24" s="143"/>
      <c r="N24" s="144">
        <f t="shared" si="0"/>
        <v>29158.53</v>
      </c>
      <c r="O24" s="145"/>
      <c r="P24" s="145"/>
      <c r="Q24" s="149"/>
      <c r="R24" s="146"/>
      <c r="S24" s="254">
        <f t="shared" si="1"/>
        <v>29158.53</v>
      </c>
      <c r="T24" s="172"/>
      <c r="U24" s="137" t="s">
        <v>64</v>
      </c>
      <c r="V24" s="261">
        <f t="shared" si="8"/>
        <v>29158.53</v>
      </c>
      <c r="W24" s="261">
        <f t="shared" si="7"/>
        <v>29158.53</v>
      </c>
      <c r="X24" s="261"/>
      <c r="Y24" s="177" t="s">
        <v>722</v>
      </c>
      <c r="Z24" s="177"/>
      <c r="AA24" s="186">
        <v>23654</v>
      </c>
      <c r="AB24" s="186">
        <v>23653.37</v>
      </c>
      <c r="AC24" s="176">
        <v>0</v>
      </c>
      <c r="AD24" s="176">
        <v>0</v>
      </c>
      <c r="AE24" s="186">
        <v>0.63000000000101863</v>
      </c>
      <c r="AF24" s="35">
        <v>0.63000000000101897</v>
      </c>
      <c r="AG24" s="212">
        <v>0</v>
      </c>
      <c r="AH24" s="212">
        <f t="shared" si="3"/>
        <v>-29157.899999999998</v>
      </c>
      <c r="AI24" s="212" t="s">
        <v>64</v>
      </c>
      <c r="AJ24" s="212">
        <v>23654</v>
      </c>
      <c r="AK24" s="212">
        <v>23653.37</v>
      </c>
      <c r="AL24" s="212">
        <v>0</v>
      </c>
      <c r="AM24" s="212">
        <v>0</v>
      </c>
      <c r="AN24" s="212">
        <v>0.63000000000101897</v>
      </c>
      <c r="AO24" s="176">
        <v>0</v>
      </c>
      <c r="AP24" s="176">
        <v>0</v>
      </c>
      <c r="AQ24" s="176">
        <v>0</v>
      </c>
      <c r="AR24" s="212">
        <f t="shared" si="4"/>
        <v>29158.53</v>
      </c>
      <c r="AS24" s="212">
        <f t="shared" si="5"/>
        <v>23653.37</v>
      </c>
      <c r="AT24" s="473">
        <f t="shared" si="6"/>
        <v>-5505.16</v>
      </c>
      <c r="AU24" s="478"/>
    </row>
    <row r="25" spans="1:47" s="35" customFormat="1" hidden="1" x14ac:dyDescent="0.35">
      <c r="A25" s="35" t="s">
        <v>1192</v>
      </c>
      <c r="B25" s="224" t="s">
        <v>944</v>
      </c>
      <c r="C25" s="222" t="s">
        <v>19</v>
      </c>
      <c r="D25" s="136">
        <v>8470140</v>
      </c>
      <c r="E25" s="137" t="s">
        <v>54</v>
      </c>
      <c r="F25" s="138">
        <v>428640</v>
      </c>
      <c r="G25" s="137" t="s">
        <v>43</v>
      </c>
      <c r="H25" s="137" t="s">
        <v>65</v>
      </c>
      <c r="I25" s="137">
        <v>998000</v>
      </c>
      <c r="J25" s="140">
        <v>238000</v>
      </c>
      <c r="K25" s="141">
        <v>20594.009999999998</v>
      </c>
      <c r="L25" s="148">
        <v>0</v>
      </c>
      <c r="M25" s="140">
        <v>177011</v>
      </c>
      <c r="N25" s="144">
        <f t="shared" si="0"/>
        <v>40394.989999999991</v>
      </c>
      <c r="O25" s="145"/>
      <c r="P25" s="145"/>
      <c r="Q25" s="149"/>
      <c r="R25" s="146"/>
      <c r="S25" s="254">
        <f t="shared" si="1"/>
        <v>40394.989999999991</v>
      </c>
      <c r="T25" s="172"/>
      <c r="U25" s="137" t="s">
        <v>65</v>
      </c>
      <c r="V25" s="261">
        <f t="shared" si="8"/>
        <v>40394.989999999991</v>
      </c>
      <c r="W25" s="261">
        <f t="shared" si="7"/>
        <v>40394.989999999991</v>
      </c>
      <c r="X25" s="261"/>
      <c r="Y25" s="177" t="s">
        <v>722</v>
      </c>
      <c r="Z25" s="177"/>
      <c r="AA25" s="186">
        <v>238000</v>
      </c>
      <c r="AB25" s="186">
        <v>21975.01</v>
      </c>
      <c r="AC25" s="176">
        <v>0</v>
      </c>
      <c r="AD25" s="176">
        <v>199891</v>
      </c>
      <c r="AE25" s="186">
        <v>16133.989999999991</v>
      </c>
      <c r="AF25" s="35">
        <v>16133.99</v>
      </c>
      <c r="AG25" s="212">
        <v>0</v>
      </c>
      <c r="AH25" s="212">
        <f t="shared" si="3"/>
        <v>-24261</v>
      </c>
      <c r="AI25" s="212" t="s">
        <v>65</v>
      </c>
      <c r="AJ25" s="212">
        <v>221867</v>
      </c>
      <c r="AK25" s="212">
        <v>21975.01</v>
      </c>
      <c r="AL25" s="212">
        <v>0</v>
      </c>
      <c r="AM25" s="212">
        <v>199891</v>
      </c>
      <c r="AN25" s="212">
        <v>0.989999999990687</v>
      </c>
      <c r="AO25" s="176">
        <v>0</v>
      </c>
      <c r="AP25" s="176">
        <v>0</v>
      </c>
      <c r="AQ25" s="176">
        <v>0</v>
      </c>
      <c r="AR25" s="212">
        <f t="shared" si="4"/>
        <v>40394.989999999991</v>
      </c>
      <c r="AS25" s="212">
        <f t="shared" si="5"/>
        <v>221866.01</v>
      </c>
      <c r="AT25" s="473">
        <f t="shared" si="6"/>
        <v>181471.02000000002</v>
      </c>
      <c r="AU25" s="478"/>
    </row>
    <row r="26" spans="1:47" s="35" customFormat="1" hidden="1" x14ac:dyDescent="0.35">
      <c r="A26" s="35" t="s">
        <v>1192</v>
      </c>
      <c r="B26" s="224" t="s">
        <v>944</v>
      </c>
      <c r="C26" s="222" t="s">
        <v>19</v>
      </c>
      <c r="D26" s="136">
        <v>8470140</v>
      </c>
      <c r="E26" s="137" t="s">
        <v>54</v>
      </c>
      <c r="F26" s="138">
        <v>435310</v>
      </c>
      <c r="G26" s="137" t="s">
        <v>66</v>
      </c>
      <c r="H26" s="137" t="s">
        <v>67</v>
      </c>
      <c r="I26" s="137">
        <v>10000</v>
      </c>
      <c r="J26" s="140">
        <v>10000</v>
      </c>
      <c r="K26" s="147"/>
      <c r="L26" s="142"/>
      <c r="M26" s="143"/>
      <c r="N26" s="144">
        <f t="shared" si="0"/>
        <v>10000</v>
      </c>
      <c r="O26" s="145"/>
      <c r="P26" s="145"/>
      <c r="Q26" s="149"/>
      <c r="R26" s="146"/>
      <c r="S26" s="254">
        <f t="shared" si="1"/>
        <v>10000</v>
      </c>
      <c r="T26" s="172"/>
      <c r="U26" s="137" t="s">
        <v>67</v>
      </c>
      <c r="V26" s="261">
        <f t="shared" si="8"/>
        <v>10000</v>
      </c>
      <c r="W26" s="261">
        <f t="shared" si="7"/>
        <v>10000</v>
      </c>
      <c r="X26" s="261"/>
      <c r="Y26" s="177" t="s">
        <v>722</v>
      </c>
      <c r="Z26" s="177"/>
      <c r="AA26" s="186">
        <v>1</v>
      </c>
      <c r="AB26" s="186">
        <v>0</v>
      </c>
      <c r="AC26" s="176">
        <v>0</v>
      </c>
      <c r="AD26" s="176">
        <v>0</v>
      </c>
      <c r="AE26" s="186">
        <v>1</v>
      </c>
      <c r="AF26" s="35">
        <v>1</v>
      </c>
      <c r="AG26" s="212">
        <v>0</v>
      </c>
      <c r="AH26" s="212">
        <f t="shared" si="3"/>
        <v>-9999</v>
      </c>
      <c r="AI26" s="212" t="s">
        <v>67</v>
      </c>
      <c r="AJ26" s="212">
        <v>1</v>
      </c>
      <c r="AK26" s="212">
        <v>0</v>
      </c>
      <c r="AL26" s="212">
        <v>0</v>
      </c>
      <c r="AM26" s="212">
        <v>0</v>
      </c>
      <c r="AN26" s="212">
        <v>1</v>
      </c>
      <c r="AO26" s="176">
        <v>0</v>
      </c>
      <c r="AP26" s="176">
        <v>0</v>
      </c>
      <c r="AQ26" s="176">
        <v>0</v>
      </c>
      <c r="AR26" s="212">
        <f t="shared" si="4"/>
        <v>10000</v>
      </c>
      <c r="AS26" s="212">
        <f t="shared" si="5"/>
        <v>0</v>
      </c>
      <c r="AT26" s="473">
        <f t="shared" si="6"/>
        <v>-10000</v>
      </c>
      <c r="AU26" s="478"/>
    </row>
    <row r="27" spans="1:47" s="35" customFormat="1" hidden="1" x14ac:dyDescent="0.35">
      <c r="A27" s="35" t="s">
        <v>1192</v>
      </c>
      <c r="B27" s="224" t="s">
        <v>944</v>
      </c>
      <c r="C27" s="222" t="s">
        <v>19</v>
      </c>
      <c r="D27" s="136">
        <v>8470140</v>
      </c>
      <c r="E27" s="137" t="s">
        <v>54</v>
      </c>
      <c r="F27" s="138">
        <v>435519</v>
      </c>
      <c r="G27" s="137" t="s">
        <v>68</v>
      </c>
      <c r="H27" s="137" t="s">
        <v>69</v>
      </c>
      <c r="I27" s="137">
        <v>135000</v>
      </c>
      <c r="J27" s="140">
        <v>43812</v>
      </c>
      <c r="K27" s="141">
        <v>43812</v>
      </c>
      <c r="L27" s="148">
        <v>0</v>
      </c>
      <c r="M27" s="140">
        <v>0</v>
      </c>
      <c r="N27" s="144">
        <f t="shared" si="0"/>
        <v>0</v>
      </c>
      <c r="O27" s="145"/>
      <c r="P27" s="145"/>
      <c r="Q27" s="149"/>
      <c r="R27" s="146"/>
      <c r="S27" s="254">
        <f t="shared" si="1"/>
        <v>0</v>
      </c>
      <c r="T27" s="172"/>
      <c r="U27" s="137" t="s">
        <v>69</v>
      </c>
      <c r="V27" s="261">
        <f t="shared" si="8"/>
        <v>0</v>
      </c>
      <c r="W27" s="261">
        <f t="shared" si="7"/>
        <v>0</v>
      </c>
      <c r="X27" s="261"/>
      <c r="Y27" s="177" t="s">
        <v>722</v>
      </c>
      <c r="Z27" s="177"/>
      <c r="AA27" s="186">
        <v>43812</v>
      </c>
      <c r="AB27" s="186">
        <v>43812</v>
      </c>
      <c r="AC27" s="176">
        <v>0</v>
      </c>
      <c r="AD27" s="176">
        <v>0</v>
      </c>
      <c r="AE27" s="186">
        <v>0</v>
      </c>
      <c r="AF27" s="35">
        <v>0</v>
      </c>
      <c r="AG27" s="212">
        <v>0</v>
      </c>
      <c r="AH27" s="212">
        <f t="shared" si="3"/>
        <v>0</v>
      </c>
      <c r="AI27" s="212" t="s">
        <v>69</v>
      </c>
      <c r="AJ27" s="212">
        <v>43812</v>
      </c>
      <c r="AK27" s="212">
        <v>43812</v>
      </c>
      <c r="AL27" s="212">
        <v>0</v>
      </c>
      <c r="AM27" s="212">
        <v>0</v>
      </c>
      <c r="AN27" s="212">
        <v>0</v>
      </c>
      <c r="AO27" s="176">
        <v>0</v>
      </c>
      <c r="AP27" s="176">
        <v>0</v>
      </c>
      <c r="AQ27" s="176">
        <v>0</v>
      </c>
      <c r="AR27" s="212">
        <f t="shared" si="4"/>
        <v>0</v>
      </c>
      <c r="AS27" s="212">
        <f t="shared" si="5"/>
        <v>43812</v>
      </c>
      <c r="AT27" s="473">
        <f t="shared" si="6"/>
        <v>43812</v>
      </c>
      <c r="AU27" s="478"/>
    </row>
    <row r="28" spans="1:47" s="35" customFormat="1" ht="29" hidden="1" x14ac:dyDescent="0.35">
      <c r="A28" s="35" t="s">
        <v>1191</v>
      </c>
      <c r="B28" s="224" t="s">
        <v>943</v>
      </c>
      <c r="C28" s="222" t="s">
        <v>19</v>
      </c>
      <c r="D28" s="136">
        <v>8470150</v>
      </c>
      <c r="E28" s="137" t="s">
        <v>70</v>
      </c>
      <c r="F28" s="138">
        <v>420900</v>
      </c>
      <c r="G28" s="137" t="s">
        <v>25</v>
      </c>
      <c r="H28" s="137" t="s">
        <v>71</v>
      </c>
      <c r="I28" s="137">
        <v>0</v>
      </c>
      <c r="J28" s="140">
        <v>32600</v>
      </c>
      <c r="K28" s="141">
        <v>24142.82</v>
      </c>
      <c r="L28" s="142"/>
      <c r="M28" s="143"/>
      <c r="N28" s="144">
        <f t="shared" si="0"/>
        <v>8457.18</v>
      </c>
      <c r="O28" s="145"/>
      <c r="P28" s="145"/>
      <c r="Q28" s="145"/>
      <c r="R28" s="146"/>
      <c r="S28" s="139">
        <f t="shared" si="1"/>
        <v>8457.18</v>
      </c>
      <c r="T28" s="172"/>
      <c r="U28" s="137" t="s">
        <v>71</v>
      </c>
      <c r="V28" s="261">
        <f>AN28*0.8</f>
        <v>45718.144</v>
      </c>
      <c r="W28" s="261">
        <f t="shared" si="7"/>
        <v>45718.144</v>
      </c>
      <c r="X28" s="261"/>
      <c r="Y28" s="176" t="s">
        <v>838</v>
      </c>
      <c r="Z28" s="176"/>
      <c r="AA28" s="186">
        <v>82600</v>
      </c>
      <c r="AB28" s="186">
        <v>24142.82</v>
      </c>
      <c r="AC28" s="176">
        <v>0</v>
      </c>
      <c r="AD28" s="176">
        <v>0</v>
      </c>
      <c r="AE28" s="186">
        <v>58457.18</v>
      </c>
      <c r="AF28" s="35">
        <v>58457.18</v>
      </c>
      <c r="AG28" s="212">
        <v>0</v>
      </c>
      <c r="AH28" s="212">
        <f t="shared" si="3"/>
        <v>12739.036</v>
      </c>
      <c r="AI28" s="212" t="s">
        <v>71</v>
      </c>
      <c r="AJ28" s="212">
        <v>82600</v>
      </c>
      <c r="AK28" s="212">
        <v>25452.32</v>
      </c>
      <c r="AL28" s="212">
        <v>0</v>
      </c>
      <c r="AM28" s="212">
        <v>0</v>
      </c>
      <c r="AN28" s="212">
        <v>57147.68</v>
      </c>
      <c r="AO28" s="176">
        <v>0</v>
      </c>
      <c r="AP28" s="176">
        <v>0</v>
      </c>
      <c r="AQ28" s="176">
        <v>0</v>
      </c>
      <c r="AR28" s="212">
        <f t="shared" si="4"/>
        <v>45718.144</v>
      </c>
      <c r="AS28" s="212">
        <f t="shared" si="5"/>
        <v>24142.82</v>
      </c>
      <c r="AT28" s="473">
        <f t="shared" si="6"/>
        <v>-20265.824000000001</v>
      </c>
      <c r="AU28" s="477"/>
    </row>
    <row r="29" spans="1:47" s="35" customFormat="1" ht="58" hidden="1" x14ac:dyDescent="0.35">
      <c r="A29" s="35" t="s">
        <v>1191</v>
      </c>
      <c r="B29" s="224" t="s">
        <v>957</v>
      </c>
      <c r="C29" s="222" t="s">
        <v>19</v>
      </c>
      <c r="D29" s="136">
        <v>8470210</v>
      </c>
      <c r="E29" s="137" t="s">
        <v>72</v>
      </c>
      <c r="F29" s="138">
        <v>420570</v>
      </c>
      <c r="G29" s="137" t="s">
        <v>23</v>
      </c>
      <c r="H29" s="137" t="s">
        <v>73</v>
      </c>
      <c r="I29" s="137">
        <v>0</v>
      </c>
      <c r="J29" s="140">
        <v>2603121</v>
      </c>
      <c r="K29" s="147"/>
      <c r="L29" s="142"/>
      <c r="M29" s="143"/>
      <c r="N29" s="144">
        <f t="shared" si="0"/>
        <v>2603121</v>
      </c>
      <c r="O29" s="145"/>
      <c r="P29" s="145"/>
      <c r="Q29" s="145"/>
      <c r="R29" s="146"/>
      <c r="S29" s="139">
        <f t="shared" si="1"/>
        <v>2603121</v>
      </c>
      <c r="T29" s="172"/>
      <c r="U29" s="137" t="s">
        <v>73</v>
      </c>
      <c r="V29" s="261">
        <f t="shared" ref="V29:V35" si="9">AE29</f>
        <v>721634</v>
      </c>
      <c r="W29" s="261">
        <f t="shared" si="7"/>
        <v>707464.6</v>
      </c>
      <c r="X29" s="261"/>
      <c r="Y29" s="177" t="s">
        <v>978</v>
      </c>
      <c r="Z29" s="176"/>
      <c r="AA29" s="186">
        <v>721634</v>
      </c>
      <c r="AB29" s="186">
        <v>0</v>
      </c>
      <c r="AC29" s="176">
        <v>0</v>
      </c>
      <c r="AD29" s="176">
        <v>0</v>
      </c>
      <c r="AE29" s="186">
        <v>721634</v>
      </c>
      <c r="AF29" s="35">
        <v>721634</v>
      </c>
      <c r="AG29" s="212">
        <v>0</v>
      </c>
      <c r="AH29" s="212">
        <f t="shared" si="3"/>
        <v>0</v>
      </c>
      <c r="AI29" s="212" t="s">
        <v>73</v>
      </c>
      <c r="AJ29" s="212">
        <v>721634</v>
      </c>
      <c r="AK29" s="212">
        <v>0</v>
      </c>
      <c r="AL29" s="212">
        <v>0</v>
      </c>
      <c r="AM29" s="212">
        <v>0</v>
      </c>
      <c r="AN29" s="212">
        <v>721634</v>
      </c>
      <c r="AO29" s="398">
        <v>7031.05</v>
      </c>
      <c r="AP29" s="398">
        <v>7138.35</v>
      </c>
      <c r="AQ29" s="176">
        <v>0</v>
      </c>
      <c r="AR29" s="212">
        <f t="shared" si="4"/>
        <v>707464.6</v>
      </c>
      <c r="AS29" s="212">
        <f t="shared" si="5"/>
        <v>14169.400000000001</v>
      </c>
      <c r="AT29" s="473">
        <f t="shared" si="6"/>
        <v>-693295.2</v>
      </c>
      <c r="AU29" s="477"/>
    </row>
    <row r="30" spans="1:47" s="35" customFormat="1" ht="58" hidden="1" x14ac:dyDescent="0.35">
      <c r="A30" s="35" t="s">
        <v>1191</v>
      </c>
      <c r="B30" s="224" t="s">
        <v>957</v>
      </c>
      <c r="C30" s="222" t="s">
        <v>19</v>
      </c>
      <c r="D30" s="136">
        <v>8470210</v>
      </c>
      <c r="E30" s="137" t="s">
        <v>72</v>
      </c>
      <c r="F30" s="138">
        <v>425770</v>
      </c>
      <c r="G30" s="137" t="s">
        <v>74</v>
      </c>
      <c r="H30" s="137" t="s">
        <v>75</v>
      </c>
      <c r="I30" s="137">
        <v>0</v>
      </c>
      <c r="J30" s="140">
        <v>2973778</v>
      </c>
      <c r="K30" s="147"/>
      <c r="L30" s="142"/>
      <c r="M30" s="143"/>
      <c r="N30" s="144">
        <f t="shared" si="0"/>
        <v>2973778</v>
      </c>
      <c r="O30" s="145"/>
      <c r="P30" s="145"/>
      <c r="Q30" s="145"/>
      <c r="R30" s="146"/>
      <c r="S30" s="139">
        <f t="shared" si="1"/>
        <v>2973778</v>
      </c>
      <c r="T30" s="172"/>
      <c r="U30" s="137" t="s">
        <v>75</v>
      </c>
      <c r="V30" s="261">
        <f t="shared" si="9"/>
        <v>954528</v>
      </c>
      <c r="W30" s="261">
        <f t="shared" si="7"/>
        <v>954528</v>
      </c>
      <c r="X30" s="261"/>
      <c r="Y30" s="177" t="s">
        <v>978</v>
      </c>
      <c r="Z30" s="176"/>
      <c r="AA30" s="186">
        <v>954528</v>
      </c>
      <c r="AB30" s="186">
        <v>0</v>
      </c>
      <c r="AC30" s="176">
        <v>0</v>
      </c>
      <c r="AD30" s="176">
        <v>0</v>
      </c>
      <c r="AE30" s="186">
        <v>954528</v>
      </c>
      <c r="AF30" s="35">
        <v>954528</v>
      </c>
      <c r="AG30" s="212">
        <v>0</v>
      </c>
      <c r="AH30" s="212">
        <f t="shared" si="3"/>
        <v>0</v>
      </c>
      <c r="AI30" s="212" t="s">
        <v>75</v>
      </c>
      <c r="AJ30" s="212">
        <v>680428</v>
      </c>
      <c r="AK30" s="212">
        <v>0</v>
      </c>
      <c r="AL30" s="212">
        <v>0</v>
      </c>
      <c r="AM30" s="212">
        <v>0</v>
      </c>
      <c r="AN30" s="212">
        <v>680428</v>
      </c>
      <c r="AO30" s="176">
        <v>0</v>
      </c>
      <c r="AP30" s="176">
        <v>0</v>
      </c>
      <c r="AQ30" s="176">
        <v>0</v>
      </c>
      <c r="AR30" s="212">
        <f t="shared" si="4"/>
        <v>954528</v>
      </c>
      <c r="AS30" s="212">
        <f t="shared" si="5"/>
        <v>0</v>
      </c>
      <c r="AT30" s="473">
        <f t="shared" si="6"/>
        <v>-954528</v>
      </c>
      <c r="AU30" s="477"/>
    </row>
    <row r="31" spans="1:47" s="35" customFormat="1" ht="58" hidden="1" x14ac:dyDescent="0.35">
      <c r="A31" s="35" t="s">
        <v>1191</v>
      </c>
      <c r="B31" s="224" t="s">
        <v>957</v>
      </c>
      <c r="C31" s="222" t="s">
        <v>19</v>
      </c>
      <c r="D31" s="136">
        <v>8470210</v>
      </c>
      <c r="E31" s="137" t="s">
        <v>72</v>
      </c>
      <c r="F31" s="138">
        <v>427200</v>
      </c>
      <c r="G31" s="137" t="s">
        <v>63</v>
      </c>
      <c r="H31" s="137" t="s">
        <v>76</v>
      </c>
      <c r="I31" s="137">
        <v>0</v>
      </c>
      <c r="J31" s="140">
        <v>746464</v>
      </c>
      <c r="K31" s="147"/>
      <c r="L31" s="142"/>
      <c r="M31" s="143"/>
      <c r="N31" s="144">
        <f t="shared" si="0"/>
        <v>746464</v>
      </c>
      <c r="O31" s="145"/>
      <c r="P31" s="145"/>
      <c r="Q31" s="145"/>
      <c r="R31" s="146"/>
      <c r="S31" s="139">
        <f t="shared" si="1"/>
        <v>746464</v>
      </c>
      <c r="T31" s="172"/>
      <c r="U31" s="137" t="s">
        <v>76</v>
      </c>
      <c r="V31" s="261">
        <f t="shared" si="9"/>
        <v>746464</v>
      </c>
      <c r="W31" s="261">
        <f t="shared" si="7"/>
        <v>746464</v>
      </c>
      <c r="X31" s="261"/>
      <c r="Y31" s="177" t="s">
        <v>978</v>
      </c>
      <c r="Z31" s="176"/>
      <c r="AA31" s="186">
        <v>746464</v>
      </c>
      <c r="AB31" s="186">
        <v>0</v>
      </c>
      <c r="AC31" s="176">
        <v>0</v>
      </c>
      <c r="AD31" s="176">
        <v>0</v>
      </c>
      <c r="AE31" s="186">
        <v>746464</v>
      </c>
      <c r="AF31" s="35">
        <v>746464</v>
      </c>
      <c r="AG31" s="212">
        <v>0</v>
      </c>
      <c r="AH31" s="212">
        <f t="shared" si="3"/>
        <v>0</v>
      </c>
      <c r="AI31" s="212" t="s">
        <v>76</v>
      </c>
      <c r="AJ31" s="212">
        <v>746464</v>
      </c>
      <c r="AK31" s="212">
        <v>0</v>
      </c>
      <c r="AL31" s="212">
        <v>0</v>
      </c>
      <c r="AM31" s="212">
        <v>0</v>
      </c>
      <c r="AN31" s="212">
        <v>746464</v>
      </c>
      <c r="AO31" s="176">
        <v>0</v>
      </c>
      <c r="AP31" s="176">
        <v>0</v>
      </c>
      <c r="AQ31" s="176">
        <v>0</v>
      </c>
      <c r="AR31" s="212">
        <f t="shared" si="4"/>
        <v>746464</v>
      </c>
      <c r="AS31" s="212">
        <f t="shared" si="5"/>
        <v>0</v>
      </c>
      <c r="AT31" s="473">
        <f t="shared" si="6"/>
        <v>-746464</v>
      </c>
      <c r="AU31" s="477"/>
    </row>
    <row r="32" spans="1:47" s="35" customFormat="1" ht="58" hidden="1" x14ac:dyDescent="0.35">
      <c r="A32" s="35" t="s">
        <v>1191</v>
      </c>
      <c r="B32" s="224" t="s">
        <v>957</v>
      </c>
      <c r="C32" s="222" t="s">
        <v>19</v>
      </c>
      <c r="D32" s="136">
        <v>8470210</v>
      </c>
      <c r="E32" s="137" t="s">
        <v>72</v>
      </c>
      <c r="F32" s="138">
        <v>428090</v>
      </c>
      <c r="G32" s="137" t="s">
        <v>39</v>
      </c>
      <c r="H32" s="137" t="s">
        <v>77</v>
      </c>
      <c r="I32" s="137">
        <v>0</v>
      </c>
      <c r="J32" s="140">
        <v>2670379</v>
      </c>
      <c r="K32" s="147"/>
      <c r="L32" s="142"/>
      <c r="M32" s="143"/>
      <c r="N32" s="144">
        <f t="shared" si="0"/>
        <v>2670379</v>
      </c>
      <c r="O32" s="145"/>
      <c r="P32" s="145"/>
      <c r="Q32" s="145"/>
      <c r="R32" s="146"/>
      <c r="S32" s="139">
        <f t="shared" si="1"/>
        <v>2670379</v>
      </c>
      <c r="T32" s="172"/>
      <c r="U32" s="137" t="s">
        <v>77</v>
      </c>
      <c r="V32" s="261">
        <f t="shared" si="9"/>
        <v>657934</v>
      </c>
      <c r="W32" s="261">
        <f t="shared" si="7"/>
        <v>657934</v>
      </c>
      <c r="X32" s="261"/>
      <c r="Y32" s="177" t="s">
        <v>978</v>
      </c>
      <c r="Z32" s="176"/>
      <c r="AA32" s="186">
        <v>657934</v>
      </c>
      <c r="AB32" s="186">
        <v>0</v>
      </c>
      <c r="AC32" s="176">
        <v>0</v>
      </c>
      <c r="AD32" s="176">
        <v>0</v>
      </c>
      <c r="AE32" s="186">
        <v>657934</v>
      </c>
      <c r="AF32" s="35">
        <v>657934</v>
      </c>
      <c r="AG32" s="212">
        <v>0</v>
      </c>
      <c r="AH32" s="212">
        <f t="shared" si="3"/>
        <v>0</v>
      </c>
      <c r="AI32" s="212" t="s">
        <v>77</v>
      </c>
      <c r="AJ32" s="212">
        <v>657934</v>
      </c>
      <c r="AK32" s="212">
        <v>0</v>
      </c>
      <c r="AL32" s="212">
        <v>0</v>
      </c>
      <c r="AM32" s="212">
        <v>0</v>
      </c>
      <c r="AN32" s="212">
        <v>657934</v>
      </c>
      <c r="AO32" s="176">
        <v>0</v>
      </c>
      <c r="AP32" s="176">
        <v>0</v>
      </c>
      <c r="AQ32" s="176">
        <v>0</v>
      </c>
      <c r="AR32" s="212">
        <f t="shared" si="4"/>
        <v>657934</v>
      </c>
      <c r="AS32" s="212">
        <f t="shared" si="5"/>
        <v>0</v>
      </c>
      <c r="AT32" s="473">
        <f t="shared" si="6"/>
        <v>-657934</v>
      </c>
      <c r="AU32" s="477"/>
    </row>
    <row r="33" spans="1:47" s="35" customFormat="1" ht="58" hidden="1" x14ac:dyDescent="0.35">
      <c r="A33" s="35" t="s">
        <v>1191</v>
      </c>
      <c r="B33" s="224" t="s">
        <v>957</v>
      </c>
      <c r="C33" s="222" t="s">
        <v>19</v>
      </c>
      <c r="D33" s="136">
        <v>8470210</v>
      </c>
      <c r="E33" s="137" t="s">
        <v>72</v>
      </c>
      <c r="F33" s="138">
        <v>428640</v>
      </c>
      <c r="G33" s="137" t="s">
        <v>43</v>
      </c>
      <c r="H33" s="137" t="s">
        <v>78</v>
      </c>
      <c r="I33" s="137">
        <v>0</v>
      </c>
      <c r="J33" s="140">
        <v>808440</v>
      </c>
      <c r="K33" s="147"/>
      <c r="L33" s="142"/>
      <c r="M33" s="143"/>
      <c r="N33" s="144">
        <f t="shared" si="0"/>
        <v>808440</v>
      </c>
      <c r="O33" s="145"/>
      <c r="P33" s="145"/>
      <c r="Q33" s="145"/>
      <c r="R33" s="146"/>
      <c r="S33" s="139">
        <f t="shared" si="1"/>
        <v>808440</v>
      </c>
      <c r="T33" s="172"/>
      <c r="U33" s="137" t="s">
        <v>78</v>
      </c>
      <c r="V33" s="261">
        <f t="shared" si="9"/>
        <v>808440</v>
      </c>
      <c r="W33" s="261">
        <f t="shared" si="7"/>
        <v>808440</v>
      </c>
      <c r="X33" s="261"/>
      <c r="Y33" s="177" t="s">
        <v>978</v>
      </c>
      <c r="Z33" s="176"/>
      <c r="AA33" s="186">
        <v>808440</v>
      </c>
      <c r="AB33" s="186">
        <v>0</v>
      </c>
      <c r="AC33" s="176">
        <v>0</v>
      </c>
      <c r="AD33" s="176">
        <v>0</v>
      </c>
      <c r="AE33" s="186">
        <v>808440</v>
      </c>
      <c r="AF33" s="35">
        <v>808440</v>
      </c>
      <c r="AG33" s="212">
        <v>0</v>
      </c>
      <c r="AH33" s="212">
        <f t="shared" si="3"/>
        <v>0</v>
      </c>
      <c r="AI33" s="212" t="s">
        <v>78</v>
      </c>
      <c r="AJ33" s="212">
        <v>808440</v>
      </c>
      <c r="AK33" s="212">
        <v>0</v>
      </c>
      <c r="AL33" s="212">
        <v>0</v>
      </c>
      <c r="AM33" s="212">
        <v>0</v>
      </c>
      <c r="AN33" s="212">
        <v>808440</v>
      </c>
      <c r="AO33" s="176">
        <v>0</v>
      </c>
      <c r="AP33" s="176">
        <v>0</v>
      </c>
      <c r="AQ33" s="176">
        <v>0</v>
      </c>
      <c r="AR33" s="212">
        <f t="shared" si="4"/>
        <v>808440</v>
      </c>
      <c r="AS33" s="212">
        <f t="shared" si="5"/>
        <v>0</v>
      </c>
      <c r="AT33" s="473">
        <f t="shared" si="6"/>
        <v>-808440</v>
      </c>
      <c r="AU33" s="477"/>
    </row>
    <row r="34" spans="1:47" s="35" customFormat="1" ht="58" hidden="1" x14ac:dyDescent="0.35">
      <c r="A34" s="35" t="s">
        <v>1191</v>
      </c>
      <c r="B34" s="224" t="s">
        <v>957</v>
      </c>
      <c r="C34" s="222" t="s">
        <v>19</v>
      </c>
      <c r="D34" s="136">
        <v>8470210</v>
      </c>
      <c r="E34" s="137" t="s">
        <v>72</v>
      </c>
      <c r="F34" s="138">
        <v>435350</v>
      </c>
      <c r="G34" s="137" t="s">
        <v>79</v>
      </c>
      <c r="H34" s="137" t="s">
        <v>80</v>
      </c>
      <c r="I34" s="137">
        <v>0</v>
      </c>
      <c r="J34" s="140">
        <v>1081496</v>
      </c>
      <c r="K34" s="147"/>
      <c r="L34" s="142"/>
      <c r="M34" s="143"/>
      <c r="N34" s="144">
        <f t="shared" si="0"/>
        <v>1081496</v>
      </c>
      <c r="O34" s="145"/>
      <c r="P34" s="145"/>
      <c r="Q34" s="145"/>
      <c r="R34" s="146"/>
      <c r="S34" s="139">
        <f t="shared" si="1"/>
        <v>1081496</v>
      </c>
      <c r="T34" s="172"/>
      <c r="U34" s="137" t="s">
        <v>80</v>
      </c>
      <c r="V34" s="261">
        <f t="shared" si="9"/>
        <v>831496</v>
      </c>
      <c r="W34" s="261">
        <f t="shared" si="7"/>
        <v>831496</v>
      </c>
      <c r="X34" s="261"/>
      <c r="Y34" s="177" t="s">
        <v>978</v>
      </c>
      <c r="Z34" s="176"/>
      <c r="AA34" s="186">
        <v>831496</v>
      </c>
      <c r="AB34" s="186">
        <v>0</v>
      </c>
      <c r="AC34" s="176">
        <v>0</v>
      </c>
      <c r="AD34" s="176">
        <v>0</v>
      </c>
      <c r="AE34" s="186">
        <v>831496</v>
      </c>
      <c r="AF34" s="35">
        <v>831496</v>
      </c>
      <c r="AG34" s="212">
        <v>0</v>
      </c>
      <c r="AH34" s="212">
        <f t="shared" si="3"/>
        <v>0</v>
      </c>
      <c r="AI34" s="212" t="s">
        <v>80</v>
      </c>
      <c r="AJ34" s="212">
        <v>831496</v>
      </c>
      <c r="AK34" s="212">
        <v>0</v>
      </c>
      <c r="AL34" s="212">
        <v>0</v>
      </c>
      <c r="AM34" s="212">
        <v>0</v>
      </c>
      <c r="AN34" s="212">
        <v>831496</v>
      </c>
      <c r="AO34" s="176">
        <v>0</v>
      </c>
      <c r="AP34" s="176">
        <v>0</v>
      </c>
      <c r="AQ34" s="176">
        <v>0</v>
      </c>
      <c r="AR34" s="212">
        <f t="shared" si="4"/>
        <v>831496</v>
      </c>
      <c r="AS34" s="212">
        <f t="shared" si="5"/>
        <v>0</v>
      </c>
      <c r="AT34" s="473">
        <f t="shared" si="6"/>
        <v>-831496</v>
      </c>
      <c r="AU34" s="477"/>
    </row>
    <row r="35" spans="1:47" s="35" customFormat="1" ht="58" hidden="1" x14ac:dyDescent="0.35">
      <c r="A35" s="35" t="s">
        <v>1191</v>
      </c>
      <c r="B35" s="224" t="s">
        <v>957</v>
      </c>
      <c r="C35" s="222" t="s">
        <v>19</v>
      </c>
      <c r="D35" s="136">
        <v>8470210</v>
      </c>
      <c r="E35" s="137" t="s">
        <v>72</v>
      </c>
      <c r="F35" s="138">
        <v>435523</v>
      </c>
      <c r="G35" s="137" t="s">
        <v>81</v>
      </c>
      <c r="H35" s="137" t="s">
        <v>82</v>
      </c>
      <c r="I35" s="137">
        <v>0</v>
      </c>
      <c r="J35" s="140">
        <v>10000000</v>
      </c>
      <c r="K35" s="147"/>
      <c r="L35" s="142"/>
      <c r="M35" s="143"/>
      <c r="N35" s="144">
        <f t="shared" si="0"/>
        <v>10000000</v>
      </c>
      <c r="O35" s="145"/>
      <c r="P35" s="145"/>
      <c r="Q35" s="145"/>
      <c r="R35" s="146"/>
      <c r="S35" s="139">
        <f t="shared" si="1"/>
        <v>10000000</v>
      </c>
      <c r="T35" s="172"/>
      <c r="U35" s="137" t="s">
        <v>82</v>
      </c>
      <c r="V35" s="261">
        <f t="shared" si="9"/>
        <v>4799886</v>
      </c>
      <c r="W35" s="261">
        <f t="shared" si="7"/>
        <v>4799886</v>
      </c>
      <c r="X35" s="261"/>
      <c r="Y35" s="177" t="s">
        <v>978</v>
      </c>
      <c r="Z35" s="176"/>
      <c r="AA35" s="186">
        <v>4799886</v>
      </c>
      <c r="AB35" s="186">
        <v>0</v>
      </c>
      <c r="AC35" s="176">
        <v>0</v>
      </c>
      <c r="AD35" s="176">
        <v>0</v>
      </c>
      <c r="AE35" s="186">
        <v>4799886</v>
      </c>
      <c r="AF35" s="35">
        <v>4799886</v>
      </c>
      <c r="AG35" s="212">
        <v>0</v>
      </c>
      <c r="AH35" s="212">
        <f t="shared" si="3"/>
        <v>0</v>
      </c>
      <c r="AI35" s="212" t="s">
        <v>82</v>
      </c>
      <c r="AJ35" s="212">
        <v>3688486</v>
      </c>
      <c r="AK35" s="212">
        <v>0</v>
      </c>
      <c r="AL35" s="212">
        <v>0</v>
      </c>
      <c r="AM35" s="212">
        <v>0</v>
      </c>
      <c r="AN35" s="212">
        <v>3688486</v>
      </c>
      <c r="AO35" s="176">
        <v>0</v>
      </c>
      <c r="AP35" s="176">
        <v>0</v>
      </c>
      <c r="AQ35" s="176">
        <v>0</v>
      </c>
      <c r="AR35" s="212">
        <f t="shared" si="4"/>
        <v>4799886</v>
      </c>
      <c r="AS35" s="212">
        <f t="shared" si="5"/>
        <v>0</v>
      </c>
      <c r="AT35" s="473">
        <f t="shared" si="6"/>
        <v>-4799886</v>
      </c>
      <c r="AU35" s="477"/>
    </row>
    <row r="36" spans="1:47" s="35" customFormat="1" hidden="1" x14ac:dyDescent="0.35">
      <c r="A36" s="35" t="s">
        <v>1193</v>
      </c>
      <c r="B36" s="224" t="s">
        <v>945</v>
      </c>
      <c r="C36" s="222" t="s">
        <v>19</v>
      </c>
      <c r="D36" s="136">
        <v>8470220</v>
      </c>
      <c r="E36" s="137" t="s">
        <v>83</v>
      </c>
      <c r="F36" s="138">
        <v>420550</v>
      </c>
      <c r="G36" s="137" t="s">
        <v>21</v>
      </c>
      <c r="H36" s="137" t="s">
        <v>84</v>
      </c>
      <c r="I36" s="137">
        <v>60000</v>
      </c>
      <c r="J36" s="140">
        <v>60000</v>
      </c>
      <c r="K36" s="141">
        <v>970.85</v>
      </c>
      <c r="L36" s="142"/>
      <c r="M36" s="143"/>
      <c r="N36" s="144">
        <f t="shared" si="0"/>
        <v>59029.15</v>
      </c>
      <c r="O36" s="145"/>
      <c r="P36" s="145"/>
      <c r="Q36" s="145"/>
      <c r="R36" s="146"/>
      <c r="S36" s="139">
        <f t="shared" si="1"/>
        <v>59029.15</v>
      </c>
      <c r="T36" s="172"/>
      <c r="U36" s="137" t="s">
        <v>84</v>
      </c>
      <c r="V36" s="261">
        <f t="shared" ref="V36:V46" si="10">AN36*0.8</f>
        <v>46823.320000000007</v>
      </c>
      <c r="W36" s="261">
        <f t="shared" si="7"/>
        <v>46823.320000000007</v>
      </c>
      <c r="X36" s="261"/>
      <c r="Y36" s="176" t="s">
        <v>838</v>
      </c>
      <c r="Z36" s="176"/>
      <c r="AA36" s="186">
        <v>60000</v>
      </c>
      <c r="AB36" s="186">
        <v>970.85</v>
      </c>
      <c r="AC36" s="176">
        <v>0</v>
      </c>
      <c r="AD36" s="176">
        <v>0</v>
      </c>
      <c r="AE36" s="186">
        <v>59029.15</v>
      </c>
      <c r="AF36" s="35">
        <v>59029.15</v>
      </c>
      <c r="AG36" s="212">
        <v>0</v>
      </c>
      <c r="AH36" s="212">
        <f t="shared" si="3"/>
        <v>12205.829999999994</v>
      </c>
      <c r="AI36" s="212" t="s">
        <v>84</v>
      </c>
      <c r="AJ36" s="212">
        <v>59500</v>
      </c>
      <c r="AK36" s="212">
        <v>970.85</v>
      </c>
      <c r="AL36" s="212">
        <v>0</v>
      </c>
      <c r="AM36" s="212">
        <v>0</v>
      </c>
      <c r="AN36" s="212">
        <v>58529.15</v>
      </c>
      <c r="AO36" s="176">
        <v>0</v>
      </c>
      <c r="AP36" s="176">
        <v>0</v>
      </c>
      <c r="AQ36" s="176">
        <v>0</v>
      </c>
      <c r="AR36" s="212">
        <f t="shared" si="4"/>
        <v>46823.320000000007</v>
      </c>
      <c r="AS36" s="212">
        <f t="shared" si="5"/>
        <v>970.85</v>
      </c>
      <c r="AT36" s="473">
        <f t="shared" si="6"/>
        <v>-45852.470000000008</v>
      </c>
      <c r="AU36" s="477"/>
    </row>
    <row r="37" spans="1:47" s="35" customFormat="1" hidden="1" x14ac:dyDescent="0.35">
      <c r="A37" s="35" t="s">
        <v>1193</v>
      </c>
      <c r="B37" s="224" t="s">
        <v>945</v>
      </c>
      <c r="C37" s="222" t="s">
        <v>19</v>
      </c>
      <c r="D37" s="136">
        <v>8470220</v>
      </c>
      <c r="E37" s="137" t="s">
        <v>83</v>
      </c>
      <c r="F37" s="138">
        <v>420570</v>
      </c>
      <c r="G37" s="137" t="s">
        <v>23</v>
      </c>
      <c r="H37" s="137" t="s">
        <v>85</v>
      </c>
      <c r="I37" s="137">
        <v>492387</v>
      </c>
      <c r="J37" s="140">
        <v>373637</v>
      </c>
      <c r="K37" s="141">
        <v>50000</v>
      </c>
      <c r="L37" s="148">
        <v>0</v>
      </c>
      <c r="M37" s="140">
        <v>0</v>
      </c>
      <c r="N37" s="144">
        <f t="shared" si="0"/>
        <v>323637</v>
      </c>
      <c r="O37" s="145"/>
      <c r="P37" s="145"/>
      <c r="Q37" s="145"/>
      <c r="R37" s="146"/>
      <c r="S37" s="139">
        <f t="shared" si="1"/>
        <v>323637</v>
      </c>
      <c r="T37" s="172"/>
      <c r="U37" s="137" t="s">
        <v>85</v>
      </c>
      <c r="V37" s="261">
        <f t="shared" si="10"/>
        <v>167872.52000000002</v>
      </c>
      <c r="W37" s="261">
        <f t="shared" si="7"/>
        <v>112675.02000000002</v>
      </c>
      <c r="X37" s="261"/>
      <c r="Y37" s="176" t="s">
        <v>838</v>
      </c>
      <c r="Z37" s="176"/>
      <c r="AA37" s="186">
        <v>373637</v>
      </c>
      <c r="AB37" s="186">
        <v>163796.35</v>
      </c>
      <c r="AC37" s="176">
        <v>0</v>
      </c>
      <c r="AD37" s="176">
        <v>0</v>
      </c>
      <c r="AE37" s="186">
        <v>209840.65</v>
      </c>
      <c r="AF37" s="35">
        <v>209840.65</v>
      </c>
      <c r="AG37" s="212">
        <v>0</v>
      </c>
      <c r="AH37" s="212">
        <f t="shared" si="3"/>
        <v>41968.129999999976</v>
      </c>
      <c r="AI37" s="212" t="s">
        <v>85</v>
      </c>
      <c r="AJ37" s="212">
        <v>373637</v>
      </c>
      <c r="AK37" s="212">
        <v>163796.35</v>
      </c>
      <c r="AL37" s="212">
        <v>0</v>
      </c>
      <c r="AM37" s="212">
        <v>0</v>
      </c>
      <c r="AN37" s="212">
        <v>209840.65</v>
      </c>
      <c r="AO37" s="176">
        <v>0</v>
      </c>
      <c r="AP37" s="176">
        <v>55197.5</v>
      </c>
      <c r="AQ37" s="176">
        <v>0</v>
      </c>
      <c r="AR37" s="212">
        <f t="shared" si="4"/>
        <v>112675.02000000002</v>
      </c>
      <c r="AS37" s="212">
        <f t="shared" si="5"/>
        <v>218993.85</v>
      </c>
      <c r="AT37" s="473">
        <f t="shared" si="6"/>
        <v>106318.82999999999</v>
      </c>
      <c r="AU37" s="477"/>
    </row>
    <row r="38" spans="1:47" s="35" customFormat="1" hidden="1" x14ac:dyDescent="0.35">
      <c r="A38" s="35" t="s">
        <v>1193</v>
      </c>
      <c r="B38" s="224" t="s">
        <v>945</v>
      </c>
      <c r="C38" s="222" t="s">
        <v>19</v>
      </c>
      <c r="D38" s="136">
        <v>8470220</v>
      </c>
      <c r="E38" s="137" t="s">
        <v>83</v>
      </c>
      <c r="F38" s="138">
        <v>421700</v>
      </c>
      <c r="G38" s="137" t="s">
        <v>29</v>
      </c>
      <c r="H38" s="137" t="s">
        <v>86</v>
      </c>
      <c r="I38" s="137">
        <v>375000</v>
      </c>
      <c r="J38" s="140">
        <v>375000</v>
      </c>
      <c r="K38" s="147"/>
      <c r="L38" s="142"/>
      <c r="M38" s="143"/>
      <c r="N38" s="144">
        <f t="shared" si="0"/>
        <v>375000</v>
      </c>
      <c r="O38" s="145"/>
      <c r="P38" s="145"/>
      <c r="Q38" s="145"/>
      <c r="R38" s="146"/>
      <c r="S38" s="139">
        <f t="shared" si="1"/>
        <v>375000</v>
      </c>
      <c r="T38" s="172"/>
      <c r="U38" s="137" t="s">
        <v>86</v>
      </c>
      <c r="V38" s="261">
        <f t="shared" si="10"/>
        <v>300000</v>
      </c>
      <c r="W38" s="261">
        <f t="shared" si="7"/>
        <v>300000</v>
      </c>
      <c r="X38" s="261"/>
      <c r="Y38" s="176" t="s">
        <v>838</v>
      </c>
      <c r="Z38" s="176"/>
      <c r="AA38" s="186">
        <v>375000</v>
      </c>
      <c r="AB38" s="186">
        <v>0</v>
      </c>
      <c r="AC38" s="176">
        <v>0</v>
      </c>
      <c r="AD38" s="176">
        <v>0</v>
      </c>
      <c r="AE38" s="186">
        <v>375000</v>
      </c>
      <c r="AF38" s="35">
        <v>375000</v>
      </c>
      <c r="AG38" s="212">
        <v>0</v>
      </c>
      <c r="AH38" s="212">
        <f t="shared" si="3"/>
        <v>75000</v>
      </c>
      <c r="AI38" s="212" t="s">
        <v>86</v>
      </c>
      <c r="AJ38" s="212">
        <v>375000</v>
      </c>
      <c r="AK38" s="212">
        <v>0</v>
      </c>
      <c r="AL38" s="212">
        <v>0</v>
      </c>
      <c r="AM38" s="212">
        <v>0</v>
      </c>
      <c r="AN38" s="212">
        <v>375000</v>
      </c>
      <c r="AO38" s="176">
        <v>0</v>
      </c>
      <c r="AP38" s="176">
        <v>0</v>
      </c>
      <c r="AQ38" s="176">
        <v>0</v>
      </c>
      <c r="AR38" s="212">
        <f t="shared" si="4"/>
        <v>300000</v>
      </c>
      <c r="AS38" s="212">
        <f t="shared" si="5"/>
        <v>0</v>
      </c>
      <c r="AT38" s="473">
        <f t="shared" si="6"/>
        <v>-300000</v>
      </c>
      <c r="AU38" s="477"/>
    </row>
    <row r="39" spans="1:47" s="35" customFormat="1" hidden="1" x14ac:dyDescent="0.35">
      <c r="A39" s="35" t="s">
        <v>1193</v>
      </c>
      <c r="B39" s="224" t="s">
        <v>945</v>
      </c>
      <c r="C39" s="222" t="s">
        <v>19</v>
      </c>
      <c r="D39" s="136">
        <v>8470220</v>
      </c>
      <c r="E39" s="137" t="s">
        <v>83</v>
      </c>
      <c r="F39" s="138">
        <v>425510</v>
      </c>
      <c r="G39" s="137" t="s">
        <v>31</v>
      </c>
      <c r="H39" s="137" t="s">
        <v>87</v>
      </c>
      <c r="I39" s="137">
        <v>10000</v>
      </c>
      <c r="J39" s="140">
        <v>23750</v>
      </c>
      <c r="K39" s="141">
        <v>13750</v>
      </c>
      <c r="L39" s="142"/>
      <c r="M39" s="143"/>
      <c r="N39" s="144">
        <f t="shared" si="0"/>
        <v>10000</v>
      </c>
      <c r="O39" s="145"/>
      <c r="P39" s="145"/>
      <c r="Q39" s="145"/>
      <c r="R39" s="146"/>
      <c r="S39" s="139">
        <f t="shared" si="1"/>
        <v>10000</v>
      </c>
      <c r="T39" s="172"/>
      <c r="U39" s="137" t="s">
        <v>87</v>
      </c>
      <c r="V39" s="261">
        <f t="shared" si="10"/>
        <v>8000</v>
      </c>
      <c r="W39" s="261">
        <f t="shared" si="7"/>
        <v>8000</v>
      </c>
      <c r="X39" s="261"/>
      <c r="Y39" s="176" t="s">
        <v>838</v>
      </c>
      <c r="Z39" s="176"/>
      <c r="AA39" s="186">
        <v>23750</v>
      </c>
      <c r="AB39" s="186">
        <v>13750</v>
      </c>
      <c r="AC39" s="176">
        <v>0</v>
      </c>
      <c r="AD39" s="176">
        <v>0</v>
      </c>
      <c r="AE39" s="186">
        <v>10000</v>
      </c>
      <c r="AF39" s="35">
        <v>10000</v>
      </c>
      <c r="AG39" s="212">
        <v>0</v>
      </c>
      <c r="AH39" s="212">
        <f t="shared" si="3"/>
        <v>2000</v>
      </c>
      <c r="AI39" s="212" t="s">
        <v>87</v>
      </c>
      <c r="AJ39" s="212">
        <v>23750</v>
      </c>
      <c r="AK39" s="212">
        <v>13750</v>
      </c>
      <c r="AL39" s="212">
        <v>0</v>
      </c>
      <c r="AM39" s="212">
        <v>0</v>
      </c>
      <c r="AN39" s="212">
        <v>10000</v>
      </c>
      <c r="AO39" s="176">
        <v>0</v>
      </c>
      <c r="AP39" s="176">
        <v>0</v>
      </c>
      <c r="AQ39" s="176">
        <v>0</v>
      </c>
      <c r="AR39" s="212">
        <f t="shared" si="4"/>
        <v>8000</v>
      </c>
      <c r="AS39" s="212">
        <f t="shared" si="5"/>
        <v>13750</v>
      </c>
      <c r="AT39" s="473">
        <f t="shared" si="6"/>
        <v>5750</v>
      </c>
      <c r="AU39" s="477"/>
    </row>
    <row r="40" spans="1:47" s="35" customFormat="1" hidden="1" x14ac:dyDescent="0.35">
      <c r="A40" s="35" t="s">
        <v>1193</v>
      </c>
      <c r="B40" s="224" t="s">
        <v>945</v>
      </c>
      <c r="C40" s="222" t="s">
        <v>19</v>
      </c>
      <c r="D40" s="136">
        <v>8470220</v>
      </c>
      <c r="E40" s="137" t="s">
        <v>83</v>
      </c>
      <c r="F40" s="138">
        <v>425550</v>
      </c>
      <c r="G40" s="137" t="s">
        <v>33</v>
      </c>
      <c r="H40" s="137" t="s">
        <v>88</v>
      </c>
      <c r="I40" s="137">
        <v>25000</v>
      </c>
      <c r="J40" s="140">
        <v>25000</v>
      </c>
      <c r="K40" s="141">
        <v>13790</v>
      </c>
      <c r="L40" s="142"/>
      <c r="M40" s="143"/>
      <c r="N40" s="144">
        <f t="shared" si="0"/>
        <v>11210</v>
      </c>
      <c r="O40" s="145"/>
      <c r="P40" s="145"/>
      <c r="Q40" s="145"/>
      <c r="R40" s="146"/>
      <c r="S40" s="139">
        <f t="shared" si="1"/>
        <v>11210</v>
      </c>
      <c r="T40" s="172"/>
      <c r="U40" s="137" t="s">
        <v>88</v>
      </c>
      <c r="V40" s="261">
        <f t="shared" si="10"/>
        <v>8968</v>
      </c>
      <c r="W40" s="261">
        <f t="shared" si="7"/>
        <v>8968</v>
      </c>
      <c r="X40" s="261"/>
      <c r="Y40" s="176" t="s">
        <v>838</v>
      </c>
      <c r="Z40" s="176"/>
      <c r="AA40" s="186">
        <v>25000</v>
      </c>
      <c r="AB40" s="186">
        <v>13790</v>
      </c>
      <c r="AC40" s="176">
        <v>0</v>
      </c>
      <c r="AD40" s="176">
        <v>0</v>
      </c>
      <c r="AE40" s="186">
        <v>11210</v>
      </c>
      <c r="AF40" s="35">
        <v>11210</v>
      </c>
      <c r="AG40" s="212">
        <v>0</v>
      </c>
      <c r="AH40" s="212">
        <f t="shared" si="3"/>
        <v>2242</v>
      </c>
      <c r="AI40" s="212" t="s">
        <v>88</v>
      </c>
      <c r="AJ40" s="212">
        <v>25000</v>
      </c>
      <c r="AK40" s="212">
        <v>13790</v>
      </c>
      <c r="AL40" s="212">
        <v>0</v>
      </c>
      <c r="AM40" s="212">
        <v>0</v>
      </c>
      <c r="AN40" s="212">
        <v>11210</v>
      </c>
      <c r="AO40" s="176">
        <v>0</v>
      </c>
      <c r="AP40" s="176">
        <v>0</v>
      </c>
      <c r="AQ40" s="176">
        <v>0</v>
      </c>
      <c r="AR40" s="212">
        <f t="shared" si="4"/>
        <v>8968</v>
      </c>
      <c r="AS40" s="212">
        <f t="shared" si="5"/>
        <v>13790</v>
      </c>
      <c r="AT40" s="473">
        <f t="shared" si="6"/>
        <v>4822</v>
      </c>
      <c r="AU40" s="477"/>
    </row>
    <row r="41" spans="1:47" s="35" customFormat="1" hidden="1" x14ac:dyDescent="0.35">
      <c r="A41" s="35" t="s">
        <v>1193</v>
      </c>
      <c r="B41" s="224" t="s">
        <v>945</v>
      </c>
      <c r="C41" s="222" t="s">
        <v>19</v>
      </c>
      <c r="D41" s="136">
        <v>8470220</v>
      </c>
      <c r="E41" s="137" t="s">
        <v>83</v>
      </c>
      <c r="F41" s="138">
        <v>425740</v>
      </c>
      <c r="G41" s="137" t="s">
        <v>89</v>
      </c>
      <c r="H41" s="137" t="s">
        <v>90</v>
      </c>
      <c r="I41" s="137">
        <v>694710</v>
      </c>
      <c r="J41" s="140">
        <v>694710</v>
      </c>
      <c r="K41" s="147"/>
      <c r="L41" s="142"/>
      <c r="M41" s="143"/>
      <c r="N41" s="144">
        <f t="shared" si="0"/>
        <v>694710</v>
      </c>
      <c r="O41" s="145"/>
      <c r="P41" s="145"/>
      <c r="Q41" s="145"/>
      <c r="R41" s="146"/>
      <c r="S41" s="139">
        <f t="shared" si="1"/>
        <v>694710</v>
      </c>
      <c r="T41" s="172"/>
      <c r="U41" s="137" t="s">
        <v>90</v>
      </c>
      <c r="V41" s="261">
        <f t="shared" si="10"/>
        <v>555768</v>
      </c>
      <c r="W41" s="261">
        <f t="shared" si="7"/>
        <v>555768</v>
      </c>
      <c r="X41" s="261"/>
      <c r="Y41" s="176" t="s">
        <v>838</v>
      </c>
      <c r="Z41" s="176"/>
      <c r="AA41" s="186">
        <v>694710</v>
      </c>
      <c r="AB41" s="186">
        <v>0</v>
      </c>
      <c r="AC41" s="176">
        <v>0</v>
      </c>
      <c r="AD41" s="176">
        <v>0</v>
      </c>
      <c r="AE41" s="186">
        <v>694710</v>
      </c>
      <c r="AF41" s="35">
        <v>694710</v>
      </c>
      <c r="AG41" s="212">
        <v>0</v>
      </c>
      <c r="AH41" s="212">
        <f t="shared" si="3"/>
        <v>138942</v>
      </c>
      <c r="AI41" s="212" t="s">
        <v>90</v>
      </c>
      <c r="AJ41" s="212">
        <v>694710</v>
      </c>
      <c r="AK41" s="212">
        <v>0</v>
      </c>
      <c r="AL41" s="212">
        <v>0</v>
      </c>
      <c r="AM41" s="212">
        <v>0</v>
      </c>
      <c r="AN41" s="212">
        <v>694710</v>
      </c>
      <c r="AO41" s="176">
        <v>0</v>
      </c>
      <c r="AP41" s="176">
        <v>0</v>
      </c>
      <c r="AQ41" s="176">
        <v>0</v>
      </c>
      <c r="AR41" s="212">
        <f t="shared" si="4"/>
        <v>555768</v>
      </c>
      <c r="AS41" s="212">
        <f t="shared" si="5"/>
        <v>0</v>
      </c>
      <c r="AT41" s="473">
        <f t="shared" si="6"/>
        <v>-555768</v>
      </c>
      <c r="AU41" s="477"/>
    </row>
    <row r="42" spans="1:47" s="35" customFormat="1" hidden="1" x14ac:dyDescent="0.35">
      <c r="A42" s="35" t="s">
        <v>1193</v>
      </c>
      <c r="B42" s="224" t="s">
        <v>945</v>
      </c>
      <c r="C42" s="222" t="s">
        <v>19</v>
      </c>
      <c r="D42" s="136">
        <v>8470220</v>
      </c>
      <c r="E42" s="137" t="s">
        <v>83</v>
      </c>
      <c r="F42" s="138">
        <v>425900</v>
      </c>
      <c r="G42" s="137" t="s">
        <v>35</v>
      </c>
      <c r="H42" s="137" t="s">
        <v>91</v>
      </c>
      <c r="I42" s="137">
        <v>12000</v>
      </c>
      <c r="J42" s="140">
        <v>17000</v>
      </c>
      <c r="K42" s="141">
        <v>16314.6</v>
      </c>
      <c r="L42" s="142"/>
      <c r="M42" s="143"/>
      <c r="N42" s="144">
        <f t="shared" si="0"/>
        <v>685.39999999999964</v>
      </c>
      <c r="O42" s="145"/>
      <c r="P42" s="145"/>
      <c r="Q42" s="145"/>
      <c r="R42" s="146"/>
      <c r="S42" s="139">
        <f t="shared" si="1"/>
        <v>685.39999999999964</v>
      </c>
      <c r="T42" s="172"/>
      <c r="U42" s="137" t="s">
        <v>91</v>
      </c>
      <c r="V42" s="261">
        <f t="shared" si="10"/>
        <v>515.52000000000078</v>
      </c>
      <c r="W42" s="261">
        <f t="shared" si="7"/>
        <v>28.520000000000778</v>
      </c>
      <c r="X42" s="261"/>
      <c r="Y42" s="176" t="s">
        <v>838</v>
      </c>
      <c r="Z42" s="176"/>
      <c r="AA42" s="186">
        <v>17287</v>
      </c>
      <c r="AB42" s="186">
        <v>16855.599999999999</v>
      </c>
      <c r="AC42" s="176">
        <v>0</v>
      </c>
      <c r="AD42" s="176">
        <v>0</v>
      </c>
      <c r="AE42" s="186">
        <v>431.40000000000146</v>
      </c>
      <c r="AF42" s="35">
        <v>431.400000000001</v>
      </c>
      <c r="AG42" s="212">
        <v>4.5474735088646412E-13</v>
      </c>
      <c r="AH42" s="212">
        <f t="shared" si="3"/>
        <v>-84.119999999999322</v>
      </c>
      <c r="AI42" s="212" t="s">
        <v>91</v>
      </c>
      <c r="AJ42" s="212">
        <v>17787</v>
      </c>
      <c r="AK42" s="212">
        <v>17142.599999999999</v>
      </c>
      <c r="AL42" s="212">
        <v>0</v>
      </c>
      <c r="AM42" s="212">
        <v>0</v>
      </c>
      <c r="AN42" s="212">
        <v>644.400000000001</v>
      </c>
      <c r="AO42" s="176">
        <v>487</v>
      </c>
      <c r="AP42" s="176">
        <v>0</v>
      </c>
      <c r="AQ42" s="176">
        <v>0</v>
      </c>
      <c r="AR42" s="212">
        <f t="shared" si="4"/>
        <v>28.520000000000778</v>
      </c>
      <c r="AS42" s="212">
        <f t="shared" si="5"/>
        <v>17342.599999999999</v>
      </c>
      <c r="AT42" s="473">
        <f t="shared" si="6"/>
        <v>17601.079999999998</v>
      </c>
      <c r="AU42" s="477"/>
    </row>
    <row r="43" spans="1:47" s="35" customFormat="1" hidden="1" x14ac:dyDescent="0.35">
      <c r="A43" s="35" t="s">
        <v>1193</v>
      </c>
      <c r="B43" s="224" t="s">
        <v>945</v>
      </c>
      <c r="C43" s="222" t="s">
        <v>19</v>
      </c>
      <c r="D43" s="136">
        <v>8470220</v>
      </c>
      <c r="E43" s="137" t="s">
        <v>83</v>
      </c>
      <c r="F43" s="138">
        <v>426610</v>
      </c>
      <c r="G43" s="137" t="s">
        <v>37</v>
      </c>
      <c r="H43" s="137" t="s">
        <v>92</v>
      </c>
      <c r="I43" s="137">
        <v>50000</v>
      </c>
      <c r="J43" s="140">
        <v>50000</v>
      </c>
      <c r="K43" s="147"/>
      <c r="L43" s="142"/>
      <c r="M43" s="143"/>
      <c r="N43" s="144">
        <f t="shared" si="0"/>
        <v>50000</v>
      </c>
      <c r="O43" s="145"/>
      <c r="P43" s="145"/>
      <c r="Q43" s="145"/>
      <c r="R43" s="146"/>
      <c r="S43" s="139">
        <f t="shared" si="1"/>
        <v>50000</v>
      </c>
      <c r="T43" s="172"/>
      <c r="U43" s="137" t="s">
        <v>92</v>
      </c>
      <c r="V43" s="261">
        <f t="shared" si="10"/>
        <v>40000</v>
      </c>
      <c r="W43" s="261">
        <f t="shared" si="7"/>
        <v>40000</v>
      </c>
      <c r="X43" s="261"/>
      <c r="Y43" s="176" t="s">
        <v>838</v>
      </c>
      <c r="Z43" s="176"/>
      <c r="AA43" s="186">
        <v>50000</v>
      </c>
      <c r="AB43" s="186">
        <v>0</v>
      </c>
      <c r="AC43" s="176">
        <v>0</v>
      </c>
      <c r="AD43" s="176">
        <v>0</v>
      </c>
      <c r="AE43" s="186">
        <v>50000</v>
      </c>
      <c r="AF43" s="35">
        <v>50000</v>
      </c>
      <c r="AG43" s="212">
        <v>0</v>
      </c>
      <c r="AH43" s="212">
        <f t="shared" si="3"/>
        <v>10000</v>
      </c>
      <c r="AI43" s="212" t="s">
        <v>92</v>
      </c>
      <c r="AJ43" s="212">
        <v>50000</v>
      </c>
      <c r="AK43" s="212">
        <v>0</v>
      </c>
      <c r="AL43" s="212">
        <v>0</v>
      </c>
      <c r="AM43" s="212">
        <v>0</v>
      </c>
      <c r="AN43" s="212">
        <v>50000</v>
      </c>
      <c r="AO43" s="176">
        <v>0</v>
      </c>
      <c r="AP43" s="176">
        <v>0</v>
      </c>
      <c r="AQ43" s="176">
        <v>0</v>
      </c>
      <c r="AR43" s="212">
        <f t="shared" si="4"/>
        <v>40000</v>
      </c>
      <c r="AS43" s="212">
        <f t="shared" si="5"/>
        <v>0</v>
      </c>
      <c r="AT43" s="473">
        <f t="shared" si="6"/>
        <v>-40000</v>
      </c>
      <c r="AU43" s="477"/>
    </row>
    <row r="44" spans="1:47" s="35" customFormat="1" hidden="1" x14ac:dyDescent="0.35">
      <c r="A44" s="35" t="s">
        <v>1193</v>
      </c>
      <c r="B44" s="224" t="s">
        <v>945</v>
      </c>
      <c r="C44" s="222" t="s">
        <v>19</v>
      </c>
      <c r="D44" s="136">
        <v>8470220</v>
      </c>
      <c r="E44" s="137" t="s">
        <v>83</v>
      </c>
      <c r="F44" s="138">
        <v>428090</v>
      </c>
      <c r="G44" s="137" t="s">
        <v>39</v>
      </c>
      <c r="H44" s="137" t="s">
        <v>93</v>
      </c>
      <c r="I44" s="137">
        <v>65500</v>
      </c>
      <c r="J44" s="140">
        <v>45092</v>
      </c>
      <c r="K44" s="141">
        <v>33100</v>
      </c>
      <c r="L44" s="142"/>
      <c r="M44" s="143"/>
      <c r="N44" s="144">
        <f t="shared" si="0"/>
        <v>11992</v>
      </c>
      <c r="O44" s="145"/>
      <c r="P44" s="145"/>
      <c r="Q44" s="145"/>
      <c r="R44" s="146"/>
      <c r="S44" s="139">
        <f t="shared" si="1"/>
        <v>11992</v>
      </c>
      <c r="T44" s="172"/>
      <c r="U44" s="137" t="s">
        <v>93</v>
      </c>
      <c r="V44" s="261">
        <f t="shared" si="10"/>
        <v>9593.6</v>
      </c>
      <c r="W44" s="261">
        <f t="shared" si="7"/>
        <v>9593.6</v>
      </c>
      <c r="X44" s="261"/>
      <c r="Y44" s="176" t="s">
        <v>838</v>
      </c>
      <c r="Z44" s="176"/>
      <c r="AA44" s="186">
        <v>45092</v>
      </c>
      <c r="AB44" s="186">
        <v>33100</v>
      </c>
      <c r="AC44" s="176">
        <v>0</v>
      </c>
      <c r="AD44" s="176">
        <v>0</v>
      </c>
      <c r="AE44" s="186">
        <v>11992</v>
      </c>
      <c r="AF44" s="35">
        <v>11992</v>
      </c>
      <c r="AG44" s="212">
        <v>0</v>
      </c>
      <c r="AH44" s="212">
        <f t="shared" si="3"/>
        <v>2398.3999999999996</v>
      </c>
      <c r="AI44" s="212" t="s">
        <v>93</v>
      </c>
      <c r="AJ44" s="212">
        <v>45092</v>
      </c>
      <c r="AK44" s="212">
        <v>33100</v>
      </c>
      <c r="AL44" s="212">
        <v>0</v>
      </c>
      <c r="AM44" s="212">
        <v>0</v>
      </c>
      <c r="AN44" s="212">
        <v>11992</v>
      </c>
      <c r="AO44" s="176">
        <v>0</v>
      </c>
      <c r="AP44" s="176">
        <v>0</v>
      </c>
      <c r="AQ44" s="176">
        <v>0</v>
      </c>
      <c r="AR44" s="212">
        <f t="shared" si="4"/>
        <v>9593.6</v>
      </c>
      <c r="AS44" s="212">
        <f t="shared" si="5"/>
        <v>33100</v>
      </c>
      <c r="AT44" s="473">
        <f t="shared" si="6"/>
        <v>23506.400000000001</v>
      </c>
      <c r="AU44" s="477"/>
    </row>
    <row r="45" spans="1:47" s="35" customFormat="1" hidden="1" x14ac:dyDescent="0.35">
      <c r="A45" s="35" t="s">
        <v>1193</v>
      </c>
      <c r="B45" s="224" t="s">
        <v>945</v>
      </c>
      <c r="C45" s="222" t="s">
        <v>19</v>
      </c>
      <c r="D45" s="136">
        <v>8470220</v>
      </c>
      <c r="E45" s="137" t="s">
        <v>83</v>
      </c>
      <c r="F45" s="138">
        <v>428640</v>
      </c>
      <c r="G45" s="137" t="s">
        <v>43</v>
      </c>
      <c r="H45" s="137" t="s">
        <v>94</v>
      </c>
      <c r="I45" s="137">
        <v>20000</v>
      </c>
      <c r="J45" s="140">
        <v>13262</v>
      </c>
      <c r="K45" s="141">
        <v>6320</v>
      </c>
      <c r="L45" s="148">
        <v>0</v>
      </c>
      <c r="M45" s="140">
        <v>0</v>
      </c>
      <c r="N45" s="144">
        <f t="shared" si="0"/>
        <v>6942</v>
      </c>
      <c r="O45" s="145"/>
      <c r="P45" s="145"/>
      <c r="Q45" s="145"/>
      <c r="R45" s="146"/>
      <c r="S45" s="139">
        <f t="shared" si="1"/>
        <v>6942</v>
      </c>
      <c r="T45" s="172"/>
      <c r="U45" s="137" t="s">
        <v>94</v>
      </c>
      <c r="V45" s="261">
        <f t="shared" si="10"/>
        <v>5553.6</v>
      </c>
      <c r="W45" s="261">
        <f t="shared" si="7"/>
        <v>5553.6</v>
      </c>
      <c r="X45" s="261"/>
      <c r="Y45" s="176" t="s">
        <v>838</v>
      </c>
      <c r="Z45" s="176"/>
      <c r="AA45" s="186">
        <v>13262</v>
      </c>
      <c r="AB45" s="186">
        <v>6320</v>
      </c>
      <c r="AC45" s="176">
        <v>0</v>
      </c>
      <c r="AD45" s="176">
        <v>0</v>
      </c>
      <c r="AE45" s="186">
        <v>6942</v>
      </c>
      <c r="AF45" s="35">
        <v>6942</v>
      </c>
      <c r="AG45" s="212">
        <v>0</v>
      </c>
      <c r="AH45" s="212">
        <f t="shared" si="3"/>
        <v>1388.3999999999996</v>
      </c>
      <c r="AI45" s="212" t="s">
        <v>94</v>
      </c>
      <c r="AJ45" s="212">
        <v>13262</v>
      </c>
      <c r="AK45" s="212">
        <v>6320</v>
      </c>
      <c r="AL45" s="212">
        <v>0</v>
      </c>
      <c r="AM45" s="212">
        <v>0</v>
      </c>
      <c r="AN45" s="212">
        <v>6942</v>
      </c>
      <c r="AO45" s="176">
        <v>0</v>
      </c>
      <c r="AP45" s="176">
        <v>0</v>
      </c>
      <c r="AQ45" s="176">
        <v>0</v>
      </c>
      <c r="AR45" s="212">
        <f t="shared" si="4"/>
        <v>5553.6</v>
      </c>
      <c r="AS45" s="212">
        <f t="shared" si="5"/>
        <v>6320</v>
      </c>
      <c r="AT45" s="473">
        <f t="shared" si="6"/>
        <v>766.39999999999964</v>
      </c>
      <c r="AU45" s="477"/>
    </row>
    <row r="46" spans="1:47" s="35" customFormat="1" hidden="1" x14ac:dyDescent="0.35">
      <c r="A46" s="35" t="s">
        <v>1193</v>
      </c>
      <c r="B46" s="224" t="s">
        <v>945</v>
      </c>
      <c r="C46" s="222" t="s">
        <v>19</v>
      </c>
      <c r="D46" s="136">
        <v>8470220</v>
      </c>
      <c r="E46" s="137" t="s">
        <v>83</v>
      </c>
      <c r="F46" s="138">
        <v>432205</v>
      </c>
      <c r="G46" s="137" t="s">
        <v>95</v>
      </c>
      <c r="H46" s="137" t="s">
        <v>96</v>
      </c>
      <c r="I46" s="137">
        <v>10000</v>
      </c>
      <c r="J46" s="140">
        <v>10000</v>
      </c>
      <c r="K46" s="141">
        <v>1813</v>
      </c>
      <c r="L46" s="142"/>
      <c r="M46" s="143"/>
      <c r="N46" s="144">
        <f t="shared" si="0"/>
        <v>8187</v>
      </c>
      <c r="O46" s="145"/>
      <c r="P46" s="145"/>
      <c r="Q46" s="145"/>
      <c r="R46" s="146"/>
      <c r="S46" s="139">
        <f t="shared" si="1"/>
        <v>8187</v>
      </c>
      <c r="T46" s="172"/>
      <c r="U46" s="137" t="s">
        <v>96</v>
      </c>
      <c r="V46" s="261">
        <f t="shared" si="10"/>
        <v>4281.6000000000004</v>
      </c>
      <c r="W46" s="261">
        <f t="shared" si="7"/>
        <v>4281.6000000000004</v>
      </c>
      <c r="X46" s="261"/>
      <c r="Y46" s="176" t="s">
        <v>838</v>
      </c>
      <c r="Z46" s="176"/>
      <c r="AA46" s="186">
        <v>10000</v>
      </c>
      <c r="AB46" s="186">
        <v>1813</v>
      </c>
      <c r="AC46" s="176">
        <v>0</v>
      </c>
      <c r="AD46" s="176">
        <v>0</v>
      </c>
      <c r="AE46" s="186">
        <v>8187</v>
      </c>
      <c r="AF46" s="35">
        <v>8187</v>
      </c>
      <c r="AG46" s="212">
        <v>0</v>
      </c>
      <c r="AH46" s="212">
        <f t="shared" si="3"/>
        <v>3905.3999999999996</v>
      </c>
      <c r="AI46" s="212" t="s">
        <v>96</v>
      </c>
      <c r="AJ46" s="212">
        <v>10000</v>
      </c>
      <c r="AK46" s="212">
        <v>4648</v>
      </c>
      <c r="AL46" s="212">
        <v>0</v>
      </c>
      <c r="AM46" s="212">
        <v>0</v>
      </c>
      <c r="AN46" s="212">
        <v>5352</v>
      </c>
      <c r="AO46" s="176">
        <v>0</v>
      </c>
      <c r="AP46" s="176">
        <v>0</v>
      </c>
      <c r="AQ46" s="176">
        <v>0</v>
      </c>
      <c r="AR46" s="212">
        <f t="shared" si="4"/>
        <v>4281.6000000000004</v>
      </c>
      <c r="AS46" s="212">
        <f t="shared" si="5"/>
        <v>1813</v>
      </c>
      <c r="AT46" s="473">
        <f t="shared" si="6"/>
        <v>366.39999999999964</v>
      </c>
      <c r="AU46" s="477"/>
    </row>
    <row r="47" spans="1:47" s="35" customFormat="1" ht="123.65" customHeight="1" x14ac:dyDescent="0.35">
      <c r="A47" s="35" t="s">
        <v>1194</v>
      </c>
      <c r="B47" s="224" t="s">
        <v>946</v>
      </c>
      <c r="C47" s="222" t="s">
        <v>19</v>
      </c>
      <c r="D47" s="136">
        <v>8470230</v>
      </c>
      <c r="E47" s="137" t="s">
        <v>97</v>
      </c>
      <c r="F47" s="138">
        <v>420550</v>
      </c>
      <c r="G47" s="137" t="s">
        <v>21</v>
      </c>
      <c r="H47" s="137" t="s">
        <v>98</v>
      </c>
      <c r="I47" s="137">
        <v>1020620</v>
      </c>
      <c r="J47" s="140">
        <v>1020620</v>
      </c>
      <c r="K47" s="141">
        <v>33110</v>
      </c>
      <c r="L47" s="142"/>
      <c r="M47" s="143"/>
      <c r="N47" s="144">
        <f t="shared" si="0"/>
        <v>987510</v>
      </c>
      <c r="O47" s="145">
        <v>197502</v>
      </c>
      <c r="P47" s="145">
        <v>296253</v>
      </c>
      <c r="Q47" s="149">
        <v>493755</v>
      </c>
      <c r="R47" s="150" t="s">
        <v>839</v>
      </c>
      <c r="S47" s="254">
        <f t="shared" si="1"/>
        <v>0</v>
      </c>
      <c r="T47" s="172"/>
      <c r="U47" s="137" t="s">
        <v>98</v>
      </c>
      <c r="V47" s="261">
        <f t="shared" ref="V47:V53" si="11">S47</f>
        <v>0</v>
      </c>
      <c r="W47" s="261">
        <f t="shared" si="7"/>
        <v>0</v>
      </c>
      <c r="X47" s="261"/>
      <c r="Y47" s="177" t="s">
        <v>722</v>
      </c>
      <c r="Z47" s="177"/>
      <c r="AA47" s="186">
        <v>1020620</v>
      </c>
      <c r="AB47" s="186">
        <v>33110</v>
      </c>
      <c r="AC47" s="176">
        <v>0</v>
      </c>
      <c r="AD47" s="176">
        <v>0</v>
      </c>
      <c r="AE47" s="186">
        <v>987510</v>
      </c>
      <c r="AF47" s="35">
        <v>987510</v>
      </c>
      <c r="AG47" s="212">
        <v>0</v>
      </c>
      <c r="AH47" s="212">
        <f t="shared" si="3"/>
        <v>987510</v>
      </c>
      <c r="AI47" s="212" t="s">
        <v>98</v>
      </c>
      <c r="AJ47" s="212">
        <v>1020620</v>
      </c>
      <c r="AK47" s="212">
        <v>33110</v>
      </c>
      <c r="AL47" s="212">
        <v>0</v>
      </c>
      <c r="AM47" s="212">
        <v>0</v>
      </c>
      <c r="AN47" s="212">
        <v>987510</v>
      </c>
      <c r="AO47" s="176">
        <v>0</v>
      </c>
      <c r="AP47" s="176">
        <v>0</v>
      </c>
      <c r="AQ47" s="176">
        <v>0</v>
      </c>
      <c r="AR47" s="212">
        <f t="shared" si="4"/>
        <v>0</v>
      </c>
      <c r="AS47" s="212">
        <f t="shared" si="5"/>
        <v>526865</v>
      </c>
      <c r="AT47" s="473">
        <f t="shared" si="6"/>
        <v>526865</v>
      </c>
      <c r="AU47" s="478"/>
    </row>
    <row r="48" spans="1:47" s="35" customFormat="1" ht="58" x14ac:dyDescent="0.35">
      <c r="A48" s="35" t="s">
        <v>1194</v>
      </c>
      <c r="B48" s="224" t="s">
        <v>946</v>
      </c>
      <c r="C48" s="222" t="s">
        <v>19</v>
      </c>
      <c r="D48" s="136">
        <v>8470230</v>
      </c>
      <c r="E48" s="137" t="s">
        <v>97</v>
      </c>
      <c r="F48" s="138">
        <v>425100</v>
      </c>
      <c r="G48" s="137" t="s">
        <v>55</v>
      </c>
      <c r="H48" s="137" t="s">
        <v>99</v>
      </c>
      <c r="I48" s="137">
        <v>300000</v>
      </c>
      <c r="J48" s="140">
        <v>300000</v>
      </c>
      <c r="K48" s="147"/>
      <c r="L48" s="142"/>
      <c r="M48" s="143"/>
      <c r="N48" s="144">
        <f t="shared" si="0"/>
        <v>300000</v>
      </c>
      <c r="O48" s="145">
        <v>0</v>
      </c>
      <c r="P48" s="145">
        <v>0</v>
      </c>
      <c r="Q48" s="149">
        <v>300000</v>
      </c>
      <c r="R48" s="150" t="s">
        <v>840</v>
      </c>
      <c r="S48" s="254">
        <f t="shared" si="1"/>
        <v>0</v>
      </c>
      <c r="T48" s="172"/>
      <c r="U48" s="137" t="s">
        <v>99</v>
      </c>
      <c r="V48" s="261">
        <f t="shared" si="11"/>
        <v>0</v>
      </c>
      <c r="W48" s="261">
        <f t="shared" si="7"/>
        <v>0</v>
      </c>
      <c r="X48" s="261"/>
      <c r="Y48" s="177" t="s">
        <v>722</v>
      </c>
      <c r="Z48" s="177"/>
      <c r="AA48" s="186">
        <v>300000</v>
      </c>
      <c r="AB48" s="186">
        <v>0</v>
      </c>
      <c r="AC48" s="176">
        <v>0</v>
      </c>
      <c r="AD48" s="176">
        <v>0</v>
      </c>
      <c r="AE48" s="186">
        <v>300000</v>
      </c>
      <c r="AF48" s="35">
        <v>300000</v>
      </c>
      <c r="AG48" s="212">
        <v>0</v>
      </c>
      <c r="AH48" s="212">
        <f t="shared" si="3"/>
        <v>300000</v>
      </c>
      <c r="AI48" s="212" t="s">
        <v>99</v>
      </c>
      <c r="AJ48" s="212">
        <v>300000</v>
      </c>
      <c r="AK48" s="212">
        <v>0</v>
      </c>
      <c r="AL48" s="212">
        <v>0</v>
      </c>
      <c r="AM48" s="212">
        <v>0</v>
      </c>
      <c r="AN48" s="212">
        <v>300000</v>
      </c>
      <c r="AO48" s="176">
        <v>0</v>
      </c>
      <c r="AP48" s="176">
        <v>0</v>
      </c>
      <c r="AQ48" s="176">
        <v>0</v>
      </c>
      <c r="AR48" s="212">
        <f t="shared" si="4"/>
        <v>0</v>
      </c>
      <c r="AS48" s="212">
        <f t="shared" si="5"/>
        <v>300000</v>
      </c>
      <c r="AT48" s="473">
        <f t="shared" si="6"/>
        <v>300000</v>
      </c>
      <c r="AU48" s="478"/>
    </row>
    <row r="49" spans="1:47" s="35" customFormat="1" ht="87" x14ac:dyDescent="0.35">
      <c r="A49" s="35" t="s">
        <v>1194</v>
      </c>
      <c r="B49" s="224" t="s">
        <v>946</v>
      </c>
      <c r="C49" s="222" t="s">
        <v>19</v>
      </c>
      <c r="D49" s="136">
        <v>8470230</v>
      </c>
      <c r="E49" s="137" t="s">
        <v>97</v>
      </c>
      <c r="F49" s="138">
        <v>425510</v>
      </c>
      <c r="G49" s="137" t="s">
        <v>31</v>
      </c>
      <c r="H49" s="137" t="s">
        <v>100</v>
      </c>
      <c r="I49" s="137">
        <v>34000</v>
      </c>
      <c r="J49" s="140">
        <v>34000</v>
      </c>
      <c r="K49" s="141">
        <v>9463</v>
      </c>
      <c r="L49" s="142"/>
      <c r="M49" s="143"/>
      <c r="N49" s="144">
        <f t="shared" si="0"/>
        <v>24537</v>
      </c>
      <c r="O49" s="145">
        <v>7361.0999999999995</v>
      </c>
      <c r="P49" s="145">
        <v>7361.0999999999995</v>
      </c>
      <c r="Q49" s="149">
        <v>9814.8000000000011</v>
      </c>
      <c r="R49" s="150" t="s">
        <v>841</v>
      </c>
      <c r="S49" s="254">
        <f t="shared" si="1"/>
        <v>0</v>
      </c>
      <c r="T49" s="172"/>
      <c r="U49" s="137" t="s">
        <v>100</v>
      </c>
      <c r="V49" s="261">
        <f t="shared" si="11"/>
        <v>0</v>
      </c>
      <c r="W49" s="261">
        <f t="shared" si="7"/>
        <v>-20513.78</v>
      </c>
      <c r="X49" s="261"/>
      <c r="Y49" s="177" t="s">
        <v>722</v>
      </c>
      <c r="Z49" s="177"/>
      <c r="AA49" s="186">
        <v>34000</v>
      </c>
      <c r="AB49" s="186">
        <v>9463</v>
      </c>
      <c r="AC49" s="176">
        <v>0</v>
      </c>
      <c r="AD49" s="176">
        <v>0</v>
      </c>
      <c r="AE49" s="186">
        <v>24537</v>
      </c>
      <c r="AF49" s="35">
        <v>24537</v>
      </c>
      <c r="AG49" s="212">
        <v>0</v>
      </c>
      <c r="AH49" s="212">
        <f t="shared" si="3"/>
        <v>24537</v>
      </c>
      <c r="AI49" s="212" t="s">
        <v>100</v>
      </c>
      <c r="AJ49" s="212">
        <v>34000</v>
      </c>
      <c r="AK49" s="212">
        <v>9463</v>
      </c>
      <c r="AL49" s="212">
        <v>0</v>
      </c>
      <c r="AM49" s="212">
        <v>0</v>
      </c>
      <c r="AN49" s="212">
        <v>24537</v>
      </c>
      <c r="AO49" s="176">
        <v>0</v>
      </c>
      <c r="AP49" s="176">
        <v>0</v>
      </c>
      <c r="AQ49" s="176">
        <v>20513.78</v>
      </c>
      <c r="AR49" s="212">
        <f t="shared" si="4"/>
        <v>-20513.78</v>
      </c>
      <c r="AS49" s="212">
        <f t="shared" si="5"/>
        <v>39791.58</v>
      </c>
      <c r="AT49" s="473">
        <f t="shared" si="6"/>
        <v>60305.36</v>
      </c>
      <c r="AU49" s="478"/>
    </row>
    <row r="50" spans="1:47" s="35" customFormat="1" ht="43.5" x14ac:dyDescent="0.35">
      <c r="A50" s="35" t="s">
        <v>1194</v>
      </c>
      <c r="B50" s="224" t="s">
        <v>946</v>
      </c>
      <c r="C50" s="222" t="s">
        <v>19</v>
      </c>
      <c r="D50" s="136">
        <v>8470230</v>
      </c>
      <c r="E50" s="137" t="s">
        <v>97</v>
      </c>
      <c r="F50" s="138">
        <v>425550</v>
      </c>
      <c r="G50" s="137" t="s">
        <v>33</v>
      </c>
      <c r="H50" s="137" t="s">
        <v>101</v>
      </c>
      <c r="I50" s="137">
        <v>222000</v>
      </c>
      <c r="J50" s="140">
        <v>222000</v>
      </c>
      <c r="K50" s="141">
        <v>122474.17</v>
      </c>
      <c r="L50" s="142"/>
      <c r="M50" s="143"/>
      <c r="N50" s="144">
        <f t="shared" si="0"/>
        <v>99525.83</v>
      </c>
      <c r="O50" s="145">
        <v>29857.749</v>
      </c>
      <c r="P50" s="145">
        <v>29857.749</v>
      </c>
      <c r="Q50" s="149">
        <v>39810.332000000002</v>
      </c>
      <c r="R50" s="146" t="s">
        <v>842</v>
      </c>
      <c r="S50" s="254">
        <f t="shared" si="1"/>
        <v>0</v>
      </c>
      <c r="T50" s="172"/>
      <c r="U50" s="137" t="s">
        <v>101</v>
      </c>
      <c r="V50" s="261">
        <f t="shared" si="11"/>
        <v>0</v>
      </c>
      <c r="W50" s="261">
        <f t="shared" si="7"/>
        <v>-55888.869999999995</v>
      </c>
      <c r="X50" s="261"/>
      <c r="Y50" s="177" t="s">
        <v>722</v>
      </c>
      <c r="Z50" s="177"/>
      <c r="AA50" s="186">
        <v>222000</v>
      </c>
      <c r="AB50" s="186">
        <v>164563.12</v>
      </c>
      <c r="AC50" s="176">
        <v>0</v>
      </c>
      <c r="AD50" s="176">
        <v>0</v>
      </c>
      <c r="AE50" s="186">
        <v>57436.880000000005</v>
      </c>
      <c r="AF50" s="35">
        <v>57436.88</v>
      </c>
      <c r="AG50" s="212">
        <v>0</v>
      </c>
      <c r="AH50" s="212">
        <f t="shared" si="3"/>
        <v>57436.880000000005</v>
      </c>
      <c r="AI50" s="212" t="s">
        <v>101</v>
      </c>
      <c r="AJ50" s="212">
        <v>222000</v>
      </c>
      <c r="AK50" s="212">
        <v>180813.12</v>
      </c>
      <c r="AL50" s="212">
        <v>0</v>
      </c>
      <c r="AM50" s="212">
        <v>0</v>
      </c>
      <c r="AN50" s="212">
        <v>41186.879999999997</v>
      </c>
      <c r="AO50" s="176">
        <v>5835.6299999999992</v>
      </c>
      <c r="AP50" s="176">
        <v>0</v>
      </c>
      <c r="AQ50" s="176">
        <v>50053.24</v>
      </c>
      <c r="AR50" s="212">
        <f t="shared" si="4"/>
        <v>-55888.869999999995</v>
      </c>
      <c r="AS50" s="212">
        <f t="shared" si="5"/>
        <v>260262.32199999999</v>
      </c>
      <c r="AT50" s="473">
        <f t="shared" si="6"/>
        <v>332401.19199999998</v>
      </c>
      <c r="AU50" s="478"/>
    </row>
    <row r="51" spans="1:47" s="35" customFormat="1" ht="43.5" x14ac:dyDescent="0.35">
      <c r="A51" s="35" t="s">
        <v>1194</v>
      </c>
      <c r="B51" s="224" t="s">
        <v>946</v>
      </c>
      <c r="C51" s="222" t="s">
        <v>19</v>
      </c>
      <c r="D51" s="136">
        <v>8470230</v>
      </c>
      <c r="E51" s="137" t="s">
        <v>97</v>
      </c>
      <c r="F51" s="138">
        <v>425743</v>
      </c>
      <c r="G51" s="137" t="s">
        <v>102</v>
      </c>
      <c r="H51" s="137" t="s">
        <v>103</v>
      </c>
      <c r="I51" s="137">
        <v>240000</v>
      </c>
      <c r="J51" s="140">
        <v>240000</v>
      </c>
      <c r="K51" s="141">
        <v>240000</v>
      </c>
      <c r="L51" s="142"/>
      <c r="M51" s="143"/>
      <c r="N51" s="144">
        <f t="shared" si="0"/>
        <v>0</v>
      </c>
      <c r="O51" s="145"/>
      <c r="P51" s="145"/>
      <c r="Q51" s="149"/>
      <c r="R51" s="146"/>
      <c r="S51" s="254">
        <f t="shared" si="1"/>
        <v>0</v>
      </c>
      <c r="T51" s="172"/>
      <c r="U51" s="137" t="s">
        <v>103</v>
      </c>
      <c r="V51" s="261">
        <f t="shared" si="11"/>
        <v>0</v>
      </c>
      <c r="W51" s="261">
        <f t="shared" si="7"/>
        <v>0</v>
      </c>
      <c r="X51" s="261"/>
      <c r="Y51" s="177" t="s">
        <v>722</v>
      </c>
      <c r="Z51" s="177"/>
      <c r="AA51" s="186">
        <v>240000</v>
      </c>
      <c r="AB51" s="186">
        <v>240000</v>
      </c>
      <c r="AC51" s="176">
        <v>0</v>
      </c>
      <c r="AD51" s="176">
        <v>0</v>
      </c>
      <c r="AE51" s="186">
        <v>0</v>
      </c>
      <c r="AF51" s="35">
        <v>0</v>
      </c>
      <c r="AG51" s="212">
        <v>0</v>
      </c>
      <c r="AH51" s="212">
        <f t="shared" si="3"/>
        <v>0</v>
      </c>
      <c r="AI51" s="212" t="s">
        <v>103</v>
      </c>
      <c r="AJ51" s="212">
        <v>240000</v>
      </c>
      <c r="AK51" s="212">
        <v>240000</v>
      </c>
      <c r="AL51" s="212">
        <v>0</v>
      </c>
      <c r="AM51" s="212">
        <v>0</v>
      </c>
      <c r="AN51" s="212">
        <v>0</v>
      </c>
      <c r="AO51" s="176">
        <v>0</v>
      </c>
      <c r="AP51" s="176">
        <v>0</v>
      </c>
      <c r="AQ51" s="176">
        <v>0</v>
      </c>
      <c r="AR51" s="212">
        <f t="shared" si="4"/>
        <v>0</v>
      </c>
      <c r="AS51" s="212">
        <f t="shared" si="5"/>
        <v>240000</v>
      </c>
      <c r="AT51" s="473">
        <f t="shared" si="6"/>
        <v>240000</v>
      </c>
      <c r="AU51" s="478"/>
    </row>
    <row r="52" spans="1:47" s="35" customFormat="1" ht="43.5" x14ac:dyDescent="0.35">
      <c r="A52" s="35" t="s">
        <v>1194</v>
      </c>
      <c r="B52" s="224" t="s">
        <v>946</v>
      </c>
      <c r="C52" s="222" t="s">
        <v>19</v>
      </c>
      <c r="D52" s="136">
        <v>8470230</v>
      </c>
      <c r="E52" s="137" t="s">
        <v>97</v>
      </c>
      <c r="F52" s="138">
        <v>425744</v>
      </c>
      <c r="G52" s="137" t="s">
        <v>104</v>
      </c>
      <c r="H52" s="137" t="s">
        <v>105</v>
      </c>
      <c r="I52" s="137">
        <v>4816800</v>
      </c>
      <c r="J52" s="140">
        <v>4716106</v>
      </c>
      <c r="K52" s="141">
        <v>2899455.57</v>
      </c>
      <c r="L52" s="142"/>
      <c r="M52" s="143"/>
      <c r="N52" s="144">
        <f t="shared" si="0"/>
        <v>1816650.4300000002</v>
      </c>
      <c r="O52" s="145">
        <v>363330.08600000001</v>
      </c>
      <c r="P52" s="145">
        <v>908325.21499999997</v>
      </c>
      <c r="Q52" s="149">
        <v>544995.12899999996</v>
      </c>
      <c r="R52" s="146" t="s">
        <v>843</v>
      </c>
      <c r="S52" s="254">
        <f t="shared" si="1"/>
        <v>0</v>
      </c>
      <c r="T52" s="172"/>
      <c r="U52" s="137" t="s">
        <v>105</v>
      </c>
      <c r="V52" s="261">
        <f t="shared" si="11"/>
        <v>0</v>
      </c>
      <c r="W52" s="261">
        <f t="shared" si="7"/>
        <v>0</v>
      </c>
      <c r="X52" s="261"/>
      <c r="Y52" s="177" t="s">
        <v>722</v>
      </c>
      <c r="Z52" s="177"/>
      <c r="AA52" s="186">
        <v>4716106</v>
      </c>
      <c r="AB52" s="186">
        <v>2899455.57</v>
      </c>
      <c r="AC52" s="176">
        <v>0</v>
      </c>
      <c r="AD52" s="176">
        <v>0</v>
      </c>
      <c r="AE52" s="186">
        <v>1816650.4300000002</v>
      </c>
      <c r="AF52" s="35">
        <v>1816650.43</v>
      </c>
      <c r="AG52" s="212">
        <v>0</v>
      </c>
      <c r="AH52" s="212">
        <f t="shared" si="3"/>
        <v>1816650.4300000002</v>
      </c>
      <c r="AI52" s="212" t="s">
        <v>105</v>
      </c>
      <c r="AJ52" s="212">
        <v>4716106</v>
      </c>
      <c r="AK52" s="212">
        <v>2899455.57</v>
      </c>
      <c r="AL52" s="212">
        <v>0</v>
      </c>
      <c r="AM52" s="212">
        <v>0</v>
      </c>
      <c r="AN52" s="212">
        <v>1816650.43</v>
      </c>
      <c r="AO52" s="176">
        <v>0</v>
      </c>
      <c r="AP52" s="176">
        <v>0</v>
      </c>
      <c r="AQ52" s="176">
        <v>0</v>
      </c>
      <c r="AR52" s="212">
        <f t="shared" si="4"/>
        <v>0</v>
      </c>
      <c r="AS52" s="212">
        <f t="shared" si="5"/>
        <v>3444450.699</v>
      </c>
      <c r="AT52" s="473">
        <f t="shared" si="6"/>
        <v>3444450.699</v>
      </c>
      <c r="AU52" s="478"/>
    </row>
    <row r="53" spans="1:47" s="35" customFormat="1" ht="43.5" x14ac:dyDescent="0.35">
      <c r="A53" s="35" t="s">
        <v>1194</v>
      </c>
      <c r="B53" s="224" t="s">
        <v>946</v>
      </c>
      <c r="C53" s="222" t="s">
        <v>19</v>
      </c>
      <c r="D53" s="136">
        <v>8470230</v>
      </c>
      <c r="E53" s="137" t="s">
        <v>97</v>
      </c>
      <c r="F53" s="138">
        <v>425745</v>
      </c>
      <c r="G53" s="137" t="s">
        <v>106</v>
      </c>
      <c r="H53" s="137" t="s">
        <v>107</v>
      </c>
      <c r="I53" s="137">
        <v>1971263</v>
      </c>
      <c r="J53" s="140">
        <v>1971263</v>
      </c>
      <c r="K53" s="141">
        <v>933228.17</v>
      </c>
      <c r="L53" s="142"/>
      <c r="M53" s="143"/>
      <c r="N53" s="144">
        <f t="shared" si="0"/>
        <v>1038034.83</v>
      </c>
      <c r="O53" s="145">
        <v>226281.95200000002</v>
      </c>
      <c r="P53" s="145">
        <v>339422.92800000001</v>
      </c>
      <c r="Q53" s="149">
        <v>472331</v>
      </c>
      <c r="R53" s="146" t="s">
        <v>844</v>
      </c>
      <c r="S53" s="254">
        <f t="shared" si="1"/>
        <v>-1.0500000001047738</v>
      </c>
      <c r="T53" s="172"/>
      <c r="U53" s="137" t="s">
        <v>107</v>
      </c>
      <c r="V53" s="261">
        <f t="shared" si="11"/>
        <v>-1.0500000001047738</v>
      </c>
      <c r="W53" s="261">
        <f t="shared" si="7"/>
        <v>-1.0500000001047738</v>
      </c>
      <c r="X53" s="261"/>
      <c r="Y53" s="177" t="s">
        <v>722</v>
      </c>
      <c r="Z53" s="177"/>
      <c r="AA53" s="186">
        <v>1971263</v>
      </c>
      <c r="AB53" s="186">
        <v>1122445.5</v>
      </c>
      <c r="AC53" s="176">
        <v>0</v>
      </c>
      <c r="AD53" s="176">
        <v>0</v>
      </c>
      <c r="AE53" s="186">
        <v>848817.5</v>
      </c>
      <c r="AF53" s="35">
        <v>848817.49999999895</v>
      </c>
      <c r="AG53" s="212">
        <v>1.0477378964424133E-9</v>
      </c>
      <c r="AH53" s="212">
        <f t="shared" si="3"/>
        <v>848818.55</v>
      </c>
      <c r="AI53" s="212" t="s">
        <v>107</v>
      </c>
      <c r="AJ53" s="212">
        <v>1971263</v>
      </c>
      <c r="AK53" s="212">
        <v>1741016.35</v>
      </c>
      <c r="AL53" s="212">
        <v>0</v>
      </c>
      <c r="AM53" s="212">
        <v>0</v>
      </c>
      <c r="AN53" s="212">
        <v>230246.649999999</v>
      </c>
      <c r="AO53" s="176">
        <v>0</v>
      </c>
      <c r="AP53" s="176">
        <v>0</v>
      </c>
      <c r="AQ53" s="176">
        <v>0</v>
      </c>
      <c r="AR53" s="212">
        <f t="shared" si="4"/>
        <v>-1.0500000001047738</v>
      </c>
      <c r="AS53" s="212">
        <f t="shared" si="5"/>
        <v>1594776.5</v>
      </c>
      <c r="AT53" s="473">
        <f t="shared" si="6"/>
        <v>2213348.4000000004</v>
      </c>
      <c r="AU53" s="478"/>
    </row>
    <row r="54" spans="1:47" s="35" customFormat="1" ht="43.5" x14ac:dyDescent="0.35">
      <c r="A54" s="35" t="s">
        <v>1194</v>
      </c>
      <c r="B54" s="224" t="s">
        <v>946</v>
      </c>
      <c r="C54" s="222" t="s">
        <v>19</v>
      </c>
      <c r="D54" s="136">
        <v>8470230</v>
      </c>
      <c r="E54" s="137" t="s">
        <v>97</v>
      </c>
      <c r="F54" s="138">
        <v>425749</v>
      </c>
      <c r="G54" s="137" t="s">
        <v>108</v>
      </c>
      <c r="H54" s="137" t="s">
        <v>109</v>
      </c>
      <c r="I54" s="137">
        <v>110824684</v>
      </c>
      <c r="J54" s="140">
        <v>110824684</v>
      </c>
      <c r="K54" s="141">
        <v>81132195.440000102</v>
      </c>
      <c r="L54" s="142"/>
      <c r="M54" s="143"/>
      <c r="N54" s="144">
        <f t="shared" si="0"/>
        <v>29692488.559999898</v>
      </c>
      <c r="O54" s="149">
        <v>13954529.623199953</v>
      </c>
      <c r="P54" s="149">
        <v>11876195.423999961</v>
      </c>
      <c r="Q54" s="149">
        <v>11500000</v>
      </c>
      <c r="R54" s="146" t="s">
        <v>845</v>
      </c>
      <c r="S54" s="255">
        <f>AE54-Q54</f>
        <v>-700000</v>
      </c>
      <c r="T54" s="172" t="s">
        <v>982</v>
      </c>
      <c r="U54" s="137" t="s">
        <v>109</v>
      </c>
      <c r="V54" s="261"/>
      <c r="W54" s="261">
        <f t="shared" si="7"/>
        <v>0</v>
      </c>
      <c r="X54" s="474">
        <v>700000</v>
      </c>
      <c r="Y54" s="177" t="s">
        <v>722</v>
      </c>
      <c r="Z54" s="177"/>
      <c r="AA54" s="186">
        <v>117580684</v>
      </c>
      <c r="AB54" s="186">
        <v>95323813.510000095</v>
      </c>
      <c r="AC54" s="176">
        <v>0</v>
      </c>
      <c r="AD54" s="176">
        <v>0</v>
      </c>
      <c r="AE54" s="186">
        <v>10800000</v>
      </c>
      <c r="AF54" s="35">
        <v>22256870.489999902</v>
      </c>
      <c r="AG54" s="212">
        <v>0</v>
      </c>
      <c r="AH54" s="212">
        <f t="shared" si="3"/>
        <v>10800000</v>
      </c>
      <c r="AI54" s="212" t="s">
        <v>109</v>
      </c>
      <c r="AJ54" s="212">
        <v>117580684</v>
      </c>
      <c r="AK54" s="212">
        <v>106778498.65000001</v>
      </c>
      <c r="AL54" s="212">
        <v>0</v>
      </c>
      <c r="AM54" s="212">
        <v>0</v>
      </c>
      <c r="AN54" s="212">
        <v>10802185.349999901</v>
      </c>
      <c r="AO54" s="176">
        <v>0</v>
      </c>
      <c r="AP54" s="176">
        <v>0</v>
      </c>
      <c r="AQ54" s="176">
        <v>0</v>
      </c>
      <c r="AR54" s="212">
        <f t="shared" si="4"/>
        <v>0</v>
      </c>
      <c r="AS54" s="212">
        <f t="shared" si="5"/>
        <v>106823813.51000009</v>
      </c>
      <c r="AT54" s="473">
        <f t="shared" si="6"/>
        <v>118978498.65000001</v>
      </c>
      <c r="AU54" s="478"/>
    </row>
    <row r="55" spans="1:47" s="35" customFormat="1" ht="43.5" x14ac:dyDescent="0.35">
      <c r="A55" s="35" t="s">
        <v>1194</v>
      </c>
      <c r="B55" s="224" t="s">
        <v>946</v>
      </c>
      <c r="C55" s="222" t="s">
        <v>19</v>
      </c>
      <c r="D55" s="136">
        <v>8470230</v>
      </c>
      <c r="E55" s="137" t="s">
        <v>97</v>
      </c>
      <c r="F55" s="138">
        <v>425761</v>
      </c>
      <c r="G55" s="137" t="s">
        <v>110</v>
      </c>
      <c r="H55" s="137" t="s">
        <v>111</v>
      </c>
      <c r="I55" s="137">
        <v>150000</v>
      </c>
      <c r="J55" s="140">
        <v>150000</v>
      </c>
      <c r="K55" s="147"/>
      <c r="L55" s="142"/>
      <c r="M55" s="143"/>
      <c r="N55" s="144">
        <f t="shared" si="0"/>
        <v>150000</v>
      </c>
      <c r="O55" s="145">
        <v>30000</v>
      </c>
      <c r="P55" s="145">
        <v>45000</v>
      </c>
      <c r="Q55" s="149">
        <v>75000</v>
      </c>
      <c r="R55" s="146" t="s">
        <v>846</v>
      </c>
      <c r="S55" s="254">
        <f t="shared" si="1"/>
        <v>0</v>
      </c>
      <c r="T55" s="172"/>
      <c r="U55" s="137" t="s">
        <v>111</v>
      </c>
      <c r="V55" s="261">
        <f t="shared" ref="V55:V61" si="12">S55</f>
        <v>0</v>
      </c>
      <c r="W55" s="261">
        <f t="shared" si="7"/>
        <v>0</v>
      </c>
      <c r="X55" s="261"/>
      <c r="Y55" s="177" t="s">
        <v>722</v>
      </c>
      <c r="Z55" s="177"/>
      <c r="AA55" s="186">
        <v>150000</v>
      </c>
      <c r="AB55" s="186">
        <v>0</v>
      </c>
      <c r="AC55" s="176">
        <v>0</v>
      </c>
      <c r="AD55" s="176">
        <v>0</v>
      </c>
      <c r="AE55" s="186">
        <v>150000</v>
      </c>
      <c r="AF55" s="35">
        <v>150000</v>
      </c>
      <c r="AG55" s="212">
        <v>0</v>
      </c>
      <c r="AH55" s="212">
        <f t="shared" si="3"/>
        <v>150000</v>
      </c>
      <c r="AI55" s="212" t="s">
        <v>111</v>
      </c>
      <c r="AJ55" s="212">
        <v>150000</v>
      </c>
      <c r="AK55" s="212">
        <v>0</v>
      </c>
      <c r="AL55" s="212">
        <v>0</v>
      </c>
      <c r="AM55" s="212">
        <v>0</v>
      </c>
      <c r="AN55" s="212">
        <v>150000</v>
      </c>
      <c r="AO55" s="176">
        <v>0</v>
      </c>
      <c r="AP55" s="176">
        <v>0</v>
      </c>
      <c r="AQ55" s="176">
        <v>0</v>
      </c>
      <c r="AR55" s="212">
        <f t="shared" si="4"/>
        <v>0</v>
      </c>
      <c r="AS55" s="212">
        <f t="shared" si="5"/>
        <v>75000</v>
      </c>
      <c r="AT55" s="473">
        <f t="shared" si="6"/>
        <v>75000</v>
      </c>
      <c r="AU55" s="478"/>
    </row>
    <row r="56" spans="1:47" s="35" customFormat="1" ht="43.5" x14ac:dyDescent="0.35">
      <c r="A56" s="35" t="s">
        <v>1194</v>
      </c>
      <c r="B56" s="224" t="s">
        <v>946</v>
      </c>
      <c r="C56" s="222" t="s">
        <v>19</v>
      </c>
      <c r="D56" s="136">
        <v>8470230</v>
      </c>
      <c r="E56" s="137" t="s">
        <v>97</v>
      </c>
      <c r="F56" s="138">
        <v>425762</v>
      </c>
      <c r="G56" s="137" t="s">
        <v>112</v>
      </c>
      <c r="H56" s="137" t="s">
        <v>113</v>
      </c>
      <c r="I56" s="137">
        <v>150000</v>
      </c>
      <c r="J56" s="140">
        <v>150000</v>
      </c>
      <c r="K56" s="141">
        <v>56629.1</v>
      </c>
      <c r="L56" s="142"/>
      <c r="M56" s="143"/>
      <c r="N56" s="144">
        <f t="shared" si="0"/>
        <v>93370.9</v>
      </c>
      <c r="O56" s="145">
        <v>46685.45</v>
      </c>
      <c r="P56" s="145">
        <v>28011.269999999997</v>
      </c>
      <c r="Q56" s="149">
        <v>18674.18</v>
      </c>
      <c r="R56" s="146" t="s">
        <v>847</v>
      </c>
      <c r="S56" s="254">
        <f t="shared" si="1"/>
        <v>0</v>
      </c>
      <c r="T56" s="172"/>
      <c r="U56" s="137" t="s">
        <v>113</v>
      </c>
      <c r="V56" s="261">
        <f t="shared" si="12"/>
        <v>0</v>
      </c>
      <c r="W56" s="261">
        <f>V56-(AO56+AP56+AQ56)</f>
        <v>-5230</v>
      </c>
      <c r="X56" s="261"/>
      <c r="Y56" s="177" t="s">
        <v>722</v>
      </c>
      <c r="Z56" s="177"/>
      <c r="AA56" s="186">
        <v>150000</v>
      </c>
      <c r="AB56" s="186">
        <v>63860.57</v>
      </c>
      <c r="AC56" s="176">
        <v>0</v>
      </c>
      <c r="AD56" s="176">
        <v>0</v>
      </c>
      <c r="AE56" s="186">
        <v>86139.43</v>
      </c>
      <c r="AF56" s="35">
        <v>86139.43</v>
      </c>
      <c r="AG56" s="212">
        <v>0</v>
      </c>
      <c r="AH56" s="212">
        <f t="shared" si="3"/>
        <v>86139.43</v>
      </c>
      <c r="AI56" s="212" t="s">
        <v>113</v>
      </c>
      <c r="AJ56" s="212">
        <v>150000</v>
      </c>
      <c r="AK56" s="212">
        <v>63860.57</v>
      </c>
      <c r="AL56" s="212">
        <v>0</v>
      </c>
      <c r="AM56" s="212">
        <v>0</v>
      </c>
      <c r="AN56" s="212">
        <v>86139.43</v>
      </c>
      <c r="AO56" s="176">
        <v>0</v>
      </c>
      <c r="AP56" s="176">
        <v>0</v>
      </c>
      <c r="AQ56" s="176">
        <v>5230</v>
      </c>
      <c r="AR56" s="212">
        <f t="shared" si="4"/>
        <v>-5230</v>
      </c>
      <c r="AS56" s="212">
        <f t="shared" si="5"/>
        <v>87764.75</v>
      </c>
      <c r="AT56" s="473">
        <f t="shared" si="6"/>
        <v>92994.75</v>
      </c>
      <c r="AU56" s="478"/>
    </row>
    <row r="57" spans="1:47" s="35" customFormat="1" ht="43.5" x14ac:dyDescent="0.35">
      <c r="A57" s="35" t="s">
        <v>1194</v>
      </c>
      <c r="B57" s="224" t="s">
        <v>946</v>
      </c>
      <c r="C57" s="222" t="s">
        <v>19</v>
      </c>
      <c r="D57" s="136">
        <v>8470230</v>
      </c>
      <c r="E57" s="137" t="s">
        <v>97</v>
      </c>
      <c r="F57" s="138">
        <v>425900</v>
      </c>
      <c r="G57" s="137" t="s">
        <v>35</v>
      </c>
      <c r="H57" s="137" t="s">
        <v>114</v>
      </c>
      <c r="I57" s="137">
        <v>45648</v>
      </c>
      <c r="J57" s="140">
        <v>45648</v>
      </c>
      <c r="K57" s="141">
        <v>236.25</v>
      </c>
      <c r="L57" s="142"/>
      <c r="M57" s="143"/>
      <c r="N57" s="144">
        <f t="shared" si="0"/>
        <v>45411.75</v>
      </c>
      <c r="O57" s="145">
        <v>9082.35</v>
      </c>
      <c r="P57" s="145">
        <v>13623.525</v>
      </c>
      <c r="Q57" s="149">
        <v>22705.875</v>
      </c>
      <c r="R57" s="146" t="s">
        <v>848</v>
      </c>
      <c r="S57" s="254">
        <f t="shared" si="1"/>
        <v>0</v>
      </c>
      <c r="T57" s="172"/>
      <c r="U57" s="137" t="s">
        <v>114</v>
      </c>
      <c r="V57" s="261">
        <f t="shared" si="12"/>
        <v>0</v>
      </c>
      <c r="W57" s="261">
        <f t="shared" si="7"/>
        <v>0</v>
      </c>
      <c r="X57" s="261"/>
      <c r="Y57" s="177" t="s">
        <v>722</v>
      </c>
      <c r="Z57" s="177"/>
      <c r="AA57" s="186">
        <v>45648</v>
      </c>
      <c r="AB57" s="186">
        <v>1236.25</v>
      </c>
      <c r="AC57" s="176">
        <v>0</v>
      </c>
      <c r="AD57" s="176">
        <v>0</v>
      </c>
      <c r="AE57" s="186">
        <v>44411.75</v>
      </c>
      <c r="AF57" s="35">
        <v>44411.75</v>
      </c>
      <c r="AG57" s="212">
        <v>0</v>
      </c>
      <c r="AH57" s="212">
        <f t="shared" si="3"/>
        <v>44411.75</v>
      </c>
      <c r="AI57" s="212" t="s">
        <v>114</v>
      </c>
      <c r="AJ57" s="212">
        <v>45648</v>
      </c>
      <c r="AK57" s="212">
        <v>1236.25</v>
      </c>
      <c r="AL57" s="212">
        <v>0</v>
      </c>
      <c r="AM57" s="212">
        <v>0</v>
      </c>
      <c r="AN57" s="212">
        <v>44411.75</v>
      </c>
      <c r="AO57" s="176">
        <v>0</v>
      </c>
      <c r="AP57" s="176">
        <v>0</v>
      </c>
      <c r="AQ57" s="176">
        <v>0</v>
      </c>
      <c r="AR57" s="212">
        <f t="shared" si="4"/>
        <v>0</v>
      </c>
      <c r="AS57" s="212">
        <f t="shared" si="5"/>
        <v>23942.125</v>
      </c>
      <c r="AT57" s="473">
        <f t="shared" si="6"/>
        <v>23942.125</v>
      </c>
      <c r="AU57" s="478"/>
    </row>
    <row r="58" spans="1:47" s="35" customFormat="1" ht="43.5" x14ac:dyDescent="0.35">
      <c r="A58" s="35" t="s">
        <v>1194</v>
      </c>
      <c r="B58" s="224" t="s">
        <v>946</v>
      </c>
      <c r="C58" s="222" t="s">
        <v>19</v>
      </c>
      <c r="D58" s="136">
        <v>8470230</v>
      </c>
      <c r="E58" s="137" t="s">
        <v>97</v>
      </c>
      <c r="F58" s="138">
        <v>426610</v>
      </c>
      <c r="G58" s="137" t="s">
        <v>37</v>
      </c>
      <c r="H58" s="137" t="s">
        <v>115</v>
      </c>
      <c r="I58" s="137">
        <v>10000</v>
      </c>
      <c r="J58" s="140">
        <v>10000</v>
      </c>
      <c r="K58" s="147"/>
      <c r="L58" s="142"/>
      <c r="M58" s="143"/>
      <c r="N58" s="144">
        <f t="shared" si="0"/>
        <v>10000</v>
      </c>
      <c r="O58" s="145">
        <v>0</v>
      </c>
      <c r="P58" s="145">
        <v>0</v>
      </c>
      <c r="Q58" s="149">
        <v>10000</v>
      </c>
      <c r="R58" s="146" t="s">
        <v>849</v>
      </c>
      <c r="S58" s="254">
        <f t="shared" si="1"/>
        <v>0</v>
      </c>
      <c r="T58" s="172"/>
      <c r="U58" s="137" t="s">
        <v>115</v>
      </c>
      <c r="V58" s="261">
        <f t="shared" si="12"/>
        <v>0</v>
      </c>
      <c r="W58" s="261">
        <f t="shared" si="7"/>
        <v>0</v>
      </c>
      <c r="X58" s="261"/>
      <c r="Y58" s="177" t="s">
        <v>722</v>
      </c>
      <c r="Z58" s="177"/>
      <c r="AA58" s="186">
        <v>10000</v>
      </c>
      <c r="AB58" s="186">
        <v>0</v>
      </c>
      <c r="AC58" s="176">
        <v>0</v>
      </c>
      <c r="AD58" s="176">
        <v>0</v>
      </c>
      <c r="AE58" s="186">
        <v>10000</v>
      </c>
      <c r="AF58" s="35">
        <v>10000</v>
      </c>
      <c r="AG58" s="212">
        <v>0</v>
      </c>
      <c r="AH58" s="212">
        <f t="shared" si="3"/>
        <v>10000</v>
      </c>
      <c r="AI58" s="212" t="s">
        <v>115</v>
      </c>
      <c r="AJ58" s="212">
        <v>10000</v>
      </c>
      <c r="AK58" s="212">
        <v>0</v>
      </c>
      <c r="AL58" s="212">
        <v>0</v>
      </c>
      <c r="AM58" s="212">
        <v>0</v>
      </c>
      <c r="AN58" s="212">
        <v>10000</v>
      </c>
      <c r="AO58" s="176">
        <v>0</v>
      </c>
      <c r="AP58" s="176">
        <v>0</v>
      </c>
      <c r="AQ58" s="176">
        <v>0</v>
      </c>
      <c r="AR58" s="212">
        <f t="shared" si="4"/>
        <v>0</v>
      </c>
      <c r="AS58" s="212">
        <f t="shared" si="5"/>
        <v>10000</v>
      </c>
      <c r="AT58" s="473">
        <f t="shared" si="6"/>
        <v>10000</v>
      </c>
      <c r="AU58" s="478"/>
    </row>
    <row r="59" spans="1:47" s="35" customFormat="1" ht="43.5" x14ac:dyDescent="0.35">
      <c r="A59" s="35" t="s">
        <v>1194</v>
      </c>
      <c r="B59" s="224" t="s">
        <v>946</v>
      </c>
      <c r="C59" s="222" t="s">
        <v>19</v>
      </c>
      <c r="D59" s="136">
        <v>8470230</v>
      </c>
      <c r="E59" s="137" t="s">
        <v>97</v>
      </c>
      <c r="F59" s="138">
        <v>428090</v>
      </c>
      <c r="G59" s="137" t="s">
        <v>39</v>
      </c>
      <c r="H59" s="137" t="s">
        <v>116</v>
      </c>
      <c r="I59" s="137">
        <v>97000</v>
      </c>
      <c r="J59" s="140">
        <v>26429</v>
      </c>
      <c r="K59" s="147"/>
      <c r="L59" s="142"/>
      <c r="M59" s="143"/>
      <c r="N59" s="144">
        <f t="shared" si="0"/>
        <v>26429</v>
      </c>
      <c r="O59" s="145">
        <v>0</v>
      </c>
      <c r="P59" s="145">
        <v>21143.200000000001</v>
      </c>
      <c r="Q59" s="149">
        <v>5285.8</v>
      </c>
      <c r="R59" s="146" t="s">
        <v>850</v>
      </c>
      <c r="S59" s="254">
        <f t="shared" si="1"/>
        <v>0</v>
      </c>
      <c r="T59" s="172"/>
      <c r="U59" s="137" t="s">
        <v>116</v>
      </c>
      <c r="V59" s="261">
        <f t="shared" si="12"/>
        <v>0</v>
      </c>
      <c r="W59" s="261">
        <f t="shared" si="7"/>
        <v>0</v>
      </c>
      <c r="X59" s="261"/>
      <c r="Y59" s="177" t="s">
        <v>722</v>
      </c>
      <c r="Z59" s="177"/>
      <c r="AA59" s="186">
        <v>26429</v>
      </c>
      <c r="AB59" s="186">
        <v>0</v>
      </c>
      <c r="AC59" s="176">
        <v>0</v>
      </c>
      <c r="AD59" s="176">
        <v>0</v>
      </c>
      <c r="AE59" s="186">
        <v>26429</v>
      </c>
      <c r="AF59" s="35">
        <v>26429</v>
      </c>
      <c r="AG59" s="212">
        <v>0</v>
      </c>
      <c r="AH59" s="212">
        <f t="shared" si="3"/>
        <v>26429</v>
      </c>
      <c r="AI59" s="212" t="s">
        <v>116</v>
      </c>
      <c r="AJ59" s="212">
        <v>26429</v>
      </c>
      <c r="AK59" s="212">
        <v>0</v>
      </c>
      <c r="AL59" s="212">
        <v>0</v>
      </c>
      <c r="AM59" s="212">
        <v>0</v>
      </c>
      <c r="AN59" s="212">
        <v>26429</v>
      </c>
      <c r="AO59" s="176">
        <v>0</v>
      </c>
      <c r="AP59" s="176">
        <v>0</v>
      </c>
      <c r="AQ59" s="176">
        <v>0</v>
      </c>
      <c r="AR59" s="212">
        <f t="shared" si="4"/>
        <v>0</v>
      </c>
      <c r="AS59" s="212">
        <f t="shared" si="5"/>
        <v>5285.8</v>
      </c>
      <c r="AT59" s="473">
        <f t="shared" si="6"/>
        <v>5285.8</v>
      </c>
      <c r="AU59" s="478"/>
    </row>
    <row r="60" spans="1:47" s="35" customFormat="1" ht="43.5" x14ac:dyDescent="0.35">
      <c r="A60" s="35" t="s">
        <v>1194</v>
      </c>
      <c r="B60" s="224" t="s">
        <v>946</v>
      </c>
      <c r="C60" s="222" t="s">
        <v>19</v>
      </c>
      <c r="D60" s="136">
        <v>8470230</v>
      </c>
      <c r="E60" s="137" t="s">
        <v>97</v>
      </c>
      <c r="F60" s="138">
        <v>428640</v>
      </c>
      <c r="G60" s="137" t="s">
        <v>43</v>
      </c>
      <c r="H60" s="137" t="s">
        <v>117</v>
      </c>
      <c r="I60" s="137">
        <v>80000</v>
      </c>
      <c r="J60" s="140">
        <v>40596</v>
      </c>
      <c r="K60" s="147"/>
      <c r="L60" s="142"/>
      <c r="M60" s="143"/>
      <c r="N60" s="144">
        <f t="shared" si="0"/>
        <v>40596</v>
      </c>
      <c r="O60" s="145">
        <v>0</v>
      </c>
      <c r="P60" s="145">
        <v>16238.400000000001</v>
      </c>
      <c r="Q60" s="149">
        <v>24357.599999999999</v>
      </c>
      <c r="R60" s="146" t="s">
        <v>851</v>
      </c>
      <c r="S60" s="254">
        <f t="shared" si="1"/>
        <v>0</v>
      </c>
      <c r="T60" s="172"/>
      <c r="U60" s="137" t="s">
        <v>117</v>
      </c>
      <c r="V60" s="261">
        <f t="shared" si="12"/>
        <v>0</v>
      </c>
      <c r="W60" s="261">
        <f t="shared" si="7"/>
        <v>0</v>
      </c>
      <c r="X60" s="261"/>
      <c r="Y60" s="177" t="s">
        <v>722</v>
      </c>
      <c r="Z60" s="177"/>
      <c r="AA60" s="186">
        <v>40596</v>
      </c>
      <c r="AB60" s="186">
        <v>0</v>
      </c>
      <c r="AC60" s="176">
        <v>0</v>
      </c>
      <c r="AD60" s="176">
        <v>0</v>
      </c>
      <c r="AE60" s="186">
        <v>40596</v>
      </c>
      <c r="AF60" s="35">
        <v>40596</v>
      </c>
      <c r="AG60" s="212">
        <v>0</v>
      </c>
      <c r="AH60" s="212">
        <f t="shared" si="3"/>
        <v>40596</v>
      </c>
      <c r="AI60" s="212" t="s">
        <v>117</v>
      </c>
      <c r="AJ60" s="212">
        <v>40596</v>
      </c>
      <c r="AK60" s="212">
        <v>0</v>
      </c>
      <c r="AL60" s="212">
        <v>0</v>
      </c>
      <c r="AM60" s="212">
        <v>0</v>
      </c>
      <c r="AN60" s="212">
        <v>40596</v>
      </c>
      <c r="AO60" s="176">
        <v>0</v>
      </c>
      <c r="AP60" s="176">
        <v>0</v>
      </c>
      <c r="AQ60" s="176">
        <v>0</v>
      </c>
      <c r="AR60" s="212">
        <f t="shared" si="4"/>
        <v>0</v>
      </c>
      <c r="AS60" s="212">
        <f t="shared" si="5"/>
        <v>24357.599999999999</v>
      </c>
      <c r="AT60" s="473">
        <f t="shared" si="6"/>
        <v>24357.599999999999</v>
      </c>
      <c r="AU60" s="478"/>
    </row>
    <row r="61" spans="1:47" s="35" customFormat="1" ht="43.5" x14ac:dyDescent="0.35">
      <c r="A61" s="35" t="s">
        <v>1194</v>
      </c>
      <c r="B61" s="224" t="s">
        <v>946</v>
      </c>
      <c r="C61" s="222" t="s">
        <v>19</v>
      </c>
      <c r="D61" s="136">
        <v>8470230</v>
      </c>
      <c r="E61" s="137" t="s">
        <v>97</v>
      </c>
      <c r="F61" s="138">
        <v>436110</v>
      </c>
      <c r="G61" s="137" t="s">
        <v>119</v>
      </c>
      <c r="H61" s="137" t="s">
        <v>120</v>
      </c>
      <c r="I61" s="137">
        <v>5000</v>
      </c>
      <c r="J61" s="140">
        <v>5000</v>
      </c>
      <c r="K61" s="147"/>
      <c r="L61" s="142"/>
      <c r="M61" s="143"/>
      <c r="N61" s="144">
        <f t="shared" si="0"/>
        <v>5000</v>
      </c>
      <c r="O61" s="145">
        <v>0</v>
      </c>
      <c r="P61" s="145">
        <v>2500</v>
      </c>
      <c r="Q61" s="149">
        <v>2500</v>
      </c>
      <c r="R61" s="146" t="s">
        <v>852</v>
      </c>
      <c r="S61" s="254">
        <f t="shared" si="1"/>
        <v>0</v>
      </c>
      <c r="T61" s="172"/>
      <c r="U61" s="137" t="s">
        <v>120</v>
      </c>
      <c r="V61" s="261">
        <f t="shared" si="12"/>
        <v>0</v>
      </c>
      <c r="W61" s="261">
        <f t="shared" si="7"/>
        <v>0</v>
      </c>
      <c r="X61" s="261"/>
      <c r="Y61" s="177" t="s">
        <v>722</v>
      </c>
      <c r="Z61" s="177"/>
      <c r="AA61" s="186">
        <v>5000</v>
      </c>
      <c r="AB61" s="186">
        <v>0</v>
      </c>
      <c r="AC61" s="176">
        <v>0</v>
      </c>
      <c r="AD61" s="176">
        <v>0</v>
      </c>
      <c r="AE61" s="186">
        <v>5000</v>
      </c>
      <c r="AF61" s="35">
        <v>5000</v>
      </c>
      <c r="AG61" s="212">
        <v>0</v>
      </c>
      <c r="AH61" s="212">
        <f t="shared" si="3"/>
        <v>5000</v>
      </c>
      <c r="AI61" s="212" t="s">
        <v>120</v>
      </c>
      <c r="AJ61" s="212">
        <v>5000</v>
      </c>
      <c r="AK61" s="212">
        <v>0</v>
      </c>
      <c r="AL61" s="212">
        <v>0</v>
      </c>
      <c r="AM61" s="212">
        <v>0</v>
      </c>
      <c r="AN61" s="212">
        <v>5000</v>
      </c>
      <c r="AO61" s="176">
        <v>0</v>
      </c>
      <c r="AP61" s="176">
        <v>0</v>
      </c>
      <c r="AQ61" s="176">
        <v>0</v>
      </c>
      <c r="AR61" s="212">
        <f t="shared" si="4"/>
        <v>0</v>
      </c>
      <c r="AS61" s="212">
        <f t="shared" si="5"/>
        <v>2500</v>
      </c>
      <c r="AT61" s="473">
        <f t="shared" si="6"/>
        <v>2500</v>
      </c>
      <c r="AU61" s="478"/>
    </row>
    <row r="62" spans="1:47" s="35" customFormat="1" ht="29" hidden="1" x14ac:dyDescent="0.35">
      <c r="A62" s="35" t="s">
        <v>1195</v>
      </c>
      <c r="B62" s="224" t="s">
        <v>947</v>
      </c>
      <c r="C62" s="222" t="s">
        <v>19</v>
      </c>
      <c r="D62" s="136">
        <v>8470305</v>
      </c>
      <c r="E62" s="137" t="s">
        <v>121</v>
      </c>
      <c r="F62" s="138">
        <v>420550</v>
      </c>
      <c r="G62" s="137" t="s">
        <v>21</v>
      </c>
      <c r="H62" s="137" t="s">
        <v>122</v>
      </c>
      <c r="I62" s="137">
        <v>10000</v>
      </c>
      <c r="J62" s="140">
        <v>100000</v>
      </c>
      <c r="K62" s="141">
        <v>92165.34</v>
      </c>
      <c r="L62" s="142"/>
      <c r="M62" s="143"/>
      <c r="N62" s="144">
        <f t="shared" si="0"/>
        <v>7834.6600000000035</v>
      </c>
      <c r="O62" s="145"/>
      <c r="P62" s="145"/>
      <c r="Q62" s="145"/>
      <c r="R62" s="146"/>
      <c r="S62" s="139">
        <f t="shared" si="1"/>
        <v>7834.6600000000035</v>
      </c>
      <c r="T62" s="172"/>
      <c r="U62" s="137" t="s">
        <v>122</v>
      </c>
      <c r="V62" s="261">
        <f t="shared" ref="V62:V125" si="13">AN62*0.8</f>
        <v>5092.3679999999922</v>
      </c>
      <c r="W62" s="261">
        <f t="shared" si="7"/>
        <v>-27247.632000000009</v>
      </c>
      <c r="X62" s="261"/>
      <c r="Y62" s="177" t="s">
        <v>838</v>
      </c>
      <c r="Z62" s="177"/>
      <c r="AA62" s="186">
        <v>100000</v>
      </c>
      <c r="AB62" s="186">
        <v>92165.34</v>
      </c>
      <c r="AC62" s="176">
        <v>0</v>
      </c>
      <c r="AD62" s="176">
        <v>0</v>
      </c>
      <c r="AE62" s="186">
        <v>7834.6600000000035</v>
      </c>
      <c r="AF62" s="35">
        <v>7834.66</v>
      </c>
      <c r="AG62" s="212">
        <v>0</v>
      </c>
      <c r="AH62" s="212">
        <f t="shared" si="3"/>
        <v>2742.2920000000113</v>
      </c>
      <c r="AI62" s="212" t="s">
        <v>122</v>
      </c>
      <c r="AJ62" s="212">
        <v>100000</v>
      </c>
      <c r="AK62" s="212">
        <v>93634.54</v>
      </c>
      <c r="AL62" s="212">
        <v>0</v>
      </c>
      <c r="AM62" s="212">
        <v>0</v>
      </c>
      <c r="AN62" s="212">
        <v>6365.45999999999</v>
      </c>
      <c r="AO62" s="176">
        <v>0</v>
      </c>
      <c r="AP62" s="176">
        <v>32340</v>
      </c>
      <c r="AQ62" s="176">
        <v>0</v>
      </c>
      <c r="AR62" s="212">
        <f t="shared" si="4"/>
        <v>-27247.632000000009</v>
      </c>
      <c r="AS62" s="212">
        <f t="shared" si="5"/>
        <v>124505.34</v>
      </c>
      <c r="AT62" s="473">
        <f t="shared" si="6"/>
        <v>153222.17199999999</v>
      </c>
      <c r="AU62" s="477"/>
    </row>
    <row r="63" spans="1:47" s="35" customFormat="1" ht="29" hidden="1" x14ac:dyDescent="0.35">
      <c r="A63" s="35" t="s">
        <v>1195</v>
      </c>
      <c r="B63" s="224" t="s">
        <v>947</v>
      </c>
      <c r="C63" s="222" t="s">
        <v>19</v>
      </c>
      <c r="D63" s="136">
        <v>8470305</v>
      </c>
      <c r="E63" s="137" t="s">
        <v>121</v>
      </c>
      <c r="F63" s="138">
        <v>420570</v>
      </c>
      <c r="G63" s="137" t="s">
        <v>23</v>
      </c>
      <c r="H63" s="137" t="s">
        <v>123</v>
      </c>
      <c r="I63" s="137">
        <v>10000</v>
      </c>
      <c r="J63" s="140">
        <v>10000</v>
      </c>
      <c r="K63" s="147"/>
      <c r="L63" s="142"/>
      <c r="M63" s="143"/>
      <c r="N63" s="144">
        <f t="shared" si="0"/>
        <v>10000</v>
      </c>
      <c r="O63" s="145"/>
      <c r="P63" s="145"/>
      <c r="Q63" s="145"/>
      <c r="R63" s="146"/>
      <c r="S63" s="139">
        <f t="shared" si="1"/>
        <v>10000</v>
      </c>
      <c r="T63" s="172"/>
      <c r="U63" s="137" t="s">
        <v>123</v>
      </c>
      <c r="V63" s="261">
        <f t="shared" si="13"/>
        <v>8000</v>
      </c>
      <c r="W63" s="261">
        <f t="shared" si="7"/>
        <v>8000</v>
      </c>
      <c r="X63" s="261"/>
      <c r="Y63" s="176" t="s">
        <v>838</v>
      </c>
      <c r="Z63" s="176"/>
      <c r="AA63" s="186">
        <v>10000</v>
      </c>
      <c r="AB63" s="186">
        <v>0</v>
      </c>
      <c r="AC63" s="176">
        <v>0</v>
      </c>
      <c r="AD63" s="176">
        <v>0</v>
      </c>
      <c r="AE63" s="186">
        <v>10000</v>
      </c>
      <c r="AF63" s="35">
        <v>10000</v>
      </c>
      <c r="AG63" s="212">
        <v>0</v>
      </c>
      <c r="AH63" s="212">
        <f t="shared" si="3"/>
        <v>2000</v>
      </c>
      <c r="AI63" s="212" t="s">
        <v>123</v>
      </c>
      <c r="AJ63" s="212">
        <v>10000</v>
      </c>
      <c r="AK63" s="212">
        <v>0</v>
      </c>
      <c r="AL63" s="212">
        <v>0</v>
      </c>
      <c r="AM63" s="212">
        <v>0</v>
      </c>
      <c r="AN63" s="212">
        <v>10000</v>
      </c>
      <c r="AO63" s="176">
        <v>0</v>
      </c>
      <c r="AP63" s="176">
        <v>0</v>
      </c>
      <c r="AQ63" s="176">
        <v>0</v>
      </c>
      <c r="AR63" s="212">
        <f t="shared" si="4"/>
        <v>8000</v>
      </c>
      <c r="AS63" s="212">
        <f t="shared" si="5"/>
        <v>0</v>
      </c>
      <c r="AT63" s="473">
        <f t="shared" si="6"/>
        <v>-8000</v>
      </c>
      <c r="AU63" s="477"/>
    </row>
    <row r="64" spans="1:47" s="35" customFormat="1" ht="29" hidden="1" x14ac:dyDescent="0.35">
      <c r="A64" s="35" t="s">
        <v>1195</v>
      </c>
      <c r="B64" s="224" t="s">
        <v>947</v>
      </c>
      <c r="C64" s="222" t="s">
        <v>19</v>
      </c>
      <c r="D64" s="136">
        <v>8470305</v>
      </c>
      <c r="E64" s="137" t="s">
        <v>121</v>
      </c>
      <c r="F64" s="138">
        <v>421700</v>
      </c>
      <c r="G64" s="137" t="s">
        <v>29</v>
      </c>
      <c r="H64" s="137" t="s">
        <v>124</v>
      </c>
      <c r="I64" s="137">
        <v>506004</v>
      </c>
      <c r="J64" s="140">
        <v>506004</v>
      </c>
      <c r="K64" s="141">
        <v>85210</v>
      </c>
      <c r="L64" s="142"/>
      <c r="M64" s="143"/>
      <c r="N64" s="144">
        <f t="shared" si="0"/>
        <v>420794</v>
      </c>
      <c r="O64" s="145"/>
      <c r="P64" s="145"/>
      <c r="Q64" s="145"/>
      <c r="R64" s="146"/>
      <c r="S64" s="139">
        <f t="shared" si="1"/>
        <v>420794</v>
      </c>
      <c r="T64" s="172"/>
      <c r="U64" s="137" t="s">
        <v>124</v>
      </c>
      <c r="V64" s="261">
        <f t="shared" si="13"/>
        <v>290346.88</v>
      </c>
      <c r="W64" s="261">
        <f t="shared" si="7"/>
        <v>123226.88</v>
      </c>
      <c r="X64" s="261"/>
      <c r="Y64" s="176" t="s">
        <v>838</v>
      </c>
      <c r="Z64" s="176"/>
      <c r="AA64" s="186">
        <v>506004</v>
      </c>
      <c r="AB64" s="186">
        <v>139920.4</v>
      </c>
      <c r="AC64" s="176">
        <v>0</v>
      </c>
      <c r="AD64" s="176">
        <v>0</v>
      </c>
      <c r="AE64" s="186">
        <v>366083.6</v>
      </c>
      <c r="AF64" s="35">
        <v>366083.6</v>
      </c>
      <c r="AG64" s="212">
        <v>0</v>
      </c>
      <c r="AH64" s="212">
        <f t="shared" si="3"/>
        <v>75736.719999999972</v>
      </c>
      <c r="AI64" s="212" t="s">
        <v>124</v>
      </c>
      <c r="AJ64" s="212">
        <v>506004</v>
      </c>
      <c r="AK64" s="212">
        <v>143070.39999999999</v>
      </c>
      <c r="AL64" s="212">
        <v>0</v>
      </c>
      <c r="AM64" s="212">
        <v>0</v>
      </c>
      <c r="AN64" s="212">
        <v>362933.6</v>
      </c>
      <c r="AO64" s="176">
        <v>0</v>
      </c>
      <c r="AP64" s="176">
        <v>167120</v>
      </c>
      <c r="AQ64" s="176">
        <v>0</v>
      </c>
      <c r="AR64" s="212">
        <f t="shared" si="4"/>
        <v>123226.88</v>
      </c>
      <c r="AS64" s="212">
        <f t="shared" si="5"/>
        <v>307040.40000000002</v>
      </c>
      <c r="AT64" s="473">
        <f t="shared" si="6"/>
        <v>186963.52000000002</v>
      </c>
      <c r="AU64" s="477"/>
    </row>
    <row r="65" spans="1:47" s="35" customFormat="1" ht="29" hidden="1" x14ac:dyDescent="0.35">
      <c r="A65" s="35" t="s">
        <v>1195</v>
      </c>
      <c r="B65" s="224" t="s">
        <v>947</v>
      </c>
      <c r="C65" s="222" t="s">
        <v>19</v>
      </c>
      <c r="D65" s="136">
        <v>8470305</v>
      </c>
      <c r="E65" s="137" t="s">
        <v>121</v>
      </c>
      <c r="F65" s="138">
        <v>425510</v>
      </c>
      <c r="G65" s="137" t="s">
        <v>31</v>
      </c>
      <c r="H65" s="137" t="s">
        <v>125</v>
      </c>
      <c r="I65" s="137">
        <v>20000</v>
      </c>
      <c r="J65" s="140">
        <v>20000</v>
      </c>
      <c r="K65" s="141">
        <v>5286</v>
      </c>
      <c r="L65" s="142"/>
      <c r="M65" s="143"/>
      <c r="N65" s="144">
        <f t="shared" si="0"/>
        <v>14714</v>
      </c>
      <c r="O65" s="145"/>
      <c r="P65" s="145"/>
      <c r="Q65" s="145"/>
      <c r="R65" s="146"/>
      <c r="S65" s="139">
        <f t="shared" si="1"/>
        <v>14714</v>
      </c>
      <c r="T65" s="172"/>
      <c r="U65" s="137" t="s">
        <v>125</v>
      </c>
      <c r="V65" s="261">
        <f t="shared" si="13"/>
        <v>5908.2000000000007</v>
      </c>
      <c r="W65" s="261">
        <f t="shared" si="7"/>
        <v>5908.2000000000007</v>
      </c>
      <c r="X65" s="261"/>
      <c r="Y65" s="176" t="s">
        <v>838</v>
      </c>
      <c r="Z65" s="176"/>
      <c r="AA65" s="186">
        <v>20000</v>
      </c>
      <c r="AB65" s="186">
        <v>7286</v>
      </c>
      <c r="AC65" s="176">
        <v>0</v>
      </c>
      <c r="AD65" s="176">
        <v>0</v>
      </c>
      <c r="AE65" s="186">
        <v>12714</v>
      </c>
      <c r="AF65" s="35">
        <v>12714</v>
      </c>
      <c r="AG65" s="212">
        <v>0</v>
      </c>
      <c r="AH65" s="212">
        <f t="shared" si="3"/>
        <v>6805.7999999999993</v>
      </c>
      <c r="AI65" s="212" t="s">
        <v>125</v>
      </c>
      <c r="AJ65" s="212">
        <v>20000</v>
      </c>
      <c r="AK65" s="212">
        <v>12614.75</v>
      </c>
      <c r="AL65" s="212">
        <v>0</v>
      </c>
      <c r="AM65" s="212">
        <v>0</v>
      </c>
      <c r="AN65" s="212">
        <v>7385.25</v>
      </c>
      <c r="AO65" s="176">
        <v>0</v>
      </c>
      <c r="AP65" s="176">
        <v>0</v>
      </c>
      <c r="AQ65" s="176">
        <v>0</v>
      </c>
      <c r="AR65" s="212">
        <f t="shared" si="4"/>
        <v>5908.2000000000007</v>
      </c>
      <c r="AS65" s="212">
        <f t="shared" si="5"/>
        <v>7286</v>
      </c>
      <c r="AT65" s="473">
        <f t="shared" si="6"/>
        <v>6706.5499999999993</v>
      </c>
      <c r="AU65" s="477"/>
    </row>
    <row r="66" spans="1:47" s="35" customFormat="1" ht="29" hidden="1" x14ac:dyDescent="0.35">
      <c r="A66" s="35" t="s">
        <v>1195</v>
      </c>
      <c r="B66" s="224" t="s">
        <v>947</v>
      </c>
      <c r="C66" s="222" t="s">
        <v>19</v>
      </c>
      <c r="D66" s="136">
        <v>8470305</v>
      </c>
      <c r="E66" s="137" t="s">
        <v>121</v>
      </c>
      <c r="F66" s="138">
        <v>425763</v>
      </c>
      <c r="G66" s="137" t="s">
        <v>59</v>
      </c>
      <c r="H66" s="137" t="s">
        <v>126</v>
      </c>
      <c r="I66" s="137">
        <v>100000</v>
      </c>
      <c r="J66" s="140">
        <v>170000</v>
      </c>
      <c r="K66" s="141">
        <v>14243.54</v>
      </c>
      <c r="L66" s="148">
        <v>112260.3</v>
      </c>
      <c r="M66" s="143"/>
      <c r="N66" s="144">
        <f t="shared" ref="N66:N129" si="14">J66-K66-L66-M66</f>
        <v>43496.159999999989</v>
      </c>
      <c r="O66" s="145"/>
      <c r="P66" s="145"/>
      <c r="Q66" s="145"/>
      <c r="R66" s="146"/>
      <c r="S66" s="139">
        <f t="shared" ref="S66:S129" si="15">N66-O66-P66-Q66</f>
        <v>43496.159999999989</v>
      </c>
      <c r="T66" s="172"/>
      <c r="U66" s="137" t="s">
        <v>126</v>
      </c>
      <c r="V66" s="261">
        <f t="shared" si="13"/>
        <v>4396.9279999999999</v>
      </c>
      <c r="W66" s="261">
        <f t="shared" si="7"/>
        <v>4396.9279999999999</v>
      </c>
      <c r="X66" s="261"/>
      <c r="Y66" s="176" t="s">
        <v>838</v>
      </c>
      <c r="Z66" s="176"/>
      <c r="AA66" s="186">
        <v>170000</v>
      </c>
      <c r="AB66" s="186">
        <v>52243.54</v>
      </c>
      <c r="AC66" s="186">
        <v>112260.3</v>
      </c>
      <c r="AD66" s="186">
        <v>0</v>
      </c>
      <c r="AE66" s="186">
        <v>5496.1599999999889</v>
      </c>
      <c r="AF66" s="184">
        <v>5496.16</v>
      </c>
      <c r="AG66" s="184">
        <v>-1.0913936421275139E-11</v>
      </c>
      <c r="AH66" s="212">
        <f t="shared" ref="AH66:AH129" si="16">AE66-V66</f>
        <v>1099.2319999999891</v>
      </c>
      <c r="AI66" s="212" t="s">
        <v>126</v>
      </c>
      <c r="AJ66" s="212">
        <v>170000</v>
      </c>
      <c r="AK66" s="212">
        <v>52243.54</v>
      </c>
      <c r="AL66" s="212">
        <v>112260.3</v>
      </c>
      <c r="AM66" s="212">
        <v>0</v>
      </c>
      <c r="AN66" s="212">
        <v>5496.16</v>
      </c>
      <c r="AO66" s="176">
        <v>0</v>
      </c>
      <c r="AP66" s="176">
        <v>0</v>
      </c>
      <c r="AQ66" s="176">
        <v>0</v>
      </c>
      <c r="AR66" s="212">
        <f t="shared" ref="AR66:AR129" si="17">V66-AO66-AP66-AQ66</f>
        <v>4396.9279999999999</v>
      </c>
      <c r="AS66" s="212">
        <f t="shared" ref="AS66:AS129" si="18">AB66+AC66+AD66+Q66+AO66+AP66+AQ66</f>
        <v>164503.84</v>
      </c>
      <c r="AT66" s="473">
        <f t="shared" ref="AT66:AT129" si="19">AK66+AL66+AM66+AO66+AP66+AQ66+X66+Q66-W66</f>
        <v>160106.91200000001</v>
      </c>
      <c r="AU66" s="477"/>
    </row>
    <row r="67" spans="1:47" s="35" customFormat="1" ht="29" hidden="1" x14ac:dyDescent="0.35">
      <c r="A67" s="35" t="s">
        <v>1195</v>
      </c>
      <c r="B67" s="224" t="s">
        <v>947</v>
      </c>
      <c r="C67" s="222" t="s">
        <v>19</v>
      </c>
      <c r="D67" s="136">
        <v>8470305</v>
      </c>
      <c r="E67" s="137" t="s">
        <v>121</v>
      </c>
      <c r="F67" s="138">
        <v>425770</v>
      </c>
      <c r="G67" s="137" t="s">
        <v>74</v>
      </c>
      <c r="H67" s="137" t="s">
        <v>127</v>
      </c>
      <c r="I67" s="137">
        <v>704499</v>
      </c>
      <c r="J67" s="140">
        <v>579499</v>
      </c>
      <c r="K67" s="141">
        <v>109975.62</v>
      </c>
      <c r="L67" s="142"/>
      <c r="M67" s="143"/>
      <c r="N67" s="144">
        <f t="shared" si="14"/>
        <v>469523.38</v>
      </c>
      <c r="O67" s="145"/>
      <c r="P67" s="145"/>
      <c r="Q67" s="145"/>
      <c r="R67" s="146"/>
      <c r="S67" s="139">
        <f t="shared" si="15"/>
        <v>469523.38</v>
      </c>
      <c r="T67" s="172"/>
      <c r="U67" s="137" t="s">
        <v>127</v>
      </c>
      <c r="V67" s="261">
        <f t="shared" si="13"/>
        <v>338731.50400000002</v>
      </c>
      <c r="W67" s="261">
        <f t="shared" ref="W67:W130" si="20">V67-(AO67+AP67+AQ67)</f>
        <v>338731.50400000002</v>
      </c>
      <c r="X67" s="261"/>
      <c r="Y67" s="176" t="s">
        <v>838</v>
      </c>
      <c r="Z67" s="176"/>
      <c r="AA67" s="186">
        <v>544999</v>
      </c>
      <c r="AB67" s="186">
        <v>114434.62</v>
      </c>
      <c r="AC67" s="176">
        <v>0</v>
      </c>
      <c r="AD67" s="176">
        <v>0</v>
      </c>
      <c r="AE67" s="186">
        <v>430564.38</v>
      </c>
      <c r="AF67" s="35">
        <v>430564.38</v>
      </c>
      <c r="AG67" s="212">
        <v>0</v>
      </c>
      <c r="AH67" s="212">
        <f t="shared" si="16"/>
        <v>91832.875999999989</v>
      </c>
      <c r="AI67" s="212" t="s">
        <v>127</v>
      </c>
      <c r="AJ67" s="212">
        <v>544999</v>
      </c>
      <c r="AK67" s="212">
        <v>121584.62</v>
      </c>
      <c r="AL67" s="212">
        <v>0</v>
      </c>
      <c r="AM67" s="212">
        <v>0</v>
      </c>
      <c r="AN67" s="212">
        <v>423414.38</v>
      </c>
      <c r="AO67" s="176">
        <v>0</v>
      </c>
      <c r="AP67" s="176">
        <v>0</v>
      </c>
      <c r="AQ67" s="176">
        <v>0</v>
      </c>
      <c r="AR67" s="212">
        <f t="shared" si="17"/>
        <v>338731.50400000002</v>
      </c>
      <c r="AS67" s="212">
        <f t="shared" si="18"/>
        <v>114434.62</v>
      </c>
      <c r="AT67" s="473">
        <f t="shared" si="19"/>
        <v>-217146.88400000002</v>
      </c>
      <c r="AU67" s="477"/>
    </row>
    <row r="68" spans="1:47" s="35" customFormat="1" ht="29" hidden="1" x14ac:dyDescent="0.35">
      <c r="A68" s="35" t="s">
        <v>1195</v>
      </c>
      <c r="B68" s="224" t="s">
        <v>947</v>
      </c>
      <c r="C68" s="222" t="s">
        <v>19</v>
      </c>
      <c r="D68" s="136">
        <v>8470305</v>
      </c>
      <c r="E68" s="137" t="s">
        <v>121</v>
      </c>
      <c r="F68" s="138">
        <v>425900</v>
      </c>
      <c r="G68" s="137" t="s">
        <v>35</v>
      </c>
      <c r="H68" s="137" t="s">
        <v>128</v>
      </c>
      <c r="I68" s="137">
        <v>18000</v>
      </c>
      <c r="J68" s="140">
        <v>18000</v>
      </c>
      <c r="K68" s="141">
        <v>9738.75</v>
      </c>
      <c r="L68" s="142"/>
      <c r="M68" s="143"/>
      <c r="N68" s="144">
        <f t="shared" si="14"/>
        <v>8261.25</v>
      </c>
      <c r="O68" s="145"/>
      <c r="P68" s="145"/>
      <c r="Q68" s="145"/>
      <c r="R68" s="146"/>
      <c r="S68" s="139">
        <f t="shared" si="15"/>
        <v>8261.25</v>
      </c>
      <c r="T68" s="172"/>
      <c r="U68" s="137" t="s">
        <v>128</v>
      </c>
      <c r="V68" s="261">
        <f t="shared" si="13"/>
        <v>4416.6000000000004</v>
      </c>
      <c r="W68" s="261">
        <f t="shared" si="20"/>
        <v>4416.6000000000004</v>
      </c>
      <c r="X68" s="261"/>
      <c r="Y68" s="176" t="s">
        <v>838</v>
      </c>
      <c r="Z68" s="176"/>
      <c r="AA68" s="186">
        <v>18000</v>
      </c>
      <c r="AB68" s="186">
        <v>9738.75</v>
      </c>
      <c r="AC68" s="176">
        <v>0</v>
      </c>
      <c r="AD68" s="176">
        <v>0</v>
      </c>
      <c r="AE68" s="186">
        <v>8261.25</v>
      </c>
      <c r="AF68" s="35">
        <v>8261.25</v>
      </c>
      <c r="AG68" s="212">
        <v>0</v>
      </c>
      <c r="AH68" s="212">
        <f t="shared" si="16"/>
        <v>3844.6499999999996</v>
      </c>
      <c r="AI68" s="212" t="s">
        <v>128</v>
      </c>
      <c r="AJ68" s="212">
        <v>18000</v>
      </c>
      <c r="AK68" s="212">
        <v>9738.75</v>
      </c>
      <c r="AL68" s="212">
        <v>0</v>
      </c>
      <c r="AM68" s="212">
        <v>0</v>
      </c>
      <c r="AN68" s="212">
        <v>5520.75</v>
      </c>
      <c r="AO68" s="176">
        <v>0</v>
      </c>
      <c r="AP68" s="176">
        <v>0</v>
      </c>
      <c r="AQ68" s="176">
        <v>0</v>
      </c>
      <c r="AR68" s="212">
        <f t="shared" si="17"/>
        <v>4416.6000000000004</v>
      </c>
      <c r="AS68" s="212">
        <f t="shared" si="18"/>
        <v>9738.75</v>
      </c>
      <c r="AT68" s="473">
        <f t="shared" si="19"/>
        <v>5322.15</v>
      </c>
      <c r="AU68" s="477"/>
    </row>
    <row r="69" spans="1:47" s="35" customFormat="1" ht="29" hidden="1" x14ac:dyDescent="0.35">
      <c r="A69" s="35" t="s">
        <v>1195</v>
      </c>
      <c r="B69" s="224" t="s">
        <v>947</v>
      </c>
      <c r="C69" s="222" t="s">
        <v>19</v>
      </c>
      <c r="D69" s="136">
        <v>8470305</v>
      </c>
      <c r="E69" s="137" t="s">
        <v>121</v>
      </c>
      <c r="F69" s="138">
        <v>426610</v>
      </c>
      <c r="G69" s="137" t="s">
        <v>37</v>
      </c>
      <c r="H69" s="137" t="s">
        <v>129</v>
      </c>
      <c r="I69" s="137">
        <v>100000</v>
      </c>
      <c r="J69" s="140">
        <v>100000</v>
      </c>
      <c r="K69" s="141">
        <v>46943.25</v>
      </c>
      <c r="L69" s="148">
        <v>0</v>
      </c>
      <c r="M69" s="140">
        <v>0</v>
      </c>
      <c r="N69" s="144">
        <f t="shared" si="14"/>
        <v>53056.75</v>
      </c>
      <c r="O69" s="145"/>
      <c r="P69" s="145"/>
      <c r="Q69" s="145"/>
      <c r="R69" s="146"/>
      <c r="S69" s="139">
        <f t="shared" si="15"/>
        <v>53056.75</v>
      </c>
      <c r="T69" s="172"/>
      <c r="U69" s="137" t="s">
        <v>129</v>
      </c>
      <c r="V69" s="261">
        <f t="shared" si="13"/>
        <v>42445.4</v>
      </c>
      <c r="W69" s="261">
        <f t="shared" si="20"/>
        <v>42445.4</v>
      </c>
      <c r="X69" s="261"/>
      <c r="Y69" s="176" t="s">
        <v>838</v>
      </c>
      <c r="Z69" s="176"/>
      <c r="AA69" s="186">
        <v>100000</v>
      </c>
      <c r="AB69" s="186">
        <v>46943.25</v>
      </c>
      <c r="AC69" s="176">
        <v>0</v>
      </c>
      <c r="AD69" s="176">
        <v>0</v>
      </c>
      <c r="AE69" s="186">
        <v>53056.75</v>
      </c>
      <c r="AF69" s="35">
        <v>53056.75</v>
      </c>
      <c r="AG69" s="212">
        <v>0</v>
      </c>
      <c r="AH69" s="212">
        <f t="shared" si="16"/>
        <v>10611.349999999999</v>
      </c>
      <c r="AI69" s="212" t="s">
        <v>129</v>
      </c>
      <c r="AJ69" s="212">
        <v>100000</v>
      </c>
      <c r="AK69" s="212">
        <v>46943.25</v>
      </c>
      <c r="AL69" s="212">
        <v>0</v>
      </c>
      <c r="AM69" s="212">
        <v>0</v>
      </c>
      <c r="AN69" s="212">
        <v>53056.75</v>
      </c>
      <c r="AO69" s="176">
        <v>0</v>
      </c>
      <c r="AP69" s="176">
        <v>0</v>
      </c>
      <c r="AQ69" s="176">
        <v>0</v>
      </c>
      <c r="AR69" s="212">
        <f t="shared" si="17"/>
        <v>42445.4</v>
      </c>
      <c r="AS69" s="212">
        <f t="shared" si="18"/>
        <v>46943.25</v>
      </c>
      <c r="AT69" s="473">
        <f t="shared" si="19"/>
        <v>4497.8499999999985</v>
      </c>
      <c r="AU69" s="477"/>
    </row>
    <row r="70" spans="1:47" s="35" customFormat="1" ht="29" hidden="1" x14ac:dyDescent="0.35">
      <c r="A70" s="35" t="s">
        <v>1195</v>
      </c>
      <c r="B70" s="224" t="s">
        <v>947</v>
      </c>
      <c r="C70" s="222" t="s">
        <v>19</v>
      </c>
      <c r="D70" s="136">
        <v>8470305</v>
      </c>
      <c r="E70" s="137" t="s">
        <v>121</v>
      </c>
      <c r="F70" s="138">
        <v>428090</v>
      </c>
      <c r="G70" s="137" t="s">
        <v>39</v>
      </c>
      <c r="H70" s="137" t="s">
        <v>130</v>
      </c>
      <c r="I70" s="137">
        <v>35000</v>
      </c>
      <c r="J70" s="140">
        <v>25464</v>
      </c>
      <c r="K70" s="147"/>
      <c r="L70" s="142"/>
      <c r="M70" s="143"/>
      <c r="N70" s="144">
        <f t="shared" si="14"/>
        <v>25464</v>
      </c>
      <c r="O70" s="145"/>
      <c r="P70" s="145"/>
      <c r="Q70" s="145"/>
      <c r="R70" s="146"/>
      <c r="S70" s="139">
        <f t="shared" si="15"/>
        <v>25464</v>
      </c>
      <c r="T70" s="172"/>
      <c r="U70" s="137" t="s">
        <v>130</v>
      </c>
      <c r="V70" s="261">
        <f t="shared" si="13"/>
        <v>20371.2</v>
      </c>
      <c r="W70" s="261">
        <f t="shared" si="20"/>
        <v>20371.2</v>
      </c>
      <c r="X70" s="261"/>
      <c r="Y70" s="176" t="s">
        <v>838</v>
      </c>
      <c r="Z70" s="176"/>
      <c r="AA70" s="186">
        <v>25464</v>
      </c>
      <c r="AB70" s="186">
        <v>0</v>
      </c>
      <c r="AC70" s="176">
        <v>0</v>
      </c>
      <c r="AD70" s="176">
        <v>0</v>
      </c>
      <c r="AE70" s="186">
        <v>25464</v>
      </c>
      <c r="AF70" s="35">
        <v>25464</v>
      </c>
      <c r="AG70" s="212">
        <v>0</v>
      </c>
      <c r="AH70" s="212">
        <f t="shared" si="16"/>
        <v>5092.7999999999993</v>
      </c>
      <c r="AI70" s="212" t="s">
        <v>130</v>
      </c>
      <c r="AJ70" s="212">
        <v>25464</v>
      </c>
      <c r="AK70" s="212">
        <v>0</v>
      </c>
      <c r="AL70" s="212">
        <v>0</v>
      </c>
      <c r="AM70" s="212">
        <v>0</v>
      </c>
      <c r="AN70" s="212">
        <v>25464</v>
      </c>
      <c r="AO70" s="176">
        <v>0</v>
      </c>
      <c r="AP70" s="176">
        <v>0</v>
      </c>
      <c r="AQ70" s="176">
        <v>0</v>
      </c>
      <c r="AR70" s="212">
        <f t="shared" si="17"/>
        <v>20371.2</v>
      </c>
      <c r="AS70" s="212">
        <f t="shared" si="18"/>
        <v>0</v>
      </c>
      <c r="AT70" s="473">
        <f t="shared" si="19"/>
        <v>-20371.2</v>
      </c>
      <c r="AU70" s="477"/>
    </row>
    <row r="71" spans="1:47" s="35" customFormat="1" ht="29" hidden="1" x14ac:dyDescent="0.35">
      <c r="A71" s="35" t="s">
        <v>1195</v>
      </c>
      <c r="B71" s="224" t="s">
        <v>947</v>
      </c>
      <c r="C71" s="222" t="s">
        <v>19</v>
      </c>
      <c r="D71" s="136">
        <v>8470305</v>
      </c>
      <c r="E71" s="137" t="s">
        <v>121</v>
      </c>
      <c r="F71" s="138">
        <v>428640</v>
      </c>
      <c r="G71" s="137" t="s">
        <v>43</v>
      </c>
      <c r="H71" s="137" t="s">
        <v>131</v>
      </c>
      <c r="I71" s="137">
        <v>45000</v>
      </c>
      <c r="J71" s="140">
        <v>22835</v>
      </c>
      <c r="K71" s="147"/>
      <c r="L71" s="142"/>
      <c r="M71" s="143"/>
      <c r="N71" s="144">
        <f t="shared" si="14"/>
        <v>22835</v>
      </c>
      <c r="O71" s="145"/>
      <c r="P71" s="145"/>
      <c r="Q71" s="145"/>
      <c r="R71" s="146"/>
      <c r="S71" s="139">
        <f t="shared" si="15"/>
        <v>22835</v>
      </c>
      <c r="T71" s="172"/>
      <c r="U71" s="137" t="s">
        <v>131</v>
      </c>
      <c r="V71" s="261">
        <f t="shared" si="13"/>
        <v>18268</v>
      </c>
      <c r="W71" s="261">
        <f t="shared" si="20"/>
        <v>18268</v>
      </c>
      <c r="X71" s="261"/>
      <c r="Y71" s="176" t="s">
        <v>838</v>
      </c>
      <c r="Z71" s="176"/>
      <c r="AA71" s="186">
        <v>22835</v>
      </c>
      <c r="AB71" s="186">
        <v>0</v>
      </c>
      <c r="AC71" s="176">
        <v>0</v>
      </c>
      <c r="AD71" s="176">
        <v>0</v>
      </c>
      <c r="AE71" s="186">
        <v>22835</v>
      </c>
      <c r="AF71" s="35">
        <v>22835</v>
      </c>
      <c r="AG71" s="212">
        <v>0</v>
      </c>
      <c r="AH71" s="212">
        <f t="shared" si="16"/>
        <v>4567</v>
      </c>
      <c r="AI71" s="212" t="s">
        <v>131</v>
      </c>
      <c r="AJ71" s="212">
        <v>22835</v>
      </c>
      <c r="AK71" s="212">
        <v>0</v>
      </c>
      <c r="AL71" s="212">
        <v>0</v>
      </c>
      <c r="AM71" s="212">
        <v>0</v>
      </c>
      <c r="AN71" s="212">
        <v>22835</v>
      </c>
      <c r="AO71" s="176">
        <v>0</v>
      </c>
      <c r="AP71" s="176">
        <v>0</v>
      </c>
      <c r="AQ71" s="176">
        <v>0</v>
      </c>
      <c r="AR71" s="212">
        <f t="shared" si="17"/>
        <v>18268</v>
      </c>
      <c r="AS71" s="212">
        <f t="shared" si="18"/>
        <v>0</v>
      </c>
      <c r="AT71" s="473">
        <f t="shared" si="19"/>
        <v>-18268</v>
      </c>
      <c r="AU71" s="477"/>
    </row>
    <row r="72" spans="1:47" s="35" customFormat="1" ht="29" hidden="1" x14ac:dyDescent="0.35">
      <c r="A72" s="35" t="s">
        <v>1195</v>
      </c>
      <c r="B72" s="224" t="s">
        <v>947</v>
      </c>
      <c r="C72" s="222" t="s">
        <v>19</v>
      </c>
      <c r="D72" s="136">
        <v>8470305</v>
      </c>
      <c r="E72" s="137" t="s">
        <v>121</v>
      </c>
      <c r="F72" s="138">
        <v>432209</v>
      </c>
      <c r="G72" s="137" t="s">
        <v>132</v>
      </c>
      <c r="H72" s="137" t="s">
        <v>133</v>
      </c>
      <c r="I72" s="137">
        <v>45292</v>
      </c>
      <c r="J72" s="140">
        <v>45292</v>
      </c>
      <c r="K72" s="141">
        <v>35796.32</v>
      </c>
      <c r="L72" s="142"/>
      <c r="M72" s="140">
        <v>8000</v>
      </c>
      <c r="N72" s="144">
        <f t="shared" si="14"/>
        <v>1495.6800000000003</v>
      </c>
      <c r="O72" s="145"/>
      <c r="P72" s="145"/>
      <c r="Q72" s="145"/>
      <c r="R72" s="146"/>
      <c r="S72" s="139">
        <f t="shared" si="15"/>
        <v>1495.6800000000003</v>
      </c>
      <c r="T72" s="172"/>
      <c r="U72" s="137" t="s">
        <v>133</v>
      </c>
      <c r="V72" s="261">
        <f t="shared" si="13"/>
        <v>1196.5440000000001</v>
      </c>
      <c r="W72" s="261">
        <f t="shared" si="20"/>
        <v>1196.5440000000001</v>
      </c>
      <c r="X72" s="261"/>
      <c r="Y72" s="176" t="s">
        <v>838</v>
      </c>
      <c r="Z72" s="176"/>
      <c r="AA72" s="186">
        <v>45292</v>
      </c>
      <c r="AB72" s="186">
        <v>43796.32</v>
      </c>
      <c r="AC72" s="176">
        <v>0</v>
      </c>
      <c r="AD72" s="176">
        <v>0</v>
      </c>
      <c r="AE72" s="186">
        <v>1495.6800000000003</v>
      </c>
      <c r="AF72" s="35">
        <v>1495.68</v>
      </c>
      <c r="AG72" s="212">
        <v>0</v>
      </c>
      <c r="AH72" s="212">
        <f t="shared" si="16"/>
        <v>299.13600000000019</v>
      </c>
      <c r="AI72" s="212" t="s">
        <v>133</v>
      </c>
      <c r="AJ72" s="212">
        <v>45292</v>
      </c>
      <c r="AK72" s="212">
        <v>43796.32</v>
      </c>
      <c r="AL72" s="212">
        <v>0</v>
      </c>
      <c r="AM72" s="212">
        <v>0</v>
      </c>
      <c r="AN72" s="212">
        <v>1495.68</v>
      </c>
      <c r="AO72" s="176">
        <v>0</v>
      </c>
      <c r="AP72" s="176">
        <v>0</v>
      </c>
      <c r="AQ72" s="176">
        <v>0</v>
      </c>
      <c r="AR72" s="212">
        <f t="shared" si="17"/>
        <v>1196.5440000000001</v>
      </c>
      <c r="AS72" s="212">
        <f t="shared" si="18"/>
        <v>43796.32</v>
      </c>
      <c r="AT72" s="473">
        <f t="shared" si="19"/>
        <v>42599.775999999998</v>
      </c>
      <c r="AU72" s="477"/>
    </row>
    <row r="73" spans="1:47" s="35" customFormat="1" ht="29" hidden="1" x14ac:dyDescent="0.35">
      <c r="A73" s="35" t="s">
        <v>1195</v>
      </c>
      <c r="B73" s="224" t="s">
        <v>947</v>
      </c>
      <c r="C73" s="222" t="s">
        <v>19</v>
      </c>
      <c r="D73" s="136">
        <v>8470305</v>
      </c>
      <c r="E73" s="137" t="s">
        <v>121</v>
      </c>
      <c r="F73" s="138">
        <v>435350</v>
      </c>
      <c r="G73" s="137" t="s">
        <v>79</v>
      </c>
      <c r="H73" s="137" t="s">
        <v>134</v>
      </c>
      <c r="I73" s="137">
        <v>260000</v>
      </c>
      <c r="J73" s="140">
        <v>146906</v>
      </c>
      <c r="K73" s="141">
        <v>20510.169999999998</v>
      </c>
      <c r="L73" s="142"/>
      <c r="M73" s="143"/>
      <c r="N73" s="144">
        <f t="shared" si="14"/>
        <v>126395.83</v>
      </c>
      <c r="O73" s="145"/>
      <c r="P73" s="145"/>
      <c r="Q73" s="145"/>
      <c r="R73" s="146"/>
      <c r="S73" s="139">
        <f t="shared" si="15"/>
        <v>126395.83</v>
      </c>
      <c r="T73" s="172"/>
      <c r="U73" s="137" t="s">
        <v>134</v>
      </c>
      <c r="V73" s="261">
        <f t="shared" si="13"/>
        <v>101116.664</v>
      </c>
      <c r="W73" s="261">
        <f t="shared" si="20"/>
        <v>101116.664</v>
      </c>
      <c r="X73" s="261"/>
      <c r="Y73" s="176" t="s">
        <v>838</v>
      </c>
      <c r="Z73" s="176"/>
      <c r="AA73" s="186">
        <v>146906</v>
      </c>
      <c r="AB73" s="186">
        <v>20510.169999999998</v>
      </c>
      <c r="AC73" s="176">
        <v>0</v>
      </c>
      <c r="AD73" s="176">
        <v>0</v>
      </c>
      <c r="AE73" s="186">
        <v>126395.83</v>
      </c>
      <c r="AF73" s="35">
        <v>126395.83</v>
      </c>
      <c r="AG73" s="212">
        <v>0</v>
      </c>
      <c r="AH73" s="212">
        <f t="shared" si="16"/>
        <v>25279.165999999997</v>
      </c>
      <c r="AI73" s="212" t="s">
        <v>134</v>
      </c>
      <c r="AJ73" s="212">
        <v>146906</v>
      </c>
      <c r="AK73" s="212">
        <v>20510.169999999998</v>
      </c>
      <c r="AL73" s="212">
        <v>0</v>
      </c>
      <c r="AM73" s="212">
        <v>0</v>
      </c>
      <c r="AN73" s="212">
        <v>126395.83</v>
      </c>
      <c r="AO73" s="176">
        <v>0</v>
      </c>
      <c r="AP73" s="176">
        <v>0</v>
      </c>
      <c r="AQ73" s="176">
        <v>0</v>
      </c>
      <c r="AR73" s="212">
        <f t="shared" si="17"/>
        <v>101116.664</v>
      </c>
      <c r="AS73" s="212">
        <f t="shared" si="18"/>
        <v>20510.169999999998</v>
      </c>
      <c r="AT73" s="473">
        <f t="shared" si="19"/>
        <v>-80606.494000000006</v>
      </c>
      <c r="AU73" s="477"/>
    </row>
    <row r="74" spans="1:47" s="35" customFormat="1" ht="29" hidden="1" x14ac:dyDescent="0.35">
      <c r="A74" s="35" t="s">
        <v>1195</v>
      </c>
      <c r="B74" s="224" t="s">
        <v>947</v>
      </c>
      <c r="C74" s="222" t="s">
        <v>19</v>
      </c>
      <c r="D74" s="136">
        <v>8470305</v>
      </c>
      <c r="E74" s="137" t="s">
        <v>121</v>
      </c>
      <c r="F74" s="138">
        <v>435508</v>
      </c>
      <c r="G74" s="137" t="s">
        <v>135</v>
      </c>
      <c r="H74" s="137" t="s">
        <v>136</v>
      </c>
      <c r="I74" s="137">
        <v>100000</v>
      </c>
      <c r="J74" s="140">
        <v>65000</v>
      </c>
      <c r="K74" s="141">
        <v>38360</v>
      </c>
      <c r="L74" s="148">
        <v>24110</v>
      </c>
      <c r="M74" s="140">
        <v>0</v>
      </c>
      <c r="N74" s="144">
        <f t="shared" si="14"/>
        <v>2530</v>
      </c>
      <c r="O74" s="145"/>
      <c r="P74" s="145"/>
      <c r="Q74" s="145"/>
      <c r="R74" s="146"/>
      <c r="S74" s="139">
        <f t="shared" si="15"/>
        <v>2530</v>
      </c>
      <c r="T74" s="172"/>
      <c r="U74" s="137" t="s">
        <v>136</v>
      </c>
      <c r="V74" s="261">
        <f t="shared" si="13"/>
        <v>3452</v>
      </c>
      <c r="W74" s="261">
        <f t="shared" si="20"/>
        <v>3452</v>
      </c>
      <c r="X74" s="261"/>
      <c r="Y74" s="176" t="s">
        <v>838</v>
      </c>
      <c r="Z74" s="176"/>
      <c r="AA74" s="186">
        <v>65000</v>
      </c>
      <c r="AB74" s="186">
        <v>60685</v>
      </c>
      <c r="AC74" s="176">
        <v>0</v>
      </c>
      <c r="AD74" s="176">
        <v>0</v>
      </c>
      <c r="AE74" s="186">
        <v>4315</v>
      </c>
      <c r="AF74" s="35">
        <v>4315</v>
      </c>
      <c r="AG74" s="212">
        <v>0</v>
      </c>
      <c r="AH74" s="212">
        <f t="shared" si="16"/>
        <v>863</v>
      </c>
      <c r="AI74" s="212" t="s">
        <v>136</v>
      </c>
      <c r="AJ74" s="212">
        <v>65000</v>
      </c>
      <c r="AK74" s="212">
        <v>60685</v>
      </c>
      <c r="AL74" s="212">
        <v>0</v>
      </c>
      <c r="AM74" s="212">
        <v>0</v>
      </c>
      <c r="AN74" s="212">
        <v>4315</v>
      </c>
      <c r="AO74" s="176">
        <v>0</v>
      </c>
      <c r="AP74" s="176">
        <v>0</v>
      </c>
      <c r="AQ74" s="176">
        <v>0</v>
      </c>
      <c r="AR74" s="212">
        <f t="shared" si="17"/>
        <v>3452</v>
      </c>
      <c r="AS74" s="212">
        <f t="shared" si="18"/>
        <v>60685</v>
      </c>
      <c r="AT74" s="473">
        <f t="shared" si="19"/>
        <v>57233</v>
      </c>
      <c r="AU74" s="477"/>
    </row>
    <row r="75" spans="1:47" s="35" customFormat="1" ht="29" hidden="1" x14ac:dyDescent="0.35">
      <c r="A75" s="35" t="s">
        <v>1195</v>
      </c>
      <c r="B75" s="224" t="s">
        <v>947</v>
      </c>
      <c r="C75" s="222" t="s">
        <v>19</v>
      </c>
      <c r="D75" s="136">
        <v>8470305</v>
      </c>
      <c r="E75" s="137" t="s">
        <v>121</v>
      </c>
      <c r="F75" s="138">
        <v>436600</v>
      </c>
      <c r="G75" s="137" t="s">
        <v>137</v>
      </c>
      <c r="H75" s="137" t="s">
        <v>138</v>
      </c>
      <c r="I75" s="137">
        <v>25000</v>
      </c>
      <c r="J75" s="140">
        <v>25000</v>
      </c>
      <c r="K75" s="147"/>
      <c r="L75" s="142"/>
      <c r="M75" s="143"/>
      <c r="N75" s="144">
        <f t="shared" si="14"/>
        <v>25000</v>
      </c>
      <c r="O75" s="145"/>
      <c r="P75" s="145"/>
      <c r="Q75" s="145"/>
      <c r="R75" s="146"/>
      <c r="S75" s="139">
        <f t="shared" si="15"/>
        <v>25000</v>
      </c>
      <c r="T75" s="172"/>
      <c r="U75" s="137" t="s">
        <v>138</v>
      </c>
      <c r="V75" s="261">
        <f t="shared" si="13"/>
        <v>20000</v>
      </c>
      <c r="W75" s="261">
        <f t="shared" si="20"/>
        <v>20000</v>
      </c>
      <c r="X75" s="261"/>
      <c r="Y75" s="176" t="s">
        <v>838</v>
      </c>
      <c r="Z75" s="176"/>
      <c r="AA75" s="186">
        <v>25000</v>
      </c>
      <c r="AB75" s="186">
        <v>0</v>
      </c>
      <c r="AC75" s="176">
        <v>0</v>
      </c>
      <c r="AD75" s="176">
        <v>0</v>
      </c>
      <c r="AE75" s="186">
        <v>25000</v>
      </c>
      <c r="AF75" s="35">
        <v>25000</v>
      </c>
      <c r="AG75" s="212">
        <v>0</v>
      </c>
      <c r="AH75" s="212">
        <f t="shared" si="16"/>
        <v>5000</v>
      </c>
      <c r="AI75" s="212" t="s">
        <v>138</v>
      </c>
      <c r="AJ75" s="212">
        <v>25000</v>
      </c>
      <c r="AK75" s="212">
        <v>0</v>
      </c>
      <c r="AL75" s="212">
        <v>0</v>
      </c>
      <c r="AM75" s="212">
        <v>0</v>
      </c>
      <c r="AN75" s="212">
        <v>25000</v>
      </c>
      <c r="AO75" s="176">
        <v>0</v>
      </c>
      <c r="AP75" s="176">
        <v>0</v>
      </c>
      <c r="AQ75" s="176">
        <v>0</v>
      </c>
      <c r="AR75" s="212">
        <f t="shared" si="17"/>
        <v>20000</v>
      </c>
      <c r="AS75" s="212">
        <f t="shared" si="18"/>
        <v>0</v>
      </c>
      <c r="AT75" s="473">
        <f t="shared" si="19"/>
        <v>-20000</v>
      </c>
      <c r="AU75" s="477"/>
    </row>
    <row r="76" spans="1:47" s="35" customFormat="1" ht="29" hidden="1" x14ac:dyDescent="0.35">
      <c r="A76" s="35" t="s">
        <v>1195</v>
      </c>
      <c r="B76" s="224" t="s">
        <v>947</v>
      </c>
      <c r="C76" s="222" t="s">
        <v>19</v>
      </c>
      <c r="D76" s="136">
        <v>8470310</v>
      </c>
      <c r="E76" s="137" t="s">
        <v>139</v>
      </c>
      <c r="F76" s="138">
        <v>420550</v>
      </c>
      <c r="G76" s="137" t="s">
        <v>21</v>
      </c>
      <c r="H76" s="137" t="s">
        <v>140</v>
      </c>
      <c r="I76" s="137">
        <v>20000</v>
      </c>
      <c r="J76" s="140">
        <v>20000</v>
      </c>
      <c r="K76" s="147"/>
      <c r="L76" s="142"/>
      <c r="M76" s="143"/>
      <c r="N76" s="144">
        <f t="shared" si="14"/>
        <v>20000</v>
      </c>
      <c r="O76" s="145"/>
      <c r="P76" s="145"/>
      <c r="Q76" s="145"/>
      <c r="R76" s="146"/>
      <c r="S76" s="139">
        <f t="shared" si="15"/>
        <v>20000</v>
      </c>
      <c r="T76" s="172"/>
      <c r="U76" s="137" t="s">
        <v>140</v>
      </c>
      <c r="V76" s="261">
        <f t="shared" si="13"/>
        <v>16000</v>
      </c>
      <c r="W76" s="261">
        <f t="shared" si="20"/>
        <v>16000</v>
      </c>
      <c r="X76" s="261"/>
      <c r="Y76" s="176" t="s">
        <v>838</v>
      </c>
      <c r="Z76" s="176"/>
      <c r="AA76" s="186">
        <v>20000</v>
      </c>
      <c r="AB76" s="186">
        <v>0</v>
      </c>
      <c r="AC76" s="176">
        <v>0</v>
      </c>
      <c r="AD76" s="176">
        <v>0</v>
      </c>
      <c r="AE76" s="186">
        <v>20000</v>
      </c>
      <c r="AF76" s="35">
        <v>20000</v>
      </c>
      <c r="AG76" s="212">
        <v>0</v>
      </c>
      <c r="AH76" s="212">
        <f t="shared" si="16"/>
        <v>4000</v>
      </c>
      <c r="AI76" s="212" t="s">
        <v>140</v>
      </c>
      <c r="AJ76" s="212">
        <v>20000</v>
      </c>
      <c r="AK76" s="212">
        <v>0</v>
      </c>
      <c r="AL76" s="212">
        <v>0</v>
      </c>
      <c r="AM76" s="212">
        <v>0</v>
      </c>
      <c r="AN76" s="212">
        <v>20000</v>
      </c>
      <c r="AO76" s="176">
        <v>0</v>
      </c>
      <c r="AP76" s="176">
        <v>0</v>
      </c>
      <c r="AQ76" s="176">
        <v>0</v>
      </c>
      <c r="AR76" s="212">
        <f t="shared" si="17"/>
        <v>16000</v>
      </c>
      <c r="AS76" s="212">
        <f t="shared" si="18"/>
        <v>0</v>
      </c>
      <c r="AT76" s="473">
        <f t="shared" si="19"/>
        <v>-16000</v>
      </c>
      <c r="AU76" s="477"/>
    </row>
    <row r="77" spans="1:47" s="35" customFormat="1" ht="29" hidden="1" x14ac:dyDescent="0.35">
      <c r="A77" s="35" t="s">
        <v>1195</v>
      </c>
      <c r="B77" s="224" t="s">
        <v>947</v>
      </c>
      <c r="C77" s="222" t="s">
        <v>19</v>
      </c>
      <c r="D77" s="136">
        <v>8470310</v>
      </c>
      <c r="E77" s="137" t="s">
        <v>139</v>
      </c>
      <c r="F77" s="138">
        <v>425510</v>
      </c>
      <c r="G77" s="137" t="s">
        <v>31</v>
      </c>
      <c r="H77" s="137" t="s">
        <v>141</v>
      </c>
      <c r="I77" s="137">
        <v>15000</v>
      </c>
      <c r="J77" s="140">
        <v>15000</v>
      </c>
      <c r="K77" s="141">
        <v>5330</v>
      </c>
      <c r="L77" s="142"/>
      <c r="M77" s="143"/>
      <c r="N77" s="144">
        <f t="shared" si="14"/>
        <v>9670</v>
      </c>
      <c r="O77" s="145"/>
      <c r="P77" s="145"/>
      <c r="Q77" s="145"/>
      <c r="R77" s="146"/>
      <c r="S77" s="139">
        <f t="shared" si="15"/>
        <v>9670</v>
      </c>
      <c r="T77" s="172"/>
      <c r="U77" s="137" t="s">
        <v>141</v>
      </c>
      <c r="V77" s="261">
        <f t="shared" si="13"/>
        <v>7265.6</v>
      </c>
      <c r="W77" s="261">
        <f t="shared" si="20"/>
        <v>7265.6</v>
      </c>
      <c r="X77" s="261"/>
      <c r="Y77" s="176" t="s">
        <v>838</v>
      </c>
      <c r="Z77" s="176"/>
      <c r="AA77" s="186">
        <v>15000</v>
      </c>
      <c r="AB77" s="186">
        <v>5330</v>
      </c>
      <c r="AC77" s="176">
        <v>0</v>
      </c>
      <c r="AD77" s="176">
        <v>0</v>
      </c>
      <c r="AE77" s="186">
        <v>9670</v>
      </c>
      <c r="AF77" s="35">
        <v>9670</v>
      </c>
      <c r="AG77" s="212">
        <v>0</v>
      </c>
      <c r="AH77" s="212">
        <f t="shared" si="16"/>
        <v>2404.3999999999996</v>
      </c>
      <c r="AI77" s="212" t="s">
        <v>141</v>
      </c>
      <c r="AJ77" s="212">
        <v>15000</v>
      </c>
      <c r="AK77" s="212">
        <v>5330</v>
      </c>
      <c r="AL77" s="212">
        <v>0</v>
      </c>
      <c r="AM77" s="212">
        <v>0</v>
      </c>
      <c r="AN77" s="212">
        <v>9082</v>
      </c>
      <c r="AO77" s="176">
        <v>0</v>
      </c>
      <c r="AP77" s="176">
        <v>0</v>
      </c>
      <c r="AQ77" s="176">
        <v>0</v>
      </c>
      <c r="AR77" s="212">
        <f t="shared" si="17"/>
        <v>7265.6</v>
      </c>
      <c r="AS77" s="212">
        <f t="shared" si="18"/>
        <v>5330</v>
      </c>
      <c r="AT77" s="473">
        <f t="shared" si="19"/>
        <v>-1935.6000000000004</v>
      </c>
      <c r="AU77" s="477"/>
    </row>
    <row r="78" spans="1:47" s="35" customFormat="1" ht="29" hidden="1" x14ac:dyDescent="0.35">
      <c r="A78" s="35" t="s">
        <v>1195</v>
      </c>
      <c r="B78" s="224" t="s">
        <v>947</v>
      </c>
      <c r="C78" s="222" t="s">
        <v>19</v>
      </c>
      <c r="D78" s="136">
        <v>8470310</v>
      </c>
      <c r="E78" s="137" t="s">
        <v>139</v>
      </c>
      <c r="F78" s="138">
        <v>425760</v>
      </c>
      <c r="G78" s="137" t="s">
        <v>142</v>
      </c>
      <c r="H78" s="137" t="s">
        <v>143</v>
      </c>
      <c r="I78" s="137">
        <v>150000</v>
      </c>
      <c r="J78" s="140">
        <v>150000</v>
      </c>
      <c r="K78" s="147"/>
      <c r="L78" s="142"/>
      <c r="M78" s="143"/>
      <c r="N78" s="144">
        <f t="shared" si="14"/>
        <v>150000</v>
      </c>
      <c r="O78" s="145"/>
      <c r="P78" s="145"/>
      <c r="Q78" s="145"/>
      <c r="R78" s="146"/>
      <c r="S78" s="139">
        <f t="shared" si="15"/>
        <v>150000</v>
      </c>
      <c r="T78" s="172"/>
      <c r="U78" s="137" t="s">
        <v>143</v>
      </c>
      <c r="V78" s="261">
        <f t="shared" si="13"/>
        <v>0</v>
      </c>
      <c r="W78" s="261">
        <f t="shared" si="20"/>
        <v>0</v>
      </c>
      <c r="X78" s="261"/>
      <c r="Y78" s="176" t="s">
        <v>838</v>
      </c>
      <c r="Z78" s="176"/>
      <c r="AA78" s="186">
        <v>100000</v>
      </c>
      <c r="AB78" s="186">
        <v>80000</v>
      </c>
      <c r="AC78" s="176">
        <v>0</v>
      </c>
      <c r="AD78" s="176">
        <v>0</v>
      </c>
      <c r="AE78" s="186">
        <v>20000</v>
      </c>
      <c r="AF78" s="35">
        <v>20000</v>
      </c>
      <c r="AG78" s="212">
        <v>0</v>
      </c>
      <c r="AH78" s="212">
        <f t="shared" si="16"/>
        <v>20000</v>
      </c>
      <c r="AI78" s="212" t="s">
        <v>143</v>
      </c>
      <c r="AJ78" s="212">
        <v>142000</v>
      </c>
      <c r="AK78" s="212">
        <v>142000</v>
      </c>
      <c r="AL78" s="212">
        <v>0</v>
      </c>
      <c r="AM78" s="212">
        <v>0</v>
      </c>
      <c r="AN78" s="212">
        <v>0</v>
      </c>
      <c r="AO78" s="176">
        <v>0</v>
      </c>
      <c r="AP78" s="176">
        <v>0</v>
      </c>
      <c r="AQ78" s="176">
        <v>0</v>
      </c>
      <c r="AR78" s="212">
        <f t="shared" si="17"/>
        <v>0</v>
      </c>
      <c r="AS78" s="212">
        <f t="shared" si="18"/>
        <v>80000</v>
      </c>
      <c r="AT78" s="473">
        <f t="shared" si="19"/>
        <v>142000</v>
      </c>
      <c r="AU78" s="477"/>
    </row>
    <row r="79" spans="1:47" s="35" customFormat="1" ht="29" hidden="1" x14ac:dyDescent="0.35">
      <c r="A79" s="35" t="s">
        <v>1195</v>
      </c>
      <c r="B79" s="224" t="s">
        <v>947</v>
      </c>
      <c r="C79" s="222" t="s">
        <v>19</v>
      </c>
      <c r="D79" s="136">
        <v>8470310</v>
      </c>
      <c r="E79" s="137" t="s">
        <v>139</v>
      </c>
      <c r="F79" s="138">
        <v>425763</v>
      </c>
      <c r="G79" s="137" t="s">
        <v>59</v>
      </c>
      <c r="H79" s="137" t="s">
        <v>144</v>
      </c>
      <c r="I79" s="137">
        <v>350000</v>
      </c>
      <c r="J79" s="140">
        <v>350000</v>
      </c>
      <c r="K79" s="141">
        <v>209189.08</v>
      </c>
      <c r="L79" s="142"/>
      <c r="M79" s="143"/>
      <c r="N79" s="144">
        <f t="shared" si="14"/>
        <v>140810.92000000001</v>
      </c>
      <c r="O79" s="145"/>
      <c r="P79" s="145"/>
      <c r="Q79" s="145"/>
      <c r="R79" s="146"/>
      <c r="S79" s="139">
        <f t="shared" si="15"/>
        <v>140810.92000000001</v>
      </c>
      <c r="T79" s="172"/>
      <c r="U79" s="137" t="s">
        <v>144</v>
      </c>
      <c r="V79" s="261">
        <f t="shared" si="13"/>
        <v>1616.087999999992</v>
      </c>
      <c r="W79" s="261">
        <f t="shared" si="20"/>
        <v>1616.087999999992</v>
      </c>
      <c r="X79" s="261"/>
      <c r="Y79" s="176" t="s">
        <v>838</v>
      </c>
      <c r="Z79" s="176"/>
      <c r="AA79" s="186">
        <v>350000</v>
      </c>
      <c r="AB79" s="186">
        <v>349016.72</v>
      </c>
      <c r="AC79" s="176">
        <v>0</v>
      </c>
      <c r="AD79" s="176">
        <v>0</v>
      </c>
      <c r="AE79" s="186">
        <v>983.28000000002794</v>
      </c>
      <c r="AF79" s="35">
        <v>983.27999999996996</v>
      </c>
      <c r="AG79" s="212">
        <v>5.7980287238024175E-11</v>
      </c>
      <c r="AH79" s="212">
        <f t="shared" si="16"/>
        <v>-632.80799999996407</v>
      </c>
      <c r="AI79" s="212" t="s">
        <v>144</v>
      </c>
      <c r="AJ79" s="212">
        <v>350000</v>
      </c>
      <c r="AK79" s="212">
        <v>347979.89</v>
      </c>
      <c r="AL79" s="212">
        <v>0</v>
      </c>
      <c r="AM79" s="212">
        <v>0</v>
      </c>
      <c r="AN79" s="212">
        <v>2020.1099999999899</v>
      </c>
      <c r="AO79" s="176">
        <v>0</v>
      </c>
      <c r="AP79" s="176">
        <v>0</v>
      </c>
      <c r="AQ79" s="176">
        <v>0</v>
      </c>
      <c r="AR79" s="212">
        <f t="shared" si="17"/>
        <v>1616.087999999992</v>
      </c>
      <c r="AS79" s="212">
        <f t="shared" si="18"/>
        <v>349016.72</v>
      </c>
      <c r="AT79" s="473">
        <f t="shared" si="19"/>
        <v>346363.80200000003</v>
      </c>
      <c r="AU79" s="477"/>
    </row>
    <row r="80" spans="1:47" s="35" customFormat="1" ht="29" hidden="1" x14ac:dyDescent="0.35">
      <c r="A80" s="35" t="s">
        <v>1195</v>
      </c>
      <c r="B80" s="224" t="s">
        <v>947</v>
      </c>
      <c r="C80" s="222" t="s">
        <v>19</v>
      </c>
      <c r="D80" s="136">
        <v>8470310</v>
      </c>
      <c r="E80" s="137" t="s">
        <v>139</v>
      </c>
      <c r="F80" s="138">
        <v>425770</v>
      </c>
      <c r="G80" s="137" t="s">
        <v>74</v>
      </c>
      <c r="H80" s="137" t="s">
        <v>145</v>
      </c>
      <c r="I80" s="137">
        <v>210000</v>
      </c>
      <c r="J80" s="140">
        <v>112188</v>
      </c>
      <c r="K80" s="141">
        <v>49603.27</v>
      </c>
      <c r="L80" s="142"/>
      <c r="M80" s="143"/>
      <c r="N80" s="144">
        <f t="shared" si="14"/>
        <v>62584.73</v>
      </c>
      <c r="O80" s="145"/>
      <c r="P80" s="145"/>
      <c r="Q80" s="145"/>
      <c r="R80" s="146"/>
      <c r="S80" s="139">
        <f t="shared" si="15"/>
        <v>62584.73</v>
      </c>
      <c r="T80" s="172"/>
      <c r="U80" s="137" t="s">
        <v>145</v>
      </c>
      <c r="V80" s="261">
        <f t="shared" si="13"/>
        <v>234.52800000000241</v>
      </c>
      <c r="W80" s="261">
        <f t="shared" si="20"/>
        <v>-4708.2719999999981</v>
      </c>
      <c r="X80" s="261"/>
      <c r="Y80" s="176" t="s">
        <v>838</v>
      </c>
      <c r="Z80" s="176"/>
      <c r="AA80" s="186">
        <v>112188</v>
      </c>
      <c r="AB80" s="186">
        <v>69894.84</v>
      </c>
      <c r="AC80" s="176">
        <v>0</v>
      </c>
      <c r="AD80" s="176">
        <v>0</v>
      </c>
      <c r="AE80" s="186">
        <v>42293.16</v>
      </c>
      <c r="AF80" s="35">
        <v>42293.16</v>
      </c>
      <c r="AG80" s="212">
        <v>0</v>
      </c>
      <c r="AH80" s="212">
        <f t="shared" si="16"/>
        <v>42058.631999999998</v>
      </c>
      <c r="AI80" s="212" t="s">
        <v>145</v>
      </c>
      <c r="AJ80" s="212">
        <v>70188</v>
      </c>
      <c r="AK80" s="212">
        <v>69894.84</v>
      </c>
      <c r="AL80" s="212">
        <v>0</v>
      </c>
      <c r="AM80" s="212">
        <v>0</v>
      </c>
      <c r="AN80" s="212">
        <v>293.16000000000298</v>
      </c>
      <c r="AO80" s="176">
        <v>4942.8</v>
      </c>
      <c r="AP80" s="176">
        <v>0</v>
      </c>
      <c r="AQ80" s="176">
        <v>0</v>
      </c>
      <c r="AR80" s="212">
        <f t="shared" si="17"/>
        <v>-4708.2719999999981</v>
      </c>
      <c r="AS80" s="212">
        <f t="shared" si="18"/>
        <v>74837.64</v>
      </c>
      <c r="AT80" s="473">
        <f t="shared" si="19"/>
        <v>79545.911999999997</v>
      </c>
      <c r="AU80" s="477"/>
    </row>
    <row r="81" spans="1:47" s="35" customFormat="1" ht="29" hidden="1" x14ac:dyDescent="0.35">
      <c r="A81" s="35" t="s">
        <v>1195</v>
      </c>
      <c r="B81" s="224" t="s">
        <v>947</v>
      </c>
      <c r="C81" s="222" t="s">
        <v>19</v>
      </c>
      <c r="D81" s="136">
        <v>8470310</v>
      </c>
      <c r="E81" s="137" t="s">
        <v>139</v>
      </c>
      <c r="F81" s="138">
        <v>425900</v>
      </c>
      <c r="G81" s="137" t="s">
        <v>35</v>
      </c>
      <c r="H81" s="137" t="s">
        <v>146</v>
      </c>
      <c r="I81" s="137">
        <v>8500</v>
      </c>
      <c r="J81" s="140">
        <v>8500</v>
      </c>
      <c r="K81" s="147"/>
      <c r="L81" s="142"/>
      <c r="M81" s="143"/>
      <c r="N81" s="144">
        <f t="shared" si="14"/>
        <v>8500</v>
      </c>
      <c r="O81" s="145"/>
      <c r="P81" s="145"/>
      <c r="Q81" s="145"/>
      <c r="R81" s="146"/>
      <c r="S81" s="139">
        <f t="shared" si="15"/>
        <v>8500</v>
      </c>
      <c r="T81" s="172"/>
      <c r="U81" s="137" t="s">
        <v>146</v>
      </c>
      <c r="V81" s="261">
        <f t="shared" si="13"/>
        <v>3120</v>
      </c>
      <c r="W81" s="261">
        <f t="shared" si="20"/>
        <v>3120</v>
      </c>
      <c r="X81" s="261"/>
      <c r="Y81" s="176" t="s">
        <v>838</v>
      </c>
      <c r="Z81" s="176"/>
      <c r="AA81" s="186">
        <v>8500</v>
      </c>
      <c r="AB81" s="186">
        <v>4600</v>
      </c>
      <c r="AC81" s="176">
        <v>0</v>
      </c>
      <c r="AD81" s="176">
        <v>0</v>
      </c>
      <c r="AE81" s="186">
        <v>3900</v>
      </c>
      <c r="AF81" s="35">
        <v>3900</v>
      </c>
      <c r="AG81" s="212">
        <v>0</v>
      </c>
      <c r="AH81" s="212">
        <f t="shared" si="16"/>
        <v>780</v>
      </c>
      <c r="AI81" s="212" t="s">
        <v>146</v>
      </c>
      <c r="AJ81" s="212">
        <v>8500</v>
      </c>
      <c r="AK81" s="212">
        <v>4600</v>
      </c>
      <c r="AL81" s="212">
        <v>0</v>
      </c>
      <c r="AM81" s="212">
        <v>0</v>
      </c>
      <c r="AN81" s="212">
        <v>3900</v>
      </c>
      <c r="AO81" s="176">
        <v>0</v>
      </c>
      <c r="AP81" s="176">
        <v>0</v>
      </c>
      <c r="AQ81" s="176">
        <v>0</v>
      </c>
      <c r="AR81" s="212">
        <f t="shared" si="17"/>
        <v>3120</v>
      </c>
      <c r="AS81" s="212">
        <f t="shared" si="18"/>
        <v>4600</v>
      </c>
      <c r="AT81" s="473">
        <f t="shared" si="19"/>
        <v>1480</v>
      </c>
      <c r="AU81" s="477"/>
    </row>
    <row r="82" spans="1:47" s="35" customFormat="1" ht="29" hidden="1" x14ac:dyDescent="0.35">
      <c r="A82" s="35" t="s">
        <v>1195</v>
      </c>
      <c r="B82" s="224" t="s">
        <v>947</v>
      </c>
      <c r="C82" s="222" t="s">
        <v>19</v>
      </c>
      <c r="D82" s="136">
        <v>8470310</v>
      </c>
      <c r="E82" s="137" t="s">
        <v>139</v>
      </c>
      <c r="F82" s="138">
        <v>426610</v>
      </c>
      <c r="G82" s="137" t="s">
        <v>37</v>
      </c>
      <c r="H82" s="137" t="s">
        <v>147</v>
      </c>
      <c r="I82" s="137">
        <v>9114</v>
      </c>
      <c r="J82" s="140">
        <v>9114</v>
      </c>
      <c r="K82" s="141">
        <v>8895.2800000000007</v>
      </c>
      <c r="L82" s="142"/>
      <c r="M82" s="143"/>
      <c r="N82" s="144">
        <f t="shared" si="14"/>
        <v>218.71999999999935</v>
      </c>
      <c r="O82" s="145"/>
      <c r="P82" s="145"/>
      <c r="Q82" s="145"/>
      <c r="R82" s="146"/>
      <c r="S82" s="139">
        <f t="shared" si="15"/>
        <v>218.71999999999935</v>
      </c>
      <c r="T82" s="172"/>
      <c r="U82" s="137" t="s">
        <v>147</v>
      </c>
      <c r="V82" s="261">
        <f t="shared" si="13"/>
        <v>174.9759999999992</v>
      </c>
      <c r="W82" s="261">
        <f t="shared" si="20"/>
        <v>174.9759999999992</v>
      </c>
      <c r="X82" s="261"/>
      <c r="Y82" s="176" t="s">
        <v>838</v>
      </c>
      <c r="Z82" s="176"/>
      <c r="AA82" s="186">
        <v>9114</v>
      </c>
      <c r="AB82" s="186">
        <v>8895.2800000000007</v>
      </c>
      <c r="AC82" s="176">
        <v>0</v>
      </c>
      <c r="AD82" s="176">
        <v>0</v>
      </c>
      <c r="AE82" s="186">
        <v>218.71999999999935</v>
      </c>
      <c r="AF82" s="35">
        <v>218.719999999999</v>
      </c>
      <c r="AG82" s="212">
        <v>3.4106051316484809E-13</v>
      </c>
      <c r="AH82" s="212">
        <f t="shared" si="16"/>
        <v>43.744000000000142</v>
      </c>
      <c r="AI82" s="212" t="s">
        <v>147</v>
      </c>
      <c r="AJ82" s="212">
        <v>9114</v>
      </c>
      <c r="AK82" s="212">
        <v>8895.2800000000007</v>
      </c>
      <c r="AL82" s="212">
        <v>0</v>
      </c>
      <c r="AM82" s="212">
        <v>0</v>
      </c>
      <c r="AN82" s="212">
        <v>218.719999999999</v>
      </c>
      <c r="AO82" s="176">
        <v>0</v>
      </c>
      <c r="AP82" s="176">
        <v>0</v>
      </c>
      <c r="AQ82" s="176">
        <v>0</v>
      </c>
      <c r="AR82" s="212">
        <f t="shared" si="17"/>
        <v>174.9759999999992</v>
      </c>
      <c r="AS82" s="212">
        <f t="shared" si="18"/>
        <v>8895.2800000000007</v>
      </c>
      <c r="AT82" s="473">
        <f t="shared" si="19"/>
        <v>8720.3040000000019</v>
      </c>
      <c r="AU82" s="477"/>
    </row>
    <row r="83" spans="1:47" s="35" customFormat="1" ht="29" hidden="1" x14ac:dyDescent="0.35">
      <c r="A83" s="35" t="s">
        <v>1195</v>
      </c>
      <c r="B83" s="224" t="s">
        <v>947</v>
      </c>
      <c r="C83" s="222" t="s">
        <v>19</v>
      </c>
      <c r="D83" s="136">
        <v>8470310</v>
      </c>
      <c r="E83" s="137" t="s">
        <v>139</v>
      </c>
      <c r="F83" s="138">
        <v>428090</v>
      </c>
      <c r="G83" s="137" t="s">
        <v>39</v>
      </c>
      <c r="H83" s="137" t="s">
        <v>148</v>
      </c>
      <c r="I83" s="137">
        <v>40000</v>
      </c>
      <c r="J83" s="140">
        <v>14536</v>
      </c>
      <c r="K83" s="147"/>
      <c r="L83" s="142"/>
      <c r="M83" s="143"/>
      <c r="N83" s="144">
        <f t="shared" si="14"/>
        <v>14536</v>
      </c>
      <c r="O83" s="145"/>
      <c r="P83" s="145"/>
      <c r="Q83" s="145"/>
      <c r="R83" s="146"/>
      <c r="S83" s="139">
        <f t="shared" si="15"/>
        <v>14536</v>
      </c>
      <c r="T83" s="172"/>
      <c r="U83" s="137" t="s">
        <v>148</v>
      </c>
      <c r="V83" s="261">
        <f t="shared" si="13"/>
        <v>8988.8000000000011</v>
      </c>
      <c r="W83" s="261">
        <f t="shared" si="20"/>
        <v>8988.8000000000011</v>
      </c>
      <c r="X83" s="261"/>
      <c r="Y83" s="176" t="s">
        <v>838</v>
      </c>
      <c r="Z83" s="176"/>
      <c r="AA83" s="186">
        <v>14536</v>
      </c>
      <c r="AB83" s="186">
        <v>3300</v>
      </c>
      <c r="AC83" s="176">
        <v>0</v>
      </c>
      <c r="AD83" s="176">
        <v>0</v>
      </c>
      <c r="AE83" s="186">
        <v>11236</v>
      </c>
      <c r="AF83" s="35">
        <v>11236</v>
      </c>
      <c r="AG83" s="212">
        <v>0</v>
      </c>
      <c r="AH83" s="212">
        <f t="shared" si="16"/>
        <v>2247.1999999999989</v>
      </c>
      <c r="AI83" s="212" t="s">
        <v>148</v>
      </c>
      <c r="AJ83" s="212">
        <v>14536</v>
      </c>
      <c r="AK83" s="212">
        <v>3300</v>
      </c>
      <c r="AL83" s="212">
        <v>0</v>
      </c>
      <c r="AM83" s="212">
        <v>0</v>
      </c>
      <c r="AN83" s="212">
        <v>11236</v>
      </c>
      <c r="AO83" s="176">
        <v>0</v>
      </c>
      <c r="AP83" s="176">
        <v>0</v>
      </c>
      <c r="AQ83" s="176">
        <v>0</v>
      </c>
      <c r="AR83" s="212">
        <f t="shared" si="17"/>
        <v>8988.8000000000011</v>
      </c>
      <c r="AS83" s="212">
        <f t="shared" si="18"/>
        <v>3300</v>
      </c>
      <c r="AT83" s="473">
        <f t="shared" si="19"/>
        <v>-5688.8000000000011</v>
      </c>
      <c r="AU83" s="477"/>
    </row>
    <row r="84" spans="1:47" s="35" customFormat="1" ht="29" hidden="1" x14ac:dyDescent="0.35">
      <c r="A84" s="35" t="s">
        <v>1195</v>
      </c>
      <c r="B84" s="224" t="s">
        <v>947</v>
      </c>
      <c r="C84" s="222" t="s">
        <v>19</v>
      </c>
      <c r="D84" s="136">
        <v>8470310</v>
      </c>
      <c r="E84" s="137" t="s">
        <v>139</v>
      </c>
      <c r="F84" s="138">
        <v>432209</v>
      </c>
      <c r="G84" s="137" t="s">
        <v>132</v>
      </c>
      <c r="H84" s="137" t="s">
        <v>149</v>
      </c>
      <c r="I84" s="137">
        <v>80000</v>
      </c>
      <c r="J84" s="140">
        <v>5000</v>
      </c>
      <c r="K84" s="147"/>
      <c r="L84" s="142"/>
      <c r="M84" s="143"/>
      <c r="N84" s="144">
        <f t="shared" si="14"/>
        <v>5000</v>
      </c>
      <c r="O84" s="145"/>
      <c r="P84" s="145"/>
      <c r="Q84" s="145"/>
      <c r="R84" s="146"/>
      <c r="S84" s="139">
        <f t="shared" si="15"/>
        <v>5000</v>
      </c>
      <c r="T84" s="172"/>
      <c r="U84" s="137" t="s">
        <v>149</v>
      </c>
      <c r="V84" s="261">
        <f t="shared" si="13"/>
        <v>4000</v>
      </c>
      <c r="W84" s="261">
        <f t="shared" si="20"/>
        <v>4000</v>
      </c>
      <c r="X84" s="261"/>
      <c r="Y84" s="176" t="s">
        <v>838</v>
      </c>
      <c r="Z84" s="176"/>
      <c r="AA84" s="186">
        <v>5000</v>
      </c>
      <c r="AB84" s="186">
        <v>0</v>
      </c>
      <c r="AC84" s="176">
        <v>0</v>
      </c>
      <c r="AD84" s="176">
        <v>0</v>
      </c>
      <c r="AE84" s="186">
        <v>5000</v>
      </c>
      <c r="AF84" s="35">
        <v>5000</v>
      </c>
      <c r="AG84" s="212">
        <v>0</v>
      </c>
      <c r="AH84" s="212">
        <f t="shared" si="16"/>
        <v>1000</v>
      </c>
      <c r="AI84" s="212" t="s">
        <v>149</v>
      </c>
      <c r="AJ84" s="212">
        <v>5000</v>
      </c>
      <c r="AK84" s="212">
        <v>0</v>
      </c>
      <c r="AL84" s="212">
        <v>0</v>
      </c>
      <c r="AM84" s="212">
        <v>0</v>
      </c>
      <c r="AN84" s="212">
        <v>5000</v>
      </c>
      <c r="AO84" s="176">
        <v>0</v>
      </c>
      <c r="AP84" s="176">
        <v>0</v>
      </c>
      <c r="AQ84" s="176">
        <v>0</v>
      </c>
      <c r="AR84" s="212">
        <f t="shared" si="17"/>
        <v>4000</v>
      </c>
      <c r="AS84" s="212">
        <f t="shared" si="18"/>
        <v>0</v>
      </c>
      <c r="AT84" s="473">
        <f t="shared" si="19"/>
        <v>-4000</v>
      </c>
      <c r="AU84" s="477"/>
    </row>
    <row r="85" spans="1:47" s="35" customFormat="1" ht="29" hidden="1" x14ac:dyDescent="0.35">
      <c r="A85" s="35" t="s">
        <v>1195</v>
      </c>
      <c r="B85" s="224" t="s">
        <v>947</v>
      </c>
      <c r="C85" s="222" t="s">
        <v>19</v>
      </c>
      <c r="D85" s="136">
        <v>8470310</v>
      </c>
      <c r="E85" s="137" t="s">
        <v>139</v>
      </c>
      <c r="F85" s="138">
        <v>435350</v>
      </c>
      <c r="G85" s="137" t="s">
        <v>79</v>
      </c>
      <c r="H85" s="137" t="s">
        <v>150</v>
      </c>
      <c r="I85" s="137">
        <v>182000</v>
      </c>
      <c r="J85" s="140">
        <v>109482</v>
      </c>
      <c r="K85" s="141">
        <v>34729.18</v>
      </c>
      <c r="L85" s="142"/>
      <c r="M85" s="143"/>
      <c r="N85" s="144">
        <f t="shared" si="14"/>
        <v>74752.820000000007</v>
      </c>
      <c r="O85" s="145"/>
      <c r="P85" s="145"/>
      <c r="Q85" s="145"/>
      <c r="R85" s="146"/>
      <c r="S85" s="139">
        <f t="shared" si="15"/>
        <v>74752.820000000007</v>
      </c>
      <c r="T85" s="172"/>
      <c r="U85" s="137" t="s">
        <v>150</v>
      </c>
      <c r="V85" s="261">
        <f t="shared" si="13"/>
        <v>9171.7039999999997</v>
      </c>
      <c r="W85" s="261">
        <f t="shared" si="20"/>
        <v>9171.7039999999997</v>
      </c>
      <c r="X85" s="261"/>
      <c r="Y85" s="176" t="s">
        <v>838</v>
      </c>
      <c r="Z85" s="176"/>
      <c r="AA85" s="186">
        <v>99482</v>
      </c>
      <c r="AB85" s="186">
        <v>71276.710000000006</v>
      </c>
      <c r="AC85" s="176">
        <v>0</v>
      </c>
      <c r="AD85" s="176">
        <v>0</v>
      </c>
      <c r="AE85" s="186">
        <v>28205.289999999994</v>
      </c>
      <c r="AF85" s="35">
        <v>28205.29</v>
      </c>
      <c r="AG85" s="212">
        <v>0</v>
      </c>
      <c r="AH85" s="212">
        <f t="shared" si="16"/>
        <v>19033.585999999996</v>
      </c>
      <c r="AI85" s="212" t="s">
        <v>150</v>
      </c>
      <c r="AJ85" s="212">
        <v>99482</v>
      </c>
      <c r="AK85" s="212">
        <v>88017.37</v>
      </c>
      <c r="AL85" s="212">
        <v>0</v>
      </c>
      <c r="AM85" s="212">
        <v>0</v>
      </c>
      <c r="AN85" s="212">
        <v>11464.63</v>
      </c>
      <c r="AO85" s="176">
        <v>0</v>
      </c>
      <c r="AP85" s="176">
        <v>0</v>
      </c>
      <c r="AQ85" s="176">
        <v>0</v>
      </c>
      <c r="AR85" s="212">
        <f t="shared" si="17"/>
        <v>9171.7039999999997</v>
      </c>
      <c r="AS85" s="212">
        <f t="shared" si="18"/>
        <v>71276.710000000006</v>
      </c>
      <c r="AT85" s="473">
        <f t="shared" si="19"/>
        <v>78845.665999999997</v>
      </c>
      <c r="AU85" s="477"/>
    </row>
    <row r="86" spans="1:47" s="35" customFormat="1" ht="29" hidden="1" x14ac:dyDescent="0.35">
      <c r="A86" s="35" t="s">
        <v>1195</v>
      </c>
      <c r="B86" s="224" t="s">
        <v>947</v>
      </c>
      <c r="C86" s="222" t="s">
        <v>19</v>
      </c>
      <c r="D86" s="136">
        <v>8470310</v>
      </c>
      <c r="E86" s="137" t="s">
        <v>139</v>
      </c>
      <c r="F86" s="138">
        <v>435508</v>
      </c>
      <c r="G86" s="137" t="s">
        <v>135</v>
      </c>
      <c r="H86" s="137" t="s">
        <v>151</v>
      </c>
      <c r="I86" s="137">
        <v>80000</v>
      </c>
      <c r="J86" s="140">
        <v>155000</v>
      </c>
      <c r="K86" s="141">
        <v>31585</v>
      </c>
      <c r="L86" s="148">
        <v>0</v>
      </c>
      <c r="M86" s="140">
        <v>119219</v>
      </c>
      <c r="N86" s="144">
        <f t="shared" si="14"/>
        <v>4196</v>
      </c>
      <c r="O86" s="145"/>
      <c r="P86" s="145"/>
      <c r="Q86" s="145"/>
      <c r="R86" s="146"/>
      <c r="S86" s="139">
        <f t="shared" si="15"/>
        <v>4196</v>
      </c>
      <c r="T86" s="172"/>
      <c r="U86" s="137" t="s">
        <v>151</v>
      </c>
      <c r="V86" s="261">
        <f t="shared" si="13"/>
        <v>492.43199999999524</v>
      </c>
      <c r="W86" s="261">
        <f t="shared" si="20"/>
        <v>-113.09800000000473</v>
      </c>
      <c r="X86" s="261"/>
      <c r="Y86" s="176" t="s">
        <v>838</v>
      </c>
      <c r="Z86" s="176"/>
      <c r="AA86" s="186">
        <v>155000</v>
      </c>
      <c r="AB86" s="186">
        <v>35165.46</v>
      </c>
      <c r="AC86" s="176">
        <v>0</v>
      </c>
      <c r="AD86" s="176">
        <v>119219</v>
      </c>
      <c r="AE86" s="186">
        <v>615.54000000000815</v>
      </c>
      <c r="AF86" s="35">
        <v>615.54000000000804</v>
      </c>
      <c r="AG86" s="212">
        <v>0</v>
      </c>
      <c r="AH86" s="212">
        <f t="shared" si="16"/>
        <v>123.10800000001291</v>
      </c>
      <c r="AI86" s="212" t="s">
        <v>151</v>
      </c>
      <c r="AJ86" s="212">
        <v>155000</v>
      </c>
      <c r="AK86" s="212">
        <v>71789.460000000006</v>
      </c>
      <c r="AL86" s="212">
        <v>0</v>
      </c>
      <c r="AM86" s="212">
        <v>82595</v>
      </c>
      <c r="AN86" s="212">
        <v>615.53999999999405</v>
      </c>
      <c r="AO86" s="176">
        <v>605.53</v>
      </c>
      <c r="AP86" s="176">
        <v>0</v>
      </c>
      <c r="AQ86" s="176">
        <v>0</v>
      </c>
      <c r="AR86" s="212">
        <f t="shared" si="17"/>
        <v>-113.09800000000473</v>
      </c>
      <c r="AS86" s="212">
        <f t="shared" si="18"/>
        <v>154989.99</v>
      </c>
      <c r="AT86" s="473">
        <f t="shared" si="19"/>
        <v>155103.08800000002</v>
      </c>
      <c r="AU86" s="477"/>
    </row>
    <row r="87" spans="1:47" s="35" customFormat="1" ht="29" hidden="1" x14ac:dyDescent="0.35">
      <c r="A87" s="35" t="s">
        <v>1195</v>
      </c>
      <c r="B87" s="224" t="s">
        <v>947</v>
      </c>
      <c r="C87" s="222" t="s">
        <v>19</v>
      </c>
      <c r="D87" s="136">
        <v>8470310</v>
      </c>
      <c r="E87" s="137" t="s">
        <v>139</v>
      </c>
      <c r="F87" s="138">
        <v>436110</v>
      </c>
      <c r="G87" s="137" t="s">
        <v>119</v>
      </c>
      <c r="H87" s="137" t="s">
        <v>152</v>
      </c>
      <c r="I87" s="137">
        <v>4000</v>
      </c>
      <c r="J87" s="140">
        <v>4000</v>
      </c>
      <c r="K87" s="147"/>
      <c r="L87" s="142"/>
      <c r="M87" s="143"/>
      <c r="N87" s="144">
        <f t="shared" si="14"/>
        <v>4000</v>
      </c>
      <c r="O87" s="145"/>
      <c r="P87" s="145"/>
      <c r="Q87" s="145"/>
      <c r="R87" s="146"/>
      <c r="S87" s="139">
        <f t="shared" si="15"/>
        <v>4000</v>
      </c>
      <c r="T87" s="172"/>
      <c r="U87" s="137" t="s">
        <v>152</v>
      </c>
      <c r="V87" s="261">
        <f t="shared" si="13"/>
        <v>3200</v>
      </c>
      <c r="W87" s="261">
        <f t="shared" si="20"/>
        <v>3200</v>
      </c>
      <c r="X87" s="261"/>
      <c r="Y87" s="176" t="s">
        <v>838</v>
      </c>
      <c r="Z87" s="176"/>
      <c r="AA87" s="186">
        <v>4000</v>
      </c>
      <c r="AB87" s="186">
        <v>0</v>
      </c>
      <c r="AC87" s="176">
        <v>0</v>
      </c>
      <c r="AD87" s="176">
        <v>0</v>
      </c>
      <c r="AE87" s="186">
        <v>4000</v>
      </c>
      <c r="AF87" s="35">
        <v>4000</v>
      </c>
      <c r="AG87" s="212">
        <v>0</v>
      </c>
      <c r="AH87" s="212">
        <f t="shared" si="16"/>
        <v>800</v>
      </c>
      <c r="AI87" s="212" t="s">
        <v>152</v>
      </c>
      <c r="AJ87" s="212">
        <v>4000</v>
      </c>
      <c r="AK87" s="212">
        <v>0</v>
      </c>
      <c r="AL87" s="212">
        <v>0</v>
      </c>
      <c r="AM87" s="212">
        <v>0</v>
      </c>
      <c r="AN87" s="212">
        <v>4000</v>
      </c>
      <c r="AO87" s="176">
        <v>0</v>
      </c>
      <c r="AP87" s="176">
        <v>0</v>
      </c>
      <c r="AQ87" s="176">
        <v>0</v>
      </c>
      <c r="AR87" s="212">
        <f t="shared" si="17"/>
        <v>3200</v>
      </c>
      <c r="AS87" s="212">
        <f t="shared" si="18"/>
        <v>0</v>
      </c>
      <c r="AT87" s="473">
        <f t="shared" si="19"/>
        <v>-3200</v>
      </c>
      <c r="AU87" s="477"/>
    </row>
    <row r="88" spans="1:47" s="35" customFormat="1" ht="29" hidden="1" x14ac:dyDescent="0.35">
      <c r="A88" s="35" t="s">
        <v>1195</v>
      </c>
      <c r="B88" s="224" t="s">
        <v>947</v>
      </c>
      <c r="C88" s="222" t="s">
        <v>19</v>
      </c>
      <c r="D88" s="136">
        <v>8470310</v>
      </c>
      <c r="E88" s="137" t="s">
        <v>139</v>
      </c>
      <c r="F88" s="138">
        <v>436600</v>
      </c>
      <c r="G88" s="137" t="s">
        <v>137</v>
      </c>
      <c r="H88" s="137" t="s">
        <v>153</v>
      </c>
      <c r="I88" s="137">
        <v>5000</v>
      </c>
      <c r="J88" s="140">
        <v>5000</v>
      </c>
      <c r="K88" s="147"/>
      <c r="L88" s="142"/>
      <c r="M88" s="143"/>
      <c r="N88" s="144">
        <f t="shared" si="14"/>
        <v>5000</v>
      </c>
      <c r="O88" s="145"/>
      <c r="P88" s="145"/>
      <c r="Q88" s="145"/>
      <c r="R88" s="146"/>
      <c r="S88" s="139">
        <f t="shared" si="15"/>
        <v>5000</v>
      </c>
      <c r="T88" s="172"/>
      <c r="U88" s="137" t="s">
        <v>153</v>
      </c>
      <c r="V88" s="261">
        <f t="shared" si="13"/>
        <v>4000</v>
      </c>
      <c r="W88" s="261">
        <f t="shared" si="20"/>
        <v>4000</v>
      </c>
      <c r="X88" s="261"/>
      <c r="Y88" s="176" t="s">
        <v>838</v>
      </c>
      <c r="Z88" s="176"/>
      <c r="AA88" s="186">
        <v>5000</v>
      </c>
      <c r="AB88" s="186">
        <v>0</v>
      </c>
      <c r="AC88" s="176">
        <v>0</v>
      </c>
      <c r="AD88" s="176">
        <v>0</v>
      </c>
      <c r="AE88" s="186">
        <v>5000</v>
      </c>
      <c r="AF88" s="35">
        <v>5000</v>
      </c>
      <c r="AG88" s="212">
        <v>0</v>
      </c>
      <c r="AH88" s="212">
        <f t="shared" si="16"/>
        <v>1000</v>
      </c>
      <c r="AI88" s="212" t="s">
        <v>153</v>
      </c>
      <c r="AJ88" s="212">
        <v>5000</v>
      </c>
      <c r="AK88" s="212">
        <v>0</v>
      </c>
      <c r="AL88" s="212">
        <v>0</v>
      </c>
      <c r="AM88" s="212">
        <v>0</v>
      </c>
      <c r="AN88" s="212">
        <v>5000</v>
      </c>
      <c r="AO88" s="176">
        <v>0</v>
      </c>
      <c r="AP88" s="176">
        <v>0</v>
      </c>
      <c r="AQ88" s="176">
        <v>0</v>
      </c>
      <c r="AR88" s="212">
        <f t="shared" si="17"/>
        <v>4000</v>
      </c>
      <c r="AS88" s="212">
        <f t="shared" si="18"/>
        <v>0</v>
      </c>
      <c r="AT88" s="473">
        <f t="shared" si="19"/>
        <v>-4000</v>
      </c>
      <c r="AU88" s="477"/>
    </row>
    <row r="89" spans="1:47" s="35" customFormat="1" ht="29" hidden="1" x14ac:dyDescent="0.35">
      <c r="A89" s="35" t="s">
        <v>1195</v>
      </c>
      <c r="B89" s="224" t="s">
        <v>947</v>
      </c>
      <c r="C89" s="222" t="s">
        <v>19</v>
      </c>
      <c r="D89" s="136">
        <v>8470315</v>
      </c>
      <c r="E89" s="137" t="s">
        <v>154</v>
      </c>
      <c r="F89" s="138">
        <v>420550</v>
      </c>
      <c r="G89" s="137" t="s">
        <v>21</v>
      </c>
      <c r="H89" s="137" t="s">
        <v>155</v>
      </c>
      <c r="I89" s="137">
        <v>1000</v>
      </c>
      <c r="J89" s="140">
        <v>1000</v>
      </c>
      <c r="K89" s="147"/>
      <c r="L89" s="142"/>
      <c r="M89" s="143"/>
      <c r="N89" s="144">
        <f t="shared" si="14"/>
        <v>1000</v>
      </c>
      <c r="O89" s="145"/>
      <c r="P89" s="145"/>
      <c r="Q89" s="145"/>
      <c r="R89" s="146"/>
      <c r="S89" s="139">
        <f t="shared" si="15"/>
        <v>1000</v>
      </c>
      <c r="T89" s="172"/>
      <c r="U89" s="137" t="s">
        <v>155</v>
      </c>
      <c r="V89" s="261">
        <f t="shared" si="13"/>
        <v>16020</v>
      </c>
      <c r="W89" s="261">
        <f t="shared" si="20"/>
        <v>16020</v>
      </c>
      <c r="X89" s="261"/>
      <c r="Y89" s="176" t="s">
        <v>838</v>
      </c>
      <c r="Z89" s="176"/>
      <c r="AA89" s="186">
        <v>20025</v>
      </c>
      <c r="AB89" s="186">
        <v>0</v>
      </c>
      <c r="AC89" s="176">
        <v>0</v>
      </c>
      <c r="AD89" s="176">
        <v>0</v>
      </c>
      <c r="AE89" s="186">
        <v>20025</v>
      </c>
      <c r="AF89" s="35">
        <v>20025</v>
      </c>
      <c r="AG89" s="212">
        <v>0</v>
      </c>
      <c r="AH89" s="212">
        <f t="shared" si="16"/>
        <v>4005</v>
      </c>
      <c r="AI89" s="212" t="s">
        <v>155</v>
      </c>
      <c r="AJ89" s="212">
        <v>20025</v>
      </c>
      <c r="AK89" s="212">
        <v>0</v>
      </c>
      <c r="AL89" s="212">
        <v>0</v>
      </c>
      <c r="AM89" s="212">
        <v>0</v>
      </c>
      <c r="AN89" s="212">
        <v>20025</v>
      </c>
      <c r="AO89" s="176">
        <v>0</v>
      </c>
      <c r="AP89" s="176">
        <v>0</v>
      </c>
      <c r="AQ89" s="176">
        <v>0</v>
      </c>
      <c r="AR89" s="212">
        <f t="shared" si="17"/>
        <v>16020</v>
      </c>
      <c r="AS89" s="212">
        <f t="shared" si="18"/>
        <v>0</v>
      </c>
      <c r="AT89" s="473">
        <f t="shared" si="19"/>
        <v>-16020</v>
      </c>
      <c r="AU89" s="477"/>
    </row>
    <row r="90" spans="1:47" s="35" customFormat="1" ht="29" hidden="1" x14ac:dyDescent="0.35">
      <c r="A90" s="35" t="s">
        <v>1195</v>
      </c>
      <c r="B90" s="224" t="s">
        <v>947</v>
      </c>
      <c r="C90" s="222" t="s">
        <v>19</v>
      </c>
      <c r="D90" s="136">
        <v>8470315</v>
      </c>
      <c r="E90" s="137" t="s">
        <v>154</v>
      </c>
      <c r="F90" s="138">
        <v>425510</v>
      </c>
      <c r="G90" s="137" t="s">
        <v>31</v>
      </c>
      <c r="H90" s="137" t="s">
        <v>156</v>
      </c>
      <c r="I90" s="137">
        <v>4000</v>
      </c>
      <c r="J90" s="140">
        <v>4000</v>
      </c>
      <c r="K90" s="147"/>
      <c r="L90" s="142"/>
      <c r="M90" s="143"/>
      <c r="N90" s="144">
        <f t="shared" si="14"/>
        <v>4000</v>
      </c>
      <c r="O90" s="145"/>
      <c r="P90" s="145"/>
      <c r="Q90" s="145"/>
      <c r="R90" s="146"/>
      <c r="S90" s="139">
        <f t="shared" si="15"/>
        <v>4000</v>
      </c>
      <c r="T90" s="172"/>
      <c r="U90" s="137" t="s">
        <v>156</v>
      </c>
      <c r="V90" s="261">
        <f t="shared" si="13"/>
        <v>20111.2</v>
      </c>
      <c r="W90" s="261">
        <f t="shared" si="20"/>
        <v>20111.2</v>
      </c>
      <c r="X90" s="261"/>
      <c r="Y90" s="176" t="s">
        <v>838</v>
      </c>
      <c r="Z90" s="176"/>
      <c r="AA90" s="186">
        <v>25139</v>
      </c>
      <c r="AB90" s="186">
        <v>0</v>
      </c>
      <c r="AC90" s="176">
        <v>0</v>
      </c>
      <c r="AD90" s="176">
        <v>0</v>
      </c>
      <c r="AE90" s="186">
        <v>25139</v>
      </c>
      <c r="AF90" s="35">
        <v>25139</v>
      </c>
      <c r="AG90" s="212">
        <v>0</v>
      </c>
      <c r="AH90" s="212">
        <f t="shared" si="16"/>
        <v>5027.7999999999993</v>
      </c>
      <c r="AI90" s="212" t="s">
        <v>156</v>
      </c>
      <c r="AJ90" s="212">
        <v>25139</v>
      </c>
      <c r="AK90" s="212">
        <v>0</v>
      </c>
      <c r="AL90" s="212">
        <v>0</v>
      </c>
      <c r="AM90" s="212">
        <v>0</v>
      </c>
      <c r="AN90" s="212">
        <v>25139</v>
      </c>
      <c r="AO90" s="176">
        <v>0</v>
      </c>
      <c r="AP90" s="176">
        <v>0</v>
      </c>
      <c r="AQ90" s="176">
        <v>0</v>
      </c>
      <c r="AR90" s="212">
        <f t="shared" si="17"/>
        <v>20111.2</v>
      </c>
      <c r="AS90" s="212">
        <f t="shared" si="18"/>
        <v>0</v>
      </c>
      <c r="AT90" s="473">
        <f t="shared" si="19"/>
        <v>-20111.2</v>
      </c>
      <c r="AU90" s="477"/>
    </row>
    <row r="91" spans="1:47" s="35" customFormat="1" ht="29" hidden="1" x14ac:dyDescent="0.35">
      <c r="A91" s="35" t="s">
        <v>1195</v>
      </c>
      <c r="B91" s="224" t="s">
        <v>947</v>
      </c>
      <c r="C91" s="222" t="s">
        <v>19</v>
      </c>
      <c r="D91" s="136">
        <v>8470315</v>
      </c>
      <c r="E91" s="137" t="s">
        <v>154</v>
      </c>
      <c r="F91" s="138">
        <v>425760</v>
      </c>
      <c r="G91" s="137" t="s">
        <v>142</v>
      </c>
      <c r="H91" s="137" t="s">
        <v>157</v>
      </c>
      <c r="I91" s="137">
        <v>20000</v>
      </c>
      <c r="J91" s="140">
        <v>20000</v>
      </c>
      <c r="K91" s="141">
        <v>1496.04</v>
      </c>
      <c r="L91" s="142"/>
      <c r="M91" s="143"/>
      <c r="N91" s="144">
        <f t="shared" si="14"/>
        <v>18503.96</v>
      </c>
      <c r="O91" s="145"/>
      <c r="P91" s="145"/>
      <c r="Q91" s="145"/>
      <c r="R91" s="146"/>
      <c r="S91" s="139">
        <f t="shared" si="15"/>
        <v>18503.96</v>
      </c>
      <c r="T91" s="172"/>
      <c r="U91" s="137" t="s">
        <v>157</v>
      </c>
      <c r="V91" s="261">
        <f t="shared" si="13"/>
        <v>0.79199999999982573</v>
      </c>
      <c r="W91" s="261">
        <f t="shared" si="20"/>
        <v>0.79199999999982573</v>
      </c>
      <c r="X91" s="261"/>
      <c r="Y91" s="176" t="s">
        <v>838</v>
      </c>
      <c r="Z91" s="176"/>
      <c r="AA91" s="186">
        <v>6455</v>
      </c>
      <c r="AB91" s="186">
        <v>6454.01</v>
      </c>
      <c r="AC91" s="176">
        <v>0</v>
      </c>
      <c r="AD91" s="176">
        <v>0</v>
      </c>
      <c r="AE91" s="186">
        <v>0.98999999999978172</v>
      </c>
      <c r="AF91" s="35">
        <v>0.98999999999978205</v>
      </c>
      <c r="AG91" s="212">
        <v>0</v>
      </c>
      <c r="AH91" s="212">
        <f t="shared" si="16"/>
        <v>0.19799999999995599</v>
      </c>
      <c r="AI91" s="212" t="s">
        <v>157</v>
      </c>
      <c r="AJ91" s="212">
        <v>6455</v>
      </c>
      <c r="AK91" s="212">
        <v>6454.01</v>
      </c>
      <c r="AL91" s="212">
        <v>0</v>
      </c>
      <c r="AM91" s="212">
        <v>0</v>
      </c>
      <c r="AN91" s="212">
        <v>0.98999999999978205</v>
      </c>
      <c r="AO91" s="176">
        <v>0</v>
      </c>
      <c r="AP91" s="176">
        <v>0</v>
      </c>
      <c r="AQ91" s="176">
        <v>0</v>
      </c>
      <c r="AR91" s="212">
        <f t="shared" si="17"/>
        <v>0.79199999999982573</v>
      </c>
      <c r="AS91" s="212">
        <f t="shared" si="18"/>
        <v>6454.01</v>
      </c>
      <c r="AT91" s="473">
        <f t="shared" si="19"/>
        <v>6453.2180000000008</v>
      </c>
      <c r="AU91" s="477"/>
    </row>
    <row r="92" spans="1:47" s="35" customFormat="1" ht="29" hidden="1" x14ac:dyDescent="0.35">
      <c r="A92" s="35" t="s">
        <v>1195</v>
      </c>
      <c r="B92" s="224" t="s">
        <v>947</v>
      </c>
      <c r="C92" s="222" t="s">
        <v>19</v>
      </c>
      <c r="D92" s="136">
        <v>8470315</v>
      </c>
      <c r="E92" s="137" t="s">
        <v>154</v>
      </c>
      <c r="F92" s="138">
        <v>425763</v>
      </c>
      <c r="G92" s="137" t="s">
        <v>59</v>
      </c>
      <c r="H92" s="137" t="s">
        <v>158</v>
      </c>
      <c r="I92" s="137">
        <v>180000</v>
      </c>
      <c r="J92" s="140">
        <v>180000</v>
      </c>
      <c r="K92" s="141">
        <v>114185.63</v>
      </c>
      <c r="L92" s="142"/>
      <c r="M92" s="143"/>
      <c r="N92" s="144">
        <f t="shared" si="14"/>
        <v>65814.37</v>
      </c>
      <c r="O92" s="145"/>
      <c r="P92" s="145"/>
      <c r="Q92" s="145"/>
      <c r="R92" s="146"/>
      <c r="S92" s="139">
        <f t="shared" si="15"/>
        <v>65814.37</v>
      </c>
      <c r="T92" s="172"/>
      <c r="U92" s="137" t="s">
        <v>158</v>
      </c>
      <c r="V92" s="261">
        <f t="shared" si="13"/>
        <v>45239.504000000001</v>
      </c>
      <c r="W92" s="261">
        <f t="shared" si="20"/>
        <v>45239.504000000001</v>
      </c>
      <c r="X92" s="261"/>
      <c r="Y92" s="176" t="s">
        <v>838</v>
      </c>
      <c r="Z92" s="176"/>
      <c r="AA92" s="186">
        <v>180000</v>
      </c>
      <c r="AB92" s="186">
        <v>123450.62</v>
      </c>
      <c r="AC92" s="176">
        <v>0</v>
      </c>
      <c r="AD92" s="176">
        <v>0</v>
      </c>
      <c r="AE92" s="186">
        <v>56549.380000000005</v>
      </c>
      <c r="AF92" s="35">
        <v>56549.38</v>
      </c>
      <c r="AG92" s="212">
        <v>0</v>
      </c>
      <c r="AH92" s="212">
        <f t="shared" si="16"/>
        <v>11309.876000000004</v>
      </c>
      <c r="AI92" s="212" t="s">
        <v>158</v>
      </c>
      <c r="AJ92" s="212">
        <v>180000</v>
      </c>
      <c r="AK92" s="212">
        <v>123450.62</v>
      </c>
      <c r="AL92" s="212">
        <v>0</v>
      </c>
      <c r="AM92" s="212">
        <v>0</v>
      </c>
      <c r="AN92" s="212">
        <v>56549.38</v>
      </c>
      <c r="AO92" s="176">
        <v>0</v>
      </c>
      <c r="AP92" s="176">
        <v>0</v>
      </c>
      <c r="AQ92" s="176">
        <v>0</v>
      </c>
      <c r="AR92" s="212">
        <f t="shared" si="17"/>
        <v>45239.504000000001</v>
      </c>
      <c r="AS92" s="212">
        <f t="shared" si="18"/>
        <v>123450.62</v>
      </c>
      <c r="AT92" s="473">
        <f t="shared" si="19"/>
        <v>78211.115999999995</v>
      </c>
      <c r="AU92" s="477"/>
    </row>
    <row r="93" spans="1:47" s="35" customFormat="1" ht="29" hidden="1" x14ac:dyDescent="0.35">
      <c r="A93" s="35" t="s">
        <v>1195</v>
      </c>
      <c r="B93" s="224" t="s">
        <v>947</v>
      </c>
      <c r="C93" s="222" t="s">
        <v>19</v>
      </c>
      <c r="D93" s="136">
        <v>8470315</v>
      </c>
      <c r="E93" s="137" t="s">
        <v>154</v>
      </c>
      <c r="F93" s="138">
        <v>425770</v>
      </c>
      <c r="G93" s="137" t="s">
        <v>74</v>
      </c>
      <c r="H93" s="137" t="s">
        <v>159</v>
      </c>
      <c r="I93" s="137">
        <v>180000</v>
      </c>
      <c r="J93" s="140">
        <v>97193</v>
      </c>
      <c r="K93" s="141">
        <v>34541.660000000003</v>
      </c>
      <c r="L93" s="142"/>
      <c r="M93" s="143"/>
      <c r="N93" s="144">
        <f t="shared" si="14"/>
        <v>62651.34</v>
      </c>
      <c r="O93" s="145"/>
      <c r="P93" s="145"/>
      <c r="Q93" s="145"/>
      <c r="R93" s="146"/>
      <c r="S93" s="139">
        <f t="shared" si="15"/>
        <v>62651.34</v>
      </c>
      <c r="T93" s="172"/>
      <c r="U93" s="137" t="s">
        <v>159</v>
      </c>
      <c r="V93" s="261">
        <f t="shared" si="13"/>
        <v>27883.832000000002</v>
      </c>
      <c r="W93" s="261">
        <f t="shared" si="20"/>
        <v>15288.832000000002</v>
      </c>
      <c r="X93" s="261"/>
      <c r="Y93" s="176" t="s">
        <v>838</v>
      </c>
      <c r="Z93" s="176"/>
      <c r="AA93" s="186">
        <v>97193</v>
      </c>
      <c r="AB93" s="186">
        <v>62338.21</v>
      </c>
      <c r="AC93" s="176">
        <v>0</v>
      </c>
      <c r="AD93" s="176">
        <v>0</v>
      </c>
      <c r="AE93" s="186">
        <v>34854.79</v>
      </c>
      <c r="AF93" s="35">
        <v>34854.79</v>
      </c>
      <c r="AG93" s="212">
        <v>0</v>
      </c>
      <c r="AH93" s="212">
        <f t="shared" si="16"/>
        <v>6970.9579999999987</v>
      </c>
      <c r="AI93" s="212" t="s">
        <v>159</v>
      </c>
      <c r="AJ93" s="212">
        <v>97193</v>
      </c>
      <c r="AK93" s="212">
        <v>62338.21</v>
      </c>
      <c r="AL93" s="212">
        <v>0</v>
      </c>
      <c r="AM93" s="212">
        <v>0</v>
      </c>
      <c r="AN93" s="212">
        <v>34854.79</v>
      </c>
      <c r="AO93" s="176">
        <v>0</v>
      </c>
      <c r="AP93" s="176">
        <v>0</v>
      </c>
      <c r="AQ93" s="176">
        <v>12595</v>
      </c>
      <c r="AR93" s="212">
        <f t="shared" si="17"/>
        <v>15288.832000000002</v>
      </c>
      <c r="AS93" s="212">
        <f t="shared" si="18"/>
        <v>74933.209999999992</v>
      </c>
      <c r="AT93" s="473">
        <f t="shared" si="19"/>
        <v>59644.37799999999</v>
      </c>
      <c r="AU93" s="477"/>
    </row>
    <row r="94" spans="1:47" s="35" customFormat="1" ht="29" hidden="1" x14ac:dyDescent="0.35">
      <c r="A94" s="35" t="s">
        <v>1195</v>
      </c>
      <c r="B94" s="224" t="s">
        <v>947</v>
      </c>
      <c r="C94" s="222" t="s">
        <v>19</v>
      </c>
      <c r="D94" s="136">
        <v>8470315</v>
      </c>
      <c r="E94" s="137" t="s">
        <v>154</v>
      </c>
      <c r="F94" s="138">
        <v>425900</v>
      </c>
      <c r="G94" s="137" t="s">
        <v>35</v>
      </c>
      <c r="H94" s="137" t="s">
        <v>160</v>
      </c>
      <c r="I94" s="137">
        <v>10000</v>
      </c>
      <c r="J94" s="140">
        <v>10000</v>
      </c>
      <c r="K94" s="141">
        <v>8004</v>
      </c>
      <c r="L94" s="142"/>
      <c r="M94" s="143"/>
      <c r="N94" s="144">
        <f t="shared" si="14"/>
        <v>1996</v>
      </c>
      <c r="O94" s="145"/>
      <c r="P94" s="145"/>
      <c r="Q94" s="145"/>
      <c r="R94" s="146"/>
      <c r="S94" s="139">
        <f t="shared" si="15"/>
        <v>1996</v>
      </c>
      <c r="T94" s="172"/>
      <c r="U94" s="137" t="s">
        <v>160</v>
      </c>
      <c r="V94" s="261">
        <f t="shared" si="13"/>
        <v>2734.8</v>
      </c>
      <c r="W94" s="261">
        <f t="shared" si="20"/>
        <v>2734.8</v>
      </c>
      <c r="X94" s="261"/>
      <c r="Y94" s="176" t="s">
        <v>838</v>
      </c>
      <c r="Z94" s="176"/>
      <c r="AA94" s="186">
        <v>17000</v>
      </c>
      <c r="AB94" s="186">
        <v>8004</v>
      </c>
      <c r="AC94" s="176">
        <v>0</v>
      </c>
      <c r="AD94" s="176">
        <v>0</v>
      </c>
      <c r="AE94" s="186">
        <v>8996</v>
      </c>
      <c r="AF94" s="35">
        <v>8996</v>
      </c>
      <c r="AG94" s="212">
        <v>0</v>
      </c>
      <c r="AH94" s="212">
        <f t="shared" si="16"/>
        <v>6261.2</v>
      </c>
      <c r="AI94" s="212" t="s">
        <v>160</v>
      </c>
      <c r="AJ94" s="212">
        <v>17000</v>
      </c>
      <c r="AK94" s="212">
        <v>13371.5</v>
      </c>
      <c r="AL94" s="212">
        <v>0</v>
      </c>
      <c r="AM94" s="212">
        <v>0</v>
      </c>
      <c r="AN94" s="212">
        <v>3418.5</v>
      </c>
      <c r="AO94" s="176">
        <v>0</v>
      </c>
      <c r="AP94" s="176">
        <v>0</v>
      </c>
      <c r="AQ94" s="176">
        <v>0</v>
      </c>
      <c r="AR94" s="212">
        <f t="shared" si="17"/>
        <v>2734.8</v>
      </c>
      <c r="AS94" s="212">
        <f t="shared" si="18"/>
        <v>8004</v>
      </c>
      <c r="AT94" s="473">
        <f t="shared" si="19"/>
        <v>10636.7</v>
      </c>
      <c r="AU94" s="477"/>
    </row>
    <row r="95" spans="1:47" s="35" customFormat="1" ht="29" hidden="1" x14ac:dyDescent="0.35">
      <c r="A95" s="35" t="s">
        <v>1195</v>
      </c>
      <c r="B95" s="224" t="s">
        <v>947</v>
      </c>
      <c r="C95" s="222" t="s">
        <v>19</v>
      </c>
      <c r="D95" s="136">
        <v>8470315</v>
      </c>
      <c r="E95" s="137" t="s">
        <v>154</v>
      </c>
      <c r="F95" s="138">
        <v>426610</v>
      </c>
      <c r="G95" s="137" t="s">
        <v>37</v>
      </c>
      <c r="H95" s="137" t="s">
        <v>161</v>
      </c>
      <c r="I95" s="137">
        <v>99576</v>
      </c>
      <c r="J95" s="140">
        <v>54576</v>
      </c>
      <c r="K95" s="141">
        <v>6253.28</v>
      </c>
      <c r="L95" s="148">
        <v>0</v>
      </c>
      <c r="M95" s="140">
        <v>0</v>
      </c>
      <c r="N95" s="144">
        <f t="shared" si="14"/>
        <v>48322.720000000001</v>
      </c>
      <c r="O95" s="145"/>
      <c r="P95" s="145"/>
      <c r="Q95" s="145"/>
      <c r="R95" s="146"/>
      <c r="S95" s="139">
        <f t="shared" si="15"/>
        <v>48322.720000000001</v>
      </c>
      <c r="T95" s="172"/>
      <c r="U95" s="137" t="s">
        <v>161</v>
      </c>
      <c r="V95" s="261">
        <f t="shared" si="13"/>
        <v>6.3999999999941756E-2</v>
      </c>
      <c r="W95" s="261">
        <f t="shared" si="20"/>
        <v>6.3999999999941756E-2</v>
      </c>
      <c r="X95" s="261"/>
      <c r="Y95" s="176" t="s">
        <v>838</v>
      </c>
      <c r="Z95" s="176"/>
      <c r="AA95" s="186">
        <v>7412</v>
      </c>
      <c r="AB95" s="186">
        <v>7411.92</v>
      </c>
      <c r="AC95" s="176">
        <v>0</v>
      </c>
      <c r="AD95" s="176">
        <v>0</v>
      </c>
      <c r="AE95" s="186">
        <v>7.999999999992724E-2</v>
      </c>
      <c r="AF95" s="35">
        <v>7.9999999999927199E-2</v>
      </c>
      <c r="AG95" s="212">
        <v>0</v>
      </c>
      <c r="AH95" s="212">
        <f t="shared" si="16"/>
        <v>1.5999999999985484E-2</v>
      </c>
      <c r="AI95" s="212" t="s">
        <v>161</v>
      </c>
      <c r="AJ95" s="212">
        <v>7412</v>
      </c>
      <c r="AK95" s="212">
        <v>7411.92</v>
      </c>
      <c r="AL95" s="212">
        <v>0</v>
      </c>
      <c r="AM95" s="212">
        <v>0</v>
      </c>
      <c r="AN95" s="212">
        <v>7.9999999999927199E-2</v>
      </c>
      <c r="AO95" s="176">
        <v>0</v>
      </c>
      <c r="AP95" s="176">
        <v>0</v>
      </c>
      <c r="AQ95" s="176">
        <v>0</v>
      </c>
      <c r="AR95" s="212">
        <f t="shared" si="17"/>
        <v>6.3999999999941756E-2</v>
      </c>
      <c r="AS95" s="212">
        <f t="shared" si="18"/>
        <v>7411.92</v>
      </c>
      <c r="AT95" s="473">
        <f t="shared" si="19"/>
        <v>7411.8559999999998</v>
      </c>
      <c r="AU95" s="477"/>
    </row>
    <row r="96" spans="1:47" s="35" customFormat="1" ht="29" hidden="1" x14ac:dyDescent="0.35">
      <c r="A96" s="35" t="s">
        <v>1195</v>
      </c>
      <c r="B96" s="224" t="s">
        <v>947</v>
      </c>
      <c r="C96" s="222" t="s">
        <v>19</v>
      </c>
      <c r="D96" s="136">
        <v>8470315</v>
      </c>
      <c r="E96" s="137" t="s">
        <v>154</v>
      </c>
      <c r="F96" s="138">
        <v>428090</v>
      </c>
      <c r="G96" s="137" t="s">
        <v>39</v>
      </c>
      <c r="H96" s="137" t="s">
        <v>162</v>
      </c>
      <c r="I96" s="137">
        <v>10000</v>
      </c>
      <c r="J96" s="140">
        <v>2725</v>
      </c>
      <c r="K96" s="147"/>
      <c r="L96" s="142"/>
      <c r="M96" s="143"/>
      <c r="N96" s="144">
        <f t="shared" si="14"/>
        <v>2725</v>
      </c>
      <c r="O96" s="145"/>
      <c r="P96" s="145"/>
      <c r="Q96" s="145"/>
      <c r="R96" s="146"/>
      <c r="S96" s="139">
        <f t="shared" si="15"/>
        <v>2725</v>
      </c>
      <c r="T96" s="172"/>
      <c r="U96" s="137" t="s">
        <v>162</v>
      </c>
      <c r="V96" s="261">
        <f t="shared" si="13"/>
        <v>2180</v>
      </c>
      <c r="W96" s="261">
        <f t="shared" si="20"/>
        <v>2180</v>
      </c>
      <c r="X96" s="261"/>
      <c r="Y96" s="176" t="s">
        <v>838</v>
      </c>
      <c r="Z96" s="176"/>
      <c r="AA96" s="186">
        <v>2725</v>
      </c>
      <c r="AB96" s="186">
        <v>0</v>
      </c>
      <c r="AC96" s="176">
        <v>0</v>
      </c>
      <c r="AD96" s="176">
        <v>0</v>
      </c>
      <c r="AE96" s="186">
        <v>2725</v>
      </c>
      <c r="AF96" s="35">
        <v>2725</v>
      </c>
      <c r="AG96" s="212">
        <v>0</v>
      </c>
      <c r="AH96" s="212">
        <f t="shared" si="16"/>
        <v>545</v>
      </c>
      <c r="AI96" s="212" t="s">
        <v>162</v>
      </c>
      <c r="AJ96" s="212">
        <v>2725</v>
      </c>
      <c r="AK96" s="212">
        <v>0</v>
      </c>
      <c r="AL96" s="212">
        <v>0</v>
      </c>
      <c r="AM96" s="212">
        <v>0</v>
      </c>
      <c r="AN96" s="212">
        <v>2725</v>
      </c>
      <c r="AO96" s="176">
        <v>0</v>
      </c>
      <c r="AP96" s="176">
        <v>0</v>
      </c>
      <c r="AQ96" s="176">
        <v>0</v>
      </c>
      <c r="AR96" s="212">
        <f t="shared" si="17"/>
        <v>2180</v>
      </c>
      <c r="AS96" s="212">
        <f t="shared" si="18"/>
        <v>0</v>
      </c>
      <c r="AT96" s="473">
        <f t="shared" si="19"/>
        <v>-2180</v>
      </c>
      <c r="AU96" s="477"/>
    </row>
    <row r="97" spans="1:47" s="35" customFormat="1" ht="29" hidden="1" x14ac:dyDescent="0.35">
      <c r="A97" s="35" t="s">
        <v>1195</v>
      </c>
      <c r="B97" s="224" t="s">
        <v>947</v>
      </c>
      <c r="C97" s="222" t="s">
        <v>19</v>
      </c>
      <c r="D97" s="136">
        <v>8470315</v>
      </c>
      <c r="E97" s="137" t="s">
        <v>154</v>
      </c>
      <c r="F97" s="138">
        <v>432209</v>
      </c>
      <c r="G97" s="137" t="s">
        <v>132</v>
      </c>
      <c r="H97" s="137" t="s">
        <v>163</v>
      </c>
      <c r="I97" s="137">
        <v>90250</v>
      </c>
      <c r="J97" s="140">
        <v>90250</v>
      </c>
      <c r="K97" s="141">
        <v>35500</v>
      </c>
      <c r="L97" s="148">
        <v>0</v>
      </c>
      <c r="M97" s="140">
        <v>52893.919999999998</v>
      </c>
      <c r="N97" s="144">
        <f t="shared" si="14"/>
        <v>1856.0800000000017</v>
      </c>
      <c r="O97" s="145"/>
      <c r="P97" s="145"/>
      <c r="Q97" s="145"/>
      <c r="R97" s="146"/>
      <c r="S97" s="139">
        <f t="shared" si="15"/>
        <v>1856.0800000000017</v>
      </c>
      <c r="T97" s="172"/>
      <c r="U97" s="137" t="s">
        <v>163</v>
      </c>
      <c r="V97" s="261">
        <f t="shared" si="13"/>
        <v>1484.864</v>
      </c>
      <c r="W97" s="261">
        <f t="shared" si="20"/>
        <v>1484.864</v>
      </c>
      <c r="X97" s="261"/>
      <c r="Y97" s="176" t="s">
        <v>838</v>
      </c>
      <c r="Z97" s="176"/>
      <c r="AA97" s="186">
        <v>90250</v>
      </c>
      <c r="AB97" s="186">
        <v>61876.12</v>
      </c>
      <c r="AC97" s="186">
        <v>0</v>
      </c>
      <c r="AD97" s="186">
        <v>26517.8</v>
      </c>
      <c r="AE97" s="186">
        <v>1856.0799999999981</v>
      </c>
      <c r="AF97" s="184">
        <v>1856.08</v>
      </c>
      <c r="AG97" s="184">
        <v>-1.8189894035458565E-12</v>
      </c>
      <c r="AH97" s="212">
        <f t="shared" si="16"/>
        <v>371.21599999999808</v>
      </c>
      <c r="AI97" s="212" t="s">
        <v>163</v>
      </c>
      <c r="AJ97" s="212">
        <v>90250</v>
      </c>
      <c r="AK97" s="212">
        <v>61876.12</v>
      </c>
      <c r="AL97" s="212">
        <v>0</v>
      </c>
      <c r="AM97" s="212">
        <v>26517.8</v>
      </c>
      <c r="AN97" s="212">
        <v>1856.08</v>
      </c>
      <c r="AO97" s="176">
        <v>0</v>
      </c>
      <c r="AP97" s="176">
        <v>0</v>
      </c>
      <c r="AQ97" s="176">
        <v>0</v>
      </c>
      <c r="AR97" s="212">
        <f t="shared" si="17"/>
        <v>1484.864</v>
      </c>
      <c r="AS97" s="212">
        <f t="shared" si="18"/>
        <v>88393.919999999998</v>
      </c>
      <c r="AT97" s="473">
        <f t="shared" si="19"/>
        <v>86909.055999999997</v>
      </c>
      <c r="AU97" s="477"/>
    </row>
    <row r="98" spans="1:47" s="35" customFormat="1" ht="29" hidden="1" x14ac:dyDescent="0.35">
      <c r="A98" s="35" t="s">
        <v>1195</v>
      </c>
      <c r="B98" s="224" t="s">
        <v>947</v>
      </c>
      <c r="C98" s="222" t="s">
        <v>19</v>
      </c>
      <c r="D98" s="136">
        <v>8470315</v>
      </c>
      <c r="E98" s="137" t="s">
        <v>154</v>
      </c>
      <c r="F98" s="138">
        <v>435350</v>
      </c>
      <c r="G98" s="137" t="s">
        <v>79</v>
      </c>
      <c r="H98" s="137" t="s">
        <v>164</v>
      </c>
      <c r="I98" s="137">
        <v>38400</v>
      </c>
      <c r="J98" s="140">
        <v>24647</v>
      </c>
      <c r="K98" s="141">
        <v>24646.04</v>
      </c>
      <c r="L98" s="142"/>
      <c r="M98" s="143"/>
      <c r="N98" s="144">
        <f t="shared" si="14"/>
        <v>0.95999999999912689</v>
      </c>
      <c r="O98" s="145"/>
      <c r="P98" s="145"/>
      <c r="Q98" s="145"/>
      <c r="R98" s="146"/>
      <c r="S98" s="139">
        <f t="shared" si="15"/>
        <v>0.95999999999912689</v>
      </c>
      <c r="T98" s="172"/>
      <c r="U98" s="137" t="s">
        <v>164</v>
      </c>
      <c r="V98" s="261">
        <f t="shared" si="13"/>
        <v>4929.0960000000005</v>
      </c>
      <c r="W98" s="261">
        <f t="shared" si="20"/>
        <v>4929.0960000000005</v>
      </c>
      <c r="X98" s="261"/>
      <c r="Y98" s="176" t="s">
        <v>838</v>
      </c>
      <c r="Z98" s="176"/>
      <c r="AA98" s="186">
        <v>38192</v>
      </c>
      <c r="AB98" s="186">
        <v>32030.63</v>
      </c>
      <c r="AC98" s="176">
        <v>0</v>
      </c>
      <c r="AD98" s="176">
        <v>0</v>
      </c>
      <c r="AE98" s="186">
        <v>6161.369999999999</v>
      </c>
      <c r="AF98" s="35">
        <v>6161.37</v>
      </c>
      <c r="AG98" s="212">
        <v>0</v>
      </c>
      <c r="AH98" s="212">
        <f t="shared" si="16"/>
        <v>1232.2739999999985</v>
      </c>
      <c r="AI98" s="212" t="s">
        <v>164</v>
      </c>
      <c r="AJ98" s="212">
        <v>38192</v>
      </c>
      <c r="AK98" s="212">
        <v>32030.63</v>
      </c>
      <c r="AL98" s="212">
        <v>0</v>
      </c>
      <c r="AM98" s="212">
        <v>0</v>
      </c>
      <c r="AN98" s="212">
        <v>6161.37</v>
      </c>
      <c r="AO98" s="176">
        <v>0</v>
      </c>
      <c r="AP98" s="176">
        <v>0</v>
      </c>
      <c r="AQ98" s="176">
        <v>0</v>
      </c>
      <c r="AR98" s="212">
        <f t="shared" si="17"/>
        <v>4929.0960000000005</v>
      </c>
      <c r="AS98" s="212">
        <f t="shared" si="18"/>
        <v>32030.63</v>
      </c>
      <c r="AT98" s="473">
        <f t="shared" si="19"/>
        <v>27101.534</v>
      </c>
      <c r="AU98" s="477"/>
    </row>
    <row r="99" spans="1:47" s="35" customFormat="1" ht="29" hidden="1" x14ac:dyDescent="0.35">
      <c r="A99" s="35" t="s">
        <v>1195</v>
      </c>
      <c r="B99" s="224" t="s">
        <v>947</v>
      </c>
      <c r="C99" s="222" t="s">
        <v>19</v>
      </c>
      <c r="D99" s="136">
        <v>8470315</v>
      </c>
      <c r="E99" s="137" t="s">
        <v>154</v>
      </c>
      <c r="F99" s="138">
        <v>435508</v>
      </c>
      <c r="G99" s="137" t="s">
        <v>135</v>
      </c>
      <c r="H99" s="137" t="s">
        <v>165</v>
      </c>
      <c r="I99" s="137">
        <v>150000</v>
      </c>
      <c r="J99" s="140">
        <v>195000</v>
      </c>
      <c r="K99" s="141">
        <v>124792.68</v>
      </c>
      <c r="L99" s="148">
        <v>-7.2759576141834308E-12</v>
      </c>
      <c r="M99" s="140">
        <v>49868.5</v>
      </c>
      <c r="N99" s="144">
        <f t="shared" si="14"/>
        <v>20338.820000000007</v>
      </c>
      <c r="O99" s="145"/>
      <c r="P99" s="145"/>
      <c r="Q99" s="145"/>
      <c r="R99" s="146"/>
      <c r="S99" s="139">
        <f t="shared" si="15"/>
        <v>20338.820000000007</v>
      </c>
      <c r="T99" s="172"/>
      <c r="U99" s="137" t="s">
        <v>165</v>
      </c>
      <c r="V99" s="261">
        <f t="shared" si="13"/>
        <v>3475.8160000000007</v>
      </c>
      <c r="W99" s="261">
        <f t="shared" si="20"/>
        <v>-1520.1839999999993</v>
      </c>
      <c r="X99" s="261"/>
      <c r="Y99" s="176" t="s">
        <v>838</v>
      </c>
      <c r="Z99" s="176"/>
      <c r="AA99" s="186">
        <v>195000</v>
      </c>
      <c r="AB99" s="186">
        <v>171801.95</v>
      </c>
      <c r="AC99" s="186">
        <v>0</v>
      </c>
      <c r="AD99" s="186">
        <v>18853.28</v>
      </c>
      <c r="AE99" s="186">
        <v>4344.7699999999895</v>
      </c>
      <c r="AF99" s="184">
        <v>4344.7700000000004</v>
      </c>
      <c r="AG99" s="184">
        <v>-1.0913936421275139E-11</v>
      </c>
      <c r="AH99" s="212">
        <f t="shared" si="16"/>
        <v>868.95399999998881</v>
      </c>
      <c r="AI99" s="212" t="s">
        <v>165</v>
      </c>
      <c r="AJ99" s="212">
        <v>195000</v>
      </c>
      <c r="AK99" s="212">
        <v>171801.95</v>
      </c>
      <c r="AL99" s="212">
        <v>0</v>
      </c>
      <c r="AM99" s="212">
        <v>18853.28</v>
      </c>
      <c r="AN99" s="212">
        <v>4344.7700000000004</v>
      </c>
      <c r="AO99" s="176">
        <v>0</v>
      </c>
      <c r="AP99" s="176">
        <v>4996</v>
      </c>
      <c r="AQ99" s="176">
        <v>0</v>
      </c>
      <c r="AR99" s="212">
        <f t="shared" si="17"/>
        <v>-1520.1839999999993</v>
      </c>
      <c r="AS99" s="212">
        <f t="shared" si="18"/>
        <v>195651.23</v>
      </c>
      <c r="AT99" s="473">
        <f t="shared" si="19"/>
        <v>197171.41400000002</v>
      </c>
      <c r="AU99" s="477"/>
    </row>
    <row r="100" spans="1:47" s="35" customFormat="1" ht="29" hidden="1" x14ac:dyDescent="0.35">
      <c r="A100" s="35" t="s">
        <v>1195</v>
      </c>
      <c r="B100" s="224" t="s">
        <v>947</v>
      </c>
      <c r="C100" s="222" t="s">
        <v>19</v>
      </c>
      <c r="D100" s="136">
        <v>8470315</v>
      </c>
      <c r="E100" s="137" t="s">
        <v>154</v>
      </c>
      <c r="F100" s="138">
        <v>436110</v>
      </c>
      <c r="G100" s="137" t="s">
        <v>119</v>
      </c>
      <c r="H100" s="137" t="s">
        <v>166</v>
      </c>
      <c r="I100" s="137">
        <v>2000</v>
      </c>
      <c r="J100" s="140">
        <v>2000</v>
      </c>
      <c r="K100" s="147"/>
      <c r="L100" s="142"/>
      <c r="M100" s="143"/>
      <c r="N100" s="144">
        <f t="shared" si="14"/>
        <v>2000</v>
      </c>
      <c r="O100" s="145"/>
      <c r="P100" s="145"/>
      <c r="Q100" s="145"/>
      <c r="R100" s="146"/>
      <c r="S100" s="139">
        <f t="shared" si="15"/>
        <v>2000</v>
      </c>
      <c r="T100" s="172"/>
      <c r="U100" s="137" t="s">
        <v>166</v>
      </c>
      <c r="V100" s="261">
        <f t="shared" si="13"/>
        <v>1600</v>
      </c>
      <c r="W100" s="261">
        <f t="shared" si="20"/>
        <v>1600</v>
      </c>
      <c r="X100" s="261"/>
      <c r="Y100" s="176" t="s">
        <v>838</v>
      </c>
      <c r="Z100" s="176"/>
      <c r="AA100" s="186">
        <v>2000</v>
      </c>
      <c r="AB100" s="186">
        <v>0</v>
      </c>
      <c r="AC100" s="176">
        <v>0</v>
      </c>
      <c r="AD100" s="176">
        <v>0</v>
      </c>
      <c r="AE100" s="186">
        <v>2000</v>
      </c>
      <c r="AF100" s="35">
        <v>2000</v>
      </c>
      <c r="AG100" s="212">
        <v>0</v>
      </c>
      <c r="AH100" s="212">
        <f t="shared" si="16"/>
        <v>400</v>
      </c>
      <c r="AI100" s="212" t="s">
        <v>166</v>
      </c>
      <c r="AJ100" s="212">
        <v>2000</v>
      </c>
      <c r="AK100" s="212">
        <v>0</v>
      </c>
      <c r="AL100" s="212">
        <v>0</v>
      </c>
      <c r="AM100" s="212">
        <v>0</v>
      </c>
      <c r="AN100" s="212">
        <v>2000</v>
      </c>
      <c r="AO100" s="176">
        <v>0</v>
      </c>
      <c r="AP100" s="176">
        <v>0</v>
      </c>
      <c r="AQ100" s="176">
        <v>0</v>
      </c>
      <c r="AR100" s="212">
        <f t="shared" si="17"/>
        <v>1600</v>
      </c>
      <c r="AS100" s="212">
        <f t="shared" si="18"/>
        <v>0</v>
      </c>
      <c r="AT100" s="473">
        <f t="shared" si="19"/>
        <v>-1600</v>
      </c>
      <c r="AU100" s="477"/>
    </row>
    <row r="101" spans="1:47" s="35" customFormat="1" ht="29" hidden="1" x14ac:dyDescent="0.35">
      <c r="A101" s="35" t="s">
        <v>1195</v>
      </c>
      <c r="B101" s="224" t="s">
        <v>947</v>
      </c>
      <c r="C101" s="222" t="s">
        <v>19</v>
      </c>
      <c r="D101" s="136">
        <v>8470315</v>
      </c>
      <c r="E101" s="137" t="s">
        <v>154</v>
      </c>
      <c r="F101" s="138">
        <v>436600</v>
      </c>
      <c r="G101" s="137" t="s">
        <v>137</v>
      </c>
      <c r="H101" s="137" t="s">
        <v>167</v>
      </c>
      <c r="I101" s="137">
        <v>3000</v>
      </c>
      <c r="J101" s="140">
        <v>3000</v>
      </c>
      <c r="K101" s="147"/>
      <c r="L101" s="142"/>
      <c r="M101" s="143"/>
      <c r="N101" s="144">
        <f t="shared" si="14"/>
        <v>3000</v>
      </c>
      <c r="O101" s="145"/>
      <c r="P101" s="145"/>
      <c r="Q101" s="145"/>
      <c r="R101" s="146"/>
      <c r="S101" s="139">
        <f t="shared" si="15"/>
        <v>3000</v>
      </c>
      <c r="T101" s="172"/>
      <c r="U101" s="137" t="s">
        <v>167</v>
      </c>
      <c r="V101" s="261">
        <f t="shared" si="13"/>
        <v>2400</v>
      </c>
      <c r="W101" s="261">
        <f t="shared" si="20"/>
        <v>2400</v>
      </c>
      <c r="X101" s="261"/>
      <c r="Y101" s="176" t="s">
        <v>838</v>
      </c>
      <c r="Z101" s="176"/>
      <c r="AA101" s="186">
        <v>3000</v>
      </c>
      <c r="AB101" s="186">
        <v>0</v>
      </c>
      <c r="AC101" s="176">
        <v>0</v>
      </c>
      <c r="AD101" s="176">
        <v>0</v>
      </c>
      <c r="AE101" s="186">
        <v>3000</v>
      </c>
      <c r="AF101" s="35">
        <v>3000</v>
      </c>
      <c r="AG101" s="212">
        <v>0</v>
      </c>
      <c r="AH101" s="212">
        <f t="shared" si="16"/>
        <v>600</v>
      </c>
      <c r="AI101" s="212" t="s">
        <v>167</v>
      </c>
      <c r="AJ101" s="212">
        <v>3000</v>
      </c>
      <c r="AK101" s="212">
        <v>0</v>
      </c>
      <c r="AL101" s="212">
        <v>0</v>
      </c>
      <c r="AM101" s="212">
        <v>0</v>
      </c>
      <c r="AN101" s="212">
        <v>3000</v>
      </c>
      <c r="AO101" s="176">
        <v>0</v>
      </c>
      <c r="AP101" s="176">
        <v>0</v>
      </c>
      <c r="AQ101" s="176">
        <v>0</v>
      </c>
      <c r="AR101" s="212">
        <f t="shared" si="17"/>
        <v>2400</v>
      </c>
      <c r="AS101" s="212">
        <f t="shared" si="18"/>
        <v>0</v>
      </c>
      <c r="AT101" s="473">
        <f t="shared" si="19"/>
        <v>-2400</v>
      </c>
      <c r="AU101" s="477"/>
    </row>
    <row r="102" spans="1:47" s="35" customFormat="1" ht="29" hidden="1" x14ac:dyDescent="0.35">
      <c r="A102" s="35" t="s">
        <v>1195</v>
      </c>
      <c r="B102" s="224" t="s">
        <v>947</v>
      </c>
      <c r="C102" s="222" t="s">
        <v>19</v>
      </c>
      <c r="D102" s="136">
        <v>8470320</v>
      </c>
      <c r="E102" s="137" t="s">
        <v>168</v>
      </c>
      <c r="F102" s="138">
        <v>420550</v>
      </c>
      <c r="G102" s="137" t="s">
        <v>21</v>
      </c>
      <c r="H102" s="137" t="s">
        <v>169</v>
      </c>
      <c r="I102" s="137">
        <v>20000</v>
      </c>
      <c r="J102" s="140">
        <v>20000</v>
      </c>
      <c r="K102" s="147"/>
      <c r="L102" s="142"/>
      <c r="M102" s="143"/>
      <c r="N102" s="144">
        <f t="shared" si="14"/>
        <v>20000</v>
      </c>
      <c r="O102" s="145"/>
      <c r="P102" s="145"/>
      <c r="Q102" s="145"/>
      <c r="R102" s="146"/>
      <c r="S102" s="139">
        <f t="shared" si="15"/>
        <v>20000</v>
      </c>
      <c r="T102" s="172"/>
      <c r="U102" s="137" t="s">
        <v>169</v>
      </c>
      <c r="V102" s="261">
        <f t="shared" si="13"/>
        <v>14110</v>
      </c>
      <c r="W102" s="261">
        <f t="shared" si="20"/>
        <v>14110</v>
      </c>
      <c r="X102" s="261"/>
      <c r="Y102" s="176" t="s">
        <v>838</v>
      </c>
      <c r="Z102" s="176"/>
      <c r="AA102" s="186">
        <v>20000</v>
      </c>
      <c r="AB102" s="186">
        <v>0</v>
      </c>
      <c r="AC102" s="176">
        <v>0</v>
      </c>
      <c r="AD102" s="176">
        <v>0</v>
      </c>
      <c r="AE102" s="186">
        <v>20000</v>
      </c>
      <c r="AF102" s="35">
        <v>20000</v>
      </c>
      <c r="AG102" s="212">
        <v>0</v>
      </c>
      <c r="AH102" s="212">
        <f t="shared" si="16"/>
        <v>5890</v>
      </c>
      <c r="AI102" s="212" t="s">
        <v>169</v>
      </c>
      <c r="AJ102" s="212">
        <v>20000</v>
      </c>
      <c r="AK102" s="212">
        <v>2362.5</v>
      </c>
      <c r="AL102" s="212">
        <v>0</v>
      </c>
      <c r="AM102" s="212">
        <v>0</v>
      </c>
      <c r="AN102" s="212">
        <v>17637.5</v>
      </c>
      <c r="AO102" s="176">
        <v>0</v>
      </c>
      <c r="AP102" s="176">
        <v>0</v>
      </c>
      <c r="AQ102" s="176">
        <v>0</v>
      </c>
      <c r="AR102" s="212">
        <f t="shared" si="17"/>
        <v>14110</v>
      </c>
      <c r="AS102" s="212">
        <f t="shared" si="18"/>
        <v>0</v>
      </c>
      <c r="AT102" s="473">
        <f t="shared" si="19"/>
        <v>-11747.5</v>
      </c>
      <c r="AU102" s="477"/>
    </row>
    <row r="103" spans="1:47" s="35" customFormat="1" ht="29" hidden="1" x14ac:dyDescent="0.35">
      <c r="A103" s="35" t="s">
        <v>1195</v>
      </c>
      <c r="B103" s="224" t="s">
        <v>947</v>
      </c>
      <c r="C103" s="222" t="s">
        <v>19</v>
      </c>
      <c r="D103" s="136">
        <v>8470320</v>
      </c>
      <c r="E103" s="137" t="s">
        <v>168</v>
      </c>
      <c r="F103" s="138">
        <v>425510</v>
      </c>
      <c r="G103" s="137" t="s">
        <v>31</v>
      </c>
      <c r="H103" s="137" t="s">
        <v>170</v>
      </c>
      <c r="I103" s="137">
        <v>30000</v>
      </c>
      <c r="J103" s="140">
        <v>30000</v>
      </c>
      <c r="K103" s="147"/>
      <c r="L103" s="142"/>
      <c r="M103" s="143"/>
      <c r="N103" s="144">
        <f t="shared" si="14"/>
        <v>30000</v>
      </c>
      <c r="O103" s="145"/>
      <c r="P103" s="145"/>
      <c r="Q103" s="145"/>
      <c r="R103" s="146"/>
      <c r="S103" s="139">
        <f t="shared" si="15"/>
        <v>30000</v>
      </c>
      <c r="T103" s="172"/>
      <c r="U103" s="137" t="s">
        <v>170</v>
      </c>
      <c r="V103" s="261">
        <f t="shared" si="13"/>
        <v>5095.7360000000008</v>
      </c>
      <c r="W103" s="261">
        <f t="shared" si="20"/>
        <v>-15103.063999999998</v>
      </c>
      <c r="X103" s="261"/>
      <c r="Y103" s="176" t="s">
        <v>838</v>
      </c>
      <c r="Z103" s="176"/>
      <c r="AA103" s="186">
        <v>30000</v>
      </c>
      <c r="AB103" s="186">
        <v>10746.69</v>
      </c>
      <c r="AC103" s="176">
        <v>0</v>
      </c>
      <c r="AD103" s="176">
        <v>0</v>
      </c>
      <c r="AE103" s="186">
        <v>19253.309999999998</v>
      </c>
      <c r="AF103" s="35">
        <v>19253.310000000001</v>
      </c>
      <c r="AG103" s="212">
        <v>0</v>
      </c>
      <c r="AH103" s="212">
        <f t="shared" si="16"/>
        <v>14157.573999999997</v>
      </c>
      <c r="AI103" s="212" t="s">
        <v>170</v>
      </c>
      <c r="AJ103" s="212">
        <v>36600</v>
      </c>
      <c r="AK103" s="212">
        <v>30230.33</v>
      </c>
      <c r="AL103" s="212">
        <v>0</v>
      </c>
      <c r="AM103" s="212">
        <v>0</v>
      </c>
      <c r="AN103" s="212">
        <v>6369.67</v>
      </c>
      <c r="AO103" s="176">
        <v>0</v>
      </c>
      <c r="AP103" s="176">
        <v>0</v>
      </c>
      <c r="AQ103" s="176">
        <v>20198.8</v>
      </c>
      <c r="AR103" s="212">
        <f t="shared" si="17"/>
        <v>-15103.063999999998</v>
      </c>
      <c r="AS103" s="212">
        <f t="shared" si="18"/>
        <v>30945.489999999998</v>
      </c>
      <c r="AT103" s="473">
        <f t="shared" si="19"/>
        <v>65532.194000000003</v>
      </c>
      <c r="AU103" s="477"/>
    </row>
    <row r="104" spans="1:47" s="35" customFormat="1" ht="29" hidden="1" x14ac:dyDescent="0.35">
      <c r="A104" s="35" t="s">
        <v>1195</v>
      </c>
      <c r="B104" s="224" t="s">
        <v>947</v>
      </c>
      <c r="C104" s="222" t="s">
        <v>19</v>
      </c>
      <c r="D104" s="136">
        <v>8470320</v>
      </c>
      <c r="E104" s="137" t="s">
        <v>168</v>
      </c>
      <c r="F104" s="138">
        <v>425760</v>
      </c>
      <c r="G104" s="137" t="s">
        <v>142</v>
      </c>
      <c r="H104" s="137" t="s">
        <v>171</v>
      </c>
      <c r="I104" s="137">
        <v>25000</v>
      </c>
      <c r="J104" s="140">
        <v>25000</v>
      </c>
      <c r="K104" s="147"/>
      <c r="L104" s="142"/>
      <c r="M104" s="143"/>
      <c r="N104" s="144">
        <f t="shared" si="14"/>
        <v>25000</v>
      </c>
      <c r="O104" s="145"/>
      <c r="P104" s="145"/>
      <c r="Q104" s="145"/>
      <c r="R104" s="146"/>
      <c r="S104" s="139">
        <f t="shared" si="15"/>
        <v>25000</v>
      </c>
      <c r="T104" s="172"/>
      <c r="U104" s="137" t="s">
        <v>171</v>
      </c>
      <c r="V104" s="261">
        <f t="shared" si="13"/>
        <v>20000</v>
      </c>
      <c r="W104" s="261">
        <f t="shared" si="20"/>
        <v>20000</v>
      </c>
      <c r="X104" s="261"/>
      <c r="Y104" s="176" t="s">
        <v>838</v>
      </c>
      <c r="Z104" s="176"/>
      <c r="AA104" s="186">
        <v>25000</v>
      </c>
      <c r="AB104" s="186">
        <v>0</v>
      </c>
      <c r="AC104" s="176">
        <v>0</v>
      </c>
      <c r="AD104" s="176">
        <v>0</v>
      </c>
      <c r="AE104" s="186">
        <v>25000</v>
      </c>
      <c r="AF104" s="35">
        <v>25000</v>
      </c>
      <c r="AG104" s="212">
        <v>0</v>
      </c>
      <c r="AH104" s="212">
        <f t="shared" si="16"/>
        <v>5000</v>
      </c>
      <c r="AI104" s="212" t="s">
        <v>171</v>
      </c>
      <c r="AJ104" s="212">
        <v>25000</v>
      </c>
      <c r="AK104" s="212">
        <v>0</v>
      </c>
      <c r="AL104" s="212">
        <v>0</v>
      </c>
      <c r="AM104" s="212">
        <v>0</v>
      </c>
      <c r="AN104" s="212">
        <v>25000</v>
      </c>
      <c r="AO104" s="176">
        <v>0</v>
      </c>
      <c r="AP104" s="176">
        <v>0</v>
      </c>
      <c r="AQ104" s="176">
        <v>0</v>
      </c>
      <c r="AR104" s="212">
        <f t="shared" si="17"/>
        <v>20000</v>
      </c>
      <c r="AS104" s="212">
        <f t="shared" si="18"/>
        <v>0</v>
      </c>
      <c r="AT104" s="473">
        <f t="shared" si="19"/>
        <v>-20000</v>
      </c>
      <c r="AU104" s="477"/>
    </row>
    <row r="105" spans="1:47" s="35" customFormat="1" ht="29" hidden="1" x14ac:dyDescent="0.35">
      <c r="A105" s="35" t="s">
        <v>1195</v>
      </c>
      <c r="B105" s="224" t="s">
        <v>947</v>
      </c>
      <c r="C105" s="222" t="s">
        <v>19</v>
      </c>
      <c r="D105" s="136">
        <v>8470320</v>
      </c>
      <c r="E105" s="137" t="s">
        <v>168</v>
      </c>
      <c r="F105" s="138">
        <v>425763</v>
      </c>
      <c r="G105" s="137" t="s">
        <v>59</v>
      </c>
      <c r="H105" s="137" t="s">
        <v>172</v>
      </c>
      <c r="I105" s="137">
        <v>100000</v>
      </c>
      <c r="J105" s="140">
        <v>100000</v>
      </c>
      <c r="K105" s="141">
        <v>65000</v>
      </c>
      <c r="L105" s="148">
        <v>0</v>
      </c>
      <c r="M105" s="140">
        <v>1226.5</v>
      </c>
      <c r="N105" s="144">
        <f t="shared" si="14"/>
        <v>33773.5</v>
      </c>
      <c r="O105" s="145"/>
      <c r="P105" s="145"/>
      <c r="Q105" s="145"/>
      <c r="R105" s="146"/>
      <c r="S105" s="139">
        <f t="shared" si="15"/>
        <v>33773.5</v>
      </c>
      <c r="T105" s="172"/>
      <c r="U105" s="137" t="s">
        <v>172</v>
      </c>
      <c r="V105" s="261">
        <f t="shared" si="13"/>
        <v>27018.800000000003</v>
      </c>
      <c r="W105" s="261">
        <f t="shared" si="20"/>
        <v>27018.800000000003</v>
      </c>
      <c r="X105" s="261"/>
      <c r="Y105" s="176" t="s">
        <v>838</v>
      </c>
      <c r="Z105" s="176"/>
      <c r="AA105" s="186">
        <v>100000</v>
      </c>
      <c r="AB105" s="186">
        <v>66226.5</v>
      </c>
      <c r="AC105" s="176">
        <v>0</v>
      </c>
      <c r="AD105" s="176">
        <v>0</v>
      </c>
      <c r="AE105" s="186">
        <v>33773.5</v>
      </c>
      <c r="AF105" s="35">
        <v>33773.5</v>
      </c>
      <c r="AG105" s="212">
        <v>0</v>
      </c>
      <c r="AH105" s="212">
        <f t="shared" si="16"/>
        <v>6754.6999999999971</v>
      </c>
      <c r="AI105" s="212" t="s">
        <v>172</v>
      </c>
      <c r="AJ105" s="212">
        <v>100000</v>
      </c>
      <c r="AK105" s="212">
        <v>66226.5</v>
      </c>
      <c r="AL105" s="212">
        <v>0</v>
      </c>
      <c r="AM105" s="212">
        <v>0</v>
      </c>
      <c r="AN105" s="212">
        <v>33773.5</v>
      </c>
      <c r="AO105" s="176">
        <v>0</v>
      </c>
      <c r="AP105" s="176">
        <v>0</v>
      </c>
      <c r="AQ105" s="176">
        <v>0</v>
      </c>
      <c r="AR105" s="212">
        <f t="shared" si="17"/>
        <v>27018.800000000003</v>
      </c>
      <c r="AS105" s="212">
        <f t="shared" si="18"/>
        <v>66226.5</v>
      </c>
      <c r="AT105" s="473">
        <f t="shared" si="19"/>
        <v>39207.699999999997</v>
      </c>
      <c r="AU105" s="477"/>
    </row>
    <row r="106" spans="1:47" s="35" customFormat="1" ht="29" hidden="1" x14ac:dyDescent="0.35">
      <c r="A106" s="35" t="s">
        <v>1195</v>
      </c>
      <c r="B106" s="224" t="s">
        <v>947</v>
      </c>
      <c r="C106" s="222" t="s">
        <v>19</v>
      </c>
      <c r="D106" s="136">
        <v>8470320</v>
      </c>
      <c r="E106" s="137" t="s">
        <v>168</v>
      </c>
      <c r="F106" s="138">
        <v>425770</v>
      </c>
      <c r="G106" s="137" t="s">
        <v>74</v>
      </c>
      <c r="H106" s="137" t="s">
        <v>173</v>
      </c>
      <c r="I106" s="137">
        <v>450000</v>
      </c>
      <c r="J106" s="140">
        <v>237519</v>
      </c>
      <c r="K106" s="141">
        <v>101100.4</v>
      </c>
      <c r="L106" s="142"/>
      <c r="M106" s="143"/>
      <c r="N106" s="144">
        <f t="shared" si="14"/>
        <v>136418.6</v>
      </c>
      <c r="O106" s="145"/>
      <c r="P106" s="145"/>
      <c r="Q106" s="145"/>
      <c r="R106" s="146"/>
      <c r="S106" s="139">
        <f t="shared" si="15"/>
        <v>136418.6</v>
      </c>
      <c r="T106" s="172"/>
      <c r="U106" s="137" t="s">
        <v>173</v>
      </c>
      <c r="V106" s="261">
        <f t="shared" si="13"/>
        <v>47876.744000000006</v>
      </c>
      <c r="W106" s="261">
        <f t="shared" si="20"/>
        <v>8873.1740000000063</v>
      </c>
      <c r="X106" s="261"/>
      <c r="Y106" s="176" t="s">
        <v>838</v>
      </c>
      <c r="Z106" s="176"/>
      <c r="AA106" s="186">
        <v>237519</v>
      </c>
      <c r="AB106" s="186">
        <v>177673.07</v>
      </c>
      <c r="AC106" s="176">
        <v>0</v>
      </c>
      <c r="AD106" s="176">
        <v>0</v>
      </c>
      <c r="AE106" s="186">
        <v>59845.929999999993</v>
      </c>
      <c r="AF106" s="35">
        <v>59845.93</v>
      </c>
      <c r="AG106" s="212">
        <v>0</v>
      </c>
      <c r="AH106" s="212">
        <f t="shared" si="16"/>
        <v>11969.185999999987</v>
      </c>
      <c r="AI106" s="212" t="s">
        <v>173</v>
      </c>
      <c r="AJ106" s="212">
        <v>237519</v>
      </c>
      <c r="AK106" s="212">
        <v>177673.07</v>
      </c>
      <c r="AL106" s="212">
        <v>0</v>
      </c>
      <c r="AM106" s="212">
        <v>0</v>
      </c>
      <c r="AN106" s="212">
        <v>59845.93</v>
      </c>
      <c r="AO106" s="176">
        <v>1460</v>
      </c>
      <c r="AP106" s="176">
        <v>0</v>
      </c>
      <c r="AQ106" s="176">
        <v>37543.57</v>
      </c>
      <c r="AR106" s="212">
        <f t="shared" si="17"/>
        <v>8873.1740000000063</v>
      </c>
      <c r="AS106" s="212">
        <f t="shared" si="18"/>
        <v>216676.64</v>
      </c>
      <c r="AT106" s="473">
        <f t="shared" si="19"/>
        <v>207803.46600000001</v>
      </c>
      <c r="AU106" s="477"/>
    </row>
    <row r="107" spans="1:47" s="35" customFormat="1" ht="29" hidden="1" x14ac:dyDescent="0.35">
      <c r="A107" s="35" t="s">
        <v>1195</v>
      </c>
      <c r="B107" s="224" t="s">
        <v>947</v>
      </c>
      <c r="C107" s="222" t="s">
        <v>19</v>
      </c>
      <c r="D107" s="136">
        <v>8470320</v>
      </c>
      <c r="E107" s="137" t="s">
        <v>168</v>
      </c>
      <c r="F107" s="138">
        <v>425900</v>
      </c>
      <c r="G107" s="137" t="s">
        <v>35</v>
      </c>
      <c r="H107" s="137" t="s">
        <v>174</v>
      </c>
      <c r="I107" s="137">
        <v>20000</v>
      </c>
      <c r="J107" s="140">
        <v>20000</v>
      </c>
      <c r="K107" s="141">
        <v>4750</v>
      </c>
      <c r="L107" s="142"/>
      <c r="M107" s="143"/>
      <c r="N107" s="144">
        <f t="shared" si="14"/>
        <v>15250</v>
      </c>
      <c r="O107" s="145"/>
      <c r="P107" s="145"/>
      <c r="Q107" s="145"/>
      <c r="R107" s="146"/>
      <c r="S107" s="139">
        <f t="shared" si="15"/>
        <v>15250</v>
      </c>
      <c r="T107" s="172"/>
      <c r="U107" s="137" t="s">
        <v>174</v>
      </c>
      <c r="V107" s="261">
        <f t="shared" si="13"/>
        <v>12200</v>
      </c>
      <c r="W107" s="261">
        <f t="shared" si="20"/>
        <v>12200</v>
      </c>
      <c r="X107" s="261"/>
      <c r="Y107" s="176" t="s">
        <v>838</v>
      </c>
      <c r="Z107" s="176"/>
      <c r="AA107" s="186">
        <v>20000</v>
      </c>
      <c r="AB107" s="186">
        <v>4750</v>
      </c>
      <c r="AC107" s="176">
        <v>0</v>
      </c>
      <c r="AD107" s="176">
        <v>0</v>
      </c>
      <c r="AE107" s="186">
        <v>15250</v>
      </c>
      <c r="AF107" s="35">
        <v>15250</v>
      </c>
      <c r="AG107" s="212">
        <v>0</v>
      </c>
      <c r="AH107" s="212">
        <f t="shared" si="16"/>
        <v>3050</v>
      </c>
      <c r="AI107" s="212" t="s">
        <v>174</v>
      </c>
      <c r="AJ107" s="212">
        <v>20000</v>
      </c>
      <c r="AK107" s="212">
        <v>4750</v>
      </c>
      <c r="AL107" s="212">
        <v>0</v>
      </c>
      <c r="AM107" s="212">
        <v>0</v>
      </c>
      <c r="AN107" s="212">
        <v>15250</v>
      </c>
      <c r="AO107" s="176">
        <v>0</v>
      </c>
      <c r="AP107" s="176">
        <v>0</v>
      </c>
      <c r="AQ107" s="176">
        <v>0</v>
      </c>
      <c r="AR107" s="212">
        <f t="shared" si="17"/>
        <v>12200</v>
      </c>
      <c r="AS107" s="212">
        <f t="shared" si="18"/>
        <v>4750</v>
      </c>
      <c r="AT107" s="473">
        <f t="shared" si="19"/>
        <v>-7450</v>
      </c>
      <c r="AU107" s="477"/>
    </row>
    <row r="108" spans="1:47" s="35" customFormat="1" ht="29" hidden="1" x14ac:dyDescent="0.35">
      <c r="A108" s="35" t="s">
        <v>1195</v>
      </c>
      <c r="B108" s="224" t="s">
        <v>947</v>
      </c>
      <c r="C108" s="222" t="s">
        <v>19</v>
      </c>
      <c r="D108" s="136">
        <v>8470320</v>
      </c>
      <c r="E108" s="137" t="s">
        <v>168</v>
      </c>
      <c r="F108" s="138">
        <v>426610</v>
      </c>
      <c r="G108" s="137" t="s">
        <v>37</v>
      </c>
      <c r="H108" s="137" t="s">
        <v>175</v>
      </c>
      <c r="I108" s="137">
        <v>75000</v>
      </c>
      <c r="J108" s="140">
        <v>75000</v>
      </c>
      <c r="K108" s="141">
        <v>60384.12</v>
      </c>
      <c r="L108" s="148">
        <v>-2.7284841053187799E-12</v>
      </c>
      <c r="M108" s="140">
        <v>9.0949470177292804E-13</v>
      </c>
      <c r="N108" s="144">
        <f t="shared" si="14"/>
        <v>14615.880000000001</v>
      </c>
      <c r="O108" s="145"/>
      <c r="P108" s="145"/>
      <c r="Q108" s="145"/>
      <c r="R108" s="146"/>
      <c r="S108" s="139">
        <f t="shared" si="15"/>
        <v>14615.880000000001</v>
      </c>
      <c r="T108" s="172"/>
      <c r="U108" s="137" t="s">
        <v>175</v>
      </c>
      <c r="V108" s="261">
        <f t="shared" si="13"/>
        <v>11692.704</v>
      </c>
      <c r="W108" s="261">
        <f t="shared" si="20"/>
        <v>11692.704</v>
      </c>
      <c r="X108" s="261"/>
      <c r="Y108" s="176" t="s">
        <v>838</v>
      </c>
      <c r="Z108" s="176"/>
      <c r="AA108" s="186">
        <v>75000</v>
      </c>
      <c r="AB108" s="186">
        <v>60384.12</v>
      </c>
      <c r="AC108" s="176">
        <v>0</v>
      </c>
      <c r="AD108" s="176">
        <v>0</v>
      </c>
      <c r="AE108" s="186">
        <v>14615.879999999997</v>
      </c>
      <c r="AF108" s="35">
        <v>14615.88</v>
      </c>
      <c r="AG108" s="212">
        <v>0</v>
      </c>
      <c r="AH108" s="212">
        <f t="shared" si="16"/>
        <v>2923.1759999999977</v>
      </c>
      <c r="AI108" s="212" t="s">
        <v>175</v>
      </c>
      <c r="AJ108" s="212">
        <v>75000</v>
      </c>
      <c r="AK108" s="212">
        <v>60384.12</v>
      </c>
      <c r="AL108" s="212">
        <v>0</v>
      </c>
      <c r="AM108" s="212">
        <v>0</v>
      </c>
      <c r="AN108" s="212">
        <v>14615.88</v>
      </c>
      <c r="AO108" s="176">
        <v>0</v>
      </c>
      <c r="AP108" s="176">
        <v>0</v>
      </c>
      <c r="AQ108" s="176">
        <v>0</v>
      </c>
      <c r="AR108" s="212">
        <f t="shared" si="17"/>
        <v>11692.704</v>
      </c>
      <c r="AS108" s="212">
        <f t="shared" si="18"/>
        <v>60384.12</v>
      </c>
      <c r="AT108" s="473">
        <f t="shared" si="19"/>
        <v>48691.416000000005</v>
      </c>
      <c r="AU108" s="477"/>
    </row>
    <row r="109" spans="1:47" s="35" customFormat="1" ht="29" hidden="1" x14ac:dyDescent="0.35">
      <c r="A109" s="35" t="s">
        <v>1195</v>
      </c>
      <c r="B109" s="224" t="s">
        <v>947</v>
      </c>
      <c r="C109" s="222" t="s">
        <v>19</v>
      </c>
      <c r="D109" s="136">
        <v>8470320</v>
      </c>
      <c r="E109" s="137" t="s">
        <v>168</v>
      </c>
      <c r="F109" s="138">
        <v>428090</v>
      </c>
      <c r="G109" s="137" t="s">
        <v>39</v>
      </c>
      <c r="H109" s="137" t="s">
        <v>176</v>
      </c>
      <c r="I109" s="137">
        <v>35000</v>
      </c>
      <c r="J109" s="140">
        <v>10401</v>
      </c>
      <c r="K109" s="141">
        <v>10400</v>
      </c>
      <c r="L109" s="142"/>
      <c r="M109" s="143"/>
      <c r="N109" s="144">
        <f t="shared" si="14"/>
        <v>1</v>
      </c>
      <c r="O109" s="145"/>
      <c r="P109" s="145"/>
      <c r="Q109" s="145"/>
      <c r="R109" s="146"/>
      <c r="S109" s="139">
        <f t="shared" si="15"/>
        <v>1</v>
      </c>
      <c r="T109" s="172"/>
      <c r="U109" s="137" t="s">
        <v>176</v>
      </c>
      <c r="V109" s="261">
        <f t="shared" si="13"/>
        <v>0.8</v>
      </c>
      <c r="W109" s="261">
        <f t="shared" si="20"/>
        <v>0.8</v>
      </c>
      <c r="X109" s="261"/>
      <c r="Y109" s="176" t="s">
        <v>838</v>
      </c>
      <c r="Z109" s="176"/>
      <c r="AA109" s="186">
        <v>10401</v>
      </c>
      <c r="AB109" s="186">
        <v>10400</v>
      </c>
      <c r="AC109" s="176">
        <v>0</v>
      </c>
      <c r="AD109" s="176">
        <v>0</v>
      </c>
      <c r="AE109" s="186">
        <v>1</v>
      </c>
      <c r="AF109" s="35">
        <v>1</v>
      </c>
      <c r="AG109" s="212">
        <v>0</v>
      </c>
      <c r="AH109" s="212">
        <f t="shared" si="16"/>
        <v>0.19999999999999996</v>
      </c>
      <c r="AI109" s="212" t="s">
        <v>176</v>
      </c>
      <c r="AJ109" s="212">
        <v>10401</v>
      </c>
      <c r="AK109" s="212">
        <v>10400</v>
      </c>
      <c r="AL109" s="212">
        <v>0</v>
      </c>
      <c r="AM109" s="212">
        <v>0</v>
      </c>
      <c r="AN109" s="212">
        <v>1</v>
      </c>
      <c r="AO109" s="176">
        <v>0</v>
      </c>
      <c r="AP109" s="176">
        <v>0</v>
      </c>
      <c r="AQ109" s="176">
        <v>0</v>
      </c>
      <c r="AR109" s="212">
        <f t="shared" si="17"/>
        <v>0.8</v>
      </c>
      <c r="AS109" s="212">
        <f t="shared" si="18"/>
        <v>10400</v>
      </c>
      <c r="AT109" s="473">
        <f t="shared" si="19"/>
        <v>10399.200000000001</v>
      </c>
      <c r="AU109" s="477"/>
    </row>
    <row r="110" spans="1:47" s="35" customFormat="1" ht="29" hidden="1" x14ac:dyDescent="0.35">
      <c r="A110" s="35" t="s">
        <v>1195</v>
      </c>
      <c r="B110" s="224" t="s">
        <v>947</v>
      </c>
      <c r="C110" s="222" t="s">
        <v>19</v>
      </c>
      <c r="D110" s="136">
        <v>8470320</v>
      </c>
      <c r="E110" s="137" t="s">
        <v>168</v>
      </c>
      <c r="F110" s="138">
        <v>435350</v>
      </c>
      <c r="G110" s="137" t="s">
        <v>79</v>
      </c>
      <c r="H110" s="137" t="s">
        <v>177</v>
      </c>
      <c r="I110" s="137">
        <v>50000</v>
      </c>
      <c r="J110" s="140">
        <v>29251</v>
      </c>
      <c r="K110" s="141">
        <v>22245.54</v>
      </c>
      <c r="L110" s="142"/>
      <c r="M110" s="143"/>
      <c r="N110" s="144">
        <f t="shared" si="14"/>
        <v>7005.4599999999991</v>
      </c>
      <c r="O110" s="145"/>
      <c r="P110" s="145"/>
      <c r="Q110" s="145"/>
      <c r="R110" s="146"/>
      <c r="S110" s="139">
        <f t="shared" si="15"/>
        <v>7005.4599999999991</v>
      </c>
      <c r="T110" s="172"/>
      <c r="U110" s="137" t="s">
        <v>177</v>
      </c>
      <c r="V110" s="261">
        <f t="shared" si="13"/>
        <v>5604.3680000000004</v>
      </c>
      <c r="W110" s="261">
        <f t="shared" si="20"/>
        <v>5604.3680000000004</v>
      </c>
      <c r="X110" s="261"/>
      <c r="Y110" s="176" t="s">
        <v>838</v>
      </c>
      <c r="Z110" s="176"/>
      <c r="AA110" s="186">
        <v>29251</v>
      </c>
      <c r="AB110" s="186">
        <v>22245.54</v>
      </c>
      <c r="AC110" s="176">
        <v>0</v>
      </c>
      <c r="AD110" s="176">
        <v>0</v>
      </c>
      <c r="AE110" s="186">
        <v>7005.4599999999991</v>
      </c>
      <c r="AF110" s="35">
        <v>7005.46</v>
      </c>
      <c r="AG110" s="212">
        <v>0</v>
      </c>
      <c r="AH110" s="212">
        <f t="shared" si="16"/>
        <v>1401.0919999999987</v>
      </c>
      <c r="AI110" s="212" t="s">
        <v>177</v>
      </c>
      <c r="AJ110" s="212">
        <v>29251</v>
      </c>
      <c r="AK110" s="212">
        <v>22245.54</v>
      </c>
      <c r="AL110" s="212">
        <v>0</v>
      </c>
      <c r="AM110" s="212">
        <v>0</v>
      </c>
      <c r="AN110" s="212">
        <v>7005.46</v>
      </c>
      <c r="AO110" s="176">
        <v>0</v>
      </c>
      <c r="AP110" s="176">
        <v>0</v>
      </c>
      <c r="AQ110" s="176">
        <v>0</v>
      </c>
      <c r="AR110" s="212">
        <f t="shared" si="17"/>
        <v>5604.3680000000004</v>
      </c>
      <c r="AS110" s="212">
        <f t="shared" si="18"/>
        <v>22245.54</v>
      </c>
      <c r="AT110" s="473">
        <f t="shared" si="19"/>
        <v>16641.171999999999</v>
      </c>
      <c r="AU110" s="477"/>
    </row>
    <row r="111" spans="1:47" s="35" customFormat="1" ht="29" hidden="1" x14ac:dyDescent="0.35">
      <c r="A111" s="35" t="s">
        <v>1195</v>
      </c>
      <c r="B111" s="224" t="s">
        <v>947</v>
      </c>
      <c r="C111" s="222" t="s">
        <v>19</v>
      </c>
      <c r="D111" s="136">
        <v>8470320</v>
      </c>
      <c r="E111" s="137" t="s">
        <v>168</v>
      </c>
      <c r="F111" s="138">
        <v>435508</v>
      </c>
      <c r="G111" s="137" t="s">
        <v>135</v>
      </c>
      <c r="H111" s="137" t="s">
        <v>178</v>
      </c>
      <c r="I111" s="137">
        <v>200000</v>
      </c>
      <c r="J111" s="140">
        <v>212131</v>
      </c>
      <c r="K111" s="147"/>
      <c r="L111" s="148">
        <v>0</v>
      </c>
      <c r="M111" s="140">
        <v>196528.7</v>
      </c>
      <c r="N111" s="144">
        <f t="shared" si="14"/>
        <v>15602.299999999988</v>
      </c>
      <c r="O111" s="145"/>
      <c r="P111" s="145"/>
      <c r="Q111" s="145"/>
      <c r="R111" s="146"/>
      <c r="S111" s="139">
        <f t="shared" si="15"/>
        <v>15602.299999999988</v>
      </c>
      <c r="T111" s="172"/>
      <c r="U111" s="137" t="s">
        <v>178</v>
      </c>
      <c r="V111" s="261">
        <f t="shared" si="13"/>
        <v>12481.84</v>
      </c>
      <c r="W111" s="261">
        <f t="shared" si="20"/>
        <v>12481.84</v>
      </c>
      <c r="X111" s="261"/>
      <c r="Y111" s="176" t="s">
        <v>838</v>
      </c>
      <c r="Z111" s="176"/>
      <c r="AA111" s="186">
        <v>212131</v>
      </c>
      <c r="AB111" s="186">
        <v>194915</v>
      </c>
      <c r="AC111" s="176">
        <v>0</v>
      </c>
      <c r="AD111" s="176">
        <v>1613.70000000001</v>
      </c>
      <c r="AE111" s="186">
        <v>15602.29999999999</v>
      </c>
      <c r="AF111" s="35">
        <v>15602.3</v>
      </c>
      <c r="AG111" s="212">
        <v>0</v>
      </c>
      <c r="AH111" s="212">
        <f t="shared" si="16"/>
        <v>3120.45999999999</v>
      </c>
      <c r="AI111" s="212" t="s">
        <v>178</v>
      </c>
      <c r="AJ111" s="212">
        <v>212131</v>
      </c>
      <c r="AK111" s="212">
        <v>194915</v>
      </c>
      <c r="AL111" s="212">
        <v>0</v>
      </c>
      <c r="AM111" s="212">
        <v>1613.70000000001</v>
      </c>
      <c r="AN111" s="212">
        <v>15602.3</v>
      </c>
      <c r="AO111" s="176">
        <v>0</v>
      </c>
      <c r="AP111" s="176">
        <v>0</v>
      </c>
      <c r="AQ111" s="176">
        <v>0</v>
      </c>
      <c r="AR111" s="212">
        <f t="shared" si="17"/>
        <v>12481.84</v>
      </c>
      <c r="AS111" s="212">
        <f t="shared" si="18"/>
        <v>196528.7</v>
      </c>
      <c r="AT111" s="473">
        <f t="shared" si="19"/>
        <v>184046.86000000002</v>
      </c>
      <c r="AU111" s="477"/>
    </row>
    <row r="112" spans="1:47" s="35" customFormat="1" ht="29" hidden="1" x14ac:dyDescent="0.35">
      <c r="A112" s="35" t="s">
        <v>1195</v>
      </c>
      <c r="B112" s="224" t="s">
        <v>947</v>
      </c>
      <c r="C112" s="222" t="s">
        <v>19</v>
      </c>
      <c r="D112" s="136">
        <v>8470320</v>
      </c>
      <c r="E112" s="137" t="s">
        <v>168</v>
      </c>
      <c r="F112" s="138">
        <v>436110</v>
      </c>
      <c r="G112" s="137" t="s">
        <v>119</v>
      </c>
      <c r="H112" s="137" t="s">
        <v>179</v>
      </c>
      <c r="I112" s="137">
        <v>35000</v>
      </c>
      <c r="J112" s="140">
        <v>35000</v>
      </c>
      <c r="K112" s="141">
        <v>9881.9</v>
      </c>
      <c r="L112" s="142"/>
      <c r="M112" s="143"/>
      <c r="N112" s="144">
        <f t="shared" si="14"/>
        <v>25118.1</v>
      </c>
      <c r="O112" s="145"/>
      <c r="P112" s="145"/>
      <c r="Q112" s="145"/>
      <c r="R112" s="146"/>
      <c r="S112" s="139">
        <f t="shared" si="15"/>
        <v>25118.1</v>
      </c>
      <c r="T112" s="172"/>
      <c r="U112" s="137" t="s">
        <v>179</v>
      </c>
      <c r="V112" s="261">
        <f t="shared" si="13"/>
        <v>11990.696000000002</v>
      </c>
      <c r="W112" s="261">
        <f t="shared" si="20"/>
        <v>11990.696000000002</v>
      </c>
      <c r="X112" s="261"/>
      <c r="Y112" s="176" t="s">
        <v>838</v>
      </c>
      <c r="Z112" s="176"/>
      <c r="AA112" s="186">
        <v>35000</v>
      </c>
      <c r="AB112" s="186">
        <v>20011.63</v>
      </c>
      <c r="AC112" s="176">
        <v>0</v>
      </c>
      <c r="AD112" s="176">
        <v>0</v>
      </c>
      <c r="AE112" s="186">
        <v>14988.369999999999</v>
      </c>
      <c r="AF112" s="35">
        <v>14988.37</v>
      </c>
      <c r="AG112" s="212">
        <v>0</v>
      </c>
      <c r="AH112" s="212">
        <f t="shared" si="16"/>
        <v>2997.6739999999972</v>
      </c>
      <c r="AI112" s="212" t="s">
        <v>179</v>
      </c>
      <c r="AJ112" s="212">
        <v>35000</v>
      </c>
      <c r="AK112" s="212">
        <v>20011.63</v>
      </c>
      <c r="AL112" s="212">
        <v>0</v>
      </c>
      <c r="AM112" s="212">
        <v>0</v>
      </c>
      <c r="AN112" s="212">
        <v>14988.37</v>
      </c>
      <c r="AO112" s="176">
        <v>0</v>
      </c>
      <c r="AP112" s="176">
        <v>0</v>
      </c>
      <c r="AQ112" s="176">
        <v>0</v>
      </c>
      <c r="AR112" s="212">
        <f t="shared" si="17"/>
        <v>11990.696000000002</v>
      </c>
      <c r="AS112" s="212">
        <f t="shared" si="18"/>
        <v>20011.63</v>
      </c>
      <c r="AT112" s="473">
        <f t="shared" si="19"/>
        <v>8020.9339999999993</v>
      </c>
      <c r="AU112" s="477"/>
    </row>
    <row r="113" spans="1:47" s="35" customFormat="1" ht="29" hidden="1" x14ac:dyDescent="0.35">
      <c r="A113" s="35" t="s">
        <v>1195</v>
      </c>
      <c r="B113" s="224" t="s">
        <v>947</v>
      </c>
      <c r="C113" s="222" t="s">
        <v>19</v>
      </c>
      <c r="D113" s="136">
        <v>8470320</v>
      </c>
      <c r="E113" s="137" t="s">
        <v>168</v>
      </c>
      <c r="F113" s="138">
        <v>436600</v>
      </c>
      <c r="G113" s="137" t="s">
        <v>137</v>
      </c>
      <c r="H113" s="137" t="s">
        <v>180</v>
      </c>
      <c r="I113" s="137">
        <v>45000</v>
      </c>
      <c r="J113" s="140">
        <v>45000</v>
      </c>
      <c r="K113" s="141">
        <v>12485</v>
      </c>
      <c r="L113" s="142"/>
      <c r="M113" s="143"/>
      <c r="N113" s="144">
        <f t="shared" si="14"/>
        <v>32515</v>
      </c>
      <c r="O113" s="145"/>
      <c r="P113" s="145"/>
      <c r="Q113" s="145"/>
      <c r="R113" s="146"/>
      <c r="S113" s="139">
        <f t="shared" si="15"/>
        <v>32515</v>
      </c>
      <c r="T113" s="172"/>
      <c r="U113" s="137" t="s">
        <v>180</v>
      </c>
      <c r="V113" s="261">
        <f t="shared" si="13"/>
        <v>20732</v>
      </c>
      <c r="W113" s="261">
        <f t="shared" si="20"/>
        <v>20732</v>
      </c>
      <c r="X113" s="261"/>
      <c r="Y113" s="176" t="s">
        <v>838</v>
      </c>
      <c r="Z113" s="176"/>
      <c r="AA113" s="186">
        <v>45000</v>
      </c>
      <c r="AB113" s="186">
        <v>12485</v>
      </c>
      <c r="AC113" s="176">
        <v>0</v>
      </c>
      <c r="AD113" s="176">
        <v>0</v>
      </c>
      <c r="AE113" s="186">
        <v>32515</v>
      </c>
      <c r="AF113" s="35">
        <v>32515</v>
      </c>
      <c r="AG113" s="212">
        <v>0</v>
      </c>
      <c r="AH113" s="212">
        <f t="shared" si="16"/>
        <v>11783</v>
      </c>
      <c r="AI113" s="212" t="s">
        <v>180</v>
      </c>
      <c r="AJ113" s="212">
        <v>38400</v>
      </c>
      <c r="AK113" s="212">
        <v>12485</v>
      </c>
      <c r="AL113" s="212">
        <v>0</v>
      </c>
      <c r="AM113" s="212">
        <v>0</v>
      </c>
      <c r="AN113" s="212">
        <v>25915</v>
      </c>
      <c r="AO113" s="176">
        <v>0</v>
      </c>
      <c r="AP113" s="176">
        <v>0</v>
      </c>
      <c r="AQ113" s="176">
        <v>0</v>
      </c>
      <c r="AR113" s="212">
        <f t="shared" si="17"/>
        <v>20732</v>
      </c>
      <c r="AS113" s="212">
        <f t="shared" si="18"/>
        <v>12485</v>
      </c>
      <c r="AT113" s="473">
        <f t="shared" si="19"/>
        <v>-8247</v>
      </c>
      <c r="AU113" s="477"/>
    </row>
    <row r="114" spans="1:47" s="35" customFormat="1" ht="29" hidden="1" x14ac:dyDescent="0.35">
      <c r="A114" s="35" t="s">
        <v>1195</v>
      </c>
      <c r="B114" s="224" t="s">
        <v>947</v>
      </c>
      <c r="C114" s="222" t="s">
        <v>19</v>
      </c>
      <c r="D114" s="136">
        <v>8470325</v>
      </c>
      <c r="E114" s="137" t="s">
        <v>181</v>
      </c>
      <c r="F114" s="138">
        <v>420550</v>
      </c>
      <c r="G114" s="137" t="s">
        <v>21</v>
      </c>
      <c r="H114" s="137" t="s">
        <v>182</v>
      </c>
      <c r="I114" s="137">
        <v>4000</v>
      </c>
      <c r="J114" s="140">
        <v>4000</v>
      </c>
      <c r="K114" s="147"/>
      <c r="L114" s="142"/>
      <c r="M114" s="143"/>
      <c r="N114" s="144">
        <f t="shared" si="14"/>
        <v>4000</v>
      </c>
      <c r="O114" s="145"/>
      <c r="P114" s="145"/>
      <c r="Q114" s="145"/>
      <c r="R114" s="146"/>
      <c r="S114" s="139">
        <f t="shared" si="15"/>
        <v>4000</v>
      </c>
      <c r="T114" s="172"/>
      <c r="U114" s="137" t="s">
        <v>182</v>
      </c>
      <c r="V114" s="261">
        <f t="shared" si="13"/>
        <v>3200</v>
      </c>
      <c r="W114" s="261">
        <f t="shared" si="20"/>
        <v>3200</v>
      </c>
      <c r="X114" s="261"/>
      <c r="Y114" s="176" t="s">
        <v>838</v>
      </c>
      <c r="Z114" s="176"/>
      <c r="AA114" s="186">
        <v>4000</v>
      </c>
      <c r="AB114" s="186">
        <v>0</v>
      </c>
      <c r="AC114" s="176">
        <v>0</v>
      </c>
      <c r="AD114" s="176">
        <v>0</v>
      </c>
      <c r="AE114" s="186">
        <v>4000</v>
      </c>
      <c r="AF114" s="35">
        <v>4000</v>
      </c>
      <c r="AG114" s="212">
        <v>0</v>
      </c>
      <c r="AH114" s="212">
        <f t="shared" si="16"/>
        <v>800</v>
      </c>
      <c r="AI114" s="212" t="s">
        <v>182</v>
      </c>
      <c r="AJ114" s="212">
        <v>4000</v>
      </c>
      <c r="AK114" s="212">
        <v>0</v>
      </c>
      <c r="AL114" s="212">
        <v>0</v>
      </c>
      <c r="AM114" s="212">
        <v>0</v>
      </c>
      <c r="AN114" s="212">
        <v>4000</v>
      </c>
      <c r="AO114" s="176">
        <v>0</v>
      </c>
      <c r="AP114" s="176">
        <v>0</v>
      </c>
      <c r="AQ114" s="176">
        <v>0</v>
      </c>
      <c r="AR114" s="212">
        <f t="shared" si="17"/>
        <v>3200</v>
      </c>
      <c r="AS114" s="212">
        <f t="shared" si="18"/>
        <v>0</v>
      </c>
      <c r="AT114" s="473">
        <f t="shared" si="19"/>
        <v>-3200</v>
      </c>
      <c r="AU114" s="477"/>
    </row>
    <row r="115" spans="1:47" s="35" customFormat="1" ht="29" hidden="1" x14ac:dyDescent="0.35">
      <c r="A115" s="35" t="s">
        <v>1195</v>
      </c>
      <c r="B115" s="224" t="s">
        <v>947</v>
      </c>
      <c r="C115" s="222" t="s">
        <v>19</v>
      </c>
      <c r="D115" s="136">
        <v>8470325</v>
      </c>
      <c r="E115" s="137" t="s">
        <v>181</v>
      </c>
      <c r="F115" s="138">
        <v>425510</v>
      </c>
      <c r="G115" s="137" t="s">
        <v>31</v>
      </c>
      <c r="H115" s="137" t="s">
        <v>183</v>
      </c>
      <c r="I115" s="137">
        <v>6600</v>
      </c>
      <c r="J115" s="140">
        <v>6600</v>
      </c>
      <c r="K115" s="141">
        <v>2550</v>
      </c>
      <c r="L115" s="142"/>
      <c r="M115" s="143"/>
      <c r="N115" s="144">
        <f t="shared" si="14"/>
        <v>4050</v>
      </c>
      <c r="O115" s="145"/>
      <c r="P115" s="145"/>
      <c r="Q115" s="145"/>
      <c r="R115" s="146"/>
      <c r="S115" s="139">
        <f t="shared" si="15"/>
        <v>4050</v>
      </c>
      <c r="T115" s="172"/>
      <c r="U115" s="137" t="s">
        <v>183</v>
      </c>
      <c r="V115" s="261">
        <f t="shared" si="13"/>
        <v>239.9999999999992</v>
      </c>
      <c r="W115" s="261">
        <f t="shared" si="20"/>
        <v>239.9999999999992</v>
      </c>
      <c r="X115" s="261"/>
      <c r="Y115" s="176" t="s">
        <v>838</v>
      </c>
      <c r="Z115" s="176"/>
      <c r="AA115" s="186">
        <v>6600</v>
      </c>
      <c r="AB115" s="186">
        <v>6300</v>
      </c>
      <c r="AC115" s="176">
        <v>0</v>
      </c>
      <c r="AD115" s="176">
        <v>0</v>
      </c>
      <c r="AE115" s="186">
        <v>300</v>
      </c>
      <c r="AF115" s="35">
        <v>299.99999999999898</v>
      </c>
      <c r="AG115" s="212">
        <v>1.0231815394945443E-12</v>
      </c>
      <c r="AH115" s="212">
        <f t="shared" si="16"/>
        <v>60.000000000000796</v>
      </c>
      <c r="AI115" s="212" t="s">
        <v>183</v>
      </c>
      <c r="AJ115" s="212">
        <v>6600</v>
      </c>
      <c r="AK115" s="212">
        <v>6300</v>
      </c>
      <c r="AL115" s="212">
        <v>0</v>
      </c>
      <c r="AM115" s="212">
        <v>0</v>
      </c>
      <c r="AN115" s="212">
        <v>299.99999999999898</v>
      </c>
      <c r="AO115" s="176">
        <v>0</v>
      </c>
      <c r="AP115" s="176">
        <v>0</v>
      </c>
      <c r="AQ115" s="176">
        <v>0</v>
      </c>
      <c r="AR115" s="212">
        <f t="shared" si="17"/>
        <v>239.9999999999992</v>
      </c>
      <c r="AS115" s="212">
        <f t="shared" si="18"/>
        <v>6300</v>
      </c>
      <c r="AT115" s="473">
        <f t="shared" si="19"/>
        <v>6060.0000000000009</v>
      </c>
      <c r="AU115" s="477"/>
    </row>
    <row r="116" spans="1:47" s="35" customFormat="1" ht="29" hidden="1" x14ac:dyDescent="0.35">
      <c r="A116" s="35" t="s">
        <v>1195</v>
      </c>
      <c r="B116" s="224" t="s">
        <v>947</v>
      </c>
      <c r="C116" s="222" t="s">
        <v>19</v>
      </c>
      <c r="D116" s="136">
        <v>8470325</v>
      </c>
      <c r="E116" s="137" t="s">
        <v>181</v>
      </c>
      <c r="F116" s="138">
        <v>425760</v>
      </c>
      <c r="G116" s="137" t="s">
        <v>142</v>
      </c>
      <c r="H116" s="137" t="s">
        <v>184</v>
      </c>
      <c r="I116" s="137">
        <v>5000</v>
      </c>
      <c r="J116" s="140">
        <v>5000</v>
      </c>
      <c r="K116" s="147"/>
      <c r="L116" s="142"/>
      <c r="M116" s="143"/>
      <c r="N116" s="144">
        <f t="shared" si="14"/>
        <v>5000</v>
      </c>
      <c r="O116" s="145"/>
      <c r="P116" s="145"/>
      <c r="Q116" s="145"/>
      <c r="R116" s="146"/>
      <c r="S116" s="139">
        <f t="shared" si="15"/>
        <v>5000</v>
      </c>
      <c r="T116" s="172"/>
      <c r="U116" s="137" t="s">
        <v>184</v>
      </c>
      <c r="V116" s="261">
        <f t="shared" si="13"/>
        <v>4000</v>
      </c>
      <c r="W116" s="261">
        <f t="shared" si="20"/>
        <v>4000</v>
      </c>
      <c r="X116" s="261"/>
      <c r="Y116" s="176" t="s">
        <v>838</v>
      </c>
      <c r="Z116" s="176"/>
      <c r="AA116" s="186">
        <v>5000</v>
      </c>
      <c r="AB116" s="186">
        <v>0</v>
      </c>
      <c r="AC116" s="176">
        <v>0</v>
      </c>
      <c r="AD116" s="176">
        <v>0</v>
      </c>
      <c r="AE116" s="186">
        <v>5000</v>
      </c>
      <c r="AF116" s="35">
        <v>5000</v>
      </c>
      <c r="AG116" s="212">
        <v>0</v>
      </c>
      <c r="AH116" s="212">
        <f t="shared" si="16"/>
        <v>1000</v>
      </c>
      <c r="AI116" s="212" t="s">
        <v>184</v>
      </c>
      <c r="AJ116" s="212">
        <v>5000</v>
      </c>
      <c r="AK116" s="212">
        <v>0</v>
      </c>
      <c r="AL116" s="212">
        <v>0</v>
      </c>
      <c r="AM116" s="212">
        <v>0</v>
      </c>
      <c r="AN116" s="212">
        <v>5000</v>
      </c>
      <c r="AO116" s="176">
        <v>0</v>
      </c>
      <c r="AP116" s="176">
        <v>0</v>
      </c>
      <c r="AQ116" s="176">
        <v>0</v>
      </c>
      <c r="AR116" s="212">
        <f t="shared" si="17"/>
        <v>4000</v>
      </c>
      <c r="AS116" s="212">
        <f t="shared" si="18"/>
        <v>0</v>
      </c>
      <c r="AT116" s="473">
        <f t="shared" si="19"/>
        <v>-4000</v>
      </c>
      <c r="AU116" s="477"/>
    </row>
    <row r="117" spans="1:47" s="35" customFormat="1" ht="29" hidden="1" x14ac:dyDescent="0.35">
      <c r="A117" s="35" t="s">
        <v>1195</v>
      </c>
      <c r="B117" s="224" t="s">
        <v>947</v>
      </c>
      <c r="C117" s="222" t="s">
        <v>19</v>
      </c>
      <c r="D117" s="136">
        <v>8470325</v>
      </c>
      <c r="E117" s="137" t="s">
        <v>181</v>
      </c>
      <c r="F117" s="138">
        <v>425763</v>
      </c>
      <c r="G117" s="137" t="s">
        <v>59</v>
      </c>
      <c r="H117" s="137" t="s">
        <v>185</v>
      </c>
      <c r="I117" s="137">
        <v>370000</v>
      </c>
      <c r="J117" s="140">
        <v>370000</v>
      </c>
      <c r="K117" s="141">
        <v>204324.33</v>
      </c>
      <c r="L117" s="142"/>
      <c r="M117" s="143"/>
      <c r="N117" s="144">
        <f t="shared" si="14"/>
        <v>165675.67000000001</v>
      </c>
      <c r="O117" s="145"/>
      <c r="P117" s="145"/>
      <c r="Q117" s="145"/>
      <c r="R117" s="146"/>
      <c r="S117" s="139">
        <f t="shared" si="15"/>
        <v>165675.67000000001</v>
      </c>
      <c r="T117" s="172"/>
      <c r="U117" s="137" t="s">
        <v>185</v>
      </c>
      <c r="V117" s="261">
        <f t="shared" si="13"/>
        <v>72540.536000000007</v>
      </c>
      <c r="W117" s="261">
        <f t="shared" si="20"/>
        <v>72540.536000000007</v>
      </c>
      <c r="X117" s="261"/>
      <c r="Y117" s="176" t="s">
        <v>838</v>
      </c>
      <c r="Z117" s="176"/>
      <c r="AA117" s="186">
        <v>370000</v>
      </c>
      <c r="AB117" s="186">
        <v>254324.33</v>
      </c>
      <c r="AC117" s="176">
        <v>0</v>
      </c>
      <c r="AD117" s="176">
        <v>0</v>
      </c>
      <c r="AE117" s="186">
        <v>115675.67000000001</v>
      </c>
      <c r="AF117" s="35">
        <v>115675.67</v>
      </c>
      <c r="AG117" s="212">
        <v>0</v>
      </c>
      <c r="AH117" s="212">
        <f t="shared" si="16"/>
        <v>43135.134000000005</v>
      </c>
      <c r="AI117" s="212" t="s">
        <v>185</v>
      </c>
      <c r="AJ117" s="212">
        <v>345000</v>
      </c>
      <c r="AK117" s="212">
        <v>254324.33</v>
      </c>
      <c r="AL117" s="212">
        <v>0</v>
      </c>
      <c r="AM117" s="212">
        <v>0</v>
      </c>
      <c r="AN117" s="212">
        <v>90675.67</v>
      </c>
      <c r="AO117" s="176">
        <v>0</v>
      </c>
      <c r="AP117" s="176">
        <v>0</v>
      </c>
      <c r="AQ117" s="176">
        <v>0</v>
      </c>
      <c r="AR117" s="212">
        <f t="shared" si="17"/>
        <v>72540.536000000007</v>
      </c>
      <c r="AS117" s="212">
        <f t="shared" si="18"/>
        <v>254324.33</v>
      </c>
      <c r="AT117" s="473">
        <f t="shared" si="19"/>
        <v>181783.79399999999</v>
      </c>
      <c r="AU117" s="477"/>
    </row>
    <row r="118" spans="1:47" s="35" customFormat="1" ht="29" hidden="1" x14ac:dyDescent="0.35">
      <c r="A118" s="35" t="s">
        <v>1195</v>
      </c>
      <c r="B118" s="224" t="s">
        <v>947</v>
      </c>
      <c r="C118" s="222" t="s">
        <v>19</v>
      </c>
      <c r="D118" s="136">
        <v>8470325</v>
      </c>
      <c r="E118" s="137" t="s">
        <v>181</v>
      </c>
      <c r="F118" s="138">
        <v>425770</v>
      </c>
      <c r="G118" s="137" t="s">
        <v>74</v>
      </c>
      <c r="H118" s="137" t="s">
        <v>186</v>
      </c>
      <c r="I118" s="137">
        <v>165000</v>
      </c>
      <c r="J118" s="140">
        <v>88156</v>
      </c>
      <c r="K118" s="141">
        <v>63135.35</v>
      </c>
      <c r="L118" s="142"/>
      <c r="M118" s="143"/>
      <c r="N118" s="144">
        <f t="shared" si="14"/>
        <v>25020.65</v>
      </c>
      <c r="O118" s="145"/>
      <c r="P118" s="145"/>
      <c r="Q118" s="145"/>
      <c r="R118" s="146"/>
      <c r="S118" s="139">
        <f t="shared" si="15"/>
        <v>25020.65</v>
      </c>
      <c r="T118" s="172"/>
      <c r="U118" s="137" t="s">
        <v>186</v>
      </c>
      <c r="V118" s="261">
        <f t="shared" si="13"/>
        <v>10273.216</v>
      </c>
      <c r="W118" s="261">
        <f t="shared" si="20"/>
        <v>-21353.333999999999</v>
      </c>
      <c r="X118" s="261"/>
      <c r="Y118" s="176" t="s">
        <v>838</v>
      </c>
      <c r="Z118" s="176"/>
      <c r="AA118" s="186">
        <v>88156</v>
      </c>
      <c r="AB118" s="186">
        <v>87368.44</v>
      </c>
      <c r="AC118" s="176">
        <v>0</v>
      </c>
      <c r="AD118" s="176">
        <v>0</v>
      </c>
      <c r="AE118" s="186">
        <v>787.55999999999767</v>
      </c>
      <c r="AF118" s="35">
        <v>787.55999999999801</v>
      </c>
      <c r="AG118" s="212">
        <v>0</v>
      </c>
      <c r="AH118" s="212">
        <f t="shared" si="16"/>
        <v>-9485.6560000000027</v>
      </c>
      <c r="AI118" s="212" t="s">
        <v>186</v>
      </c>
      <c r="AJ118" s="212">
        <v>108156</v>
      </c>
      <c r="AK118" s="212">
        <v>95314.48</v>
      </c>
      <c r="AL118" s="212">
        <v>0</v>
      </c>
      <c r="AM118" s="212">
        <v>0</v>
      </c>
      <c r="AN118" s="212">
        <v>12841.52</v>
      </c>
      <c r="AO118" s="176">
        <v>0</v>
      </c>
      <c r="AP118" s="176">
        <v>0</v>
      </c>
      <c r="AQ118" s="176">
        <v>31626.55</v>
      </c>
      <c r="AR118" s="212">
        <f t="shared" si="17"/>
        <v>-21353.333999999999</v>
      </c>
      <c r="AS118" s="212">
        <f t="shared" si="18"/>
        <v>118994.99</v>
      </c>
      <c r="AT118" s="473">
        <f t="shared" si="19"/>
        <v>148294.364</v>
      </c>
      <c r="AU118" s="477"/>
    </row>
    <row r="119" spans="1:47" s="35" customFormat="1" ht="29" hidden="1" x14ac:dyDescent="0.35">
      <c r="A119" s="35" t="s">
        <v>1195</v>
      </c>
      <c r="B119" s="224" t="s">
        <v>947</v>
      </c>
      <c r="C119" s="222" t="s">
        <v>19</v>
      </c>
      <c r="D119" s="136">
        <v>8470325</v>
      </c>
      <c r="E119" s="137" t="s">
        <v>181</v>
      </c>
      <c r="F119" s="138">
        <v>426610</v>
      </c>
      <c r="G119" s="137" t="s">
        <v>37</v>
      </c>
      <c r="H119" s="137" t="s">
        <v>187</v>
      </c>
      <c r="I119" s="137">
        <v>34910</v>
      </c>
      <c r="J119" s="140">
        <v>34910</v>
      </c>
      <c r="K119" s="141">
        <v>5509.5</v>
      </c>
      <c r="L119" s="148">
        <v>0</v>
      </c>
      <c r="M119" s="140">
        <v>11753.6</v>
      </c>
      <c r="N119" s="144">
        <f t="shared" si="14"/>
        <v>17646.900000000001</v>
      </c>
      <c r="O119" s="145"/>
      <c r="P119" s="145"/>
      <c r="Q119" s="145"/>
      <c r="R119" s="146"/>
      <c r="S119" s="139">
        <f t="shared" si="15"/>
        <v>17646.900000000001</v>
      </c>
      <c r="T119" s="172"/>
      <c r="U119" s="137" t="s">
        <v>187</v>
      </c>
      <c r="V119" s="261">
        <f t="shared" si="13"/>
        <v>12182.080000000002</v>
      </c>
      <c r="W119" s="261">
        <f t="shared" si="20"/>
        <v>8399.0800000000017</v>
      </c>
      <c r="X119" s="261"/>
      <c r="Y119" s="176" t="s">
        <v>838</v>
      </c>
      <c r="Z119" s="176"/>
      <c r="AA119" s="186">
        <v>34910</v>
      </c>
      <c r="AB119" s="186">
        <v>12928.8</v>
      </c>
      <c r="AC119" s="176">
        <v>0</v>
      </c>
      <c r="AD119" s="176">
        <v>11753.6</v>
      </c>
      <c r="AE119" s="186">
        <v>10227.6</v>
      </c>
      <c r="AF119" s="35">
        <v>10227.6</v>
      </c>
      <c r="AG119" s="212">
        <v>0</v>
      </c>
      <c r="AH119" s="212">
        <f t="shared" si="16"/>
        <v>-1954.4800000000014</v>
      </c>
      <c r="AI119" s="212" t="s">
        <v>187</v>
      </c>
      <c r="AJ119" s="212">
        <v>39910</v>
      </c>
      <c r="AK119" s="212">
        <v>12928.8</v>
      </c>
      <c r="AL119" s="212">
        <v>0</v>
      </c>
      <c r="AM119" s="212">
        <v>11753.6</v>
      </c>
      <c r="AN119" s="212">
        <v>15227.6</v>
      </c>
      <c r="AO119" s="176">
        <v>0</v>
      </c>
      <c r="AP119" s="176">
        <v>3783</v>
      </c>
      <c r="AQ119" s="176">
        <v>0</v>
      </c>
      <c r="AR119" s="212">
        <f t="shared" si="17"/>
        <v>8399.0800000000017</v>
      </c>
      <c r="AS119" s="212">
        <f t="shared" si="18"/>
        <v>28465.4</v>
      </c>
      <c r="AT119" s="473">
        <f t="shared" si="19"/>
        <v>20066.32</v>
      </c>
      <c r="AU119" s="477"/>
    </row>
    <row r="120" spans="1:47" s="35" customFormat="1" ht="29" hidden="1" x14ac:dyDescent="0.35">
      <c r="A120" s="35" t="s">
        <v>1195</v>
      </c>
      <c r="B120" s="224" t="s">
        <v>947</v>
      </c>
      <c r="C120" s="222" t="s">
        <v>19</v>
      </c>
      <c r="D120" s="136">
        <v>8470325</v>
      </c>
      <c r="E120" s="137" t="s">
        <v>181</v>
      </c>
      <c r="F120" s="138">
        <v>428090</v>
      </c>
      <c r="G120" s="137" t="s">
        <v>39</v>
      </c>
      <c r="H120" s="137" t="s">
        <v>188</v>
      </c>
      <c r="I120" s="137">
        <v>30000</v>
      </c>
      <c r="J120" s="140">
        <v>0</v>
      </c>
      <c r="K120" s="147"/>
      <c r="L120" s="142"/>
      <c r="M120" s="143"/>
      <c r="N120" s="144">
        <f t="shared" si="14"/>
        <v>0</v>
      </c>
      <c r="O120" s="145"/>
      <c r="P120" s="145"/>
      <c r="Q120" s="145"/>
      <c r="R120" s="146"/>
      <c r="S120" s="139">
        <f t="shared" si="15"/>
        <v>0</v>
      </c>
      <c r="T120" s="172"/>
      <c r="U120" s="137" t="s">
        <v>188</v>
      </c>
      <c r="V120" s="261">
        <f t="shared" si="13"/>
        <v>0</v>
      </c>
      <c r="W120" s="261">
        <f t="shared" si="20"/>
        <v>0</v>
      </c>
      <c r="X120" s="261"/>
      <c r="Y120" s="176" t="s">
        <v>838</v>
      </c>
      <c r="Z120" s="176"/>
      <c r="AA120" s="186">
        <v>0</v>
      </c>
      <c r="AB120" s="186">
        <v>0</v>
      </c>
      <c r="AC120" s="176">
        <v>0</v>
      </c>
      <c r="AD120" s="176">
        <v>0</v>
      </c>
      <c r="AE120" s="186">
        <v>0</v>
      </c>
      <c r="AF120" s="35">
        <v>0</v>
      </c>
      <c r="AG120" s="212">
        <v>0</v>
      </c>
      <c r="AH120" s="212">
        <f t="shared" si="16"/>
        <v>0</v>
      </c>
      <c r="AI120" s="212" t="s">
        <v>188</v>
      </c>
      <c r="AJ120" s="212">
        <v>0</v>
      </c>
      <c r="AK120" s="212">
        <v>0</v>
      </c>
      <c r="AL120" s="212">
        <v>0</v>
      </c>
      <c r="AM120" s="212">
        <v>0</v>
      </c>
      <c r="AN120" s="212">
        <v>0</v>
      </c>
      <c r="AO120" s="176">
        <v>0</v>
      </c>
      <c r="AP120" s="176">
        <v>0</v>
      </c>
      <c r="AQ120" s="176">
        <v>0</v>
      </c>
      <c r="AR120" s="212">
        <f t="shared" si="17"/>
        <v>0</v>
      </c>
      <c r="AS120" s="212">
        <f t="shared" si="18"/>
        <v>0</v>
      </c>
      <c r="AT120" s="473">
        <f t="shared" si="19"/>
        <v>0</v>
      </c>
      <c r="AU120" s="477"/>
    </row>
    <row r="121" spans="1:47" s="35" customFormat="1" ht="29" hidden="1" x14ac:dyDescent="0.35">
      <c r="A121" s="35" t="s">
        <v>1195</v>
      </c>
      <c r="B121" s="224" t="s">
        <v>947</v>
      </c>
      <c r="C121" s="222" t="s">
        <v>19</v>
      </c>
      <c r="D121" s="136">
        <v>8470325</v>
      </c>
      <c r="E121" s="137" t="s">
        <v>181</v>
      </c>
      <c r="F121" s="138">
        <v>432209</v>
      </c>
      <c r="G121" s="137" t="s">
        <v>132</v>
      </c>
      <c r="H121" s="137" t="s">
        <v>189</v>
      </c>
      <c r="I121" s="137">
        <v>171550</v>
      </c>
      <c r="J121" s="140">
        <v>201550</v>
      </c>
      <c r="K121" s="141">
        <v>142722</v>
      </c>
      <c r="L121" s="148">
        <v>-9.0949470177292808E-12</v>
      </c>
      <c r="M121" s="140">
        <v>30950</v>
      </c>
      <c r="N121" s="144">
        <f t="shared" si="14"/>
        <v>27878.000000000007</v>
      </c>
      <c r="O121" s="145"/>
      <c r="P121" s="145"/>
      <c r="Q121" s="145"/>
      <c r="R121" s="146"/>
      <c r="S121" s="139">
        <f t="shared" si="15"/>
        <v>27878.000000000007</v>
      </c>
      <c r="T121" s="172"/>
      <c r="U121" s="137" t="s">
        <v>189</v>
      </c>
      <c r="V121" s="261">
        <f t="shared" si="13"/>
        <v>20694.400000000001</v>
      </c>
      <c r="W121" s="261">
        <f t="shared" si="20"/>
        <v>17008.900000000001</v>
      </c>
      <c r="X121" s="261"/>
      <c r="Y121" s="176" t="s">
        <v>838</v>
      </c>
      <c r="Z121" s="176"/>
      <c r="AA121" s="186">
        <v>201550</v>
      </c>
      <c r="AB121" s="186">
        <v>165222</v>
      </c>
      <c r="AC121" s="176">
        <v>0</v>
      </c>
      <c r="AD121" s="176">
        <v>8450</v>
      </c>
      <c r="AE121" s="186">
        <v>27878</v>
      </c>
      <c r="AF121" s="35">
        <v>27878</v>
      </c>
      <c r="AG121" s="212">
        <v>0</v>
      </c>
      <c r="AH121" s="212">
        <f t="shared" si="16"/>
        <v>7183.5999999999985</v>
      </c>
      <c r="AI121" s="212" t="s">
        <v>189</v>
      </c>
      <c r="AJ121" s="212">
        <v>201550</v>
      </c>
      <c r="AK121" s="212">
        <v>167232</v>
      </c>
      <c r="AL121" s="212">
        <v>0</v>
      </c>
      <c r="AM121" s="212">
        <v>8450</v>
      </c>
      <c r="AN121" s="212">
        <v>25868</v>
      </c>
      <c r="AO121" s="176">
        <v>1575</v>
      </c>
      <c r="AP121" s="176">
        <v>2110.5</v>
      </c>
      <c r="AQ121" s="176">
        <v>0</v>
      </c>
      <c r="AR121" s="212">
        <f t="shared" si="17"/>
        <v>17008.900000000001</v>
      </c>
      <c r="AS121" s="212">
        <f t="shared" si="18"/>
        <v>177357.5</v>
      </c>
      <c r="AT121" s="473">
        <f t="shared" si="19"/>
        <v>162358.6</v>
      </c>
      <c r="AU121" s="477"/>
    </row>
    <row r="122" spans="1:47" s="35" customFormat="1" ht="29" hidden="1" x14ac:dyDescent="0.35">
      <c r="A122" s="35" t="s">
        <v>1195</v>
      </c>
      <c r="B122" s="224" t="s">
        <v>947</v>
      </c>
      <c r="C122" s="222" t="s">
        <v>19</v>
      </c>
      <c r="D122" s="136">
        <v>8470325</v>
      </c>
      <c r="E122" s="137" t="s">
        <v>181</v>
      </c>
      <c r="F122" s="138">
        <v>435350</v>
      </c>
      <c r="G122" s="137" t="s">
        <v>79</v>
      </c>
      <c r="H122" s="137" t="s">
        <v>190</v>
      </c>
      <c r="I122" s="137">
        <v>80000</v>
      </c>
      <c r="J122" s="140">
        <v>43337</v>
      </c>
      <c r="K122" s="141">
        <v>15857</v>
      </c>
      <c r="L122" s="142"/>
      <c r="M122" s="143"/>
      <c r="N122" s="144">
        <f t="shared" si="14"/>
        <v>27480</v>
      </c>
      <c r="O122" s="145"/>
      <c r="P122" s="145"/>
      <c r="Q122" s="145"/>
      <c r="R122" s="146"/>
      <c r="S122" s="139">
        <f t="shared" si="15"/>
        <v>27480</v>
      </c>
      <c r="T122" s="172"/>
      <c r="U122" s="137" t="s">
        <v>190</v>
      </c>
      <c r="V122" s="261">
        <f t="shared" si="13"/>
        <v>21984</v>
      </c>
      <c r="W122" s="261">
        <f t="shared" si="20"/>
        <v>21984</v>
      </c>
      <c r="X122" s="261"/>
      <c r="Y122" s="176" t="s">
        <v>838</v>
      </c>
      <c r="Z122" s="176"/>
      <c r="AA122" s="186">
        <v>43337</v>
      </c>
      <c r="AB122" s="186">
        <v>15857</v>
      </c>
      <c r="AC122" s="176">
        <v>0</v>
      </c>
      <c r="AD122" s="176">
        <v>0</v>
      </c>
      <c r="AE122" s="186">
        <v>27480</v>
      </c>
      <c r="AF122" s="35">
        <v>27480</v>
      </c>
      <c r="AG122" s="212">
        <v>0</v>
      </c>
      <c r="AH122" s="212">
        <f t="shared" si="16"/>
        <v>5496</v>
      </c>
      <c r="AI122" s="212" t="s">
        <v>190</v>
      </c>
      <c r="AJ122" s="212">
        <v>43337</v>
      </c>
      <c r="AK122" s="212">
        <v>15857</v>
      </c>
      <c r="AL122" s="212">
        <v>0</v>
      </c>
      <c r="AM122" s="212">
        <v>0</v>
      </c>
      <c r="AN122" s="212">
        <v>27480</v>
      </c>
      <c r="AO122" s="176">
        <v>0</v>
      </c>
      <c r="AP122" s="176">
        <v>0</v>
      </c>
      <c r="AQ122" s="176">
        <v>0</v>
      </c>
      <c r="AR122" s="212">
        <f t="shared" si="17"/>
        <v>21984</v>
      </c>
      <c r="AS122" s="212">
        <f t="shared" si="18"/>
        <v>15857</v>
      </c>
      <c r="AT122" s="473">
        <f t="shared" si="19"/>
        <v>-6127</v>
      </c>
      <c r="AU122" s="477"/>
    </row>
    <row r="123" spans="1:47" s="35" customFormat="1" ht="29" hidden="1" x14ac:dyDescent="0.35">
      <c r="A123" s="35" t="s">
        <v>1195</v>
      </c>
      <c r="B123" s="224" t="s">
        <v>947</v>
      </c>
      <c r="C123" s="222" t="s">
        <v>19</v>
      </c>
      <c r="D123" s="136">
        <v>8470325</v>
      </c>
      <c r="E123" s="137" t="s">
        <v>181</v>
      </c>
      <c r="F123" s="138">
        <v>435508</v>
      </c>
      <c r="G123" s="137" t="s">
        <v>135</v>
      </c>
      <c r="H123" s="137" t="s">
        <v>191</v>
      </c>
      <c r="I123" s="137">
        <v>92573</v>
      </c>
      <c r="J123" s="140">
        <v>92573</v>
      </c>
      <c r="K123" s="141">
        <v>37796.97</v>
      </c>
      <c r="L123" s="148">
        <v>0</v>
      </c>
      <c r="M123" s="140">
        <v>46312.06</v>
      </c>
      <c r="N123" s="144">
        <f t="shared" si="14"/>
        <v>8463.9700000000012</v>
      </c>
      <c r="O123" s="145"/>
      <c r="P123" s="145"/>
      <c r="Q123" s="145"/>
      <c r="R123" s="146"/>
      <c r="S123" s="139">
        <f t="shared" si="15"/>
        <v>8463.9700000000012</v>
      </c>
      <c r="T123" s="172"/>
      <c r="U123" s="137" t="s">
        <v>191</v>
      </c>
      <c r="V123" s="261">
        <f t="shared" si="13"/>
        <v>5611.2480000000005</v>
      </c>
      <c r="W123" s="261">
        <f t="shared" si="20"/>
        <v>3220.4380000000006</v>
      </c>
      <c r="X123" s="261"/>
      <c r="Y123" s="176" t="s">
        <v>838</v>
      </c>
      <c r="Z123" s="176"/>
      <c r="AA123" s="186">
        <v>92573</v>
      </c>
      <c r="AB123" s="186">
        <v>52728.94</v>
      </c>
      <c r="AC123" s="176">
        <v>0</v>
      </c>
      <c r="AD123" s="176">
        <v>32830</v>
      </c>
      <c r="AE123" s="186">
        <v>7014.0599999999977</v>
      </c>
      <c r="AF123" s="35">
        <v>7014.06</v>
      </c>
      <c r="AG123" s="212">
        <v>0</v>
      </c>
      <c r="AH123" s="212">
        <f t="shared" si="16"/>
        <v>1402.8119999999972</v>
      </c>
      <c r="AI123" s="212" t="s">
        <v>191</v>
      </c>
      <c r="AJ123" s="212">
        <v>92573</v>
      </c>
      <c r="AK123" s="212">
        <v>52728.94</v>
      </c>
      <c r="AL123" s="212">
        <v>0</v>
      </c>
      <c r="AM123" s="212">
        <v>32830</v>
      </c>
      <c r="AN123" s="212">
        <v>7014.06</v>
      </c>
      <c r="AO123" s="176">
        <v>0</v>
      </c>
      <c r="AP123" s="176">
        <v>2390.81</v>
      </c>
      <c r="AQ123" s="176">
        <v>0</v>
      </c>
      <c r="AR123" s="212">
        <f t="shared" si="17"/>
        <v>3220.4380000000006</v>
      </c>
      <c r="AS123" s="212">
        <f t="shared" si="18"/>
        <v>87949.75</v>
      </c>
      <c r="AT123" s="473">
        <f t="shared" si="19"/>
        <v>84729.312000000005</v>
      </c>
      <c r="AU123" s="477"/>
    </row>
    <row r="124" spans="1:47" s="35" customFormat="1" ht="29" hidden="1" x14ac:dyDescent="0.35">
      <c r="A124" s="35" t="s">
        <v>1195</v>
      </c>
      <c r="B124" s="224" t="s">
        <v>947</v>
      </c>
      <c r="C124" s="222" t="s">
        <v>19</v>
      </c>
      <c r="D124" s="136">
        <v>8470330</v>
      </c>
      <c r="E124" s="137" t="s">
        <v>192</v>
      </c>
      <c r="F124" s="138">
        <v>420550</v>
      </c>
      <c r="G124" s="137" t="s">
        <v>21</v>
      </c>
      <c r="H124" s="137" t="s">
        <v>193</v>
      </c>
      <c r="I124" s="137">
        <v>3000</v>
      </c>
      <c r="J124" s="140">
        <v>3000</v>
      </c>
      <c r="K124" s="147"/>
      <c r="L124" s="142"/>
      <c r="M124" s="143"/>
      <c r="N124" s="144">
        <f t="shared" si="14"/>
        <v>3000</v>
      </c>
      <c r="O124" s="145"/>
      <c r="P124" s="145"/>
      <c r="Q124" s="145"/>
      <c r="R124" s="146"/>
      <c r="S124" s="139">
        <f t="shared" si="15"/>
        <v>3000</v>
      </c>
      <c r="T124" s="172"/>
      <c r="U124" s="137" t="s">
        <v>193</v>
      </c>
      <c r="V124" s="261">
        <f t="shared" si="13"/>
        <v>2400</v>
      </c>
      <c r="W124" s="261">
        <f t="shared" si="20"/>
        <v>2400</v>
      </c>
      <c r="X124" s="261"/>
      <c r="Y124" s="176" t="s">
        <v>838</v>
      </c>
      <c r="Z124" s="176"/>
      <c r="AA124" s="186">
        <v>3000</v>
      </c>
      <c r="AB124" s="186">
        <v>0</v>
      </c>
      <c r="AC124" s="176">
        <v>0</v>
      </c>
      <c r="AD124" s="176">
        <v>0</v>
      </c>
      <c r="AE124" s="186">
        <v>3000</v>
      </c>
      <c r="AF124" s="35">
        <v>3000</v>
      </c>
      <c r="AG124" s="212">
        <v>0</v>
      </c>
      <c r="AH124" s="212">
        <f t="shared" si="16"/>
        <v>600</v>
      </c>
      <c r="AI124" s="212" t="s">
        <v>193</v>
      </c>
      <c r="AJ124" s="212">
        <v>3000</v>
      </c>
      <c r="AK124" s="212">
        <v>0</v>
      </c>
      <c r="AL124" s="212">
        <v>0</v>
      </c>
      <c r="AM124" s="212">
        <v>0</v>
      </c>
      <c r="AN124" s="212">
        <v>3000</v>
      </c>
      <c r="AO124" s="176">
        <v>0</v>
      </c>
      <c r="AP124" s="176">
        <v>0</v>
      </c>
      <c r="AQ124" s="176">
        <v>0</v>
      </c>
      <c r="AR124" s="212">
        <f t="shared" si="17"/>
        <v>2400</v>
      </c>
      <c r="AS124" s="212">
        <f t="shared" si="18"/>
        <v>0</v>
      </c>
      <c r="AT124" s="473">
        <f t="shared" si="19"/>
        <v>-2400</v>
      </c>
      <c r="AU124" s="477"/>
    </row>
    <row r="125" spans="1:47" s="35" customFormat="1" ht="29" hidden="1" x14ac:dyDescent="0.35">
      <c r="A125" s="35" t="s">
        <v>1195</v>
      </c>
      <c r="B125" s="224" t="s">
        <v>947</v>
      </c>
      <c r="C125" s="222" t="s">
        <v>19</v>
      </c>
      <c r="D125" s="136">
        <v>8470330</v>
      </c>
      <c r="E125" s="137" t="s">
        <v>192</v>
      </c>
      <c r="F125" s="138">
        <v>425510</v>
      </c>
      <c r="G125" s="137" t="s">
        <v>31</v>
      </c>
      <c r="H125" s="137" t="s">
        <v>194</v>
      </c>
      <c r="I125" s="137">
        <v>42000</v>
      </c>
      <c r="J125" s="140">
        <v>42000</v>
      </c>
      <c r="K125" s="141">
        <v>4400</v>
      </c>
      <c r="L125" s="142"/>
      <c r="M125" s="143"/>
      <c r="N125" s="144">
        <f t="shared" si="14"/>
        <v>37600</v>
      </c>
      <c r="O125" s="145"/>
      <c r="P125" s="145"/>
      <c r="Q125" s="145"/>
      <c r="R125" s="146"/>
      <c r="S125" s="139">
        <f t="shared" si="15"/>
        <v>37600</v>
      </c>
      <c r="T125" s="172"/>
      <c r="U125" s="137" t="s">
        <v>194</v>
      </c>
      <c r="V125" s="261">
        <f t="shared" si="13"/>
        <v>22587.232000000004</v>
      </c>
      <c r="W125" s="261">
        <f t="shared" si="20"/>
        <v>22587.232000000004</v>
      </c>
      <c r="X125" s="261"/>
      <c r="Y125" s="176" t="s">
        <v>838</v>
      </c>
      <c r="Z125" s="176"/>
      <c r="AA125" s="186">
        <v>42000</v>
      </c>
      <c r="AB125" s="186">
        <v>12820.96</v>
      </c>
      <c r="AC125" s="176">
        <v>0</v>
      </c>
      <c r="AD125" s="176">
        <v>0</v>
      </c>
      <c r="AE125" s="186">
        <v>29179.040000000001</v>
      </c>
      <c r="AF125" s="35">
        <v>29179.040000000001</v>
      </c>
      <c r="AG125" s="212">
        <v>0</v>
      </c>
      <c r="AH125" s="212">
        <f t="shared" si="16"/>
        <v>6591.8079999999973</v>
      </c>
      <c r="AI125" s="212" t="s">
        <v>194</v>
      </c>
      <c r="AJ125" s="212">
        <v>42000</v>
      </c>
      <c r="AK125" s="212">
        <v>12820.96</v>
      </c>
      <c r="AL125" s="212">
        <v>0</v>
      </c>
      <c r="AM125" s="212">
        <v>0</v>
      </c>
      <c r="AN125" s="212">
        <v>28234.04</v>
      </c>
      <c r="AO125" s="176">
        <v>0</v>
      </c>
      <c r="AP125" s="176">
        <v>0</v>
      </c>
      <c r="AQ125" s="176">
        <v>0</v>
      </c>
      <c r="AR125" s="212">
        <f t="shared" si="17"/>
        <v>22587.232000000004</v>
      </c>
      <c r="AS125" s="212">
        <f t="shared" si="18"/>
        <v>12820.96</v>
      </c>
      <c r="AT125" s="473">
        <f t="shared" si="19"/>
        <v>-9766.2720000000045</v>
      </c>
      <c r="AU125" s="477"/>
    </row>
    <row r="126" spans="1:47" s="35" customFormat="1" ht="29" hidden="1" x14ac:dyDescent="0.35">
      <c r="A126" s="35" t="s">
        <v>1195</v>
      </c>
      <c r="B126" s="224" t="s">
        <v>947</v>
      </c>
      <c r="C126" s="222" t="s">
        <v>19</v>
      </c>
      <c r="D126" s="136">
        <v>8470330</v>
      </c>
      <c r="E126" s="137" t="s">
        <v>192</v>
      </c>
      <c r="F126" s="138">
        <v>425760</v>
      </c>
      <c r="G126" s="137" t="s">
        <v>142</v>
      </c>
      <c r="H126" s="137" t="s">
        <v>195</v>
      </c>
      <c r="I126" s="137">
        <v>72000</v>
      </c>
      <c r="J126" s="140">
        <v>72000</v>
      </c>
      <c r="K126" s="147"/>
      <c r="L126" s="142"/>
      <c r="M126" s="143"/>
      <c r="N126" s="144">
        <f t="shared" si="14"/>
        <v>72000</v>
      </c>
      <c r="O126" s="145"/>
      <c r="P126" s="145"/>
      <c r="Q126" s="145"/>
      <c r="R126" s="146"/>
      <c r="S126" s="139">
        <f t="shared" si="15"/>
        <v>72000</v>
      </c>
      <c r="T126" s="172"/>
      <c r="U126" s="137" t="s">
        <v>195</v>
      </c>
      <c r="V126" s="261">
        <f t="shared" ref="V126:V189" si="21">AN126*0.8</f>
        <v>30080</v>
      </c>
      <c r="W126" s="261">
        <f t="shared" si="20"/>
        <v>30080</v>
      </c>
      <c r="X126" s="261"/>
      <c r="Y126" s="176" t="s">
        <v>838</v>
      </c>
      <c r="Z126" s="176"/>
      <c r="AA126" s="186">
        <v>42000</v>
      </c>
      <c r="AB126" s="186">
        <v>0</v>
      </c>
      <c r="AC126" s="176">
        <v>0</v>
      </c>
      <c r="AD126" s="176">
        <v>0</v>
      </c>
      <c r="AE126" s="186">
        <v>42000</v>
      </c>
      <c r="AF126" s="35">
        <v>42000</v>
      </c>
      <c r="AG126" s="212">
        <v>0</v>
      </c>
      <c r="AH126" s="212">
        <f t="shared" si="16"/>
        <v>11920</v>
      </c>
      <c r="AI126" s="212" t="s">
        <v>195</v>
      </c>
      <c r="AJ126" s="212">
        <v>42000</v>
      </c>
      <c r="AK126" s="212">
        <v>4400</v>
      </c>
      <c r="AL126" s="212">
        <v>0</v>
      </c>
      <c r="AM126" s="212">
        <v>0</v>
      </c>
      <c r="AN126" s="212">
        <v>37600</v>
      </c>
      <c r="AO126" s="176">
        <v>0</v>
      </c>
      <c r="AP126" s="176">
        <v>0</v>
      </c>
      <c r="AQ126" s="176">
        <v>0</v>
      </c>
      <c r="AR126" s="212">
        <f t="shared" si="17"/>
        <v>30080</v>
      </c>
      <c r="AS126" s="212">
        <f t="shared" si="18"/>
        <v>0</v>
      </c>
      <c r="AT126" s="473">
        <f t="shared" si="19"/>
        <v>-25680</v>
      </c>
      <c r="AU126" s="477"/>
    </row>
    <row r="127" spans="1:47" s="35" customFormat="1" ht="29" hidden="1" x14ac:dyDescent="0.35">
      <c r="A127" s="35" t="s">
        <v>1195</v>
      </c>
      <c r="B127" s="224" t="s">
        <v>947</v>
      </c>
      <c r="C127" s="222" t="s">
        <v>19</v>
      </c>
      <c r="D127" s="136">
        <v>8470330</v>
      </c>
      <c r="E127" s="137" t="s">
        <v>192</v>
      </c>
      <c r="F127" s="138">
        <v>425763</v>
      </c>
      <c r="G127" s="137" t="s">
        <v>59</v>
      </c>
      <c r="H127" s="137" t="s">
        <v>196</v>
      </c>
      <c r="I127" s="137">
        <v>405000</v>
      </c>
      <c r="J127" s="140">
        <v>405000</v>
      </c>
      <c r="K127" s="141">
        <v>107000</v>
      </c>
      <c r="L127" s="142"/>
      <c r="M127" s="143"/>
      <c r="N127" s="144">
        <f t="shared" si="14"/>
        <v>298000</v>
      </c>
      <c r="O127" s="145"/>
      <c r="P127" s="145"/>
      <c r="Q127" s="145"/>
      <c r="R127" s="146"/>
      <c r="S127" s="139">
        <f t="shared" si="15"/>
        <v>298000</v>
      </c>
      <c r="T127" s="172"/>
      <c r="U127" s="137" t="s">
        <v>196</v>
      </c>
      <c r="V127" s="261">
        <f t="shared" si="21"/>
        <v>186400</v>
      </c>
      <c r="W127" s="261">
        <f t="shared" si="20"/>
        <v>186400</v>
      </c>
      <c r="X127" s="261"/>
      <c r="Y127" s="176" t="s">
        <v>838</v>
      </c>
      <c r="Z127" s="176"/>
      <c r="AA127" s="186">
        <v>405000</v>
      </c>
      <c r="AB127" s="186">
        <v>172000</v>
      </c>
      <c r="AC127" s="176">
        <v>0</v>
      </c>
      <c r="AD127" s="176">
        <v>0</v>
      </c>
      <c r="AE127" s="186">
        <v>233000</v>
      </c>
      <c r="AF127" s="35">
        <v>233000</v>
      </c>
      <c r="AG127" s="212">
        <v>0</v>
      </c>
      <c r="AH127" s="212">
        <f t="shared" si="16"/>
        <v>46600</v>
      </c>
      <c r="AI127" s="212" t="s">
        <v>196</v>
      </c>
      <c r="AJ127" s="212">
        <v>405000</v>
      </c>
      <c r="AK127" s="212">
        <v>172000</v>
      </c>
      <c r="AL127" s="212">
        <v>0</v>
      </c>
      <c r="AM127" s="212">
        <v>0</v>
      </c>
      <c r="AN127" s="212">
        <v>233000</v>
      </c>
      <c r="AO127" s="176">
        <v>0</v>
      </c>
      <c r="AP127" s="176">
        <v>0</v>
      </c>
      <c r="AQ127" s="176">
        <v>0</v>
      </c>
      <c r="AR127" s="212">
        <f t="shared" si="17"/>
        <v>186400</v>
      </c>
      <c r="AS127" s="212">
        <f t="shared" si="18"/>
        <v>172000</v>
      </c>
      <c r="AT127" s="473">
        <f t="shared" si="19"/>
        <v>-14400</v>
      </c>
      <c r="AU127" s="477"/>
    </row>
    <row r="128" spans="1:47" s="35" customFormat="1" ht="29" hidden="1" x14ac:dyDescent="0.35">
      <c r="A128" s="35" t="s">
        <v>1195</v>
      </c>
      <c r="B128" s="224" t="s">
        <v>947</v>
      </c>
      <c r="C128" s="222" t="s">
        <v>19</v>
      </c>
      <c r="D128" s="136">
        <v>8470330</v>
      </c>
      <c r="E128" s="137" t="s">
        <v>192</v>
      </c>
      <c r="F128" s="138">
        <v>425770</v>
      </c>
      <c r="G128" s="137" t="s">
        <v>74</v>
      </c>
      <c r="H128" s="137" t="s">
        <v>197</v>
      </c>
      <c r="I128" s="137">
        <v>650000</v>
      </c>
      <c r="J128" s="140">
        <v>261686</v>
      </c>
      <c r="K128" s="141">
        <v>115081.41</v>
      </c>
      <c r="L128" s="142"/>
      <c r="M128" s="143"/>
      <c r="N128" s="144">
        <f t="shared" si="14"/>
        <v>146604.59</v>
      </c>
      <c r="O128" s="145"/>
      <c r="P128" s="145"/>
      <c r="Q128" s="145"/>
      <c r="R128" s="146"/>
      <c r="S128" s="139">
        <f t="shared" si="15"/>
        <v>146604.59</v>
      </c>
      <c r="T128" s="172"/>
      <c r="U128" s="137" t="s">
        <v>197</v>
      </c>
      <c r="V128" s="261">
        <f t="shared" si="21"/>
        <v>11534.232000000002</v>
      </c>
      <c r="W128" s="261">
        <f t="shared" si="20"/>
        <v>-44757.097999999998</v>
      </c>
      <c r="X128" s="261"/>
      <c r="Y128" s="176" t="s">
        <v>838</v>
      </c>
      <c r="Z128" s="176"/>
      <c r="AA128" s="186">
        <v>261686</v>
      </c>
      <c r="AB128" s="186">
        <v>235435.37</v>
      </c>
      <c r="AC128" s="176">
        <v>0</v>
      </c>
      <c r="AD128" s="176">
        <v>0</v>
      </c>
      <c r="AE128" s="186">
        <v>26250.630000000005</v>
      </c>
      <c r="AF128" s="35">
        <v>26250.63</v>
      </c>
      <c r="AG128" s="212">
        <v>0</v>
      </c>
      <c r="AH128" s="212">
        <f t="shared" si="16"/>
        <v>14716.398000000003</v>
      </c>
      <c r="AI128" s="212" t="s">
        <v>197</v>
      </c>
      <c r="AJ128" s="212">
        <v>261686</v>
      </c>
      <c r="AK128" s="212">
        <v>247268.21</v>
      </c>
      <c r="AL128" s="212">
        <v>0</v>
      </c>
      <c r="AM128" s="212">
        <v>0</v>
      </c>
      <c r="AN128" s="212">
        <v>14417.79</v>
      </c>
      <c r="AO128" s="176">
        <v>7167.15</v>
      </c>
      <c r="AP128" s="176">
        <v>0</v>
      </c>
      <c r="AQ128" s="176">
        <v>49124.18</v>
      </c>
      <c r="AR128" s="212">
        <f t="shared" si="17"/>
        <v>-44757.097999999998</v>
      </c>
      <c r="AS128" s="212">
        <f t="shared" si="18"/>
        <v>291726.7</v>
      </c>
      <c r="AT128" s="473">
        <f t="shared" si="19"/>
        <v>348316.63799999998</v>
      </c>
      <c r="AU128" s="477"/>
    </row>
    <row r="129" spans="1:47" s="35" customFormat="1" ht="29" hidden="1" x14ac:dyDescent="0.35">
      <c r="A129" s="35" t="s">
        <v>1195</v>
      </c>
      <c r="B129" s="224" t="s">
        <v>947</v>
      </c>
      <c r="C129" s="222" t="s">
        <v>19</v>
      </c>
      <c r="D129" s="136">
        <v>8470330</v>
      </c>
      <c r="E129" s="137" t="s">
        <v>192</v>
      </c>
      <c r="F129" s="138">
        <v>425900</v>
      </c>
      <c r="G129" s="137" t="s">
        <v>35</v>
      </c>
      <c r="H129" s="137" t="s">
        <v>198</v>
      </c>
      <c r="I129" s="137">
        <v>16000</v>
      </c>
      <c r="J129" s="140">
        <v>16000</v>
      </c>
      <c r="K129" s="141">
        <v>1390</v>
      </c>
      <c r="L129" s="142"/>
      <c r="M129" s="143"/>
      <c r="N129" s="144">
        <f t="shared" si="14"/>
        <v>14610</v>
      </c>
      <c r="O129" s="145"/>
      <c r="P129" s="145"/>
      <c r="Q129" s="145"/>
      <c r="R129" s="146"/>
      <c r="S129" s="139">
        <f t="shared" si="15"/>
        <v>14610</v>
      </c>
      <c r="T129" s="172"/>
      <c r="U129" s="137" t="s">
        <v>198</v>
      </c>
      <c r="V129" s="261">
        <f t="shared" si="21"/>
        <v>11243.2</v>
      </c>
      <c r="W129" s="261">
        <f t="shared" si="20"/>
        <v>11243.2</v>
      </c>
      <c r="X129" s="261"/>
      <c r="Y129" s="176" t="s">
        <v>838</v>
      </c>
      <c r="Z129" s="176"/>
      <c r="AA129" s="186">
        <v>36000</v>
      </c>
      <c r="AB129" s="186">
        <v>6190</v>
      </c>
      <c r="AC129" s="176">
        <v>0</v>
      </c>
      <c r="AD129" s="176">
        <v>0</v>
      </c>
      <c r="AE129" s="186">
        <v>29810</v>
      </c>
      <c r="AF129" s="35">
        <v>29810</v>
      </c>
      <c r="AG129" s="212">
        <v>0</v>
      </c>
      <c r="AH129" s="212">
        <f t="shared" si="16"/>
        <v>18566.8</v>
      </c>
      <c r="AI129" s="212" t="s">
        <v>198</v>
      </c>
      <c r="AJ129" s="212">
        <v>36000</v>
      </c>
      <c r="AK129" s="212">
        <v>21190</v>
      </c>
      <c r="AL129" s="212">
        <v>0</v>
      </c>
      <c r="AM129" s="212">
        <v>0</v>
      </c>
      <c r="AN129" s="212">
        <v>14054</v>
      </c>
      <c r="AO129" s="176">
        <v>0</v>
      </c>
      <c r="AP129" s="176">
        <v>0</v>
      </c>
      <c r="AQ129" s="176">
        <v>0</v>
      </c>
      <c r="AR129" s="212">
        <f t="shared" si="17"/>
        <v>11243.2</v>
      </c>
      <c r="AS129" s="212">
        <f t="shared" si="18"/>
        <v>6190</v>
      </c>
      <c r="AT129" s="473">
        <f t="shared" si="19"/>
        <v>9946.7999999999993</v>
      </c>
      <c r="AU129" s="477"/>
    </row>
    <row r="130" spans="1:47" s="35" customFormat="1" ht="29" hidden="1" x14ac:dyDescent="0.35">
      <c r="A130" s="35" t="s">
        <v>1195</v>
      </c>
      <c r="B130" s="224" t="s">
        <v>947</v>
      </c>
      <c r="C130" s="222" t="s">
        <v>19</v>
      </c>
      <c r="D130" s="136">
        <v>8470330</v>
      </c>
      <c r="E130" s="137" t="s">
        <v>192</v>
      </c>
      <c r="F130" s="138">
        <v>426610</v>
      </c>
      <c r="G130" s="137" t="s">
        <v>37</v>
      </c>
      <c r="H130" s="137" t="s">
        <v>199</v>
      </c>
      <c r="I130" s="137">
        <v>720500</v>
      </c>
      <c r="J130" s="140">
        <v>720500</v>
      </c>
      <c r="K130" s="141">
        <v>391033.15</v>
      </c>
      <c r="L130" s="148">
        <v>5.8207660913467401E-11</v>
      </c>
      <c r="M130" s="140">
        <v>0</v>
      </c>
      <c r="N130" s="144">
        <f t="shared" ref="N130:N193" si="22">J130-K130-L130-M130</f>
        <v>329466.84999999992</v>
      </c>
      <c r="O130" s="145"/>
      <c r="P130" s="145"/>
      <c r="Q130" s="145"/>
      <c r="R130" s="146"/>
      <c r="S130" s="139">
        <f t="shared" ref="S130:S193" si="23">N130-O130-P130-Q130</f>
        <v>329466.84999999992</v>
      </c>
      <c r="T130" s="172"/>
      <c r="U130" s="137" t="s">
        <v>199</v>
      </c>
      <c r="V130" s="261">
        <f t="shared" si="21"/>
        <v>244613.47999999998</v>
      </c>
      <c r="W130" s="261">
        <f t="shared" si="20"/>
        <v>244613.47999999998</v>
      </c>
      <c r="X130" s="261"/>
      <c r="Y130" s="176" t="s">
        <v>838</v>
      </c>
      <c r="Z130" s="176"/>
      <c r="AA130" s="186">
        <v>720500</v>
      </c>
      <c r="AB130" s="186">
        <v>391033.15</v>
      </c>
      <c r="AC130" s="176">
        <v>23310</v>
      </c>
      <c r="AD130" s="176">
        <v>0</v>
      </c>
      <c r="AE130" s="186">
        <v>306156.84999999998</v>
      </c>
      <c r="AF130" s="35">
        <v>306156.84999999998</v>
      </c>
      <c r="AG130" s="212">
        <v>0</v>
      </c>
      <c r="AH130" s="212">
        <f t="shared" ref="AH130:AH193" si="24">AE130-V130</f>
        <v>61543.369999999995</v>
      </c>
      <c r="AI130" s="212" t="s">
        <v>199</v>
      </c>
      <c r="AJ130" s="212">
        <v>720500</v>
      </c>
      <c r="AK130" s="212">
        <v>391033.15</v>
      </c>
      <c r="AL130" s="212">
        <v>0</v>
      </c>
      <c r="AM130" s="212">
        <v>23700</v>
      </c>
      <c r="AN130" s="212">
        <v>305766.84999999998</v>
      </c>
      <c r="AO130" s="176">
        <v>0</v>
      </c>
      <c r="AP130" s="176">
        <v>0</v>
      </c>
      <c r="AQ130" s="176">
        <v>0</v>
      </c>
      <c r="AR130" s="212">
        <f t="shared" ref="AR130:AR193" si="25">V130-AO130-AP130-AQ130</f>
        <v>244613.47999999998</v>
      </c>
      <c r="AS130" s="212">
        <f t="shared" ref="AS130:AS193" si="26">AB130+AC130+AD130+Q130+AO130+AP130+AQ130</f>
        <v>414343.15</v>
      </c>
      <c r="AT130" s="473">
        <f t="shared" ref="AT130:AT193" si="27">AK130+AL130+AM130+AO130+AP130+AQ130+X130+Q130-W130</f>
        <v>170119.67000000004</v>
      </c>
      <c r="AU130" s="477"/>
    </row>
    <row r="131" spans="1:47" s="35" customFormat="1" ht="29" hidden="1" x14ac:dyDescent="0.35">
      <c r="A131" s="35" t="s">
        <v>1195</v>
      </c>
      <c r="B131" s="224" t="s">
        <v>947</v>
      </c>
      <c r="C131" s="222" t="s">
        <v>19</v>
      </c>
      <c r="D131" s="136">
        <v>8470330</v>
      </c>
      <c r="E131" s="137" t="s">
        <v>192</v>
      </c>
      <c r="F131" s="138">
        <v>428640</v>
      </c>
      <c r="G131" s="137" t="s">
        <v>43</v>
      </c>
      <c r="H131" s="137" t="s">
        <v>200</v>
      </c>
      <c r="I131" s="137">
        <v>302000</v>
      </c>
      <c r="J131" s="140">
        <v>153251</v>
      </c>
      <c r="K131" s="147"/>
      <c r="L131" s="142"/>
      <c r="M131" s="143"/>
      <c r="N131" s="144">
        <f t="shared" si="22"/>
        <v>153251</v>
      </c>
      <c r="O131" s="145"/>
      <c r="P131" s="145"/>
      <c r="Q131" s="145"/>
      <c r="R131" s="146"/>
      <c r="S131" s="139">
        <f t="shared" si="23"/>
        <v>153251</v>
      </c>
      <c r="T131" s="172"/>
      <c r="U131" s="137" t="s">
        <v>200</v>
      </c>
      <c r="V131" s="261">
        <f t="shared" si="21"/>
        <v>122600.8</v>
      </c>
      <c r="W131" s="261">
        <f t="shared" ref="W131:W194" si="28">V131-(AO131+AP131+AQ131)</f>
        <v>122600.8</v>
      </c>
      <c r="X131" s="261"/>
      <c r="Y131" s="176" t="s">
        <v>838</v>
      </c>
      <c r="Z131" s="176"/>
      <c r="AA131" s="186">
        <v>153251</v>
      </c>
      <c r="AB131" s="186">
        <v>0</v>
      </c>
      <c r="AC131" s="176">
        <v>0</v>
      </c>
      <c r="AD131" s="176">
        <v>0</v>
      </c>
      <c r="AE131" s="186">
        <v>153251</v>
      </c>
      <c r="AF131" s="35">
        <v>153251</v>
      </c>
      <c r="AG131" s="212">
        <v>0</v>
      </c>
      <c r="AH131" s="212">
        <f t="shared" si="24"/>
        <v>30650.199999999997</v>
      </c>
      <c r="AI131" s="212" t="s">
        <v>200</v>
      </c>
      <c r="AJ131" s="212">
        <v>153251</v>
      </c>
      <c r="AK131" s="212">
        <v>0</v>
      </c>
      <c r="AL131" s="212">
        <v>0</v>
      </c>
      <c r="AM131" s="212">
        <v>0</v>
      </c>
      <c r="AN131" s="212">
        <v>153251</v>
      </c>
      <c r="AO131" s="176">
        <v>0</v>
      </c>
      <c r="AP131" s="176">
        <v>0</v>
      </c>
      <c r="AQ131" s="176">
        <v>0</v>
      </c>
      <c r="AR131" s="212">
        <f t="shared" si="25"/>
        <v>122600.8</v>
      </c>
      <c r="AS131" s="212">
        <f t="shared" si="26"/>
        <v>0</v>
      </c>
      <c r="AT131" s="473">
        <f t="shared" si="27"/>
        <v>-122600.8</v>
      </c>
      <c r="AU131" s="477"/>
    </row>
    <row r="132" spans="1:47" s="35" customFormat="1" ht="29" hidden="1" x14ac:dyDescent="0.35">
      <c r="A132" s="35" t="s">
        <v>1195</v>
      </c>
      <c r="B132" s="224" t="s">
        <v>947</v>
      </c>
      <c r="C132" s="222" t="s">
        <v>19</v>
      </c>
      <c r="D132" s="136">
        <v>8470330</v>
      </c>
      <c r="E132" s="137" t="s">
        <v>192</v>
      </c>
      <c r="F132" s="138">
        <v>432209</v>
      </c>
      <c r="G132" s="137" t="s">
        <v>132</v>
      </c>
      <c r="H132" s="137" t="s">
        <v>201</v>
      </c>
      <c r="I132" s="137">
        <v>67400</v>
      </c>
      <c r="J132" s="140">
        <v>67400</v>
      </c>
      <c r="K132" s="147"/>
      <c r="L132" s="142"/>
      <c r="M132" s="143"/>
      <c r="N132" s="144">
        <f t="shared" si="22"/>
        <v>67400</v>
      </c>
      <c r="O132" s="145"/>
      <c r="P132" s="145"/>
      <c r="Q132" s="145"/>
      <c r="R132" s="146"/>
      <c r="S132" s="139">
        <f t="shared" si="23"/>
        <v>67400</v>
      </c>
      <c r="T132" s="172"/>
      <c r="U132" s="137" t="s">
        <v>201</v>
      </c>
      <c r="V132" s="261">
        <f t="shared" si="21"/>
        <v>50280</v>
      </c>
      <c r="W132" s="261">
        <f t="shared" si="28"/>
        <v>45463.618499999997</v>
      </c>
      <c r="X132" s="261"/>
      <c r="Y132" s="176" t="s">
        <v>838</v>
      </c>
      <c r="Z132" s="176"/>
      <c r="AA132" s="186">
        <v>67400</v>
      </c>
      <c r="AB132" s="186">
        <v>4550</v>
      </c>
      <c r="AC132" s="176">
        <v>0</v>
      </c>
      <c r="AD132" s="176">
        <v>0</v>
      </c>
      <c r="AE132" s="186">
        <v>62850</v>
      </c>
      <c r="AF132" s="35">
        <v>62850</v>
      </c>
      <c r="AG132" s="212">
        <v>0</v>
      </c>
      <c r="AH132" s="212">
        <f t="shared" si="24"/>
        <v>12570</v>
      </c>
      <c r="AI132" s="212" t="s">
        <v>201</v>
      </c>
      <c r="AJ132" s="212">
        <v>67400</v>
      </c>
      <c r="AK132" s="212">
        <v>4550</v>
      </c>
      <c r="AL132" s="212">
        <v>0</v>
      </c>
      <c r="AM132" s="212">
        <v>0</v>
      </c>
      <c r="AN132" s="212">
        <v>62850</v>
      </c>
      <c r="AO132" s="176">
        <v>0</v>
      </c>
      <c r="AP132" s="176">
        <v>4816.3814999999995</v>
      </c>
      <c r="AQ132" s="176">
        <v>0</v>
      </c>
      <c r="AR132" s="212">
        <f t="shared" si="25"/>
        <v>45463.618499999997</v>
      </c>
      <c r="AS132" s="212">
        <f t="shared" si="26"/>
        <v>9366.3814999999995</v>
      </c>
      <c r="AT132" s="473">
        <f t="shared" si="27"/>
        <v>-36097.236999999994</v>
      </c>
      <c r="AU132" s="477"/>
    </row>
    <row r="133" spans="1:47" s="35" customFormat="1" ht="29" hidden="1" x14ac:dyDescent="0.35">
      <c r="A133" s="35" t="s">
        <v>1195</v>
      </c>
      <c r="B133" s="224" t="s">
        <v>947</v>
      </c>
      <c r="C133" s="222" t="s">
        <v>19</v>
      </c>
      <c r="D133" s="136">
        <v>8470330</v>
      </c>
      <c r="E133" s="137" t="s">
        <v>192</v>
      </c>
      <c r="F133" s="138">
        <v>435340</v>
      </c>
      <c r="G133" s="137" t="s">
        <v>202</v>
      </c>
      <c r="H133" s="137" t="s">
        <v>203</v>
      </c>
      <c r="I133" s="137">
        <v>0</v>
      </c>
      <c r="J133" s="143"/>
      <c r="K133" s="141">
        <v>0</v>
      </c>
      <c r="L133" s="142"/>
      <c r="M133" s="143"/>
      <c r="N133" s="144">
        <f t="shared" si="22"/>
        <v>0</v>
      </c>
      <c r="O133" s="145"/>
      <c r="P133" s="145"/>
      <c r="Q133" s="145"/>
      <c r="R133" s="146"/>
      <c r="S133" s="139">
        <f t="shared" si="23"/>
        <v>0</v>
      </c>
      <c r="T133" s="172"/>
      <c r="U133" s="137" t="s">
        <v>203</v>
      </c>
      <c r="V133" s="261">
        <f t="shared" si="21"/>
        <v>0</v>
      </c>
      <c r="W133" s="261">
        <f t="shared" si="28"/>
        <v>0</v>
      </c>
      <c r="X133" s="261"/>
      <c r="Y133" s="176" t="s">
        <v>838</v>
      </c>
      <c r="Z133" s="176"/>
      <c r="AA133" s="186">
        <v>0</v>
      </c>
      <c r="AB133" s="186">
        <v>0</v>
      </c>
      <c r="AC133" s="176">
        <v>0</v>
      </c>
      <c r="AD133" s="176">
        <v>0</v>
      </c>
      <c r="AE133" s="186">
        <v>0</v>
      </c>
      <c r="AF133" s="35">
        <v>0</v>
      </c>
      <c r="AG133" s="212">
        <v>0</v>
      </c>
      <c r="AH133" s="212">
        <f t="shared" si="24"/>
        <v>0</v>
      </c>
      <c r="AI133" s="212" t="s">
        <v>203</v>
      </c>
      <c r="AJ133" s="212">
        <v>0</v>
      </c>
      <c r="AK133" s="212">
        <v>0</v>
      </c>
      <c r="AL133" s="212">
        <v>0</v>
      </c>
      <c r="AM133" s="212">
        <v>0</v>
      </c>
      <c r="AN133" s="212">
        <v>0</v>
      </c>
      <c r="AO133" s="176">
        <v>0</v>
      </c>
      <c r="AP133" s="176">
        <v>0</v>
      </c>
      <c r="AQ133" s="176">
        <v>0</v>
      </c>
      <c r="AR133" s="212">
        <f t="shared" si="25"/>
        <v>0</v>
      </c>
      <c r="AS133" s="212">
        <f t="shared" si="26"/>
        <v>0</v>
      </c>
      <c r="AT133" s="473">
        <f t="shared" si="27"/>
        <v>0</v>
      </c>
      <c r="AU133" s="477"/>
    </row>
    <row r="134" spans="1:47" s="35" customFormat="1" ht="29" hidden="1" x14ac:dyDescent="0.35">
      <c r="A134" s="35" t="s">
        <v>1195</v>
      </c>
      <c r="B134" s="224" t="s">
        <v>947</v>
      </c>
      <c r="C134" s="222" t="s">
        <v>19</v>
      </c>
      <c r="D134" s="136">
        <v>8470330</v>
      </c>
      <c r="E134" s="137" t="s">
        <v>192</v>
      </c>
      <c r="F134" s="138">
        <v>435350</v>
      </c>
      <c r="G134" s="137" t="s">
        <v>79</v>
      </c>
      <c r="H134" s="137" t="s">
        <v>204</v>
      </c>
      <c r="I134" s="137">
        <v>420000</v>
      </c>
      <c r="J134" s="140">
        <v>240114</v>
      </c>
      <c r="K134" s="141">
        <v>100558.8</v>
      </c>
      <c r="L134" s="142"/>
      <c r="M134" s="143"/>
      <c r="N134" s="144">
        <f t="shared" si="22"/>
        <v>139555.20000000001</v>
      </c>
      <c r="O134" s="145"/>
      <c r="P134" s="145"/>
      <c r="Q134" s="145"/>
      <c r="R134" s="146"/>
      <c r="S134" s="139">
        <f t="shared" si="23"/>
        <v>139555.20000000001</v>
      </c>
      <c r="T134" s="172"/>
      <c r="U134" s="137" t="s">
        <v>204</v>
      </c>
      <c r="V134" s="261">
        <f t="shared" si="21"/>
        <v>73923.952000000005</v>
      </c>
      <c r="W134" s="261">
        <f t="shared" si="28"/>
        <v>73923.952000000005</v>
      </c>
      <c r="X134" s="261"/>
      <c r="Y134" s="176" t="s">
        <v>838</v>
      </c>
      <c r="Z134" s="176"/>
      <c r="AA134" s="186">
        <v>240114</v>
      </c>
      <c r="AB134" s="186">
        <v>133761.12</v>
      </c>
      <c r="AC134" s="176">
        <v>0</v>
      </c>
      <c r="AD134" s="176">
        <v>0</v>
      </c>
      <c r="AE134" s="186">
        <v>106352.88</v>
      </c>
      <c r="AF134" s="35">
        <v>106352.88</v>
      </c>
      <c r="AG134" s="212">
        <v>0</v>
      </c>
      <c r="AH134" s="212">
        <f t="shared" si="24"/>
        <v>32428.928</v>
      </c>
      <c r="AI134" s="212" t="s">
        <v>204</v>
      </c>
      <c r="AJ134" s="212">
        <v>240114</v>
      </c>
      <c r="AK134" s="212">
        <v>147709.06</v>
      </c>
      <c r="AL134" s="212">
        <v>0</v>
      </c>
      <c r="AM134" s="212">
        <v>0</v>
      </c>
      <c r="AN134" s="212">
        <v>92404.94</v>
      </c>
      <c r="AO134" s="176">
        <v>0</v>
      </c>
      <c r="AP134" s="176">
        <v>0</v>
      </c>
      <c r="AQ134" s="176">
        <v>0</v>
      </c>
      <c r="AR134" s="212">
        <f t="shared" si="25"/>
        <v>73923.952000000005</v>
      </c>
      <c r="AS134" s="212">
        <f t="shared" si="26"/>
        <v>133761.12</v>
      </c>
      <c r="AT134" s="473">
        <f t="shared" si="27"/>
        <v>73785.107999999993</v>
      </c>
      <c r="AU134" s="477"/>
    </row>
    <row r="135" spans="1:47" s="35" customFormat="1" ht="29" hidden="1" x14ac:dyDescent="0.35">
      <c r="A135" s="35" t="s">
        <v>1195</v>
      </c>
      <c r="B135" s="224" t="s">
        <v>947</v>
      </c>
      <c r="C135" s="222" t="s">
        <v>19</v>
      </c>
      <c r="D135" s="136">
        <v>8470330</v>
      </c>
      <c r="E135" s="137" t="s">
        <v>192</v>
      </c>
      <c r="F135" s="138">
        <v>435508</v>
      </c>
      <c r="G135" s="137" t="s">
        <v>135</v>
      </c>
      <c r="H135" s="137" t="s">
        <v>205</v>
      </c>
      <c r="I135" s="137">
        <v>20000</v>
      </c>
      <c r="J135" s="140">
        <v>20000</v>
      </c>
      <c r="K135" s="147"/>
      <c r="L135" s="148">
        <v>-9.0949470177292804E-13</v>
      </c>
      <c r="M135" s="140">
        <v>14673.64</v>
      </c>
      <c r="N135" s="144">
        <f t="shared" si="22"/>
        <v>5326.3600000000006</v>
      </c>
      <c r="O135" s="145"/>
      <c r="P135" s="145"/>
      <c r="Q135" s="145"/>
      <c r="R135" s="146"/>
      <c r="S135" s="139">
        <f t="shared" si="23"/>
        <v>5326.3600000000006</v>
      </c>
      <c r="T135" s="172"/>
      <c r="U135" s="137" t="s">
        <v>205</v>
      </c>
      <c r="V135" s="261">
        <f t="shared" si="21"/>
        <v>4261.0879999999997</v>
      </c>
      <c r="W135" s="261">
        <f t="shared" si="28"/>
        <v>4261.0879999999997</v>
      </c>
      <c r="X135" s="261"/>
      <c r="Y135" s="176" t="s">
        <v>838</v>
      </c>
      <c r="Z135" s="176"/>
      <c r="AA135" s="186">
        <v>20000</v>
      </c>
      <c r="AB135" s="186">
        <v>0</v>
      </c>
      <c r="AC135" s="176">
        <v>0</v>
      </c>
      <c r="AD135" s="176">
        <v>14673.64</v>
      </c>
      <c r="AE135" s="186">
        <v>5326.3600000000006</v>
      </c>
      <c r="AF135" s="35">
        <v>5326.36</v>
      </c>
      <c r="AG135" s="212">
        <v>0</v>
      </c>
      <c r="AH135" s="212">
        <f t="shared" si="24"/>
        <v>1065.2720000000008</v>
      </c>
      <c r="AI135" s="212" t="s">
        <v>205</v>
      </c>
      <c r="AJ135" s="212">
        <v>20000</v>
      </c>
      <c r="AK135" s="212">
        <v>0</v>
      </c>
      <c r="AL135" s="212">
        <v>0</v>
      </c>
      <c r="AM135" s="212">
        <v>14673.64</v>
      </c>
      <c r="AN135" s="212">
        <v>5326.36</v>
      </c>
      <c r="AO135" s="176">
        <v>0</v>
      </c>
      <c r="AP135" s="176">
        <v>0</v>
      </c>
      <c r="AQ135" s="176">
        <v>0</v>
      </c>
      <c r="AR135" s="212">
        <f t="shared" si="25"/>
        <v>4261.0879999999997</v>
      </c>
      <c r="AS135" s="212">
        <f t="shared" si="26"/>
        <v>14673.64</v>
      </c>
      <c r="AT135" s="473">
        <f t="shared" si="27"/>
        <v>10412.552</v>
      </c>
      <c r="AU135" s="477"/>
    </row>
    <row r="136" spans="1:47" s="35" customFormat="1" ht="29" hidden="1" x14ac:dyDescent="0.35">
      <c r="A136" s="35" t="s">
        <v>1195</v>
      </c>
      <c r="B136" s="224" t="s">
        <v>947</v>
      </c>
      <c r="C136" s="222" t="s">
        <v>19</v>
      </c>
      <c r="D136" s="136">
        <v>8470330</v>
      </c>
      <c r="E136" s="137" t="s">
        <v>192</v>
      </c>
      <c r="F136" s="138">
        <v>436600</v>
      </c>
      <c r="G136" s="137" t="s">
        <v>137</v>
      </c>
      <c r="H136" s="137" t="s">
        <v>206</v>
      </c>
      <c r="I136" s="137">
        <v>60000</v>
      </c>
      <c r="J136" s="140">
        <v>60000</v>
      </c>
      <c r="K136" s="147"/>
      <c r="L136" s="142"/>
      <c r="M136" s="140">
        <v>15740</v>
      </c>
      <c r="N136" s="144">
        <f t="shared" si="22"/>
        <v>44260</v>
      </c>
      <c r="O136" s="145"/>
      <c r="P136" s="145"/>
      <c r="Q136" s="145"/>
      <c r="R136" s="146"/>
      <c r="S136" s="139">
        <f t="shared" si="23"/>
        <v>44260</v>
      </c>
      <c r="T136" s="172"/>
      <c r="U136" s="137" t="s">
        <v>206</v>
      </c>
      <c r="V136" s="261">
        <f t="shared" si="21"/>
        <v>35408</v>
      </c>
      <c r="W136" s="261">
        <f t="shared" si="28"/>
        <v>35408</v>
      </c>
      <c r="X136" s="261"/>
      <c r="Y136" s="176" t="s">
        <v>838</v>
      </c>
      <c r="Z136" s="176"/>
      <c r="AA136" s="186">
        <v>60000</v>
      </c>
      <c r="AB136" s="186">
        <v>0</v>
      </c>
      <c r="AC136" s="176">
        <v>0</v>
      </c>
      <c r="AD136" s="176">
        <v>15740</v>
      </c>
      <c r="AE136" s="186">
        <v>44260</v>
      </c>
      <c r="AF136" s="35">
        <v>44260</v>
      </c>
      <c r="AG136" s="212">
        <v>0</v>
      </c>
      <c r="AH136" s="212">
        <f t="shared" si="24"/>
        <v>8852</v>
      </c>
      <c r="AI136" s="212" t="s">
        <v>206</v>
      </c>
      <c r="AJ136" s="212">
        <v>60000</v>
      </c>
      <c r="AK136" s="212">
        <v>0</v>
      </c>
      <c r="AL136" s="212">
        <v>0</v>
      </c>
      <c r="AM136" s="212">
        <v>15740</v>
      </c>
      <c r="AN136" s="212">
        <v>44260</v>
      </c>
      <c r="AO136" s="176">
        <v>0</v>
      </c>
      <c r="AP136" s="176">
        <v>0</v>
      </c>
      <c r="AQ136" s="176">
        <v>0</v>
      </c>
      <c r="AR136" s="212">
        <f t="shared" si="25"/>
        <v>35408</v>
      </c>
      <c r="AS136" s="212">
        <f t="shared" si="26"/>
        <v>15740</v>
      </c>
      <c r="AT136" s="473">
        <f t="shared" si="27"/>
        <v>-19668</v>
      </c>
      <c r="AU136" s="477"/>
    </row>
    <row r="137" spans="1:47" s="35" customFormat="1" ht="29" hidden="1" x14ac:dyDescent="0.35">
      <c r="A137" s="35" t="s">
        <v>1195</v>
      </c>
      <c r="B137" s="224" t="s">
        <v>947</v>
      </c>
      <c r="C137" s="222" t="s">
        <v>19</v>
      </c>
      <c r="D137" s="136">
        <v>8470335</v>
      </c>
      <c r="E137" s="137" t="s">
        <v>207</v>
      </c>
      <c r="F137" s="138">
        <v>420550</v>
      </c>
      <c r="G137" s="137" t="s">
        <v>21</v>
      </c>
      <c r="H137" s="137" t="s">
        <v>208</v>
      </c>
      <c r="I137" s="137">
        <v>10000</v>
      </c>
      <c r="J137" s="140">
        <v>10000</v>
      </c>
      <c r="K137" s="141">
        <v>7346</v>
      </c>
      <c r="L137" s="142"/>
      <c r="M137" s="143"/>
      <c r="N137" s="144">
        <f t="shared" si="22"/>
        <v>2654</v>
      </c>
      <c r="O137" s="145"/>
      <c r="P137" s="145"/>
      <c r="Q137" s="145"/>
      <c r="R137" s="146"/>
      <c r="S137" s="139">
        <f t="shared" si="23"/>
        <v>2654</v>
      </c>
      <c r="T137" s="172"/>
      <c r="U137" s="137" t="s">
        <v>208</v>
      </c>
      <c r="V137" s="261">
        <f t="shared" si="21"/>
        <v>2123.2000000000003</v>
      </c>
      <c r="W137" s="261">
        <f t="shared" si="28"/>
        <v>2123.2000000000003</v>
      </c>
      <c r="X137" s="261"/>
      <c r="Y137" s="176" t="s">
        <v>838</v>
      </c>
      <c r="Z137" s="176"/>
      <c r="AA137" s="186">
        <v>10000</v>
      </c>
      <c r="AB137" s="186">
        <v>7346</v>
      </c>
      <c r="AC137" s="176">
        <v>0</v>
      </c>
      <c r="AD137" s="176">
        <v>0</v>
      </c>
      <c r="AE137" s="186">
        <v>2654</v>
      </c>
      <c r="AF137" s="35">
        <v>2654</v>
      </c>
      <c r="AG137" s="212">
        <v>0</v>
      </c>
      <c r="AH137" s="212">
        <f t="shared" si="24"/>
        <v>530.79999999999973</v>
      </c>
      <c r="AI137" s="212" t="s">
        <v>208</v>
      </c>
      <c r="AJ137" s="212">
        <v>10000</v>
      </c>
      <c r="AK137" s="212">
        <v>7346</v>
      </c>
      <c r="AL137" s="212">
        <v>0</v>
      </c>
      <c r="AM137" s="212">
        <v>0</v>
      </c>
      <c r="AN137" s="212">
        <v>2654</v>
      </c>
      <c r="AO137" s="176">
        <v>0</v>
      </c>
      <c r="AP137" s="176">
        <v>0</v>
      </c>
      <c r="AQ137" s="176">
        <v>0</v>
      </c>
      <c r="AR137" s="212">
        <f t="shared" si="25"/>
        <v>2123.2000000000003</v>
      </c>
      <c r="AS137" s="212">
        <f t="shared" si="26"/>
        <v>7346</v>
      </c>
      <c r="AT137" s="473">
        <f t="shared" si="27"/>
        <v>5222.7999999999993</v>
      </c>
      <c r="AU137" s="477"/>
    </row>
    <row r="138" spans="1:47" s="35" customFormat="1" ht="29" hidden="1" x14ac:dyDescent="0.35">
      <c r="A138" s="35" t="s">
        <v>1195</v>
      </c>
      <c r="B138" s="224" t="s">
        <v>947</v>
      </c>
      <c r="C138" s="222" t="s">
        <v>19</v>
      </c>
      <c r="D138" s="136">
        <v>8470335</v>
      </c>
      <c r="E138" s="137" t="s">
        <v>207</v>
      </c>
      <c r="F138" s="138">
        <v>425510</v>
      </c>
      <c r="G138" s="137" t="s">
        <v>31</v>
      </c>
      <c r="H138" s="137" t="s">
        <v>209</v>
      </c>
      <c r="I138" s="137">
        <v>20000</v>
      </c>
      <c r="J138" s="140">
        <v>20000</v>
      </c>
      <c r="K138" s="147"/>
      <c r="L138" s="142"/>
      <c r="M138" s="143"/>
      <c r="N138" s="144">
        <f t="shared" si="22"/>
        <v>20000</v>
      </c>
      <c r="O138" s="145"/>
      <c r="P138" s="145"/>
      <c r="Q138" s="145"/>
      <c r="R138" s="146"/>
      <c r="S138" s="139">
        <f t="shared" si="23"/>
        <v>20000</v>
      </c>
      <c r="T138" s="172"/>
      <c r="U138" s="137" t="s">
        <v>209</v>
      </c>
      <c r="V138" s="261">
        <f t="shared" si="21"/>
        <v>16600</v>
      </c>
      <c r="W138" s="261">
        <f t="shared" si="28"/>
        <v>16600</v>
      </c>
      <c r="X138" s="261"/>
      <c r="Y138" s="176" t="s">
        <v>838</v>
      </c>
      <c r="Z138" s="176"/>
      <c r="AA138" s="186">
        <v>20000</v>
      </c>
      <c r="AB138" s="186">
        <v>0</v>
      </c>
      <c r="AC138" s="176">
        <v>0</v>
      </c>
      <c r="AD138" s="176">
        <v>0</v>
      </c>
      <c r="AE138" s="186">
        <v>20000</v>
      </c>
      <c r="AF138" s="35">
        <v>20000</v>
      </c>
      <c r="AG138" s="212">
        <v>0</v>
      </c>
      <c r="AH138" s="212">
        <f t="shared" si="24"/>
        <v>3400</v>
      </c>
      <c r="AI138" s="212" t="s">
        <v>209</v>
      </c>
      <c r="AJ138" s="212">
        <v>24500</v>
      </c>
      <c r="AK138" s="212">
        <v>3750</v>
      </c>
      <c r="AL138" s="212">
        <v>0</v>
      </c>
      <c r="AM138" s="212">
        <v>0</v>
      </c>
      <c r="AN138" s="212">
        <v>20750</v>
      </c>
      <c r="AO138" s="176">
        <v>0</v>
      </c>
      <c r="AP138" s="176">
        <v>0</v>
      </c>
      <c r="AQ138" s="176">
        <v>0</v>
      </c>
      <c r="AR138" s="212">
        <f t="shared" si="25"/>
        <v>16600</v>
      </c>
      <c r="AS138" s="212">
        <f t="shared" si="26"/>
        <v>0</v>
      </c>
      <c r="AT138" s="473">
        <f t="shared" si="27"/>
        <v>-12850</v>
      </c>
      <c r="AU138" s="477"/>
    </row>
    <row r="139" spans="1:47" s="35" customFormat="1" ht="29" hidden="1" x14ac:dyDescent="0.35">
      <c r="A139" s="35" t="s">
        <v>1195</v>
      </c>
      <c r="B139" s="224" t="s">
        <v>947</v>
      </c>
      <c r="C139" s="222" t="s">
        <v>19</v>
      </c>
      <c r="D139" s="136">
        <v>8470335</v>
      </c>
      <c r="E139" s="137" t="s">
        <v>207</v>
      </c>
      <c r="F139" s="138">
        <v>425760</v>
      </c>
      <c r="G139" s="137" t="s">
        <v>142</v>
      </c>
      <c r="H139" s="137" t="s">
        <v>210</v>
      </c>
      <c r="I139" s="137">
        <v>10000</v>
      </c>
      <c r="J139" s="140">
        <v>10000</v>
      </c>
      <c r="K139" s="147"/>
      <c r="L139" s="142"/>
      <c r="M139" s="143"/>
      <c r="N139" s="144">
        <f t="shared" si="22"/>
        <v>10000</v>
      </c>
      <c r="O139" s="145"/>
      <c r="P139" s="145"/>
      <c r="Q139" s="145"/>
      <c r="R139" s="146"/>
      <c r="S139" s="139">
        <f t="shared" si="23"/>
        <v>10000</v>
      </c>
      <c r="T139" s="172"/>
      <c r="U139" s="137" t="s">
        <v>210</v>
      </c>
      <c r="V139" s="261">
        <f t="shared" si="21"/>
        <v>3653</v>
      </c>
      <c r="W139" s="261">
        <f t="shared" si="28"/>
        <v>3653</v>
      </c>
      <c r="X139" s="261"/>
      <c r="Y139" s="176" t="s">
        <v>838</v>
      </c>
      <c r="Z139" s="176"/>
      <c r="AA139" s="186">
        <v>10000</v>
      </c>
      <c r="AB139" s="186">
        <v>0</v>
      </c>
      <c r="AC139" s="176">
        <v>0</v>
      </c>
      <c r="AD139" s="176">
        <v>0</v>
      </c>
      <c r="AE139" s="186">
        <v>10000</v>
      </c>
      <c r="AF139" s="35">
        <v>10000</v>
      </c>
      <c r="AG139" s="212">
        <v>0</v>
      </c>
      <c r="AH139" s="212">
        <f t="shared" si="24"/>
        <v>6347</v>
      </c>
      <c r="AI139" s="212" t="s">
        <v>210</v>
      </c>
      <c r="AJ139" s="212">
        <v>10000</v>
      </c>
      <c r="AK139" s="212">
        <v>5433.75</v>
      </c>
      <c r="AL139" s="212">
        <v>0</v>
      </c>
      <c r="AM139" s="212">
        <v>0</v>
      </c>
      <c r="AN139" s="212">
        <v>4566.25</v>
      </c>
      <c r="AO139" s="176">
        <v>0</v>
      </c>
      <c r="AP139" s="176">
        <v>0</v>
      </c>
      <c r="AQ139" s="176">
        <v>0</v>
      </c>
      <c r="AR139" s="212">
        <f t="shared" si="25"/>
        <v>3653</v>
      </c>
      <c r="AS139" s="212">
        <f t="shared" si="26"/>
        <v>0</v>
      </c>
      <c r="AT139" s="473">
        <f t="shared" si="27"/>
        <v>1780.75</v>
      </c>
      <c r="AU139" s="477"/>
    </row>
    <row r="140" spans="1:47" s="35" customFormat="1" ht="29" hidden="1" x14ac:dyDescent="0.35">
      <c r="A140" s="35" t="s">
        <v>1195</v>
      </c>
      <c r="B140" s="224" t="s">
        <v>947</v>
      </c>
      <c r="C140" s="222" t="s">
        <v>19</v>
      </c>
      <c r="D140" s="136">
        <v>8470335</v>
      </c>
      <c r="E140" s="137" t="s">
        <v>207</v>
      </c>
      <c r="F140" s="138">
        <v>425763</v>
      </c>
      <c r="G140" s="137" t="s">
        <v>59</v>
      </c>
      <c r="H140" s="137" t="s">
        <v>211</v>
      </c>
      <c r="I140" s="137">
        <v>50000</v>
      </c>
      <c r="J140" s="140">
        <v>50000</v>
      </c>
      <c r="K140" s="141">
        <v>30000</v>
      </c>
      <c r="L140" s="142"/>
      <c r="M140" s="143"/>
      <c r="N140" s="144">
        <f t="shared" si="22"/>
        <v>20000</v>
      </c>
      <c r="O140" s="145"/>
      <c r="P140" s="145"/>
      <c r="Q140" s="145"/>
      <c r="R140" s="146"/>
      <c r="S140" s="139">
        <f t="shared" si="23"/>
        <v>20000</v>
      </c>
      <c r="T140" s="172"/>
      <c r="U140" s="137" t="s">
        <v>211</v>
      </c>
      <c r="V140" s="261">
        <f t="shared" si="21"/>
        <v>0</v>
      </c>
      <c r="W140" s="261">
        <f t="shared" si="28"/>
        <v>0</v>
      </c>
      <c r="X140" s="261"/>
      <c r="Y140" s="176" t="s">
        <v>838</v>
      </c>
      <c r="Z140" s="176"/>
      <c r="AA140" s="186">
        <v>50000</v>
      </c>
      <c r="AB140" s="186">
        <v>50000</v>
      </c>
      <c r="AC140" s="176">
        <v>0</v>
      </c>
      <c r="AD140" s="176">
        <v>0</v>
      </c>
      <c r="AE140" s="186">
        <v>0</v>
      </c>
      <c r="AF140" s="35">
        <v>0</v>
      </c>
      <c r="AG140" s="212">
        <v>0</v>
      </c>
      <c r="AH140" s="212">
        <f t="shared" si="24"/>
        <v>0</v>
      </c>
      <c r="AI140" s="212" t="s">
        <v>211</v>
      </c>
      <c r="AJ140" s="212">
        <v>50000</v>
      </c>
      <c r="AK140" s="212">
        <v>50000</v>
      </c>
      <c r="AL140" s="212">
        <v>0</v>
      </c>
      <c r="AM140" s="212">
        <v>0</v>
      </c>
      <c r="AN140" s="212">
        <v>0</v>
      </c>
      <c r="AO140" s="176">
        <v>0</v>
      </c>
      <c r="AP140" s="176">
        <v>0</v>
      </c>
      <c r="AQ140" s="176">
        <v>0</v>
      </c>
      <c r="AR140" s="212">
        <f t="shared" si="25"/>
        <v>0</v>
      </c>
      <c r="AS140" s="212">
        <f t="shared" si="26"/>
        <v>50000</v>
      </c>
      <c r="AT140" s="473">
        <f t="shared" si="27"/>
        <v>50000</v>
      </c>
      <c r="AU140" s="477"/>
    </row>
    <row r="141" spans="1:47" s="35" customFormat="1" ht="29" hidden="1" x14ac:dyDescent="0.35">
      <c r="A141" s="35" t="s">
        <v>1195</v>
      </c>
      <c r="B141" s="224" t="s">
        <v>947</v>
      </c>
      <c r="C141" s="222" t="s">
        <v>19</v>
      </c>
      <c r="D141" s="136">
        <v>8470335</v>
      </c>
      <c r="E141" s="137" t="s">
        <v>207</v>
      </c>
      <c r="F141" s="138">
        <v>425770</v>
      </c>
      <c r="G141" s="137" t="s">
        <v>74</v>
      </c>
      <c r="H141" s="137" t="s">
        <v>212</v>
      </c>
      <c r="I141" s="137">
        <v>270000</v>
      </c>
      <c r="J141" s="140">
        <v>92634</v>
      </c>
      <c r="K141" s="141">
        <v>69491.100000000006</v>
      </c>
      <c r="L141" s="142"/>
      <c r="M141" s="143"/>
      <c r="N141" s="144">
        <f t="shared" si="22"/>
        <v>23142.899999999994</v>
      </c>
      <c r="O141" s="145"/>
      <c r="P141" s="145"/>
      <c r="Q141" s="145"/>
      <c r="R141" s="146"/>
      <c r="S141" s="139">
        <f t="shared" si="23"/>
        <v>23142.899999999994</v>
      </c>
      <c r="T141" s="172"/>
      <c r="U141" s="137" t="s">
        <v>212</v>
      </c>
      <c r="V141" s="261">
        <f t="shared" si="21"/>
        <v>1546.3199999999922</v>
      </c>
      <c r="W141" s="261">
        <f t="shared" si="28"/>
        <v>-805.54000000000792</v>
      </c>
      <c r="X141" s="261"/>
      <c r="Y141" s="176" t="s">
        <v>838</v>
      </c>
      <c r="Z141" s="176"/>
      <c r="AA141" s="186">
        <v>92634</v>
      </c>
      <c r="AB141" s="186">
        <v>90701.1</v>
      </c>
      <c r="AC141" s="176">
        <v>0</v>
      </c>
      <c r="AD141" s="176">
        <v>0</v>
      </c>
      <c r="AE141" s="186">
        <v>1932.8999999999942</v>
      </c>
      <c r="AF141" s="35">
        <v>1932.8999999999901</v>
      </c>
      <c r="AG141" s="212">
        <v>4.0927261579781771E-12</v>
      </c>
      <c r="AH141" s="212">
        <f t="shared" si="24"/>
        <v>386.58000000000197</v>
      </c>
      <c r="AI141" s="212" t="s">
        <v>212</v>
      </c>
      <c r="AJ141" s="212">
        <v>92634</v>
      </c>
      <c r="AK141" s="212">
        <v>90701.1</v>
      </c>
      <c r="AL141" s="212">
        <v>0</v>
      </c>
      <c r="AM141" s="212">
        <v>0</v>
      </c>
      <c r="AN141" s="212">
        <v>1932.8999999999901</v>
      </c>
      <c r="AO141" s="176">
        <v>2351.86</v>
      </c>
      <c r="AP141" s="176">
        <v>0</v>
      </c>
      <c r="AQ141" s="176">
        <v>0</v>
      </c>
      <c r="AR141" s="212">
        <f t="shared" si="25"/>
        <v>-805.54000000000792</v>
      </c>
      <c r="AS141" s="212">
        <f t="shared" si="26"/>
        <v>93052.96</v>
      </c>
      <c r="AT141" s="473">
        <f t="shared" si="27"/>
        <v>93858.500000000015</v>
      </c>
      <c r="AU141" s="477"/>
    </row>
    <row r="142" spans="1:47" s="35" customFormat="1" ht="29" hidden="1" x14ac:dyDescent="0.35">
      <c r="A142" s="35" t="s">
        <v>1195</v>
      </c>
      <c r="B142" s="224" t="s">
        <v>947</v>
      </c>
      <c r="C142" s="222" t="s">
        <v>19</v>
      </c>
      <c r="D142" s="136">
        <v>8470335</v>
      </c>
      <c r="E142" s="137" t="s">
        <v>207</v>
      </c>
      <c r="F142" s="138">
        <v>425900</v>
      </c>
      <c r="G142" s="137" t="s">
        <v>35</v>
      </c>
      <c r="H142" s="137" t="s">
        <v>213</v>
      </c>
      <c r="I142" s="137">
        <v>20000</v>
      </c>
      <c r="J142" s="140">
        <v>20000</v>
      </c>
      <c r="K142" s="147"/>
      <c r="L142" s="142"/>
      <c r="M142" s="143"/>
      <c r="N142" s="144">
        <f t="shared" si="22"/>
        <v>20000</v>
      </c>
      <c r="O142" s="145"/>
      <c r="P142" s="145"/>
      <c r="Q142" s="145"/>
      <c r="R142" s="146"/>
      <c r="S142" s="139">
        <f t="shared" si="23"/>
        <v>20000</v>
      </c>
      <c r="T142" s="172"/>
      <c r="U142" s="137" t="s">
        <v>213</v>
      </c>
      <c r="V142" s="261">
        <f t="shared" si="21"/>
        <v>9124</v>
      </c>
      <c r="W142" s="261">
        <f t="shared" si="28"/>
        <v>9124</v>
      </c>
      <c r="X142" s="261"/>
      <c r="Y142" s="176" t="s">
        <v>838</v>
      </c>
      <c r="Z142" s="176"/>
      <c r="AA142" s="186">
        <v>20000</v>
      </c>
      <c r="AB142" s="186">
        <v>0</v>
      </c>
      <c r="AC142" s="176">
        <v>0</v>
      </c>
      <c r="AD142" s="176">
        <v>0</v>
      </c>
      <c r="AE142" s="186">
        <v>20000</v>
      </c>
      <c r="AF142" s="35">
        <v>20000</v>
      </c>
      <c r="AG142" s="212">
        <v>0</v>
      </c>
      <c r="AH142" s="212">
        <f t="shared" si="24"/>
        <v>10876</v>
      </c>
      <c r="AI142" s="212" t="s">
        <v>213</v>
      </c>
      <c r="AJ142" s="212">
        <v>15500</v>
      </c>
      <c r="AK142" s="212">
        <v>4095</v>
      </c>
      <c r="AL142" s="212">
        <v>0</v>
      </c>
      <c r="AM142" s="212">
        <v>0</v>
      </c>
      <c r="AN142" s="212">
        <v>11405</v>
      </c>
      <c r="AO142" s="176">
        <v>0</v>
      </c>
      <c r="AP142" s="176">
        <v>0</v>
      </c>
      <c r="AQ142" s="176">
        <v>0</v>
      </c>
      <c r="AR142" s="212">
        <f t="shared" si="25"/>
        <v>9124</v>
      </c>
      <c r="AS142" s="212">
        <f t="shared" si="26"/>
        <v>0</v>
      </c>
      <c r="AT142" s="473">
        <f t="shared" si="27"/>
        <v>-5029</v>
      </c>
      <c r="AU142" s="477"/>
    </row>
    <row r="143" spans="1:47" s="35" customFormat="1" ht="29" hidden="1" x14ac:dyDescent="0.35">
      <c r="A143" s="35" t="s">
        <v>1195</v>
      </c>
      <c r="B143" s="224" t="s">
        <v>947</v>
      </c>
      <c r="C143" s="222" t="s">
        <v>19</v>
      </c>
      <c r="D143" s="136">
        <v>8470335</v>
      </c>
      <c r="E143" s="137" t="s">
        <v>207</v>
      </c>
      <c r="F143" s="138">
        <v>426610</v>
      </c>
      <c r="G143" s="137" t="s">
        <v>37</v>
      </c>
      <c r="H143" s="137" t="s">
        <v>214</v>
      </c>
      <c r="I143" s="137">
        <v>150257</v>
      </c>
      <c r="J143" s="140">
        <v>160257</v>
      </c>
      <c r="K143" s="141">
        <v>120819.09</v>
      </c>
      <c r="L143" s="148">
        <v>15473.61</v>
      </c>
      <c r="M143" s="140">
        <v>17672.54</v>
      </c>
      <c r="N143" s="144">
        <f t="shared" si="22"/>
        <v>6291.760000000002</v>
      </c>
      <c r="O143" s="145"/>
      <c r="P143" s="145"/>
      <c r="Q143" s="145"/>
      <c r="R143" s="146"/>
      <c r="S143" s="139">
        <f t="shared" si="23"/>
        <v>6291.760000000002</v>
      </c>
      <c r="T143" s="172"/>
      <c r="U143" s="137" t="s">
        <v>214</v>
      </c>
      <c r="V143" s="261">
        <f t="shared" si="21"/>
        <v>4541.0240000000003</v>
      </c>
      <c r="W143" s="261">
        <f t="shared" si="28"/>
        <v>4541.0240000000003</v>
      </c>
      <c r="X143" s="261"/>
      <c r="Y143" s="176" t="s">
        <v>838</v>
      </c>
      <c r="Z143" s="176"/>
      <c r="AA143" s="186">
        <v>160257</v>
      </c>
      <c r="AB143" s="186">
        <v>131289.09</v>
      </c>
      <c r="AC143" s="176">
        <v>0</v>
      </c>
      <c r="AD143" s="176">
        <v>20067.07</v>
      </c>
      <c r="AE143" s="186">
        <v>8900.8400000000038</v>
      </c>
      <c r="AF143" s="35">
        <v>8900.84</v>
      </c>
      <c r="AG143" s="212">
        <v>0</v>
      </c>
      <c r="AH143" s="212">
        <f t="shared" si="24"/>
        <v>4359.8160000000034</v>
      </c>
      <c r="AI143" s="212" t="s">
        <v>214</v>
      </c>
      <c r="AJ143" s="212">
        <v>160257</v>
      </c>
      <c r="AK143" s="212">
        <v>141786.19</v>
      </c>
      <c r="AL143" s="212">
        <v>0</v>
      </c>
      <c r="AM143" s="212">
        <v>12794.53</v>
      </c>
      <c r="AN143" s="212">
        <v>5676.28</v>
      </c>
      <c r="AO143" s="176">
        <v>0</v>
      </c>
      <c r="AP143" s="176">
        <v>0</v>
      </c>
      <c r="AQ143" s="176">
        <v>0</v>
      </c>
      <c r="AR143" s="212">
        <f t="shared" si="25"/>
        <v>4541.0240000000003</v>
      </c>
      <c r="AS143" s="212">
        <f t="shared" si="26"/>
        <v>151356.16</v>
      </c>
      <c r="AT143" s="473">
        <f t="shared" si="27"/>
        <v>150039.696</v>
      </c>
      <c r="AU143" s="477"/>
    </row>
    <row r="144" spans="1:47" s="35" customFormat="1" ht="29" hidden="1" x14ac:dyDescent="0.35">
      <c r="A144" s="35" t="s">
        <v>1195</v>
      </c>
      <c r="B144" s="224" t="s">
        <v>947</v>
      </c>
      <c r="C144" s="222" t="s">
        <v>19</v>
      </c>
      <c r="D144" s="136">
        <v>8470335</v>
      </c>
      <c r="E144" s="137" t="s">
        <v>207</v>
      </c>
      <c r="F144" s="138">
        <v>428090</v>
      </c>
      <c r="G144" s="137" t="s">
        <v>39</v>
      </c>
      <c r="H144" s="137" t="s">
        <v>215</v>
      </c>
      <c r="I144" s="137">
        <v>40000</v>
      </c>
      <c r="J144" s="140">
        <v>5898</v>
      </c>
      <c r="K144" s="147"/>
      <c r="L144" s="142"/>
      <c r="M144" s="143"/>
      <c r="N144" s="144">
        <f t="shared" si="22"/>
        <v>5898</v>
      </c>
      <c r="O144" s="145"/>
      <c r="P144" s="145"/>
      <c r="Q144" s="145"/>
      <c r="R144" s="146"/>
      <c r="S144" s="139">
        <f t="shared" si="23"/>
        <v>5898</v>
      </c>
      <c r="T144" s="172"/>
      <c r="U144" s="137" t="s">
        <v>215</v>
      </c>
      <c r="V144" s="261">
        <f t="shared" si="21"/>
        <v>4718.4000000000005</v>
      </c>
      <c r="W144" s="261">
        <f t="shared" si="28"/>
        <v>4718.4000000000005</v>
      </c>
      <c r="X144" s="261"/>
      <c r="Y144" s="176" t="s">
        <v>838</v>
      </c>
      <c r="Z144" s="176"/>
      <c r="AA144" s="186">
        <v>5898</v>
      </c>
      <c r="AB144" s="186">
        <v>0</v>
      </c>
      <c r="AC144" s="176">
        <v>0</v>
      </c>
      <c r="AD144" s="176">
        <v>0</v>
      </c>
      <c r="AE144" s="186">
        <v>5898</v>
      </c>
      <c r="AF144" s="35">
        <v>5898</v>
      </c>
      <c r="AG144" s="212">
        <v>0</v>
      </c>
      <c r="AH144" s="212">
        <f t="shared" si="24"/>
        <v>1179.5999999999995</v>
      </c>
      <c r="AI144" s="212" t="s">
        <v>215</v>
      </c>
      <c r="AJ144" s="212">
        <v>5898</v>
      </c>
      <c r="AK144" s="212">
        <v>0</v>
      </c>
      <c r="AL144" s="212">
        <v>0</v>
      </c>
      <c r="AM144" s="212">
        <v>0</v>
      </c>
      <c r="AN144" s="212">
        <v>5898</v>
      </c>
      <c r="AO144" s="176">
        <v>0</v>
      </c>
      <c r="AP144" s="176">
        <v>0</v>
      </c>
      <c r="AQ144" s="176">
        <v>0</v>
      </c>
      <c r="AR144" s="212">
        <f t="shared" si="25"/>
        <v>4718.4000000000005</v>
      </c>
      <c r="AS144" s="212">
        <f t="shared" si="26"/>
        <v>0</v>
      </c>
      <c r="AT144" s="473">
        <f t="shared" si="27"/>
        <v>-4718.4000000000005</v>
      </c>
      <c r="AU144" s="477"/>
    </row>
    <row r="145" spans="1:47" s="35" customFormat="1" ht="29" hidden="1" x14ac:dyDescent="0.35">
      <c r="A145" s="35" t="s">
        <v>1195</v>
      </c>
      <c r="B145" s="224" t="s">
        <v>947</v>
      </c>
      <c r="C145" s="222" t="s">
        <v>19</v>
      </c>
      <c r="D145" s="136">
        <v>8470335</v>
      </c>
      <c r="E145" s="137" t="s">
        <v>207</v>
      </c>
      <c r="F145" s="138">
        <v>435350</v>
      </c>
      <c r="G145" s="137" t="s">
        <v>79</v>
      </c>
      <c r="H145" s="137" t="s">
        <v>216</v>
      </c>
      <c r="I145" s="137">
        <v>51520</v>
      </c>
      <c r="J145" s="140">
        <v>30484</v>
      </c>
      <c r="K145" s="141">
        <v>14432.71</v>
      </c>
      <c r="L145" s="142"/>
      <c r="M145" s="143"/>
      <c r="N145" s="144">
        <f t="shared" si="22"/>
        <v>16051.29</v>
      </c>
      <c r="O145" s="145"/>
      <c r="P145" s="145"/>
      <c r="Q145" s="145"/>
      <c r="R145" s="146"/>
      <c r="S145" s="139">
        <f t="shared" si="23"/>
        <v>16051.29</v>
      </c>
      <c r="T145" s="172"/>
      <c r="U145" s="137" t="s">
        <v>216</v>
      </c>
      <c r="V145" s="261">
        <f t="shared" si="21"/>
        <v>5475.4320000000007</v>
      </c>
      <c r="W145" s="261">
        <f t="shared" si="28"/>
        <v>-3731.5679999999993</v>
      </c>
      <c r="X145" s="261"/>
      <c r="Y145" s="176" t="s">
        <v>838</v>
      </c>
      <c r="Z145" s="176"/>
      <c r="AA145" s="186">
        <v>30484</v>
      </c>
      <c r="AB145" s="186">
        <v>14432.71</v>
      </c>
      <c r="AC145" s="176">
        <v>0</v>
      </c>
      <c r="AD145" s="176">
        <v>0</v>
      </c>
      <c r="AE145" s="186">
        <v>16051.29</v>
      </c>
      <c r="AF145" s="35">
        <v>16051.29</v>
      </c>
      <c r="AG145" s="212">
        <v>0</v>
      </c>
      <c r="AH145" s="212">
        <f t="shared" si="24"/>
        <v>10575.858</v>
      </c>
      <c r="AI145" s="212" t="s">
        <v>216</v>
      </c>
      <c r="AJ145" s="212">
        <v>30484</v>
      </c>
      <c r="AK145" s="212">
        <v>23639.71</v>
      </c>
      <c r="AL145" s="212">
        <v>0</v>
      </c>
      <c r="AM145" s="212">
        <v>0</v>
      </c>
      <c r="AN145" s="212">
        <v>6844.29</v>
      </c>
      <c r="AO145" s="176">
        <v>9207</v>
      </c>
      <c r="AP145" s="176">
        <v>0</v>
      </c>
      <c r="AQ145" s="176">
        <v>0</v>
      </c>
      <c r="AR145" s="212">
        <f t="shared" si="25"/>
        <v>-3731.5679999999993</v>
      </c>
      <c r="AS145" s="212">
        <f t="shared" si="26"/>
        <v>23639.71</v>
      </c>
      <c r="AT145" s="473">
        <f t="shared" si="27"/>
        <v>36578.277999999998</v>
      </c>
      <c r="AU145" s="477"/>
    </row>
    <row r="146" spans="1:47" s="35" customFormat="1" ht="29" hidden="1" x14ac:dyDescent="0.35">
      <c r="A146" s="35" t="s">
        <v>1195</v>
      </c>
      <c r="B146" s="224" t="s">
        <v>947</v>
      </c>
      <c r="C146" s="222" t="s">
        <v>19</v>
      </c>
      <c r="D146" s="136">
        <v>8470335</v>
      </c>
      <c r="E146" s="137" t="s">
        <v>207</v>
      </c>
      <c r="F146" s="138">
        <v>435508</v>
      </c>
      <c r="G146" s="137" t="s">
        <v>135</v>
      </c>
      <c r="H146" s="137" t="s">
        <v>217</v>
      </c>
      <c r="I146" s="137">
        <v>139000</v>
      </c>
      <c r="J146" s="140">
        <v>243000</v>
      </c>
      <c r="K146" s="141">
        <v>230323.61</v>
      </c>
      <c r="L146" s="148">
        <v>-5.4569682106375702E-12</v>
      </c>
      <c r="M146" s="140">
        <v>11024.51</v>
      </c>
      <c r="N146" s="144">
        <f t="shared" si="22"/>
        <v>1651.8800000000192</v>
      </c>
      <c r="O146" s="145"/>
      <c r="P146" s="145"/>
      <c r="Q146" s="145"/>
      <c r="R146" s="146"/>
      <c r="S146" s="139">
        <f t="shared" si="23"/>
        <v>1651.8800000000192</v>
      </c>
      <c r="T146" s="172"/>
      <c r="U146" s="137" t="s">
        <v>217</v>
      </c>
      <c r="V146" s="261">
        <f t="shared" si="21"/>
        <v>3373.5040000000081</v>
      </c>
      <c r="W146" s="261">
        <f t="shared" si="28"/>
        <v>3373.5040000000081</v>
      </c>
      <c r="X146" s="261"/>
      <c r="Y146" s="176" t="s">
        <v>838</v>
      </c>
      <c r="Z146" s="176"/>
      <c r="AA146" s="186">
        <v>246500</v>
      </c>
      <c r="AB146" s="186">
        <v>230323.61</v>
      </c>
      <c r="AC146" s="176">
        <v>0</v>
      </c>
      <c r="AD146" s="176">
        <v>11024.51</v>
      </c>
      <c r="AE146" s="186">
        <v>5151.8800000000138</v>
      </c>
      <c r="AF146" s="35">
        <v>5151.8800000000101</v>
      </c>
      <c r="AG146" s="212">
        <v>0</v>
      </c>
      <c r="AH146" s="212">
        <f t="shared" si="24"/>
        <v>1778.3760000000057</v>
      </c>
      <c r="AI146" s="212" t="s">
        <v>217</v>
      </c>
      <c r="AJ146" s="212">
        <v>246500</v>
      </c>
      <c r="AK146" s="212">
        <v>231258.61</v>
      </c>
      <c r="AL146" s="212">
        <v>0</v>
      </c>
      <c r="AM146" s="212">
        <v>11024.51</v>
      </c>
      <c r="AN146" s="212">
        <v>4216.8800000000101</v>
      </c>
      <c r="AO146" s="176">
        <v>0</v>
      </c>
      <c r="AP146" s="176">
        <v>0</v>
      </c>
      <c r="AQ146" s="176">
        <v>0</v>
      </c>
      <c r="AR146" s="212">
        <f t="shared" si="25"/>
        <v>3373.5040000000081</v>
      </c>
      <c r="AS146" s="212">
        <f t="shared" si="26"/>
        <v>241348.12</v>
      </c>
      <c r="AT146" s="473">
        <f t="shared" si="27"/>
        <v>238909.61599999998</v>
      </c>
      <c r="AU146" s="477"/>
    </row>
    <row r="147" spans="1:47" s="35" customFormat="1" ht="29" hidden="1" x14ac:dyDescent="0.35">
      <c r="A147" s="35" t="s">
        <v>1195</v>
      </c>
      <c r="B147" s="224" t="s">
        <v>947</v>
      </c>
      <c r="C147" s="222" t="s">
        <v>19</v>
      </c>
      <c r="D147" s="136">
        <v>8470335</v>
      </c>
      <c r="E147" s="137" t="s">
        <v>207</v>
      </c>
      <c r="F147" s="138">
        <v>436110</v>
      </c>
      <c r="G147" s="137" t="s">
        <v>119</v>
      </c>
      <c r="H147" s="137" t="s">
        <v>218</v>
      </c>
      <c r="I147" s="137">
        <v>4000</v>
      </c>
      <c r="J147" s="140">
        <v>4000</v>
      </c>
      <c r="K147" s="147"/>
      <c r="L147" s="142"/>
      <c r="M147" s="143"/>
      <c r="N147" s="144">
        <f t="shared" si="22"/>
        <v>4000</v>
      </c>
      <c r="O147" s="145"/>
      <c r="P147" s="145"/>
      <c r="Q147" s="145"/>
      <c r="R147" s="146"/>
      <c r="S147" s="139">
        <f t="shared" si="23"/>
        <v>4000</v>
      </c>
      <c r="T147" s="172"/>
      <c r="U147" s="137" t="s">
        <v>218</v>
      </c>
      <c r="V147" s="261">
        <f t="shared" si="21"/>
        <v>400</v>
      </c>
      <c r="W147" s="261">
        <f t="shared" si="28"/>
        <v>400</v>
      </c>
      <c r="X147" s="261"/>
      <c r="Y147" s="176" t="s">
        <v>838</v>
      </c>
      <c r="Z147" s="176"/>
      <c r="AA147" s="186">
        <v>500</v>
      </c>
      <c r="AB147" s="186">
        <v>0</v>
      </c>
      <c r="AC147" s="176">
        <v>0</v>
      </c>
      <c r="AD147" s="176">
        <v>0</v>
      </c>
      <c r="AE147" s="186">
        <v>500</v>
      </c>
      <c r="AF147" s="35">
        <v>500</v>
      </c>
      <c r="AG147" s="212">
        <v>0</v>
      </c>
      <c r="AH147" s="212">
        <f t="shared" si="24"/>
        <v>100</v>
      </c>
      <c r="AI147" s="212" t="s">
        <v>218</v>
      </c>
      <c r="AJ147" s="212">
        <v>500</v>
      </c>
      <c r="AK147" s="212">
        <v>0</v>
      </c>
      <c r="AL147" s="212">
        <v>0</v>
      </c>
      <c r="AM147" s="212">
        <v>0</v>
      </c>
      <c r="AN147" s="212">
        <v>500</v>
      </c>
      <c r="AO147" s="176">
        <v>0</v>
      </c>
      <c r="AP147" s="176">
        <v>0</v>
      </c>
      <c r="AQ147" s="176">
        <v>0</v>
      </c>
      <c r="AR147" s="212">
        <f t="shared" si="25"/>
        <v>400</v>
      </c>
      <c r="AS147" s="212">
        <f t="shared" si="26"/>
        <v>0</v>
      </c>
      <c r="AT147" s="473">
        <f t="shared" si="27"/>
        <v>-400</v>
      </c>
      <c r="AU147" s="477"/>
    </row>
    <row r="148" spans="1:47" s="35" customFormat="1" ht="29" hidden="1" x14ac:dyDescent="0.35">
      <c r="A148" s="35" t="s">
        <v>1195</v>
      </c>
      <c r="B148" s="224" t="s">
        <v>947</v>
      </c>
      <c r="C148" s="222" t="s">
        <v>19</v>
      </c>
      <c r="D148" s="136">
        <v>8470335</v>
      </c>
      <c r="E148" s="137" t="s">
        <v>207</v>
      </c>
      <c r="F148" s="138">
        <v>436600</v>
      </c>
      <c r="G148" s="137" t="s">
        <v>137</v>
      </c>
      <c r="H148" s="137" t="s">
        <v>219</v>
      </c>
      <c r="I148" s="137">
        <v>12000</v>
      </c>
      <c r="J148" s="140">
        <v>12000</v>
      </c>
      <c r="K148" s="141">
        <v>11500</v>
      </c>
      <c r="L148" s="148">
        <v>0</v>
      </c>
      <c r="M148" s="140">
        <v>0</v>
      </c>
      <c r="N148" s="144">
        <f t="shared" si="22"/>
        <v>500</v>
      </c>
      <c r="O148" s="145"/>
      <c r="P148" s="145"/>
      <c r="Q148" s="145"/>
      <c r="R148" s="146"/>
      <c r="S148" s="139">
        <f t="shared" si="23"/>
        <v>500</v>
      </c>
      <c r="T148" s="172"/>
      <c r="U148" s="137" t="s">
        <v>219</v>
      </c>
      <c r="V148" s="261">
        <f t="shared" si="21"/>
        <v>400</v>
      </c>
      <c r="W148" s="261">
        <f t="shared" si="28"/>
        <v>400</v>
      </c>
      <c r="X148" s="261"/>
      <c r="Y148" s="176" t="s">
        <v>838</v>
      </c>
      <c r="Z148" s="176"/>
      <c r="AA148" s="186">
        <v>12000</v>
      </c>
      <c r="AB148" s="186">
        <v>11500</v>
      </c>
      <c r="AC148" s="176">
        <v>0</v>
      </c>
      <c r="AD148" s="176">
        <v>0</v>
      </c>
      <c r="AE148" s="186">
        <v>500</v>
      </c>
      <c r="AF148" s="35">
        <v>500</v>
      </c>
      <c r="AG148" s="212">
        <v>0</v>
      </c>
      <c r="AH148" s="212">
        <f t="shared" si="24"/>
        <v>100</v>
      </c>
      <c r="AI148" s="212" t="s">
        <v>219</v>
      </c>
      <c r="AJ148" s="212">
        <v>12000</v>
      </c>
      <c r="AK148" s="212">
        <v>11500</v>
      </c>
      <c r="AL148" s="212">
        <v>0</v>
      </c>
      <c r="AM148" s="212">
        <v>0</v>
      </c>
      <c r="AN148" s="212">
        <v>500</v>
      </c>
      <c r="AO148" s="176">
        <v>0</v>
      </c>
      <c r="AP148" s="176">
        <v>0</v>
      </c>
      <c r="AQ148" s="176">
        <v>0</v>
      </c>
      <c r="AR148" s="212">
        <f t="shared" si="25"/>
        <v>400</v>
      </c>
      <c r="AS148" s="212">
        <f t="shared" si="26"/>
        <v>11500</v>
      </c>
      <c r="AT148" s="473">
        <f t="shared" si="27"/>
        <v>11100</v>
      </c>
      <c r="AU148" s="477"/>
    </row>
    <row r="149" spans="1:47" s="35" customFormat="1" ht="29" hidden="1" x14ac:dyDescent="0.35">
      <c r="A149" s="35" t="s">
        <v>1195</v>
      </c>
      <c r="B149" s="224" t="s">
        <v>947</v>
      </c>
      <c r="C149" s="222" t="s">
        <v>19</v>
      </c>
      <c r="D149" s="136">
        <v>8470340</v>
      </c>
      <c r="E149" s="137" t="s">
        <v>220</v>
      </c>
      <c r="F149" s="138">
        <v>420550</v>
      </c>
      <c r="G149" s="137" t="s">
        <v>21</v>
      </c>
      <c r="H149" s="137" t="s">
        <v>221</v>
      </c>
      <c r="I149" s="137">
        <v>3000</v>
      </c>
      <c r="J149" s="140">
        <v>3000</v>
      </c>
      <c r="K149" s="147"/>
      <c r="L149" s="142"/>
      <c r="M149" s="143"/>
      <c r="N149" s="144">
        <f t="shared" si="22"/>
        <v>3000</v>
      </c>
      <c r="O149" s="145"/>
      <c r="P149" s="145"/>
      <c r="Q149" s="145"/>
      <c r="R149" s="146"/>
      <c r="S149" s="139">
        <f t="shared" si="23"/>
        <v>3000</v>
      </c>
      <c r="T149" s="172"/>
      <c r="U149" s="137" t="s">
        <v>221</v>
      </c>
      <c r="V149" s="261">
        <f t="shared" si="21"/>
        <v>0</v>
      </c>
      <c r="W149" s="261">
        <f t="shared" si="28"/>
        <v>0</v>
      </c>
      <c r="X149" s="261"/>
      <c r="Y149" s="176" t="s">
        <v>838</v>
      </c>
      <c r="Z149" s="176"/>
      <c r="AA149" s="186">
        <v>0</v>
      </c>
      <c r="AB149" s="186">
        <v>0</v>
      </c>
      <c r="AC149" s="176">
        <v>0</v>
      </c>
      <c r="AD149" s="176">
        <v>0</v>
      </c>
      <c r="AE149" s="186">
        <v>0</v>
      </c>
      <c r="AF149" s="35">
        <v>0</v>
      </c>
      <c r="AG149" s="212">
        <v>0</v>
      </c>
      <c r="AH149" s="212">
        <f t="shared" si="24"/>
        <v>0</v>
      </c>
      <c r="AI149" s="212" t="s">
        <v>221</v>
      </c>
      <c r="AJ149" s="212">
        <v>0</v>
      </c>
      <c r="AK149" s="212">
        <v>0</v>
      </c>
      <c r="AL149" s="212">
        <v>0</v>
      </c>
      <c r="AM149" s="212">
        <v>0</v>
      </c>
      <c r="AN149" s="212">
        <v>0</v>
      </c>
      <c r="AO149" s="176">
        <v>0</v>
      </c>
      <c r="AP149" s="176">
        <v>0</v>
      </c>
      <c r="AQ149" s="176">
        <v>0</v>
      </c>
      <c r="AR149" s="212">
        <f t="shared" si="25"/>
        <v>0</v>
      </c>
      <c r="AS149" s="212">
        <f t="shared" si="26"/>
        <v>0</v>
      </c>
      <c r="AT149" s="473">
        <f t="shared" si="27"/>
        <v>0</v>
      </c>
      <c r="AU149" s="477"/>
    </row>
    <row r="150" spans="1:47" s="35" customFormat="1" ht="29" hidden="1" x14ac:dyDescent="0.35">
      <c r="A150" s="35" t="s">
        <v>1195</v>
      </c>
      <c r="B150" s="224" t="s">
        <v>947</v>
      </c>
      <c r="C150" s="222" t="s">
        <v>19</v>
      </c>
      <c r="D150" s="136">
        <v>8470340</v>
      </c>
      <c r="E150" s="137" t="s">
        <v>220</v>
      </c>
      <c r="F150" s="138">
        <v>425510</v>
      </c>
      <c r="G150" s="137" t="s">
        <v>31</v>
      </c>
      <c r="H150" s="137" t="s">
        <v>222</v>
      </c>
      <c r="I150" s="137">
        <v>10000</v>
      </c>
      <c r="J150" s="140">
        <v>10000</v>
      </c>
      <c r="K150" s="147"/>
      <c r="L150" s="142"/>
      <c r="M150" s="143"/>
      <c r="N150" s="144">
        <f t="shared" si="22"/>
        <v>10000</v>
      </c>
      <c r="O150" s="145"/>
      <c r="P150" s="145"/>
      <c r="Q150" s="145"/>
      <c r="R150" s="146"/>
      <c r="S150" s="139">
        <f t="shared" si="23"/>
        <v>10000</v>
      </c>
      <c r="T150" s="172"/>
      <c r="U150" s="137" t="s">
        <v>222</v>
      </c>
      <c r="V150" s="261">
        <f t="shared" si="21"/>
        <v>8000</v>
      </c>
      <c r="W150" s="261">
        <f t="shared" si="28"/>
        <v>8000</v>
      </c>
      <c r="X150" s="261"/>
      <c r="Y150" s="176" t="s">
        <v>838</v>
      </c>
      <c r="Z150" s="176"/>
      <c r="AA150" s="186">
        <v>10000</v>
      </c>
      <c r="AB150" s="186">
        <v>0</v>
      </c>
      <c r="AC150" s="176">
        <v>0</v>
      </c>
      <c r="AD150" s="176">
        <v>0</v>
      </c>
      <c r="AE150" s="186">
        <v>10000</v>
      </c>
      <c r="AF150" s="35">
        <v>10000</v>
      </c>
      <c r="AG150" s="212">
        <v>0</v>
      </c>
      <c r="AH150" s="212">
        <f t="shared" si="24"/>
        <v>2000</v>
      </c>
      <c r="AI150" s="212" t="s">
        <v>222</v>
      </c>
      <c r="AJ150" s="212">
        <v>10000</v>
      </c>
      <c r="AK150" s="212">
        <v>0</v>
      </c>
      <c r="AL150" s="212">
        <v>0</v>
      </c>
      <c r="AM150" s="212">
        <v>0</v>
      </c>
      <c r="AN150" s="212">
        <v>10000</v>
      </c>
      <c r="AO150" s="176">
        <v>0</v>
      </c>
      <c r="AP150" s="176">
        <v>0</v>
      </c>
      <c r="AQ150" s="176">
        <v>0</v>
      </c>
      <c r="AR150" s="212">
        <f t="shared" si="25"/>
        <v>8000</v>
      </c>
      <c r="AS150" s="212">
        <f t="shared" si="26"/>
        <v>0</v>
      </c>
      <c r="AT150" s="473">
        <f t="shared" si="27"/>
        <v>-8000</v>
      </c>
      <c r="AU150" s="477"/>
    </row>
    <row r="151" spans="1:47" s="35" customFormat="1" ht="29" hidden="1" x14ac:dyDescent="0.35">
      <c r="A151" s="35" t="s">
        <v>1195</v>
      </c>
      <c r="B151" s="224" t="s">
        <v>947</v>
      </c>
      <c r="C151" s="222" t="s">
        <v>19</v>
      </c>
      <c r="D151" s="136">
        <v>8470340</v>
      </c>
      <c r="E151" s="137" t="s">
        <v>220</v>
      </c>
      <c r="F151" s="138">
        <v>425720</v>
      </c>
      <c r="G151" s="137" t="s">
        <v>224</v>
      </c>
      <c r="H151" s="137" t="s">
        <v>225</v>
      </c>
      <c r="I151" s="137">
        <v>30000</v>
      </c>
      <c r="J151" s="140">
        <v>30000</v>
      </c>
      <c r="K151" s="147"/>
      <c r="L151" s="142"/>
      <c r="M151" s="143"/>
      <c r="N151" s="144">
        <f t="shared" si="22"/>
        <v>30000</v>
      </c>
      <c r="O151" s="145"/>
      <c r="P151" s="145"/>
      <c r="Q151" s="145"/>
      <c r="R151" s="146"/>
      <c r="S151" s="139">
        <f t="shared" si="23"/>
        <v>30000</v>
      </c>
      <c r="T151" s="172"/>
      <c r="U151" s="137" t="s">
        <v>225</v>
      </c>
      <c r="V151" s="261">
        <f t="shared" si="21"/>
        <v>186.584</v>
      </c>
      <c r="W151" s="261">
        <f t="shared" si="28"/>
        <v>186.584</v>
      </c>
      <c r="X151" s="261"/>
      <c r="Y151" s="176" t="s">
        <v>838</v>
      </c>
      <c r="Z151" s="176"/>
      <c r="AA151" s="186">
        <v>30000</v>
      </c>
      <c r="AB151" s="186">
        <v>0</v>
      </c>
      <c r="AC151" s="176">
        <v>29950</v>
      </c>
      <c r="AD151" s="176">
        <v>0</v>
      </c>
      <c r="AE151" s="186">
        <v>50</v>
      </c>
      <c r="AF151" s="35">
        <v>50</v>
      </c>
      <c r="AG151" s="212">
        <v>0</v>
      </c>
      <c r="AH151" s="212">
        <f t="shared" si="24"/>
        <v>-136.584</v>
      </c>
      <c r="AI151" s="212" t="s">
        <v>225</v>
      </c>
      <c r="AJ151" s="212">
        <v>30000</v>
      </c>
      <c r="AK151" s="212">
        <v>0</v>
      </c>
      <c r="AL151" s="212">
        <v>0</v>
      </c>
      <c r="AM151" s="212">
        <v>29766.77</v>
      </c>
      <c r="AN151" s="212">
        <v>233.23</v>
      </c>
      <c r="AO151" s="176">
        <v>0</v>
      </c>
      <c r="AP151" s="176">
        <v>0</v>
      </c>
      <c r="AQ151" s="176">
        <v>0</v>
      </c>
      <c r="AR151" s="212">
        <f t="shared" si="25"/>
        <v>186.584</v>
      </c>
      <c r="AS151" s="212">
        <f t="shared" si="26"/>
        <v>29950</v>
      </c>
      <c r="AT151" s="473">
        <f t="shared" si="27"/>
        <v>29580.186000000002</v>
      </c>
      <c r="AU151" s="477"/>
    </row>
    <row r="152" spans="1:47" s="35" customFormat="1" ht="29" hidden="1" x14ac:dyDescent="0.35">
      <c r="A152" s="35" t="s">
        <v>1195</v>
      </c>
      <c r="B152" s="224" t="s">
        <v>947</v>
      </c>
      <c r="C152" s="222" t="s">
        <v>19</v>
      </c>
      <c r="D152" s="136">
        <v>8470340</v>
      </c>
      <c r="E152" s="137" t="s">
        <v>220</v>
      </c>
      <c r="F152" s="138">
        <v>425760</v>
      </c>
      <c r="G152" s="137" t="s">
        <v>142</v>
      </c>
      <c r="H152" s="137" t="s">
        <v>226</v>
      </c>
      <c r="I152" s="137">
        <v>12000</v>
      </c>
      <c r="J152" s="140">
        <v>12000</v>
      </c>
      <c r="K152" s="147"/>
      <c r="L152" s="142"/>
      <c r="M152" s="143"/>
      <c r="N152" s="144">
        <f t="shared" si="22"/>
        <v>12000</v>
      </c>
      <c r="O152" s="145"/>
      <c r="P152" s="145"/>
      <c r="Q152" s="145"/>
      <c r="R152" s="146"/>
      <c r="S152" s="139">
        <f t="shared" si="23"/>
        <v>12000</v>
      </c>
      <c r="T152" s="172"/>
      <c r="U152" s="137" t="s">
        <v>226</v>
      </c>
      <c r="V152" s="261">
        <f t="shared" si="21"/>
        <v>9600</v>
      </c>
      <c r="W152" s="261">
        <f t="shared" si="28"/>
        <v>9600</v>
      </c>
      <c r="X152" s="261"/>
      <c r="Y152" s="176" t="s">
        <v>838</v>
      </c>
      <c r="Z152" s="176"/>
      <c r="AA152" s="186">
        <v>12000</v>
      </c>
      <c r="AB152" s="186">
        <v>0</v>
      </c>
      <c r="AC152" s="176">
        <v>0</v>
      </c>
      <c r="AD152" s="176">
        <v>0</v>
      </c>
      <c r="AE152" s="186">
        <v>12000</v>
      </c>
      <c r="AF152" s="35">
        <v>12000</v>
      </c>
      <c r="AG152" s="212">
        <v>0</v>
      </c>
      <c r="AH152" s="212">
        <f t="shared" si="24"/>
        <v>2400</v>
      </c>
      <c r="AI152" s="212" t="s">
        <v>226</v>
      </c>
      <c r="AJ152" s="212">
        <v>12000</v>
      </c>
      <c r="AK152" s="212">
        <v>0</v>
      </c>
      <c r="AL152" s="212">
        <v>0</v>
      </c>
      <c r="AM152" s="212">
        <v>0</v>
      </c>
      <c r="AN152" s="212">
        <v>12000</v>
      </c>
      <c r="AO152" s="176">
        <v>0</v>
      </c>
      <c r="AP152" s="176">
        <v>0</v>
      </c>
      <c r="AQ152" s="176">
        <v>0</v>
      </c>
      <c r="AR152" s="212">
        <f t="shared" si="25"/>
        <v>9600</v>
      </c>
      <c r="AS152" s="212">
        <f t="shared" si="26"/>
        <v>0</v>
      </c>
      <c r="AT152" s="473">
        <f t="shared" si="27"/>
        <v>-9600</v>
      </c>
      <c r="AU152" s="477"/>
    </row>
    <row r="153" spans="1:47" s="35" customFormat="1" ht="29" hidden="1" x14ac:dyDescent="0.35">
      <c r="A153" s="35" t="s">
        <v>1195</v>
      </c>
      <c r="B153" s="224" t="s">
        <v>947</v>
      </c>
      <c r="C153" s="222" t="s">
        <v>19</v>
      </c>
      <c r="D153" s="136">
        <v>8470340</v>
      </c>
      <c r="E153" s="137" t="s">
        <v>220</v>
      </c>
      <c r="F153" s="138">
        <v>425763</v>
      </c>
      <c r="G153" s="137" t="s">
        <v>59</v>
      </c>
      <c r="H153" s="137" t="s">
        <v>227</v>
      </c>
      <c r="I153" s="137">
        <v>480000</v>
      </c>
      <c r="J153" s="140">
        <v>460000</v>
      </c>
      <c r="K153" s="141">
        <v>304083.32</v>
      </c>
      <c r="L153" s="142"/>
      <c r="M153" s="143"/>
      <c r="N153" s="144">
        <f t="shared" si="22"/>
        <v>155916.68</v>
      </c>
      <c r="O153" s="145"/>
      <c r="P153" s="145"/>
      <c r="Q153" s="145"/>
      <c r="R153" s="146"/>
      <c r="S153" s="139">
        <f t="shared" si="23"/>
        <v>155916.68</v>
      </c>
      <c r="T153" s="172"/>
      <c r="U153" s="137" t="s">
        <v>227</v>
      </c>
      <c r="V153" s="261">
        <f t="shared" si="21"/>
        <v>23797.320000000003</v>
      </c>
      <c r="W153" s="261">
        <f t="shared" si="28"/>
        <v>23797.320000000003</v>
      </c>
      <c r="X153" s="261"/>
      <c r="Y153" s="176" t="s">
        <v>838</v>
      </c>
      <c r="Z153" s="176"/>
      <c r="AA153" s="186">
        <v>460000</v>
      </c>
      <c r="AB153" s="186">
        <v>377346.3</v>
      </c>
      <c r="AC153" s="176">
        <v>0</v>
      </c>
      <c r="AD153" s="176">
        <v>0</v>
      </c>
      <c r="AE153" s="186">
        <v>82653.700000000012</v>
      </c>
      <c r="AF153" s="35">
        <v>82653.699999999895</v>
      </c>
      <c r="AG153" s="212">
        <v>1.1641532182693481E-10</v>
      </c>
      <c r="AH153" s="212">
        <f t="shared" si="24"/>
        <v>58856.380000000005</v>
      </c>
      <c r="AI153" s="212" t="s">
        <v>227</v>
      </c>
      <c r="AJ153" s="212">
        <v>460000</v>
      </c>
      <c r="AK153" s="212">
        <v>430253.35</v>
      </c>
      <c r="AL153" s="212">
        <v>0</v>
      </c>
      <c r="AM153" s="212">
        <v>0</v>
      </c>
      <c r="AN153" s="212">
        <v>29746.65</v>
      </c>
      <c r="AO153" s="176">
        <v>0</v>
      </c>
      <c r="AP153" s="176">
        <v>0</v>
      </c>
      <c r="AQ153" s="176">
        <v>0</v>
      </c>
      <c r="AR153" s="212">
        <f t="shared" si="25"/>
        <v>23797.320000000003</v>
      </c>
      <c r="AS153" s="212">
        <f t="shared" si="26"/>
        <v>377346.3</v>
      </c>
      <c r="AT153" s="473">
        <f t="shared" si="27"/>
        <v>406456.02999999997</v>
      </c>
      <c r="AU153" s="477"/>
    </row>
    <row r="154" spans="1:47" s="35" customFormat="1" ht="29" hidden="1" x14ac:dyDescent="0.35">
      <c r="A154" s="35" t="s">
        <v>1195</v>
      </c>
      <c r="B154" s="224" t="s">
        <v>947</v>
      </c>
      <c r="C154" s="222" t="s">
        <v>19</v>
      </c>
      <c r="D154" s="136">
        <v>8470340</v>
      </c>
      <c r="E154" s="137" t="s">
        <v>220</v>
      </c>
      <c r="F154" s="138">
        <v>425770</v>
      </c>
      <c r="G154" s="137" t="s">
        <v>74</v>
      </c>
      <c r="H154" s="137" t="s">
        <v>228</v>
      </c>
      <c r="I154" s="137">
        <v>630000</v>
      </c>
      <c r="J154" s="140">
        <v>325724</v>
      </c>
      <c r="K154" s="141">
        <v>108520.2</v>
      </c>
      <c r="L154" s="142"/>
      <c r="M154" s="143"/>
      <c r="N154" s="144">
        <f t="shared" si="22"/>
        <v>217203.8</v>
      </c>
      <c r="O154" s="145"/>
      <c r="P154" s="145"/>
      <c r="Q154" s="145"/>
      <c r="R154" s="146"/>
      <c r="S154" s="139">
        <f t="shared" si="23"/>
        <v>217203.8</v>
      </c>
      <c r="T154" s="172"/>
      <c r="U154" s="137" t="s">
        <v>228</v>
      </c>
      <c r="V154" s="261">
        <f t="shared" si="21"/>
        <v>117729.76000000001</v>
      </c>
      <c r="W154" s="261">
        <f t="shared" si="28"/>
        <v>47719.200000000012</v>
      </c>
      <c r="X154" s="261"/>
      <c r="Y154" s="176" t="s">
        <v>838</v>
      </c>
      <c r="Z154" s="176"/>
      <c r="AA154" s="186">
        <v>325724</v>
      </c>
      <c r="AB154" s="186">
        <v>160141.79999999999</v>
      </c>
      <c r="AC154" s="176">
        <v>0</v>
      </c>
      <c r="AD154" s="176">
        <v>0</v>
      </c>
      <c r="AE154" s="186">
        <v>165582.20000000001</v>
      </c>
      <c r="AF154" s="35">
        <v>165582.20000000001</v>
      </c>
      <c r="AG154" s="212">
        <v>0</v>
      </c>
      <c r="AH154" s="212">
        <f t="shared" si="24"/>
        <v>47852.44</v>
      </c>
      <c r="AI154" s="212" t="s">
        <v>228</v>
      </c>
      <c r="AJ154" s="212">
        <v>325724</v>
      </c>
      <c r="AK154" s="212">
        <v>178561.8</v>
      </c>
      <c r="AL154" s="212">
        <v>0</v>
      </c>
      <c r="AM154" s="212">
        <v>0</v>
      </c>
      <c r="AN154" s="212">
        <v>147162.20000000001</v>
      </c>
      <c r="AO154" s="176">
        <v>4199.6500000000005</v>
      </c>
      <c r="AP154" s="176">
        <v>0</v>
      </c>
      <c r="AQ154" s="176">
        <v>65810.91</v>
      </c>
      <c r="AR154" s="212">
        <f t="shared" si="25"/>
        <v>47719.200000000012</v>
      </c>
      <c r="AS154" s="212">
        <f t="shared" si="26"/>
        <v>230152.36</v>
      </c>
      <c r="AT154" s="473">
        <f t="shared" si="27"/>
        <v>200853.15999999997</v>
      </c>
      <c r="AU154" s="477"/>
    </row>
    <row r="155" spans="1:47" s="35" customFormat="1" ht="29" hidden="1" x14ac:dyDescent="0.35">
      <c r="A155" s="35" t="s">
        <v>1195</v>
      </c>
      <c r="B155" s="224" t="s">
        <v>947</v>
      </c>
      <c r="C155" s="222" t="s">
        <v>19</v>
      </c>
      <c r="D155" s="136">
        <v>8470340</v>
      </c>
      <c r="E155" s="137" t="s">
        <v>220</v>
      </c>
      <c r="F155" s="138">
        <v>425900</v>
      </c>
      <c r="G155" s="137" t="s">
        <v>35</v>
      </c>
      <c r="H155" s="137" t="s">
        <v>229</v>
      </c>
      <c r="I155" s="137">
        <v>54000</v>
      </c>
      <c r="J155" s="140">
        <v>54000</v>
      </c>
      <c r="K155" s="141">
        <v>11997.25</v>
      </c>
      <c r="L155" s="148">
        <v>8800</v>
      </c>
      <c r="M155" s="140">
        <v>0</v>
      </c>
      <c r="N155" s="144">
        <f t="shared" si="22"/>
        <v>33202.75</v>
      </c>
      <c r="O155" s="145"/>
      <c r="P155" s="145"/>
      <c r="Q155" s="145"/>
      <c r="R155" s="146"/>
      <c r="S155" s="139">
        <f t="shared" si="23"/>
        <v>33202.75</v>
      </c>
      <c r="T155" s="172"/>
      <c r="U155" s="137" t="s">
        <v>229</v>
      </c>
      <c r="V155" s="261">
        <f t="shared" si="21"/>
        <v>26562.2</v>
      </c>
      <c r="W155" s="261">
        <f t="shared" si="28"/>
        <v>26562.2</v>
      </c>
      <c r="X155" s="261"/>
      <c r="Y155" s="176" t="s">
        <v>838</v>
      </c>
      <c r="Z155" s="176"/>
      <c r="AA155" s="186">
        <v>54000</v>
      </c>
      <c r="AB155" s="186">
        <v>11997.25</v>
      </c>
      <c r="AC155" s="176">
        <v>8800</v>
      </c>
      <c r="AD155" s="176">
        <v>0</v>
      </c>
      <c r="AE155" s="186">
        <v>33202.75</v>
      </c>
      <c r="AF155" s="35">
        <v>33202.75</v>
      </c>
      <c r="AG155" s="212">
        <v>0</v>
      </c>
      <c r="AH155" s="212">
        <f t="shared" si="24"/>
        <v>6640.5499999999993</v>
      </c>
      <c r="AI155" s="212" t="s">
        <v>229</v>
      </c>
      <c r="AJ155" s="212">
        <v>54000</v>
      </c>
      <c r="AK155" s="212">
        <v>11997.25</v>
      </c>
      <c r="AL155" s="212">
        <v>8800</v>
      </c>
      <c r="AM155" s="212">
        <v>0</v>
      </c>
      <c r="AN155" s="212">
        <v>33202.75</v>
      </c>
      <c r="AO155" s="176">
        <v>0</v>
      </c>
      <c r="AP155" s="176">
        <v>0</v>
      </c>
      <c r="AQ155" s="176">
        <v>0</v>
      </c>
      <c r="AR155" s="212">
        <f t="shared" si="25"/>
        <v>26562.2</v>
      </c>
      <c r="AS155" s="212">
        <f t="shared" si="26"/>
        <v>20797.25</v>
      </c>
      <c r="AT155" s="473">
        <f t="shared" si="27"/>
        <v>-5764.9500000000007</v>
      </c>
      <c r="AU155" s="477"/>
    </row>
    <row r="156" spans="1:47" s="35" customFormat="1" ht="29" hidden="1" x14ac:dyDescent="0.35">
      <c r="A156" s="35" t="s">
        <v>1195</v>
      </c>
      <c r="B156" s="224" t="s">
        <v>947</v>
      </c>
      <c r="C156" s="222" t="s">
        <v>19</v>
      </c>
      <c r="D156" s="136">
        <v>8470340</v>
      </c>
      <c r="E156" s="137" t="s">
        <v>220</v>
      </c>
      <c r="F156" s="138">
        <v>426610</v>
      </c>
      <c r="G156" s="137" t="s">
        <v>37</v>
      </c>
      <c r="H156" s="137" t="s">
        <v>230</v>
      </c>
      <c r="I156" s="137">
        <v>210000</v>
      </c>
      <c r="J156" s="140">
        <v>210000</v>
      </c>
      <c r="K156" s="141">
        <v>149475.72</v>
      </c>
      <c r="L156" s="148">
        <v>0</v>
      </c>
      <c r="M156" s="140">
        <v>26251.34</v>
      </c>
      <c r="N156" s="144">
        <f t="shared" si="22"/>
        <v>34272.94</v>
      </c>
      <c r="O156" s="145"/>
      <c r="P156" s="145"/>
      <c r="Q156" s="145"/>
      <c r="R156" s="146"/>
      <c r="S156" s="139">
        <f t="shared" si="23"/>
        <v>34272.94</v>
      </c>
      <c r="T156" s="172"/>
      <c r="U156" s="137" t="s">
        <v>230</v>
      </c>
      <c r="V156" s="261">
        <f t="shared" si="21"/>
        <v>6328.2880000000159</v>
      </c>
      <c r="W156" s="261">
        <f t="shared" si="28"/>
        <v>4965.708000000016</v>
      </c>
      <c r="X156" s="261"/>
      <c r="Y156" s="176" t="s">
        <v>838</v>
      </c>
      <c r="Z156" s="176"/>
      <c r="AA156" s="186">
        <v>185000</v>
      </c>
      <c r="AB156" s="186">
        <v>175727.06</v>
      </c>
      <c r="AC156" s="176">
        <v>0</v>
      </c>
      <c r="AD156" s="176">
        <v>0</v>
      </c>
      <c r="AE156" s="186">
        <v>9272.9400000000023</v>
      </c>
      <c r="AF156" s="35">
        <v>9272.94</v>
      </c>
      <c r="AG156" s="212">
        <v>0</v>
      </c>
      <c r="AH156" s="212">
        <f t="shared" si="24"/>
        <v>2944.6519999999864</v>
      </c>
      <c r="AI156" s="212" t="s">
        <v>230</v>
      </c>
      <c r="AJ156" s="212">
        <v>185000</v>
      </c>
      <c r="AK156" s="212">
        <v>177089.64</v>
      </c>
      <c r="AL156" s="212">
        <v>0</v>
      </c>
      <c r="AM156" s="212">
        <v>0</v>
      </c>
      <c r="AN156" s="212">
        <v>7910.3600000000197</v>
      </c>
      <c r="AO156" s="176">
        <v>1362.58</v>
      </c>
      <c r="AP156" s="176">
        <v>0</v>
      </c>
      <c r="AQ156" s="176">
        <v>0</v>
      </c>
      <c r="AR156" s="212">
        <f t="shared" si="25"/>
        <v>4965.708000000016</v>
      </c>
      <c r="AS156" s="212">
        <f t="shared" si="26"/>
        <v>177089.63999999998</v>
      </c>
      <c r="AT156" s="473">
        <f t="shared" si="27"/>
        <v>173486.51199999999</v>
      </c>
      <c r="AU156" s="477"/>
    </row>
    <row r="157" spans="1:47" s="35" customFormat="1" ht="29" hidden="1" x14ac:dyDescent="0.35">
      <c r="A157" s="35" t="s">
        <v>1195</v>
      </c>
      <c r="B157" s="224" t="s">
        <v>947</v>
      </c>
      <c r="C157" s="222" t="s">
        <v>19</v>
      </c>
      <c r="D157" s="136">
        <v>8470340</v>
      </c>
      <c r="E157" s="137" t="s">
        <v>220</v>
      </c>
      <c r="F157" s="138">
        <v>432209</v>
      </c>
      <c r="G157" s="137" t="s">
        <v>132</v>
      </c>
      <c r="H157" s="137" t="s">
        <v>231</v>
      </c>
      <c r="I157" s="137">
        <v>80000</v>
      </c>
      <c r="J157" s="140">
        <v>100000</v>
      </c>
      <c r="K157" s="141">
        <v>20000</v>
      </c>
      <c r="L157" s="148">
        <v>0</v>
      </c>
      <c r="M157" s="140">
        <v>74500</v>
      </c>
      <c r="N157" s="144">
        <f t="shared" si="22"/>
        <v>5500</v>
      </c>
      <c r="O157" s="145"/>
      <c r="P157" s="145"/>
      <c r="Q157" s="145"/>
      <c r="R157" s="146"/>
      <c r="S157" s="139">
        <f t="shared" si="23"/>
        <v>5500</v>
      </c>
      <c r="T157" s="172"/>
      <c r="U157" s="137" t="s">
        <v>231</v>
      </c>
      <c r="V157" s="261">
        <f t="shared" si="21"/>
        <v>0</v>
      </c>
      <c r="W157" s="261">
        <f t="shared" si="28"/>
        <v>0</v>
      </c>
      <c r="X157" s="261"/>
      <c r="Y157" s="176" t="s">
        <v>838</v>
      </c>
      <c r="Z157" s="176"/>
      <c r="AA157" s="186">
        <v>94500</v>
      </c>
      <c r="AB157" s="186">
        <v>20000</v>
      </c>
      <c r="AC157" s="176">
        <v>0</v>
      </c>
      <c r="AD157" s="176">
        <v>74500</v>
      </c>
      <c r="AE157" s="186">
        <v>0</v>
      </c>
      <c r="AF157" s="35">
        <v>0</v>
      </c>
      <c r="AG157" s="212">
        <v>0</v>
      </c>
      <c r="AH157" s="212">
        <f t="shared" si="24"/>
        <v>0</v>
      </c>
      <c r="AI157" s="212" t="s">
        <v>231</v>
      </c>
      <c r="AJ157" s="212">
        <v>94500</v>
      </c>
      <c r="AK157" s="212">
        <v>20000</v>
      </c>
      <c r="AL157" s="212">
        <v>0</v>
      </c>
      <c r="AM157" s="212">
        <v>74500</v>
      </c>
      <c r="AN157" s="212">
        <v>0</v>
      </c>
      <c r="AO157" s="176">
        <v>0</v>
      </c>
      <c r="AP157" s="176">
        <v>0</v>
      </c>
      <c r="AQ157" s="176">
        <v>0</v>
      </c>
      <c r="AR157" s="212">
        <f t="shared" si="25"/>
        <v>0</v>
      </c>
      <c r="AS157" s="212">
        <f t="shared" si="26"/>
        <v>94500</v>
      </c>
      <c r="AT157" s="473">
        <f t="shared" si="27"/>
        <v>94500</v>
      </c>
      <c r="AU157" s="477"/>
    </row>
    <row r="158" spans="1:47" s="35" customFormat="1" ht="29" hidden="1" x14ac:dyDescent="0.35">
      <c r="A158" s="35" t="s">
        <v>1195</v>
      </c>
      <c r="B158" s="224" t="s">
        <v>947</v>
      </c>
      <c r="C158" s="222" t="s">
        <v>19</v>
      </c>
      <c r="D158" s="136">
        <v>8470340</v>
      </c>
      <c r="E158" s="137" t="s">
        <v>220</v>
      </c>
      <c r="F158" s="138">
        <v>435350</v>
      </c>
      <c r="G158" s="137" t="s">
        <v>79</v>
      </c>
      <c r="H158" s="137" t="s">
        <v>232</v>
      </c>
      <c r="I158" s="137">
        <v>336000</v>
      </c>
      <c r="J158" s="140">
        <v>199569</v>
      </c>
      <c r="K158" s="141">
        <v>138526.07999999999</v>
      </c>
      <c r="L158" s="142"/>
      <c r="M158" s="143"/>
      <c r="N158" s="144">
        <f t="shared" si="22"/>
        <v>61042.920000000013</v>
      </c>
      <c r="O158" s="145"/>
      <c r="P158" s="145"/>
      <c r="Q158" s="145"/>
      <c r="R158" s="146"/>
      <c r="S158" s="139">
        <f t="shared" si="23"/>
        <v>61042.920000000013</v>
      </c>
      <c r="T158" s="172"/>
      <c r="U158" s="137" t="s">
        <v>232</v>
      </c>
      <c r="V158" s="261">
        <f t="shared" si="21"/>
        <v>34053.520000000004</v>
      </c>
      <c r="W158" s="261">
        <f t="shared" si="28"/>
        <v>16500.320000000003</v>
      </c>
      <c r="X158" s="261"/>
      <c r="Y158" s="176" t="s">
        <v>838</v>
      </c>
      <c r="Z158" s="176"/>
      <c r="AA158" s="186">
        <v>199569</v>
      </c>
      <c r="AB158" s="186">
        <v>157002.1</v>
      </c>
      <c r="AC158" s="176">
        <v>0</v>
      </c>
      <c r="AD158" s="176">
        <v>0</v>
      </c>
      <c r="AE158" s="186">
        <v>42566.899999999994</v>
      </c>
      <c r="AF158" s="35">
        <v>42566.9</v>
      </c>
      <c r="AG158" s="212">
        <v>0</v>
      </c>
      <c r="AH158" s="212">
        <f t="shared" si="24"/>
        <v>8513.3799999999901</v>
      </c>
      <c r="AI158" s="212" t="s">
        <v>232</v>
      </c>
      <c r="AJ158" s="212">
        <v>199569</v>
      </c>
      <c r="AK158" s="212">
        <v>157002.1</v>
      </c>
      <c r="AL158" s="212">
        <v>0</v>
      </c>
      <c r="AM158" s="212">
        <v>0</v>
      </c>
      <c r="AN158" s="212">
        <v>42566.9</v>
      </c>
      <c r="AO158" s="176">
        <v>12775.7</v>
      </c>
      <c r="AP158" s="176">
        <v>4777.5</v>
      </c>
      <c r="AQ158" s="176">
        <v>0</v>
      </c>
      <c r="AR158" s="212">
        <f t="shared" si="25"/>
        <v>16500.320000000003</v>
      </c>
      <c r="AS158" s="212">
        <f t="shared" si="26"/>
        <v>174555.30000000002</v>
      </c>
      <c r="AT158" s="473">
        <f t="shared" si="27"/>
        <v>158054.98000000001</v>
      </c>
      <c r="AU158" s="477"/>
    </row>
    <row r="159" spans="1:47" s="35" customFormat="1" ht="29" hidden="1" x14ac:dyDescent="0.35">
      <c r="A159" s="35" t="s">
        <v>1195</v>
      </c>
      <c r="B159" s="224" t="s">
        <v>947</v>
      </c>
      <c r="C159" s="222" t="s">
        <v>19</v>
      </c>
      <c r="D159" s="136">
        <v>8470340</v>
      </c>
      <c r="E159" s="137" t="s">
        <v>220</v>
      </c>
      <c r="F159" s="138">
        <v>435508</v>
      </c>
      <c r="G159" s="137" t="s">
        <v>135</v>
      </c>
      <c r="H159" s="137" t="s">
        <v>233</v>
      </c>
      <c r="I159" s="137">
        <v>264000</v>
      </c>
      <c r="J159" s="140">
        <v>264000</v>
      </c>
      <c r="K159" s="141">
        <v>239114.72</v>
      </c>
      <c r="L159" s="148">
        <v>0</v>
      </c>
      <c r="M159" s="140">
        <v>21000</v>
      </c>
      <c r="N159" s="144">
        <f t="shared" si="22"/>
        <v>3885.2799999999988</v>
      </c>
      <c r="O159" s="145"/>
      <c r="P159" s="145"/>
      <c r="Q159" s="145"/>
      <c r="R159" s="146"/>
      <c r="S159" s="139">
        <f t="shared" si="23"/>
        <v>3885.2799999999988</v>
      </c>
      <c r="T159" s="172"/>
      <c r="U159" s="137" t="s">
        <v>233</v>
      </c>
      <c r="V159" s="261">
        <f t="shared" si="21"/>
        <v>11175.960000000001</v>
      </c>
      <c r="W159" s="261">
        <f t="shared" si="28"/>
        <v>8130.9600000000009</v>
      </c>
      <c r="X159" s="261"/>
      <c r="Y159" s="176" t="s">
        <v>838</v>
      </c>
      <c r="Z159" s="176"/>
      <c r="AA159" s="186">
        <v>297500</v>
      </c>
      <c r="AB159" s="186">
        <v>243540.05</v>
      </c>
      <c r="AC159" s="176">
        <v>0</v>
      </c>
      <c r="AD159" s="176">
        <v>21000</v>
      </c>
      <c r="AE159" s="186">
        <v>32959.950000000012</v>
      </c>
      <c r="AF159" s="35">
        <v>32959.949999999997</v>
      </c>
      <c r="AG159" s="212">
        <v>0</v>
      </c>
      <c r="AH159" s="212">
        <f t="shared" si="24"/>
        <v>21783.990000000013</v>
      </c>
      <c r="AI159" s="212" t="s">
        <v>233</v>
      </c>
      <c r="AJ159" s="212">
        <v>297500</v>
      </c>
      <c r="AK159" s="212">
        <v>262530.05</v>
      </c>
      <c r="AL159" s="212">
        <v>0</v>
      </c>
      <c r="AM159" s="212">
        <v>21000</v>
      </c>
      <c r="AN159" s="212">
        <v>13969.95</v>
      </c>
      <c r="AO159" s="176">
        <v>0</v>
      </c>
      <c r="AP159" s="176">
        <v>3045</v>
      </c>
      <c r="AQ159" s="176">
        <v>0</v>
      </c>
      <c r="AR159" s="212">
        <f t="shared" si="25"/>
        <v>8130.9600000000009</v>
      </c>
      <c r="AS159" s="212">
        <f t="shared" si="26"/>
        <v>267585.05</v>
      </c>
      <c r="AT159" s="473">
        <f t="shared" si="27"/>
        <v>278444.08999999997</v>
      </c>
      <c r="AU159" s="477"/>
    </row>
    <row r="160" spans="1:47" s="35" customFormat="1" ht="29" hidden="1" x14ac:dyDescent="0.35">
      <c r="A160" s="35" t="s">
        <v>1195</v>
      </c>
      <c r="B160" s="224" t="s">
        <v>947</v>
      </c>
      <c r="C160" s="222" t="s">
        <v>19</v>
      </c>
      <c r="D160" s="136">
        <v>8470345</v>
      </c>
      <c r="E160" s="137" t="s">
        <v>234</v>
      </c>
      <c r="F160" s="138">
        <v>420550</v>
      </c>
      <c r="G160" s="137" t="s">
        <v>21</v>
      </c>
      <c r="H160" s="137" t="s">
        <v>235</v>
      </c>
      <c r="I160" s="137">
        <v>20000</v>
      </c>
      <c r="J160" s="140">
        <v>20000</v>
      </c>
      <c r="K160" s="147"/>
      <c r="L160" s="142"/>
      <c r="M160" s="143"/>
      <c r="N160" s="144">
        <f t="shared" si="22"/>
        <v>20000</v>
      </c>
      <c r="O160" s="145"/>
      <c r="P160" s="145"/>
      <c r="Q160" s="145"/>
      <c r="R160" s="146"/>
      <c r="S160" s="139">
        <f t="shared" si="23"/>
        <v>20000</v>
      </c>
      <c r="T160" s="172"/>
      <c r="U160" s="137" t="s">
        <v>235</v>
      </c>
      <c r="V160" s="261">
        <f t="shared" si="21"/>
        <v>16000</v>
      </c>
      <c r="W160" s="261">
        <f t="shared" si="28"/>
        <v>16000</v>
      </c>
      <c r="X160" s="261"/>
      <c r="Y160" s="176" t="s">
        <v>838</v>
      </c>
      <c r="Z160" s="176"/>
      <c r="AA160" s="186">
        <v>20000</v>
      </c>
      <c r="AB160" s="186">
        <v>0</v>
      </c>
      <c r="AC160" s="176">
        <v>0</v>
      </c>
      <c r="AD160" s="176">
        <v>0</v>
      </c>
      <c r="AE160" s="186">
        <v>20000</v>
      </c>
      <c r="AF160" s="35">
        <v>20000</v>
      </c>
      <c r="AG160" s="212">
        <v>0</v>
      </c>
      <c r="AH160" s="212">
        <f t="shared" si="24"/>
        <v>4000</v>
      </c>
      <c r="AI160" s="212" t="s">
        <v>235</v>
      </c>
      <c r="AJ160" s="212">
        <v>20000</v>
      </c>
      <c r="AK160" s="212">
        <v>0</v>
      </c>
      <c r="AL160" s="212">
        <v>0</v>
      </c>
      <c r="AM160" s="212">
        <v>0</v>
      </c>
      <c r="AN160" s="212">
        <v>20000</v>
      </c>
      <c r="AO160" s="176">
        <v>0</v>
      </c>
      <c r="AP160" s="176">
        <v>0</v>
      </c>
      <c r="AQ160" s="176">
        <v>0</v>
      </c>
      <c r="AR160" s="212">
        <f t="shared" si="25"/>
        <v>16000</v>
      </c>
      <c r="AS160" s="212">
        <f t="shared" si="26"/>
        <v>0</v>
      </c>
      <c r="AT160" s="473">
        <f t="shared" si="27"/>
        <v>-16000</v>
      </c>
      <c r="AU160" s="477"/>
    </row>
    <row r="161" spans="1:47" s="35" customFormat="1" ht="29" hidden="1" x14ac:dyDescent="0.35">
      <c r="A161" s="35" t="s">
        <v>1195</v>
      </c>
      <c r="B161" s="224" t="s">
        <v>947</v>
      </c>
      <c r="C161" s="222" t="s">
        <v>19</v>
      </c>
      <c r="D161" s="136">
        <v>8470345</v>
      </c>
      <c r="E161" s="137" t="s">
        <v>234</v>
      </c>
      <c r="F161" s="138">
        <v>425510</v>
      </c>
      <c r="G161" s="137" t="s">
        <v>31</v>
      </c>
      <c r="H161" s="137" t="s">
        <v>236</v>
      </c>
      <c r="I161" s="137">
        <v>30000</v>
      </c>
      <c r="J161" s="140">
        <v>29700</v>
      </c>
      <c r="K161" s="141">
        <v>6485</v>
      </c>
      <c r="L161" s="142"/>
      <c r="M161" s="143"/>
      <c r="N161" s="144">
        <f t="shared" si="22"/>
        <v>23215</v>
      </c>
      <c r="O161" s="145"/>
      <c r="P161" s="145"/>
      <c r="Q161" s="145"/>
      <c r="R161" s="146"/>
      <c r="S161" s="139">
        <f t="shared" si="23"/>
        <v>23215</v>
      </c>
      <c r="T161" s="172"/>
      <c r="U161" s="137" t="s">
        <v>236</v>
      </c>
      <c r="V161" s="261">
        <f t="shared" si="21"/>
        <v>18572</v>
      </c>
      <c r="W161" s="261">
        <f t="shared" si="28"/>
        <v>18572</v>
      </c>
      <c r="X161" s="261"/>
      <c r="Y161" s="176" t="s">
        <v>838</v>
      </c>
      <c r="Z161" s="176"/>
      <c r="AA161" s="186">
        <v>29700</v>
      </c>
      <c r="AB161" s="186">
        <v>6485</v>
      </c>
      <c r="AC161" s="176">
        <v>0</v>
      </c>
      <c r="AD161" s="176">
        <v>0</v>
      </c>
      <c r="AE161" s="186">
        <v>23215</v>
      </c>
      <c r="AF161" s="35">
        <v>23215</v>
      </c>
      <c r="AG161" s="212">
        <v>0</v>
      </c>
      <c r="AH161" s="212">
        <f t="shared" si="24"/>
        <v>4643</v>
      </c>
      <c r="AI161" s="212" t="s">
        <v>236</v>
      </c>
      <c r="AJ161" s="212">
        <v>29700</v>
      </c>
      <c r="AK161" s="212">
        <v>6485</v>
      </c>
      <c r="AL161" s="212">
        <v>0</v>
      </c>
      <c r="AM161" s="212">
        <v>0</v>
      </c>
      <c r="AN161" s="212">
        <v>23215</v>
      </c>
      <c r="AO161" s="176">
        <v>0</v>
      </c>
      <c r="AP161" s="176">
        <v>0</v>
      </c>
      <c r="AQ161" s="176">
        <v>0</v>
      </c>
      <c r="AR161" s="212">
        <f t="shared" si="25"/>
        <v>18572</v>
      </c>
      <c r="AS161" s="212">
        <f t="shared" si="26"/>
        <v>6485</v>
      </c>
      <c r="AT161" s="473">
        <f t="shared" si="27"/>
        <v>-12087</v>
      </c>
      <c r="AU161" s="477"/>
    </row>
    <row r="162" spans="1:47" s="35" customFormat="1" ht="29" hidden="1" x14ac:dyDescent="0.35">
      <c r="A162" s="35" t="s">
        <v>1195</v>
      </c>
      <c r="B162" s="224" t="s">
        <v>947</v>
      </c>
      <c r="C162" s="222" t="s">
        <v>19</v>
      </c>
      <c r="D162" s="136">
        <v>8470345</v>
      </c>
      <c r="E162" s="137" t="s">
        <v>234</v>
      </c>
      <c r="F162" s="138">
        <v>425760</v>
      </c>
      <c r="G162" s="137" t="s">
        <v>142</v>
      </c>
      <c r="H162" s="137" t="s">
        <v>237</v>
      </c>
      <c r="I162" s="137">
        <v>120000</v>
      </c>
      <c r="J162" s="140">
        <v>120000</v>
      </c>
      <c r="K162" s="147"/>
      <c r="L162" s="142"/>
      <c r="M162" s="143"/>
      <c r="N162" s="144">
        <f t="shared" si="22"/>
        <v>120000</v>
      </c>
      <c r="O162" s="145"/>
      <c r="P162" s="145"/>
      <c r="Q162" s="145"/>
      <c r="R162" s="146"/>
      <c r="S162" s="139">
        <f t="shared" si="23"/>
        <v>120000</v>
      </c>
      <c r="T162" s="172"/>
      <c r="U162" s="137" t="s">
        <v>237</v>
      </c>
      <c r="V162" s="261">
        <f t="shared" si="21"/>
        <v>76000</v>
      </c>
      <c r="W162" s="261">
        <f t="shared" si="28"/>
        <v>61851.25</v>
      </c>
      <c r="X162" s="261"/>
      <c r="Y162" s="176" t="s">
        <v>838</v>
      </c>
      <c r="Z162" s="176"/>
      <c r="AA162" s="186">
        <v>95000</v>
      </c>
      <c r="AB162" s="186">
        <v>0</v>
      </c>
      <c r="AC162" s="176">
        <v>0</v>
      </c>
      <c r="AD162" s="176">
        <v>0</v>
      </c>
      <c r="AE162" s="186">
        <v>95000</v>
      </c>
      <c r="AF162" s="35">
        <v>95000</v>
      </c>
      <c r="AG162" s="212">
        <v>0</v>
      </c>
      <c r="AH162" s="212">
        <f t="shared" si="24"/>
        <v>19000</v>
      </c>
      <c r="AI162" s="212" t="s">
        <v>237</v>
      </c>
      <c r="AJ162" s="212">
        <v>95000</v>
      </c>
      <c r="AK162" s="212">
        <v>0</v>
      </c>
      <c r="AL162" s="212">
        <v>0</v>
      </c>
      <c r="AM162" s="212">
        <v>0</v>
      </c>
      <c r="AN162" s="212">
        <v>95000</v>
      </c>
      <c r="AO162" s="176">
        <v>0</v>
      </c>
      <c r="AP162" s="176">
        <v>14148.75</v>
      </c>
      <c r="AQ162" s="176">
        <v>0</v>
      </c>
      <c r="AR162" s="212">
        <f t="shared" si="25"/>
        <v>61851.25</v>
      </c>
      <c r="AS162" s="212">
        <f t="shared" si="26"/>
        <v>14148.75</v>
      </c>
      <c r="AT162" s="473">
        <f t="shared" si="27"/>
        <v>-47702.5</v>
      </c>
      <c r="AU162" s="477"/>
    </row>
    <row r="163" spans="1:47" s="35" customFormat="1" ht="29" hidden="1" x14ac:dyDescent="0.35">
      <c r="A163" s="35" t="s">
        <v>1195</v>
      </c>
      <c r="B163" s="224" t="s">
        <v>947</v>
      </c>
      <c r="C163" s="222" t="s">
        <v>19</v>
      </c>
      <c r="D163" s="136">
        <v>8470345</v>
      </c>
      <c r="E163" s="137" t="s">
        <v>234</v>
      </c>
      <c r="F163" s="138">
        <v>425770</v>
      </c>
      <c r="G163" s="137" t="s">
        <v>74</v>
      </c>
      <c r="H163" s="137" t="s">
        <v>238</v>
      </c>
      <c r="I163" s="137">
        <v>105000</v>
      </c>
      <c r="J163" s="140">
        <v>54987</v>
      </c>
      <c r="K163" s="141">
        <v>4972.7700000000004</v>
      </c>
      <c r="L163" s="142"/>
      <c r="M163" s="143"/>
      <c r="N163" s="144">
        <f t="shared" si="22"/>
        <v>50014.229999999996</v>
      </c>
      <c r="O163" s="145"/>
      <c r="P163" s="145"/>
      <c r="Q163" s="145"/>
      <c r="R163" s="146"/>
      <c r="S163" s="139">
        <f t="shared" si="23"/>
        <v>50014.229999999996</v>
      </c>
      <c r="T163" s="172"/>
      <c r="U163" s="137" t="s">
        <v>238</v>
      </c>
      <c r="V163" s="261">
        <f t="shared" si="21"/>
        <v>25147.384000000002</v>
      </c>
      <c r="W163" s="261">
        <f t="shared" si="28"/>
        <v>24646.944000000003</v>
      </c>
      <c r="X163" s="261"/>
      <c r="Y163" s="176" t="s">
        <v>838</v>
      </c>
      <c r="Z163" s="176"/>
      <c r="AA163" s="186">
        <v>54987</v>
      </c>
      <c r="AB163" s="186">
        <v>23552.77</v>
      </c>
      <c r="AC163" s="176">
        <v>0</v>
      </c>
      <c r="AD163" s="176">
        <v>0</v>
      </c>
      <c r="AE163" s="186">
        <v>31434.23</v>
      </c>
      <c r="AF163" s="35">
        <v>31434.23</v>
      </c>
      <c r="AG163" s="212">
        <v>0</v>
      </c>
      <c r="AH163" s="212">
        <f t="shared" si="24"/>
        <v>6286.8459999999977</v>
      </c>
      <c r="AI163" s="212" t="s">
        <v>238</v>
      </c>
      <c r="AJ163" s="212">
        <v>54987</v>
      </c>
      <c r="AK163" s="212">
        <v>23552.77</v>
      </c>
      <c r="AL163" s="212">
        <v>0</v>
      </c>
      <c r="AM163" s="212">
        <v>0</v>
      </c>
      <c r="AN163" s="212">
        <v>31434.23</v>
      </c>
      <c r="AO163" s="176">
        <v>500.44</v>
      </c>
      <c r="AP163" s="176">
        <v>0</v>
      </c>
      <c r="AQ163" s="176">
        <v>0</v>
      </c>
      <c r="AR163" s="212">
        <f t="shared" si="25"/>
        <v>24646.944000000003</v>
      </c>
      <c r="AS163" s="212">
        <f t="shared" si="26"/>
        <v>24053.21</v>
      </c>
      <c r="AT163" s="473">
        <f t="shared" si="27"/>
        <v>-593.73400000000402</v>
      </c>
      <c r="AU163" s="477"/>
    </row>
    <row r="164" spans="1:47" s="35" customFormat="1" ht="29" hidden="1" x14ac:dyDescent="0.35">
      <c r="A164" s="35" t="s">
        <v>1195</v>
      </c>
      <c r="B164" s="224" t="s">
        <v>947</v>
      </c>
      <c r="C164" s="222" t="s">
        <v>19</v>
      </c>
      <c r="D164" s="136">
        <v>8470345</v>
      </c>
      <c r="E164" s="137" t="s">
        <v>234</v>
      </c>
      <c r="F164" s="138">
        <v>425900</v>
      </c>
      <c r="G164" s="137" t="s">
        <v>35</v>
      </c>
      <c r="H164" s="137" t="s">
        <v>239</v>
      </c>
      <c r="I164" s="137">
        <v>3000</v>
      </c>
      <c r="J164" s="140">
        <v>3000</v>
      </c>
      <c r="K164" s="147"/>
      <c r="L164" s="142"/>
      <c r="M164" s="143"/>
      <c r="N164" s="144">
        <f t="shared" si="22"/>
        <v>3000</v>
      </c>
      <c r="O164" s="145"/>
      <c r="P164" s="145"/>
      <c r="Q164" s="145"/>
      <c r="R164" s="146"/>
      <c r="S164" s="139">
        <f t="shared" si="23"/>
        <v>3000</v>
      </c>
      <c r="T164" s="172"/>
      <c r="U164" s="137" t="s">
        <v>239</v>
      </c>
      <c r="V164" s="261">
        <f t="shared" si="21"/>
        <v>2400</v>
      </c>
      <c r="W164" s="261">
        <f t="shared" si="28"/>
        <v>2400</v>
      </c>
      <c r="X164" s="261"/>
      <c r="Y164" s="176" t="s">
        <v>838</v>
      </c>
      <c r="Z164" s="176"/>
      <c r="AA164" s="186">
        <v>3000</v>
      </c>
      <c r="AB164" s="186">
        <v>0</v>
      </c>
      <c r="AC164" s="176">
        <v>0</v>
      </c>
      <c r="AD164" s="176">
        <v>0</v>
      </c>
      <c r="AE164" s="186">
        <v>3000</v>
      </c>
      <c r="AF164" s="35">
        <v>3000</v>
      </c>
      <c r="AG164" s="212">
        <v>0</v>
      </c>
      <c r="AH164" s="212">
        <f t="shared" si="24"/>
        <v>600</v>
      </c>
      <c r="AI164" s="212" t="s">
        <v>239</v>
      </c>
      <c r="AJ164" s="212">
        <v>3000</v>
      </c>
      <c r="AK164" s="212">
        <v>0</v>
      </c>
      <c r="AL164" s="212">
        <v>0</v>
      </c>
      <c r="AM164" s="212">
        <v>0</v>
      </c>
      <c r="AN164" s="212">
        <v>3000</v>
      </c>
      <c r="AO164" s="176">
        <v>0</v>
      </c>
      <c r="AP164" s="176">
        <v>0</v>
      </c>
      <c r="AQ164" s="176">
        <v>0</v>
      </c>
      <c r="AR164" s="212">
        <f t="shared" si="25"/>
        <v>2400</v>
      </c>
      <c r="AS164" s="212">
        <f t="shared" si="26"/>
        <v>0</v>
      </c>
      <c r="AT164" s="473">
        <f t="shared" si="27"/>
        <v>-2400</v>
      </c>
      <c r="AU164" s="477"/>
    </row>
    <row r="165" spans="1:47" s="35" customFormat="1" ht="29" hidden="1" x14ac:dyDescent="0.35">
      <c r="A165" s="35" t="s">
        <v>1195</v>
      </c>
      <c r="B165" s="224" t="s">
        <v>947</v>
      </c>
      <c r="C165" s="222" t="s">
        <v>19</v>
      </c>
      <c r="D165" s="136">
        <v>8470345</v>
      </c>
      <c r="E165" s="137" t="s">
        <v>234</v>
      </c>
      <c r="F165" s="138">
        <v>426610</v>
      </c>
      <c r="G165" s="137" t="s">
        <v>37</v>
      </c>
      <c r="H165" s="137" t="s">
        <v>240</v>
      </c>
      <c r="I165" s="137">
        <v>146983</v>
      </c>
      <c r="J165" s="140">
        <v>146983</v>
      </c>
      <c r="K165" s="141">
        <v>33069.589999999997</v>
      </c>
      <c r="L165" s="148">
        <v>0</v>
      </c>
      <c r="M165" s="140">
        <v>49585.5</v>
      </c>
      <c r="N165" s="144">
        <f t="shared" si="22"/>
        <v>64327.91</v>
      </c>
      <c r="O165" s="145"/>
      <c r="P165" s="145"/>
      <c r="Q165" s="145"/>
      <c r="R165" s="146"/>
      <c r="S165" s="139">
        <f t="shared" si="23"/>
        <v>64327.91</v>
      </c>
      <c r="T165" s="172"/>
      <c r="U165" s="137" t="s">
        <v>240</v>
      </c>
      <c r="V165" s="261">
        <f t="shared" si="21"/>
        <v>2658.9279999999999</v>
      </c>
      <c r="W165" s="261">
        <f t="shared" si="28"/>
        <v>2658.9279999999999</v>
      </c>
      <c r="X165" s="261"/>
      <c r="Y165" s="176" t="s">
        <v>838</v>
      </c>
      <c r="Z165" s="176"/>
      <c r="AA165" s="186">
        <v>146983</v>
      </c>
      <c r="AB165" s="186">
        <v>33069.589999999997</v>
      </c>
      <c r="AC165" s="176">
        <v>61004.25</v>
      </c>
      <c r="AD165" s="176">
        <v>49585.5</v>
      </c>
      <c r="AE165" s="186">
        <v>3323.6600000000035</v>
      </c>
      <c r="AF165" s="35">
        <v>3323.66</v>
      </c>
      <c r="AG165" s="212">
        <v>3.637978807091713E-12</v>
      </c>
      <c r="AH165" s="212">
        <f t="shared" si="24"/>
        <v>664.73200000000361</v>
      </c>
      <c r="AI165" s="212" t="s">
        <v>240</v>
      </c>
      <c r="AJ165" s="212">
        <v>146983</v>
      </c>
      <c r="AK165" s="212">
        <v>33069.589999999997</v>
      </c>
      <c r="AL165" s="212">
        <v>61004.25</v>
      </c>
      <c r="AM165" s="212">
        <v>49585.5</v>
      </c>
      <c r="AN165" s="212">
        <v>3323.66</v>
      </c>
      <c r="AO165" s="176">
        <v>0</v>
      </c>
      <c r="AP165" s="176">
        <v>0</v>
      </c>
      <c r="AQ165" s="176">
        <v>0</v>
      </c>
      <c r="AR165" s="212">
        <f t="shared" si="25"/>
        <v>2658.9279999999999</v>
      </c>
      <c r="AS165" s="212">
        <f t="shared" si="26"/>
        <v>143659.34</v>
      </c>
      <c r="AT165" s="473">
        <f t="shared" si="27"/>
        <v>141000.41200000001</v>
      </c>
      <c r="AU165" s="477"/>
    </row>
    <row r="166" spans="1:47" s="35" customFormat="1" ht="29" hidden="1" x14ac:dyDescent="0.35">
      <c r="A166" s="35" t="s">
        <v>1195</v>
      </c>
      <c r="B166" s="224" t="s">
        <v>947</v>
      </c>
      <c r="C166" s="222" t="s">
        <v>19</v>
      </c>
      <c r="D166" s="136">
        <v>8470345</v>
      </c>
      <c r="E166" s="137" t="s">
        <v>234</v>
      </c>
      <c r="F166" s="138">
        <v>428090</v>
      </c>
      <c r="G166" s="137" t="s">
        <v>39</v>
      </c>
      <c r="H166" s="137" t="s">
        <v>241</v>
      </c>
      <c r="I166" s="137">
        <v>44592</v>
      </c>
      <c r="J166" s="140">
        <v>12617</v>
      </c>
      <c r="K166" s="141">
        <v>1342.62</v>
      </c>
      <c r="L166" s="142"/>
      <c r="M166" s="143"/>
      <c r="N166" s="144">
        <f t="shared" si="22"/>
        <v>11274.380000000001</v>
      </c>
      <c r="O166" s="145"/>
      <c r="P166" s="145"/>
      <c r="Q166" s="145"/>
      <c r="R166" s="146"/>
      <c r="S166" s="139">
        <f t="shared" si="23"/>
        <v>11274.380000000001</v>
      </c>
      <c r="T166" s="172"/>
      <c r="U166" s="137" t="s">
        <v>241</v>
      </c>
      <c r="V166" s="261">
        <f t="shared" si="21"/>
        <v>2859.5040000000004</v>
      </c>
      <c r="W166" s="261">
        <f t="shared" si="28"/>
        <v>2859.5040000000004</v>
      </c>
      <c r="X166" s="261"/>
      <c r="Y166" s="176" t="s">
        <v>838</v>
      </c>
      <c r="Z166" s="176"/>
      <c r="AA166" s="186">
        <v>12617</v>
      </c>
      <c r="AB166" s="186">
        <v>9042.6200000000008</v>
      </c>
      <c r="AC166" s="176">
        <v>0</v>
      </c>
      <c r="AD166" s="176">
        <v>0</v>
      </c>
      <c r="AE166" s="186">
        <v>3574.3799999999992</v>
      </c>
      <c r="AF166" s="35">
        <v>3574.38</v>
      </c>
      <c r="AG166" s="212">
        <v>0</v>
      </c>
      <c r="AH166" s="212">
        <f t="shared" si="24"/>
        <v>714.87599999999884</v>
      </c>
      <c r="AI166" s="212" t="s">
        <v>241</v>
      </c>
      <c r="AJ166" s="212">
        <v>12617</v>
      </c>
      <c r="AK166" s="212">
        <v>9042.6200000000008</v>
      </c>
      <c r="AL166" s="212">
        <v>0</v>
      </c>
      <c r="AM166" s="212">
        <v>0</v>
      </c>
      <c r="AN166" s="212">
        <v>3574.38</v>
      </c>
      <c r="AO166" s="176">
        <v>0</v>
      </c>
      <c r="AP166" s="176">
        <v>0</v>
      </c>
      <c r="AQ166" s="176">
        <v>0</v>
      </c>
      <c r="AR166" s="212">
        <f t="shared" si="25"/>
        <v>2859.5040000000004</v>
      </c>
      <c r="AS166" s="212">
        <f t="shared" si="26"/>
        <v>9042.6200000000008</v>
      </c>
      <c r="AT166" s="473">
        <f t="shared" si="27"/>
        <v>6183.116</v>
      </c>
      <c r="AU166" s="477"/>
    </row>
    <row r="167" spans="1:47" s="35" customFormat="1" ht="29" hidden="1" x14ac:dyDescent="0.35">
      <c r="A167" s="35" t="s">
        <v>1195</v>
      </c>
      <c r="B167" s="224" t="s">
        <v>947</v>
      </c>
      <c r="C167" s="222" t="s">
        <v>19</v>
      </c>
      <c r="D167" s="136">
        <v>8470345</v>
      </c>
      <c r="E167" s="137" t="s">
        <v>234</v>
      </c>
      <c r="F167" s="138">
        <v>435350</v>
      </c>
      <c r="G167" s="137" t="s">
        <v>79</v>
      </c>
      <c r="H167" s="137" t="s">
        <v>242</v>
      </c>
      <c r="I167" s="137">
        <v>70000</v>
      </c>
      <c r="J167" s="140">
        <v>38220</v>
      </c>
      <c r="K167" s="141">
        <v>36455.15</v>
      </c>
      <c r="L167" s="142"/>
      <c r="M167" s="143"/>
      <c r="N167" s="144">
        <f t="shared" si="22"/>
        <v>1764.8499999999985</v>
      </c>
      <c r="O167" s="145"/>
      <c r="P167" s="145"/>
      <c r="Q167" s="145"/>
      <c r="R167" s="146"/>
      <c r="S167" s="139">
        <f t="shared" si="23"/>
        <v>1764.8499999999985</v>
      </c>
      <c r="T167" s="172"/>
      <c r="U167" s="137" t="s">
        <v>242</v>
      </c>
      <c r="V167" s="261">
        <f t="shared" si="21"/>
        <v>8653.2960000000003</v>
      </c>
      <c r="W167" s="261">
        <f t="shared" si="28"/>
        <v>8653.2960000000003</v>
      </c>
      <c r="X167" s="261"/>
      <c r="Y167" s="176" t="s">
        <v>838</v>
      </c>
      <c r="Z167" s="176"/>
      <c r="AA167" s="186">
        <v>63220</v>
      </c>
      <c r="AB167" s="186">
        <v>52403.38</v>
      </c>
      <c r="AC167" s="176">
        <v>0</v>
      </c>
      <c r="AD167" s="176">
        <v>0</v>
      </c>
      <c r="AE167" s="186">
        <v>10816.620000000003</v>
      </c>
      <c r="AF167" s="35">
        <v>10816.62</v>
      </c>
      <c r="AG167" s="212">
        <v>0</v>
      </c>
      <c r="AH167" s="212">
        <f t="shared" si="24"/>
        <v>2163.3240000000023</v>
      </c>
      <c r="AI167" s="212" t="s">
        <v>242</v>
      </c>
      <c r="AJ167" s="212">
        <v>63220</v>
      </c>
      <c r="AK167" s="212">
        <v>52403.38</v>
      </c>
      <c r="AL167" s="212">
        <v>0</v>
      </c>
      <c r="AM167" s="212">
        <v>0</v>
      </c>
      <c r="AN167" s="212">
        <v>10816.62</v>
      </c>
      <c r="AO167" s="176">
        <v>0</v>
      </c>
      <c r="AP167" s="176">
        <v>0</v>
      </c>
      <c r="AQ167" s="176">
        <v>0</v>
      </c>
      <c r="AR167" s="212">
        <f t="shared" si="25"/>
        <v>8653.2960000000003</v>
      </c>
      <c r="AS167" s="212">
        <f t="shared" si="26"/>
        <v>52403.38</v>
      </c>
      <c r="AT167" s="473">
        <f t="shared" si="27"/>
        <v>43750.083999999995</v>
      </c>
      <c r="AU167" s="477"/>
    </row>
    <row r="168" spans="1:47" s="35" customFormat="1" ht="29" hidden="1" x14ac:dyDescent="0.35">
      <c r="A168" s="35" t="s">
        <v>1195</v>
      </c>
      <c r="B168" s="224" t="s">
        <v>947</v>
      </c>
      <c r="C168" s="222" t="s">
        <v>19</v>
      </c>
      <c r="D168" s="136">
        <v>8470345</v>
      </c>
      <c r="E168" s="137" t="s">
        <v>234</v>
      </c>
      <c r="F168" s="138">
        <v>435508</v>
      </c>
      <c r="G168" s="137" t="s">
        <v>135</v>
      </c>
      <c r="H168" s="137" t="s">
        <v>243</v>
      </c>
      <c r="I168" s="137">
        <v>197477</v>
      </c>
      <c r="J168" s="140">
        <v>197477</v>
      </c>
      <c r="K168" s="141">
        <v>9458.35</v>
      </c>
      <c r="L168" s="148">
        <v>-3.6379788070917101E-12</v>
      </c>
      <c r="M168" s="140">
        <v>52884.67</v>
      </c>
      <c r="N168" s="144">
        <f t="shared" si="22"/>
        <v>135133.97999999998</v>
      </c>
      <c r="O168" s="145"/>
      <c r="P168" s="145"/>
      <c r="Q168" s="145"/>
      <c r="R168" s="146"/>
      <c r="S168" s="139">
        <f t="shared" si="23"/>
        <v>135133.97999999998</v>
      </c>
      <c r="T168" s="172"/>
      <c r="U168" s="137" t="s">
        <v>243</v>
      </c>
      <c r="V168" s="261">
        <f t="shared" si="21"/>
        <v>99893.928000000014</v>
      </c>
      <c r="W168" s="261">
        <f t="shared" si="28"/>
        <v>97193.928000000014</v>
      </c>
      <c r="X168" s="261"/>
      <c r="Y168" s="176" t="s">
        <v>838</v>
      </c>
      <c r="Z168" s="176"/>
      <c r="AA168" s="186">
        <v>197477</v>
      </c>
      <c r="AB168" s="186">
        <v>15161.93</v>
      </c>
      <c r="AC168" s="176">
        <v>0</v>
      </c>
      <c r="AD168" s="176">
        <v>49290.84</v>
      </c>
      <c r="AE168" s="186">
        <v>133024.23000000001</v>
      </c>
      <c r="AF168" s="35">
        <v>133024.23000000001</v>
      </c>
      <c r="AG168" s="212">
        <v>0</v>
      </c>
      <c r="AH168" s="212">
        <f t="shared" si="24"/>
        <v>33130.301999999996</v>
      </c>
      <c r="AI168" s="212" t="s">
        <v>243</v>
      </c>
      <c r="AJ168" s="212">
        <v>197477</v>
      </c>
      <c r="AK168" s="212">
        <v>24674.09</v>
      </c>
      <c r="AL168" s="212">
        <v>0</v>
      </c>
      <c r="AM168" s="212">
        <v>47935.5</v>
      </c>
      <c r="AN168" s="212">
        <v>124867.41</v>
      </c>
      <c r="AO168" s="176">
        <v>0</v>
      </c>
      <c r="AP168" s="176">
        <v>2700</v>
      </c>
      <c r="AQ168" s="176">
        <v>0</v>
      </c>
      <c r="AR168" s="212">
        <f t="shared" si="25"/>
        <v>97193.928000000014</v>
      </c>
      <c r="AS168" s="212">
        <f t="shared" si="26"/>
        <v>67152.76999999999</v>
      </c>
      <c r="AT168" s="473">
        <f t="shared" si="27"/>
        <v>-21884.338000000018</v>
      </c>
      <c r="AU168" s="477"/>
    </row>
    <row r="169" spans="1:47" s="35" customFormat="1" ht="29" hidden="1" x14ac:dyDescent="0.35">
      <c r="A169" s="35" t="s">
        <v>1195</v>
      </c>
      <c r="B169" s="224" t="s">
        <v>947</v>
      </c>
      <c r="C169" s="222" t="s">
        <v>19</v>
      </c>
      <c r="D169" s="136">
        <v>8470345</v>
      </c>
      <c r="E169" s="137" t="s">
        <v>234</v>
      </c>
      <c r="F169" s="138">
        <v>436110</v>
      </c>
      <c r="G169" s="137" t="s">
        <v>119</v>
      </c>
      <c r="H169" s="137" t="s">
        <v>244</v>
      </c>
      <c r="I169" s="137">
        <v>5742</v>
      </c>
      <c r="J169" s="140">
        <v>5742</v>
      </c>
      <c r="K169" s="141">
        <v>3328</v>
      </c>
      <c r="L169" s="148">
        <v>0</v>
      </c>
      <c r="M169" s="140">
        <v>0</v>
      </c>
      <c r="N169" s="144">
        <f t="shared" si="22"/>
        <v>2414</v>
      </c>
      <c r="O169" s="145"/>
      <c r="P169" s="145"/>
      <c r="Q169" s="145"/>
      <c r="R169" s="146"/>
      <c r="S169" s="139">
        <f t="shared" si="23"/>
        <v>2414</v>
      </c>
      <c r="T169" s="172"/>
      <c r="U169" s="137" t="s">
        <v>244</v>
      </c>
      <c r="V169" s="261">
        <f t="shared" si="21"/>
        <v>1931.2</v>
      </c>
      <c r="W169" s="261">
        <f t="shared" si="28"/>
        <v>1931.2</v>
      </c>
      <c r="X169" s="261"/>
      <c r="Y169" s="176" t="s">
        <v>838</v>
      </c>
      <c r="Z169" s="176"/>
      <c r="AA169" s="186">
        <v>5742</v>
      </c>
      <c r="AB169" s="186">
        <v>3328</v>
      </c>
      <c r="AC169" s="176">
        <v>0</v>
      </c>
      <c r="AD169" s="176">
        <v>0</v>
      </c>
      <c r="AE169" s="186">
        <v>2414</v>
      </c>
      <c r="AF169" s="35">
        <v>2414</v>
      </c>
      <c r="AG169" s="212">
        <v>0</v>
      </c>
      <c r="AH169" s="212">
        <f t="shared" si="24"/>
        <v>482.79999999999995</v>
      </c>
      <c r="AI169" s="212" t="s">
        <v>244</v>
      </c>
      <c r="AJ169" s="212">
        <v>5742</v>
      </c>
      <c r="AK169" s="212">
        <v>3328</v>
      </c>
      <c r="AL169" s="212">
        <v>0</v>
      </c>
      <c r="AM169" s="212">
        <v>0</v>
      </c>
      <c r="AN169" s="212">
        <v>2414</v>
      </c>
      <c r="AO169" s="176">
        <v>0</v>
      </c>
      <c r="AP169" s="176">
        <v>0</v>
      </c>
      <c r="AQ169" s="176">
        <v>0</v>
      </c>
      <c r="AR169" s="212">
        <f t="shared" si="25"/>
        <v>1931.2</v>
      </c>
      <c r="AS169" s="212">
        <f t="shared" si="26"/>
        <v>3328</v>
      </c>
      <c r="AT169" s="473">
        <f t="shared" si="27"/>
        <v>1396.8</v>
      </c>
      <c r="AU169" s="477"/>
    </row>
    <row r="170" spans="1:47" s="35" customFormat="1" ht="29" hidden="1" x14ac:dyDescent="0.35">
      <c r="A170" s="35" t="s">
        <v>1195</v>
      </c>
      <c r="B170" s="224" t="s">
        <v>947</v>
      </c>
      <c r="C170" s="222" t="s">
        <v>19</v>
      </c>
      <c r="D170" s="136">
        <v>8470345</v>
      </c>
      <c r="E170" s="137" t="s">
        <v>234</v>
      </c>
      <c r="F170" s="138">
        <v>436600</v>
      </c>
      <c r="G170" s="137" t="s">
        <v>137</v>
      </c>
      <c r="H170" s="137" t="s">
        <v>245</v>
      </c>
      <c r="I170" s="137">
        <v>9640</v>
      </c>
      <c r="J170" s="140">
        <v>9640</v>
      </c>
      <c r="K170" s="147"/>
      <c r="L170" s="142"/>
      <c r="M170" s="143"/>
      <c r="N170" s="144">
        <f t="shared" si="22"/>
        <v>9640</v>
      </c>
      <c r="O170" s="145"/>
      <c r="P170" s="145"/>
      <c r="Q170" s="145"/>
      <c r="R170" s="146"/>
      <c r="S170" s="139">
        <f t="shared" si="23"/>
        <v>9640</v>
      </c>
      <c r="T170" s="172"/>
      <c r="U170" s="137" t="s">
        <v>245</v>
      </c>
      <c r="V170" s="261">
        <f t="shared" si="21"/>
        <v>3794.1760000000004</v>
      </c>
      <c r="W170" s="261">
        <f t="shared" si="28"/>
        <v>3794.1760000000004</v>
      </c>
      <c r="X170" s="261"/>
      <c r="Y170" s="176" t="s">
        <v>838</v>
      </c>
      <c r="Z170" s="176"/>
      <c r="AA170" s="186">
        <v>9640</v>
      </c>
      <c r="AB170" s="186">
        <v>0</v>
      </c>
      <c r="AC170" s="176">
        <v>0</v>
      </c>
      <c r="AD170" s="176">
        <v>0</v>
      </c>
      <c r="AE170" s="186">
        <v>9640</v>
      </c>
      <c r="AF170" s="35">
        <v>9640</v>
      </c>
      <c r="AG170" s="212">
        <v>0</v>
      </c>
      <c r="AH170" s="212">
        <f t="shared" si="24"/>
        <v>5845.8239999999996</v>
      </c>
      <c r="AI170" s="212" t="s">
        <v>245</v>
      </c>
      <c r="AJ170" s="212">
        <v>9640</v>
      </c>
      <c r="AK170" s="212">
        <v>4897.28</v>
      </c>
      <c r="AL170" s="212">
        <v>0</v>
      </c>
      <c r="AM170" s="212">
        <v>0</v>
      </c>
      <c r="AN170" s="212">
        <v>4742.72</v>
      </c>
      <c r="AO170" s="176">
        <v>0</v>
      </c>
      <c r="AP170" s="176">
        <v>0</v>
      </c>
      <c r="AQ170" s="176">
        <v>0</v>
      </c>
      <c r="AR170" s="212">
        <f t="shared" si="25"/>
        <v>3794.1760000000004</v>
      </c>
      <c r="AS170" s="212">
        <f t="shared" si="26"/>
        <v>0</v>
      </c>
      <c r="AT170" s="473">
        <f t="shared" si="27"/>
        <v>1103.1039999999994</v>
      </c>
      <c r="AU170" s="477"/>
    </row>
    <row r="171" spans="1:47" s="35" customFormat="1" ht="29" hidden="1" x14ac:dyDescent="0.35">
      <c r="A171" s="35" t="s">
        <v>1195</v>
      </c>
      <c r="B171" s="224" t="s">
        <v>947</v>
      </c>
      <c r="C171" s="222" t="s">
        <v>19</v>
      </c>
      <c r="D171" s="136">
        <v>8470350</v>
      </c>
      <c r="E171" s="137" t="s">
        <v>246</v>
      </c>
      <c r="F171" s="138">
        <v>425510</v>
      </c>
      <c r="G171" s="137" t="s">
        <v>31</v>
      </c>
      <c r="H171" s="137" t="s">
        <v>247</v>
      </c>
      <c r="I171" s="137">
        <v>16000</v>
      </c>
      <c r="J171" s="140">
        <v>16000</v>
      </c>
      <c r="K171" s="141">
        <v>8414.2199999999993</v>
      </c>
      <c r="L171" s="142"/>
      <c r="M171" s="143"/>
      <c r="N171" s="144">
        <f t="shared" si="22"/>
        <v>7585.7800000000007</v>
      </c>
      <c r="O171" s="145"/>
      <c r="P171" s="145"/>
      <c r="Q171" s="145"/>
      <c r="R171" s="146"/>
      <c r="S171" s="139">
        <f t="shared" si="23"/>
        <v>7585.7800000000007</v>
      </c>
      <c r="T171" s="172"/>
      <c r="U171" s="137" t="s">
        <v>247</v>
      </c>
      <c r="V171" s="261">
        <f t="shared" si="21"/>
        <v>8547.0240000000013</v>
      </c>
      <c r="W171" s="261">
        <f t="shared" si="28"/>
        <v>8547.0240000000013</v>
      </c>
      <c r="X171" s="261"/>
      <c r="Y171" s="176" t="s">
        <v>838</v>
      </c>
      <c r="Z171" s="176"/>
      <c r="AA171" s="186">
        <v>19448</v>
      </c>
      <c r="AB171" s="186">
        <v>8764.2199999999993</v>
      </c>
      <c r="AC171" s="176">
        <v>0</v>
      </c>
      <c r="AD171" s="176">
        <v>0</v>
      </c>
      <c r="AE171" s="186">
        <v>10683.78</v>
      </c>
      <c r="AF171" s="35">
        <v>10683.78</v>
      </c>
      <c r="AG171" s="212">
        <v>0</v>
      </c>
      <c r="AH171" s="212">
        <f t="shared" si="24"/>
        <v>2136.7559999999994</v>
      </c>
      <c r="AI171" s="212" t="s">
        <v>247</v>
      </c>
      <c r="AJ171" s="212">
        <v>19448</v>
      </c>
      <c r="AK171" s="212">
        <v>8764.2199999999993</v>
      </c>
      <c r="AL171" s="212">
        <v>0</v>
      </c>
      <c r="AM171" s="212">
        <v>0</v>
      </c>
      <c r="AN171" s="212">
        <v>10683.78</v>
      </c>
      <c r="AO171" s="176">
        <v>0</v>
      </c>
      <c r="AP171" s="176">
        <v>0</v>
      </c>
      <c r="AQ171" s="176">
        <v>0</v>
      </c>
      <c r="AR171" s="212">
        <f t="shared" si="25"/>
        <v>8547.0240000000013</v>
      </c>
      <c r="AS171" s="212">
        <f t="shared" si="26"/>
        <v>8764.2199999999993</v>
      </c>
      <c r="AT171" s="473">
        <f t="shared" si="27"/>
        <v>217.19599999999809</v>
      </c>
      <c r="AU171" s="477"/>
    </row>
    <row r="172" spans="1:47" s="35" customFormat="1" ht="29" hidden="1" x14ac:dyDescent="0.35">
      <c r="A172" s="35" t="s">
        <v>1195</v>
      </c>
      <c r="B172" s="224" t="s">
        <v>947</v>
      </c>
      <c r="C172" s="222" t="s">
        <v>19</v>
      </c>
      <c r="D172" s="136">
        <v>8470350</v>
      </c>
      <c r="E172" s="137" t="s">
        <v>246</v>
      </c>
      <c r="F172" s="138">
        <v>425760</v>
      </c>
      <c r="G172" s="137" t="s">
        <v>142</v>
      </c>
      <c r="H172" s="137" t="s">
        <v>248</v>
      </c>
      <c r="I172" s="137">
        <v>25000</v>
      </c>
      <c r="J172" s="140">
        <v>25000</v>
      </c>
      <c r="K172" s="141">
        <v>682</v>
      </c>
      <c r="L172" s="142"/>
      <c r="M172" s="143"/>
      <c r="N172" s="144">
        <f t="shared" si="22"/>
        <v>24318</v>
      </c>
      <c r="O172" s="145"/>
      <c r="P172" s="145"/>
      <c r="Q172" s="145"/>
      <c r="R172" s="146"/>
      <c r="S172" s="139">
        <f t="shared" si="23"/>
        <v>24318</v>
      </c>
      <c r="T172" s="172"/>
      <c r="U172" s="137" t="s">
        <v>248</v>
      </c>
      <c r="V172" s="261">
        <f t="shared" si="21"/>
        <v>15582.400000000001</v>
      </c>
      <c r="W172" s="261">
        <f t="shared" si="28"/>
        <v>9682.27</v>
      </c>
      <c r="X172" s="261"/>
      <c r="Y172" s="176" t="s">
        <v>838</v>
      </c>
      <c r="Z172" s="176"/>
      <c r="AA172" s="186">
        <v>25000</v>
      </c>
      <c r="AB172" s="186">
        <v>682</v>
      </c>
      <c r="AC172" s="176">
        <v>0</v>
      </c>
      <c r="AD172" s="176">
        <v>0</v>
      </c>
      <c r="AE172" s="186">
        <v>24318</v>
      </c>
      <c r="AF172" s="35">
        <v>24318</v>
      </c>
      <c r="AG172" s="212">
        <v>0</v>
      </c>
      <c r="AH172" s="212">
        <f t="shared" si="24"/>
        <v>8735.5999999999985</v>
      </c>
      <c r="AI172" s="212" t="s">
        <v>248</v>
      </c>
      <c r="AJ172" s="212">
        <v>25000</v>
      </c>
      <c r="AK172" s="212">
        <v>5522</v>
      </c>
      <c r="AL172" s="212">
        <v>0</v>
      </c>
      <c r="AM172" s="212">
        <v>0</v>
      </c>
      <c r="AN172" s="212">
        <v>19478</v>
      </c>
      <c r="AO172" s="176">
        <v>5900.13</v>
      </c>
      <c r="AP172" s="176">
        <v>0</v>
      </c>
      <c r="AQ172" s="176">
        <v>0</v>
      </c>
      <c r="AR172" s="212">
        <f t="shared" si="25"/>
        <v>9682.27</v>
      </c>
      <c r="AS172" s="212">
        <f t="shared" si="26"/>
        <v>6582.13</v>
      </c>
      <c r="AT172" s="473">
        <f t="shared" si="27"/>
        <v>1739.8600000000006</v>
      </c>
      <c r="AU172" s="477"/>
    </row>
    <row r="173" spans="1:47" s="35" customFormat="1" ht="29" hidden="1" x14ac:dyDescent="0.35">
      <c r="A173" s="35" t="s">
        <v>1195</v>
      </c>
      <c r="B173" s="224" t="s">
        <v>947</v>
      </c>
      <c r="C173" s="222" t="s">
        <v>19</v>
      </c>
      <c r="D173" s="136">
        <v>8470350</v>
      </c>
      <c r="E173" s="137" t="s">
        <v>246</v>
      </c>
      <c r="F173" s="138">
        <v>425763</v>
      </c>
      <c r="G173" s="137" t="s">
        <v>59</v>
      </c>
      <c r="H173" s="137" t="s">
        <v>249</v>
      </c>
      <c r="I173" s="137">
        <v>30000</v>
      </c>
      <c r="J173" s="140">
        <v>30000</v>
      </c>
      <c r="K173" s="147"/>
      <c r="L173" s="142"/>
      <c r="M173" s="143"/>
      <c r="N173" s="144">
        <f t="shared" si="22"/>
        <v>30000</v>
      </c>
      <c r="O173" s="145"/>
      <c r="P173" s="145"/>
      <c r="Q173" s="145"/>
      <c r="R173" s="146"/>
      <c r="S173" s="139">
        <f t="shared" si="23"/>
        <v>30000</v>
      </c>
      <c r="T173" s="172"/>
      <c r="U173" s="137" t="s">
        <v>249</v>
      </c>
      <c r="V173" s="261">
        <f t="shared" si="21"/>
        <v>0</v>
      </c>
      <c r="W173" s="261">
        <f t="shared" si="28"/>
        <v>0</v>
      </c>
      <c r="X173" s="261"/>
      <c r="Y173" s="176" t="s">
        <v>838</v>
      </c>
      <c r="Z173" s="176"/>
      <c r="AA173" s="186">
        <v>0</v>
      </c>
      <c r="AB173" s="186">
        <v>0</v>
      </c>
      <c r="AC173" s="176">
        <v>0</v>
      </c>
      <c r="AD173" s="176">
        <v>0</v>
      </c>
      <c r="AE173" s="186">
        <v>0</v>
      </c>
      <c r="AF173" s="35">
        <v>0</v>
      </c>
      <c r="AG173" s="212">
        <v>0</v>
      </c>
      <c r="AH173" s="212">
        <f t="shared" si="24"/>
        <v>0</v>
      </c>
      <c r="AI173" s="212" t="s">
        <v>249</v>
      </c>
      <c r="AJ173" s="212">
        <v>0</v>
      </c>
      <c r="AK173" s="212">
        <v>0</v>
      </c>
      <c r="AL173" s="212">
        <v>0</v>
      </c>
      <c r="AM173" s="212">
        <v>0</v>
      </c>
      <c r="AN173" s="212">
        <v>0</v>
      </c>
      <c r="AO173" s="176">
        <v>0</v>
      </c>
      <c r="AP173" s="176">
        <v>0</v>
      </c>
      <c r="AQ173" s="176">
        <v>0</v>
      </c>
      <c r="AR173" s="212">
        <f t="shared" si="25"/>
        <v>0</v>
      </c>
      <c r="AS173" s="212">
        <f t="shared" si="26"/>
        <v>0</v>
      </c>
      <c r="AT173" s="473">
        <f t="shared" si="27"/>
        <v>0</v>
      </c>
      <c r="AU173" s="477"/>
    </row>
    <row r="174" spans="1:47" s="35" customFormat="1" ht="29" hidden="1" x14ac:dyDescent="0.35">
      <c r="A174" s="35" t="s">
        <v>1195</v>
      </c>
      <c r="B174" s="224" t="s">
        <v>947</v>
      </c>
      <c r="C174" s="222" t="s">
        <v>19</v>
      </c>
      <c r="D174" s="136">
        <v>8470350</v>
      </c>
      <c r="E174" s="137" t="s">
        <v>246</v>
      </c>
      <c r="F174" s="138">
        <v>425770</v>
      </c>
      <c r="G174" s="137" t="s">
        <v>74</v>
      </c>
      <c r="H174" s="137" t="s">
        <v>250</v>
      </c>
      <c r="I174" s="137">
        <v>150000</v>
      </c>
      <c r="J174" s="140">
        <v>93739</v>
      </c>
      <c r="K174" s="141">
        <v>52293.79</v>
      </c>
      <c r="L174" s="142"/>
      <c r="M174" s="143"/>
      <c r="N174" s="144">
        <f t="shared" si="22"/>
        <v>41445.21</v>
      </c>
      <c r="O174" s="145"/>
      <c r="P174" s="145"/>
      <c r="Q174" s="145"/>
      <c r="R174" s="146"/>
      <c r="S174" s="139">
        <f t="shared" si="23"/>
        <v>41445.21</v>
      </c>
      <c r="T174" s="172"/>
      <c r="U174" s="137" t="s">
        <v>250</v>
      </c>
      <c r="V174" s="261">
        <f t="shared" si="21"/>
        <v>13432.592000000002</v>
      </c>
      <c r="W174" s="261">
        <f t="shared" si="28"/>
        <v>13432.592000000002</v>
      </c>
      <c r="X174" s="261"/>
      <c r="Y174" s="176" t="s">
        <v>838</v>
      </c>
      <c r="Z174" s="176"/>
      <c r="AA174" s="186">
        <v>93739</v>
      </c>
      <c r="AB174" s="186">
        <v>76948.259999999995</v>
      </c>
      <c r="AC174" s="176">
        <v>0</v>
      </c>
      <c r="AD174" s="176">
        <v>0</v>
      </c>
      <c r="AE174" s="186">
        <v>16790.740000000005</v>
      </c>
      <c r="AF174" s="35">
        <v>16790.740000000002</v>
      </c>
      <c r="AG174" s="212">
        <v>0</v>
      </c>
      <c r="AH174" s="212">
        <f t="shared" si="24"/>
        <v>3358.1480000000029</v>
      </c>
      <c r="AI174" s="212" t="s">
        <v>250</v>
      </c>
      <c r="AJ174" s="212">
        <v>93739</v>
      </c>
      <c r="AK174" s="212">
        <v>76948.259999999995</v>
      </c>
      <c r="AL174" s="212">
        <v>0</v>
      </c>
      <c r="AM174" s="212">
        <v>0</v>
      </c>
      <c r="AN174" s="212">
        <v>16790.740000000002</v>
      </c>
      <c r="AO174" s="176">
        <v>0</v>
      </c>
      <c r="AP174" s="176">
        <v>0</v>
      </c>
      <c r="AQ174" s="176">
        <v>0</v>
      </c>
      <c r="AR174" s="212">
        <f t="shared" si="25"/>
        <v>13432.592000000002</v>
      </c>
      <c r="AS174" s="212">
        <f t="shared" si="26"/>
        <v>76948.259999999995</v>
      </c>
      <c r="AT174" s="473">
        <f t="shared" si="27"/>
        <v>63515.667999999991</v>
      </c>
      <c r="AU174" s="477"/>
    </row>
    <row r="175" spans="1:47" s="35" customFormat="1" ht="29" hidden="1" x14ac:dyDescent="0.35">
      <c r="A175" s="35" t="s">
        <v>1195</v>
      </c>
      <c r="B175" s="224" t="s">
        <v>947</v>
      </c>
      <c r="C175" s="222" t="s">
        <v>19</v>
      </c>
      <c r="D175" s="136">
        <v>8470350</v>
      </c>
      <c r="E175" s="137" t="s">
        <v>246</v>
      </c>
      <c r="F175" s="138">
        <v>425900</v>
      </c>
      <c r="G175" s="137" t="s">
        <v>35</v>
      </c>
      <c r="H175" s="137" t="s">
        <v>251</v>
      </c>
      <c r="I175" s="137">
        <v>8500</v>
      </c>
      <c r="J175" s="140">
        <v>8500</v>
      </c>
      <c r="K175" s="141">
        <v>2200</v>
      </c>
      <c r="L175" s="142"/>
      <c r="M175" s="143"/>
      <c r="N175" s="144">
        <f t="shared" si="22"/>
        <v>6300</v>
      </c>
      <c r="O175" s="145"/>
      <c r="P175" s="145"/>
      <c r="Q175" s="145"/>
      <c r="R175" s="146"/>
      <c r="S175" s="139">
        <f t="shared" si="23"/>
        <v>6300</v>
      </c>
      <c r="T175" s="172"/>
      <c r="U175" s="137" t="s">
        <v>251</v>
      </c>
      <c r="V175" s="261">
        <f t="shared" si="21"/>
        <v>4065.3040000000001</v>
      </c>
      <c r="W175" s="261">
        <f t="shared" si="28"/>
        <v>2686.3040000000001</v>
      </c>
      <c r="X175" s="261"/>
      <c r="Y175" s="176" t="s">
        <v>838</v>
      </c>
      <c r="Z175" s="176"/>
      <c r="AA175" s="186">
        <v>8500</v>
      </c>
      <c r="AB175" s="186">
        <v>3199.37</v>
      </c>
      <c r="AC175" s="176">
        <v>0</v>
      </c>
      <c r="AD175" s="176">
        <v>0</v>
      </c>
      <c r="AE175" s="186">
        <v>5300.63</v>
      </c>
      <c r="AF175" s="35">
        <v>5300.63</v>
      </c>
      <c r="AG175" s="212">
        <v>0</v>
      </c>
      <c r="AH175" s="212">
        <f t="shared" si="24"/>
        <v>1235.326</v>
      </c>
      <c r="AI175" s="212" t="s">
        <v>251</v>
      </c>
      <c r="AJ175" s="212">
        <v>8500</v>
      </c>
      <c r="AK175" s="212">
        <v>3418.37</v>
      </c>
      <c r="AL175" s="212">
        <v>0</v>
      </c>
      <c r="AM175" s="212">
        <v>0</v>
      </c>
      <c r="AN175" s="212">
        <v>5081.63</v>
      </c>
      <c r="AO175" s="176">
        <v>1379</v>
      </c>
      <c r="AP175" s="176">
        <v>0</v>
      </c>
      <c r="AQ175" s="176">
        <v>0</v>
      </c>
      <c r="AR175" s="212">
        <f t="shared" si="25"/>
        <v>2686.3040000000001</v>
      </c>
      <c r="AS175" s="212">
        <f t="shared" si="26"/>
        <v>4578.37</v>
      </c>
      <c r="AT175" s="473">
        <f t="shared" si="27"/>
        <v>2111.0659999999998</v>
      </c>
      <c r="AU175" s="477"/>
    </row>
    <row r="176" spans="1:47" s="35" customFormat="1" ht="29" hidden="1" x14ac:dyDescent="0.35">
      <c r="A176" s="35" t="s">
        <v>1195</v>
      </c>
      <c r="B176" s="224" t="s">
        <v>947</v>
      </c>
      <c r="C176" s="222" t="s">
        <v>19</v>
      </c>
      <c r="D176" s="136">
        <v>8470350</v>
      </c>
      <c r="E176" s="137" t="s">
        <v>246</v>
      </c>
      <c r="F176" s="138">
        <v>426610</v>
      </c>
      <c r="G176" s="137" t="s">
        <v>37</v>
      </c>
      <c r="H176" s="137" t="s">
        <v>252</v>
      </c>
      <c r="I176" s="137">
        <v>210200</v>
      </c>
      <c r="J176" s="140">
        <v>210200</v>
      </c>
      <c r="K176" s="141">
        <v>199954.87</v>
      </c>
      <c r="L176" s="148">
        <v>0</v>
      </c>
      <c r="M176" s="140">
        <v>-2.91038304567337E-11</v>
      </c>
      <c r="N176" s="144">
        <f t="shared" si="22"/>
        <v>10245.130000000034</v>
      </c>
      <c r="O176" s="145"/>
      <c r="P176" s="145"/>
      <c r="Q176" s="145"/>
      <c r="R176" s="146"/>
      <c r="S176" s="139">
        <f t="shared" si="23"/>
        <v>10245.130000000034</v>
      </c>
      <c r="T176" s="172"/>
      <c r="U176" s="137" t="s">
        <v>252</v>
      </c>
      <c r="V176" s="261">
        <f t="shared" si="21"/>
        <v>8196.1039999999994</v>
      </c>
      <c r="W176" s="261">
        <f t="shared" si="28"/>
        <v>8196.1039999999994</v>
      </c>
      <c r="X176" s="261"/>
      <c r="Y176" s="176" t="s">
        <v>838</v>
      </c>
      <c r="Z176" s="176"/>
      <c r="AA176" s="186">
        <v>210200</v>
      </c>
      <c r="AB176" s="186">
        <v>199954.87</v>
      </c>
      <c r="AC176" s="176">
        <v>0</v>
      </c>
      <c r="AD176" s="176">
        <v>0</v>
      </c>
      <c r="AE176" s="186">
        <v>10245.130000000005</v>
      </c>
      <c r="AF176" s="35">
        <v>10245.129999999999</v>
      </c>
      <c r="AG176" s="212">
        <v>0</v>
      </c>
      <c r="AH176" s="212">
        <f t="shared" si="24"/>
        <v>2049.0260000000053</v>
      </c>
      <c r="AI176" s="212" t="s">
        <v>252</v>
      </c>
      <c r="AJ176" s="212">
        <v>210200</v>
      </c>
      <c r="AK176" s="212">
        <v>199954.87</v>
      </c>
      <c r="AL176" s="212">
        <v>0</v>
      </c>
      <c r="AM176" s="212">
        <v>0</v>
      </c>
      <c r="AN176" s="212">
        <v>10245.129999999999</v>
      </c>
      <c r="AO176" s="176">
        <v>0</v>
      </c>
      <c r="AP176" s="176">
        <v>0</v>
      </c>
      <c r="AQ176" s="176">
        <v>0</v>
      </c>
      <c r="AR176" s="212">
        <f t="shared" si="25"/>
        <v>8196.1039999999994</v>
      </c>
      <c r="AS176" s="212">
        <f t="shared" si="26"/>
        <v>199954.87</v>
      </c>
      <c r="AT176" s="473">
        <f t="shared" si="27"/>
        <v>191758.766</v>
      </c>
      <c r="AU176" s="477"/>
    </row>
    <row r="177" spans="1:47" s="35" customFormat="1" ht="29" hidden="1" x14ac:dyDescent="0.35">
      <c r="A177" s="35" t="s">
        <v>1195</v>
      </c>
      <c r="B177" s="224" t="s">
        <v>947</v>
      </c>
      <c r="C177" s="222" t="s">
        <v>19</v>
      </c>
      <c r="D177" s="136">
        <v>8470350</v>
      </c>
      <c r="E177" s="137" t="s">
        <v>246</v>
      </c>
      <c r="F177" s="138">
        <v>432209</v>
      </c>
      <c r="G177" s="137" t="s">
        <v>132</v>
      </c>
      <c r="H177" s="137" t="s">
        <v>253</v>
      </c>
      <c r="I177" s="137">
        <v>305000</v>
      </c>
      <c r="J177" s="140">
        <v>305000</v>
      </c>
      <c r="K177" s="141">
        <v>15432</v>
      </c>
      <c r="L177" s="148">
        <v>0</v>
      </c>
      <c r="M177" s="140">
        <v>135365.45000000001</v>
      </c>
      <c r="N177" s="144">
        <f t="shared" si="22"/>
        <v>154202.54999999999</v>
      </c>
      <c r="O177" s="145"/>
      <c r="P177" s="145"/>
      <c r="Q177" s="145"/>
      <c r="R177" s="146"/>
      <c r="S177" s="139">
        <f t="shared" si="23"/>
        <v>154202.54999999999</v>
      </c>
      <c r="T177" s="172"/>
      <c r="U177" s="137" t="s">
        <v>253</v>
      </c>
      <c r="V177" s="261">
        <f t="shared" si="21"/>
        <v>9748.8000000000011</v>
      </c>
      <c r="W177" s="261">
        <f t="shared" si="28"/>
        <v>9748.8000000000011</v>
      </c>
      <c r="X177" s="261"/>
      <c r="Y177" s="176" t="s">
        <v>838</v>
      </c>
      <c r="Z177" s="176"/>
      <c r="AA177" s="186">
        <v>305000</v>
      </c>
      <c r="AB177" s="186">
        <v>80402</v>
      </c>
      <c r="AC177" s="176">
        <v>0</v>
      </c>
      <c r="AD177" s="176">
        <v>212412</v>
      </c>
      <c r="AE177" s="186">
        <v>12186</v>
      </c>
      <c r="AF177" s="35">
        <v>12186</v>
      </c>
      <c r="AG177" s="212">
        <v>0</v>
      </c>
      <c r="AH177" s="212">
        <f t="shared" si="24"/>
        <v>2437.1999999999989</v>
      </c>
      <c r="AI177" s="212" t="s">
        <v>253</v>
      </c>
      <c r="AJ177" s="212">
        <v>305000</v>
      </c>
      <c r="AK177" s="212">
        <v>80402</v>
      </c>
      <c r="AL177" s="212">
        <v>0</v>
      </c>
      <c r="AM177" s="212">
        <v>212412</v>
      </c>
      <c r="AN177" s="212">
        <v>12186</v>
      </c>
      <c r="AO177" s="176">
        <v>0</v>
      </c>
      <c r="AP177" s="176">
        <v>0</v>
      </c>
      <c r="AQ177" s="176">
        <v>0</v>
      </c>
      <c r="AR177" s="212">
        <f t="shared" si="25"/>
        <v>9748.8000000000011</v>
      </c>
      <c r="AS177" s="212">
        <f t="shared" si="26"/>
        <v>292814</v>
      </c>
      <c r="AT177" s="473">
        <f t="shared" si="27"/>
        <v>283065.2</v>
      </c>
      <c r="AU177" s="477"/>
    </row>
    <row r="178" spans="1:47" s="35" customFormat="1" ht="29" hidden="1" x14ac:dyDescent="0.35">
      <c r="A178" s="35" t="s">
        <v>1195</v>
      </c>
      <c r="B178" s="224" t="s">
        <v>947</v>
      </c>
      <c r="C178" s="222" t="s">
        <v>19</v>
      </c>
      <c r="D178" s="136">
        <v>8470350</v>
      </c>
      <c r="E178" s="137" t="s">
        <v>246</v>
      </c>
      <c r="F178" s="138">
        <v>435340</v>
      </c>
      <c r="G178" s="137" t="s">
        <v>202</v>
      </c>
      <c r="H178" s="137" t="s">
        <v>254</v>
      </c>
      <c r="I178" s="137">
        <v>10000</v>
      </c>
      <c r="J178" s="140">
        <v>10000</v>
      </c>
      <c r="K178" s="147"/>
      <c r="L178" s="142"/>
      <c r="M178" s="143"/>
      <c r="N178" s="144">
        <f t="shared" si="22"/>
        <v>10000</v>
      </c>
      <c r="O178" s="145"/>
      <c r="P178" s="145"/>
      <c r="Q178" s="145"/>
      <c r="R178" s="146"/>
      <c r="S178" s="139">
        <f t="shared" si="23"/>
        <v>10000</v>
      </c>
      <c r="T178" s="172"/>
      <c r="U178" s="137" t="s">
        <v>254</v>
      </c>
      <c r="V178" s="261">
        <f t="shared" si="21"/>
        <v>8000</v>
      </c>
      <c r="W178" s="261">
        <f t="shared" si="28"/>
        <v>8000</v>
      </c>
      <c r="X178" s="261"/>
      <c r="Y178" s="176" t="s">
        <v>838</v>
      </c>
      <c r="Z178" s="176"/>
      <c r="AA178" s="186">
        <v>10000</v>
      </c>
      <c r="AB178" s="186">
        <v>0</v>
      </c>
      <c r="AC178" s="176">
        <v>0</v>
      </c>
      <c r="AD178" s="176">
        <v>0</v>
      </c>
      <c r="AE178" s="186">
        <v>10000</v>
      </c>
      <c r="AF178" s="35">
        <v>10000</v>
      </c>
      <c r="AG178" s="212">
        <v>0</v>
      </c>
      <c r="AH178" s="212">
        <f t="shared" si="24"/>
        <v>2000</v>
      </c>
      <c r="AI178" s="212" t="s">
        <v>254</v>
      </c>
      <c r="AJ178" s="212">
        <v>10000</v>
      </c>
      <c r="AK178" s="212">
        <v>0</v>
      </c>
      <c r="AL178" s="212">
        <v>0</v>
      </c>
      <c r="AM178" s="212">
        <v>0</v>
      </c>
      <c r="AN178" s="212">
        <v>10000</v>
      </c>
      <c r="AO178" s="176">
        <v>0</v>
      </c>
      <c r="AP178" s="176">
        <v>0</v>
      </c>
      <c r="AQ178" s="176">
        <v>0</v>
      </c>
      <c r="AR178" s="212">
        <f t="shared" si="25"/>
        <v>8000</v>
      </c>
      <c r="AS178" s="212">
        <f t="shared" si="26"/>
        <v>0</v>
      </c>
      <c r="AT178" s="473">
        <f t="shared" si="27"/>
        <v>-8000</v>
      </c>
      <c r="AU178" s="477"/>
    </row>
    <row r="179" spans="1:47" s="35" customFormat="1" ht="29" hidden="1" x14ac:dyDescent="0.35">
      <c r="A179" s="35" t="s">
        <v>1195</v>
      </c>
      <c r="B179" s="224" t="s">
        <v>947</v>
      </c>
      <c r="C179" s="222" t="s">
        <v>19</v>
      </c>
      <c r="D179" s="136">
        <v>8470350</v>
      </c>
      <c r="E179" s="137" t="s">
        <v>246</v>
      </c>
      <c r="F179" s="138">
        <v>435350</v>
      </c>
      <c r="G179" s="137" t="s">
        <v>79</v>
      </c>
      <c r="H179" s="137" t="s">
        <v>255</v>
      </c>
      <c r="I179" s="137">
        <v>50000</v>
      </c>
      <c r="J179" s="140">
        <v>27086</v>
      </c>
      <c r="K179" s="141">
        <v>14298.4</v>
      </c>
      <c r="L179" s="142"/>
      <c r="M179" s="143"/>
      <c r="N179" s="144">
        <f t="shared" si="22"/>
        <v>12787.6</v>
      </c>
      <c r="O179" s="145"/>
      <c r="P179" s="145"/>
      <c r="Q179" s="145"/>
      <c r="R179" s="146"/>
      <c r="S179" s="139">
        <f t="shared" si="23"/>
        <v>12787.6</v>
      </c>
      <c r="T179" s="172"/>
      <c r="U179" s="137" t="s">
        <v>255</v>
      </c>
      <c r="V179" s="261">
        <f t="shared" si="21"/>
        <v>16750.400000000001</v>
      </c>
      <c r="W179" s="261">
        <f t="shared" si="28"/>
        <v>16750.400000000001</v>
      </c>
      <c r="X179" s="261"/>
      <c r="Y179" s="176" t="s">
        <v>838</v>
      </c>
      <c r="Z179" s="176"/>
      <c r="AA179" s="186">
        <v>57086</v>
      </c>
      <c r="AB179" s="186">
        <v>36148</v>
      </c>
      <c r="AC179" s="176">
        <v>0</v>
      </c>
      <c r="AD179" s="176">
        <v>0</v>
      </c>
      <c r="AE179" s="186">
        <v>20938</v>
      </c>
      <c r="AF179" s="35">
        <v>20938</v>
      </c>
      <c r="AG179" s="212">
        <v>0</v>
      </c>
      <c r="AH179" s="212">
        <f t="shared" si="24"/>
        <v>4187.5999999999985</v>
      </c>
      <c r="AI179" s="212" t="s">
        <v>255</v>
      </c>
      <c r="AJ179" s="212">
        <v>57086</v>
      </c>
      <c r="AK179" s="212">
        <v>36148</v>
      </c>
      <c r="AL179" s="212">
        <v>0</v>
      </c>
      <c r="AM179" s="212">
        <v>0</v>
      </c>
      <c r="AN179" s="212">
        <v>20938</v>
      </c>
      <c r="AO179" s="176">
        <v>0</v>
      </c>
      <c r="AP179" s="176">
        <v>0</v>
      </c>
      <c r="AQ179" s="176">
        <v>0</v>
      </c>
      <c r="AR179" s="212">
        <f t="shared" si="25"/>
        <v>16750.400000000001</v>
      </c>
      <c r="AS179" s="212">
        <f t="shared" si="26"/>
        <v>36148</v>
      </c>
      <c r="AT179" s="473">
        <f t="shared" si="27"/>
        <v>19397.599999999999</v>
      </c>
      <c r="AU179" s="477"/>
    </row>
    <row r="180" spans="1:47" s="35" customFormat="1" ht="29" hidden="1" x14ac:dyDescent="0.35">
      <c r="A180" s="35" t="s">
        <v>1195</v>
      </c>
      <c r="B180" s="224" t="s">
        <v>947</v>
      </c>
      <c r="C180" s="222" t="s">
        <v>19</v>
      </c>
      <c r="D180" s="136">
        <v>8470350</v>
      </c>
      <c r="E180" s="137" t="s">
        <v>246</v>
      </c>
      <c r="F180" s="138">
        <v>435508</v>
      </c>
      <c r="G180" s="137" t="s">
        <v>135</v>
      </c>
      <c r="H180" s="137" t="s">
        <v>256</v>
      </c>
      <c r="I180" s="137">
        <v>100000</v>
      </c>
      <c r="J180" s="140">
        <v>100000</v>
      </c>
      <c r="K180" s="141">
        <v>16073.55</v>
      </c>
      <c r="L180" s="148">
        <v>1.8189894035458601E-12</v>
      </c>
      <c r="M180" s="140">
        <v>18121.38</v>
      </c>
      <c r="N180" s="144">
        <f t="shared" si="22"/>
        <v>65805.069999999992</v>
      </c>
      <c r="O180" s="145"/>
      <c r="P180" s="145"/>
      <c r="Q180" s="145"/>
      <c r="R180" s="146"/>
      <c r="S180" s="139">
        <f t="shared" si="23"/>
        <v>65805.069999999992</v>
      </c>
      <c r="T180" s="172"/>
      <c r="U180" s="137" t="s">
        <v>256</v>
      </c>
      <c r="V180" s="261">
        <f t="shared" si="21"/>
        <v>29598.28</v>
      </c>
      <c r="W180" s="261">
        <f t="shared" si="28"/>
        <v>24795.579999999998</v>
      </c>
      <c r="X180" s="261"/>
      <c r="Y180" s="176" t="s">
        <v>838</v>
      </c>
      <c r="Z180" s="176"/>
      <c r="AA180" s="186">
        <v>100000</v>
      </c>
      <c r="AB180" s="186">
        <v>45924.56</v>
      </c>
      <c r="AC180" s="176">
        <v>0</v>
      </c>
      <c r="AD180" s="176">
        <v>7355.37</v>
      </c>
      <c r="AE180" s="186">
        <v>46720.07</v>
      </c>
      <c r="AF180" s="35">
        <v>46720.07</v>
      </c>
      <c r="AG180" s="212">
        <v>0</v>
      </c>
      <c r="AH180" s="212">
        <f t="shared" si="24"/>
        <v>17121.79</v>
      </c>
      <c r="AI180" s="212" t="s">
        <v>256</v>
      </c>
      <c r="AJ180" s="212">
        <v>100000</v>
      </c>
      <c r="AK180" s="212">
        <v>59025.93</v>
      </c>
      <c r="AL180" s="212">
        <v>0</v>
      </c>
      <c r="AM180" s="212">
        <v>3976.22</v>
      </c>
      <c r="AN180" s="212">
        <v>36997.85</v>
      </c>
      <c r="AO180" s="176">
        <v>0</v>
      </c>
      <c r="AP180" s="176">
        <v>4802.7</v>
      </c>
      <c r="AQ180" s="176">
        <v>0</v>
      </c>
      <c r="AR180" s="212">
        <f t="shared" si="25"/>
        <v>24795.579999999998</v>
      </c>
      <c r="AS180" s="212">
        <f t="shared" si="26"/>
        <v>58082.63</v>
      </c>
      <c r="AT180" s="473">
        <f t="shared" si="27"/>
        <v>43009.270000000004</v>
      </c>
      <c r="AU180" s="477"/>
    </row>
    <row r="181" spans="1:47" s="35" customFormat="1" ht="29" hidden="1" x14ac:dyDescent="0.35">
      <c r="A181" s="35" t="s">
        <v>1195</v>
      </c>
      <c r="B181" s="224" t="s">
        <v>947</v>
      </c>
      <c r="C181" s="222" t="s">
        <v>19</v>
      </c>
      <c r="D181" s="136">
        <v>8470350</v>
      </c>
      <c r="E181" s="137" t="s">
        <v>246</v>
      </c>
      <c r="F181" s="138">
        <v>436110</v>
      </c>
      <c r="G181" s="137" t="s">
        <v>119</v>
      </c>
      <c r="H181" s="137" t="s">
        <v>257</v>
      </c>
      <c r="I181" s="137">
        <v>7500</v>
      </c>
      <c r="J181" s="140">
        <v>7500</v>
      </c>
      <c r="K181" s="147"/>
      <c r="L181" s="142"/>
      <c r="M181" s="143"/>
      <c r="N181" s="144">
        <f t="shared" si="22"/>
        <v>7500</v>
      </c>
      <c r="O181" s="145"/>
      <c r="P181" s="145"/>
      <c r="Q181" s="145"/>
      <c r="R181" s="146"/>
      <c r="S181" s="139">
        <f t="shared" si="23"/>
        <v>7500</v>
      </c>
      <c r="T181" s="172"/>
      <c r="U181" s="137" t="s">
        <v>257</v>
      </c>
      <c r="V181" s="261">
        <f t="shared" si="21"/>
        <v>0</v>
      </c>
      <c r="W181" s="261">
        <f t="shared" si="28"/>
        <v>0</v>
      </c>
      <c r="X181" s="261"/>
      <c r="Y181" s="176" t="s">
        <v>838</v>
      </c>
      <c r="Z181" s="176"/>
      <c r="AA181" s="186">
        <v>0</v>
      </c>
      <c r="AB181" s="186">
        <v>0</v>
      </c>
      <c r="AC181" s="176">
        <v>0</v>
      </c>
      <c r="AD181" s="176">
        <v>0</v>
      </c>
      <c r="AE181" s="186">
        <v>0</v>
      </c>
      <c r="AF181" s="35">
        <v>0</v>
      </c>
      <c r="AG181" s="212">
        <v>0</v>
      </c>
      <c r="AH181" s="212">
        <f t="shared" si="24"/>
        <v>0</v>
      </c>
      <c r="AI181" s="212" t="s">
        <v>257</v>
      </c>
      <c r="AJ181" s="212">
        <v>0</v>
      </c>
      <c r="AK181" s="212">
        <v>0</v>
      </c>
      <c r="AL181" s="212">
        <v>0</v>
      </c>
      <c r="AM181" s="212">
        <v>0</v>
      </c>
      <c r="AN181" s="212">
        <v>0</v>
      </c>
      <c r="AO181" s="176">
        <v>0</v>
      </c>
      <c r="AP181" s="176">
        <v>0</v>
      </c>
      <c r="AQ181" s="176">
        <v>0</v>
      </c>
      <c r="AR181" s="212">
        <f t="shared" si="25"/>
        <v>0</v>
      </c>
      <c r="AS181" s="212">
        <f t="shared" si="26"/>
        <v>0</v>
      </c>
      <c r="AT181" s="473">
        <f t="shared" si="27"/>
        <v>0</v>
      </c>
      <c r="AU181" s="477"/>
    </row>
    <row r="182" spans="1:47" s="35" customFormat="1" ht="29" hidden="1" x14ac:dyDescent="0.35">
      <c r="A182" s="35" t="s">
        <v>1195</v>
      </c>
      <c r="B182" s="224" t="s">
        <v>947</v>
      </c>
      <c r="C182" s="222" t="s">
        <v>19</v>
      </c>
      <c r="D182" s="136">
        <v>8470350</v>
      </c>
      <c r="E182" s="137" t="s">
        <v>246</v>
      </c>
      <c r="F182" s="138">
        <v>436600</v>
      </c>
      <c r="G182" s="137" t="s">
        <v>137</v>
      </c>
      <c r="H182" s="137" t="s">
        <v>258</v>
      </c>
      <c r="I182" s="137">
        <v>60000</v>
      </c>
      <c r="J182" s="140">
        <v>60000</v>
      </c>
      <c r="K182" s="141">
        <v>6600</v>
      </c>
      <c r="L182" s="148">
        <v>0</v>
      </c>
      <c r="M182" s="140">
        <v>27500</v>
      </c>
      <c r="N182" s="144">
        <f t="shared" si="22"/>
        <v>25900</v>
      </c>
      <c r="O182" s="145"/>
      <c r="P182" s="145"/>
      <c r="Q182" s="145"/>
      <c r="R182" s="146"/>
      <c r="S182" s="139">
        <f t="shared" si="23"/>
        <v>25900</v>
      </c>
      <c r="T182" s="172"/>
      <c r="U182" s="137" t="s">
        <v>258</v>
      </c>
      <c r="V182" s="261">
        <f t="shared" si="21"/>
        <v>1868.8000000000002</v>
      </c>
      <c r="W182" s="261">
        <f t="shared" si="28"/>
        <v>1868.8000000000002</v>
      </c>
      <c r="X182" s="261"/>
      <c r="Y182" s="176" t="s">
        <v>838</v>
      </c>
      <c r="Z182" s="176"/>
      <c r="AA182" s="186">
        <v>64052</v>
      </c>
      <c r="AB182" s="186">
        <v>43500</v>
      </c>
      <c r="AC182" s="176">
        <v>19127</v>
      </c>
      <c r="AD182" s="176">
        <v>0</v>
      </c>
      <c r="AE182" s="186">
        <v>1425</v>
      </c>
      <c r="AF182" s="35">
        <v>1425</v>
      </c>
      <c r="AG182" s="212">
        <v>0</v>
      </c>
      <c r="AH182" s="212">
        <f t="shared" si="24"/>
        <v>-443.80000000000018</v>
      </c>
      <c r="AI182" s="212" t="s">
        <v>258</v>
      </c>
      <c r="AJ182" s="212">
        <v>64052</v>
      </c>
      <c r="AK182" s="212">
        <v>43500</v>
      </c>
      <c r="AL182" s="212">
        <v>18216</v>
      </c>
      <c r="AM182" s="212">
        <v>0</v>
      </c>
      <c r="AN182" s="212">
        <v>2336</v>
      </c>
      <c r="AO182" s="176">
        <v>0</v>
      </c>
      <c r="AP182" s="176">
        <v>0</v>
      </c>
      <c r="AQ182" s="176">
        <v>0</v>
      </c>
      <c r="AR182" s="212">
        <f t="shared" si="25"/>
        <v>1868.8000000000002</v>
      </c>
      <c r="AS182" s="212">
        <f t="shared" si="26"/>
        <v>62627</v>
      </c>
      <c r="AT182" s="473">
        <f t="shared" si="27"/>
        <v>59847.199999999997</v>
      </c>
      <c r="AU182" s="477"/>
    </row>
    <row r="183" spans="1:47" s="35" customFormat="1" ht="29" hidden="1" x14ac:dyDescent="0.35">
      <c r="A183" s="35" t="s">
        <v>1196</v>
      </c>
      <c r="B183" s="224" t="s">
        <v>948</v>
      </c>
      <c r="C183" s="222" t="s">
        <v>19</v>
      </c>
      <c r="D183" s="136">
        <v>8470405</v>
      </c>
      <c r="E183" s="137" t="s">
        <v>259</v>
      </c>
      <c r="F183" s="138">
        <v>420550</v>
      </c>
      <c r="G183" s="137" t="s">
        <v>21</v>
      </c>
      <c r="H183" s="137" t="s">
        <v>260</v>
      </c>
      <c r="I183" s="137">
        <v>0</v>
      </c>
      <c r="J183" s="140">
        <v>65692</v>
      </c>
      <c r="K183" s="141">
        <v>64718.46</v>
      </c>
      <c r="L183" s="142"/>
      <c r="M183" s="143"/>
      <c r="N183" s="144">
        <f t="shared" si="22"/>
        <v>973.54000000000087</v>
      </c>
      <c r="O183" s="145"/>
      <c r="P183" s="145"/>
      <c r="Q183" s="145"/>
      <c r="R183" s="146"/>
      <c r="S183" s="139">
        <f t="shared" si="23"/>
        <v>973.54000000000087</v>
      </c>
      <c r="T183" s="172"/>
      <c r="U183" s="137" t="s">
        <v>260</v>
      </c>
      <c r="V183" s="261">
        <f t="shared" si="21"/>
        <v>778.83200000000079</v>
      </c>
      <c r="W183" s="261">
        <f t="shared" si="28"/>
        <v>778.83200000000079</v>
      </c>
      <c r="X183" s="261"/>
      <c r="Y183" s="176" t="s">
        <v>838</v>
      </c>
      <c r="Z183" s="176"/>
      <c r="AA183" s="186">
        <v>65692</v>
      </c>
      <c r="AB183" s="186">
        <v>64718.46</v>
      </c>
      <c r="AC183" s="176">
        <v>0</v>
      </c>
      <c r="AD183" s="176">
        <v>0</v>
      </c>
      <c r="AE183" s="186">
        <v>973.54000000000087</v>
      </c>
      <c r="AF183" s="35">
        <v>973.54000000000099</v>
      </c>
      <c r="AG183" s="212">
        <v>0</v>
      </c>
      <c r="AH183" s="212">
        <f t="shared" si="24"/>
        <v>194.70800000000008</v>
      </c>
      <c r="AI183" s="212" t="s">
        <v>260</v>
      </c>
      <c r="AJ183" s="212">
        <v>65692</v>
      </c>
      <c r="AK183" s="212">
        <v>64718.46</v>
      </c>
      <c r="AL183" s="212">
        <v>0</v>
      </c>
      <c r="AM183" s="212">
        <v>0</v>
      </c>
      <c r="AN183" s="212">
        <v>973.54000000000099</v>
      </c>
      <c r="AO183" s="176">
        <v>0</v>
      </c>
      <c r="AP183" s="176">
        <v>0</v>
      </c>
      <c r="AQ183" s="176">
        <v>0</v>
      </c>
      <c r="AR183" s="212">
        <f t="shared" si="25"/>
        <v>778.83200000000079</v>
      </c>
      <c r="AS183" s="212">
        <f t="shared" si="26"/>
        <v>64718.46</v>
      </c>
      <c r="AT183" s="473">
        <f t="shared" si="27"/>
        <v>63939.627999999997</v>
      </c>
      <c r="AU183" s="477"/>
    </row>
    <row r="184" spans="1:47" s="35" customFormat="1" ht="29" hidden="1" x14ac:dyDescent="0.35">
      <c r="A184" s="35" t="s">
        <v>1196</v>
      </c>
      <c r="B184" s="224" t="s">
        <v>948</v>
      </c>
      <c r="C184" s="222" t="s">
        <v>19</v>
      </c>
      <c r="D184" s="136">
        <v>8470405</v>
      </c>
      <c r="E184" s="137" t="s">
        <v>259</v>
      </c>
      <c r="F184" s="138">
        <v>421700</v>
      </c>
      <c r="G184" s="137" t="s">
        <v>29</v>
      </c>
      <c r="H184" s="137" t="s">
        <v>261</v>
      </c>
      <c r="I184" s="137">
        <v>560000</v>
      </c>
      <c r="J184" s="140">
        <v>500308</v>
      </c>
      <c r="K184" s="141">
        <v>118354.26</v>
      </c>
      <c r="L184" s="142"/>
      <c r="M184" s="143"/>
      <c r="N184" s="144">
        <f t="shared" si="22"/>
        <v>381953.74</v>
      </c>
      <c r="O184" s="145"/>
      <c r="P184" s="145"/>
      <c r="Q184" s="145"/>
      <c r="R184" s="146"/>
      <c r="S184" s="139">
        <f t="shared" si="23"/>
        <v>381953.74</v>
      </c>
      <c r="T184" s="172"/>
      <c r="U184" s="137" t="s">
        <v>261</v>
      </c>
      <c r="V184" s="261">
        <f t="shared" si="21"/>
        <v>266131.79200000002</v>
      </c>
      <c r="W184" s="261">
        <f t="shared" si="28"/>
        <v>266131.79200000002</v>
      </c>
      <c r="X184" s="261"/>
      <c r="Y184" s="176" t="s">
        <v>838</v>
      </c>
      <c r="Z184" s="176"/>
      <c r="AA184" s="186">
        <v>500308</v>
      </c>
      <c r="AB184" s="186">
        <v>118354.26</v>
      </c>
      <c r="AC184" s="176">
        <v>0</v>
      </c>
      <c r="AD184" s="176">
        <v>0</v>
      </c>
      <c r="AE184" s="186">
        <v>381953.74</v>
      </c>
      <c r="AF184" s="35">
        <v>381953.74</v>
      </c>
      <c r="AG184" s="212">
        <v>0</v>
      </c>
      <c r="AH184" s="212">
        <f t="shared" si="24"/>
        <v>115821.94799999997</v>
      </c>
      <c r="AI184" s="212" t="s">
        <v>261</v>
      </c>
      <c r="AJ184" s="212">
        <v>451019</v>
      </c>
      <c r="AK184" s="212">
        <v>118354.26</v>
      </c>
      <c r="AL184" s="212">
        <v>0</v>
      </c>
      <c r="AM184" s="212">
        <v>0</v>
      </c>
      <c r="AN184" s="212">
        <v>332664.74</v>
      </c>
      <c r="AO184" s="176">
        <v>0</v>
      </c>
      <c r="AP184" s="176">
        <v>0</v>
      </c>
      <c r="AQ184" s="176">
        <v>0</v>
      </c>
      <c r="AR184" s="212">
        <f t="shared" si="25"/>
        <v>266131.79200000002</v>
      </c>
      <c r="AS184" s="212">
        <f t="shared" si="26"/>
        <v>118354.26</v>
      </c>
      <c r="AT184" s="473">
        <f t="shared" si="27"/>
        <v>-147777.53200000001</v>
      </c>
      <c r="AU184" s="477"/>
    </row>
    <row r="185" spans="1:47" s="35" customFormat="1" ht="29" hidden="1" x14ac:dyDescent="0.35">
      <c r="A185" s="35" t="s">
        <v>1196</v>
      </c>
      <c r="B185" s="224" t="s">
        <v>948</v>
      </c>
      <c r="C185" s="222" t="s">
        <v>19</v>
      </c>
      <c r="D185" s="136">
        <v>8470405</v>
      </c>
      <c r="E185" s="137" t="s">
        <v>259</v>
      </c>
      <c r="F185" s="138">
        <v>425510</v>
      </c>
      <c r="G185" s="137" t="s">
        <v>31</v>
      </c>
      <c r="H185" s="137" t="s">
        <v>262</v>
      </c>
      <c r="I185" s="137">
        <v>15000</v>
      </c>
      <c r="J185" s="140">
        <v>15000</v>
      </c>
      <c r="K185" s="141">
        <v>22341.9</v>
      </c>
      <c r="L185" s="142"/>
      <c r="M185" s="143"/>
      <c r="N185" s="144">
        <f t="shared" si="22"/>
        <v>-7341.9000000000015</v>
      </c>
      <c r="O185" s="145"/>
      <c r="P185" s="145"/>
      <c r="Q185" s="145"/>
      <c r="R185" s="146"/>
      <c r="S185" s="139">
        <f t="shared" si="23"/>
        <v>-7341.9000000000015</v>
      </c>
      <c r="T185" s="172"/>
      <c r="U185" s="137" t="s">
        <v>262</v>
      </c>
      <c r="V185" s="261">
        <f t="shared" si="21"/>
        <v>21426.520000000004</v>
      </c>
      <c r="W185" s="261">
        <f t="shared" si="28"/>
        <v>21426.520000000004</v>
      </c>
      <c r="X185" s="474">
        <v>5873.5200000000013</v>
      </c>
      <c r="Y185" s="176" t="s">
        <v>838</v>
      </c>
      <c r="Z185" s="176"/>
      <c r="AA185" s="186">
        <v>15000</v>
      </c>
      <c r="AB185" s="186">
        <v>22341.9</v>
      </c>
      <c r="AC185" s="186">
        <v>0</v>
      </c>
      <c r="AD185" s="186">
        <v>0</v>
      </c>
      <c r="AE185" s="214">
        <v>-7341.9000000000015</v>
      </c>
      <c r="AF185" s="184">
        <v>27407.9</v>
      </c>
      <c r="AG185" s="184">
        <v>-34749.800000000003</v>
      </c>
      <c r="AH185" s="212">
        <f t="shared" si="24"/>
        <v>-28768.420000000006</v>
      </c>
      <c r="AI185" s="212" t="s">
        <v>262</v>
      </c>
      <c r="AJ185" s="212">
        <v>15000</v>
      </c>
      <c r="AK185" s="212">
        <v>22966.65</v>
      </c>
      <c r="AL185" s="212">
        <v>0</v>
      </c>
      <c r="AM185" s="212">
        <v>0</v>
      </c>
      <c r="AN185" s="212">
        <v>26783.15</v>
      </c>
      <c r="AO185" s="176">
        <v>0</v>
      </c>
      <c r="AP185" s="176">
        <v>0</v>
      </c>
      <c r="AQ185" s="176">
        <v>0</v>
      </c>
      <c r="AR185" s="212">
        <f t="shared" si="25"/>
        <v>21426.520000000004</v>
      </c>
      <c r="AS185" s="212">
        <f t="shared" si="26"/>
        <v>22341.9</v>
      </c>
      <c r="AT185" s="473">
        <f t="shared" si="27"/>
        <v>7413.6499999999978</v>
      </c>
      <c r="AU185" s="477"/>
    </row>
    <row r="186" spans="1:47" s="35" customFormat="1" ht="29" hidden="1" x14ac:dyDescent="0.35">
      <c r="A186" s="35" t="s">
        <v>1196</v>
      </c>
      <c r="B186" s="224" t="s">
        <v>948</v>
      </c>
      <c r="C186" s="222" t="s">
        <v>19</v>
      </c>
      <c r="D186" s="136">
        <v>8470405</v>
      </c>
      <c r="E186" s="137" t="s">
        <v>259</v>
      </c>
      <c r="F186" s="138">
        <v>425550</v>
      </c>
      <c r="G186" s="137" t="s">
        <v>33</v>
      </c>
      <c r="H186" s="137" t="s">
        <v>263</v>
      </c>
      <c r="I186" s="137">
        <v>15000</v>
      </c>
      <c r="J186" s="140">
        <v>15000</v>
      </c>
      <c r="K186" s="141">
        <v>13957.9</v>
      </c>
      <c r="L186" s="142"/>
      <c r="M186" s="143"/>
      <c r="N186" s="144">
        <f t="shared" si="22"/>
        <v>1042.1000000000004</v>
      </c>
      <c r="O186" s="145"/>
      <c r="P186" s="145"/>
      <c r="Q186" s="145"/>
      <c r="R186" s="146"/>
      <c r="S186" s="139">
        <f t="shared" si="23"/>
        <v>1042.1000000000004</v>
      </c>
      <c r="T186" s="172"/>
      <c r="U186" s="137" t="s">
        <v>263</v>
      </c>
      <c r="V186" s="261">
        <f t="shared" si="21"/>
        <v>833.68</v>
      </c>
      <c r="W186" s="261">
        <f t="shared" si="28"/>
        <v>833.68</v>
      </c>
      <c r="X186" s="261"/>
      <c r="Y186" s="176" t="s">
        <v>838</v>
      </c>
      <c r="Z186" s="176"/>
      <c r="AA186" s="186">
        <v>19800</v>
      </c>
      <c r="AB186" s="186">
        <v>18757.900000000001</v>
      </c>
      <c r="AC186" s="176">
        <v>0</v>
      </c>
      <c r="AD186" s="176">
        <v>0</v>
      </c>
      <c r="AE186" s="186">
        <v>1042.0999999999985</v>
      </c>
      <c r="AF186" s="35">
        <v>1042.0999999999999</v>
      </c>
      <c r="AG186" s="212">
        <v>0</v>
      </c>
      <c r="AH186" s="212">
        <f t="shared" si="24"/>
        <v>208.41999999999859</v>
      </c>
      <c r="AI186" s="212" t="s">
        <v>263</v>
      </c>
      <c r="AJ186" s="212">
        <v>19800</v>
      </c>
      <c r="AK186" s="212">
        <v>18757.900000000001</v>
      </c>
      <c r="AL186" s="212">
        <v>0</v>
      </c>
      <c r="AM186" s="212">
        <v>0</v>
      </c>
      <c r="AN186" s="212">
        <v>1042.0999999999999</v>
      </c>
      <c r="AO186" s="176">
        <v>0</v>
      </c>
      <c r="AP186" s="176">
        <v>0</v>
      </c>
      <c r="AQ186" s="176">
        <v>0</v>
      </c>
      <c r="AR186" s="212">
        <f t="shared" si="25"/>
        <v>833.68</v>
      </c>
      <c r="AS186" s="212">
        <f t="shared" si="26"/>
        <v>18757.900000000001</v>
      </c>
      <c r="AT186" s="473">
        <f t="shared" si="27"/>
        <v>17924.22</v>
      </c>
      <c r="AU186" s="477"/>
    </row>
    <row r="187" spans="1:47" s="35" customFormat="1" ht="29" hidden="1" x14ac:dyDescent="0.35">
      <c r="A187" s="35" t="s">
        <v>1196</v>
      </c>
      <c r="B187" s="224" t="s">
        <v>948</v>
      </c>
      <c r="C187" s="222" t="s">
        <v>19</v>
      </c>
      <c r="D187" s="136">
        <v>8470405</v>
      </c>
      <c r="E187" s="137" t="s">
        <v>259</v>
      </c>
      <c r="F187" s="138">
        <v>425770</v>
      </c>
      <c r="G187" s="137" t="s">
        <v>74</v>
      </c>
      <c r="H187" s="137" t="s">
        <v>264</v>
      </c>
      <c r="I187" s="137">
        <v>50000</v>
      </c>
      <c r="J187" s="140">
        <v>32848</v>
      </c>
      <c r="K187" s="141">
        <v>15471.72</v>
      </c>
      <c r="L187" s="142"/>
      <c r="M187" s="143"/>
      <c r="N187" s="144">
        <f t="shared" si="22"/>
        <v>17376.28</v>
      </c>
      <c r="O187" s="145"/>
      <c r="P187" s="145"/>
      <c r="Q187" s="145"/>
      <c r="R187" s="146"/>
      <c r="S187" s="139">
        <f t="shared" si="23"/>
        <v>17376.28</v>
      </c>
      <c r="T187" s="172"/>
      <c r="U187" s="137" t="s">
        <v>264</v>
      </c>
      <c r="V187" s="261">
        <f t="shared" si="21"/>
        <v>1837.144</v>
      </c>
      <c r="W187" s="261">
        <f t="shared" si="28"/>
        <v>1837.144</v>
      </c>
      <c r="X187" s="261"/>
      <c r="Y187" s="176" t="s">
        <v>838</v>
      </c>
      <c r="Z187" s="176"/>
      <c r="AA187" s="186">
        <v>32848</v>
      </c>
      <c r="AB187" s="186">
        <v>30551.57</v>
      </c>
      <c r="AC187" s="176">
        <v>0</v>
      </c>
      <c r="AD187" s="176">
        <v>0</v>
      </c>
      <c r="AE187" s="186">
        <v>2296.4300000000003</v>
      </c>
      <c r="AF187" s="35">
        <v>2296.4299999999998</v>
      </c>
      <c r="AG187" s="212">
        <v>0</v>
      </c>
      <c r="AH187" s="212">
        <f t="shared" si="24"/>
        <v>459.28600000000029</v>
      </c>
      <c r="AI187" s="212" t="s">
        <v>264</v>
      </c>
      <c r="AJ187" s="212">
        <v>32848</v>
      </c>
      <c r="AK187" s="212">
        <v>30551.57</v>
      </c>
      <c r="AL187" s="212">
        <v>0</v>
      </c>
      <c r="AM187" s="212">
        <v>0</v>
      </c>
      <c r="AN187" s="212">
        <v>2296.4299999999998</v>
      </c>
      <c r="AO187" s="176">
        <v>0</v>
      </c>
      <c r="AP187" s="176">
        <v>0</v>
      </c>
      <c r="AQ187" s="176">
        <v>0</v>
      </c>
      <c r="AR187" s="212">
        <f t="shared" si="25"/>
        <v>1837.144</v>
      </c>
      <c r="AS187" s="212">
        <f t="shared" si="26"/>
        <v>30551.57</v>
      </c>
      <c r="AT187" s="473">
        <f t="shared" si="27"/>
        <v>28714.425999999999</v>
      </c>
      <c r="AU187" s="477"/>
    </row>
    <row r="188" spans="1:47" s="35" customFormat="1" ht="29" hidden="1" x14ac:dyDescent="0.35">
      <c r="A188" s="35" t="s">
        <v>1196</v>
      </c>
      <c r="B188" s="224" t="s">
        <v>948</v>
      </c>
      <c r="C188" s="222" t="s">
        <v>19</v>
      </c>
      <c r="D188" s="136">
        <v>8470405</v>
      </c>
      <c r="E188" s="137" t="s">
        <v>259</v>
      </c>
      <c r="F188" s="138">
        <v>427710</v>
      </c>
      <c r="G188" s="137" t="s">
        <v>51</v>
      </c>
      <c r="H188" s="137" t="s">
        <v>265</v>
      </c>
      <c r="I188" s="137">
        <v>12000</v>
      </c>
      <c r="J188" s="140">
        <v>20175</v>
      </c>
      <c r="K188" s="141">
        <v>20174.88</v>
      </c>
      <c r="L188" s="142"/>
      <c r="M188" s="143"/>
      <c r="N188" s="144">
        <f t="shared" si="22"/>
        <v>0.11999999999898137</v>
      </c>
      <c r="O188" s="145"/>
      <c r="P188" s="145"/>
      <c r="Q188" s="145"/>
      <c r="R188" s="146"/>
      <c r="S188" s="139">
        <f t="shared" si="23"/>
        <v>0.11999999999898137</v>
      </c>
      <c r="T188" s="172"/>
      <c r="U188" s="137" t="s">
        <v>265</v>
      </c>
      <c r="V188" s="261">
        <f t="shared" si="21"/>
        <v>9.5999999999184807E-2</v>
      </c>
      <c r="W188" s="261">
        <f t="shared" si="28"/>
        <v>9.5999999999184807E-2</v>
      </c>
      <c r="X188" s="261"/>
      <c r="Y188" s="176" t="s">
        <v>838</v>
      </c>
      <c r="Z188" s="176"/>
      <c r="AA188" s="186">
        <v>20175</v>
      </c>
      <c r="AB188" s="186">
        <v>20174.88</v>
      </c>
      <c r="AC188" s="176">
        <v>0</v>
      </c>
      <c r="AD188" s="176">
        <v>0</v>
      </c>
      <c r="AE188" s="186">
        <v>0.11999999999898137</v>
      </c>
      <c r="AF188" s="35">
        <v>0.11999999999898101</v>
      </c>
      <c r="AG188" s="212">
        <v>3.6082248300317588E-16</v>
      </c>
      <c r="AH188" s="212">
        <f t="shared" si="24"/>
        <v>2.3999999999796559E-2</v>
      </c>
      <c r="AI188" s="212" t="s">
        <v>265</v>
      </c>
      <c r="AJ188" s="212">
        <v>20175</v>
      </c>
      <c r="AK188" s="212">
        <v>20174.88</v>
      </c>
      <c r="AL188" s="212">
        <v>0</v>
      </c>
      <c r="AM188" s="212">
        <v>0</v>
      </c>
      <c r="AN188" s="212">
        <v>0.11999999999898101</v>
      </c>
      <c r="AO188" s="176">
        <v>0</v>
      </c>
      <c r="AP188" s="176">
        <v>0</v>
      </c>
      <c r="AQ188" s="176">
        <v>0</v>
      </c>
      <c r="AR188" s="212">
        <f t="shared" si="25"/>
        <v>9.5999999999184807E-2</v>
      </c>
      <c r="AS188" s="212">
        <f t="shared" si="26"/>
        <v>20174.88</v>
      </c>
      <c r="AT188" s="473">
        <f t="shared" si="27"/>
        <v>20174.784000000003</v>
      </c>
      <c r="AU188" s="477"/>
    </row>
    <row r="189" spans="1:47" s="35" customFormat="1" ht="29" hidden="1" x14ac:dyDescent="0.35">
      <c r="A189" s="35" t="s">
        <v>1196</v>
      </c>
      <c r="B189" s="224" t="s">
        <v>948</v>
      </c>
      <c r="C189" s="222" t="s">
        <v>19</v>
      </c>
      <c r="D189" s="136">
        <v>8470405</v>
      </c>
      <c r="E189" s="137" t="s">
        <v>259</v>
      </c>
      <c r="F189" s="138">
        <v>432209</v>
      </c>
      <c r="G189" s="137" t="s">
        <v>132</v>
      </c>
      <c r="H189" s="137" t="s">
        <v>266</v>
      </c>
      <c r="I189" s="137">
        <v>200000</v>
      </c>
      <c r="J189" s="140">
        <v>200000</v>
      </c>
      <c r="K189" s="147"/>
      <c r="L189" s="142"/>
      <c r="M189" s="143"/>
      <c r="N189" s="144">
        <f t="shared" si="22"/>
        <v>200000</v>
      </c>
      <c r="O189" s="145"/>
      <c r="P189" s="145"/>
      <c r="Q189" s="145"/>
      <c r="R189" s="146"/>
      <c r="S189" s="139">
        <f t="shared" si="23"/>
        <v>200000</v>
      </c>
      <c r="T189" s="172"/>
      <c r="U189" s="137" t="s">
        <v>266</v>
      </c>
      <c r="V189" s="261">
        <f t="shared" si="21"/>
        <v>160000</v>
      </c>
      <c r="W189" s="261">
        <f t="shared" si="28"/>
        <v>160000</v>
      </c>
      <c r="X189" s="261"/>
      <c r="Y189" s="176" t="s">
        <v>838</v>
      </c>
      <c r="Z189" s="176"/>
      <c r="AA189" s="186">
        <v>200000</v>
      </c>
      <c r="AB189" s="186">
        <v>0</v>
      </c>
      <c r="AC189" s="176">
        <v>0</v>
      </c>
      <c r="AD189" s="176">
        <v>0</v>
      </c>
      <c r="AE189" s="186">
        <v>200000</v>
      </c>
      <c r="AF189" s="35">
        <v>200000</v>
      </c>
      <c r="AG189" s="212">
        <v>0</v>
      </c>
      <c r="AH189" s="212">
        <f t="shared" si="24"/>
        <v>40000</v>
      </c>
      <c r="AI189" s="212" t="s">
        <v>266</v>
      </c>
      <c r="AJ189" s="212">
        <v>200000</v>
      </c>
      <c r="AK189" s="212">
        <v>0</v>
      </c>
      <c r="AL189" s="212">
        <v>0</v>
      </c>
      <c r="AM189" s="212">
        <v>0</v>
      </c>
      <c r="AN189" s="212">
        <v>200000</v>
      </c>
      <c r="AO189" s="176">
        <v>0</v>
      </c>
      <c r="AP189" s="176">
        <v>0</v>
      </c>
      <c r="AQ189" s="176">
        <v>0</v>
      </c>
      <c r="AR189" s="212">
        <f t="shared" si="25"/>
        <v>160000</v>
      </c>
      <c r="AS189" s="212">
        <f t="shared" si="26"/>
        <v>0</v>
      </c>
      <c r="AT189" s="473">
        <f t="shared" si="27"/>
        <v>-160000</v>
      </c>
      <c r="AU189" s="477"/>
    </row>
    <row r="190" spans="1:47" s="35" customFormat="1" ht="29" hidden="1" x14ac:dyDescent="0.35">
      <c r="A190" s="35" t="s">
        <v>1196</v>
      </c>
      <c r="B190" s="224" t="s">
        <v>948</v>
      </c>
      <c r="C190" s="222" t="s">
        <v>19</v>
      </c>
      <c r="D190" s="136">
        <v>8470405</v>
      </c>
      <c r="E190" s="137" t="s">
        <v>259</v>
      </c>
      <c r="F190" s="138">
        <v>435350</v>
      </c>
      <c r="G190" s="137" t="s">
        <v>79</v>
      </c>
      <c r="H190" s="137" t="s">
        <v>267</v>
      </c>
      <c r="I190" s="137">
        <v>30000</v>
      </c>
      <c r="J190" s="140">
        <v>28100</v>
      </c>
      <c r="K190" s="141">
        <v>28033.25</v>
      </c>
      <c r="L190" s="142"/>
      <c r="M190" s="143"/>
      <c r="N190" s="144">
        <f t="shared" si="22"/>
        <v>66.75</v>
      </c>
      <c r="O190" s="145"/>
      <c r="P190" s="145"/>
      <c r="Q190" s="145"/>
      <c r="R190" s="146"/>
      <c r="S190" s="139">
        <f t="shared" si="23"/>
        <v>66.75</v>
      </c>
      <c r="T190" s="172"/>
      <c r="U190" s="137" t="s">
        <v>267</v>
      </c>
      <c r="V190" s="261">
        <f t="shared" ref="V190:V253" si="29">AN190*0.8</f>
        <v>53.400000000000006</v>
      </c>
      <c r="W190" s="261">
        <f t="shared" si="28"/>
        <v>53.400000000000006</v>
      </c>
      <c r="X190" s="261"/>
      <c r="Y190" s="176" t="s">
        <v>838</v>
      </c>
      <c r="Z190" s="176"/>
      <c r="AA190" s="186">
        <v>28100</v>
      </c>
      <c r="AB190" s="186">
        <v>28033.25</v>
      </c>
      <c r="AC190" s="176">
        <v>0</v>
      </c>
      <c r="AD190" s="176">
        <v>0</v>
      </c>
      <c r="AE190" s="186">
        <v>66.75</v>
      </c>
      <c r="AF190" s="35">
        <v>66.75</v>
      </c>
      <c r="AG190" s="212">
        <v>0</v>
      </c>
      <c r="AH190" s="212">
        <f t="shared" si="24"/>
        <v>13.349999999999994</v>
      </c>
      <c r="AI190" s="212" t="s">
        <v>267</v>
      </c>
      <c r="AJ190" s="212">
        <v>28100</v>
      </c>
      <c r="AK190" s="212">
        <v>28033.25</v>
      </c>
      <c r="AL190" s="212">
        <v>0</v>
      </c>
      <c r="AM190" s="212">
        <v>0</v>
      </c>
      <c r="AN190" s="212">
        <v>66.75</v>
      </c>
      <c r="AO190" s="176">
        <v>0</v>
      </c>
      <c r="AP190" s="176">
        <v>0</v>
      </c>
      <c r="AQ190" s="176">
        <v>0</v>
      </c>
      <c r="AR190" s="212">
        <f t="shared" si="25"/>
        <v>53.400000000000006</v>
      </c>
      <c r="AS190" s="212">
        <f t="shared" si="26"/>
        <v>28033.25</v>
      </c>
      <c r="AT190" s="473">
        <f t="shared" si="27"/>
        <v>27979.85</v>
      </c>
      <c r="AU190" s="477"/>
    </row>
    <row r="191" spans="1:47" s="35" customFormat="1" ht="29" hidden="1" x14ac:dyDescent="0.35">
      <c r="A191" s="35" t="s">
        <v>1196</v>
      </c>
      <c r="B191" s="224" t="s">
        <v>948</v>
      </c>
      <c r="C191" s="222" t="s">
        <v>19</v>
      </c>
      <c r="D191" s="136">
        <v>8470410</v>
      </c>
      <c r="E191" s="137" t="s">
        <v>268</v>
      </c>
      <c r="F191" s="138">
        <v>425761</v>
      </c>
      <c r="G191" s="137" t="s">
        <v>110</v>
      </c>
      <c r="H191" s="137" t="s">
        <v>269</v>
      </c>
      <c r="I191" s="137">
        <v>162000</v>
      </c>
      <c r="J191" s="140">
        <v>162000</v>
      </c>
      <c r="K191" s="147"/>
      <c r="L191" s="142"/>
      <c r="M191" s="143"/>
      <c r="N191" s="144">
        <f t="shared" si="22"/>
        <v>162000</v>
      </c>
      <c r="O191" s="145"/>
      <c r="P191" s="145"/>
      <c r="Q191" s="145"/>
      <c r="R191" s="146"/>
      <c r="S191" s="139">
        <f t="shared" si="23"/>
        <v>162000</v>
      </c>
      <c r="T191" s="172"/>
      <c r="U191" s="137" t="s">
        <v>269</v>
      </c>
      <c r="V191" s="261">
        <f t="shared" si="29"/>
        <v>94536</v>
      </c>
      <c r="W191" s="261">
        <f t="shared" si="28"/>
        <v>94536</v>
      </c>
      <c r="X191" s="261"/>
      <c r="Y191" s="176" t="s">
        <v>838</v>
      </c>
      <c r="Z191" s="176"/>
      <c r="AA191" s="186">
        <v>118170</v>
      </c>
      <c r="AB191" s="186">
        <v>0</v>
      </c>
      <c r="AC191" s="176">
        <v>0</v>
      </c>
      <c r="AD191" s="176">
        <v>0</v>
      </c>
      <c r="AE191" s="186">
        <v>118170</v>
      </c>
      <c r="AF191" s="35">
        <v>118170</v>
      </c>
      <c r="AG191" s="212">
        <v>0</v>
      </c>
      <c r="AH191" s="212">
        <f t="shared" si="24"/>
        <v>23634</v>
      </c>
      <c r="AI191" s="212" t="s">
        <v>269</v>
      </c>
      <c r="AJ191" s="212">
        <v>118170</v>
      </c>
      <c r="AK191" s="212">
        <v>0</v>
      </c>
      <c r="AL191" s="212">
        <v>0</v>
      </c>
      <c r="AM191" s="212">
        <v>0</v>
      </c>
      <c r="AN191" s="212">
        <v>118170</v>
      </c>
      <c r="AO191" s="176">
        <v>0</v>
      </c>
      <c r="AP191" s="176">
        <v>0</v>
      </c>
      <c r="AQ191" s="176">
        <v>0</v>
      </c>
      <c r="AR191" s="212">
        <f t="shared" si="25"/>
        <v>94536</v>
      </c>
      <c r="AS191" s="212">
        <f t="shared" si="26"/>
        <v>0</v>
      </c>
      <c r="AT191" s="473">
        <f t="shared" si="27"/>
        <v>-94536</v>
      </c>
      <c r="AU191" s="477"/>
    </row>
    <row r="192" spans="1:47" s="35" customFormat="1" ht="29" hidden="1" x14ac:dyDescent="0.35">
      <c r="A192" s="35" t="s">
        <v>1196</v>
      </c>
      <c r="B192" s="224" t="s">
        <v>948</v>
      </c>
      <c r="C192" s="222" t="s">
        <v>19</v>
      </c>
      <c r="D192" s="136">
        <v>8470410</v>
      </c>
      <c r="E192" s="137" t="s">
        <v>268</v>
      </c>
      <c r="F192" s="138">
        <v>425770</v>
      </c>
      <c r="G192" s="137" t="s">
        <v>74</v>
      </c>
      <c r="H192" s="137" t="s">
        <v>270</v>
      </c>
      <c r="I192" s="137">
        <v>120000</v>
      </c>
      <c r="J192" s="140">
        <v>72566</v>
      </c>
      <c r="K192" s="141">
        <v>42591</v>
      </c>
      <c r="L192" s="142"/>
      <c r="M192" s="143"/>
      <c r="N192" s="144">
        <f t="shared" si="22"/>
        <v>29975</v>
      </c>
      <c r="O192" s="145"/>
      <c r="P192" s="145"/>
      <c r="Q192" s="145"/>
      <c r="R192" s="146"/>
      <c r="S192" s="139">
        <f t="shared" si="23"/>
        <v>29975</v>
      </c>
      <c r="T192" s="172"/>
      <c r="U192" s="137" t="s">
        <v>270</v>
      </c>
      <c r="V192" s="261">
        <f t="shared" si="29"/>
        <v>2540</v>
      </c>
      <c r="W192" s="261">
        <f t="shared" si="28"/>
        <v>-13204.22</v>
      </c>
      <c r="X192" s="261"/>
      <c r="Y192" s="176" t="s">
        <v>838</v>
      </c>
      <c r="Z192" s="176"/>
      <c r="AA192" s="186">
        <v>72566</v>
      </c>
      <c r="AB192" s="186">
        <v>72529</v>
      </c>
      <c r="AC192" s="176">
        <v>0</v>
      </c>
      <c r="AD192" s="176">
        <v>0</v>
      </c>
      <c r="AE192" s="186">
        <v>37</v>
      </c>
      <c r="AF192" s="35">
        <v>37</v>
      </c>
      <c r="AG192" s="212">
        <v>0</v>
      </c>
      <c r="AH192" s="212">
        <f t="shared" si="24"/>
        <v>-2503</v>
      </c>
      <c r="AI192" s="212" t="s">
        <v>270</v>
      </c>
      <c r="AJ192" s="212">
        <v>75704</v>
      </c>
      <c r="AK192" s="212">
        <v>72529</v>
      </c>
      <c r="AL192" s="212">
        <v>0</v>
      </c>
      <c r="AM192" s="212">
        <v>0</v>
      </c>
      <c r="AN192" s="212">
        <v>3175</v>
      </c>
      <c r="AO192" s="176">
        <v>0</v>
      </c>
      <c r="AP192" s="176">
        <v>0</v>
      </c>
      <c r="AQ192" s="176">
        <v>15744.22</v>
      </c>
      <c r="AR192" s="212">
        <f t="shared" si="25"/>
        <v>-13204.22</v>
      </c>
      <c r="AS192" s="212">
        <f t="shared" si="26"/>
        <v>88273.22</v>
      </c>
      <c r="AT192" s="473">
        <f t="shared" si="27"/>
        <v>101477.44</v>
      </c>
      <c r="AU192" s="477"/>
    </row>
    <row r="193" spans="1:47" s="35" customFormat="1" ht="29" hidden="1" x14ac:dyDescent="0.35">
      <c r="A193" s="35" t="s">
        <v>1196</v>
      </c>
      <c r="B193" s="224" t="s">
        <v>948</v>
      </c>
      <c r="C193" s="222" t="s">
        <v>19</v>
      </c>
      <c r="D193" s="136">
        <v>8470410</v>
      </c>
      <c r="E193" s="137" t="s">
        <v>268</v>
      </c>
      <c r="F193" s="138">
        <v>426610</v>
      </c>
      <c r="G193" s="137" t="s">
        <v>37</v>
      </c>
      <c r="H193" s="137" t="s">
        <v>271</v>
      </c>
      <c r="I193" s="137">
        <v>5600</v>
      </c>
      <c r="J193" s="140">
        <v>5600</v>
      </c>
      <c r="K193" s="141">
        <v>1612</v>
      </c>
      <c r="L193" s="142"/>
      <c r="M193" s="143"/>
      <c r="N193" s="144">
        <f t="shared" si="22"/>
        <v>3988</v>
      </c>
      <c r="O193" s="145"/>
      <c r="P193" s="145"/>
      <c r="Q193" s="145"/>
      <c r="R193" s="146"/>
      <c r="S193" s="139">
        <f t="shared" si="23"/>
        <v>3988</v>
      </c>
      <c r="T193" s="172"/>
      <c r="U193" s="137" t="s">
        <v>271</v>
      </c>
      <c r="V193" s="261">
        <f t="shared" si="29"/>
        <v>3190.4</v>
      </c>
      <c r="W193" s="261">
        <f t="shared" si="28"/>
        <v>3190.4</v>
      </c>
      <c r="X193" s="261"/>
      <c r="Y193" s="176" t="s">
        <v>838</v>
      </c>
      <c r="Z193" s="176"/>
      <c r="AA193" s="186">
        <v>5600</v>
      </c>
      <c r="AB193" s="186">
        <v>1612</v>
      </c>
      <c r="AC193" s="176">
        <v>0</v>
      </c>
      <c r="AD193" s="176">
        <v>0</v>
      </c>
      <c r="AE193" s="186">
        <v>3988</v>
      </c>
      <c r="AF193" s="35">
        <v>3988</v>
      </c>
      <c r="AG193" s="212">
        <v>0</v>
      </c>
      <c r="AH193" s="212">
        <f t="shared" si="24"/>
        <v>797.59999999999991</v>
      </c>
      <c r="AI193" s="212" t="s">
        <v>271</v>
      </c>
      <c r="AJ193" s="212">
        <v>5600</v>
      </c>
      <c r="AK193" s="212">
        <v>1612</v>
      </c>
      <c r="AL193" s="212">
        <v>0</v>
      </c>
      <c r="AM193" s="212">
        <v>0</v>
      </c>
      <c r="AN193" s="212">
        <v>3988</v>
      </c>
      <c r="AO193" s="176">
        <v>0</v>
      </c>
      <c r="AP193" s="176">
        <v>0</v>
      </c>
      <c r="AQ193" s="176">
        <v>0</v>
      </c>
      <c r="AR193" s="212">
        <f t="shared" si="25"/>
        <v>3190.4</v>
      </c>
      <c r="AS193" s="212">
        <f t="shared" si="26"/>
        <v>1612</v>
      </c>
      <c r="AT193" s="473">
        <f t="shared" si="27"/>
        <v>-1578.4</v>
      </c>
      <c r="AU193" s="477"/>
    </row>
    <row r="194" spans="1:47" s="35" customFormat="1" ht="29" hidden="1" x14ac:dyDescent="0.35">
      <c r="A194" s="35" t="s">
        <v>1196</v>
      </c>
      <c r="B194" s="224" t="s">
        <v>948</v>
      </c>
      <c r="C194" s="222" t="s">
        <v>19</v>
      </c>
      <c r="D194" s="136">
        <v>8470410</v>
      </c>
      <c r="E194" s="137" t="s">
        <v>268</v>
      </c>
      <c r="F194" s="138">
        <v>435310</v>
      </c>
      <c r="G194" s="137" t="s">
        <v>66</v>
      </c>
      <c r="H194" s="137" t="s">
        <v>272</v>
      </c>
      <c r="I194" s="137">
        <v>85229</v>
      </c>
      <c r="J194" s="140">
        <v>85229</v>
      </c>
      <c r="K194" s="141">
        <v>12957.33</v>
      </c>
      <c r="L194" s="148">
        <v>0</v>
      </c>
      <c r="M194" s="143"/>
      <c r="N194" s="144">
        <f t="shared" ref="N194:N257" si="30">J194-K194-L194-M194</f>
        <v>72271.67</v>
      </c>
      <c r="O194" s="145"/>
      <c r="P194" s="145"/>
      <c r="Q194" s="145"/>
      <c r="R194" s="146"/>
      <c r="S194" s="139">
        <f t="shared" ref="S194:S257" si="31">N194-O194-P194-Q194</f>
        <v>72271.67</v>
      </c>
      <c r="T194" s="172"/>
      <c r="U194" s="137" t="s">
        <v>272</v>
      </c>
      <c r="V194" s="261">
        <f t="shared" si="29"/>
        <v>57817.336000000003</v>
      </c>
      <c r="W194" s="261">
        <f t="shared" si="28"/>
        <v>57486.766000000003</v>
      </c>
      <c r="X194" s="261"/>
      <c r="Y194" s="176" t="s">
        <v>838</v>
      </c>
      <c r="Z194" s="176"/>
      <c r="AA194" s="186">
        <v>85229</v>
      </c>
      <c r="AB194" s="186">
        <v>12957.33</v>
      </c>
      <c r="AC194" s="176">
        <v>0</v>
      </c>
      <c r="AD194" s="176">
        <v>0</v>
      </c>
      <c r="AE194" s="186">
        <v>72271.67</v>
      </c>
      <c r="AF194" s="35">
        <v>72271.67</v>
      </c>
      <c r="AG194" s="212">
        <v>0</v>
      </c>
      <c r="AH194" s="212">
        <f t="shared" ref="AH194:AH257" si="32">AE194-V194</f>
        <v>14454.333999999995</v>
      </c>
      <c r="AI194" s="212" t="s">
        <v>272</v>
      </c>
      <c r="AJ194" s="212">
        <v>85229</v>
      </c>
      <c r="AK194" s="212">
        <v>12957.33</v>
      </c>
      <c r="AL194" s="212">
        <v>0</v>
      </c>
      <c r="AM194" s="212">
        <v>0</v>
      </c>
      <c r="AN194" s="212">
        <v>72271.67</v>
      </c>
      <c r="AO194" s="176">
        <v>330.57</v>
      </c>
      <c r="AP194" s="176">
        <v>0</v>
      </c>
      <c r="AQ194" s="176">
        <v>0</v>
      </c>
      <c r="AR194" s="212">
        <f t="shared" ref="AR194:AR257" si="33">V194-AO194-AP194-AQ194</f>
        <v>57486.766000000003</v>
      </c>
      <c r="AS194" s="212">
        <f t="shared" ref="AS194:AS257" si="34">AB194+AC194+AD194+Q194+AO194+AP194+AQ194</f>
        <v>13287.9</v>
      </c>
      <c r="AT194" s="473">
        <f t="shared" ref="AT194:AT257" si="35">AK194+AL194+AM194+AO194+AP194+AQ194+X194+Q194-W194</f>
        <v>-44198.866000000002</v>
      </c>
      <c r="AU194" s="477"/>
    </row>
    <row r="195" spans="1:47" s="35" customFormat="1" ht="29" hidden="1" x14ac:dyDescent="0.35">
      <c r="A195" s="35" t="s">
        <v>1196</v>
      </c>
      <c r="B195" s="224" t="s">
        <v>948</v>
      </c>
      <c r="C195" s="222" t="s">
        <v>19</v>
      </c>
      <c r="D195" s="136">
        <v>8470410</v>
      </c>
      <c r="E195" s="137" t="s">
        <v>268</v>
      </c>
      <c r="F195" s="138">
        <v>435350</v>
      </c>
      <c r="G195" s="137" t="s">
        <v>79</v>
      </c>
      <c r="H195" s="137" t="s">
        <v>273</v>
      </c>
      <c r="I195" s="137">
        <v>17900</v>
      </c>
      <c r="J195" s="140">
        <v>10384</v>
      </c>
      <c r="K195" s="141">
        <v>1500</v>
      </c>
      <c r="L195" s="142"/>
      <c r="M195" s="143"/>
      <c r="N195" s="144">
        <f t="shared" si="30"/>
        <v>8884</v>
      </c>
      <c r="O195" s="145"/>
      <c r="P195" s="145"/>
      <c r="Q195" s="145"/>
      <c r="R195" s="146"/>
      <c r="S195" s="139">
        <f t="shared" si="31"/>
        <v>8884</v>
      </c>
      <c r="T195" s="172"/>
      <c r="U195" s="137" t="s">
        <v>273</v>
      </c>
      <c r="V195" s="261">
        <f t="shared" si="29"/>
        <v>25116.639999999999</v>
      </c>
      <c r="W195" s="261">
        <f t="shared" ref="W195:W258" si="36">V195-(AO195+AP195+AQ195)</f>
        <v>25116.639999999999</v>
      </c>
      <c r="X195" s="261"/>
      <c r="Y195" s="176" t="s">
        <v>838</v>
      </c>
      <c r="Z195" s="176"/>
      <c r="AA195" s="186">
        <v>45384</v>
      </c>
      <c r="AB195" s="186">
        <v>13988.2</v>
      </c>
      <c r="AC195" s="176">
        <v>0</v>
      </c>
      <c r="AD195" s="176">
        <v>0</v>
      </c>
      <c r="AE195" s="186">
        <v>31395.8</v>
      </c>
      <c r="AF195" s="35">
        <v>31395.8</v>
      </c>
      <c r="AG195" s="212">
        <v>0</v>
      </c>
      <c r="AH195" s="212">
        <f t="shared" si="32"/>
        <v>6279.16</v>
      </c>
      <c r="AI195" s="212" t="s">
        <v>273</v>
      </c>
      <c r="AJ195" s="212">
        <v>45384</v>
      </c>
      <c r="AK195" s="212">
        <v>13988.2</v>
      </c>
      <c r="AL195" s="212">
        <v>0</v>
      </c>
      <c r="AM195" s="212">
        <v>0</v>
      </c>
      <c r="AN195" s="212">
        <v>31395.8</v>
      </c>
      <c r="AO195" s="176">
        <v>0</v>
      </c>
      <c r="AP195" s="176">
        <v>0</v>
      </c>
      <c r="AQ195" s="176">
        <v>0</v>
      </c>
      <c r="AR195" s="212">
        <f t="shared" si="33"/>
        <v>25116.639999999999</v>
      </c>
      <c r="AS195" s="212">
        <f t="shared" si="34"/>
        <v>13988.2</v>
      </c>
      <c r="AT195" s="473">
        <f t="shared" si="35"/>
        <v>-11128.439999999999</v>
      </c>
      <c r="AU195" s="477"/>
    </row>
    <row r="196" spans="1:47" s="35" customFormat="1" ht="29" hidden="1" x14ac:dyDescent="0.35">
      <c r="A196" s="35" t="s">
        <v>1196</v>
      </c>
      <c r="B196" s="224" t="s">
        <v>948</v>
      </c>
      <c r="C196" s="222" t="s">
        <v>19</v>
      </c>
      <c r="D196" s="136">
        <v>8470415</v>
      </c>
      <c r="E196" s="137" t="s">
        <v>274</v>
      </c>
      <c r="F196" s="138">
        <v>421700</v>
      </c>
      <c r="G196" s="137" t="s">
        <v>29</v>
      </c>
      <c r="H196" s="137" t="s">
        <v>275</v>
      </c>
      <c r="I196" s="137">
        <v>150000</v>
      </c>
      <c r="J196" s="140">
        <v>150000</v>
      </c>
      <c r="K196" s="147"/>
      <c r="L196" s="142"/>
      <c r="M196" s="143"/>
      <c r="N196" s="144">
        <f t="shared" si="30"/>
        <v>150000</v>
      </c>
      <c r="O196" s="145"/>
      <c r="P196" s="145"/>
      <c r="Q196" s="145"/>
      <c r="R196" s="146"/>
      <c r="S196" s="139">
        <f t="shared" si="31"/>
        <v>150000</v>
      </c>
      <c r="T196" s="172"/>
      <c r="U196" s="137" t="s">
        <v>275</v>
      </c>
      <c r="V196" s="261">
        <f t="shared" si="29"/>
        <v>120000</v>
      </c>
      <c r="W196" s="261">
        <f t="shared" si="36"/>
        <v>120000</v>
      </c>
      <c r="X196" s="261"/>
      <c r="Y196" s="176" t="s">
        <v>838</v>
      </c>
      <c r="Z196" s="176"/>
      <c r="AA196" s="186">
        <v>150000</v>
      </c>
      <c r="AB196" s="186">
        <v>0</v>
      </c>
      <c r="AC196" s="176">
        <v>0</v>
      </c>
      <c r="AD196" s="176">
        <v>0</v>
      </c>
      <c r="AE196" s="186">
        <v>150000</v>
      </c>
      <c r="AF196" s="35">
        <v>150000</v>
      </c>
      <c r="AG196" s="212">
        <v>0</v>
      </c>
      <c r="AH196" s="212">
        <f t="shared" si="32"/>
        <v>30000</v>
      </c>
      <c r="AI196" s="212" t="s">
        <v>275</v>
      </c>
      <c r="AJ196" s="212">
        <v>150000</v>
      </c>
      <c r="AK196" s="212">
        <v>0</v>
      </c>
      <c r="AL196" s="212">
        <v>0</v>
      </c>
      <c r="AM196" s="212">
        <v>0</v>
      </c>
      <c r="AN196" s="212">
        <v>150000</v>
      </c>
      <c r="AO196" s="176">
        <v>0</v>
      </c>
      <c r="AP196" s="176">
        <v>0</v>
      </c>
      <c r="AQ196" s="176">
        <v>0</v>
      </c>
      <c r="AR196" s="212">
        <f t="shared" si="33"/>
        <v>120000</v>
      </c>
      <c r="AS196" s="212">
        <f t="shared" si="34"/>
        <v>0</v>
      </c>
      <c r="AT196" s="473">
        <f t="shared" si="35"/>
        <v>-120000</v>
      </c>
      <c r="AU196" s="477"/>
    </row>
    <row r="197" spans="1:47" s="35" customFormat="1" ht="29" hidden="1" x14ac:dyDescent="0.35">
      <c r="A197" s="35" t="s">
        <v>1196</v>
      </c>
      <c r="B197" s="224" t="s">
        <v>948</v>
      </c>
      <c r="C197" s="222" t="s">
        <v>19</v>
      </c>
      <c r="D197" s="136">
        <v>8470415</v>
      </c>
      <c r="E197" s="137" t="s">
        <v>274</v>
      </c>
      <c r="F197" s="138">
        <v>425100</v>
      </c>
      <c r="G197" s="137" t="s">
        <v>55</v>
      </c>
      <c r="H197" s="137" t="s">
        <v>276</v>
      </c>
      <c r="I197" s="137">
        <v>50000</v>
      </c>
      <c r="J197" s="140">
        <v>50000</v>
      </c>
      <c r="K197" s="147"/>
      <c r="L197" s="142"/>
      <c r="M197" s="143"/>
      <c r="N197" s="144">
        <f t="shared" si="30"/>
        <v>50000</v>
      </c>
      <c r="O197" s="145"/>
      <c r="P197" s="145"/>
      <c r="Q197" s="145"/>
      <c r="R197" s="146"/>
      <c r="S197" s="139">
        <f t="shared" si="31"/>
        <v>50000</v>
      </c>
      <c r="T197" s="172"/>
      <c r="U197" s="137" t="s">
        <v>276</v>
      </c>
      <c r="V197" s="261">
        <f t="shared" si="29"/>
        <v>40000</v>
      </c>
      <c r="W197" s="261">
        <f t="shared" si="36"/>
        <v>40000</v>
      </c>
      <c r="X197" s="261"/>
      <c r="Y197" s="176" t="s">
        <v>838</v>
      </c>
      <c r="Z197" s="176"/>
      <c r="AA197" s="186">
        <v>50000</v>
      </c>
      <c r="AB197" s="186">
        <v>0</v>
      </c>
      <c r="AC197" s="176">
        <v>0</v>
      </c>
      <c r="AD197" s="176">
        <v>0</v>
      </c>
      <c r="AE197" s="186">
        <v>50000</v>
      </c>
      <c r="AF197" s="35">
        <v>50000</v>
      </c>
      <c r="AG197" s="212">
        <v>0</v>
      </c>
      <c r="AH197" s="212">
        <f t="shared" si="32"/>
        <v>10000</v>
      </c>
      <c r="AI197" s="212" t="s">
        <v>276</v>
      </c>
      <c r="AJ197" s="212">
        <v>50000</v>
      </c>
      <c r="AK197" s="212">
        <v>0</v>
      </c>
      <c r="AL197" s="212">
        <v>0</v>
      </c>
      <c r="AM197" s="212">
        <v>0</v>
      </c>
      <c r="AN197" s="212">
        <v>50000</v>
      </c>
      <c r="AO197" s="176">
        <v>0</v>
      </c>
      <c r="AP197" s="176">
        <v>0</v>
      </c>
      <c r="AQ197" s="176">
        <v>0</v>
      </c>
      <c r="AR197" s="212">
        <f t="shared" si="33"/>
        <v>40000</v>
      </c>
      <c r="AS197" s="212">
        <f t="shared" si="34"/>
        <v>0</v>
      </c>
      <c r="AT197" s="473">
        <f t="shared" si="35"/>
        <v>-40000</v>
      </c>
      <c r="AU197" s="477"/>
    </row>
    <row r="198" spans="1:47" s="35" customFormat="1" ht="29" hidden="1" x14ac:dyDescent="0.35">
      <c r="A198" s="35" t="s">
        <v>1196</v>
      </c>
      <c r="B198" s="224" t="s">
        <v>948</v>
      </c>
      <c r="C198" s="222" t="s">
        <v>19</v>
      </c>
      <c r="D198" s="136">
        <v>8470415</v>
      </c>
      <c r="E198" s="137" t="s">
        <v>274</v>
      </c>
      <c r="F198" s="138">
        <v>425760</v>
      </c>
      <c r="G198" s="137" t="s">
        <v>142</v>
      </c>
      <c r="H198" s="137" t="s">
        <v>277</v>
      </c>
      <c r="I198" s="137">
        <v>5000</v>
      </c>
      <c r="J198" s="140">
        <v>5000</v>
      </c>
      <c r="K198" s="147"/>
      <c r="L198" s="142"/>
      <c r="M198" s="143"/>
      <c r="N198" s="144">
        <f t="shared" si="30"/>
        <v>5000</v>
      </c>
      <c r="O198" s="145"/>
      <c r="P198" s="145"/>
      <c r="Q198" s="145"/>
      <c r="R198" s="146"/>
      <c r="S198" s="139">
        <f t="shared" si="31"/>
        <v>5000</v>
      </c>
      <c r="T198" s="172"/>
      <c r="U198" s="137" t="s">
        <v>277</v>
      </c>
      <c r="V198" s="261">
        <f t="shared" si="29"/>
        <v>4000</v>
      </c>
      <c r="W198" s="261">
        <f t="shared" si="36"/>
        <v>4000</v>
      </c>
      <c r="X198" s="261"/>
      <c r="Y198" s="176" t="s">
        <v>838</v>
      </c>
      <c r="Z198" s="176"/>
      <c r="AA198" s="186">
        <v>5000</v>
      </c>
      <c r="AB198" s="186">
        <v>0</v>
      </c>
      <c r="AC198" s="176">
        <v>0</v>
      </c>
      <c r="AD198" s="176">
        <v>0</v>
      </c>
      <c r="AE198" s="186">
        <v>5000</v>
      </c>
      <c r="AF198" s="35">
        <v>5000</v>
      </c>
      <c r="AG198" s="212">
        <v>0</v>
      </c>
      <c r="AH198" s="212">
        <f t="shared" si="32"/>
        <v>1000</v>
      </c>
      <c r="AI198" s="212" t="s">
        <v>277</v>
      </c>
      <c r="AJ198" s="212">
        <v>5000</v>
      </c>
      <c r="AK198" s="212">
        <v>0</v>
      </c>
      <c r="AL198" s="212">
        <v>0</v>
      </c>
      <c r="AM198" s="212">
        <v>0</v>
      </c>
      <c r="AN198" s="212">
        <v>5000</v>
      </c>
      <c r="AO198" s="176">
        <v>0</v>
      </c>
      <c r="AP198" s="176">
        <v>0</v>
      </c>
      <c r="AQ198" s="176">
        <v>0</v>
      </c>
      <c r="AR198" s="212">
        <f t="shared" si="33"/>
        <v>4000</v>
      </c>
      <c r="AS198" s="212">
        <f t="shared" si="34"/>
        <v>0</v>
      </c>
      <c r="AT198" s="473">
        <f t="shared" si="35"/>
        <v>-4000</v>
      </c>
      <c r="AU198" s="477"/>
    </row>
    <row r="199" spans="1:47" s="35" customFormat="1" ht="29" hidden="1" x14ac:dyDescent="0.35">
      <c r="A199" s="35" t="s">
        <v>1196</v>
      </c>
      <c r="B199" s="224" t="s">
        <v>948</v>
      </c>
      <c r="C199" s="222" t="s">
        <v>19</v>
      </c>
      <c r="D199" s="136">
        <v>8470415</v>
      </c>
      <c r="E199" s="137" t="s">
        <v>274</v>
      </c>
      <c r="F199" s="138">
        <v>425763</v>
      </c>
      <c r="G199" s="137" t="s">
        <v>59</v>
      </c>
      <c r="H199" s="137" t="s">
        <v>278</v>
      </c>
      <c r="I199" s="137">
        <v>80000</v>
      </c>
      <c r="J199" s="140">
        <v>80000</v>
      </c>
      <c r="K199" s="141">
        <v>12355</v>
      </c>
      <c r="L199" s="148">
        <v>0</v>
      </c>
      <c r="M199" s="140">
        <v>12430</v>
      </c>
      <c r="N199" s="144">
        <f t="shared" si="30"/>
        <v>55215</v>
      </c>
      <c r="O199" s="145"/>
      <c r="P199" s="145"/>
      <c r="Q199" s="145"/>
      <c r="R199" s="146"/>
      <c r="S199" s="139">
        <f t="shared" si="31"/>
        <v>55215</v>
      </c>
      <c r="T199" s="172"/>
      <c r="U199" s="137" t="s">
        <v>278</v>
      </c>
      <c r="V199" s="261">
        <f t="shared" si="29"/>
        <v>24405.472000000002</v>
      </c>
      <c r="W199" s="261">
        <f t="shared" si="36"/>
        <v>24405.472000000002</v>
      </c>
      <c r="X199" s="261"/>
      <c r="Y199" s="176" t="s">
        <v>838</v>
      </c>
      <c r="Z199" s="176"/>
      <c r="AA199" s="186">
        <v>80000</v>
      </c>
      <c r="AB199" s="186">
        <v>32468.16</v>
      </c>
      <c r="AC199" s="176">
        <v>0</v>
      </c>
      <c r="AD199" s="176">
        <v>12430</v>
      </c>
      <c r="AE199" s="186">
        <v>35101.839999999997</v>
      </c>
      <c r="AF199" s="35">
        <v>35101.839999999997</v>
      </c>
      <c r="AG199" s="212">
        <v>0</v>
      </c>
      <c r="AH199" s="212">
        <f t="shared" si="32"/>
        <v>10696.367999999995</v>
      </c>
      <c r="AI199" s="212" t="s">
        <v>278</v>
      </c>
      <c r="AJ199" s="212">
        <v>80000</v>
      </c>
      <c r="AK199" s="212">
        <v>37063.160000000003</v>
      </c>
      <c r="AL199" s="212">
        <v>0</v>
      </c>
      <c r="AM199" s="212">
        <v>12430</v>
      </c>
      <c r="AN199" s="212">
        <v>30506.84</v>
      </c>
      <c r="AO199" s="176">
        <v>0</v>
      </c>
      <c r="AP199" s="176">
        <v>0</v>
      </c>
      <c r="AQ199" s="176">
        <v>0</v>
      </c>
      <c r="AR199" s="212">
        <f t="shared" si="33"/>
        <v>24405.472000000002</v>
      </c>
      <c r="AS199" s="212">
        <f t="shared" si="34"/>
        <v>44898.16</v>
      </c>
      <c r="AT199" s="473">
        <f t="shared" si="35"/>
        <v>25087.688000000002</v>
      </c>
      <c r="AU199" s="477"/>
    </row>
    <row r="200" spans="1:47" s="35" customFormat="1" ht="29" hidden="1" x14ac:dyDescent="0.35">
      <c r="A200" s="35" t="s">
        <v>1196</v>
      </c>
      <c r="B200" s="224" t="s">
        <v>948</v>
      </c>
      <c r="C200" s="222" t="s">
        <v>19</v>
      </c>
      <c r="D200" s="136">
        <v>8470415</v>
      </c>
      <c r="E200" s="137" t="s">
        <v>274</v>
      </c>
      <c r="F200" s="138">
        <v>425770</v>
      </c>
      <c r="G200" s="137" t="s">
        <v>74</v>
      </c>
      <c r="H200" s="137" t="s">
        <v>279</v>
      </c>
      <c r="I200" s="137">
        <v>285000</v>
      </c>
      <c r="J200" s="140">
        <v>246248</v>
      </c>
      <c r="K200" s="141">
        <v>220962.16</v>
      </c>
      <c r="L200" s="142"/>
      <c r="M200" s="143"/>
      <c r="N200" s="144">
        <f t="shared" si="30"/>
        <v>25285.839999999997</v>
      </c>
      <c r="O200" s="145"/>
      <c r="P200" s="145"/>
      <c r="Q200" s="145"/>
      <c r="R200" s="146"/>
      <c r="S200" s="139">
        <f t="shared" si="31"/>
        <v>25285.839999999997</v>
      </c>
      <c r="T200" s="172"/>
      <c r="U200" s="137" t="s">
        <v>279</v>
      </c>
      <c r="V200" s="261">
        <f t="shared" si="29"/>
        <v>33243.464</v>
      </c>
      <c r="W200" s="261">
        <f t="shared" si="36"/>
        <v>-67511.695999999996</v>
      </c>
      <c r="X200" s="261"/>
      <c r="Y200" s="176" t="s">
        <v>838</v>
      </c>
      <c r="Z200" s="176"/>
      <c r="AA200" s="186">
        <v>276248</v>
      </c>
      <c r="AB200" s="186">
        <v>274493.67</v>
      </c>
      <c r="AC200" s="186">
        <v>0</v>
      </c>
      <c r="AD200" s="186">
        <v>0</v>
      </c>
      <c r="AE200" s="186">
        <v>1754.3300000000163</v>
      </c>
      <c r="AF200" s="184">
        <v>1754.3300000000299</v>
      </c>
      <c r="AG200" s="184">
        <v>-1.3642420526593924E-11</v>
      </c>
      <c r="AH200" s="212">
        <f t="shared" si="32"/>
        <v>-31489.133999999984</v>
      </c>
      <c r="AI200" s="212" t="s">
        <v>279</v>
      </c>
      <c r="AJ200" s="212">
        <v>316248</v>
      </c>
      <c r="AK200" s="212">
        <v>274693.67</v>
      </c>
      <c r="AL200" s="212">
        <v>0</v>
      </c>
      <c r="AM200" s="212">
        <v>0</v>
      </c>
      <c r="AN200" s="212">
        <v>41554.33</v>
      </c>
      <c r="AO200" s="176">
        <v>23617.759999999998</v>
      </c>
      <c r="AP200" s="176">
        <v>17460.27</v>
      </c>
      <c r="AQ200" s="176">
        <v>59677.130000000005</v>
      </c>
      <c r="AR200" s="212">
        <f t="shared" si="33"/>
        <v>-67511.695999999996</v>
      </c>
      <c r="AS200" s="212">
        <f t="shared" si="34"/>
        <v>375248.83</v>
      </c>
      <c r="AT200" s="473">
        <f t="shared" si="35"/>
        <v>442960.52600000001</v>
      </c>
      <c r="AU200" s="477"/>
    </row>
    <row r="201" spans="1:47" s="35" customFormat="1" ht="29" hidden="1" x14ac:dyDescent="0.35">
      <c r="A201" s="35" t="s">
        <v>1196</v>
      </c>
      <c r="B201" s="224" t="s">
        <v>948</v>
      </c>
      <c r="C201" s="222" t="s">
        <v>19</v>
      </c>
      <c r="D201" s="136">
        <v>8470415</v>
      </c>
      <c r="E201" s="137" t="s">
        <v>274</v>
      </c>
      <c r="F201" s="138">
        <v>425900</v>
      </c>
      <c r="G201" s="137" t="s">
        <v>35</v>
      </c>
      <c r="H201" s="137" t="s">
        <v>280</v>
      </c>
      <c r="I201" s="137">
        <v>140000</v>
      </c>
      <c r="J201" s="140">
        <v>70000</v>
      </c>
      <c r="K201" s="141">
        <v>7839.73</v>
      </c>
      <c r="L201" s="142"/>
      <c r="M201" s="143"/>
      <c r="N201" s="144">
        <f t="shared" si="30"/>
        <v>62160.270000000004</v>
      </c>
      <c r="O201" s="145"/>
      <c r="P201" s="145"/>
      <c r="Q201" s="145"/>
      <c r="R201" s="146"/>
      <c r="S201" s="139">
        <f t="shared" si="31"/>
        <v>62160.270000000004</v>
      </c>
      <c r="T201" s="172"/>
      <c r="U201" s="137" t="s">
        <v>280</v>
      </c>
      <c r="V201" s="261">
        <f t="shared" si="29"/>
        <v>17728.216</v>
      </c>
      <c r="W201" s="261">
        <f t="shared" si="36"/>
        <v>17728.216</v>
      </c>
      <c r="X201" s="261"/>
      <c r="Y201" s="176" t="s">
        <v>838</v>
      </c>
      <c r="Z201" s="176"/>
      <c r="AA201" s="186">
        <v>70000</v>
      </c>
      <c r="AB201" s="186">
        <v>7839.73</v>
      </c>
      <c r="AC201" s="176">
        <v>0</v>
      </c>
      <c r="AD201" s="176">
        <v>0</v>
      </c>
      <c r="AE201" s="186">
        <v>62160.270000000004</v>
      </c>
      <c r="AF201" s="35">
        <v>62160.27</v>
      </c>
      <c r="AG201" s="212">
        <v>0</v>
      </c>
      <c r="AH201" s="212">
        <f t="shared" si="32"/>
        <v>44432.054000000004</v>
      </c>
      <c r="AI201" s="212" t="s">
        <v>280</v>
      </c>
      <c r="AJ201" s="212">
        <v>30000</v>
      </c>
      <c r="AK201" s="212">
        <v>7839.73</v>
      </c>
      <c r="AL201" s="212">
        <v>0</v>
      </c>
      <c r="AM201" s="212">
        <v>0</v>
      </c>
      <c r="AN201" s="212">
        <v>22160.27</v>
      </c>
      <c r="AO201" s="176">
        <v>0</v>
      </c>
      <c r="AP201" s="176">
        <v>0</v>
      </c>
      <c r="AQ201" s="176">
        <v>0</v>
      </c>
      <c r="AR201" s="212">
        <f t="shared" si="33"/>
        <v>17728.216</v>
      </c>
      <c r="AS201" s="212">
        <f t="shared" si="34"/>
        <v>7839.73</v>
      </c>
      <c r="AT201" s="473">
        <f t="shared" si="35"/>
        <v>-9888.4860000000008</v>
      </c>
      <c r="AU201" s="477"/>
    </row>
    <row r="202" spans="1:47" s="35" customFormat="1" ht="29" hidden="1" x14ac:dyDescent="0.35">
      <c r="A202" s="35" t="s">
        <v>1196</v>
      </c>
      <c r="B202" s="224" t="s">
        <v>948</v>
      </c>
      <c r="C202" s="222" t="s">
        <v>19</v>
      </c>
      <c r="D202" s="136">
        <v>8470415</v>
      </c>
      <c r="E202" s="137" t="s">
        <v>274</v>
      </c>
      <c r="F202" s="138">
        <v>426610</v>
      </c>
      <c r="G202" s="137" t="s">
        <v>37</v>
      </c>
      <c r="H202" s="137" t="s">
        <v>281</v>
      </c>
      <c r="I202" s="137">
        <v>229511</v>
      </c>
      <c r="J202" s="140">
        <v>229511</v>
      </c>
      <c r="K202" s="141">
        <v>61384.61</v>
      </c>
      <c r="L202" s="148">
        <v>0</v>
      </c>
      <c r="M202" s="140">
        <v>68752.009999999995</v>
      </c>
      <c r="N202" s="144">
        <f t="shared" si="30"/>
        <v>99374.380000000019</v>
      </c>
      <c r="O202" s="145"/>
      <c r="P202" s="145"/>
      <c r="Q202" s="145"/>
      <c r="R202" s="146"/>
      <c r="S202" s="139">
        <f t="shared" si="31"/>
        <v>99374.380000000019</v>
      </c>
      <c r="T202" s="172"/>
      <c r="U202" s="137" t="s">
        <v>281</v>
      </c>
      <c r="V202" s="261">
        <f t="shared" si="29"/>
        <v>55205.664000000004</v>
      </c>
      <c r="W202" s="261">
        <f t="shared" si="36"/>
        <v>55205.664000000004</v>
      </c>
      <c r="X202" s="261"/>
      <c r="Y202" s="176" t="s">
        <v>838</v>
      </c>
      <c r="Z202" s="176"/>
      <c r="AA202" s="186">
        <v>199511</v>
      </c>
      <c r="AB202" s="186">
        <v>92696.94</v>
      </c>
      <c r="AC202" s="176">
        <v>0</v>
      </c>
      <c r="AD202" s="176">
        <v>37806.980000000003</v>
      </c>
      <c r="AE202" s="186">
        <v>69007.079999999987</v>
      </c>
      <c r="AF202" s="35">
        <v>69007.08</v>
      </c>
      <c r="AG202" s="212">
        <v>0</v>
      </c>
      <c r="AH202" s="212">
        <f t="shared" si="32"/>
        <v>13801.415999999983</v>
      </c>
      <c r="AI202" s="212" t="s">
        <v>281</v>
      </c>
      <c r="AJ202" s="212">
        <v>199511</v>
      </c>
      <c r="AK202" s="212">
        <v>92696.94</v>
      </c>
      <c r="AL202" s="212">
        <v>0</v>
      </c>
      <c r="AM202" s="212">
        <v>37806.980000000003</v>
      </c>
      <c r="AN202" s="212">
        <v>69007.08</v>
      </c>
      <c r="AO202" s="176">
        <v>0</v>
      </c>
      <c r="AP202" s="176">
        <v>0</v>
      </c>
      <c r="AQ202" s="176">
        <v>0</v>
      </c>
      <c r="AR202" s="212">
        <f t="shared" si="33"/>
        <v>55205.664000000004</v>
      </c>
      <c r="AS202" s="212">
        <f t="shared" si="34"/>
        <v>130503.92000000001</v>
      </c>
      <c r="AT202" s="473">
        <f t="shared" si="35"/>
        <v>75298.256000000008</v>
      </c>
      <c r="AU202" s="477"/>
    </row>
    <row r="203" spans="1:47" s="35" customFormat="1" ht="29" hidden="1" x14ac:dyDescent="0.35">
      <c r="A203" s="35" t="s">
        <v>1196</v>
      </c>
      <c r="B203" s="224" t="s">
        <v>948</v>
      </c>
      <c r="C203" s="222" t="s">
        <v>19</v>
      </c>
      <c r="D203" s="136">
        <v>8470415</v>
      </c>
      <c r="E203" s="137" t="s">
        <v>274</v>
      </c>
      <c r="F203" s="138">
        <v>428640</v>
      </c>
      <c r="G203" s="137" t="s">
        <v>43</v>
      </c>
      <c r="H203" s="137" t="s">
        <v>282</v>
      </c>
      <c r="I203" s="137">
        <v>15000</v>
      </c>
      <c r="J203" s="140">
        <v>7612</v>
      </c>
      <c r="K203" s="147"/>
      <c r="L203" s="142"/>
      <c r="M203" s="143"/>
      <c r="N203" s="144">
        <f t="shared" si="30"/>
        <v>7612</v>
      </c>
      <c r="O203" s="145"/>
      <c r="P203" s="145"/>
      <c r="Q203" s="145"/>
      <c r="R203" s="146"/>
      <c r="S203" s="139">
        <f t="shared" si="31"/>
        <v>7612</v>
      </c>
      <c r="T203" s="172"/>
      <c r="U203" s="137" t="s">
        <v>282</v>
      </c>
      <c r="V203" s="261">
        <f t="shared" si="29"/>
        <v>6089.6</v>
      </c>
      <c r="W203" s="261">
        <f t="shared" si="36"/>
        <v>6089.6</v>
      </c>
      <c r="X203" s="261"/>
      <c r="Y203" s="176" t="s">
        <v>838</v>
      </c>
      <c r="Z203" s="176"/>
      <c r="AA203" s="186">
        <v>7612</v>
      </c>
      <c r="AB203" s="186">
        <v>0</v>
      </c>
      <c r="AC203" s="176">
        <v>0</v>
      </c>
      <c r="AD203" s="176">
        <v>0</v>
      </c>
      <c r="AE203" s="186">
        <v>7612</v>
      </c>
      <c r="AF203" s="35">
        <v>7612</v>
      </c>
      <c r="AG203" s="212">
        <v>0</v>
      </c>
      <c r="AH203" s="212">
        <f t="shared" si="32"/>
        <v>1522.3999999999996</v>
      </c>
      <c r="AI203" s="212" t="s">
        <v>282</v>
      </c>
      <c r="AJ203" s="212">
        <v>7612</v>
      </c>
      <c r="AK203" s="212">
        <v>0</v>
      </c>
      <c r="AL203" s="212">
        <v>0</v>
      </c>
      <c r="AM203" s="212">
        <v>0</v>
      </c>
      <c r="AN203" s="212">
        <v>7612</v>
      </c>
      <c r="AO203" s="176">
        <v>0</v>
      </c>
      <c r="AP203" s="176">
        <v>0</v>
      </c>
      <c r="AQ203" s="176">
        <v>0</v>
      </c>
      <c r="AR203" s="212">
        <f t="shared" si="33"/>
        <v>6089.6</v>
      </c>
      <c r="AS203" s="212">
        <f t="shared" si="34"/>
        <v>0</v>
      </c>
      <c r="AT203" s="473">
        <f t="shared" si="35"/>
        <v>-6089.6</v>
      </c>
      <c r="AU203" s="477"/>
    </row>
    <row r="204" spans="1:47" s="35" customFormat="1" ht="29" hidden="1" x14ac:dyDescent="0.35">
      <c r="A204" s="35" t="s">
        <v>1196</v>
      </c>
      <c r="B204" s="224" t="s">
        <v>948</v>
      </c>
      <c r="C204" s="222" t="s">
        <v>19</v>
      </c>
      <c r="D204" s="136">
        <v>8470415</v>
      </c>
      <c r="E204" s="137" t="s">
        <v>274</v>
      </c>
      <c r="F204" s="138">
        <v>432209</v>
      </c>
      <c r="G204" s="137" t="s">
        <v>132</v>
      </c>
      <c r="H204" s="137" t="s">
        <v>283</v>
      </c>
      <c r="I204" s="137">
        <v>301000</v>
      </c>
      <c r="J204" s="140">
        <v>301000</v>
      </c>
      <c r="K204" s="141">
        <v>143758.60999999999</v>
      </c>
      <c r="L204" s="148">
        <v>7.2759576141834308E-12</v>
      </c>
      <c r="M204" s="140">
        <v>60938.1</v>
      </c>
      <c r="N204" s="144">
        <f t="shared" si="30"/>
        <v>96303.290000000008</v>
      </c>
      <c r="O204" s="145"/>
      <c r="P204" s="145"/>
      <c r="Q204" s="145"/>
      <c r="R204" s="146"/>
      <c r="S204" s="139">
        <f t="shared" si="31"/>
        <v>96303.290000000008</v>
      </c>
      <c r="T204" s="172"/>
      <c r="U204" s="137" t="s">
        <v>283</v>
      </c>
      <c r="V204" s="261">
        <f t="shared" si="29"/>
        <v>77042.631999999998</v>
      </c>
      <c r="W204" s="261">
        <f t="shared" si="36"/>
        <v>77042.631999999998</v>
      </c>
      <c r="X204" s="261"/>
      <c r="Y204" s="176" t="s">
        <v>838</v>
      </c>
      <c r="Z204" s="176"/>
      <c r="AA204" s="186">
        <v>301000</v>
      </c>
      <c r="AB204" s="186">
        <v>158539.60999999999</v>
      </c>
      <c r="AC204" s="176">
        <v>0</v>
      </c>
      <c r="AD204" s="176">
        <v>46157.1</v>
      </c>
      <c r="AE204" s="186">
        <v>96303.290000000008</v>
      </c>
      <c r="AF204" s="35">
        <v>96303.29</v>
      </c>
      <c r="AG204" s="212">
        <v>0</v>
      </c>
      <c r="AH204" s="212">
        <f t="shared" si="32"/>
        <v>19260.65800000001</v>
      </c>
      <c r="AI204" s="212" t="s">
        <v>283</v>
      </c>
      <c r="AJ204" s="212">
        <v>301000</v>
      </c>
      <c r="AK204" s="212">
        <v>203796.71</v>
      </c>
      <c r="AL204" s="212">
        <v>0</v>
      </c>
      <c r="AM204" s="212">
        <v>899.99999999999602</v>
      </c>
      <c r="AN204" s="212">
        <v>96303.29</v>
      </c>
      <c r="AO204" s="176">
        <v>0</v>
      </c>
      <c r="AP204" s="176">
        <v>0</v>
      </c>
      <c r="AQ204" s="176">
        <v>0</v>
      </c>
      <c r="AR204" s="212">
        <f t="shared" si="33"/>
        <v>77042.631999999998</v>
      </c>
      <c r="AS204" s="212">
        <f t="shared" si="34"/>
        <v>204696.71</v>
      </c>
      <c r="AT204" s="473">
        <f t="shared" si="35"/>
        <v>127654.07799999999</v>
      </c>
      <c r="AU204" s="477"/>
    </row>
    <row r="205" spans="1:47" s="35" customFormat="1" ht="29" hidden="1" x14ac:dyDescent="0.35">
      <c r="A205" s="35" t="s">
        <v>1196</v>
      </c>
      <c r="B205" s="224" t="s">
        <v>948</v>
      </c>
      <c r="C205" s="222" t="s">
        <v>19</v>
      </c>
      <c r="D205" s="136">
        <v>8470415</v>
      </c>
      <c r="E205" s="137" t="s">
        <v>274</v>
      </c>
      <c r="F205" s="138">
        <v>435350</v>
      </c>
      <c r="G205" s="137" t="s">
        <v>79</v>
      </c>
      <c r="H205" s="137" t="s">
        <v>284</v>
      </c>
      <c r="I205" s="137">
        <v>70000</v>
      </c>
      <c r="J205" s="140">
        <v>40275</v>
      </c>
      <c r="K205" s="141">
        <v>5138</v>
      </c>
      <c r="L205" s="142"/>
      <c r="M205" s="143"/>
      <c r="N205" s="144">
        <f t="shared" si="30"/>
        <v>35137</v>
      </c>
      <c r="O205" s="145"/>
      <c r="P205" s="145"/>
      <c r="Q205" s="145"/>
      <c r="R205" s="146"/>
      <c r="S205" s="139">
        <f t="shared" si="31"/>
        <v>35137</v>
      </c>
      <c r="T205" s="172"/>
      <c r="U205" s="137" t="s">
        <v>284</v>
      </c>
      <c r="V205" s="261">
        <f t="shared" si="29"/>
        <v>28109.600000000002</v>
      </c>
      <c r="W205" s="261">
        <f t="shared" si="36"/>
        <v>28109.600000000002</v>
      </c>
      <c r="X205" s="261"/>
      <c r="Y205" s="176" t="s">
        <v>838</v>
      </c>
      <c r="Z205" s="176"/>
      <c r="AA205" s="186">
        <v>40275</v>
      </c>
      <c r="AB205" s="186">
        <v>5138</v>
      </c>
      <c r="AC205" s="176">
        <v>0</v>
      </c>
      <c r="AD205" s="176">
        <v>0</v>
      </c>
      <c r="AE205" s="186">
        <v>35137</v>
      </c>
      <c r="AF205" s="35">
        <v>35137</v>
      </c>
      <c r="AG205" s="212">
        <v>0</v>
      </c>
      <c r="AH205" s="212">
        <f t="shared" si="32"/>
        <v>7027.3999999999978</v>
      </c>
      <c r="AI205" s="212" t="s">
        <v>284</v>
      </c>
      <c r="AJ205" s="212">
        <v>40275</v>
      </c>
      <c r="AK205" s="212">
        <v>5138</v>
      </c>
      <c r="AL205" s="212">
        <v>0</v>
      </c>
      <c r="AM205" s="212">
        <v>0</v>
      </c>
      <c r="AN205" s="212">
        <v>35137</v>
      </c>
      <c r="AO205" s="176">
        <v>0</v>
      </c>
      <c r="AP205" s="176">
        <v>0</v>
      </c>
      <c r="AQ205" s="176">
        <v>0</v>
      </c>
      <c r="AR205" s="212">
        <f t="shared" si="33"/>
        <v>28109.600000000002</v>
      </c>
      <c r="AS205" s="212">
        <f t="shared" si="34"/>
        <v>5138</v>
      </c>
      <c r="AT205" s="473">
        <f t="shared" si="35"/>
        <v>-22971.600000000002</v>
      </c>
      <c r="AU205" s="477"/>
    </row>
    <row r="206" spans="1:47" s="35" customFormat="1" ht="29" hidden="1" x14ac:dyDescent="0.35">
      <c r="A206" s="35" t="s">
        <v>1196</v>
      </c>
      <c r="B206" s="224" t="s">
        <v>948</v>
      </c>
      <c r="C206" s="222" t="s">
        <v>19</v>
      </c>
      <c r="D206" s="136">
        <v>8470415</v>
      </c>
      <c r="E206" s="137" t="s">
        <v>274</v>
      </c>
      <c r="F206" s="138">
        <v>435508</v>
      </c>
      <c r="G206" s="137" t="s">
        <v>135</v>
      </c>
      <c r="H206" s="137" t="s">
        <v>285</v>
      </c>
      <c r="I206" s="137">
        <v>525000</v>
      </c>
      <c r="J206" s="140">
        <v>525000</v>
      </c>
      <c r="K206" s="141">
        <v>182253.07</v>
      </c>
      <c r="L206" s="148">
        <v>49714.35</v>
      </c>
      <c r="M206" s="140">
        <v>156367.39000000001</v>
      </c>
      <c r="N206" s="144">
        <f t="shared" si="30"/>
        <v>136665.19</v>
      </c>
      <c r="O206" s="145"/>
      <c r="P206" s="145"/>
      <c r="Q206" s="145"/>
      <c r="R206" s="146"/>
      <c r="S206" s="139">
        <f t="shared" si="31"/>
        <v>136665.19</v>
      </c>
      <c r="T206" s="172"/>
      <c r="U206" s="137" t="s">
        <v>285</v>
      </c>
      <c r="V206" s="261">
        <f t="shared" si="29"/>
        <v>62089.495999999999</v>
      </c>
      <c r="W206" s="261">
        <f t="shared" si="36"/>
        <v>56027.436000000002</v>
      </c>
      <c r="X206" s="261"/>
      <c r="Y206" s="176" t="s">
        <v>838</v>
      </c>
      <c r="Z206" s="176"/>
      <c r="AA206" s="186">
        <v>525000</v>
      </c>
      <c r="AB206" s="186">
        <v>248519.05</v>
      </c>
      <c r="AC206" s="176">
        <v>36437.269999999997</v>
      </c>
      <c r="AD206" s="176">
        <v>145297.87</v>
      </c>
      <c r="AE206" s="186">
        <v>94745.810000000027</v>
      </c>
      <c r="AF206" s="35">
        <v>94745.809999999896</v>
      </c>
      <c r="AG206" s="212">
        <v>1.3096723705530167E-10</v>
      </c>
      <c r="AH206" s="212">
        <f t="shared" si="32"/>
        <v>32656.314000000028</v>
      </c>
      <c r="AI206" s="212" t="s">
        <v>285</v>
      </c>
      <c r="AJ206" s="212">
        <v>525000</v>
      </c>
      <c r="AK206" s="212">
        <v>276301.45</v>
      </c>
      <c r="AL206" s="212">
        <v>39712.74</v>
      </c>
      <c r="AM206" s="212">
        <v>131373.94</v>
      </c>
      <c r="AN206" s="212">
        <v>77611.87</v>
      </c>
      <c r="AO206" s="176">
        <v>6062.06</v>
      </c>
      <c r="AP206" s="176">
        <v>0</v>
      </c>
      <c r="AQ206" s="176">
        <v>0</v>
      </c>
      <c r="AR206" s="212">
        <f t="shared" si="33"/>
        <v>56027.436000000002</v>
      </c>
      <c r="AS206" s="212">
        <f t="shared" si="34"/>
        <v>436316.25</v>
      </c>
      <c r="AT206" s="473">
        <f t="shared" si="35"/>
        <v>397422.75400000002</v>
      </c>
      <c r="AU206" s="477"/>
    </row>
    <row r="207" spans="1:47" s="35" customFormat="1" ht="29" hidden="1" x14ac:dyDescent="0.35">
      <c r="A207" s="35" t="s">
        <v>1196</v>
      </c>
      <c r="B207" s="224" t="s">
        <v>948</v>
      </c>
      <c r="C207" s="222" t="s">
        <v>19</v>
      </c>
      <c r="D207" s="136">
        <v>8470415</v>
      </c>
      <c r="E207" s="137" t="s">
        <v>274</v>
      </c>
      <c r="F207" s="138">
        <v>435519</v>
      </c>
      <c r="G207" s="137" t="s">
        <v>68</v>
      </c>
      <c r="H207" s="137" t="s">
        <v>286</v>
      </c>
      <c r="I207" s="137">
        <v>20000</v>
      </c>
      <c r="J207" s="140">
        <v>20000</v>
      </c>
      <c r="K207" s="147"/>
      <c r="L207" s="142"/>
      <c r="M207" s="143"/>
      <c r="N207" s="144">
        <f t="shared" si="30"/>
        <v>20000</v>
      </c>
      <c r="O207" s="145"/>
      <c r="P207" s="145"/>
      <c r="Q207" s="145"/>
      <c r="R207" s="146"/>
      <c r="S207" s="139">
        <f t="shared" si="31"/>
        <v>20000</v>
      </c>
      <c r="T207" s="172"/>
      <c r="U207" s="137" t="s">
        <v>286</v>
      </c>
      <c r="V207" s="261">
        <f t="shared" si="29"/>
        <v>16000</v>
      </c>
      <c r="W207" s="261">
        <f t="shared" si="36"/>
        <v>16000</v>
      </c>
      <c r="X207" s="261"/>
      <c r="Y207" s="176" t="s">
        <v>838</v>
      </c>
      <c r="Z207" s="176"/>
      <c r="AA207" s="186">
        <v>20000</v>
      </c>
      <c r="AB207" s="186">
        <v>0</v>
      </c>
      <c r="AC207" s="176">
        <v>0</v>
      </c>
      <c r="AD207" s="176">
        <v>0</v>
      </c>
      <c r="AE207" s="186">
        <v>20000</v>
      </c>
      <c r="AF207" s="35">
        <v>20000</v>
      </c>
      <c r="AG207" s="212">
        <v>0</v>
      </c>
      <c r="AH207" s="212">
        <f t="shared" si="32"/>
        <v>4000</v>
      </c>
      <c r="AI207" s="212" t="s">
        <v>286</v>
      </c>
      <c r="AJ207" s="212">
        <v>20000</v>
      </c>
      <c r="AK207" s="212">
        <v>0</v>
      </c>
      <c r="AL207" s="212">
        <v>0</v>
      </c>
      <c r="AM207" s="212">
        <v>0</v>
      </c>
      <c r="AN207" s="212">
        <v>20000</v>
      </c>
      <c r="AO207" s="176">
        <v>0</v>
      </c>
      <c r="AP207" s="176">
        <v>0</v>
      </c>
      <c r="AQ207" s="176">
        <v>0</v>
      </c>
      <c r="AR207" s="212">
        <f t="shared" si="33"/>
        <v>16000</v>
      </c>
      <c r="AS207" s="212">
        <f t="shared" si="34"/>
        <v>0</v>
      </c>
      <c r="AT207" s="473">
        <f t="shared" si="35"/>
        <v>-16000</v>
      </c>
      <c r="AU207" s="477"/>
    </row>
    <row r="208" spans="1:47" s="35" customFormat="1" ht="29" hidden="1" x14ac:dyDescent="0.35">
      <c r="A208" s="35" t="s">
        <v>1196</v>
      </c>
      <c r="B208" s="224" t="s">
        <v>948</v>
      </c>
      <c r="C208" s="222" t="s">
        <v>19</v>
      </c>
      <c r="D208" s="136">
        <v>8470425</v>
      </c>
      <c r="E208" s="137" t="s">
        <v>287</v>
      </c>
      <c r="F208" s="138">
        <v>425510</v>
      </c>
      <c r="G208" s="137" t="s">
        <v>31</v>
      </c>
      <c r="H208" s="137" t="s">
        <v>288</v>
      </c>
      <c r="I208" s="137">
        <v>45000</v>
      </c>
      <c r="J208" s="140">
        <v>45000</v>
      </c>
      <c r="K208" s="147"/>
      <c r="L208" s="142"/>
      <c r="M208" s="143"/>
      <c r="N208" s="144">
        <f t="shared" si="30"/>
        <v>45000</v>
      </c>
      <c r="O208" s="145"/>
      <c r="P208" s="145"/>
      <c r="Q208" s="145"/>
      <c r="R208" s="146"/>
      <c r="S208" s="139">
        <f t="shared" si="31"/>
        <v>45000</v>
      </c>
      <c r="T208" s="172"/>
      <c r="U208" s="137" t="s">
        <v>288</v>
      </c>
      <c r="V208" s="261">
        <f t="shared" si="29"/>
        <v>32976</v>
      </c>
      <c r="W208" s="261">
        <f t="shared" si="36"/>
        <v>31139.75</v>
      </c>
      <c r="X208" s="261"/>
      <c r="Y208" s="176" t="s">
        <v>838</v>
      </c>
      <c r="Z208" s="176"/>
      <c r="AA208" s="186">
        <v>45000</v>
      </c>
      <c r="AB208" s="186">
        <v>0</v>
      </c>
      <c r="AC208" s="176">
        <v>0</v>
      </c>
      <c r="AD208" s="176">
        <v>0</v>
      </c>
      <c r="AE208" s="186">
        <v>45000</v>
      </c>
      <c r="AF208" s="35">
        <v>45000</v>
      </c>
      <c r="AG208" s="212">
        <v>0</v>
      </c>
      <c r="AH208" s="212">
        <f t="shared" si="32"/>
        <v>12024</v>
      </c>
      <c r="AI208" s="212" t="s">
        <v>288</v>
      </c>
      <c r="AJ208" s="212">
        <v>45000</v>
      </c>
      <c r="AK208" s="212">
        <v>1890</v>
      </c>
      <c r="AL208" s="212">
        <v>0</v>
      </c>
      <c r="AM208" s="212">
        <v>0</v>
      </c>
      <c r="AN208" s="212">
        <v>41220</v>
      </c>
      <c r="AO208" s="176">
        <v>0</v>
      </c>
      <c r="AP208" s="176">
        <v>1836.25</v>
      </c>
      <c r="AQ208" s="176">
        <v>0</v>
      </c>
      <c r="AR208" s="212">
        <f t="shared" si="33"/>
        <v>31139.75</v>
      </c>
      <c r="AS208" s="212">
        <f t="shared" si="34"/>
        <v>1836.25</v>
      </c>
      <c r="AT208" s="473">
        <f t="shared" si="35"/>
        <v>-27413.5</v>
      </c>
      <c r="AU208" s="477"/>
    </row>
    <row r="209" spans="1:47" s="35" customFormat="1" ht="29" hidden="1" x14ac:dyDescent="0.35">
      <c r="A209" s="35" t="s">
        <v>1196</v>
      </c>
      <c r="B209" s="224" t="s">
        <v>948</v>
      </c>
      <c r="C209" s="222" t="s">
        <v>19</v>
      </c>
      <c r="D209" s="136">
        <v>8470425</v>
      </c>
      <c r="E209" s="137" t="s">
        <v>287</v>
      </c>
      <c r="F209" s="138">
        <v>425550</v>
      </c>
      <c r="G209" s="137" t="s">
        <v>33</v>
      </c>
      <c r="H209" s="137" t="s">
        <v>289</v>
      </c>
      <c r="I209" s="137">
        <v>225000</v>
      </c>
      <c r="J209" s="140">
        <v>225000</v>
      </c>
      <c r="K209" s="141">
        <v>10515.17</v>
      </c>
      <c r="L209" s="142"/>
      <c r="M209" s="143"/>
      <c r="N209" s="144">
        <f t="shared" si="30"/>
        <v>214484.83</v>
      </c>
      <c r="O209" s="145"/>
      <c r="P209" s="145"/>
      <c r="Q209" s="145"/>
      <c r="R209" s="146"/>
      <c r="S209" s="139">
        <f t="shared" si="31"/>
        <v>214484.83</v>
      </c>
      <c r="T209" s="172"/>
      <c r="U209" s="137" t="s">
        <v>289</v>
      </c>
      <c r="V209" s="261">
        <f t="shared" si="29"/>
        <v>138651.864</v>
      </c>
      <c r="W209" s="261">
        <f t="shared" si="36"/>
        <v>94430.244000000006</v>
      </c>
      <c r="X209" s="261"/>
      <c r="Y209" s="176" t="s">
        <v>838</v>
      </c>
      <c r="Z209" s="176"/>
      <c r="AA209" s="186">
        <v>225000</v>
      </c>
      <c r="AB209" s="186">
        <v>51685.17</v>
      </c>
      <c r="AC209" s="176">
        <v>0</v>
      </c>
      <c r="AD209" s="176">
        <v>0</v>
      </c>
      <c r="AE209" s="186">
        <v>173314.83000000002</v>
      </c>
      <c r="AF209" s="35">
        <v>173314.83</v>
      </c>
      <c r="AG209" s="212">
        <v>0</v>
      </c>
      <c r="AH209" s="212">
        <f t="shared" si="32"/>
        <v>34662.966000000015</v>
      </c>
      <c r="AI209" s="212" t="s">
        <v>289</v>
      </c>
      <c r="AJ209" s="212">
        <v>225000</v>
      </c>
      <c r="AK209" s="212">
        <v>51685.17</v>
      </c>
      <c r="AL209" s="212">
        <v>0</v>
      </c>
      <c r="AM209" s="212">
        <v>0</v>
      </c>
      <c r="AN209" s="212">
        <v>173314.83</v>
      </c>
      <c r="AO209" s="176">
        <v>2975.13</v>
      </c>
      <c r="AP209" s="176">
        <v>0</v>
      </c>
      <c r="AQ209" s="176">
        <v>41246.49</v>
      </c>
      <c r="AR209" s="212">
        <f t="shared" si="33"/>
        <v>94430.244000000006</v>
      </c>
      <c r="AS209" s="212">
        <f t="shared" si="34"/>
        <v>95906.79</v>
      </c>
      <c r="AT209" s="473">
        <f t="shared" si="35"/>
        <v>1476.5459999999875</v>
      </c>
      <c r="AU209" s="477"/>
    </row>
    <row r="210" spans="1:47" s="35" customFormat="1" ht="29" hidden="1" x14ac:dyDescent="0.35">
      <c r="A210" s="35" t="s">
        <v>1196</v>
      </c>
      <c r="B210" s="224" t="s">
        <v>948</v>
      </c>
      <c r="C210" s="222" t="s">
        <v>19</v>
      </c>
      <c r="D210" s="136">
        <v>8470425</v>
      </c>
      <c r="E210" s="137" t="s">
        <v>287</v>
      </c>
      <c r="F210" s="138">
        <v>425770</v>
      </c>
      <c r="G210" s="137" t="s">
        <v>74</v>
      </c>
      <c r="H210" s="137" t="s">
        <v>290</v>
      </c>
      <c r="I210" s="137">
        <v>60000</v>
      </c>
      <c r="J210" s="140">
        <v>39943</v>
      </c>
      <c r="K210" s="141">
        <v>39895</v>
      </c>
      <c r="L210" s="142"/>
      <c r="M210" s="143"/>
      <c r="N210" s="144">
        <f t="shared" si="30"/>
        <v>48</v>
      </c>
      <c r="O210" s="145"/>
      <c r="P210" s="145"/>
      <c r="Q210" s="145"/>
      <c r="R210" s="146"/>
      <c r="S210" s="139">
        <f t="shared" si="31"/>
        <v>48</v>
      </c>
      <c r="T210" s="172"/>
      <c r="U210" s="137" t="s">
        <v>290</v>
      </c>
      <c r="V210" s="261">
        <f t="shared" si="29"/>
        <v>38.400000000000006</v>
      </c>
      <c r="W210" s="261">
        <f t="shared" si="36"/>
        <v>38.400000000000006</v>
      </c>
      <c r="X210" s="261"/>
      <c r="Y210" s="176" t="s">
        <v>838</v>
      </c>
      <c r="Z210" s="176"/>
      <c r="AA210" s="186">
        <v>39943</v>
      </c>
      <c r="AB210" s="186">
        <v>39895</v>
      </c>
      <c r="AC210" s="176">
        <v>0</v>
      </c>
      <c r="AD210" s="176">
        <v>0</v>
      </c>
      <c r="AE210" s="186">
        <v>48</v>
      </c>
      <c r="AF210" s="35">
        <v>48</v>
      </c>
      <c r="AG210" s="212">
        <v>0</v>
      </c>
      <c r="AH210" s="212">
        <f t="shared" si="32"/>
        <v>9.5999999999999943</v>
      </c>
      <c r="AI210" s="212" t="s">
        <v>290</v>
      </c>
      <c r="AJ210" s="212">
        <v>39943</v>
      </c>
      <c r="AK210" s="212">
        <v>39895</v>
      </c>
      <c r="AL210" s="212">
        <v>0</v>
      </c>
      <c r="AM210" s="212">
        <v>0</v>
      </c>
      <c r="AN210" s="212">
        <v>48</v>
      </c>
      <c r="AO210" s="176">
        <v>0</v>
      </c>
      <c r="AP210" s="176">
        <v>0</v>
      </c>
      <c r="AQ210" s="176">
        <v>0</v>
      </c>
      <c r="AR210" s="212">
        <f t="shared" si="33"/>
        <v>38.400000000000006</v>
      </c>
      <c r="AS210" s="212">
        <f t="shared" si="34"/>
        <v>39895</v>
      </c>
      <c r="AT210" s="473">
        <f t="shared" si="35"/>
        <v>39856.6</v>
      </c>
      <c r="AU210" s="477"/>
    </row>
    <row r="211" spans="1:47" s="35" customFormat="1" ht="29" hidden="1" x14ac:dyDescent="0.35">
      <c r="A211" s="35" t="s">
        <v>1196</v>
      </c>
      <c r="B211" s="224" t="s">
        <v>948</v>
      </c>
      <c r="C211" s="222" t="s">
        <v>19</v>
      </c>
      <c r="D211" s="136">
        <v>8470425</v>
      </c>
      <c r="E211" s="137" t="s">
        <v>287</v>
      </c>
      <c r="F211" s="138">
        <v>425900</v>
      </c>
      <c r="G211" s="137" t="s">
        <v>35</v>
      </c>
      <c r="H211" s="137" t="s">
        <v>291</v>
      </c>
      <c r="I211" s="137">
        <v>10116</v>
      </c>
      <c r="J211" s="140">
        <v>10116</v>
      </c>
      <c r="K211" s="141">
        <v>1823</v>
      </c>
      <c r="L211" s="142"/>
      <c r="M211" s="143"/>
      <c r="N211" s="144">
        <f t="shared" si="30"/>
        <v>8293</v>
      </c>
      <c r="O211" s="145"/>
      <c r="P211" s="145"/>
      <c r="Q211" s="145"/>
      <c r="R211" s="146"/>
      <c r="S211" s="139">
        <f t="shared" si="31"/>
        <v>8293</v>
      </c>
      <c r="T211" s="172"/>
      <c r="U211" s="137" t="s">
        <v>291</v>
      </c>
      <c r="V211" s="261">
        <f t="shared" si="29"/>
        <v>6634.4000000000005</v>
      </c>
      <c r="W211" s="261">
        <f t="shared" si="36"/>
        <v>5484.4000000000005</v>
      </c>
      <c r="X211" s="261"/>
      <c r="Y211" s="176" t="s">
        <v>838</v>
      </c>
      <c r="Z211" s="176"/>
      <c r="AA211" s="186">
        <v>10116</v>
      </c>
      <c r="AB211" s="186">
        <v>1823</v>
      </c>
      <c r="AC211" s="176">
        <v>0</v>
      </c>
      <c r="AD211" s="176">
        <v>0</v>
      </c>
      <c r="AE211" s="186">
        <v>8293</v>
      </c>
      <c r="AF211" s="35">
        <v>8293</v>
      </c>
      <c r="AG211" s="212">
        <v>0</v>
      </c>
      <c r="AH211" s="212">
        <f t="shared" si="32"/>
        <v>1658.5999999999995</v>
      </c>
      <c r="AI211" s="212" t="s">
        <v>291</v>
      </c>
      <c r="AJ211" s="212">
        <v>10116</v>
      </c>
      <c r="AK211" s="212">
        <v>1823</v>
      </c>
      <c r="AL211" s="212">
        <v>0</v>
      </c>
      <c r="AM211" s="212">
        <v>0</v>
      </c>
      <c r="AN211" s="212">
        <v>8293</v>
      </c>
      <c r="AO211" s="176">
        <v>1150</v>
      </c>
      <c r="AP211" s="176">
        <v>0</v>
      </c>
      <c r="AQ211" s="176">
        <v>0</v>
      </c>
      <c r="AR211" s="212">
        <f t="shared" si="33"/>
        <v>5484.4000000000005</v>
      </c>
      <c r="AS211" s="212">
        <f t="shared" si="34"/>
        <v>2973</v>
      </c>
      <c r="AT211" s="473">
        <f t="shared" si="35"/>
        <v>-2511.4000000000005</v>
      </c>
      <c r="AU211" s="477"/>
    </row>
    <row r="212" spans="1:47" s="35" customFormat="1" ht="29" hidden="1" x14ac:dyDescent="0.35">
      <c r="A212" s="35" t="s">
        <v>1196</v>
      </c>
      <c r="B212" s="224" t="s">
        <v>948</v>
      </c>
      <c r="C212" s="222" t="s">
        <v>19</v>
      </c>
      <c r="D212" s="136">
        <v>8470425</v>
      </c>
      <c r="E212" s="137" t="s">
        <v>287</v>
      </c>
      <c r="F212" s="138">
        <v>426610</v>
      </c>
      <c r="G212" s="137" t="s">
        <v>37</v>
      </c>
      <c r="H212" s="137" t="s">
        <v>292</v>
      </c>
      <c r="I212" s="137">
        <v>212000</v>
      </c>
      <c r="J212" s="140">
        <v>212000</v>
      </c>
      <c r="K212" s="141">
        <v>22497.13</v>
      </c>
      <c r="L212" s="148">
        <v>0</v>
      </c>
      <c r="M212" s="140">
        <v>0</v>
      </c>
      <c r="N212" s="144">
        <f t="shared" si="30"/>
        <v>189502.87</v>
      </c>
      <c r="O212" s="145"/>
      <c r="P212" s="145"/>
      <c r="Q212" s="145"/>
      <c r="R212" s="146"/>
      <c r="S212" s="139">
        <f t="shared" si="31"/>
        <v>189502.87</v>
      </c>
      <c r="T212" s="172"/>
      <c r="U212" s="137" t="s">
        <v>292</v>
      </c>
      <c r="V212" s="261">
        <f t="shared" si="29"/>
        <v>53391.896000000001</v>
      </c>
      <c r="W212" s="261">
        <f t="shared" si="36"/>
        <v>53391.896000000001</v>
      </c>
      <c r="X212" s="261"/>
      <c r="Y212" s="176" t="s">
        <v>838</v>
      </c>
      <c r="Z212" s="176"/>
      <c r="AA212" s="186">
        <v>118295</v>
      </c>
      <c r="AB212" s="186">
        <v>22497.13</v>
      </c>
      <c r="AC212" s="176">
        <v>0</v>
      </c>
      <c r="AD212" s="176">
        <v>0</v>
      </c>
      <c r="AE212" s="186">
        <v>95797.87</v>
      </c>
      <c r="AF212" s="35">
        <v>95797.87</v>
      </c>
      <c r="AG212" s="212">
        <v>0</v>
      </c>
      <c r="AH212" s="212">
        <f t="shared" si="32"/>
        <v>42405.973999999995</v>
      </c>
      <c r="AI212" s="212" t="s">
        <v>292</v>
      </c>
      <c r="AJ212" s="212">
        <v>89237</v>
      </c>
      <c r="AK212" s="212">
        <v>22497.13</v>
      </c>
      <c r="AL212" s="212">
        <v>0</v>
      </c>
      <c r="AM212" s="212">
        <v>0</v>
      </c>
      <c r="AN212" s="212">
        <v>66739.87</v>
      </c>
      <c r="AO212" s="176">
        <v>0</v>
      </c>
      <c r="AP212" s="176">
        <v>0</v>
      </c>
      <c r="AQ212" s="176">
        <v>0</v>
      </c>
      <c r="AR212" s="212">
        <f t="shared" si="33"/>
        <v>53391.896000000001</v>
      </c>
      <c r="AS212" s="212">
        <f t="shared" si="34"/>
        <v>22497.13</v>
      </c>
      <c r="AT212" s="473">
        <f t="shared" si="35"/>
        <v>-30894.766</v>
      </c>
      <c r="AU212" s="477"/>
    </row>
    <row r="213" spans="1:47" s="35" customFormat="1" ht="29" hidden="1" x14ac:dyDescent="0.35">
      <c r="A213" s="35" t="s">
        <v>1196</v>
      </c>
      <c r="B213" s="224" t="s">
        <v>948</v>
      </c>
      <c r="C213" s="222" t="s">
        <v>19</v>
      </c>
      <c r="D213" s="136">
        <v>8470425</v>
      </c>
      <c r="E213" s="137" t="s">
        <v>287</v>
      </c>
      <c r="F213" s="138">
        <v>428090</v>
      </c>
      <c r="G213" s="137" t="s">
        <v>39</v>
      </c>
      <c r="H213" s="137" t="s">
        <v>293</v>
      </c>
      <c r="I213" s="137">
        <v>128000</v>
      </c>
      <c r="J213" s="140">
        <v>34875</v>
      </c>
      <c r="K213" s="141">
        <v>6445</v>
      </c>
      <c r="L213" s="142"/>
      <c r="M213" s="143"/>
      <c r="N213" s="144">
        <f t="shared" si="30"/>
        <v>28430</v>
      </c>
      <c r="O213" s="145"/>
      <c r="P213" s="145"/>
      <c r="Q213" s="145"/>
      <c r="R213" s="146"/>
      <c r="S213" s="139">
        <f t="shared" si="31"/>
        <v>28430</v>
      </c>
      <c r="T213" s="172"/>
      <c r="U213" s="137" t="s">
        <v>293</v>
      </c>
      <c r="V213" s="261">
        <f t="shared" si="29"/>
        <v>22744</v>
      </c>
      <c r="W213" s="261">
        <f t="shared" si="36"/>
        <v>-3151</v>
      </c>
      <c r="X213" s="261"/>
      <c r="Y213" s="176" t="s">
        <v>838</v>
      </c>
      <c r="Z213" s="176"/>
      <c r="AA213" s="186">
        <v>34875</v>
      </c>
      <c r="AB213" s="186">
        <v>6445</v>
      </c>
      <c r="AC213" s="176">
        <v>0</v>
      </c>
      <c r="AD213" s="176">
        <v>0</v>
      </c>
      <c r="AE213" s="186">
        <v>28430</v>
      </c>
      <c r="AF213" s="35">
        <v>28430</v>
      </c>
      <c r="AG213" s="212">
        <v>0</v>
      </c>
      <c r="AH213" s="212">
        <f t="shared" si="32"/>
        <v>5686</v>
      </c>
      <c r="AI213" s="212" t="s">
        <v>293</v>
      </c>
      <c r="AJ213" s="212">
        <v>34875</v>
      </c>
      <c r="AK213" s="212">
        <v>6445</v>
      </c>
      <c r="AL213" s="212">
        <v>0</v>
      </c>
      <c r="AM213" s="212">
        <v>0</v>
      </c>
      <c r="AN213" s="212">
        <v>28430</v>
      </c>
      <c r="AO213" s="176">
        <v>0</v>
      </c>
      <c r="AP213" s="176">
        <v>0</v>
      </c>
      <c r="AQ213" s="176">
        <v>25895</v>
      </c>
      <c r="AR213" s="212">
        <f t="shared" si="33"/>
        <v>-3151</v>
      </c>
      <c r="AS213" s="212">
        <f t="shared" si="34"/>
        <v>32340</v>
      </c>
      <c r="AT213" s="473">
        <f t="shared" si="35"/>
        <v>35491</v>
      </c>
      <c r="AU213" s="477"/>
    </row>
    <row r="214" spans="1:47" s="35" customFormat="1" ht="29" hidden="1" x14ac:dyDescent="0.35">
      <c r="A214" s="35" t="s">
        <v>1196</v>
      </c>
      <c r="B214" s="224" t="s">
        <v>948</v>
      </c>
      <c r="C214" s="222" t="s">
        <v>19</v>
      </c>
      <c r="D214" s="136">
        <v>8470425</v>
      </c>
      <c r="E214" s="137" t="s">
        <v>287</v>
      </c>
      <c r="F214" s="138">
        <v>435350</v>
      </c>
      <c r="G214" s="137" t="s">
        <v>79</v>
      </c>
      <c r="H214" s="137" t="s">
        <v>294</v>
      </c>
      <c r="I214" s="137">
        <v>120000</v>
      </c>
      <c r="J214" s="140">
        <v>84748</v>
      </c>
      <c r="K214" s="141">
        <v>52961.14</v>
      </c>
      <c r="L214" s="142"/>
      <c r="M214" s="143"/>
      <c r="N214" s="144">
        <f t="shared" si="30"/>
        <v>31786.86</v>
      </c>
      <c r="O214" s="145"/>
      <c r="P214" s="145"/>
      <c r="Q214" s="145"/>
      <c r="R214" s="146"/>
      <c r="S214" s="139">
        <f t="shared" si="31"/>
        <v>31786.86</v>
      </c>
      <c r="T214" s="172"/>
      <c r="U214" s="137" t="s">
        <v>294</v>
      </c>
      <c r="V214" s="261">
        <f t="shared" si="29"/>
        <v>2211.2159999999922</v>
      </c>
      <c r="W214" s="261">
        <f t="shared" si="36"/>
        <v>2211.2159999999922</v>
      </c>
      <c r="X214" s="261"/>
      <c r="Y214" s="176" t="s">
        <v>838</v>
      </c>
      <c r="Z214" s="176"/>
      <c r="AA214" s="186">
        <v>84748</v>
      </c>
      <c r="AB214" s="186">
        <v>73953.33</v>
      </c>
      <c r="AC214" s="176">
        <v>0</v>
      </c>
      <c r="AD214" s="176">
        <v>0</v>
      </c>
      <c r="AE214" s="186">
        <v>10794.669999999998</v>
      </c>
      <c r="AF214" s="35">
        <v>10794.67</v>
      </c>
      <c r="AG214" s="212">
        <v>0</v>
      </c>
      <c r="AH214" s="212">
        <f t="shared" si="32"/>
        <v>8583.4540000000052</v>
      </c>
      <c r="AI214" s="212" t="s">
        <v>294</v>
      </c>
      <c r="AJ214" s="212">
        <v>90748</v>
      </c>
      <c r="AK214" s="212">
        <v>87983.98</v>
      </c>
      <c r="AL214" s="212">
        <v>0</v>
      </c>
      <c r="AM214" s="212">
        <v>0</v>
      </c>
      <c r="AN214" s="212">
        <v>2764.01999999999</v>
      </c>
      <c r="AO214" s="176">
        <v>0</v>
      </c>
      <c r="AP214" s="176">
        <v>0</v>
      </c>
      <c r="AQ214" s="176">
        <v>0</v>
      </c>
      <c r="AR214" s="212">
        <f t="shared" si="33"/>
        <v>2211.2159999999922</v>
      </c>
      <c r="AS214" s="212">
        <f t="shared" si="34"/>
        <v>73953.33</v>
      </c>
      <c r="AT214" s="473">
        <f t="shared" si="35"/>
        <v>85772.76400000001</v>
      </c>
      <c r="AU214" s="477"/>
    </row>
    <row r="215" spans="1:47" s="35" customFormat="1" ht="29" hidden="1" x14ac:dyDescent="0.35">
      <c r="A215" s="35" t="s">
        <v>1196</v>
      </c>
      <c r="B215" s="224" t="s">
        <v>948</v>
      </c>
      <c r="C215" s="222" t="s">
        <v>19</v>
      </c>
      <c r="D215" s="136">
        <v>8470425</v>
      </c>
      <c r="E215" s="137" t="s">
        <v>287</v>
      </c>
      <c r="F215" s="138">
        <v>435508</v>
      </c>
      <c r="G215" s="137" t="s">
        <v>135</v>
      </c>
      <c r="H215" s="137" t="s">
        <v>295</v>
      </c>
      <c r="I215" s="137">
        <v>551566</v>
      </c>
      <c r="J215" s="140">
        <v>551566</v>
      </c>
      <c r="K215" s="141">
        <v>122680</v>
      </c>
      <c r="L215" s="148">
        <v>0</v>
      </c>
      <c r="M215" s="140">
        <v>29995</v>
      </c>
      <c r="N215" s="144">
        <f t="shared" si="30"/>
        <v>398891</v>
      </c>
      <c r="O215" s="145"/>
      <c r="P215" s="145"/>
      <c r="Q215" s="145"/>
      <c r="R215" s="146"/>
      <c r="S215" s="139">
        <f t="shared" si="31"/>
        <v>398891</v>
      </c>
      <c r="T215" s="172"/>
      <c r="U215" s="137" t="s">
        <v>295</v>
      </c>
      <c r="V215" s="261">
        <f t="shared" si="29"/>
        <v>279970.45600000001</v>
      </c>
      <c r="W215" s="261">
        <f t="shared" si="36"/>
        <v>265480.17100000003</v>
      </c>
      <c r="X215" s="261"/>
      <c r="Y215" s="176" t="s">
        <v>838</v>
      </c>
      <c r="Z215" s="176"/>
      <c r="AA215" s="186">
        <v>551566</v>
      </c>
      <c r="AB215" s="186">
        <v>166853.93</v>
      </c>
      <c r="AC215" s="176">
        <v>0</v>
      </c>
      <c r="AD215" s="176">
        <v>29995</v>
      </c>
      <c r="AE215" s="186">
        <v>354717.07</v>
      </c>
      <c r="AF215" s="35">
        <v>354717.07</v>
      </c>
      <c r="AG215" s="212">
        <v>0</v>
      </c>
      <c r="AH215" s="212">
        <f t="shared" si="32"/>
        <v>74746.614000000001</v>
      </c>
      <c r="AI215" s="212" t="s">
        <v>295</v>
      </c>
      <c r="AJ215" s="212">
        <v>551566</v>
      </c>
      <c r="AK215" s="212">
        <v>171607.93</v>
      </c>
      <c r="AL215" s="212">
        <v>0</v>
      </c>
      <c r="AM215" s="212">
        <v>29995</v>
      </c>
      <c r="AN215" s="212">
        <v>349963.07</v>
      </c>
      <c r="AO215" s="176">
        <v>4879.91</v>
      </c>
      <c r="AP215" s="176">
        <v>9610.375</v>
      </c>
      <c r="AQ215" s="176">
        <v>0</v>
      </c>
      <c r="AR215" s="212">
        <f t="shared" si="33"/>
        <v>265480.17100000003</v>
      </c>
      <c r="AS215" s="212">
        <f t="shared" si="34"/>
        <v>211339.215</v>
      </c>
      <c r="AT215" s="473">
        <f t="shared" si="35"/>
        <v>-49386.956000000035</v>
      </c>
      <c r="AU215" s="477"/>
    </row>
    <row r="216" spans="1:47" s="35" customFormat="1" ht="29" hidden="1" x14ac:dyDescent="0.35">
      <c r="A216" s="35" t="s">
        <v>1196</v>
      </c>
      <c r="B216" s="224" t="s">
        <v>948</v>
      </c>
      <c r="C216" s="222" t="s">
        <v>19</v>
      </c>
      <c r="D216" s="136">
        <v>8470430</v>
      </c>
      <c r="E216" s="137" t="s">
        <v>296</v>
      </c>
      <c r="F216" s="138">
        <v>425761</v>
      </c>
      <c r="G216" s="137" t="s">
        <v>110</v>
      </c>
      <c r="H216" s="137" t="s">
        <v>297</v>
      </c>
      <c r="I216" s="137">
        <v>8500</v>
      </c>
      <c r="J216" s="140">
        <v>8500</v>
      </c>
      <c r="K216" s="147"/>
      <c r="L216" s="142"/>
      <c r="M216" s="143"/>
      <c r="N216" s="144">
        <f t="shared" si="30"/>
        <v>8500</v>
      </c>
      <c r="O216" s="145"/>
      <c r="P216" s="145"/>
      <c r="Q216" s="145"/>
      <c r="R216" s="146"/>
      <c r="S216" s="139">
        <f t="shared" si="31"/>
        <v>8500</v>
      </c>
      <c r="T216" s="172"/>
      <c r="U216" s="137" t="s">
        <v>297</v>
      </c>
      <c r="V216" s="261">
        <f t="shared" si="29"/>
        <v>6800</v>
      </c>
      <c r="W216" s="261">
        <f t="shared" si="36"/>
        <v>6800</v>
      </c>
      <c r="X216" s="261"/>
      <c r="Y216" s="176" t="s">
        <v>838</v>
      </c>
      <c r="Z216" s="176"/>
      <c r="AA216" s="186">
        <v>8500</v>
      </c>
      <c r="AB216" s="186">
        <v>0</v>
      </c>
      <c r="AC216" s="176">
        <v>0</v>
      </c>
      <c r="AD216" s="176">
        <v>0</v>
      </c>
      <c r="AE216" s="186">
        <v>8500</v>
      </c>
      <c r="AF216" s="35">
        <v>8500</v>
      </c>
      <c r="AG216" s="212">
        <v>0</v>
      </c>
      <c r="AH216" s="212">
        <f t="shared" si="32"/>
        <v>1700</v>
      </c>
      <c r="AI216" s="212" t="s">
        <v>297</v>
      </c>
      <c r="AJ216" s="212">
        <v>8500</v>
      </c>
      <c r="AK216" s="212">
        <v>0</v>
      </c>
      <c r="AL216" s="212">
        <v>0</v>
      </c>
      <c r="AM216" s="212">
        <v>0</v>
      </c>
      <c r="AN216" s="212">
        <v>8500</v>
      </c>
      <c r="AO216" s="176">
        <v>0</v>
      </c>
      <c r="AP216" s="176">
        <v>0</v>
      </c>
      <c r="AQ216" s="176">
        <v>0</v>
      </c>
      <c r="AR216" s="212">
        <f t="shared" si="33"/>
        <v>6800</v>
      </c>
      <c r="AS216" s="212">
        <f t="shared" si="34"/>
        <v>0</v>
      </c>
      <c r="AT216" s="473">
        <f t="shared" si="35"/>
        <v>-6800</v>
      </c>
      <c r="AU216" s="477"/>
    </row>
    <row r="217" spans="1:47" s="35" customFormat="1" ht="29" hidden="1" x14ac:dyDescent="0.35">
      <c r="A217" s="35" t="s">
        <v>1196</v>
      </c>
      <c r="B217" s="224" t="s">
        <v>948</v>
      </c>
      <c r="C217" s="222" t="s">
        <v>19</v>
      </c>
      <c r="D217" s="136">
        <v>8470430</v>
      </c>
      <c r="E217" s="137" t="s">
        <v>296</v>
      </c>
      <c r="F217" s="138">
        <v>425770</v>
      </c>
      <c r="G217" s="137" t="s">
        <v>74</v>
      </c>
      <c r="H217" s="137" t="s">
        <v>298</v>
      </c>
      <c r="I217" s="137">
        <v>375000</v>
      </c>
      <c r="J217" s="140">
        <v>189463</v>
      </c>
      <c r="K217" s="141">
        <v>14690</v>
      </c>
      <c r="L217" s="142"/>
      <c r="M217" s="143"/>
      <c r="N217" s="144">
        <f t="shared" si="30"/>
        <v>174773</v>
      </c>
      <c r="O217" s="145"/>
      <c r="P217" s="145"/>
      <c r="Q217" s="145"/>
      <c r="R217" s="146"/>
      <c r="S217" s="139">
        <f t="shared" si="31"/>
        <v>174773</v>
      </c>
      <c r="T217" s="172"/>
      <c r="U217" s="137" t="s">
        <v>298</v>
      </c>
      <c r="V217" s="261">
        <f t="shared" si="29"/>
        <v>123223.368</v>
      </c>
      <c r="W217" s="261">
        <f t="shared" si="36"/>
        <v>91459.178</v>
      </c>
      <c r="X217" s="261"/>
      <c r="Y217" s="176" t="s">
        <v>838</v>
      </c>
      <c r="Z217" s="176"/>
      <c r="AA217" s="186">
        <v>189463</v>
      </c>
      <c r="AB217" s="186">
        <v>35635.839999999997</v>
      </c>
      <c r="AC217" s="176">
        <v>0</v>
      </c>
      <c r="AD217" s="176">
        <v>0</v>
      </c>
      <c r="AE217" s="186">
        <v>153827.16</v>
      </c>
      <c r="AF217" s="35">
        <v>153827.16</v>
      </c>
      <c r="AG217" s="212">
        <v>0</v>
      </c>
      <c r="AH217" s="212">
        <f t="shared" si="32"/>
        <v>30603.792000000001</v>
      </c>
      <c r="AI217" s="212" t="s">
        <v>298</v>
      </c>
      <c r="AJ217" s="212">
        <v>189463</v>
      </c>
      <c r="AK217" s="212">
        <v>35433.79</v>
      </c>
      <c r="AL217" s="212">
        <v>0</v>
      </c>
      <c r="AM217" s="212">
        <v>0</v>
      </c>
      <c r="AN217" s="212">
        <v>154029.21</v>
      </c>
      <c r="AO217" s="176">
        <v>0</v>
      </c>
      <c r="AP217" s="176">
        <v>0</v>
      </c>
      <c r="AQ217" s="176">
        <v>31764.190000000002</v>
      </c>
      <c r="AR217" s="212">
        <f t="shared" si="33"/>
        <v>91459.178</v>
      </c>
      <c r="AS217" s="212">
        <f t="shared" si="34"/>
        <v>67400.03</v>
      </c>
      <c r="AT217" s="473">
        <f t="shared" si="35"/>
        <v>-24261.197999999989</v>
      </c>
      <c r="AU217" s="477"/>
    </row>
    <row r="218" spans="1:47" s="35" customFormat="1" ht="29" hidden="1" x14ac:dyDescent="0.35">
      <c r="A218" s="35" t="s">
        <v>1196</v>
      </c>
      <c r="B218" s="224" t="s">
        <v>948</v>
      </c>
      <c r="C218" s="222" t="s">
        <v>19</v>
      </c>
      <c r="D218" s="136">
        <v>8470430</v>
      </c>
      <c r="E218" s="137" t="s">
        <v>296</v>
      </c>
      <c r="F218" s="138">
        <v>425900</v>
      </c>
      <c r="G218" s="137" t="s">
        <v>35</v>
      </c>
      <c r="H218" s="137" t="s">
        <v>299</v>
      </c>
      <c r="I218" s="137">
        <v>12000</v>
      </c>
      <c r="J218" s="140">
        <v>12000</v>
      </c>
      <c r="K218" s="147"/>
      <c r="L218" s="142"/>
      <c r="M218" s="143"/>
      <c r="N218" s="144">
        <f t="shared" si="30"/>
        <v>12000</v>
      </c>
      <c r="O218" s="145"/>
      <c r="P218" s="145"/>
      <c r="Q218" s="145"/>
      <c r="R218" s="146"/>
      <c r="S218" s="139">
        <f t="shared" si="31"/>
        <v>12000</v>
      </c>
      <c r="T218" s="172"/>
      <c r="U218" s="137" t="s">
        <v>299</v>
      </c>
      <c r="V218" s="261">
        <f t="shared" si="29"/>
        <v>9600</v>
      </c>
      <c r="W218" s="261">
        <f t="shared" si="36"/>
        <v>9600</v>
      </c>
      <c r="X218" s="261"/>
      <c r="Y218" s="176" t="s">
        <v>838</v>
      </c>
      <c r="Z218" s="176"/>
      <c r="AA218" s="186">
        <v>12000</v>
      </c>
      <c r="AB218" s="186">
        <v>0</v>
      </c>
      <c r="AC218" s="176">
        <v>0</v>
      </c>
      <c r="AD218" s="176">
        <v>0</v>
      </c>
      <c r="AE218" s="186">
        <v>12000</v>
      </c>
      <c r="AF218" s="35">
        <v>12000</v>
      </c>
      <c r="AG218" s="212">
        <v>0</v>
      </c>
      <c r="AH218" s="212">
        <f t="shared" si="32"/>
        <v>2400</v>
      </c>
      <c r="AI218" s="212" t="s">
        <v>299</v>
      </c>
      <c r="AJ218" s="212">
        <v>12000</v>
      </c>
      <c r="AK218" s="212">
        <v>0</v>
      </c>
      <c r="AL218" s="212">
        <v>0</v>
      </c>
      <c r="AM218" s="212">
        <v>0</v>
      </c>
      <c r="AN218" s="212">
        <v>12000</v>
      </c>
      <c r="AO218" s="176">
        <v>0</v>
      </c>
      <c r="AP218" s="176">
        <v>0</v>
      </c>
      <c r="AQ218" s="176">
        <v>0</v>
      </c>
      <c r="AR218" s="212">
        <f t="shared" si="33"/>
        <v>9600</v>
      </c>
      <c r="AS218" s="212">
        <f t="shared" si="34"/>
        <v>0</v>
      </c>
      <c r="AT218" s="473">
        <f t="shared" si="35"/>
        <v>-9600</v>
      </c>
      <c r="AU218" s="477"/>
    </row>
    <row r="219" spans="1:47" s="35" customFormat="1" ht="29" hidden="1" x14ac:dyDescent="0.35">
      <c r="A219" s="35" t="s">
        <v>1196</v>
      </c>
      <c r="B219" s="224" t="s">
        <v>948</v>
      </c>
      <c r="C219" s="222" t="s">
        <v>19</v>
      </c>
      <c r="D219" s="136">
        <v>8470430</v>
      </c>
      <c r="E219" s="137" t="s">
        <v>296</v>
      </c>
      <c r="F219" s="138">
        <v>426610</v>
      </c>
      <c r="G219" s="137" t="s">
        <v>37</v>
      </c>
      <c r="H219" s="137" t="s">
        <v>300</v>
      </c>
      <c r="I219" s="137">
        <v>26152</v>
      </c>
      <c r="J219" s="140">
        <v>26152</v>
      </c>
      <c r="K219" s="141">
        <v>7462.28</v>
      </c>
      <c r="L219" s="148">
        <v>0</v>
      </c>
      <c r="M219" s="140">
        <v>15518.43</v>
      </c>
      <c r="N219" s="144">
        <f t="shared" si="30"/>
        <v>3171.2900000000009</v>
      </c>
      <c r="O219" s="145"/>
      <c r="P219" s="145"/>
      <c r="Q219" s="145"/>
      <c r="R219" s="146"/>
      <c r="S219" s="139">
        <f t="shared" si="31"/>
        <v>3171.2900000000009</v>
      </c>
      <c r="T219" s="172"/>
      <c r="U219" s="137" t="s">
        <v>300</v>
      </c>
      <c r="V219" s="261">
        <f t="shared" si="29"/>
        <v>2537.0320000000002</v>
      </c>
      <c r="W219" s="261">
        <f t="shared" si="36"/>
        <v>2537.0320000000002</v>
      </c>
      <c r="X219" s="261"/>
      <c r="Y219" s="176" t="s">
        <v>838</v>
      </c>
      <c r="Z219" s="176"/>
      <c r="AA219" s="186">
        <v>26152</v>
      </c>
      <c r="AB219" s="186">
        <v>49362.03</v>
      </c>
      <c r="AC219" s="176">
        <v>0</v>
      </c>
      <c r="AD219" s="176">
        <v>-26381.32</v>
      </c>
      <c r="AE219" s="186">
        <v>3171.2900000000009</v>
      </c>
      <c r="AF219" s="35">
        <v>3171.29</v>
      </c>
      <c r="AG219" s="212">
        <v>0</v>
      </c>
      <c r="AH219" s="212">
        <f t="shared" si="32"/>
        <v>634.25800000000072</v>
      </c>
      <c r="AI219" s="212" t="s">
        <v>300</v>
      </c>
      <c r="AJ219" s="212">
        <v>26152</v>
      </c>
      <c r="AK219" s="212">
        <v>49362.03</v>
      </c>
      <c r="AL219" s="212">
        <v>0</v>
      </c>
      <c r="AM219" s="212">
        <v>-26381.32</v>
      </c>
      <c r="AN219" s="212">
        <v>3171.29</v>
      </c>
      <c r="AO219" s="176">
        <v>0</v>
      </c>
      <c r="AP219" s="176">
        <v>0</v>
      </c>
      <c r="AQ219" s="176">
        <v>0</v>
      </c>
      <c r="AR219" s="212">
        <f t="shared" si="33"/>
        <v>2537.0320000000002</v>
      </c>
      <c r="AS219" s="212">
        <f t="shared" si="34"/>
        <v>22980.71</v>
      </c>
      <c r="AT219" s="473">
        <f t="shared" si="35"/>
        <v>20443.678</v>
      </c>
      <c r="AU219" s="477"/>
    </row>
    <row r="220" spans="1:47" s="35" customFormat="1" ht="29" hidden="1" x14ac:dyDescent="0.35">
      <c r="A220" s="35" t="s">
        <v>1196</v>
      </c>
      <c r="B220" s="224" t="s">
        <v>948</v>
      </c>
      <c r="C220" s="222" t="s">
        <v>19</v>
      </c>
      <c r="D220" s="136">
        <v>8470430</v>
      </c>
      <c r="E220" s="137" t="s">
        <v>296</v>
      </c>
      <c r="F220" s="138">
        <v>432209</v>
      </c>
      <c r="G220" s="137" t="s">
        <v>132</v>
      </c>
      <c r="H220" s="137" t="s">
        <v>301</v>
      </c>
      <c r="I220" s="137">
        <v>0</v>
      </c>
      <c r="J220" s="140">
        <v>1575</v>
      </c>
      <c r="K220" s="141">
        <v>1500</v>
      </c>
      <c r="L220" s="142"/>
      <c r="M220" s="143"/>
      <c r="N220" s="144">
        <f t="shared" si="30"/>
        <v>75</v>
      </c>
      <c r="O220" s="145"/>
      <c r="P220" s="145"/>
      <c r="Q220" s="145"/>
      <c r="R220" s="146"/>
      <c r="S220" s="139">
        <f t="shared" si="31"/>
        <v>75</v>
      </c>
      <c r="T220" s="172"/>
      <c r="U220" s="137" t="s">
        <v>301</v>
      </c>
      <c r="V220" s="261">
        <f t="shared" si="29"/>
        <v>60</v>
      </c>
      <c r="W220" s="261">
        <f t="shared" si="36"/>
        <v>60</v>
      </c>
      <c r="X220" s="261"/>
      <c r="Y220" s="176" t="s">
        <v>838</v>
      </c>
      <c r="Z220" s="176"/>
      <c r="AA220" s="186">
        <v>1575</v>
      </c>
      <c r="AB220" s="186">
        <v>1500</v>
      </c>
      <c r="AC220" s="176">
        <v>0</v>
      </c>
      <c r="AD220" s="176">
        <v>0</v>
      </c>
      <c r="AE220" s="186">
        <v>75</v>
      </c>
      <c r="AF220" s="35">
        <v>75</v>
      </c>
      <c r="AG220" s="212">
        <v>0</v>
      </c>
      <c r="AH220" s="212">
        <f t="shared" si="32"/>
        <v>15</v>
      </c>
      <c r="AI220" s="212" t="s">
        <v>301</v>
      </c>
      <c r="AJ220" s="212">
        <v>1575</v>
      </c>
      <c r="AK220" s="212">
        <v>1500</v>
      </c>
      <c r="AL220" s="212">
        <v>0</v>
      </c>
      <c r="AM220" s="212">
        <v>0</v>
      </c>
      <c r="AN220" s="212">
        <v>75</v>
      </c>
      <c r="AO220" s="176">
        <v>0</v>
      </c>
      <c r="AP220" s="176">
        <v>0</v>
      </c>
      <c r="AQ220" s="176">
        <v>0</v>
      </c>
      <c r="AR220" s="212">
        <f t="shared" si="33"/>
        <v>60</v>
      </c>
      <c r="AS220" s="212">
        <f t="shared" si="34"/>
        <v>1500</v>
      </c>
      <c r="AT220" s="473">
        <f t="shared" si="35"/>
        <v>1440</v>
      </c>
      <c r="AU220" s="477"/>
    </row>
    <row r="221" spans="1:47" s="35" customFormat="1" ht="29" hidden="1" x14ac:dyDescent="0.35">
      <c r="A221" s="35" t="s">
        <v>1196</v>
      </c>
      <c r="B221" s="224" t="s">
        <v>948</v>
      </c>
      <c r="C221" s="222" t="s">
        <v>19</v>
      </c>
      <c r="D221" s="136">
        <v>8470430</v>
      </c>
      <c r="E221" s="137" t="s">
        <v>296</v>
      </c>
      <c r="F221" s="138">
        <v>435508</v>
      </c>
      <c r="G221" s="137" t="s">
        <v>135</v>
      </c>
      <c r="H221" s="137" t="s">
        <v>302</v>
      </c>
      <c r="I221" s="137">
        <v>84600</v>
      </c>
      <c r="J221" s="140">
        <v>84600</v>
      </c>
      <c r="K221" s="147"/>
      <c r="L221" s="148">
        <v>9789.4</v>
      </c>
      <c r="M221" s="143"/>
      <c r="N221" s="144">
        <f t="shared" si="30"/>
        <v>74810.600000000006</v>
      </c>
      <c r="O221" s="145"/>
      <c r="P221" s="145"/>
      <c r="Q221" s="145"/>
      <c r="R221" s="146"/>
      <c r="S221" s="139">
        <f t="shared" si="31"/>
        <v>74810.600000000006</v>
      </c>
      <c r="T221" s="172"/>
      <c r="U221" s="137" t="s">
        <v>302</v>
      </c>
      <c r="V221" s="261">
        <f t="shared" si="29"/>
        <v>59848.48000000001</v>
      </c>
      <c r="W221" s="261">
        <f t="shared" si="36"/>
        <v>59848.48000000001</v>
      </c>
      <c r="X221" s="261"/>
      <c r="Y221" s="176" t="s">
        <v>838</v>
      </c>
      <c r="Z221" s="176"/>
      <c r="AA221" s="186">
        <v>84600</v>
      </c>
      <c r="AB221" s="186">
        <v>0</v>
      </c>
      <c r="AC221" s="176">
        <v>0</v>
      </c>
      <c r="AD221" s="176">
        <v>9789.4</v>
      </c>
      <c r="AE221" s="186">
        <v>74810.600000000006</v>
      </c>
      <c r="AF221" s="35">
        <v>74810.600000000006</v>
      </c>
      <c r="AG221" s="212">
        <v>0</v>
      </c>
      <c r="AH221" s="212">
        <f t="shared" si="32"/>
        <v>14962.119999999995</v>
      </c>
      <c r="AI221" s="212" t="s">
        <v>302</v>
      </c>
      <c r="AJ221" s="212">
        <v>84600</v>
      </c>
      <c r="AK221" s="212">
        <v>0</v>
      </c>
      <c r="AL221" s="212">
        <v>0</v>
      </c>
      <c r="AM221" s="212">
        <v>9789.4</v>
      </c>
      <c r="AN221" s="212">
        <v>74810.600000000006</v>
      </c>
      <c r="AO221" s="176">
        <v>0</v>
      </c>
      <c r="AP221" s="176">
        <v>0</v>
      </c>
      <c r="AQ221" s="176">
        <v>0</v>
      </c>
      <c r="AR221" s="212">
        <f t="shared" si="33"/>
        <v>59848.48000000001</v>
      </c>
      <c r="AS221" s="212">
        <f t="shared" si="34"/>
        <v>9789.4</v>
      </c>
      <c r="AT221" s="473">
        <f t="shared" si="35"/>
        <v>-50059.080000000009</v>
      </c>
      <c r="AU221" s="477"/>
    </row>
    <row r="222" spans="1:47" s="35" customFormat="1" ht="29" hidden="1" x14ac:dyDescent="0.35">
      <c r="A222" s="35" t="s">
        <v>1196</v>
      </c>
      <c r="B222" s="224" t="s">
        <v>948</v>
      </c>
      <c r="C222" s="222" t="s">
        <v>19</v>
      </c>
      <c r="D222" s="136">
        <v>8470435</v>
      </c>
      <c r="E222" s="137" t="s">
        <v>303</v>
      </c>
      <c r="F222" s="138">
        <v>425770</v>
      </c>
      <c r="G222" s="137" t="s">
        <v>74</v>
      </c>
      <c r="H222" s="137" t="s">
        <v>304</v>
      </c>
      <c r="I222" s="137">
        <v>100000</v>
      </c>
      <c r="J222" s="140">
        <v>62348</v>
      </c>
      <c r="K222" s="141">
        <v>60121.03</v>
      </c>
      <c r="L222" s="142"/>
      <c r="M222" s="143"/>
      <c r="N222" s="144">
        <f t="shared" si="30"/>
        <v>2226.9700000000012</v>
      </c>
      <c r="O222" s="145"/>
      <c r="P222" s="145"/>
      <c r="Q222" s="145"/>
      <c r="R222" s="146"/>
      <c r="S222" s="139">
        <f t="shared" si="31"/>
        <v>2226.9700000000012</v>
      </c>
      <c r="T222" s="172"/>
      <c r="U222" s="137" t="s">
        <v>304</v>
      </c>
      <c r="V222" s="261">
        <f t="shared" si="29"/>
        <v>188.47199999999759</v>
      </c>
      <c r="W222" s="261">
        <f t="shared" si="36"/>
        <v>-8743.1480000000029</v>
      </c>
      <c r="X222" s="261"/>
      <c r="Y222" s="176" t="s">
        <v>838</v>
      </c>
      <c r="Z222" s="176"/>
      <c r="AA222" s="186">
        <v>82378</v>
      </c>
      <c r="AB222" s="186">
        <v>82142.41</v>
      </c>
      <c r="AC222" s="186">
        <v>0</v>
      </c>
      <c r="AD222" s="186">
        <v>0</v>
      </c>
      <c r="AE222" s="186">
        <v>235.58999999999651</v>
      </c>
      <c r="AF222" s="184">
        <v>235.58999999999699</v>
      </c>
      <c r="AG222" s="184">
        <v>-4.8316906031686813E-13</v>
      </c>
      <c r="AH222" s="212">
        <f t="shared" si="32"/>
        <v>47.117999999998915</v>
      </c>
      <c r="AI222" s="212" t="s">
        <v>304</v>
      </c>
      <c r="AJ222" s="212">
        <v>97738</v>
      </c>
      <c r="AK222" s="212">
        <v>97502.41</v>
      </c>
      <c r="AL222" s="212">
        <v>0</v>
      </c>
      <c r="AM222" s="212">
        <v>0</v>
      </c>
      <c r="AN222" s="212">
        <v>235.58999999999699</v>
      </c>
      <c r="AO222" s="176">
        <v>1448.65</v>
      </c>
      <c r="AP222" s="176">
        <v>0</v>
      </c>
      <c r="AQ222" s="176">
        <v>7482.97</v>
      </c>
      <c r="AR222" s="212">
        <f t="shared" si="33"/>
        <v>-8743.1480000000029</v>
      </c>
      <c r="AS222" s="212">
        <f t="shared" si="34"/>
        <v>91074.03</v>
      </c>
      <c r="AT222" s="473">
        <f t="shared" si="35"/>
        <v>115177.178</v>
      </c>
      <c r="AU222" s="477"/>
    </row>
    <row r="223" spans="1:47" s="35" customFormat="1" ht="29" hidden="1" x14ac:dyDescent="0.35">
      <c r="A223" s="35" t="s">
        <v>1196</v>
      </c>
      <c r="B223" s="224" t="s">
        <v>948</v>
      </c>
      <c r="C223" s="222" t="s">
        <v>19</v>
      </c>
      <c r="D223" s="136">
        <v>8470435</v>
      </c>
      <c r="E223" s="137" t="s">
        <v>303</v>
      </c>
      <c r="F223" s="138">
        <v>426610</v>
      </c>
      <c r="G223" s="137" t="s">
        <v>37</v>
      </c>
      <c r="H223" s="137" t="s">
        <v>305</v>
      </c>
      <c r="I223" s="137">
        <v>30000</v>
      </c>
      <c r="J223" s="140">
        <v>30000</v>
      </c>
      <c r="K223" s="141">
        <v>1156</v>
      </c>
      <c r="L223" s="148">
        <v>27950</v>
      </c>
      <c r="M223" s="143"/>
      <c r="N223" s="144">
        <f t="shared" si="30"/>
        <v>894</v>
      </c>
      <c r="O223" s="145"/>
      <c r="P223" s="145"/>
      <c r="Q223" s="145"/>
      <c r="R223" s="146"/>
      <c r="S223" s="139">
        <f t="shared" si="31"/>
        <v>894</v>
      </c>
      <c r="T223" s="172"/>
      <c r="U223" s="137" t="s">
        <v>305</v>
      </c>
      <c r="V223" s="261">
        <f t="shared" si="29"/>
        <v>715.2</v>
      </c>
      <c r="W223" s="261">
        <f t="shared" si="36"/>
        <v>715.2</v>
      </c>
      <c r="X223" s="261"/>
      <c r="Y223" s="176" t="s">
        <v>838</v>
      </c>
      <c r="Z223" s="176"/>
      <c r="AA223" s="186">
        <v>30000</v>
      </c>
      <c r="AB223" s="186">
        <v>29106</v>
      </c>
      <c r="AC223" s="176">
        <v>0</v>
      </c>
      <c r="AD223" s="176">
        <v>0</v>
      </c>
      <c r="AE223" s="186">
        <v>894</v>
      </c>
      <c r="AF223" s="35">
        <v>894</v>
      </c>
      <c r="AG223" s="212">
        <v>0</v>
      </c>
      <c r="AH223" s="212">
        <f t="shared" si="32"/>
        <v>178.79999999999995</v>
      </c>
      <c r="AI223" s="212" t="s">
        <v>305</v>
      </c>
      <c r="AJ223" s="212">
        <v>30000</v>
      </c>
      <c r="AK223" s="212">
        <v>29106</v>
      </c>
      <c r="AL223" s="212">
        <v>0</v>
      </c>
      <c r="AM223" s="212">
        <v>0</v>
      </c>
      <c r="AN223" s="212">
        <v>894</v>
      </c>
      <c r="AO223" s="176">
        <v>0</v>
      </c>
      <c r="AP223" s="176">
        <v>0</v>
      </c>
      <c r="AQ223" s="176">
        <v>0</v>
      </c>
      <c r="AR223" s="212">
        <f t="shared" si="33"/>
        <v>715.2</v>
      </c>
      <c r="AS223" s="212">
        <f t="shared" si="34"/>
        <v>29106</v>
      </c>
      <c r="AT223" s="473">
        <f t="shared" si="35"/>
        <v>28390.799999999999</v>
      </c>
      <c r="AU223" s="477"/>
    </row>
    <row r="224" spans="1:47" s="35" customFormat="1" ht="29" hidden="1" x14ac:dyDescent="0.35">
      <c r="A224" s="35" t="s">
        <v>1196</v>
      </c>
      <c r="B224" s="224" t="s">
        <v>948</v>
      </c>
      <c r="C224" s="222" t="s">
        <v>19</v>
      </c>
      <c r="D224" s="136">
        <v>8470435</v>
      </c>
      <c r="E224" s="137" t="s">
        <v>303</v>
      </c>
      <c r="F224" s="138">
        <v>435340</v>
      </c>
      <c r="G224" s="137" t="s">
        <v>202</v>
      </c>
      <c r="H224" s="137" t="s">
        <v>306</v>
      </c>
      <c r="I224" s="137">
        <v>35000</v>
      </c>
      <c r="J224" s="140">
        <v>35000</v>
      </c>
      <c r="K224" s="147"/>
      <c r="L224" s="142"/>
      <c r="M224" s="143"/>
      <c r="N224" s="144">
        <f t="shared" si="30"/>
        <v>35000</v>
      </c>
      <c r="O224" s="145"/>
      <c r="P224" s="145"/>
      <c r="Q224" s="145"/>
      <c r="R224" s="146"/>
      <c r="S224" s="139">
        <f t="shared" si="31"/>
        <v>35000</v>
      </c>
      <c r="T224" s="172"/>
      <c r="U224" s="137" t="s">
        <v>306</v>
      </c>
      <c r="V224" s="261">
        <f t="shared" si="29"/>
        <v>15200</v>
      </c>
      <c r="W224" s="261">
        <f t="shared" si="36"/>
        <v>15200</v>
      </c>
      <c r="X224" s="261"/>
      <c r="Y224" s="176" t="s">
        <v>838</v>
      </c>
      <c r="Z224" s="176"/>
      <c r="AA224" s="186">
        <v>19000</v>
      </c>
      <c r="AB224" s="186">
        <v>0</v>
      </c>
      <c r="AC224" s="176">
        <v>0</v>
      </c>
      <c r="AD224" s="176">
        <v>0</v>
      </c>
      <c r="AE224" s="186">
        <v>19000</v>
      </c>
      <c r="AF224" s="35">
        <v>19000</v>
      </c>
      <c r="AG224" s="212">
        <v>0</v>
      </c>
      <c r="AH224" s="212">
        <f t="shared" si="32"/>
        <v>3800</v>
      </c>
      <c r="AI224" s="212" t="s">
        <v>306</v>
      </c>
      <c r="AJ224" s="212">
        <v>19000</v>
      </c>
      <c r="AK224" s="212">
        <v>0</v>
      </c>
      <c r="AL224" s="212">
        <v>0</v>
      </c>
      <c r="AM224" s="212">
        <v>0</v>
      </c>
      <c r="AN224" s="212">
        <v>19000</v>
      </c>
      <c r="AO224" s="176">
        <v>0</v>
      </c>
      <c r="AP224" s="176">
        <v>0</v>
      </c>
      <c r="AQ224" s="176">
        <v>0</v>
      </c>
      <c r="AR224" s="212">
        <f t="shared" si="33"/>
        <v>15200</v>
      </c>
      <c r="AS224" s="212">
        <f t="shared" si="34"/>
        <v>0</v>
      </c>
      <c r="AT224" s="473">
        <f t="shared" si="35"/>
        <v>-15200</v>
      </c>
      <c r="AU224" s="477"/>
    </row>
    <row r="225" spans="1:47" s="35" customFormat="1" ht="29" hidden="1" x14ac:dyDescent="0.35">
      <c r="A225" s="35" t="s">
        <v>1196</v>
      </c>
      <c r="B225" s="224" t="s">
        <v>948</v>
      </c>
      <c r="C225" s="222" t="s">
        <v>19</v>
      </c>
      <c r="D225" s="136">
        <v>8470435</v>
      </c>
      <c r="E225" s="137" t="s">
        <v>303</v>
      </c>
      <c r="F225" s="138">
        <v>436600</v>
      </c>
      <c r="G225" s="137" t="s">
        <v>137</v>
      </c>
      <c r="H225" s="137" t="s">
        <v>307</v>
      </c>
      <c r="I225" s="137">
        <v>30000</v>
      </c>
      <c r="J225" s="140">
        <v>30000</v>
      </c>
      <c r="K225" s="147"/>
      <c r="L225" s="142"/>
      <c r="M225" s="143"/>
      <c r="N225" s="144">
        <f t="shared" si="30"/>
        <v>30000</v>
      </c>
      <c r="O225" s="145"/>
      <c r="P225" s="145"/>
      <c r="Q225" s="145"/>
      <c r="R225" s="146"/>
      <c r="S225" s="139">
        <f t="shared" si="31"/>
        <v>30000</v>
      </c>
      <c r="T225" s="172"/>
      <c r="U225" s="137" t="s">
        <v>307</v>
      </c>
      <c r="V225" s="261">
        <f t="shared" si="29"/>
        <v>24000</v>
      </c>
      <c r="W225" s="261">
        <f t="shared" si="36"/>
        <v>24000</v>
      </c>
      <c r="X225" s="261"/>
      <c r="Y225" s="176" t="s">
        <v>838</v>
      </c>
      <c r="Z225" s="176"/>
      <c r="AA225" s="186">
        <v>30000</v>
      </c>
      <c r="AB225" s="186">
        <v>0</v>
      </c>
      <c r="AC225" s="176">
        <v>0</v>
      </c>
      <c r="AD225" s="176">
        <v>0</v>
      </c>
      <c r="AE225" s="186">
        <v>30000</v>
      </c>
      <c r="AF225" s="35">
        <v>30000</v>
      </c>
      <c r="AG225" s="212">
        <v>0</v>
      </c>
      <c r="AH225" s="212">
        <f t="shared" si="32"/>
        <v>6000</v>
      </c>
      <c r="AI225" s="212" t="s">
        <v>307</v>
      </c>
      <c r="AJ225" s="212">
        <v>30000</v>
      </c>
      <c r="AK225" s="212">
        <v>0</v>
      </c>
      <c r="AL225" s="212">
        <v>0</v>
      </c>
      <c r="AM225" s="212">
        <v>0</v>
      </c>
      <c r="AN225" s="212">
        <v>30000</v>
      </c>
      <c r="AO225" s="176">
        <v>0</v>
      </c>
      <c r="AP225" s="176">
        <v>0</v>
      </c>
      <c r="AQ225" s="176">
        <v>0</v>
      </c>
      <c r="AR225" s="212">
        <f t="shared" si="33"/>
        <v>24000</v>
      </c>
      <c r="AS225" s="212">
        <f t="shared" si="34"/>
        <v>0</v>
      </c>
      <c r="AT225" s="473">
        <f t="shared" si="35"/>
        <v>-24000</v>
      </c>
      <c r="AU225" s="477"/>
    </row>
    <row r="226" spans="1:47" s="35" customFormat="1" ht="29" hidden="1" x14ac:dyDescent="0.35">
      <c r="A226" s="35" t="s">
        <v>1196</v>
      </c>
      <c r="B226" s="224" t="s">
        <v>948</v>
      </c>
      <c r="C226" s="222" t="s">
        <v>19</v>
      </c>
      <c r="D226" s="136">
        <v>8470440</v>
      </c>
      <c r="E226" s="137" t="s">
        <v>308</v>
      </c>
      <c r="F226" s="138">
        <v>420550</v>
      </c>
      <c r="G226" s="137" t="s">
        <v>21</v>
      </c>
      <c r="H226" s="137" t="s">
        <v>309</v>
      </c>
      <c r="I226" s="137">
        <v>560000</v>
      </c>
      <c r="J226" s="140">
        <v>560000</v>
      </c>
      <c r="K226" s="147"/>
      <c r="L226" s="142"/>
      <c r="M226" s="143"/>
      <c r="N226" s="144">
        <f t="shared" si="30"/>
        <v>560000</v>
      </c>
      <c r="O226" s="145"/>
      <c r="P226" s="145"/>
      <c r="Q226" s="145"/>
      <c r="R226" s="146"/>
      <c r="S226" s="139">
        <f t="shared" si="31"/>
        <v>560000</v>
      </c>
      <c r="T226" s="172"/>
      <c r="U226" s="137" t="s">
        <v>309</v>
      </c>
      <c r="V226" s="261">
        <f t="shared" si="29"/>
        <v>437410.32800000004</v>
      </c>
      <c r="W226" s="261">
        <f t="shared" si="36"/>
        <v>427120.32800000004</v>
      </c>
      <c r="X226" s="261"/>
      <c r="Y226" s="176" t="s">
        <v>838</v>
      </c>
      <c r="Z226" s="176"/>
      <c r="AA226" s="186">
        <v>560000</v>
      </c>
      <c r="AB226" s="186">
        <v>0</v>
      </c>
      <c r="AC226" s="176">
        <v>0</v>
      </c>
      <c r="AD226" s="176">
        <v>0</v>
      </c>
      <c r="AE226" s="186">
        <v>560000</v>
      </c>
      <c r="AF226" s="35">
        <v>560000</v>
      </c>
      <c r="AG226" s="212">
        <v>0</v>
      </c>
      <c r="AH226" s="212">
        <f t="shared" si="32"/>
        <v>122589.67199999996</v>
      </c>
      <c r="AI226" s="212" t="s">
        <v>309</v>
      </c>
      <c r="AJ226" s="212">
        <v>560000</v>
      </c>
      <c r="AK226" s="212">
        <v>13237.09</v>
      </c>
      <c r="AL226" s="212">
        <v>0</v>
      </c>
      <c r="AM226" s="212">
        <v>0</v>
      </c>
      <c r="AN226" s="212">
        <v>546762.91</v>
      </c>
      <c r="AO226" s="176">
        <v>0</v>
      </c>
      <c r="AP226" s="176">
        <v>10290</v>
      </c>
      <c r="AQ226" s="176">
        <v>0</v>
      </c>
      <c r="AR226" s="212">
        <f t="shared" si="33"/>
        <v>427120.32800000004</v>
      </c>
      <c r="AS226" s="212">
        <f t="shared" si="34"/>
        <v>10290</v>
      </c>
      <c r="AT226" s="473">
        <f t="shared" si="35"/>
        <v>-403593.23800000001</v>
      </c>
      <c r="AU226" s="477"/>
    </row>
    <row r="227" spans="1:47" s="35" customFormat="1" ht="29" hidden="1" x14ac:dyDescent="0.35">
      <c r="A227" s="35" t="s">
        <v>1196</v>
      </c>
      <c r="B227" s="224" t="s">
        <v>948</v>
      </c>
      <c r="C227" s="222" t="s">
        <v>19</v>
      </c>
      <c r="D227" s="136">
        <v>8470440</v>
      </c>
      <c r="E227" s="137" t="s">
        <v>308</v>
      </c>
      <c r="F227" s="138">
        <v>420570</v>
      </c>
      <c r="G227" s="137" t="s">
        <v>23</v>
      </c>
      <c r="H227" s="137" t="s">
        <v>310</v>
      </c>
      <c r="I227" s="137">
        <v>150000</v>
      </c>
      <c r="J227" s="140">
        <v>135000</v>
      </c>
      <c r="K227" s="147"/>
      <c r="L227" s="142"/>
      <c r="M227" s="143"/>
      <c r="N227" s="144">
        <f t="shared" si="30"/>
        <v>135000</v>
      </c>
      <c r="O227" s="145"/>
      <c r="P227" s="145"/>
      <c r="Q227" s="145"/>
      <c r="R227" s="146"/>
      <c r="S227" s="139">
        <f t="shared" si="31"/>
        <v>135000</v>
      </c>
      <c r="T227" s="172"/>
      <c r="U227" s="137" t="s">
        <v>310</v>
      </c>
      <c r="V227" s="261">
        <f t="shared" si="29"/>
        <v>108000</v>
      </c>
      <c r="W227" s="261">
        <f t="shared" si="36"/>
        <v>108000</v>
      </c>
      <c r="X227" s="261"/>
      <c r="Y227" s="176" t="s">
        <v>838</v>
      </c>
      <c r="Z227" s="176"/>
      <c r="AA227" s="186">
        <v>135000</v>
      </c>
      <c r="AB227" s="186">
        <v>0</v>
      </c>
      <c r="AC227" s="176">
        <v>0</v>
      </c>
      <c r="AD227" s="176">
        <v>0</v>
      </c>
      <c r="AE227" s="186">
        <v>135000</v>
      </c>
      <c r="AF227" s="35">
        <v>135000</v>
      </c>
      <c r="AG227" s="212">
        <v>0</v>
      </c>
      <c r="AH227" s="212">
        <f t="shared" si="32"/>
        <v>27000</v>
      </c>
      <c r="AI227" s="212" t="s">
        <v>310</v>
      </c>
      <c r="AJ227" s="212">
        <v>135000</v>
      </c>
      <c r="AK227" s="212">
        <v>0</v>
      </c>
      <c r="AL227" s="212">
        <v>0</v>
      </c>
      <c r="AM227" s="212">
        <v>0</v>
      </c>
      <c r="AN227" s="212">
        <v>135000</v>
      </c>
      <c r="AO227" s="176">
        <v>0</v>
      </c>
      <c r="AP227" s="176">
        <v>0</v>
      </c>
      <c r="AQ227" s="176">
        <v>0</v>
      </c>
      <c r="AR227" s="212">
        <f t="shared" si="33"/>
        <v>108000</v>
      </c>
      <c r="AS227" s="212">
        <f t="shared" si="34"/>
        <v>0</v>
      </c>
      <c r="AT227" s="473">
        <f t="shared" si="35"/>
        <v>-108000</v>
      </c>
      <c r="AU227" s="477"/>
    </row>
    <row r="228" spans="1:47" s="35" customFormat="1" ht="29" hidden="1" x14ac:dyDescent="0.35">
      <c r="A228" s="35" t="s">
        <v>1196</v>
      </c>
      <c r="B228" s="224" t="s">
        <v>948</v>
      </c>
      <c r="C228" s="222" t="s">
        <v>19</v>
      </c>
      <c r="D228" s="136">
        <v>8470440</v>
      </c>
      <c r="E228" s="137" t="s">
        <v>308</v>
      </c>
      <c r="F228" s="138">
        <v>421700</v>
      </c>
      <c r="G228" s="137" t="s">
        <v>29</v>
      </c>
      <c r="H228" s="137" t="s">
        <v>311</v>
      </c>
      <c r="I228" s="137">
        <v>280000</v>
      </c>
      <c r="J228" s="140">
        <v>280000</v>
      </c>
      <c r="K228" s="147"/>
      <c r="L228" s="142"/>
      <c r="M228" s="143"/>
      <c r="N228" s="144">
        <f t="shared" si="30"/>
        <v>280000</v>
      </c>
      <c r="O228" s="145"/>
      <c r="P228" s="145"/>
      <c r="Q228" s="145"/>
      <c r="R228" s="146"/>
      <c r="S228" s="139">
        <f t="shared" si="31"/>
        <v>280000</v>
      </c>
      <c r="T228" s="172"/>
      <c r="U228" s="137" t="s">
        <v>311</v>
      </c>
      <c r="V228" s="261">
        <f t="shared" si="29"/>
        <v>224000</v>
      </c>
      <c r="W228" s="261">
        <f t="shared" si="36"/>
        <v>224000</v>
      </c>
      <c r="X228" s="261"/>
      <c r="Y228" s="176" t="s">
        <v>838</v>
      </c>
      <c r="Z228" s="176"/>
      <c r="AA228" s="186">
        <v>280000</v>
      </c>
      <c r="AB228" s="186">
        <v>0</v>
      </c>
      <c r="AC228" s="176">
        <v>0</v>
      </c>
      <c r="AD228" s="176">
        <v>0</v>
      </c>
      <c r="AE228" s="186">
        <v>280000</v>
      </c>
      <c r="AF228" s="35">
        <v>280000</v>
      </c>
      <c r="AG228" s="212">
        <v>0</v>
      </c>
      <c r="AH228" s="212">
        <f t="shared" si="32"/>
        <v>56000</v>
      </c>
      <c r="AI228" s="212" t="s">
        <v>311</v>
      </c>
      <c r="AJ228" s="212">
        <v>280000</v>
      </c>
      <c r="AK228" s="212">
        <v>0</v>
      </c>
      <c r="AL228" s="212">
        <v>0</v>
      </c>
      <c r="AM228" s="212">
        <v>0</v>
      </c>
      <c r="AN228" s="212">
        <v>280000</v>
      </c>
      <c r="AO228" s="176">
        <v>0</v>
      </c>
      <c r="AP228" s="176">
        <v>0</v>
      </c>
      <c r="AQ228" s="176">
        <v>0</v>
      </c>
      <c r="AR228" s="212">
        <f t="shared" si="33"/>
        <v>224000</v>
      </c>
      <c r="AS228" s="212">
        <f t="shared" si="34"/>
        <v>0</v>
      </c>
      <c r="AT228" s="473">
        <f t="shared" si="35"/>
        <v>-224000</v>
      </c>
      <c r="AU228" s="477"/>
    </row>
    <row r="229" spans="1:47" s="35" customFormat="1" ht="29" hidden="1" x14ac:dyDescent="0.35">
      <c r="A229" s="35" t="s">
        <v>1196</v>
      </c>
      <c r="B229" s="224" t="s">
        <v>948</v>
      </c>
      <c r="C229" s="222" t="s">
        <v>19</v>
      </c>
      <c r="D229" s="136">
        <v>8470440</v>
      </c>
      <c r="E229" s="137" t="s">
        <v>308</v>
      </c>
      <c r="F229" s="138">
        <v>425100</v>
      </c>
      <c r="G229" s="137" t="s">
        <v>55</v>
      </c>
      <c r="H229" s="137" t="s">
        <v>312</v>
      </c>
      <c r="I229" s="137">
        <v>10000</v>
      </c>
      <c r="J229" s="140">
        <v>10000</v>
      </c>
      <c r="K229" s="147"/>
      <c r="L229" s="142"/>
      <c r="M229" s="143"/>
      <c r="N229" s="144">
        <f t="shared" si="30"/>
        <v>10000</v>
      </c>
      <c r="O229" s="145"/>
      <c r="P229" s="145"/>
      <c r="Q229" s="145"/>
      <c r="R229" s="146"/>
      <c r="S229" s="139">
        <f t="shared" si="31"/>
        <v>10000</v>
      </c>
      <c r="T229" s="172"/>
      <c r="U229" s="137" t="s">
        <v>312</v>
      </c>
      <c r="V229" s="261">
        <f t="shared" si="29"/>
        <v>8000</v>
      </c>
      <c r="W229" s="261">
        <f t="shared" si="36"/>
        <v>8000</v>
      </c>
      <c r="X229" s="261"/>
      <c r="Y229" s="176" t="s">
        <v>838</v>
      </c>
      <c r="Z229" s="176"/>
      <c r="AA229" s="186">
        <v>10000</v>
      </c>
      <c r="AB229" s="186">
        <v>0</v>
      </c>
      <c r="AC229" s="176">
        <v>0</v>
      </c>
      <c r="AD229" s="176">
        <v>0</v>
      </c>
      <c r="AE229" s="186">
        <v>10000</v>
      </c>
      <c r="AF229" s="35">
        <v>10000</v>
      </c>
      <c r="AG229" s="212">
        <v>0</v>
      </c>
      <c r="AH229" s="212">
        <f t="shared" si="32"/>
        <v>2000</v>
      </c>
      <c r="AI229" s="212" t="s">
        <v>312</v>
      </c>
      <c r="AJ229" s="212">
        <v>10000</v>
      </c>
      <c r="AK229" s="212">
        <v>0</v>
      </c>
      <c r="AL229" s="212">
        <v>0</v>
      </c>
      <c r="AM229" s="212">
        <v>0</v>
      </c>
      <c r="AN229" s="212">
        <v>10000</v>
      </c>
      <c r="AO229" s="176">
        <v>0</v>
      </c>
      <c r="AP229" s="176">
        <v>0</v>
      </c>
      <c r="AQ229" s="176">
        <v>0</v>
      </c>
      <c r="AR229" s="212">
        <f t="shared" si="33"/>
        <v>8000</v>
      </c>
      <c r="AS229" s="212">
        <f t="shared" si="34"/>
        <v>0</v>
      </c>
      <c r="AT229" s="473">
        <f t="shared" si="35"/>
        <v>-8000</v>
      </c>
      <c r="AU229" s="477"/>
    </row>
    <row r="230" spans="1:47" s="35" customFormat="1" ht="29" hidden="1" x14ac:dyDescent="0.35">
      <c r="A230" s="35" t="s">
        <v>1196</v>
      </c>
      <c r="B230" s="224" t="s">
        <v>948</v>
      </c>
      <c r="C230" s="222" t="s">
        <v>19</v>
      </c>
      <c r="D230" s="136">
        <v>8470440</v>
      </c>
      <c r="E230" s="137" t="s">
        <v>308</v>
      </c>
      <c r="F230" s="138">
        <v>425510</v>
      </c>
      <c r="G230" s="137" t="s">
        <v>31</v>
      </c>
      <c r="H230" s="137" t="s">
        <v>313</v>
      </c>
      <c r="I230" s="137">
        <v>225000</v>
      </c>
      <c r="J230" s="140">
        <v>225000</v>
      </c>
      <c r="K230" s="147"/>
      <c r="L230" s="142"/>
      <c r="M230" s="143"/>
      <c r="N230" s="144">
        <f t="shared" si="30"/>
        <v>225000</v>
      </c>
      <c r="O230" s="145"/>
      <c r="P230" s="145"/>
      <c r="Q230" s="145"/>
      <c r="R230" s="146"/>
      <c r="S230" s="139">
        <f t="shared" si="31"/>
        <v>225000</v>
      </c>
      <c r="T230" s="172"/>
      <c r="U230" s="137" t="s">
        <v>313</v>
      </c>
      <c r="V230" s="261">
        <f t="shared" si="29"/>
        <v>174712</v>
      </c>
      <c r="W230" s="261">
        <f t="shared" si="36"/>
        <v>174712</v>
      </c>
      <c r="X230" s="261"/>
      <c r="Y230" s="176" t="s">
        <v>838</v>
      </c>
      <c r="Z230" s="176"/>
      <c r="AA230" s="186">
        <v>225000</v>
      </c>
      <c r="AB230" s="186">
        <v>6610</v>
      </c>
      <c r="AC230" s="176">
        <v>0</v>
      </c>
      <c r="AD230" s="176">
        <v>0</v>
      </c>
      <c r="AE230" s="186">
        <v>218390</v>
      </c>
      <c r="AF230" s="35">
        <v>218390</v>
      </c>
      <c r="AG230" s="212">
        <v>0</v>
      </c>
      <c r="AH230" s="212">
        <f t="shared" si="32"/>
        <v>43678</v>
      </c>
      <c r="AI230" s="212" t="s">
        <v>313</v>
      </c>
      <c r="AJ230" s="212">
        <v>225000</v>
      </c>
      <c r="AK230" s="212">
        <v>6610</v>
      </c>
      <c r="AL230" s="212">
        <v>0</v>
      </c>
      <c r="AM230" s="212">
        <v>0</v>
      </c>
      <c r="AN230" s="212">
        <v>218390</v>
      </c>
      <c r="AO230" s="176">
        <v>0</v>
      </c>
      <c r="AP230" s="176">
        <v>0</v>
      </c>
      <c r="AQ230" s="176">
        <v>0</v>
      </c>
      <c r="AR230" s="212">
        <f t="shared" si="33"/>
        <v>174712</v>
      </c>
      <c r="AS230" s="212">
        <f t="shared" si="34"/>
        <v>6610</v>
      </c>
      <c r="AT230" s="473">
        <f t="shared" si="35"/>
        <v>-168102</v>
      </c>
      <c r="AU230" s="477"/>
    </row>
    <row r="231" spans="1:47" s="35" customFormat="1" ht="29" hidden="1" x14ac:dyDescent="0.35">
      <c r="A231" s="35" t="s">
        <v>1196</v>
      </c>
      <c r="B231" s="224" t="s">
        <v>948</v>
      </c>
      <c r="C231" s="222" t="s">
        <v>19</v>
      </c>
      <c r="D231" s="136">
        <v>8470440</v>
      </c>
      <c r="E231" s="137" t="s">
        <v>308</v>
      </c>
      <c r="F231" s="138">
        <v>425550</v>
      </c>
      <c r="G231" s="137" t="s">
        <v>33</v>
      </c>
      <c r="H231" s="137" t="s">
        <v>314</v>
      </c>
      <c r="I231" s="137">
        <v>225000</v>
      </c>
      <c r="J231" s="140">
        <v>225000</v>
      </c>
      <c r="K231" s="147"/>
      <c r="L231" s="142"/>
      <c r="M231" s="143"/>
      <c r="N231" s="144">
        <f t="shared" si="30"/>
        <v>225000</v>
      </c>
      <c r="O231" s="145"/>
      <c r="P231" s="145"/>
      <c r="Q231" s="145"/>
      <c r="R231" s="146"/>
      <c r="S231" s="139">
        <f t="shared" si="31"/>
        <v>225000</v>
      </c>
      <c r="T231" s="172"/>
      <c r="U231" s="137" t="s">
        <v>314</v>
      </c>
      <c r="V231" s="261">
        <f t="shared" si="29"/>
        <v>160462.63200000001</v>
      </c>
      <c r="W231" s="261">
        <f t="shared" si="36"/>
        <v>143870.03200000001</v>
      </c>
      <c r="X231" s="261"/>
      <c r="Y231" s="176" t="s">
        <v>838</v>
      </c>
      <c r="Z231" s="176"/>
      <c r="AA231" s="186">
        <v>225000</v>
      </c>
      <c r="AB231" s="186">
        <v>17930</v>
      </c>
      <c r="AC231" s="176">
        <v>0</v>
      </c>
      <c r="AD231" s="176">
        <v>0</v>
      </c>
      <c r="AE231" s="186">
        <v>207070</v>
      </c>
      <c r="AF231" s="35">
        <v>207070</v>
      </c>
      <c r="AG231" s="212">
        <v>0</v>
      </c>
      <c r="AH231" s="212">
        <f t="shared" si="32"/>
        <v>46607.367999999988</v>
      </c>
      <c r="AI231" s="212" t="s">
        <v>314</v>
      </c>
      <c r="AJ231" s="212">
        <v>225000</v>
      </c>
      <c r="AK231" s="212">
        <v>24421.71</v>
      </c>
      <c r="AL231" s="212">
        <v>0</v>
      </c>
      <c r="AM231" s="212">
        <v>0</v>
      </c>
      <c r="AN231" s="212">
        <v>200578.29</v>
      </c>
      <c r="AO231" s="176">
        <v>2350</v>
      </c>
      <c r="AP231" s="176">
        <v>0</v>
      </c>
      <c r="AQ231" s="176">
        <v>14242.6</v>
      </c>
      <c r="AR231" s="212">
        <f t="shared" si="33"/>
        <v>143870.03200000001</v>
      </c>
      <c r="AS231" s="212">
        <f t="shared" si="34"/>
        <v>34522.6</v>
      </c>
      <c r="AT231" s="473">
        <f t="shared" si="35"/>
        <v>-102855.72200000001</v>
      </c>
      <c r="AU231" s="477"/>
    </row>
    <row r="232" spans="1:47" s="35" customFormat="1" ht="29" hidden="1" x14ac:dyDescent="0.35">
      <c r="A232" s="35" t="s">
        <v>1196</v>
      </c>
      <c r="B232" s="224" t="s">
        <v>948</v>
      </c>
      <c r="C232" s="222" t="s">
        <v>19</v>
      </c>
      <c r="D232" s="136">
        <v>8470440</v>
      </c>
      <c r="E232" s="137" t="s">
        <v>308</v>
      </c>
      <c r="F232" s="138">
        <v>425761</v>
      </c>
      <c r="G232" s="137" t="s">
        <v>110</v>
      </c>
      <c r="H232" s="137" t="s">
        <v>315</v>
      </c>
      <c r="I232" s="137">
        <v>750000</v>
      </c>
      <c r="J232" s="140">
        <v>750000</v>
      </c>
      <c r="K232" s="147"/>
      <c r="L232" s="142"/>
      <c r="M232" s="143"/>
      <c r="N232" s="144">
        <f t="shared" si="30"/>
        <v>750000</v>
      </c>
      <c r="O232" s="145"/>
      <c r="P232" s="145"/>
      <c r="Q232" s="145"/>
      <c r="R232" s="146"/>
      <c r="S232" s="139">
        <f t="shared" si="31"/>
        <v>750000</v>
      </c>
      <c r="T232" s="172"/>
      <c r="U232" s="137" t="s">
        <v>315</v>
      </c>
      <c r="V232" s="261">
        <f t="shared" si="29"/>
        <v>600000</v>
      </c>
      <c r="W232" s="261">
        <f t="shared" si="36"/>
        <v>600000</v>
      </c>
      <c r="X232" s="261"/>
      <c r="Y232" s="176" t="s">
        <v>838</v>
      </c>
      <c r="Z232" s="176"/>
      <c r="AA232" s="186">
        <v>750000</v>
      </c>
      <c r="AB232" s="186">
        <v>0</v>
      </c>
      <c r="AC232" s="176">
        <v>0</v>
      </c>
      <c r="AD232" s="176">
        <v>0</v>
      </c>
      <c r="AE232" s="186">
        <v>750000</v>
      </c>
      <c r="AF232" s="35">
        <v>750000</v>
      </c>
      <c r="AG232" s="212">
        <v>0</v>
      </c>
      <c r="AH232" s="212">
        <f t="shared" si="32"/>
        <v>150000</v>
      </c>
      <c r="AI232" s="212" t="s">
        <v>315</v>
      </c>
      <c r="AJ232" s="212">
        <v>750000</v>
      </c>
      <c r="AK232" s="212">
        <v>0</v>
      </c>
      <c r="AL232" s="212">
        <v>0</v>
      </c>
      <c r="AM232" s="212">
        <v>0</v>
      </c>
      <c r="AN232" s="212">
        <v>750000</v>
      </c>
      <c r="AO232" s="176">
        <v>0</v>
      </c>
      <c r="AP232" s="176">
        <v>0</v>
      </c>
      <c r="AQ232" s="176">
        <v>0</v>
      </c>
      <c r="AR232" s="212">
        <f t="shared" si="33"/>
        <v>600000</v>
      </c>
      <c r="AS232" s="212">
        <f t="shared" si="34"/>
        <v>0</v>
      </c>
      <c r="AT232" s="473">
        <f t="shared" si="35"/>
        <v>-600000</v>
      </c>
      <c r="AU232" s="477"/>
    </row>
    <row r="233" spans="1:47" s="35" customFormat="1" ht="29" hidden="1" x14ac:dyDescent="0.35">
      <c r="A233" s="35" t="s">
        <v>1196</v>
      </c>
      <c r="B233" s="224" t="s">
        <v>948</v>
      </c>
      <c r="C233" s="222" t="s">
        <v>19</v>
      </c>
      <c r="D233" s="136">
        <v>8470440</v>
      </c>
      <c r="E233" s="137" t="s">
        <v>308</v>
      </c>
      <c r="F233" s="138">
        <v>425770</v>
      </c>
      <c r="G233" s="137" t="s">
        <v>74</v>
      </c>
      <c r="H233" s="137" t="s">
        <v>316</v>
      </c>
      <c r="I233" s="137">
        <v>300000</v>
      </c>
      <c r="J233" s="140">
        <v>170408</v>
      </c>
      <c r="K233" s="141">
        <v>104827.92</v>
      </c>
      <c r="L233" s="142"/>
      <c r="M233" s="143"/>
      <c r="N233" s="144">
        <f t="shared" si="30"/>
        <v>65580.08</v>
      </c>
      <c r="O233" s="145"/>
      <c r="P233" s="145"/>
      <c r="Q233" s="145"/>
      <c r="R233" s="146"/>
      <c r="S233" s="139">
        <f t="shared" si="31"/>
        <v>65580.08</v>
      </c>
      <c r="T233" s="172"/>
      <c r="U233" s="137" t="s">
        <v>316</v>
      </c>
      <c r="V233" s="261">
        <f t="shared" si="29"/>
        <v>1051.2</v>
      </c>
      <c r="W233" s="261">
        <f t="shared" si="36"/>
        <v>-24037.24</v>
      </c>
      <c r="X233" s="261"/>
      <c r="Y233" s="176" t="s">
        <v>838</v>
      </c>
      <c r="Z233" s="176"/>
      <c r="AA233" s="186">
        <v>170408</v>
      </c>
      <c r="AB233" s="186">
        <v>152044.67000000001</v>
      </c>
      <c r="AC233" s="176">
        <v>0</v>
      </c>
      <c r="AD233" s="176">
        <v>0</v>
      </c>
      <c r="AE233" s="186">
        <v>18363.329999999987</v>
      </c>
      <c r="AF233" s="35">
        <v>18363.330000000002</v>
      </c>
      <c r="AG233" s="212">
        <v>0</v>
      </c>
      <c r="AH233" s="212">
        <f t="shared" si="32"/>
        <v>17312.129999999986</v>
      </c>
      <c r="AI233" s="212" t="s">
        <v>316</v>
      </c>
      <c r="AJ233" s="212">
        <v>170408</v>
      </c>
      <c r="AK233" s="212">
        <v>169094</v>
      </c>
      <c r="AL233" s="212">
        <v>0</v>
      </c>
      <c r="AM233" s="212">
        <v>0</v>
      </c>
      <c r="AN233" s="212">
        <v>1314</v>
      </c>
      <c r="AO233" s="176">
        <v>2013</v>
      </c>
      <c r="AP233" s="176">
        <v>0</v>
      </c>
      <c r="AQ233" s="176">
        <v>23075.440000000002</v>
      </c>
      <c r="AR233" s="212">
        <f t="shared" si="33"/>
        <v>-24037.24</v>
      </c>
      <c r="AS233" s="212">
        <f t="shared" si="34"/>
        <v>177133.11000000002</v>
      </c>
      <c r="AT233" s="473">
        <f t="shared" si="35"/>
        <v>218219.68</v>
      </c>
      <c r="AU233" s="477"/>
    </row>
    <row r="234" spans="1:47" s="35" customFormat="1" ht="29" hidden="1" x14ac:dyDescent="0.35">
      <c r="A234" s="35" t="s">
        <v>1196</v>
      </c>
      <c r="B234" s="224" t="s">
        <v>948</v>
      </c>
      <c r="C234" s="222" t="s">
        <v>19</v>
      </c>
      <c r="D234" s="136">
        <v>8470440</v>
      </c>
      <c r="E234" s="137" t="s">
        <v>308</v>
      </c>
      <c r="F234" s="138">
        <v>425900</v>
      </c>
      <c r="G234" s="137" t="s">
        <v>35</v>
      </c>
      <c r="H234" s="137" t="s">
        <v>317</v>
      </c>
      <c r="I234" s="137">
        <v>24000</v>
      </c>
      <c r="J234" s="140">
        <v>24000</v>
      </c>
      <c r="K234" s="147"/>
      <c r="L234" s="142"/>
      <c r="M234" s="143"/>
      <c r="N234" s="144">
        <f t="shared" si="30"/>
        <v>24000</v>
      </c>
      <c r="O234" s="145"/>
      <c r="P234" s="145"/>
      <c r="Q234" s="145"/>
      <c r="R234" s="146"/>
      <c r="S234" s="139">
        <f t="shared" si="31"/>
        <v>24000</v>
      </c>
      <c r="T234" s="172"/>
      <c r="U234" s="137" t="s">
        <v>317</v>
      </c>
      <c r="V234" s="261">
        <f t="shared" si="29"/>
        <v>19200</v>
      </c>
      <c r="W234" s="261">
        <f t="shared" si="36"/>
        <v>19200</v>
      </c>
      <c r="X234" s="261"/>
      <c r="Y234" s="176" t="s">
        <v>838</v>
      </c>
      <c r="Z234" s="176"/>
      <c r="AA234" s="186">
        <v>24000</v>
      </c>
      <c r="AB234" s="186">
        <v>0</v>
      </c>
      <c r="AC234" s="176">
        <v>0</v>
      </c>
      <c r="AD234" s="176">
        <v>0</v>
      </c>
      <c r="AE234" s="186">
        <v>24000</v>
      </c>
      <c r="AF234" s="35">
        <v>24000</v>
      </c>
      <c r="AG234" s="212">
        <v>0</v>
      </c>
      <c r="AH234" s="212">
        <f t="shared" si="32"/>
        <v>4800</v>
      </c>
      <c r="AI234" s="212" t="s">
        <v>317</v>
      </c>
      <c r="AJ234" s="212">
        <v>24000</v>
      </c>
      <c r="AK234" s="212">
        <v>0</v>
      </c>
      <c r="AL234" s="212">
        <v>0</v>
      </c>
      <c r="AM234" s="212">
        <v>0</v>
      </c>
      <c r="AN234" s="212">
        <v>24000</v>
      </c>
      <c r="AO234" s="176">
        <v>0</v>
      </c>
      <c r="AP234" s="176">
        <v>0</v>
      </c>
      <c r="AQ234" s="176">
        <v>0</v>
      </c>
      <c r="AR234" s="212">
        <f t="shared" si="33"/>
        <v>19200</v>
      </c>
      <c r="AS234" s="212">
        <f t="shared" si="34"/>
        <v>0</v>
      </c>
      <c r="AT234" s="473">
        <f t="shared" si="35"/>
        <v>-19200</v>
      </c>
      <c r="AU234" s="477"/>
    </row>
    <row r="235" spans="1:47" s="35" customFormat="1" ht="29" hidden="1" x14ac:dyDescent="0.35">
      <c r="A235" s="35" t="s">
        <v>1196</v>
      </c>
      <c r="B235" s="224" t="s">
        <v>948</v>
      </c>
      <c r="C235" s="222" t="s">
        <v>19</v>
      </c>
      <c r="D235" s="136">
        <v>8470440</v>
      </c>
      <c r="E235" s="137" t="s">
        <v>308</v>
      </c>
      <c r="F235" s="138">
        <v>426610</v>
      </c>
      <c r="G235" s="137" t="s">
        <v>37</v>
      </c>
      <c r="H235" s="137" t="s">
        <v>318</v>
      </c>
      <c r="I235" s="137">
        <v>120000</v>
      </c>
      <c r="J235" s="140">
        <v>120000</v>
      </c>
      <c r="K235" s="141">
        <v>8988.7800000000007</v>
      </c>
      <c r="L235" s="148">
        <v>0</v>
      </c>
      <c r="M235" s="140">
        <v>0</v>
      </c>
      <c r="N235" s="144">
        <f t="shared" si="30"/>
        <v>111011.22</v>
      </c>
      <c r="O235" s="145"/>
      <c r="P235" s="145"/>
      <c r="Q235" s="145"/>
      <c r="R235" s="146"/>
      <c r="S235" s="139">
        <f t="shared" si="31"/>
        <v>111011.22</v>
      </c>
      <c r="T235" s="172"/>
      <c r="U235" s="137" t="s">
        <v>318</v>
      </c>
      <c r="V235" s="261">
        <f t="shared" si="29"/>
        <v>77936.895999999993</v>
      </c>
      <c r="W235" s="261">
        <f t="shared" si="36"/>
        <v>77936.895999999993</v>
      </c>
      <c r="X235" s="261"/>
      <c r="Y235" s="176" t="s">
        <v>838</v>
      </c>
      <c r="Z235" s="176"/>
      <c r="AA235" s="186">
        <v>120000</v>
      </c>
      <c r="AB235" s="186">
        <v>8988.7800000000007</v>
      </c>
      <c r="AC235" s="176">
        <v>0</v>
      </c>
      <c r="AD235" s="176">
        <v>0</v>
      </c>
      <c r="AE235" s="186">
        <v>111011.22</v>
      </c>
      <c r="AF235" s="35">
        <v>111011.22</v>
      </c>
      <c r="AG235" s="212">
        <v>0</v>
      </c>
      <c r="AH235" s="212">
        <f t="shared" si="32"/>
        <v>33074.324000000008</v>
      </c>
      <c r="AI235" s="212" t="s">
        <v>318</v>
      </c>
      <c r="AJ235" s="212">
        <v>120000</v>
      </c>
      <c r="AK235" s="212">
        <v>8988.7800000000007</v>
      </c>
      <c r="AL235" s="212">
        <v>13590.1</v>
      </c>
      <c r="AM235" s="212">
        <v>0</v>
      </c>
      <c r="AN235" s="212">
        <v>97421.119999999995</v>
      </c>
      <c r="AO235" s="176">
        <v>0</v>
      </c>
      <c r="AP235" s="176">
        <v>0</v>
      </c>
      <c r="AQ235" s="176">
        <v>0</v>
      </c>
      <c r="AR235" s="212">
        <f t="shared" si="33"/>
        <v>77936.895999999993</v>
      </c>
      <c r="AS235" s="212">
        <f t="shared" si="34"/>
        <v>8988.7800000000007</v>
      </c>
      <c r="AT235" s="473">
        <f t="shared" si="35"/>
        <v>-55358.015999999989</v>
      </c>
      <c r="AU235" s="477"/>
    </row>
    <row r="236" spans="1:47" s="35" customFormat="1" ht="29" hidden="1" x14ac:dyDescent="0.35">
      <c r="A236" s="35" t="s">
        <v>1196</v>
      </c>
      <c r="B236" s="224" t="s">
        <v>948</v>
      </c>
      <c r="C236" s="222" t="s">
        <v>19</v>
      </c>
      <c r="D236" s="136">
        <v>8470440</v>
      </c>
      <c r="E236" s="137" t="s">
        <v>308</v>
      </c>
      <c r="F236" s="138">
        <v>427710</v>
      </c>
      <c r="G236" s="137" t="s">
        <v>51</v>
      </c>
      <c r="H236" s="137" t="s">
        <v>319</v>
      </c>
      <c r="I236" s="137">
        <v>15000</v>
      </c>
      <c r="J236" s="140">
        <v>15000</v>
      </c>
      <c r="K236" s="147"/>
      <c r="L236" s="142"/>
      <c r="M236" s="143"/>
      <c r="N236" s="144">
        <f t="shared" si="30"/>
        <v>15000</v>
      </c>
      <c r="O236" s="145"/>
      <c r="P236" s="145"/>
      <c r="Q236" s="145"/>
      <c r="R236" s="146"/>
      <c r="S236" s="139">
        <f t="shared" si="31"/>
        <v>15000</v>
      </c>
      <c r="T236" s="172"/>
      <c r="U236" s="137" t="s">
        <v>319</v>
      </c>
      <c r="V236" s="261">
        <f t="shared" si="29"/>
        <v>12000</v>
      </c>
      <c r="W236" s="261">
        <f t="shared" si="36"/>
        <v>12000</v>
      </c>
      <c r="X236" s="261"/>
      <c r="Y236" s="176" t="s">
        <v>838</v>
      </c>
      <c r="Z236" s="176"/>
      <c r="AA236" s="186">
        <v>15000</v>
      </c>
      <c r="AB236" s="186">
        <v>0</v>
      </c>
      <c r="AC236" s="176">
        <v>0</v>
      </c>
      <c r="AD236" s="176">
        <v>0</v>
      </c>
      <c r="AE236" s="186">
        <v>15000</v>
      </c>
      <c r="AF236" s="35">
        <v>15000</v>
      </c>
      <c r="AG236" s="212">
        <v>0</v>
      </c>
      <c r="AH236" s="212">
        <f t="shared" si="32"/>
        <v>3000</v>
      </c>
      <c r="AI236" s="212" t="s">
        <v>319</v>
      </c>
      <c r="AJ236" s="212">
        <v>15000</v>
      </c>
      <c r="AK236" s="212">
        <v>0</v>
      </c>
      <c r="AL236" s="212">
        <v>0</v>
      </c>
      <c r="AM236" s="212">
        <v>0</v>
      </c>
      <c r="AN236" s="212">
        <v>15000</v>
      </c>
      <c r="AO236" s="176">
        <v>0</v>
      </c>
      <c r="AP236" s="176">
        <v>0</v>
      </c>
      <c r="AQ236" s="176">
        <v>0</v>
      </c>
      <c r="AR236" s="212">
        <f t="shared" si="33"/>
        <v>12000</v>
      </c>
      <c r="AS236" s="212">
        <f t="shared" si="34"/>
        <v>0</v>
      </c>
      <c r="AT236" s="473">
        <f t="shared" si="35"/>
        <v>-12000</v>
      </c>
      <c r="AU236" s="477"/>
    </row>
    <row r="237" spans="1:47" s="35" customFormat="1" ht="29" hidden="1" x14ac:dyDescent="0.35">
      <c r="A237" s="35" t="s">
        <v>1196</v>
      </c>
      <c r="B237" s="224" t="s">
        <v>948</v>
      </c>
      <c r="C237" s="222" t="s">
        <v>19</v>
      </c>
      <c r="D237" s="136">
        <v>8470440</v>
      </c>
      <c r="E237" s="137" t="s">
        <v>308</v>
      </c>
      <c r="F237" s="138">
        <v>428090</v>
      </c>
      <c r="G237" s="137" t="s">
        <v>39</v>
      </c>
      <c r="H237" s="137" t="s">
        <v>320</v>
      </c>
      <c r="I237" s="137">
        <v>225000</v>
      </c>
      <c r="J237" s="140">
        <v>61304</v>
      </c>
      <c r="K237" s="147"/>
      <c r="L237" s="142"/>
      <c r="M237" s="143"/>
      <c r="N237" s="144">
        <f t="shared" si="30"/>
        <v>61304</v>
      </c>
      <c r="O237" s="145"/>
      <c r="P237" s="145"/>
      <c r="Q237" s="145"/>
      <c r="R237" s="146"/>
      <c r="S237" s="139">
        <f t="shared" si="31"/>
        <v>61304</v>
      </c>
      <c r="T237" s="172"/>
      <c r="U237" s="137" t="s">
        <v>320</v>
      </c>
      <c r="V237" s="261">
        <f t="shared" si="29"/>
        <v>49043.200000000004</v>
      </c>
      <c r="W237" s="261">
        <f t="shared" si="36"/>
        <v>44824.950000000004</v>
      </c>
      <c r="X237" s="261"/>
      <c r="Y237" s="176" t="s">
        <v>838</v>
      </c>
      <c r="Z237" s="176"/>
      <c r="AA237" s="186">
        <v>61304</v>
      </c>
      <c r="AB237" s="186">
        <v>0</v>
      </c>
      <c r="AC237" s="176">
        <v>0</v>
      </c>
      <c r="AD237" s="176">
        <v>0</v>
      </c>
      <c r="AE237" s="186">
        <v>61304</v>
      </c>
      <c r="AF237" s="35">
        <v>61304</v>
      </c>
      <c r="AG237" s="212">
        <v>0</v>
      </c>
      <c r="AH237" s="212">
        <f t="shared" si="32"/>
        <v>12260.799999999996</v>
      </c>
      <c r="AI237" s="212" t="s">
        <v>320</v>
      </c>
      <c r="AJ237" s="212">
        <v>61304</v>
      </c>
      <c r="AK237" s="212">
        <v>0</v>
      </c>
      <c r="AL237" s="212">
        <v>0</v>
      </c>
      <c r="AM237" s="212">
        <v>0</v>
      </c>
      <c r="AN237" s="212">
        <v>61304</v>
      </c>
      <c r="AO237" s="176">
        <v>0</v>
      </c>
      <c r="AP237" s="176">
        <v>0</v>
      </c>
      <c r="AQ237" s="176">
        <v>4218.25</v>
      </c>
      <c r="AR237" s="212">
        <f t="shared" si="33"/>
        <v>44824.950000000004</v>
      </c>
      <c r="AS237" s="212">
        <f t="shared" si="34"/>
        <v>4218.25</v>
      </c>
      <c r="AT237" s="473">
        <f t="shared" si="35"/>
        <v>-40606.700000000004</v>
      </c>
      <c r="AU237" s="477"/>
    </row>
    <row r="238" spans="1:47" s="35" customFormat="1" ht="29" hidden="1" x14ac:dyDescent="0.35">
      <c r="A238" s="35" t="s">
        <v>1196</v>
      </c>
      <c r="B238" s="224" t="s">
        <v>948</v>
      </c>
      <c r="C238" s="222" t="s">
        <v>19</v>
      </c>
      <c r="D238" s="136">
        <v>8470440</v>
      </c>
      <c r="E238" s="137" t="s">
        <v>308</v>
      </c>
      <c r="F238" s="138">
        <v>428640</v>
      </c>
      <c r="G238" s="137" t="s">
        <v>43</v>
      </c>
      <c r="H238" s="137" t="s">
        <v>321</v>
      </c>
      <c r="I238" s="137">
        <v>100000</v>
      </c>
      <c r="J238" s="140">
        <v>50745</v>
      </c>
      <c r="K238" s="147"/>
      <c r="L238" s="142"/>
      <c r="M238" s="143"/>
      <c r="N238" s="144">
        <f t="shared" si="30"/>
        <v>50745</v>
      </c>
      <c r="O238" s="145"/>
      <c r="P238" s="145"/>
      <c r="Q238" s="145"/>
      <c r="R238" s="146"/>
      <c r="S238" s="139">
        <f t="shared" si="31"/>
        <v>50745</v>
      </c>
      <c r="T238" s="172"/>
      <c r="U238" s="137" t="s">
        <v>321</v>
      </c>
      <c r="V238" s="261">
        <f t="shared" si="29"/>
        <v>38857.200000000004</v>
      </c>
      <c r="W238" s="261">
        <f t="shared" si="36"/>
        <v>38857.200000000004</v>
      </c>
      <c r="X238" s="261"/>
      <c r="Y238" s="176" t="s">
        <v>838</v>
      </c>
      <c r="Z238" s="176"/>
      <c r="AA238" s="186">
        <v>50745</v>
      </c>
      <c r="AB238" s="186">
        <v>2070</v>
      </c>
      <c r="AC238" s="176">
        <v>0</v>
      </c>
      <c r="AD238" s="176">
        <v>0</v>
      </c>
      <c r="AE238" s="186">
        <v>48675</v>
      </c>
      <c r="AF238" s="35">
        <v>48675</v>
      </c>
      <c r="AG238" s="212">
        <v>0</v>
      </c>
      <c r="AH238" s="212">
        <f t="shared" si="32"/>
        <v>9817.7999999999956</v>
      </c>
      <c r="AI238" s="212" t="s">
        <v>321</v>
      </c>
      <c r="AJ238" s="212">
        <v>50745</v>
      </c>
      <c r="AK238" s="212">
        <v>2173.5</v>
      </c>
      <c r="AL238" s="212">
        <v>0</v>
      </c>
      <c r="AM238" s="212">
        <v>0</v>
      </c>
      <c r="AN238" s="212">
        <v>48571.5</v>
      </c>
      <c r="AO238" s="176">
        <v>0</v>
      </c>
      <c r="AP238" s="176">
        <v>0</v>
      </c>
      <c r="AQ238" s="176">
        <v>0</v>
      </c>
      <c r="AR238" s="212">
        <f t="shared" si="33"/>
        <v>38857.200000000004</v>
      </c>
      <c r="AS238" s="212">
        <f t="shared" si="34"/>
        <v>2070</v>
      </c>
      <c r="AT238" s="473">
        <f t="shared" si="35"/>
        <v>-36683.700000000004</v>
      </c>
      <c r="AU238" s="477"/>
    </row>
    <row r="239" spans="1:47" s="35" customFormat="1" ht="29" hidden="1" x14ac:dyDescent="0.35">
      <c r="A239" s="35" t="s">
        <v>1196</v>
      </c>
      <c r="B239" s="224" t="s">
        <v>948</v>
      </c>
      <c r="C239" s="222" t="s">
        <v>19</v>
      </c>
      <c r="D239" s="136">
        <v>8470440</v>
      </c>
      <c r="E239" s="137" t="s">
        <v>308</v>
      </c>
      <c r="F239" s="138">
        <v>435340</v>
      </c>
      <c r="G239" s="137" t="s">
        <v>202</v>
      </c>
      <c r="H239" s="137" t="s">
        <v>322</v>
      </c>
      <c r="I239" s="137">
        <v>120000</v>
      </c>
      <c r="J239" s="140">
        <v>120000</v>
      </c>
      <c r="K239" s="147"/>
      <c r="L239" s="142"/>
      <c r="M239" s="143"/>
      <c r="N239" s="144">
        <f t="shared" si="30"/>
        <v>120000</v>
      </c>
      <c r="O239" s="145"/>
      <c r="P239" s="145"/>
      <c r="Q239" s="145"/>
      <c r="R239" s="146"/>
      <c r="S239" s="139">
        <f t="shared" si="31"/>
        <v>120000</v>
      </c>
      <c r="T239" s="172"/>
      <c r="U239" s="137" t="s">
        <v>322</v>
      </c>
      <c r="V239" s="261">
        <f t="shared" si="29"/>
        <v>96000</v>
      </c>
      <c r="W239" s="261">
        <f t="shared" si="36"/>
        <v>96000</v>
      </c>
      <c r="X239" s="261"/>
      <c r="Y239" s="176" t="s">
        <v>838</v>
      </c>
      <c r="Z239" s="176"/>
      <c r="AA239" s="186">
        <v>120000</v>
      </c>
      <c r="AB239" s="186">
        <v>0</v>
      </c>
      <c r="AC239" s="176">
        <v>0</v>
      </c>
      <c r="AD239" s="176">
        <v>0</v>
      </c>
      <c r="AE239" s="186">
        <v>120000</v>
      </c>
      <c r="AF239" s="35">
        <v>120000</v>
      </c>
      <c r="AG239" s="212">
        <v>0</v>
      </c>
      <c r="AH239" s="212">
        <f t="shared" si="32"/>
        <v>24000</v>
      </c>
      <c r="AI239" s="212" t="s">
        <v>322</v>
      </c>
      <c r="AJ239" s="212">
        <v>120000</v>
      </c>
      <c r="AK239" s="212">
        <v>0</v>
      </c>
      <c r="AL239" s="212">
        <v>0</v>
      </c>
      <c r="AM239" s="212">
        <v>0</v>
      </c>
      <c r="AN239" s="212">
        <v>120000</v>
      </c>
      <c r="AO239" s="176">
        <v>0</v>
      </c>
      <c r="AP239" s="176">
        <v>0</v>
      </c>
      <c r="AQ239" s="176">
        <v>0</v>
      </c>
      <c r="AR239" s="212">
        <f t="shared" si="33"/>
        <v>96000</v>
      </c>
      <c r="AS239" s="212">
        <f t="shared" si="34"/>
        <v>0</v>
      </c>
      <c r="AT239" s="473">
        <f t="shared" si="35"/>
        <v>-96000</v>
      </c>
      <c r="AU239" s="477"/>
    </row>
    <row r="240" spans="1:47" s="35" customFormat="1" ht="29" hidden="1" x14ac:dyDescent="0.35">
      <c r="A240" s="35" t="s">
        <v>1196</v>
      </c>
      <c r="B240" s="224" t="s">
        <v>948</v>
      </c>
      <c r="C240" s="222" t="s">
        <v>19</v>
      </c>
      <c r="D240" s="136">
        <v>8470440</v>
      </c>
      <c r="E240" s="137" t="s">
        <v>308</v>
      </c>
      <c r="F240" s="138">
        <v>435350</v>
      </c>
      <c r="G240" s="137" t="s">
        <v>79</v>
      </c>
      <c r="H240" s="137" t="s">
        <v>323</v>
      </c>
      <c r="I240" s="137">
        <v>40000</v>
      </c>
      <c r="J240" s="140">
        <v>45000</v>
      </c>
      <c r="K240" s="141">
        <v>42010</v>
      </c>
      <c r="L240" s="142"/>
      <c r="M240" s="143"/>
      <c r="N240" s="144">
        <f t="shared" si="30"/>
        <v>2990</v>
      </c>
      <c r="O240" s="145"/>
      <c r="P240" s="145"/>
      <c r="Q240" s="145"/>
      <c r="R240" s="146"/>
      <c r="S240" s="139">
        <f t="shared" si="31"/>
        <v>2990</v>
      </c>
      <c r="T240" s="172"/>
      <c r="U240" s="137" t="s">
        <v>323</v>
      </c>
      <c r="V240" s="261">
        <f t="shared" si="29"/>
        <v>2.9103830456733681E-12</v>
      </c>
      <c r="W240" s="261">
        <f t="shared" si="36"/>
        <v>-363.29999999999711</v>
      </c>
      <c r="X240" s="474">
        <v>6923.7599999999984</v>
      </c>
      <c r="Y240" s="176" t="s">
        <v>838</v>
      </c>
      <c r="Z240" s="176"/>
      <c r="AA240" s="186">
        <v>45000</v>
      </c>
      <c r="AB240" s="186">
        <v>53654.7</v>
      </c>
      <c r="AC240" s="186">
        <v>0</v>
      </c>
      <c r="AD240" s="186">
        <v>0</v>
      </c>
      <c r="AE240" s="214">
        <v>-8654.6999999999971</v>
      </c>
      <c r="AF240" s="184">
        <v>2990</v>
      </c>
      <c r="AG240" s="184">
        <v>-11644.699999999997</v>
      </c>
      <c r="AH240" s="212">
        <f t="shared" si="32"/>
        <v>-8654.7000000000007</v>
      </c>
      <c r="AI240" s="212" t="s">
        <v>323</v>
      </c>
      <c r="AJ240" s="212">
        <v>45000</v>
      </c>
      <c r="AK240" s="212">
        <v>56644.7</v>
      </c>
      <c r="AL240" s="212">
        <v>0</v>
      </c>
      <c r="AM240" s="212">
        <v>0</v>
      </c>
      <c r="AN240" s="212">
        <v>3.6379788070917101E-12</v>
      </c>
      <c r="AO240" s="176">
        <v>363.3</v>
      </c>
      <c r="AP240" s="176">
        <v>0</v>
      </c>
      <c r="AQ240" s="176">
        <v>0</v>
      </c>
      <c r="AR240" s="212">
        <f t="shared" si="33"/>
        <v>-363.29999999999711</v>
      </c>
      <c r="AS240" s="212">
        <f t="shared" si="34"/>
        <v>54018</v>
      </c>
      <c r="AT240" s="473">
        <f t="shared" si="35"/>
        <v>64295.05999999999</v>
      </c>
      <c r="AU240" s="477"/>
    </row>
    <row r="241" spans="1:47" s="35" customFormat="1" ht="29" hidden="1" x14ac:dyDescent="0.35">
      <c r="A241" s="35" t="s">
        <v>1196</v>
      </c>
      <c r="B241" s="224" t="s">
        <v>948</v>
      </c>
      <c r="C241" s="222" t="s">
        <v>19</v>
      </c>
      <c r="D241" s="136">
        <v>8470440</v>
      </c>
      <c r="E241" s="137" t="s">
        <v>308</v>
      </c>
      <c r="F241" s="138">
        <v>436600</v>
      </c>
      <c r="G241" s="137" t="s">
        <v>137</v>
      </c>
      <c r="H241" s="137" t="s">
        <v>324</v>
      </c>
      <c r="I241" s="137">
        <v>22500</v>
      </c>
      <c r="J241" s="140">
        <v>22500</v>
      </c>
      <c r="K241" s="141">
        <v>4195</v>
      </c>
      <c r="L241" s="148">
        <v>0</v>
      </c>
      <c r="M241" s="140">
        <v>0</v>
      </c>
      <c r="N241" s="144">
        <f t="shared" si="30"/>
        <v>18305</v>
      </c>
      <c r="O241" s="145"/>
      <c r="P241" s="145"/>
      <c r="Q241" s="145"/>
      <c r="R241" s="146"/>
      <c r="S241" s="139">
        <f t="shared" si="31"/>
        <v>18305</v>
      </c>
      <c r="T241" s="172"/>
      <c r="U241" s="137" t="s">
        <v>324</v>
      </c>
      <c r="V241" s="261">
        <f t="shared" si="29"/>
        <v>14644</v>
      </c>
      <c r="W241" s="261">
        <f t="shared" si="36"/>
        <v>14644</v>
      </c>
      <c r="X241" s="261"/>
      <c r="Y241" s="176" t="s">
        <v>838</v>
      </c>
      <c r="Z241" s="176"/>
      <c r="AA241" s="186">
        <v>22500</v>
      </c>
      <c r="AB241" s="186">
        <v>4195</v>
      </c>
      <c r="AC241" s="176">
        <v>0</v>
      </c>
      <c r="AD241" s="176">
        <v>0</v>
      </c>
      <c r="AE241" s="186">
        <v>18305</v>
      </c>
      <c r="AF241" s="35">
        <v>18305</v>
      </c>
      <c r="AG241" s="212">
        <v>0</v>
      </c>
      <c r="AH241" s="212">
        <f t="shared" si="32"/>
        <v>3661</v>
      </c>
      <c r="AI241" s="212" t="s">
        <v>324</v>
      </c>
      <c r="AJ241" s="212">
        <v>22500</v>
      </c>
      <c r="AK241" s="212">
        <v>4195</v>
      </c>
      <c r="AL241" s="212">
        <v>0</v>
      </c>
      <c r="AM241" s="212">
        <v>0</v>
      </c>
      <c r="AN241" s="212">
        <v>18305</v>
      </c>
      <c r="AO241" s="176">
        <v>0</v>
      </c>
      <c r="AP241" s="176">
        <v>0</v>
      </c>
      <c r="AQ241" s="176">
        <v>0</v>
      </c>
      <c r="AR241" s="212">
        <f t="shared" si="33"/>
        <v>14644</v>
      </c>
      <c r="AS241" s="212">
        <f t="shared" si="34"/>
        <v>4195</v>
      </c>
      <c r="AT241" s="473">
        <f t="shared" si="35"/>
        <v>-10449</v>
      </c>
      <c r="AU241" s="477"/>
    </row>
    <row r="242" spans="1:47" s="35" customFormat="1" ht="29" hidden="1" x14ac:dyDescent="0.35">
      <c r="A242" s="35" t="s">
        <v>1196</v>
      </c>
      <c r="B242" s="224" t="s">
        <v>948</v>
      </c>
      <c r="C242" s="222" t="s">
        <v>19</v>
      </c>
      <c r="D242" s="136">
        <v>8470445</v>
      </c>
      <c r="E242" s="137" t="s">
        <v>325</v>
      </c>
      <c r="F242" s="138">
        <v>425100</v>
      </c>
      <c r="G242" s="137" t="s">
        <v>55</v>
      </c>
      <c r="H242" s="137" t="s">
        <v>326</v>
      </c>
      <c r="I242" s="137">
        <v>150000</v>
      </c>
      <c r="J242" s="140">
        <v>150000</v>
      </c>
      <c r="K242" s="147"/>
      <c r="L242" s="142"/>
      <c r="M242" s="143"/>
      <c r="N242" s="144">
        <f t="shared" si="30"/>
        <v>150000</v>
      </c>
      <c r="O242" s="145"/>
      <c r="P242" s="145"/>
      <c r="Q242" s="145"/>
      <c r="R242" s="146"/>
      <c r="S242" s="139">
        <f t="shared" si="31"/>
        <v>150000</v>
      </c>
      <c r="T242" s="172"/>
      <c r="U242" s="137" t="s">
        <v>326</v>
      </c>
      <c r="V242" s="261">
        <f t="shared" si="29"/>
        <v>120000</v>
      </c>
      <c r="W242" s="261">
        <f t="shared" si="36"/>
        <v>120000</v>
      </c>
      <c r="X242" s="261"/>
      <c r="Y242" s="176" t="s">
        <v>838</v>
      </c>
      <c r="Z242" s="176"/>
      <c r="AA242" s="186">
        <v>150000</v>
      </c>
      <c r="AB242" s="186">
        <v>0</v>
      </c>
      <c r="AC242" s="176">
        <v>0</v>
      </c>
      <c r="AD242" s="176">
        <v>0</v>
      </c>
      <c r="AE242" s="186">
        <v>150000</v>
      </c>
      <c r="AF242" s="35">
        <v>150000</v>
      </c>
      <c r="AG242" s="212">
        <v>0</v>
      </c>
      <c r="AH242" s="212">
        <f t="shared" si="32"/>
        <v>30000</v>
      </c>
      <c r="AI242" s="212" t="s">
        <v>326</v>
      </c>
      <c r="AJ242" s="212">
        <v>150000</v>
      </c>
      <c r="AK242" s="212">
        <v>0</v>
      </c>
      <c r="AL242" s="212">
        <v>0</v>
      </c>
      <c r="AM242" s="212">
        <v>0</v>
      </c>
      <c r="AN242" s="212">
        <v>150000</v>
      </c>
      <c r="AO242" s="176">
        <v>0</v>
      </c>
      <c r="AP242" s="176">
        <v>0</v>
      </c>
      <c r="AQ242" s="176">
        <v>0</v>
      </c>
      <c r="AR242" s="212">
        <f t="shared" si="33"/>
        <v>120000</v>
      </c>
      <c r="AS242" s="212">
        <f t="shared" si="34"/>
        <v>0</v>
      </c>
      <c r="AT242" s="473">
        <f t="shared" si="35"/>
        <v>-120000</v>
      </c>
      <c r="AU242" s="477"/>
    </row>
    <row r="243" spans="1:47" s="35" customFormat="1" ht="29" hidden="1" x14ac:dyDescent="0.35">
      <c r="A243" s="35" t="s">
        <v>1196</v>
      </c>
      <c r="B243" s="224" t="s">
        <v>948</v>
      </c>
      <c r="C243" s="222" t="s">
        <v>19</v>
      </c>
      <c r="D243" s="136">
        <v>8470445</v>
      </c>
      <c r="E243" s="137" t="s">
        <v>325</v>
      </c>
      <c r="F243" s="138">
        <v>425720</v>
      </c>
      <c r="G243" s="137" t="s">
        <v>224</v>
      </c>
      <c r="H243" s="137" t="s">
        <v>327</v>
      </c>
      <c r="I243" s="137">
        <v>18350</v>
      </c>
      <c r="J243" s="140">
        <v>19350</v>
      </c>
      <c r="K243" s="141">
        <v>825</v>
      </c>
      <c r="L243" s="142"/>
      <c r="M243" s="143"/>
      <c r="N243" s="144">
        <f t="shared" si="30"/>
        <v>18525</v>
      </c>
      <c r="O243" s="145"/>
      <c r="P243" s="145"/>
      <c r="Q243" s="145"/>
      <c r="R243" s="146"/>
      <c r="S243" s="139">
        <f t="shared" si="31"/>
        <v>18525</v>
      </c>
      <c r="T243" s="172"/>
      <c r="U243" s="137" t="s">
        <v>327</v>
      </c>
      <c r="V243" s="261">
        <f t="shared" si="29"/>
        <v>14820</v>
      </c>
      <c r="W243" s="261">
        <f t="shared" si="36"/>
        <v>-3555</v>
      </c>
      <c r="X243" s="261"/>
      <c r="Y243" s="176" t="s">
        <v>838</v>
      </c>
      <c r="Z243" s="176"/>
      <c r="AA243" s="186">
        <v>19350</v>
      </c>
      <c r="AB243" s="186">
        <v>825</v>
      </c>
      <c r="AC243" s="176">
        <v>0</v>
      </c>
      <c r="AD243" s="176">
        <v>0</v>
      </c>
      <c r="AE243" s="186">
        <v>18525</v>
      </c>
      <c r="AF243" s="35">
        <v>18525</v>
      </c>
      <c r="AG243" s="212">
        <v>0</v>
      </c>
      <c r="AH243" s="212">
        <f t="shared" si="32"/>
        <v>3705</v>
      </c>
      <c r="AI243" s="212" t="s">
        <v>327</v>
      </c>
      <c r="AJ243" s="212">
        <v>19350</v>
      </c>
      <c r="AK243" s="212">
        <v>825</v>
      </c>
      <c r="AL243" s="212">
        <v>0</v>
      </c>
      <c r="AM243" s="212">
        <v>0</v>
      </c>
      <c r="AN243" s="212">
        <v>18525</v>
      </c>
      <c r="AO243" s="176">
        <v>0</v>
      </c>
      <c r="AP243" s="176">
        <v>18375</v>
      </c>
      <c r="AQ243" s="176">
        <v>0</v>
      </c>
      <c r="AR243" s="212">
        <f t="shared" si="33"/>
        <v>-3555</v>
      </c>
      <c r="AS243" s="212">
        <f t="shared" si="34"/>
        <v>19200</v>
      </c>
      <c r="AT243" s="473">
        <f t="shared" si="35"/>
        <v>22755</v>
      </c>
      <c r="AU243" s="477"/>
    </row>
    <row r="244" spans="1:47" s="35" customFormat="1" ht="29" hidden="1" x14ac:dyDescent="0.35">
      <c r="A244" s="35" t="s">
        <v>1196</v>
      </c>
      <c r="B244" s="224" t="s">
        <v>948</v>
      </c>
      <c r="C244" s="222" t="s">
        <v>19</v>
      </c>
      <c r="D244" s="136">
        <v>8470445</v>
      </c>
      <c r="E244" s="137" t="s">
        <v>325</v>
      </c>
      <c r="F244" s="138">
        <v>425760</v>
      </c>
      <c r="G244" s="137" t="s">
        <v>142</v>
      </c>
      <c r="H244" s="137" t="s">
        <v>328</v>
      </c>
      <c r="I244" s="137">
        <v>36630</v>
      </c>
      <c r="J244" s="140">
        <v>35630</v>
      </c>
      <c r="K244" s="147"/>
      <c r="L244" s="142"/>
      <c r="M244" s="143"/>
      <c r="N244" s="144">
        <f t="shared" si="30"/>
        <v>35630</v>
      </c>
      <c r="O244" s="145"/>
      <c r="P244" s="145"/>
      <c r="Q244" s="145"/>
      <c r="R244" s="146"/>
      <c r="S244" s="139">
        <f t="shared" si="31"/>
        <v>35630</v>
      </c>
      <c r="T244" s="172"/>
      <c r="U244" s="137" t="s">
        <v>328</v>
      </c>
      <c r="V244" s="261">
        <f t="shared" si="29"/>
        <v>20504</v>
      </c>
      <c r="W244" s="261">
        <f t="shared" si="36"/>
        <v>20504</v>
      </c>
      <c r="X244" s="261"/>
      <c r="Y244" s="176" t="s">
        <v>838</v>
      </c>
      <c r="Z244" s="176"/>
      <c r="AA244" s="186">
        <v>25630</v>
      </c>
      <c r="AB244" s="186">
        <v>0</v>
      </c>
      <c r="AC244" s="176">
        <v>0</v>
      </c>
      <c r="AD244" s="176">
        <v>0</v>
      </c>
      <c r="AE244" s="186">
        <v>25630</v>
      </c>
      <c r="AF244" s="35">
        <v>25630</v>
      </c>
      <c r="AG244" s="212">
        <v>0</v>
      </c>
      <c r="AH244" s="212">
        <f t="shared" si="32"/>
        <v>5126</v>
      </c>
      <c r="AI244" s="212" t="s">
        <v>328</v>
      </c>
      <c r="AJ244" s="212">
        <v>25630</v>
      </c>
      <c r="AK244" s="212">
        <v>0</v>
      </c>
      <c r="AL244" s="212">
        <v>0</v>
      </c>
      <c r="AM244" s="212">
        <v>0</v>
      </c>
      <c r="AN244" s="212">
        <v>25630</v>
      </c>
      <c r="AO244" s="176">
        <v>0</v>
      </c>
      <c r="AP244" s="176">
        <v>0</v>
      </c>
      <c r="AQ244" s="176">
        <v>0</v>
      </c>
      <c r="AR244" s="212">
        <f t="shared" si="33"/>
        <v>20504</v>
      </c>
      <c r="AS244" s="212">
        <f t="shared" si="34"/>
        <v>0</v>
      </c>
      <c r="AT244" s="473">
        <f t="shared" si="35"/>
        <v>-20504</v>
      </c>
      <c r="AU244" s="477"/>
    </row>
    <row r="245" spans="1:47" s="35" customFormat="1" ht="29" hidden="1" x14ac:dyDescent="0.35">
      <c r="A245" s="35" t="s">
        <v>1196</v>
      </c>
      <c r="B245" s="224" t="s">
        <v>948</v>
      </c>
      <c r="C245" s="222" t="s">
        <v>19</v>
      </c>
      <c r="D245" s="136">
        <v>8470445</v>
      </c>
      <c r="E245" s="137" t="s">
        <v>325</v>
      </c>
      <c r="F245" s="138">
        <v>425763</v>
      </c>
      <c r="G245" s="137" t="s">
        <v>59</v>
      </c>
      <c r="H245" s="137" t="s">
        <v>329</v>
      </c>
      <c r="I245" s="137">
        <v>7590</v>
      </c>
      <c r="J245" s="140">
        <v>7590</v>
      </c>
      <c r="K245" s="147"/>
      <c r="L245" s="142"/>
      <c r="M245" s="143"/>
      <c r="N245" s="144">
        <f t="shared" si="30"/>
        <v>7590</v>
      </c>
      <c r="O245" s="145"/>
      <c r="P245" s="145"/>
      <c r="Q245" s="145"/>
      <c r="R245" s="146"/>
      <c r="S245" s="139">
        <f t="shared" si="31"/>
        <v>7590</v>
      </c>
      <c r="T245" s="172"/>
      <c r="U245" s="137" t="s">
        <v>329</v>
      </c>
      <c r="V245" s="261">
        <f t="shared" si="29"/>
        <v>6072</v>
      </c>
      <c r="W245" s="261">
        <f t="shared" si="36"/>
        <v>6072</v>
      </c>
      <c r="X245" s="261"/>
      <c r="Y245" s="176" t="s">
        <v>838</v>
      </c>
      <c r="Z245" s="176"/>
      <c r="AA245" s="186">
        <v>7590</v>
      </c>
      <c r="AB245" s="186">
        <v>0</v>
      </c>
      <c r="AC245" s="176">
        <v>0</v>
      </c>
      <c r="AD245" s="176">
        <v>0</v>
      </c>
      <c r="AE245" s="186">
        <v>7590</v>
      </c>
      <c r="AF245" s="35">
        <v>7590</v>
      </c>
      <c r="AG245" s="212">
        <v>0</v>
      </c>
      <c r="AH245" s="212">
        <f t="shared" si="32"/>
        <v>1518</v>
      </c>
      <c r="AI245" s="212" t="s">
        <v>329</v>
      </c>
      <c r="AJ245" s="212">
        <v>7590</v>
      </c>
      <c r="AK245" s="212">
        <v>0</v>
      </c>
      <c r="AL245" s="212">
        <v>0</v>
      </c>
      <c r="AM245" s="212">
        <v>0</v>
      </c>
      <c r="AN245" s="212">
        <v>7590</v>
      </c>
      <c r="AO245" s="176">
        <v>0</v>
      </c>
      <c r="AP245" s="176">
        <v>0</v>
      </c>
      <c r="AQ245" s="176">
        <v>0</v>
      </c>
      <c r="AR245" s="212">
        <f t="shared" si="33"/>
        <v>6072</v>
      </c>
      <c r="AS245" s="212">
        <f t="shared" si="34"/>
        <v>0</v>
      </c>
      <c r="AT245" s="473">
        <f t="shared" si="35"/>
        <v>-6072</v>
      </c>
      <c r="AU245" s="477"/>
    </row>
    <row r="246" spans="1:47" s="35" customFormat="1" ht="29" hidden="1" x14ac:dyDescent="0.35">
      <c r="A246" s="35" t="s">
        <v>1196</v>
      </c>
      <c r="B246" s="224" t="s">
        <v>948</v>
      </c>
      <c r="C246" s="222" t="s">
        <v>19</v>
      </c>
      <c r="D246" s="136">
        <v>8470445</v>
      </c>
      <c r="E246" s="137" t="s">
        <v>325</v>
      </c>
      <c r="F246" s="138">
        <v>425770</v>
      </c>
      <c r="G246" s="137" t="s">
        <v>74</v>
      </c>
      <c r="H246" s="137" t="s">
        <v>330</v>
      </c>
      <c r="I246" s="137">
        <v>570000</v>
      </c>
      <c r="J246" s="140">
        <v>299950</v>
      </c>
      <c r="K246" s="141">
        <v>141798.62</v>
      </c>
      <c r="L246" s="142"/>
      <c r="M246" s="143"/>
      <c r="N246" s="144">
        <f t="shared" si="30"/>
        <v>158151.38</v>
      </c>
      <c r="O246" s="145"/>
      <c r="P246" s="145"/>
      <c r="Q246" s="145"/>
      <c r="R246" s="146"/>
      <c r="S246" s="139">
        <f t="shared" si="31"/>
        <v>158151.38</v>
      </c>
      <c r="T246" s="172"/>
      <c r="U246" s="137" t="s">
        <v>330</v>
      </c>
      <c r="V246" s="261">
        <f t="shared" si="29"/>
        <v>32848.112000000001</v>
      </c>
      <c r="W246" s="261">
        <f t="shared" si="36"/>
        <v>8457.0920000000042</v>
      </c>
      <c r="X246" s="261"/>
      <c r="Y246" s="176" t="s">
        <v>838</v>
      </c>
      <c r="Z246" s="176"/>
      <c r="AA246" s="186">
        <v>299950</v>
      </c>
      <c r="AB246" s="186">
        <v>239939.86</v>
      </c>
      <c r="AC246" s="176">
        <v>0</v>
      </c>
      <c r="AD246" s="176">
        <v>0</v>
      </c>
      <c r="AE246" s="186">
        <v>60010.140000000014</v>
      </c>
      <c r="AF246" s="35">
        <v>60010.14</v>
      </c>
      <c r="AG246" s="212">
        <v>0</v>
      </c>
      <c r="AH246" s="212">
        <f t="shared" si="32"/>
        <v>27162.028000000013</v>
      </c>
      <c r="AI246" s="212" t="s">
        <v>330</v>
      </c>
      <c r="AJ246" s="212">
        <v>299950</v>
      </c>
      <c r="AK246" s="212">
        <v>258889.86</v>
      </c>
      <c r="AL246" s="212">
        <v>0</v>
      </c>
      <c r="AM246" s="212">
        <v>0</v>
      </c>
      <c r="AN246" s="212">
        <v>41060.14</v>
      </c>
      <c r="AO246" s="176">
        <v>7353.9</v>
      </c>
      <c r="AP246" s="176">
        <v>0</v>
      </c>
      <c r="AQ246" s="176">
        <v>17037.12</v>
      </c>
      <c r="AR246" s="212">
        <f t="shared" si="33"/>
        <v>8457.0920000000006</v>
      </c>
      <c r="AS246" s="212">
        <f t="shared" si="34"/>
        <v>264330.88</v>
      </c>
      <c r="AT246" s="473">
        <f t="shared" si="35"/>
        <v>274823.788</v>
      </c>
      <c r="AU246" s="477"/>
    </row>
    <row r="247" spans="1:47" s="35" customFormat="1" ht="29" hidden="1" x14ac:dyDescent="0.35">
      <c r="A247" s="35" t="s">
        <v>1196</v>
      </c>
      <c r="B247" s="224" t="s">
        <v>948</v>
      </c>
      <c r="C247" s="222" t="s">
        <v>19</v>
      </c>
      <c r="D247" s="136">
        <v>8470445</v>
      </c>
      <c r="E247" s="137" t="s">
        <v>325</v>
      </c>
      <c r="F247" s="138">
        <v>426610</v>
      </c>
      <c r="G247" s="137" t="s">
        <v>37</v>
      </c>
      <c r="H247" s="137" t="s">
        <v>331</v>
      </c>
      <c r="I247" s="137">
        <v>37650</v>
      </c>
      <c r="J247" s="140">
        <v>37650</v>
      </c>
      <c r="K247" s="141">
        <v>13814.8</v>
      </c>
      <c r="L247" s="148">
        <v>0</v>
      </c>
      <c r="M247" s="140">
        <v>8951.9699999999993</v>
      </c>
      <c r="N247" s="144">
        <f t="shared" si="30"/>
        <v>14883.230000000001</v>
      </c>
      <c r="O247" s="145"/>
      <c r="P247" s="145"/>
      <c r="Q247" s="145"/>
      <c r="R247" s="146"/>
      <c r="S247" s="139">
        <f t="shared" si="31"/>
        <v>14883.230000000001</v>
      </c>
      <c r="T247" s="172"/>
      <c r="U247" s="137" t="s">
        <v>331</v>
      </c>
      <c r="V247" s="261">
        <f t="shared" si="29"/>
        <v>12578.168</v>
      </c>
      <c r="W247" s="261">
        <f t="shared" si="36"/>
        <v>12578.168</v>
      </c>
      <c r="X247" s="261"/>
      <c r="Y247" s="176" t="s">
        <v>838</v>
      </c>
      <c r="Z247" s="176"/>
      <c r="AA247" s="186">
        <v>37650</v>
      </c>
      <c r="AB247" s="186">
        <v>21927.29</v>
      </c>
      <c r="AC247" s="176">
        <v>0</v>
      </c>
      <c r="AD247" s="176">
        <v>0</v>
      </c>
      <c r="AE247" s="186">
        <v>15722.71</v>
      </c>
      <c r="AF247" s="35">
        <v>15722.71</v>
      </c>
      <c r="AG247" s="212">
        <v>0</v>
      </c>
      <c r="AH247" s="212">
        <f t="shared" si="32"/>
        <v>3144.5419999999995</v>
      </c>
      <c r="AI247" s="212" t="s">
        <v>331</v>
      </c>
      <c r="AJ247" s="212">
        <v>37650</v>
      </c>
      <c r="AK247" s="212">
        <v>21927.29</v>
      </c>
      <c r="AL247" s="212">
        <v>0</v>
      </c>
      <c r="AM247" s="212">
        <v>0</v>
      </c>
      <c r="AN247" s="212">
        <v>15722.71</v>
      </c>
      <c r="AO247" s="176">
        <v>0</v>
      </c>
      <c r="AP247" s="176">
        <v>0</v>
      </c>
      <c r="AQ247" s="176">
        <v>0</v>
      </c>
      <c r="AR247" s="212">
        <f t="shared" si="33"/>
        <v>12578.168</v>
      </c>
      <c r="AS247" s="212">
        <f t="shared" si="34"/>
        <v>21927.29</v>
      </c>
      <c r="AT247" s="473">
        <f t="shared" si="35"/>
        <v>9349.1220000000012</v>
      </c>
      <c r="AU247" s="477"/>
    </row>
    <row r="248" spans="1:47" s="35" customFormat="1" ht="29" hidden="1" x14ac:dyDescent="0.35">
      <c r="A248" s="35" t="s">
        <v>1196</v>
      </c>
      <c r="B248" s="224" t="s">
        <v>948</v>
      </c>
      <c r="C248" s="222" t="s">
        <v>19</v>
      </c>
      <c r="D248" s="136">
        <v>8470445</v>
      </c>
      <c r="E248" s="137" t="s">
        <v>325</v>
      </c>
      <c r="F248" s="138">
        <v>435350</v>
      </c>
      <c r="G248" s="137" t="s">
        <v>79</v>
      </c>
      <c r="H248" s="137" t="s">
        <v>332</v>
      </c>
      <c r="I248" s="137">
        <v>600000</v>
      </c>
      <c r="J248" s="140">
        <v>325029</v>
      </c>
      <c r="K248" s="141">
        <v>101616.56</v>
      </c>
      <c r="L248" s="142"/>
      <c r="M248" s="143"/>
      <c r="N248" s="144">
        <f t="shared" si="30"/>
        <v>223412.44</v>
      </c>
      <c r="O248" s="145"/>
      <c r="P248" s="145"/>
      <c r="Q248" s="145"/>
      <c r="R248" s="146"/>
      <c r="S248" s="139">
        <f t="shared" si="31"/>
        <v>223412.44</v>
      </c>
      <c r="T248" s="172"/>
      <c r="U248" s="137" t="s">
        <v>332</v>
      </c>
      <c r="V248" s="261">
        <f t="shared" si="29"/>
        <v>113860.728</v>
      </c>
      <c r="W248" s="261">
        <f t="shared" si="36"/>
        <v>85406.352799999993</v>
      </c>
      <c r="X248" s="261"/>
      <c r="Y248" s="176" t="s">
        <v>838</v>
      </c>
      <c r="Z248" s="176"/>
      <c r="AA248" s="186">
        <v>325029</v>
      </c>
      <c r="AB248" s="186">
        <v>168899.39</v>
      </c>
      <c r="AC248" s="176">
        <v>0</v>
      </c>
      <c r="AD248" s="176">
        <v>0</v>
      </c>
      <c r="AE248" s="186">
        <v>156129.60999999999</v>
      </c>
      <c r="AF248" s="35">
        <v>156129.60999999999</v>
      </c>
      <c r="AG248" s="212">
        <v>0</v>
      </c>
      <c r="AH248" s="212">
        <f t="shared" si="32"/>
        <v>42268.881999999983</v>
      </c>
      <c r="AI248" s="212" t="s">
        <v>332</v>
      </c>
      <c r="AJ248" s="212">
        <v>325029</v>
      </c>
      <c r="AK248" s="212">
        <v>182703.09</v>
      </c>
      <c r="AL248" s="212">
        <v>0</v>
      </c>
      <c r="AM248" s="212">
        <v>0</v>
      </c>
      <c r="AN248" s="212">
        <v>142325.91</v>
      </c>
      <c r="AO248" s="176">
        <v>0</v>
      </c>
      <c r="AP248" s="176">
        <v>28454.375200000002</v>
      </c>
      <c r="AQ248" s="176">
        <v>0</v>
      </c>
      <c r="AR248" s="212">
        <f t="shared" si="33"/>
        <v>85406.352799999993</v>
      </c>
      <c r="AS248" s="212">
        <f t="shared" si="34"/>
        <v>197353.76520000002</v>
      </c>
      <c r="AT248" s="473">
        <f t="shared" si="35"/>
        <v>125751.11240000001</v>
      </c>
      <c r="AU248" s="477"/>
    </row>
    <row r="249" spans="1:47" s="35" customFormat="1" ht="29" hidden="1" x14ac:dyDescent="0.35">
      <c r="A249" s="35" t="s">
        <v>1196</v>
      </c>
      <c r="B249" s="224" t="s">
        <v>948</v>
      </c>
      <c r="C249" s="222" t="s">
        <v>19</v>
      </c>
      <c r="D249" s="136">
        <v>8470450</v>
      </c>
      <c r="E249" s="137" t="s">
        <v>333</v>
      </c>
      <c r="F249" s="138">
        <v>425761</v>
      </c>
      <c r="G249" s="137" t="s">
        <v>110</v>
      </c>
      <c r="H249" s="137" t="s">
        <v>334</v>
      </c>
      <c r="I249" s="137">
        <v>500000</v>
      </c>
      <c r="J249" s="140">
        <v>500000</v>
      </c>
      <c r="K249" s="141">
        <v>218851.74</v>
      </c>
      <c r="L249" s="142"/>
      <c r="M249" s="143"/>
      <c r="N249" s="144">
        <f t="shared" si="30"/>
        <v>281148.26</v>
      </c>
      <c r="O249" s="145"/>
      <c r="P249" s="145"/>
      <c r="Q249" s="145"/>
      <c r="R249" s="146"/>
      <c r="S249" s="139">
        <f t="shared" si="31"/>
        <v>281148.26</v>
      </c>
      <c r="T249" s="172"/>
      <c r="U249" s="137" t="s">
        <v>334</v>
      </c>
      <c r="V249" s="261">
        <f t="shared" si="29"/>
        <v>148462.60800000001</v>
      </c>
      <c r="W249" s="261">
        <f t="shared" si="36"/>
        <v>143002.568</v>
      </c>
      <c r="X249" s="261"/>
      <c r="Y249" s="176" t="s">
        <v>838</v>
      </c>
      <c r="Z249" s="176"/>
      <c r="AA249" s="186">
        <v>500000</v>
      </c>
      <c r="AB249" s="186">
        <v>287801.74</v>
      </c>
      <c r="AC249" s="176">
        <v>0</v>
      </c>
      <c r="AD249" s="176">
        <v>0</v>
      </c>
      <c r="AE249" s="186">
        <v>212198.26</v>
      </c>
      <c r="AF249" s="35">
        <v>212198.26</v>
      </c>
      <c r="AG249" s="212">
        <v>0</v>
      </c>
      <c r="AH249" s="212">
        <f t="shared" si="32"/>
        <v>63735.652000000002</v>
      </c>
      <c r="AI249" s="212" t="s">
        <v>334</v>
      </c>
      <c r="AJ249" s="212">
        <v>500000</v>
      </c>
      <c r="AK249" s="212">
        <v>314421.74</v>
      </c>
      <c r="AL249" s="212">
        <v>0</v>
      </c>
      <c r="AM249" s="212">
        <v>0</v>
      </c>
      <c r="AN249" s="212">
        <v>185578.26</v>
      </c>
      <c r="AO249" s="176">
        <v>5460.04</v>
      </c>
      <c r="AP249" s="176">
        <v>0</v>
      </c>
      <c r="AQ249" s="176">
        <v>0</v>
      </c>
      <c r="AR249" s="212">
        <f t="shared" si="33"/>
        <v>143002.568</v>
      </c>
      <c r="AS249" s="212">
        <f t="shared" si="34"/>
        <v>293261.77999999997</v>
      </c>
      <c r="AT249" s="473">
        <f t="shared" si="35"/>
        <v>176879.21199999997</v>
      </c>
      <c r="AU249" s="477"/>
    </row>
    <row r="250" spans="1:47" s="35" customFormat="1" ht="29" hidden="1" x14ac:dyDescent="0.35">
      <c r="A250" s="35" t="s">
        <v>1196</v>
      </c>
      <c r="B250" s="224" t="s">
        <v>948</v>
      </c>
      <c r="C250" s="222" t="s">
        <v>19</v>
      </c>
      <c r="D250" s="136">
        <v>8470450</v>
      </c>
      <c r="E250" s="137" t="s">
        <v>333</v>
      </c>
      <c r="F250" s="138">
        <v>425770</v>
      </c>
      <c r="G250" s="137" t="s">
        <v>74</v>
      </c>
      <c r="H250" s="137" t="s">
        <v>335</v>
      </c>
      <c r="I250" s="137">
        <v>180000</v>
      </c>
      <c r="J250" s="140">
        <v>108155</v>
      </c>
      <c r="K250" s="141">
        <v>49460</v>
      </c>
      <c r="L250" s="142"/>
      <c r="M250" s="143"/>
      <c r="N250" s="144">
        <f t="shared" si="30"/>
        <v>58695</v>
      </c>
      <c r="O250" s="145"/>
      <c r="P250" s="145"/>
      <c r="Q250" s="145"/>
      <c r="R250" s="146"/>
      <c r="S250" s="139">
        <f t="shared" si="31"/>
        <v>58695</v>
      </c>
      <c r="T250" s="172"/>
      <c r="U250" s="137" t="s">
        <v>335</v>
      </c>
      <c r="V250" s="261">
        <f t="shared" si="29"/>
        <v>7574.5360000000001</v>
      </c>
      <c r="W250" s="261">
        <f t="shared" si="36"/>
        <v>7139.5360000000001</v>
      </c>
      <c r="X250" s="261"/>
      <c r="Y250" s="176" t="s">
        <v>838</v>
      </c>
      <c r="Z250" s="176"/>
      <c r="AA250" s="186">
        <v>108155</v>
      </c>
      <c r="AB250" s="186">
        <v>105548.83</v>
      </c>
      <c r="AC250" s="176">
        <v>0</v>
      </c>
      <c r="AD250" s="176">
        <v>0</v>
      </c>
      <c r="AE250" s="186">
        <v>2606.1699999999983</v>
      </c>
      <c r="AF250" s="35">
        <v>2606.17</v>
      </c>
      <c r="AG250" s="212">
        <v>0</v>
      </c>
      <c r="AH250" s="212">
        <f t="shared" si="32"/>
        <v>-4968.3660000000018</v>
      </c>
      <c r="AI250" s="212" t="s">
        <v>335</v>
      </c>
      <c r="AJ250" s="212">
        <v>134417</v>
      </c>
      <c r="AK250" s="212">
        <v>124948.83</v>
      </c>
      <c r="AL250" s="212">
        <v>0</v>
      </c>
      <c r="AM250" s="212">
        <v>0</v>
      </c>
      <c r="AN250" s="212">
        <v>9468.17</v>
      </c>
      <c r="AO250" s="176">
        <v>435</v>
      </c>
      <c r="AP250" s="176">
        <v>0</v>
      </c>
      <c r="AQ250" s="176">
        <v>0</v>
      </c>
      <c r="AR250" s="212">
        <f t="shared" si="33"/>
        <v>7139.5360000000001</v>
      </c>
      <c r="AS250" s="212">
        <f t="shared" si="34"/>
        <v>105983.83</v>
      </c>
      <c r="AT250" s="473">
        <f t="shared" si="35"/>
        <v>118244.29399999999</v>
      </c>
      <c r="AU250" s="477"/>
    </row>
    <row r="251" spans="1:47" s="35" customFormat="1" ht="29" hidden="1" x14ac:dyDescent="0.35">
      <c r="A251" s="35" t="s">
        <v>1196</v>
      </c>
      <c r="B251" s="224" t="s">
        <v>948</v>
      </c>
      <c r="C251" s="222" t="s">
        <v>19</v>
      </c>
      <c r="D251" s="136">
        <v>8470450</v>
      </c>
      <c r="E251" s="137" t="s">
        <v>333</v>
      </c>
      <c r="F251" s="138">
        <v>426610</v>
      </c>
      <c r="G251" s="137" t="s">
        <v>37</v>
      </c>
      <c r="H251" s="137" t="s">
        <v>336</v>
      </c>
      <c r="I251" s="137">
        <v>313605</v>
      </c>
      <c r="J251" s="140">
        <v>313605</v>
      </c>
      <c r="K251" s="147"/>
      <c r="L251" s="148">
        <v>0</v>
      </c>
      <c r="M251" s="140">
        <v>35628.1</v>
      </c>
      <c r="N251" s="144">
        <f t="shared" si="30"/>
        <v>277976.90000000002</v>
      </c>
      <c r="O251" s="145"/>
      <c r="P251" s="145"/>
      <c r="Q251" s="145"/>
      <c r="R251" s="146"/>
      <c r="S251" s="139">
        <f t="shared" si="31"/>
        <v>277976.90000000002</v>
      </c>
      <c r="T251" s="172"/>
      <c r="U251" s="137" t="s">
        <v>336</v>
      </c>
      <c r="V251" s="261">
        <f t="shared" si="29"/>
        <v>222381.52000000002</v>
      </c>
      <c r="W251" s="261">
        <f t="shared" si="36"/>
        <v>222381.52000000002</v>
      </c>
      <c r="X251" s="261"/>
      <c r="Y251" s="176" t="s">
        <v>838</v>
      </c>
      <c r="Z251" s="176"/>
      <c r="AA251" s="186">
        <v>313605</v>
      </c>
      <c r="AB251" s="186">
        <v>35628.1</v>
      </c>
      <c r="AC251" s="176">
        <v>0</v>
      </c>
      <c r="AD251" s="176">
        <v>0</v>
      </c>
      <c r="AE251" s="186">
        <v>277976.90000000002</v>
      </c>
      <c r="AF251" s="35">
        <v>277976.90000000002</v>
      </c>
      <c r="AG251" s="212">
        <v>0</v>
      </c>
      <c r="AH251" s="212">
        <f t="shared" si="32"/>
        <v>55595.380000000005</v>
      </c>
      <c r="AI251" s="212" t="s">
        <v>336</v>
      </c>
      <c r="AJ251" s="212">
        <v>313605</v>
      </c>
      <c r="AK251" s="212">
        <v>35628.1</v>
      </c>
      <c r="AL251" s="212">
        <v>0</v>
      </c>
      <c r="AM251" s="212">
        <v>0</v>
      </c>
      <c r="AN251" s="212">
        <v>277976.90000000002</v>
      </c>
      <c r="AO251" s="176">
        <v>0</v>
      </c>
      <c r="AP251" s="176">
        <v>0</v>
      </c>
      <c r="AQ251" s="176">
        <v>0</v>
      </c>
      <c r="AR251" s="212">
        <f t="shared" si="33"/>
        <v>222381.52000000002</v>
      </c>
      <c r="AS251" s="212">
        <f t="shared" si="34"/>
        <v>35628.1</v>
      </c>
      <c r="AT251" s="473">
        <f t="shared" si="35"/>
        <v>-186753.42</v>
      </c>
      <c r="AU251" s="477"/>
    </row>
    <row r="252" spans="1:47" s="35" customFormat="1" ht="29" hidden="1" x14ac:dyDescent="0.35">
      <c r="A252" s="35" t="s">
        <v>1196</v>
      </c>
      <c r="B252" s="224" t="s">
        <v>948</v>
      </c>
      <c r="C252" s="222" t="s">
        <v>19</v>
      </c>
      <c r="D252" s="136">
        <v>8470450</v>
      </c>
      <c r="E252" s="137" t="s">
        <v>333</v>
      </c>
      <c r="F252" s="138">
        <v>428090</v>
      </c>
      <c r="G252" s="137" t="s">
        <v>39</v>
      </c>
      <c r="H252" s="137" t="s">
        <v>337</v>
      </c>
      <c r="I252" s="137">
        <v>30000</v>
      </c>
      <c r="J252" s="140">
        <v>2201</v>
      </c>
      <c r="K252" s="141">
        <v>2200</v>
      </c>
      <c r="L252" s="142"/>
      <c r="M252" s="143"/>
      <c r="N252" s="144">
        <f t="shared" si="30"/>
        <v>1</v>
      </c>
      <c r="O252" s="145"/>
      <c r="P252" s="145"/>
      <c r="Q252" s="145"/>
      <c r="R252" s="146"/>
      <c r="S252" s="139">
        <f t="shared" si="31"/>
        <v>1</v>
      </c>
      <c r="T252" s="172"/>
      <c r="U252" s="137" t="s">
        <v>337</v>
      </c>
      <c r="V252" s="261">
        <f t="shared" si="29"/>
        <v>0.8</v>
      </c>
      <c r="W252" s="261">
        <f t="shared" si="36"/>
        <v>0.8</v>
      </c>
      <c r="X252" s="261"/>
      <c r="Y252" s="176" t="s">
        <v>838</v>
      </c>
      <c r="Z252" s="176"/>
      <c r="AA252" s="186">
        <v>2201</v>
      </c>
      <c r="AB252" s="186">
        <v>2200</v>
      </c>
      <c r="AC252" s="176">
        <v>0</v>
      </c>
      <c r="AD252" s="176">
        <v>0</v>
      </c>
      <c r="AE252" s="186">
        <v>1</v>
      </c>
      <c r="AF252" s="35">
        <v>1</v>
      </c>
      <c r="AG252" s="212">
        <v>0</v>
      </c>
      <c r="AH252" s="212">
        <f t="shared" si="32"/>
        <v>0.19999999999999996</v>
      </c>
      <c r="AI252" s="212" t="s">
        <v>337</v>
      </c>
      <c r="AJ252" s="212">
        <v>2201</v>
      </c>
      <c r="AK252" s="212">
        <v>2200</v>
      </c>
      <c r="AL252" s="212">
        <v>0</v>
      </c>
      <c r="AM252" s="212">
        <v>0</v>
      </c>
      <c r="AN252" s="212">
        <v>1</v>
      </c>
      <c r="AO252" s="176">
        <v>0</v>
      </c>
      <c r="AP252" s="176">
        <v>0</v>
      </c>
      <c r="AQ252" s="176">
        <v>0</v>
      </c>
      <c r="AR252" s="212">
        <f t="shared" si="33"/>
        <v>0.8</v>
      </c>
      <c r="AS252" s="212">
        <f t="shared" si="34"/>
        <v>2200</v>
      </c>
      <c r="AT252" s="473">
        <f t="shared" si="35"/>
        <v>2199.1999999999998</v>
      </c>
      <c r="AU252" s="477"/>
    </row>
    <row r="253" spans="1:47" s="35" customFormat="1" ht="29" hidden="1" x14ac:dyDescent="0.35">
      <c r="A253" s="35" t="s">
        <v>1196</v>
      </c>
      <c r="B253" s="224" t="s">
        <v>948</v>
      </c>
      <c r="C253" s="222" t="s">
        <v>19</v>
      </c>
      <c r="D253" s="136">
        <v>8470450</v>
      </c>
      <c r="E253" s="137" t="s">
        <v>333</v>
      </c>
      <c r="F253" s="138">
        <v>432209</v>
      </c>
      <c r="G253" s="137" t="s">
        <v>132</v>
      </c>
      <c r="H253" s="137" t="s">
        <v>338</v>
      </c>
      <c r="I253" s="137">
        <v>118157</v>
      </c>
      <c r="J253" s="140">
        <v>118157</v>
      </c>
      <c r="K253" s="141">
        <v>5022.49</v>
      </c>
      <c r="L253" s="148">
        <v>39200</v>
      </c>
      <c r="M253" s="140">
        <v>29025.69</v>
      </c>
      <c r="N253" s="144">
        <f t="shared" si="30"/>
        <v>44908.819999999992</v>
      </c>
      <c r="O253" s="145"/>
      <c r="P253" s="145"/>
      <c r="Q253" s="145"/>
      <c r="R253" s="146"/>
      <c r="S253" s="139">
        <f t="shared" si="31"/>
        <v>44908.819999999992</v>
      </c>
      <c r="T253" s="172"/>
      <c r="U253" s="137" t="s">
        <v>338</v>
      </c>
      <c r="V253" s="261">
        <f t="shared" si="29"/>
        <v>35450.871999999996</v>
      </c>
      <c r="W253" s="261">
        <f t="shared" si="36"/>
        <v>35450.871999999996</v>
      </c>
      <c r="X253" s="261"/>
      <c r="Y253" s="176" t="s">
        <v>838</v>
      </c>
      <c r="Z253" s="176"/>
      <c r="AA253" s="186">
        <v>118157</v>
      </c>
      <c r="AB253" s="186">
        <v>12303.22</v>
      </c>
      <c r="AC253" s="176">
        <v>39200</v>
      </c>
      <c r="AD253" s="176">
        <v>21744.959999999999</v>
      </c>
      <c r="AE253" s="186">
        <v>44908.82</v>
      </c>
      <c r="AF253" s="35">
        <v>44908.82</v>
      </c>
      <c r="AG253" s="212">
        <v>0</v>
      </c>
      <c r="AH253" s="212">
        <f t="shared" si="32"/>
        <v>9457.948000000004</v>
      </c>
      <c r="AI253" s="212" t="s">
        <v>338</v>
      </c>
      <c r="AJ253" s="212">
        <v>118157</v>
      </c>
      <c r="AK253" s="212">
        <v>12898.45</v>
      </c>
      <c r="AL253" s="212">
        <v>39200</v>
      </c>
      <c r="AM253" s="212">
        <v>21744.959999999999</v>
      </c>
      <c r="AN253" s="212">
        <v>44313.59</v>
      </c>
      <c r="AO253" s="176">
        <v>0</v>
      </c>
      <c r="AP253" s="176">
        <v>0</v>
      </c>
      <c r="AQ253" s="176">
        <v>0</v>
      </c>
      <c r="AR253" s="212">
        <f t="shared" si="33"/>
        <v>35450.871999999996</v>
      </c>
      <c r="AS253" s="212">
        <f t="shared" si="34"/>
        <v>73248.179999999993</v>
      </c>
      <c r="AT253" s="473">
        <f t="shared" si="35"/>
        <v>38392.538000000008</v>
      </c>
      <c r="AU253" s="477"/>
    </row>
    <row r="254" spans="1:47" s="35" customFormat="1" ht="29" hidden="1" x14ac:dyDescent="0.35">
      <c r="A254" s="35" t="s">
        <v>1196</v>
      </c>
      <c r="B254" s="224" t="s">
        <v>948</v>
      </c>
      <c r="C254" s="222" t="s">
        <v>19</v>
      </c>
      <c r="D254" s="136">
        <v>8470450</v>
      </c>
      <c r="E254" s="137" t="s">
        <v>333</v>
      </c>
      <c r="F254" s="138">
        <v>435350</v>
      </c>
      <c r="G254" s="137" t="s">
        <v>79</v>
      </c>
      <c r="H254" s="137" t="s">
        <v>339</v>
      </c>
      <c r="I254" s="137">
        <v>40000</v>
      </c>
      <c r="J254" s="140">
        <v>21669</v>
      </c>
      <c r="K254" s="147"/>
      <c r="L254" s="142"/>
      <c r="M254" s="143"/>
      <c r="N254" s="144">
        <f t="shared" si="30"/>
        <v>21669</v>
      </c>
      <c r="O254" s="145"/>
      <c r="P254" s="145"/>
      <c r="Q254" s="145"/>
      <c r="R254" s="146"/>
      <c r="S254" s="139">
        <f t="shared" si="31"/>
        <v>21669</v>
      </c>
      <c r="T254" s="172"/>
      <c r="U254" s="137" t="s">
        <v>339</v>
      </c>
      <c r="V254" s="261">
        <f t="shared" ref="V254:V265" si="37">AN254*0.8</f>
        <v>9313.3680000000004</v>
      </c>
      <c r="W254" s="261">
        <f t="shared" si="36"/>
        <v>7353.8680000000004</v>
      </c>
      <c r="X254" s="261"/>
      <c r="Y254" s="176" t="s">
        <v>838</v>
      </c>
      <c r="Z254" s="176"/>
      <c r="AA254" s="186">
        <v>21669</v>
      </c>
      <c r="AB254" s="186">
        <v>0</v>
      </c>
      <c r="AC254" s="176">
        <v>0</v>
      </c>
      <c r="AD254" s="176">
        <v>0</v>
      </c>
      <c r="AE254" s="186">
        <v>21669</v>
      </c>
      <c r="AF254" s="35">
        <v>21669</v>
      </c>
      <c r="AG254" s="212">
        <v>0</v>
      </c>
      <c r="AH254" s="212">
        <f t="shared" si="32"/>
        <v>12355.632</v>
      </c>
      <c r="AI254" s="212" t="s">
        <v>339</v>
      </c>
      <c r="AJ254" s="212">
        <v>21669</v>
      </c>
      <c r="AK254" s="212">
        <v>10027.290000000001</v>
      </c>
      <c r="AL254" s="212">
        <v>0</v>
      </c>
      <c r="AM254" s="212">
        <v>0</v>
      </c>
      <c r="AN254" s="212">
        <v>11641.71</v>
      </c>
      <c r="AO254" s="176">
        <v>1959.5</v>
      </c>
      <c r="AP254" s="176">
        <v>0</v>
      </c>
      <c r="AQ254" s="176">
        <v>0</v>
      </c>
      <c r="AR254" s="212">
        <f t="shared" si="33"/>
        <v>7353.8680000000004</v>
      </c>
      <c r="AS254" s="212">
        <f t="shared" si="34"/>
        <v>1959.5</v>
      </c>
      <c r="AT254" s="473">
        <f t="shared" si="35"/>
        <v>4632.9220000000005</v>
      </c>
      <c r="AU254" s="477"/>
    </row>
    <row r="255" spans="1:47" s="35" customFormat="1" ht="29" hidden="1" x14ac:dyDescent="0.35">
      <c r="A255" s="35" t="s">
        <v>1196</v>
      </c>
      <c r="B255" s="224" t="s">
        <v>948</v>
      </c>
      <c r="C255" s="222" t="s">
        <v>19</v>
      </c>
      <c r="D255" s="136">
        <v>8470450</v>
      </c>
      <c r="E255" s="137" t="s">
        <v>333</v>
      </c>
      <c r="F255" s="138">
        <v>435508</v>
      </c>
      <c r="G255" s="137" t="s">
        <v>135</v>
      </c>
      <c r="H255" s="137" t="s">
        <v>340</v>
      </c>
      <c r="I255" s="137">
        <v>6500</v>
      </c>
      <c r="J255" s="140">
        <v>16500</v>
      </c>
      <c r="K255" s="147"/>
      <c r="L255" s="148">
        <v>7272.54</v>
      </c>
      <c r="M255" s="140">
        <v>4700</v>
      </c>
      <c r="N255" s="144">
        <f t="shared" si="30"/>
        <v>4527.4599999999991</v>
      </c>
      <c r="O255" s="145"/>
      <c r="P255" s="145"/>
      <c r="Q255" s="145"/>
      <c r="R255" s="146"/>
      <c r="S255" s="139">
        <f t="shared" si="31"/>
        <v>4527.4599999999991</v>
      </c>
      <c r="T255" s="172"/>
      <c r="U255" s="137" t="s">
        <v>340</v>
      </c>
      <c r="V255" s="261">
        <f t="shared" si="37"/>
        <v>6106.8320000000003</v>
      </c>
      <c r="W255" s="261">
        <f t="shared" si="36"/>
        <v>6106.8320000000003</v>
      </c>
      <c r="X255" s="261"/>
      <c r="Y255" s="176" t="s">
        <v>838</v>
      </c>
      <c r="Z255" s="176"/>
      <c r="AA255" s="186">
        <v>16500</v>
      </c>
      <c r="AB255" s="186">
        <v>194.43</v>
      </c>
      <c r="AC255" s="176">
        <v>-235</v>
      </c>
      <c r="AD255" s="176">
        <v>8907.0300000000007</v>
      </c>
      <c r="AE255" s="186">
        <v>7633.5399999999991</v>
      </c>
      <c r="AF255" s="35">
        <v>7633.54</v>
      </c>
      <c r="AG255" s="212">
        <v>0</v>
      </c>
      <c r="AH255" s="212">
        <f t="shared" si="32"/>
        <v>1526.7079999999987</v>
      </c>
      <c r="AI255" s="212" t="s">
        <v>340</v>
      </c>
      <c r="AJ255" s="212">
        <v>16500</v>
      </c>
      <c r="AK255" s="212">
        <v>9101.4599999999991</v>
      </c>
      <c r="AL255" s="212">
        <v>-235</v>
      </c>
      <c r="AM255" s="212">
        <v>0</v>
      </c>
      <c r="AN255" s="212">
        <v>7633.54</v>
      </c>
      <c r="AO255" s="176">
        <v>0</v>
      </c>
      <c r="AP255" s="176">
        <v>0</v>
      </c>
      <c r="AQ255" s="176">
        <v>0</v>
      </c>
      <c r="AR255" s="212">
        <f t="shared" si="33"/>
        <v>6106.8320000000003</v>
      </c>
      <c r="AS255" s="212">
        <f t="shared" si="34"/>
        <v>8866.4600000000009</v>
      </c>
      <c r="AT255" s="473">
        <f t="shared" si="35"/>
        <v>2759.6279999999988</v>
      </c>
      <c r="AU255" s="477"/>
    </row>
    <row r="256" spans="1:47" s="35" customFormat="1" ht="29" hidden="1" x14ac:dyDescent="0.35">
      <c r="A256" s="35" t="s">
        <v>1196</v>
      </c>
      <c r="B256" s="224" t="s">
        <v>948</v>
      </c>
      <c r="C256" s="222" t="s">
        <v>19</v>
      </c>
      <c r="D256" s="136">
        <v>8470455</v>
      </c>
      <c r="E256" s="137" t="s">
        <v>341</v>
      </c>
      <c r="F256" s="138">
        <v>425760</v>
      </c>
      <c r="G256" s="137" t="s">
        <v>142</v>
      </c>
      <c r="H256" s="137" t="s">
        <v>342</v>
      </c>
      <c r="I256" s="137">
        <v>10000</v>
      </c>
      <c r="J256" s="140">
        <v>10000</v>
      </c>
      <c r="K256" s="147"/>
      <c r="L256" s="142"/>
      <c r="M256" s="143"/>
      <c r="N256" s="144">
        <f t="shared" si="30"/>
        <v>10000</v>
      </c>
      <c r="O256" s="145"/>
      <c r="P256" s="145"/>
      <c r="Q256" s="145"/>
      <c r="R256" s="146"/>
      <c r="S256" s="139">
        <f t="shared" si="31"/>
        <v>10000</v>
      </c>
      <c r="T256" s="172"/>
      <c r="U256" s="137" t="s">
        <v>342</v>
      </c>
      <c r="V256" s="261">
        <f t="shared" si="37"/>
        <v>8000</v>
      </c>
      <c r="W256" s="261">
        <f t="shared" si="36"/>
        <v>8000</v>
      </c>
      <c r="X256" s="261"/>
      <c r="Y256" s="176" t="s">
        <v>838</v>
      </c>
      <c r="Z256" s="176"/>
      <c r="AA256" s="186">
        <v>10000</v>
      </c>
      <c r="AB256" s="186">
        <v>0</v>
      </c>
      <c r="AC256" s="176">
        <v>0</v>
      </c>
      <c r="AD256" s="176">
        <v>0</v>
      </c>
      <c r="AE256" s="186">
        <v>10000</v>
      </c>
      <c r="AF256" s="35">
        <v>10000</v>
      </c>
      <c r="AG256" s="212">
        <v>0</v>
      </c>
      <c r="AH256" s="212">
        <f t="shared" si="32"/>
        <v>2000</v>
      </c>
      <c r="AI256" s="212" t="s">
        <v>342</v>
      </c>
      <c r="AJ256" s="212">
        <v>10000</v>
      </c>
      <c r="AK256" s="212">
        <v>0</v>
      </c>
      <c r="AL256" s="212">
        <v>0</v>
      </c>
      <c r="AM256" s="212">
        <v>0</v>
      </c>
      <c r="AN256" s="212">
        <v>10000</v>
      </c>
      <c r="AO256" s="176">
        <v>0</v>
      </c>
      <c r="AP256" s="176">
        <v>0</v>
      </c>
      <c r="AQ256" s="176">
        <v>0</v>
      </c>
      <c r="AR256" s="212">
        <f t="shared" si="33"/>
        <v>8000</v>
      </c>
      <c r="AS256" s="212">
        <f t="shared" si="34"/>
        <v>0</v>
      </c>
      <c r="AT256" s="473">
        <f t="shared" si="35"/>
        <v>-8000</v>
      </c>
      <c r="AU256" s="477"/>
    </row>
    <row r="257" spans="1:47" s="35" customFormat="1" ht="29" hidden="1" x14ac:dyDescent="0.35">
      <c r="A257" s="35" t="s">
        <v>1196</v>
      </c>
      <c r="B257" s="224" t="s">
        <v>948</v>
      </c>
      <c r="C257" s="222" t="s">
        <v>19</v>
      </c>
      <c r="D257" s="136">
        <v>8470455</v>
      </c>
      <c r="E257" s="137" t="s">
        <v>341</v>
      </c>
      <c r="F257" s="138">
        <v>425770</v>
      </c>
      <c r="G257" s="137" t="s">
        <v>74</v>
      </c>
      <c r="H257" s="137" t="s">
        <v>343</v>
      </c>
      <c r="I257" s="137">
        <v>80000</v>
      </c>
      <c r="J257" s="140">
        <v>43337</v>
      </c>
      <c r="K257" s="141">
        <v>14292.39</v>
      </c>
      <c r="L257" s="142"/>
      <c r="M257" s="143"/>
      <c r="N257" s="144">
        <f t="shared" si="30"/>
        <v>29044.61</v>
      </c>
      <c r="O257" s="145"/>
      <c r="P257" s="145"/>
      <c r="Q257" s="145"/>
      <c r="R257" s="146"/>
      <c r="S257" s="139">
        <f t="shared" si="31"/>
        <v>29044.61</v>
      </c>
      <c r="T257" s="172"/>
      <c r="U257" s="137" t="s">
        <v>343</v>
      </c>
      <c r="V257" s="261">
        <f t="shared" si="37"/>
        <v>11258.088000000002</v>
      </c>
      <c r="W257" s="261">
        <f t="shared" si="36"/>
        <v>11258.088000000002</v>
      </c>
      <c r="X257" s="261"/>
      <c r="Y257" s="176" t="s">
        <v>838</v>
      </c>
      <c r="Z257" s="176"/>
      <c r="AA257" s="186">
        <v>43337</v>
      </c>
      <c r="AB257" s="186">
        <v>20714.39</v>
      </c>
      <c r="AC257" s="176">
        <v>0</v>
      </c>
      <c r="AD257" s="176">
        <v>0</v>
      </c>
      <c r="AE257" s="186">
        <v>22622.61</v>
      </c>
      <c r="AF257" s="35">
        <v>22622.61</v>
      </c>
      <c r="AG257" s="212">
        <v>0</v>
      </c>
      <c r="AH257" s="212">
        <f t="shared" si="32"/>
        <v>11364.521999999999</v>
      </c>
      <c r="AI257" s="212" t="s">
        <v>343</v>
      </c>
      <c r="AJ257" s="212">
        <v>43337</v>
      </c>
      <c r="AK257" s="212">
        <v>29264.39</v>
      </c>
      <c r="AL257" s="212">
        <v>0</v>
      </c>
      <c r="AM257" s="212">
        <v>0</v>
      </c>
      <c r="AN257" s="212">
        <v>14072.61</v>
      </c>
      <c r="AO257" s="176">
        <v>0</v>
      </c>
      <c r="AP257" s="176">
        <v>0</v>
      </c>
      <c r="AQ257" s="176">
        <v>0</v>
      </c>
      <c r="AR257" s="212">
        <f t="shared" si="33"/>
        <v>11258.088000000002</v>
      </c>
      <c r="AS257" s="212">
        <f t="shared" si="34"/>
        <v>20714.39</v>
      </c>
      <c r="AT257" s="473">
        <f t="shared" si="35"/>
        <v>18006.301999999996</v>
      </c>
      <c r="AU257" s="477"/>
    </row>
    <row r="258" spans="1:47" s="35" customFormat="1" ht="29" hidden="1" x14ac:dyDescent="0.35">
      <c r="A258" s="35" t="s">
        <v>1196</v>
      </c>
      <c r="B258" s="224" t="s">
        <v>948</v>
      </c>
      <c r="C258" s="222" t="s">
        <v>19</v>
      </c>
      <c r="D258" s="136">
        <v>8470455</v>
      </c>
      <c r="E258" s="137" t="s">
        <v>341</v>
      </c>
      <c r="F258" s="138">
        <v>425900</v>
      </c>
      <c r="G258" s="137" t="s">
        <v>35</v>
      </c>
      <c r="H258" s="137" t="s">
        <v>344</v>
      </c>
      <c r="I258" s="137">
        <v>15000</v>
      </c>
      <c r="J258" s="140">
        <v>15000</v>
      </c>
      <c r="K258" s="141">
        <v>1800</v>
      </c>
      <c r="L258" s="142"/>
      <c r="M258" s="143"/>
      <c r="N258" s="144">
        <f t="shared" ref="N258:N322" si="38">J258-K258-L258-M258</f>
        <v>13200</v>
      </c>
      <c r="O258" s="145"/>
      <c r="P258" s="145"/>
      <c r="Q258" s="145"/>
      <c r="R258" s="146"/>
      <c r="S258" s="139">
        <f t="shared" ref="S258:S325" si="39">N258-O258-P258-Q258</f>
        <v>13200</v>
      </c>
      <c r="T258" s="172"/>
      <c r="U258" s="137" t="s">
        <v>344</v>
      </c>
      <c r="V258" s="261">
        <f t="shared" si="37"/>
        <v>7983.9840000000004</v>
      </c>
      <c r="W258" s="261">
        <f t="shared" si="36"/>
        <v>7983.9840000000004</v>
      </c>
      <c r="X258" s="261"/>
      <c r="Y258" s="176" t="s">
        <v>838</v>
      </c>
      <c r="Z258" s="176"/>
      <c r="AA258" s="186">
        <v>15000</v>
      </c>
      <c r="AB258" s="186">
        <v>2020.02</v>
      </c>
      <c r="AC258" s="176">
        <v>0</v>
      </c>
      <c r="AD258" s="176">
        <v>0</v>
      </c>
      <c r="AE258" s="186">
        <v>12979.98</v>
      </c>
      <c r="AF258" s="35">
        <v>12979.98</v>
      </c>
      <c r="AG258" s="212">
        <v>0</v>
      </c>
      <c r="AH258" s="212">
        <f t="shared" ref="AH258:AH321" si="40">AE258-V258</f>
        <v>4995.9959999999992</v>
      </c>
      <c r="AI258" s="212" t="s">
        <v>344</v>
      </c>
      <c r="AJ258" s="212">
        <v>15000</v>
      </c>
      <c r="AK258" s="212">
        <v>5020.0200000000004</v>
      </c>
      <c r="AL258" s="212">
        <v>0</v>
      </c>
      <c r="AM258" s="212">
        <v>0</v>
      </c>
      <c r="AN258" s="212">
        <v>9979.98</v>
      </c>
      <c r="AO258" s="176">
        <v>0</v>
      </c>
      <c r="AP258" s="176">
        <v>0</v>
      </c>
      <c r="AQ258" s="176">
        <v>0</v>
      </c>
      <c r="AR258" s="212">
        <f t="shared" ref="AR258:AR321" si="41">V258-AO258-AP258-AQ258</f>
        <v>7983.9840000000004</v>
      </c>
      <c r="AS258" s="212">
        <f t="shared" ref="AS258:AS321" si="42">AB258+AC258+AD258+Q258+AO258+AP258+AQ258</f>
        <v>2020.02</v>
      </c>
      <c r="AT258" s="473">
        <f t="shared" ref="AT258:AT321" si="43">AK258+AL258+AM258+AO258+AP258+AQ258+X258+Q258-W258</f>
        <v>-2963.9639999999999</v>
      </c>
      <c r="AU258" s="477"/>
    </row>
    <row r="259" spans="1:47" s="35" customFormat="1" ht="29" hidden="1" x14ac:dyDescent="0.35">
      <c r="A259" s="35" t="s">
        <v>1196</v>
      </c>
      <c r="B259" s="224" t="s">
        <v>948</v>
      </c>
      <c r="C259" s="222" t="s">
        <v>19</v>
      </c>
      <c r="D259" s="136">
        <v>8470455</v>
      </c>
      <c r="E259" s="137" t="s">
        <v>341</v>
      </c>
      <c r="F259" s="138">
        <v>426610</v>
      </c>
      <c r="G259" s="137" t="s">
        <v>37</v>
      </c>
      <c r="H259" s="137" t="s">
        <v>345</v>
      </c>
      <c r="I259" s="137">
        <v>50000</v>
      </c>
      <c r="J259" s="140">
        <v>50000</v>
      </c>
      <c r="K259" s="141">
        <v>119.56</v>
      </c>
      <c r="L259" s="148">
        <v>0</v>
      </c>
      <c r="M259" s="140">
        <v>27088.38</v>
      </c>
      <c r="N259" s="144">
        <f t="shared" si="38"/>
        <v>22792.06</v>
      </c>
      <c r="O259" s="145"/>
      <c r="P259" s="145"/>
      <c r="Q259" s="145"/>
      <c r="R259" s="146"/>
      <c r="S259" s="139">
        <f t="shared" si="39"/>
        <v>22792.06</v>
      </c>
      <c r="T259" s="172"/>
      <c r="U259" s="137" t="s">
        <v>345</v>
      </c>
      <c r="V259" s="261">
        <f t="shared" si="37"/>
        <v>15651.807999999999</v>
      </c>
      <c r="W259" s="261">
        <f t="shared" ref="W259:W322" si="44">V259-(AO259+AP259+AQ259)</f>
        <v>15651.807999999999</v>
      </c>
      <c r="X259" s="261"/>
      <c r="Y259" s="176" t="s">
        <v>838</v>
      </c>
      <c r="Z259" s="176"/>
      <c r="AA259" s="186">
        <v>50000</v>
      </c>
      <c r="AB259" s="186">
        <v>27207.94</v>
      </c>
      <c r="AC259" s="176">
        <v>0</v>
      </c>
      <c r="AD259" s="176">
        <v>0</v>
      </c>
      <c r="AE259" s="186">
        <v>22792.06</v>
      </c>
      <c r="AF259" s="35">
        <v>22792.06</v>
      </c>
      <c r="AG259" s="212">
        <v>0</v>
      </c>
      <c r="AH259" s="212">
        <f t="shared" si="40"/>
        <v>7140.2520000000022</v>
      </c>
      <c r="AI259" s="212" t="s">
        <v>345</v>
      </c>
      <c r="AJ259" s="212">
        <v>50000</v>
      </c>
      <c r="AK259" s="212">
        <v>30435.24</v>
      </c>
      <c r="AL259" s="212">
        <v>0</v>
      </c>
      <c r="AM259" s="212">
        <v>0</v>
      </c>
      <c r="AN259" s="212">
        <v>19564.759999999998</v>
      </c>
      <c r="AO259" s="176">
        <v>0</v>
      </c>
      <c r="AP259" s="176">
        <v>0</v>
      </c>
      <c r="AQ259" s="176">
        <v>0</v>
      </c>
      <c r="AR259" s="212">
        <f t="shared" si="41"/>
        <v>15651.807999999999</v>
      </c>
      <c r="AS259" s="212">
        <f t="shared" si="42"/>
        <v>27207.94</v>
      </c>
      <c r="AT259" s="473">
        <f t="shared" si="43"/>
        <v>14783.432000000003</v>
      </c>
      <c r="AU259" s="477"/>
    </row>
    <row r="260" spans="1:47" s="35" customFormat="1" ht="29" hidden="1" x14ac:dyDescent="0.35">
      <c r="A260" s="35" t="s">
        <v>1196</v>
      </c>
      <c r="B260" s="224" t="s">
        <v>948</v>
      </c>
      <c r="C260" s="222" t="s">
        <v>19</v>
      </c>
      <c r="D260" s="136">
        <v>8470455</v>
      </c>
      <c r="E260" s="137" t="s">
        <v>341</v>
      </c>
      <c r="F260" s="138">
        <v>428090</v>
      </c>
      <c r="G260" s="137" t="s">
        <v>39</v>
      </c>
      <c r="H260" s="137" t="s">
        <v>346</v>
      </c>
      <c r="I260" s="137">
        <v>50000</v>
      </c>
      <c r="J260" s="140">
        <v>48000</v>
      </c>
      <c r="K260" s="147"/>
      <c r="L260" s="142"/>
      <c r="M260" s="143"/>
      <c r="N260" s="144">
        <f t="shared" si="38"/>
        <v>48000</v>
      </c>
      <c r="O260" s="145"/>
      <c r="P260" s="145"/>
      <c r="Q260" s="145"/>
      <c r="R260" s="146"/>
      <c r="S260" s="139">
        <f t="shared" si="39"/>
        <v>48000</v>
      </c>
      <c r="T260" s="172"/>
      <c r="U260" s="137" t="s">
        <v>346</v>
      </c>
      <c r="V260" s="261">
        <f t="shared" si="37"/>
        <v>38400</v>
      </c>
      <c r="W260" s="261">
        <f t="shared" si="44"/>
        <v>38400</v>
      </c>
      <c r="X260" s="261"/>
      <c r="Y260" s="176" t="s">
        <v>838</v>
      </c>
      <c r="Z260" s="176"/>
      <c r="AA260" s="186">
        <v>48000</v>
      </c>
      <c r="AB260" s="186">
        <v>0</v>
      </c>
      <c r="AC260" s="176">
        <v>0</v>
      </c>
      <c r="AD260" s="176">
        <v>0</v>
      </c>
      <c r="AE260" s="186">
        <v>48000</v>
      </c>
      <c r="AF260" s="35">
        <v>48000</v>
      </c>
      <c r="AG260" s="212">
        <v>0</v>
      </c>
      <c r="AH260" s="212">
        <f t="shared" si="40"/>
        <v>9600</v>
      </c>
      <c r="AI260" s="212" t="s">
        <v>346</v>
      </c>
      <c r="AJ260" s="212">
        <v>48000</v>
      </c>
      <c r="AK260" s="212">
        <v>0</v>
      </c>
      <c r="AL260" s="212">
        <v>0</v>
      </c>
      <c r="AM260" s="212">
        <v>0</v>
      </c>
      <c r="AN260" s="212">
        <v>48000</v>
      </c>
      <c r="AO260" s="176">
        <v>0</v>
      </c>
      <c r="AP260" s="176">
        <v>0</v>
      </c>
      <c r="AQ260" s="176">
        <v>0</v>
      </c>
      <c r="AR260" s="212">
        <f t="shared" si="41"/>
        <v>38400</v>
      </c>
      <c r="AS260" s="212">
        <f t="shared" si="42"/>
        <v>0</v>
      </c>
      <c r="AT260" s="473">
        <f t="shared" si="43"/>
        <v>-38400</v>
      </c>
      <c r="AU260" s="477"/>
    </row>
    <row r="261" spans="1:47" s="35" customFormat="1" ht="29" hidden="1" x14ac:dyDescent="0.35">
      <c r="A261" s="35" t="s">
        <v>1196</v>
      </c>
      <c r="B261" s="224" t="s">
        <v>948</v>
      </c>
      <c r="C261" s="222" t="s">
        <v>19</v>
      </c>
      <c r="D261" s="136">
        <v>8470455</v>
      </c>
      <c r="E261" s="137" t="s">
        <v>341</v>
      </c>
      <c r="F261" s="138">
        <v>428640</v>
      </c>
      <c r="G261" s="137" t="s">
        <v>43</v>
      </c>
      <c r="H261" s="137" t="s">
        <v>347</v>
      </c>
      <c r="I261" s="137">
        <v>5000</v>
      </c>
      <c r="J261" s="140">
        <v>2537</v>
      </c>
      <c r="K261" s="147"/>
      <c r="L261" s="142"/>
      <c r="M261" s="143"/>
      <c r="N261" s="144">
        <f t="shared" si="38"/>
        <v>2537</v>
      </c>
      <c r="O261" s="145"/>
      <c r="P261" s="145"/>
      <c r="Q261" s="145"/>
      <c r="R261" s="146"/>
      <c r="S261" s="139">
        <f t="shared" si="39"/>
        <v>2537</v>
      </c>
      <c r="T261" s="172"/>
      <c r="U261" s="137" t="s">
        <v>347</v>
      </c>
      <c r="V261" s="261">
        <f t="shared" si="37"/>
        <v>2029.6000000000001</v>
      </c>
      <c r="W261" s="261">
        <f t="shared" si="44"/>
        <v>2029.6000000000001</v>
      </c>
      <c r="X261" s="261"/>
      <c r="Y261" s="176" t="s">
        <v>838</v>
      </c>
      <c r="Z261" s="176"/>
      <c r="AA261" s="186">
        <v>2537</v>
      </c>
      <c r="AB261" s="186">
        <v>0</v>
      </c>
      <c r="AC261" s="176">
        <v>0</v>
      </c>
      <c r="AD261" s="176">
        <v>0</v>
      </c>
      <c r="AE261" s="186">
        <v>2537</v>
      </c>
      <c r="AF261" s="35">
        <v>2537</v>
      </c>
      <c r="AG261" s="212">
        <v>0</v>
      </c>
      <c r="AH261" s="212">
        <f t="shared" si="40"/>
        <v>507.39999999999986</v>
      </c>
      <c r="AI261" s="212" t="s">
        <v>347</v>
      </c>
      <c r="AJ261" s="212">
        <v>2537</v>
      </c>
      <c r="AK261" s="212">
        <v>0</v>
      </c>
      <c r="AL261" s="212">
        <v>0</v>
      </c>
      <c r="AM261" s="212">
        <v>0</v>
      </c>
      <c r="AN261" s="212">
        <v>2537</v>
      </c>
      <c r="AO261" s="176">
        <v>0</v>
      </c>
      <c r="AP261" s="176">
        <v>0</v>
      </c>
      <c r="AQ261" s="176">
        <v>0</v>
      </c>
      <c r="AR261" s="212">
        <f t="shared" si="41"/>
        <v>2029.6000000000001</v>
      </c>
      <c r="AS261" s="212">
        <f t="shared" si="42"/>
        <v>0</v>
      </c>
      <c r="AT261" s="473">
        <f t="shared" si="43"/>
        <v>-2029.6000000000001</v>
      </c>
      <c r="AU261" s="477"/>
    </row>
    <row r="262" spans="1:47" s="35" customFormat="1" ht="29" hidden="1" x14ac:dyDescent="0.35">
      <c r="A262" s="35" t="s">
        <v>1196</v>
      </c>
      <c r="B262" s="224" t="s">
        <v>948</v>
      </c>
      <c r="C262" s="222" t="s">
        <v>19</v>
      </c>
      <c r="D262" s="136">
        <v>8470455</v>
      </c>
      <c r="E262" s="137" t="s">
        <v>341</v>
      </c>
      <c r="F262" s="138">
        <v>432209</v>
      </c>
      <c r="G262" s="137" t="s">
        <v>132</v>
      </c>
      <c r="H262" s="137" t="s">
        <v>348</v>
      </c>
      <c r="I262" s="137">
        <v>300000</v>
      </c>
      <c r="J262" s="140">
        <v>300000</v>
      </c>
      <c r="K262" s="147"/>
      <c r="L262" s="142"/>
      <c r="M262" s="143"/>
      <c r="N262" s="144">
        <f t="shared" si="38"/>
        <v>300000</v>
      </c>
      <c r="O262" s="145"/>
      <c r="P262" s="145"/>
      <c r="Q262" s="145"/>
      <c r="R262" s="146"/>
      <c r="S262" s="139">
        <f t="shared" si="39"/>
        <v>300000</v>
      </c>
      <c r="T262" s="172"/>
      <c r="U262" s="137" t="s">
        <v>348</v>
      </c>
      <c r="V262" s="261">
        <f t="shared" si="37"/>
        <v>1840</v>
      </c>
      <c r="W262" s="261">
        <f t="shared" si="44"/>
        <v>1840</v>
      </c>
      <c r="X262" s="261"/>
      <c r="Y262" s="176" t="s">
        <v>838</v>
      </c>
      <c r="Z262" s="176"/>
      <c r="AA262" s="186">
        <v>300000</v>
      </c>
      <c r="AB262" s="186">
        <v>2200</v>
      </c>
      <c r="AC262" s="176">
        <v>0</v>
      </c>
      <c r="AD262" s="176">
        <v>295500</v>
      </c>
      <c r="AE262" s="186">
        <v>2300</v>
      </c>
      <c r="AF262" s="35">
        <v>2300</v>
      </c>
      <c r="AG262" s="212">
        <v>0</v>
      </c>
      <c r="AH262" s="212">
        <f t="shared" si="40"/>
        <v>460</v>
      </c>
      <c r="AI262" s="212" t="s">
        <v>348</v>
      </c>
      <c r="AJ262" s="212">
        <v>300000</v>
      </c>
      <c r="AK262" s="212">
        <v>2200</v>
      </c>
      <c r="AL262" s="212">
        <v>0</v>
      </c>
      <c r="AM262" s="212">
        <v>295500</v>
      </c>
      <c r="AN262" s="212">
        <v>2300</v>
      </c>
      <c r="AO262" s="176">
        <v>0</v>
      </c>
      <c r="AP262" s="176">
        <v>0</v>
      </c>
      <c r="AQ262" s="176">
        <v>0</v>
      </c>
      <c r="AR262" s="212">
        <f t="shared" si="41"/>
        <v>1840</v>
      </c>
      <c r="AS262" s="212">
        <f t="shared" si="42"/>
        <v>297700</v>
      </c>
      <c r="AT262" s="473">
        <f t="shared" si="43"/>
        <v>295860</v>
      </c>
      <c r="AU262" s="477"/>
    </row>
    <row r="263" spans="1:47" s="35" customFormat="1" ht="29" hidden="1" x14ac:dyDescent="0.35">
      <c r="A263" s="35" t="s">
        <v>1196</v>
      </c>
      <c r="B263" s="224" t="s">
        <v>948</v>
      </c>
      <c r="C263" s="222" t="s">
        <v>19</v>
      </c>
      <c r="D263" s="136">
        <v>8470455</v>
      </c>
      <c r="E263" s="137" t="s">
        <v>341</v>
      </c>
      <c r="F263" s="138">
        <v>435350</v>
      </c>
      <c r="G263" s="137" t="s">
        <v>79</v>
      </c>
      <c r="H263" s="137" t="s">
        <v>349</v>
      </c>
      <c r="I263" s="137">
        <v>80000</v>
      </c>
      <c r="J263" s="140">
        <v>80000</v>
      </c>
      <c r="K263" s="141">
        <v>25142.2</v>
      </c>
      <c r="L263" s="142"/>
      <c r="M263" s="143"/>
      <c r="N263" s="144">
        <f t="shared" si="38"/>
        <v>54857.8</v>
      </c>
      <c r="O263" s="145"/>
      <c r="P263" s="145"/>
      <c r="Q263" s="145"/>
      <c r="R263" s="146"/>
      <c r="S263" s="139">
        <f t="shared" si="39"/>
        <v>54857.8</v>
      </c>
      <c r="T263" s="172"/>
      <c r="U263" s="137" t="s">
        <v>349</v>
      </c>
      <c r="V263" s="261">
        <f t="shared" si="37"/>
        <v>37448.496000000006</v>
      </c>
      <c r="W263" s="261">
        <f t="shared" si="44"/>
        <v>37448.496000000006</v>
      </c>
      <c r="X263" s="261"/>
      <c r="Y263" s="176" t="s">
        <v>838</v>
      </c>
      <c r="Z263" s="176"/>
      <c r="AA263" s="186">
        <v>80000</v>
      </c>
      <c r="AB263" s="186">
        <v>33189.379999999997</v>
      </c>
      <c r="AC263" s="176">
        <v>0</v>
      </c>
      <c r="AD263" s="176">
        <v>0</v>
      </c>
      <c r="AE263" s="186">
        <v>46810.62</v>
      </c>
      <c r="AF263" s="35">
        <v>46810.62</v>
      </c>
      <c r="AG263" s="212">
        <v>0</v>
      </c>
      <c r="AH263" s="212">
        <f t="shared" si="40"/>
        <v>9362.1239999999962</v>
      </c>
      <c r="AI263" s="212" t="s">
        <v>349</v>
      </c>
      <c r="AJ263" s="212">
        <v>80000</v>
      </c>
      <c r="AK263" s="212">
        <v>33189.379999999997</v>
      </c>
      <c r="AL263" s="212">
        <v>0</v>
      </c>
      <c r="AM263" s="212">
        <v>0</v>
      </c>
      <c r="AN263" s="212">
        <v>46810.62</v>
      </c>
      <c r="AO263" s="176">
        <v>0</v>
      </c>
      <c r="AP263" s="176">
        <v>0</v>
      </c>
      <c r="AQ263" s="176">
        <v>0</v>
      </c>
      <c r="AR263" s="212">
        <f t="shared" si="41"/>
        <v>37448.496000000006</v>
      </c>
      <c r="AS263" s="212">
        <f t="shared" si="42"/>
        <v>33189.379999999997</v>
      </c>
      <c r="AT263" s="473">
        <f t="shared" si="43"/>
        <v>-4259.1160000000091</v>
      </c>
      <c r="AU263" s="477"/>
    </row>
    <row r="264" spans="1:47" s="35" customFormat="1" ht="29" hidden="1" x14ac:dyDescent="0.35">
      <c r="A264" s="35" t="s">
        <v>1196</v>
      </c>
      <c r="B264" s="224" t="s">
        <v>948</v>
      </c>
      <c r="C264" s="222" t="s">
        <v>19</v>
      </c>
      <c r="D264" s="136">
        <v>8470455</v>
      </c>
      <c r="E264" s="137" t="s">
        <v>341</v>
      </c>
      <c r="F264" s="138">
        <v>435508</v>
      </c>
      <c r="G264" s="137" t="s">
        <v>135</v>
      </c>
      <c r="H264" s="137" t="s">
        <v>350</v>
      </c>
      <c r="I264" s="137">
        <v>675000</v>
      </c>
      <c r="J264" s="140">
        <v>675000</v>
      </c>
      <c r="K264" s="141">
        <v>42948.14</v>
      </c>
      <c r="L264" s="148">
        <v>264300</v>
      </c>
      <c r="M264" s="140">
        <v>189167.27</v>
      </c>
      <c r="N264" s="144">
        <f t="shared" si="38"/>
        <v>178584.59</v>
      </c>
      <c r="O264" s="145"/>
      <c r="P264" s="145"/>
      <c r="Q264" s="145"/>
      <c r="R264" s="146"/>
      <c r="S264" s="139">
        <f t="shared" si="39"/>
        <v>178584.59</v>
      </c>
      <c r="T264" s="172"/>
      <c r="U264" s="137" t="s">
        <v>350</v>
      </c>
      <c r="V264" s="261">
        <f t="shared" si="37"/>
        <v>147643.976</v>
      </c>
      <c r="W264" s="261">
        <f t="shared" si="44"/>
        <v>134002.81599999999</v>
      </c>
      <c r="X264" s="261"/>
      <c r="Y264" s="176" t="s">
        <v>838</v>
      </c>
      <c r="Z264" s="176"/>
      <c r="AA264" s="186">
        <v>675000</v>
      </c>
      <c r="AB264" s="186">
        <v>134218.60999999999</v>
      </c>
      <c r="AC264" s="176">
        <v>0</v>
      </c>
      <c r="AD264" s="176">
        <v>339502</v>
      </c>
      <c r="AE264" s="186">
        <v>201279.39</v>
      </c>
      <c r="AF264" s="35">
        <v>201279.39</v>
      </c>
      <c r="AG264" s="212">
        <v>0</v>
      </c>
      <c r="AH264" s="212">
        <f t="shared" si="40"/>
        <v>53635.414000000019</v>
      </c>
      <c r="AI264" s="212" t="s">
        <v>350</v>
      </c>
      <c r="AJ264" s="212">
        <v>675000</v>
      </c>
      <c r="AK264" s="212">
        <v>279480.03000000003</v>
      </c>
      <c r="AL264" s="212">
        <v>0</v>
      </c>
      <c r="AM264" s="212">
        <v>210965</v>
      </c>
      <c r="AN264" s="212">
        <v>184554.97</v>
      </c>
      <c r="AO264" s="176">
        <v>2664.02</v>
      </c>
      <c r="AP264" s="176">
        <v>10977.14</v>
      </c>
      <c r="AQ264" s="176">
        <v>0</v>
      </c>
      <c r="AR264" s="212">
        <f t="shared" si="41"/>
        <v>134002.81599999999</v>
      </c>
      <c r="AS264" s="212">
        <f t="shared" si="42"/>
        <v>487361.77</v>
      </c>
      <c r="AT264" s="473">
        <f t="shared" si="43"/>
        <v>370083.37400000007</v>
      </c>
      <c r="AU264" s="477"/>
    </row>
    <row r="265" spans="1:47" s="35" customFormat="1" ht="29" hidden="1" x14ac:dyDescent="0.35">
      <c r="A265" s="35" t="s">
        <v>1196</v>
      </c>
      <c r="B265" s="224" t="s">
        <v>948</v>
      </c>
      <c r="C265" s="222" t="s">
        <v>19</v>
      </c>
      <c r="D265" s="136">
        <v>8470455</v>
      </c>
      <c r="E265" s="137" t="s">
        <v>341</v>
      </c>
      <c r="F265" s="138">
        <v>436110</v>
      </c>
      <c r="G265" s="137" t="s">
        <v>119</v>
      </c>
      <c r="H265" s="137" t="s">
        <v>351</v>
      </c>
      <c r="I265" s="137">
        <v>5000</v>
      </c>
      <c r="J265" s="140">
        <v>5000</v>
      </c>
      <c r="K265" s="147"/>
      <c r="L265" s="142"/>
      <c r="M265" s="143"/>
      <c r="N265" s="144">
        <f t="shared" si="38"/>
        <v>5000</v>
      </c>
      <c r="O265" s="145"/>
      <c r="P265" s="145"/>
      <c r="Q265" s="145"/>
      <c r="R265" s="146"/>
      <c r="S265" s="139">
        <f t="shared" si="39"/>
        <v>5000</v>
      </c>
      <c r="T265" s="172"/>
      <c r="U265" s="137" t="s">
        <v>351</v>
      </c>
      <c r="V265" s="261">
        <f t="shared" si="37"/>
        <v>4000</v>
      </c>
      <c r="W265" s="261">
        <f t="shared" si="44"/>
        <v>4000</v>
      </c>
      <c r="X265" s="261"/>
      <c r="Y265" s="176" t="s">
        <v>838</v>
      </c>
      <c r="Z265" s="176"/>
      <c r="AA265" s="186">
        <v>5000</v>
      </c>
      <c r="AB265" s="186">
        <v>0</v>
      </c>
      <c r="AC265" s="176">
        <v>0</v>
      </c>
      <c r="AD265" s="176">
        <v>0</v>
      </c>
      <c r="AE265" s="186">
        <v>5000</v>
      </c>
      <c r="AF265" s="35">
        <v>5000</v>
      </c>
      <c r="AG265" s="212">
        <v>0</v>
      </c>
      <c r="AH265" s="212">
        <f t="shared" si="40"/>
        <v>1000</v>
      </c>
      <c r="AI265" s="212" t="s">
        <v>351</v>
      </c>
      <c r="AJ265" s="212">
        <v>5000</v>
      </c>
      <c r="AK265" s="212">
        <v>0</v>
      </c>
      <c r="AL265" s="212">
        <v>0</v>
      </c>
      <c r="AM265" s="212">
        <v>0</v>
      </c>
      <c r="AN265" s="212">
        <v>5000</v>
      </c>
      <c r="AO265" s="176">
        <v>0</v>
      </c>
      <c r="AP265" s="176">
        <v>0</v>
      </c>
      <c r="AQ265" s="176">
        <v>0</v>
      </c>
      <c r="AR265" s="212">
        <f t="shared" si="41"/>
        <v>4000</v>
      </c>
      <c r="AS265" s="212">
        <f t="shared" si="42"/>
        <v>0</v>
      </c>
      <c r="AT265" s="473">
        <f t="shared" si="43"/>
        <v>-4000</v>
      </c>
      <c r="AU265" s="477"/>
    </row>
    <row r="266" spans="1:47" s="35" customFormat="1" ht="43.5" hidden="1" x14ac:dyDescent="0.35">
      <c r="A266" s="35" t="s">
        <v>1197</v>
      </c>
      <c r="B266" s="224" t="s">
        <v>949</v>
      </c>
      <c r="C266" s="222" t="s">
        <v>19</v>
      </c>
      <c r="D266" s="136">
        <v>8470520</v>
      </c>
      <c r="E266" s="137" t="s">
        <v>352</v>
      </c>
      <c r="F266" s="138">
        <v>425510</v>
      </c>
      <c r="G266" s="137" t="s">
        <v>31</v>
      </c>
      <c r="H266" s="137" t="s">
        <v>353</v>
      </c>
      <c r="I266" s="137">
        <v>29519</v>
      </c>
      <c r="J266" s="140">
        <v>29519</v>
      </c>
      <c r="K266" s="141">
        <v>3329.25</v>
      </c>
      <c r="L266" s="142"/>
      <c r="M266" s="143"/>
      <c r="N266" s="144">
        <f t="shared" si="38"/>
        <v>26189.75</v>
      </c>
      <c r="O266" s="145"/>
      <c r="P266" s="145"/>
      <c r="Q266" s="149"/>
      <c r="R266" s="146"/>
      <c r="S266" s="254">
        <f t="shared" si="39"/>
        <v>26189.75</v>
      </c>
      <c r="T266" s="172"/>
      <c r="U266" s="137" t="s">
        <v>353</v>
      </c>
      <c r="V266" s="261">
        <f>S266</f>
        <v>26189.75</v>
      </c>
      <c r="W266" s="261">
        <f t="shared" si="44"/>
        <v>26189.75</v>
      </c>
      <c r="X266" s="261"/>
      <c r="Y266" s="176" t="s">
        <v>722</v>
      </c>
      <c r="Z266" s="176"/>
      <c r="AA266" s="186">
        <v>29519</v>
      </c>
      <c r="AB266" s="186">
        <v>3329.25</v>
      </c>
      <c r="AC266" s="176">
        <v>0</v>
      </c>
      <c r="AD266" s="176">
        <v>0</v>
      </c>
      <c r="AE266" s="186">
        <v>26189.75</v>
      </c>
      <c r="AF266" s="35">
        <v>26189.75</v>
      </c>
      <c r="AG266" s="212">
        <v>0</v>
      </c>
      <c r="AH266" s="212">
        <f t="shared" si="40"/>
        <v>0</v>
      </c>
      <c r="AI266" s="212" t="s">
        <v>353</v>
      </c>
      <c r="AJ266" s="212">
        <v>29519</v>
      </c>
      <c r="AK266" s="212">
        <v>3329.25</v>
      </c>
      <c r="AL266" s="212">
        <v>0</v>
      </c>
      <c r="AM266" s="212">
        <v>0</v>
      </c>
      <c r="AN266" s="212">
        <v>26189.75</v>
      </c>
      <c r="AO266" s="176">
        <v>0</v>
      </c>
      <c r="AP266" s="176">
        <v>0</v>
      </c>
      <c r="AQ266" s="176">
        <v>0</v>
      </c>
      <c r="AR266" s="212">
        <f t="shared" si="41"/>
        <v>26189.75</v>
      </c>
      <c r="AS266" s="212">
        <f t="shared" si="42"/>
        <v>3329.25</v>
      </c>
      <c r="AT266" s="473">
        <f t="shared" si="43"/>
        <v>-22860.5</v>
      </c>
      <c r="AU266" s="478"/>
    </row>
    <row r="267" spans="1:47" s="35" customFormat="1" ht="43.5" hidden="1" x14ac:dyDescent="0.35">
      <c r="A267" s="35" t="s">
        <v>1197</v>
      </c>
      <c r="B267" s="224" t="s">
        <v>949</v>
      </c>
      <c r="C267" s="222" t="s">
        <v>19</v>
      </c>
      <c r="D267" s="136">
        <v>8470520</v>
      </c>
      <c r="E267" s="137" t="s">
        <v>352</v>
      </c>
      <c r="F267" s="138">
        <v>426100</v>
      </c>
      <c r="G267" s="137" t="s">
        <v>354</v>
      </c>
      <c r="H267" s="137" t="s">
        <v>355</v>
      </c>
      <c r="I267" s="137">
        <v>20000</v>
      </c>
      <c r="J267" s="140">
        <v>20000</v>
      </c>
      <c r="K267" s="147"/>
      <c r="L267" s="142"/>
      <c r="M267" s="143"/>
      <c r="N267" s="144">
        <f t="shared" si="38"/>
        <v>20000</v>
      </c>
      <c r="O267" s="145"/>
      <c r="P267" s="145"/>
      <c r="Q267" s="149"/>
      <c r="R267" s="146"/>
      <c r="S267" s="254">
        <f t="shared" si="39"/>
        <v>20000</v>
      </c>
      <c r="T267" s="172"/>
      <c r="U267" s="137" t="s">
        <v>355</v>
      </c>
      <c r="V267" s="261">
        <f>S267</f>
        <v>20000</v>
      </c>
      <c r="W267" s="261">
        <f t="shared" si="44"/>
        <v>20000</v>
      </c>
      <c r="X267" s="261"/>
      <c r="Y267" s="176" t="s">
        <v>722</v>
      </c>
      <c r="Z267" s="176"/>
      <c r="AA267" s="186">
        <v>20000</v>
      </c>
      <c r="AB267" s="186">
        <v>0</v>
      </c>
      <c r="AC267" s="176">
        <v>0</v>
      </c>
      <c r="AD267" s="176">
        <v>0</v>
      </c>
      <c r="AE267" s="186">
        <v>20000</v>
      </c>
      <c r="AF267" s="35">
        <v>20000</v>
      </c>
      <c r="AG267" s="212">
        <v>0</v>
      </c>
      <c r="AH267" s="212">
        <f t="shared" si="40"/>
        <v>0</v>
      </c>
      <c r="AI267" s="212" t="s">
        <v>355</v>
      </c>
      <c r="AJ267" s="212">
        <v>20000</v>
      </c>
      <c r="AK267" s="212">
        <v>0</v>
      </c>
      <c r="AL267" s="212">
        <v>0</v>
      </c>
      <c r="AM267" s="212">
        <v>0</v>
      </c>
      <c r="AN267" s="212">
        <v>20000</v>
      </c>
      <c r="AO267" s="176">
        <v>0</v>
      </c>
      <c r="AP267" s="176">
        <v>0</v>
      </c>
      <c r="AQ267" s="176">
        <v>0</v>
      </c>
      <c r="AR267" s="212">
        <f t="shared" si="41"/>
        <v>20000</v>
      </c>
      <c r="AS267" s="212">
        <f t="shared" si="42"/>
        <v>0</v>
      </c>
      <c r="AT267" s="473">
        <f t="shared" si="43"/>
        <v>-20000</v>
      </c>
      <c r="AU267" s="478"/>
    </row>
    <row r="268" spans="1:47" s="35" customFormat="1" ht="43.5" hidden="1" x14ac:dyDescent="0.35">
      <c r="A268" s="35" t="s">
        <v>1197</v>
      </c>
      <c r="B268" s="224" t="s">
        <v>949</v>
      </c>
      <c r="C268" s="222" t="s">
        <v>19</v>
      </c>
      <c r="D268" s="136">
        <v>8470520</v>
      </c>
      <c r="E268" s="137" t="s">
        <v>352</v>
      </c>
      <c r="F268" s="138">
        <v>427710</v>
      </c>
      <c r="G268" s="137" t="s">
        <v>51</v>
      </c>
      <c r="H268" s="137" t="s">
        <v>356</v>
      </c>
      <c r="I268" s="137">
        <v>42000</v>
      </c>
      <c r="J268" s="140">
        <v>42000</v>
      </c>
      <c r="K268" s="147"/>
      <c r="L268" s="148">
        <v>0</v>
      </c>
      <c r="M268" s="140">
        <v>10510</v>
      </c>
      <c r="N268" s="144">
        <f t="shared" si="38"/>
        <v>31490</v>
      </c>
      <c r="O268" s="145"/>
      <c r="P268" s="145"/>
      <c r="Q268" s="149"/>
      <c r="R268" s="146"/>
      <c r="S268" s="254">
        <f t="shared" si="39"/>
        <v>31490</v>
      </c>
      <c r="T268" s="172"/>
      <c r="U268" s="137" t="s">
        <v>356</v>
      </c>
      <c r="V268" s="261">
        <f>S268</f>
        <v>31490</v>
      </c>
      <c r="W268" s="261">
        <f t="shared" si="44"/>
        <v>31490</v>
      </c>
      <c r="X268" s="261"/>
      <c r="Y268" s="176" t="s">
        <v>722</v>
      </c>
      <c r="Z268" s="176"/>
      <c r="AA268" s="186">
        <v>42000</v>
      </c>
      <c r="AB268" s="186">
        <v>10510</v>
      </c>
      <c r="AC268" s="176">
        <v>0</v>
      </c>
      <c r="AD268" s="176">
        <v>0</v>
      </c>
      <c r="AE268" s="186">
        <v>31490</v>
      </c>
      <c r="AF268" s="35">
        <v>31490</v>
      </c>
      <c r="AG268" s="212">
        <v>0</v>
      </c>
      <c r="AH268" s="212">
        <f t="shared" si="40"/>
        <v>0</v>
      </c>
      <c r="AI268" s="212" t="s">
        <v>356</v>
      </c>
      <c r="AJ268" s="212">
        <v>42000</v>
      </c>
      <c r="AK268" s="212">
        <v>10510</v>
      </c>
      <c r="AL268" s="212">
        <v>0</v>
      </c>
      <c r="AM268" s="212">
        <v>0</v>
      </c>
      <c r="AN268" s="212">
        <v>31490</v>
      </c>
      <c r="AO268" s="176">
        <v>0</v>
      </c>
      <c r="AP268" s="176">
        <v>0</v>
      </c>
      <c r="AQ268" s="176">
        <v>0</v>
      </c>
      <c r="AR268" s="212">
        <f t="shared" si="41"/>
        <v>31490</v>
      </c>
      <c r="AS268" s="212">
        <f t="shared" si="42"/>
        <v>10510</v>
      </c>
      <c r="AT268" s="473">
        <f t="shared" si="43"/>
        <v>-20980</v>
      </c>
      <c r="AU268" s="478"/>
    </row>
    <row r="269" spans="1:47" s="35" customFormat="1" ht="43.5" hidden="1" x14ac:dyDescent="0.35">
      <c r="A269" s="35" t="s">
        <v>1197</v>
      </c>
      <c r="B269" s="224" t="s">
        <v>949</v>
      </c>
      <c r="C269" s="222" t="s">
        <v>19</v>
      </c>
      <c r="D269" s="136">
        <v>8470520</v>
      </c>
      <c r="E269" s="137" t="s">
        <v>352</v>
      </c>
      <c r="F269" s="138">
        <v>428200</v>
      </c>
      <c r="G269" s="137" t="s">
        <v>357</v>
      </c>
      <c r="H269" s="137" t="s">
        <v>358</v>
      </c>
      <c r="I269" s="137">
        <v>616900</v>
      </c>
      <c r="J269" s="140">
        <v>616900</v>
      </c>
      <c r="K269" s="141">
        <v>303042.33</v>
      </c>
      <c r="L269" s="148">
        <v>28304.5</v>
      </c>
      <c r="M269" s="140">
        <v>248137.28</v>
      </c>
      <c r="N269" s="144">
        <f t="shared" si="38"/>
        <v>37415.889999999985</v>
      </c>
      <c r="O269" s="145">
        <v>23000</v>
      </c>
      <c r="P269" s="145">
        <v>23000</v>
      </c>
      <c r="Q269" s="149">
        <v>23000</v>
      </c>
      <c r="R269" s="146"/>
      <c r="S269" s="254">
        <f t="shared" si="39"/>
        <v>-31584.110000000015</v>
      </c>
      <c r="T269" s="172"/>
      <c r="U269" s="137" t="s">
        <v>358</v>
      </c>
      <c r="V269" s="261"/>
      <c r="W269" s="261">
        <f t="shared" si="44"/>
        <v>0</v>
      </c>
      <c r="X269" s="474">
        <v>31584.110000000015</v>
      </c>
      <c r="Y269" s="176" t="s">
        <v>722</v>
      </c>
      <c r="Z269" s="176"/>
      <c r="AA269" s="186">
        <v>616900</v>
      </c>
      <c r="AB269" s="186">
        <v>367107.85</v>
      </c>
      <c r="AC269" s="186">
        <v>3234</v>
      </c>
      <c r="AD269" s="186">
        <v>227084.32</v>
      </c>
      <c r="AE269" s="186">
        <v>19473.830000000016</v>
      </c>
      <c r="AF269" s="184">
        <v>19473.8300000001</v>
      </c>
      <c r="AG269" s="184">
        <v>-8.3673512563109398E-11</v>
      </c>
      <c r="AH269" s="212">
        <f t="shared" si="40"/>
        <v>19473.830000000016</v>
      </c>
      <c r="AI269" s="212" t="s">
        <v>358</v>
      </c>
      <c r="AJ269" s="212">
        <v>591900</v>
      </c>
      <c r="AK269" s="212">
        <v>576994.68999999994</v>
      </c>
      <c r="AL269" s="212">
        <v>2540</v>
      </c>
      <c r="AM269" s="212">
        <v>-36006</v>
      </c>
      <c r="AN269" s="212">
        <v>48371.309999999801</v>
      </c>
      <c r="AO269" s="176">
        <v>0</v>
      </c>
      <c r="AP269" s="176">
        <v>0</v>
      </c>
      <c r="AQ269" s="176">
        <v>0</v>
      </c>
      <c r="AR269" s="212">
        <f t="shared" si="41"/>
        <v>0</v>
      </c>
      <c r="AS269" s="212">
        <f t="shared" si="42"/>
        <v>620426.16999999993</v>
      </c>
      <c r="AT269" s="473">
        <f t="shared" si="43"/>
        <v>598112.79999999993</v>
      </c>
      <c r="AU269" s="478"/>
    </row>
    <row r="270" spans="1:47" s="35" customFormat="1" ht="43.5" hidden="1" x14ac:dyDescent="0.35">
      <c r="A270" s="35" t="s">
        <v>1197</v>
      </c>
      <c r="B270" s="224" t="s">
        <v>949</v>
      </c>
      <c r="C270" s="222" t="s">
        <v>19</v>
      </c>
      <c r="D270" s="136">
        <v>8470520</v>
      </c>
      <c r="E270" s="137" t="s">
        <v>352</v>
      </c>
      <c r="F270" s="138">
        <v>428200</v>
      </c>
      <c r="G270" s="137" t="s">
        <v>357</v>
      </c>
      <c r="H270" s="137" t="s">
        <v>359</v>
      </c>
      <c r="I270" s="137">
        <v>23100</v>
      </c>
      <c r="J270" s="140">
        <v>23100</v>
      </c>
      <c r="K270" s="141">
        <v>23100</v>
      </c>
      <c r="L270" s="142"/>
      <c r="M270" s="140">
        <v>0</v>
      </c>
      <c r="N270" s="144">
        <f t="shared" si="38"/>
        <v>0</v>
      </c>
      <c r="O270" s="145"/>
      <c r="P270" s="145"/>
      <c r="Q270" s="149"/>
      <c r="R270" s="146"/>
      <c r="S270" s="254">
        <f t="shared" si="39"/>
        <v>0</v>
      </c>
      <c r="T270" s="172"/>
      <c r="U270" s="137" t="s">
        <v>359</v>
      </c>
      <c r="V270" s="261">
        <f>S270</f>
        <v>0</v>
      </c>
      <c r="W270" s="261">
        <f t="shared" si="44"/>
        <v>0</v>
      </c>
      <c r="X270" s="261"/>
      <c r="Y270" s="176" t="s">
        <v>722</v>
      </c>
      <c r="Z270" s="176"/>
      <c r="AA270" s="186">
        <v>23100</v>
      </c>
      <c r="AB270" s="186">
        <v>23100</v>
      </c>
      <c r="AC270" s="176">
        <v>0</v>
      </c>
      <c r="AD270" s="176">
        <v>0</v>
      </c>
      <c r="AE270" s="186">
        <v>0</v>
      </c>
      <c r="AF270" s="35">
        <v>0</v>
      </c>
      <c r="AG270" s="212">
        <v>0</v>
      </c>
      <c r="AH270" s="212">
        <f t="shared" si="40"/>
        <v>0</v>
      </c>
      <c r="AI270" s="212" t="s">
        <v>359</v>
      </c>
      <c r="AJ270" s="212">
        <v>23100</v>
      </c>
      <c r="AK270" s="212">
        <v>23100</v>
      </c>
      <c r="AL270" s="212">
        <v>0</v>
      </c>
      <c r="AM270" s="212">
        <v>0</v>
      </c>
      <c r="AN270" s="212">
        <v>0</v>
      </c>
      <c r="AO270" s="176">
        <v>0</v>
      </c>
      <c r="AP270" s="176">
        <v>0</v>
      </c>
      <c r="AQ270" s="176">
        <v>0</v>
      </c>
      <c r="AR270" s="212">
        <f t="shared" si="41"/>
        <v>0</v>
      </c>
      <c r="AS270" s="212">
        <f t="shared" si="42"/>
        <v>23100</v>
      </c>
      <c r="AT270" s="473">
        <f t="shared" si="43"/>
        <v>23100</v>
      </c>
      <c r="AU270" s="478"/>
    </row>
    <row r="271" spans="1:47" s="35" customFormat="1" ht="43.5" hidden="1" x14ac:dyDescent="0.35">
      <c r="A271" s="35" t="s">
        <v>1197</v>
      </c>
      <c r="B271" s="224" t="s">
        <v>949</v>
      </c>
      <c r="C271" s="222" t="s">
        <v>19</v>
      </c>
      <c r="D271" s="136">
        <v>8470530</v>
      </c>
      <c r="E271" s="137" t="s">
        <v>361</v>
      </c>
      <c r="F271" s="138">
        <v>420310</v>
      </c>
      <c r="G271" s="137" t="s">
        <v>362</v>
      </c>
      <c r="H271" s="137" t="s">
        <v>363</v>
      </c>
      <c r="I271" s="137">
        <v>4056439</v>
      </c>
      <c r="J271" s="140">
        <v>4056439</v>
      </c>
      <c r="K271" s="141">
        <v>2160397.2000000002</v>
      </c>
      <c r="L271" s="148">
        <v>0</v>
      </c>
      <c r="M271" s="140">
        <v>1870859.89</v>
      </c>
      <c r="N271" s="144">
        <f t="shared" si="38"/>
        <v>25181.909999999916</v>
      </c>
      <c r="O271" s="145"/>
      <c r="P271" s="145"/>
      <c r="Q271" s="149"/>
      <c r="R271" s="146"/>
      <c r="S271" s="254">
        <f t="shared" si="39"/>
        <v>25181.909999999916</v>
      </c>
      <c r="T271" s="172"/>
      <c r="U271" s="137" t="s">
        <v>363</v>
      </c>
      <c r="V271" s="261">
        <f>S271</f>
        <v>25181.909999999916</v>
      </c>
      <c r="W271" s="261">
        <f t="shared" si="44"/>
        <v>25181.909999999916</v>
      </c>
      <c r="X271" s="261"/>
      <c r="Y271" s="176" t="s">
        <v>722</v>
      </c>
      <c r="Z271" s="176"/>
      <c r="AA271" s="186">
        <v>4081439</v>
      </c>
      <c r="AB271" s="186">
        <v>3157450.89</v>
      </c>
      <c r="AC271" s="176">
        <v>0</v>
      </c>
      <c r="AD271" s="176">
        <v>918766.2</v>
      </c>
      <c r="AE271" s="186">
        <v>5221.9099999999162</v>
      </c>
      <c r="AF271" s="35">
        <v>5221.9099999999198</v>
      </c>
      <c r="AG271" s="212">
        <v>0</v>
      </c>
      <c r="AH271" s="212">
        <f t="shared" si="40"/>
        <v>-19960</v>
      </c>
      <c r="AI271" s="212" t="s">
        <v>363</v>
      </c>
      <c r="AJ271" s="212">
        <v>4081439</v>
      </c>
      <c r="AK271" s="212">
        <v>3202410.89</v>
      </c>
      <c r="AL271" s="212">
        <v>0</v>
      </c>
      <c r="AM271" s="212">
        <v>873806.2</v>
      </c>
      <c r="AN271" s="212">
        <v>5221.9099999999198</v>
      </c>
      <c r="AO271" s="176">
        <v>0</v>
      </c>
      <c r="AP271" s="176">
        <v>0</v>
      </c>
      <c r="AQ271" s="176">
        <v>0</v>
      </c>
      <c r="AR271" s="212">
        <f t="shared" si="41"/>
        <v>25181.909999999916</v>
      </c>
      <c r="AS271" s="212">
        <f t="shared" si="42"/>
        <v>4076217.09</v>
      </c>
      <c r="AT271" s="473">
        <f t="shared" si="43"/>
        <v>4051035.1799999997</v>
      </c>
      <c r="AU271" s="478"/>
    </row>
    <row r="272" spans="1:47" s="35" customFormat="1" ht="43.5" hidden="1" x14ac:dyDescent="0.35">
      <c r="A272" s="35" t="s">
        <v>1197</v>
      </c>
      <c r="B272" s="224" t="s">
        <v>949</v>
      </c>
      <c r="C272" s="222" t="s">
        <v>19</v>
      </c>
      <c r="D272" s="136">
        <v>8470530</v>
      </c>
      <c r="E272" s="137" t="s">
        <v>361</v>
      </c>
      <c r="F272" s="138">
        <v>420310</v>
      </c>
      <c r="G272" s="137" t="s">
        <v>362</v>
      </c>
      <c r="H272" s="137" t="s">
        <v>364</v>
      </c>
      <c r="I272" s="137">
        <v>747242</v>
      </c>
      <c r="J272" s="140">
        <v>747242</v>
      </c>
      <c r="K272" s="141">
        <v>403891.03</v>
      </c>
      <c r="L272" s="148">
        <v>0</v>
      </c>
      <c r="M272" s="140">
        <v>343350.97</v>
      </c>
      <c r="N272" s="144">
        <f t="shared" si="38"/>
        <v>0</v>
      </c>
      <c r="O272" s="145"/>
      <c r="P272" s="145"/>
      <c r="Q272" s="149"/>
      <c r="R272" s="146"/>
      <c r="S272" s="254">
        <f t="shared" si="39"/>
        <v>0</v>
      </c>
      <c r="T272" s="172"/>
      <c r="U272" s="137" t="s">
        <v>364</v>
      </c>
      <c r="V272" s="261">
        <f>S272</f>
        <v>0</v>
      </c>
      <c r="W272" s="261">
        <f t="shared" si="44"/>
        <v>-1470</v>
      </c>
      <c r="X272" s="261"/>
      <c r="Y272" s="176" t="s">
        <v>722</v>
      </c>
      <c r="Z272" s="176"/>
      <c r="AA272" s="186">
        <v>747242</v>
      </c>
      <c r="AB272" s="186">
        <v>403891.03</v>
      </c>
      <c r="AC272" s="176">
        <v>0</v>
      </c>
      <c r="AD272" s="176">
        <v>343350.97</v>
      </c>
      <c r="AE272" s="186">
        <v>0</v>
      </c>
      <c r="AF272" s="35">
        <v>-5.8207660913467401E-11</v>
      </c>
      <c r="AG272" s="212">
        <v>5.8207660913467401E-11</v>
      </c>
      <c r="AH272" s="212">
        <f t="shared" si="40"/>
        <v>0</v>
      </c>
      <c r="AI272" s="212" t="s">
        <v>364</v>
      </c>
      <c r="AJ272" s="212">
        <v>747242</v>
      </c>
      <c r="AK272" s="212">
        <v>403891.03</v>
      </c>
      <c r="AL272" s="212">
        <v>0</v>
      </c>
      <c r="AM272" s="212">
        <v>343350.97</v>
      </c>
      <c r="AN272" s="212">
        <v>-5.8207660913467401E-11</v>
      </c>
      <c r="AO272" s="176">
        <v>0</v>
      </c>
      <c r="AP272" s="176">
        <v>1470</v>
      </c>
      <c r="AQ272" s="176">
        <v>0</v>
      </c>
      <c r="AR272" s="212">
        <f t="shared" si="41"/>
        <v>-1470</v>
      </c>
      <c r="AS272" s="212">
        <f t="shared" si="42"/>
        <v>748712</v>
      </c>
      <c r="AT272" s="473">
        <f t="shared" si="43"/>
        <v>750182</v>
      </c>
      <c r="AU272" s="478"/>
    </row>
    <row r="273" spans="1:47" s="35" customFormat="1" ht="43.5" hidden="1" x14ac:dyDescent="0.35">
      <c r="A273" s="35" t="s">
        <v>1197</v>
      </c>
      <c r="B273" s="224" t="s">
        <v>949</v>
      </c>
      <c r="C273" s="222" t="s">
        <v>19</v>
      </c>
      <c r="D273" s="136">
        <v>8470530</v>
      </c>
      <c r="E273" s="137" t="s">
        <v>361</v>
      </c>
      <c r="F273" s="138">
        <v>420310</v>
      </c>
      <c r="G273" s="137" t="s">
        <v>362</v>
      </c>
      <c r="H273" s="137" t="s">
        <v>365</v>
      </c>
      <c r="I273" s="137">
        <v>4118107</v>
      </c>
      <c r="J273" s="140">
        <v>4364107</v>
      </c>
      <c r="K273" s="141">
        <v>2467129.4700000002</v>
      </c>
      <c r="L273" s="148">
        <v>0</v>
      </c>
      <c r="M273" s="140">
        <v>1880748.25</v>
      </c>
      <c r="N273" s="144">
        <f t="shared" si="38"/>
        <v>16229.279999999795</v>
      </c>
      <c r="O273" s="145"/>
      <c r="P273" s="145"/>
      <c r="Q273" s="149"/>
      <c r="R273" s="146"/>
      <c r="S273" s="254">
        <f t="shared" si="39"/>
        <v>16229.279999999795</v>
      </c>
      <c r="T273" s="172"/>
      <c r="U273" s="137" t="s">
        <v>365</v>
      </c>
      <c r="V273" s="261">
        <f>S273</f>
        <v>16229.279999999795</v>
      </c>
      <c r="W273" s="261">
        <f t="shared" si="44"/>
        <v>16229.279999999795</v>
      </c>
      <c r="X273" s="261"/>
      <c r="Y273" s="176" t="s">
        <v>722</v>
      </c>
      <c r="Z273" s="176"/>
      <c r="AA273" s="186">
        <v>4364107</v>
      </c>
      <c r="AB273" s="186">
        <v>3781466.01</v>
      </c>
      <c r="AC273" s="176">
        <v>0</v>
      </c>
      <c r="AD273" s="176">
        <v>566411.71</v>
      </c>
      <c r="AE273" s="186">
        <v>16229.280000000261</v>
      </c>
      <c r="AF273" s="35">
        <v>16229.28</v>
      </c>
      <c r="AG273" s="212">
        <v>2.6011548470705748E-10</v>
      </c>
      <c r="AH273" s="212">
        <f t="shared" si="40"/>
        <v>4.6566128730773926E-10</v>
      </c>
      <c r="AI273" s="212" t="s">
        <v>365</v>
      </c>
      <c r="AJ273" s="212">
        <v>4364107</v>
      </c>
      <c r="AK273" s="212">
        <v>3781466.01</v>
      </c>
      <c r="AL273" s="212">
        <v>0</v>
      </c>
      <c r="AM273" s="212">
        <v>566411.71</v>
      </c>
      <c r="AN273" s="212">
        <v>16229.28</v>
      </c>
      <c r="AO273" s="176">
        <v>0</v>
      </c>
      <c r="AP273" s="176">
        <v>0</v>
      </c>
      <c r="AQ273" s="176">
        <v>0</v>
      </c>
      <c r="AR273" s="212">
        <f t="shared" si="41"/>
        <v>16229.279999999795</v>
      </c>
      <c r="AS273" s="212">
        <f t="shared" si="42"/>
        <v>4347877.72</v>
      </c>
      <c r="AT273" s="473">
        <f t="shared" si="43"/>
        <v>4331648.4399999995</v>
      </c>
      <c r="AU273" s="478"/>
    </row>
    <row r="274" spans="1:47" s="35" customFormat="1" ht="43.5" hidden="1" x14ac:dyDescent="0.35">
      <c r="A274" s="35" t="s">
        <v>1197</v>
      </c>
      <c r="B274" s="224" t="s">
        <v>949</v>
      </c>
      <c r="C274" s="222" t="s">
        <v>19</v>
      </c>
      <c r="D274" s="136">
        <v>8470530</v>
      </c>
      <c r="E274" s="137" t="s">
        <v>361</v>
      </c>
      <c r="F274" s="138">
        <v>421000</v>
      </c>
      <c r="G274" s="137" t="s">
        <v>27</v>
      </c>
      <c r="H274" s="137" t="s">
        <v>366</v>
      </c>
      <c r="I274" s="137">
        <v>350000</v>
      </c>
      <c r="J274" s="140">
        <v>850000</v>
      </c>
      <c r="K274" s="147"/>
      <c r="L274" s="148">
        <v>0</v>
      </c>
      <c r="M274" s="140">
        <v>850000</v>
      </c>
      <c r="N274" s="144">
        <f t="shared" si="38"/>
        <v>0</v>
      </c>
      <c r="O274" s="145"/>
      <c r="P274" s="145"/>
      <c r="Q274" s="149"/>
      <c r="R274" s="146"/>
      <c r="S274" s="254">
        <f t="shared" si="39"/>
        <v>0</v>
      </c>
      <c r="T274" s="172"/>
      <c r="U274" s="137" t="s">
        <v>366</v>
      </c>
      <c r="V274" s="261">
        <f>S274</f>
        <v>0</v>
      </c>
      <c r="W274" s="261">
        <f t="shared" si="44"/>
        <v>0</v>
      </c>
      <c r="X274" s="261"/>
      <c r="Y274" s="176" t="s">
        <v>722</v>
      </c>
      <c r="Z274" s="176"/>
      <c r="AA274" s="186">
        <v>850000</v>
      </c>
      <c r="AB274" s="186">
        <v>0</v>
      </c>
      <c r="AC274" s="176">
        <v>0</v>
      </c>
      <c r="AD274" s="176">
        <v>850000</v>
      </c>
      <c r="AE274" s="186">
        <v>0</v>
      </c>
      <c r="AF274" s="35">
        <v>0</v>
      </c>
      <c r="AG274" s="212">
        <v>0</v>
      </c>
      <c r="AH274" s="212">
        <f t="shared" si="40"/>
        <v>0</v>
      </c>
      <c r="AI274" s="212" t="s">
        <v>366</v>
      </c>
      <c r="AJ274" s="212">
        <v>850000</v>
      </c>
      <c r="AK274" s="212">
        <v>0</v>
      </c>
      <c r="AL274" s="212">
        <v>0</v>
      </c>
      <c r="AM274" s="212">
        <v>850000</v>
      </c>
      <c r="AN274" s="212">
        <v>0</v>
      </c>
      <c r="AO274" s="176">
        <v>0</v>
      </c>
      <c r="AP274" s="176">
        <v>0</v>
      </c>
      <c r="AQ274" s="176">
        <v>0</v>
      </c>
      <c r="AR274" s="212">
        <f t="shared" si="41"/>
        <v>0</v>
      </c>
      <c r="AS274" s="212">
        <f t="shared" si="42"/>
        <v>850000</v>
      </c>
      <c r="AT274" s="473">
        <f t="shared" si="43"/>
        <v>850000</v>
      </c>
      <c r="AU274" s="478"/>
    </row>
    <row r="275" spans="1:47" s="35" customFormat="1" ht="43.5" hidden="1" x14ac:dyDescent="0.35">
      <c r="A275" s="35" t="s">
        <v>1197</v>
      </c>
      <c r="B275" s="224" t="s">
        <v>949</v>
      </c>
      <c r="C275" s="222" t="s">
        <v>19</v>
      </c>
      <c r="D275" s="136">
        <v>8470530</v>
      </c>
      <c r="E275" s="137" t="s">
        <v>361</v>
      </c>
      <c r="F275" s="138">
        <v>421100</v>
      </c>
      <c r="G275" s="137" t="s">
        <v>367</v>
      </c>
      <c r="H275" s="137" t="s">
        <v>368</v>
      </c>
      <c r="I275" s="137">
        <v>0</v>
      </c>
      <c r="J275" s="140">
        <v>-28032</v>
      </c>
      <c r="K275" s="141">
        <v>-42048</v>
      </c>
      <c r="L275" s="142"/>
      <c r="M275" s="143"/>
      <c r="N275" s="144">
        <f t="shared" si="38"/>
        <v>14016</v>
      </c>
      <c r="O275" s="145"/>
      <c r="P275" s="145"/>
      <c r="Q275" s="145"/>
      <c r="R275" s="146"/>
      <c r="S275" s="139">
        <f t="shared" si="39"/>
        <v>14016</v>
      </c>
      <c r="T275" s="172"/>
      <c r="U275" s="137" t="s">
        <v>368</v>
      </c>
      <c r="V275" s="261">
        <f>AN275*0.8</f>
        <v>3737.6000000000004</v>
      </c>
      <c r="W275" s="261">
        <f t="shared" si="44"/>
        <v>3737.6000000000004</v>
      </c>
      <c r="X275" s="261"/>
      <c r="Y275" s="176" t="s">
        <v>838</v>
      </c>
      <c r="Z275" s="176"/>
      <c r="AA275" s="186">
        <v>-42048</v>
      </c>
      <c r="AB275" s="186">
        <v>-46720</v>
      </c>
      <c r="AC275" s="176">
        <v>0</v>
      </c>
      <c r="AD275" s="176">
        <v>0</v>
      </c>
      <c r="AE275" s="186">
        <v>4672</v>
      </c>
      <c r="AF275" s="35">
        <v>4672</v>
      </c>
      <c r="AG275" s="212">
        <v>0</v>
      </c>
      <c r="AH275" s="212">
        <f t="shared" si="40"/>
        <v>934.39999999999964</v>
      </c>
      <c r="AI275" s="212" t="s">
        <v>368</v>
      </c>
      <c r="AJ275" s="212">
        <v>-42048</v>
      </c>
      <c r="AK275" s="212">
        <v>-46720</v>
      </c>
      <c r="AL275" s="212">
        <v>0</v>
      </c>
      <c r="AM275" s="212">
        <v>0</v>
      </c>
      <c r="AN275" s="212">
        <v>4672</v>
      </c>
      <c r="AO275" s="176">
        <v>0</v>
      </c>
      <c r="AP275" s="176">
        <v>0</v>
      </c>
      <c r="AQ275" s="176">
        <v>0</v>
      </c>
      <c r="AR275" s="212">
        <f t="shared" si="41"/>
        <v>3737.6000000000004</v>
      </c>
      <c r="AS275" s="212">
        <f t="shared" si="42"/>
        <v>-46720</v>
      </c>
      <c r="AT275" s="473">
        <f t="shared" si="43"/>
        <v>-50457.599999999999</v>
      </c>
      <c r="AU275" s="477"/>
    </row>
    <row r="276" spans="1:47" s="35" customFormat="1" ht="43.5" hidden="1" x14ac:dyDescent="0.35">
      <c r="A276" s="35" t="s">
        <v>1197</v>
      </c>
      <c r="B276" s="224" t="s">
        <v>949</v>
      </c>
      <c r="C276" s="222" t="s">
        <v>19</v>
      </c>
      <c r="D276" s="136">
        <v>8470530</v>
      </c>
      <c r="E276" s="137" t="s">
        <v>361</v>
      </c>
      <c r="F276" s="138">
        <v>421600</v>
      </c>
      <c r="G276" s="137" t="s">
        <v>369</v>
      </c>
      <c r="H276" s="137" t="s">
        <v>370</v>
      </c>
      <c r="I276" s="137">
        <v>4137480</v>
      </c>
      <c r="J276" s="140">
        <v>3767662</v>
      </c>
      <c r="K276" s="141">
        <v>2618461.42</v>
      </c>
      <c r="L276" s="148">
        <v>0</v>
      </c>
      <c r="M276" s="140">
        <v>1149200</v>
      </c>
      <c r="N276" s="144">
        <f t="shared" si="38"/>
        <v>0.58000000007450581</v>
      </c>
      <c r="O276" s="145"/>
      <c r="P276" s="145"/>
      <c r="Q276" s="149"/>
      <c r="R276" s="146"/>
      <c r="S276" s="254">
        <f t="shared" si="39"/>
        <v>0.58000000007450581</v>
      </c>
      <c r="T276" s="172"/>
      <c r="U276" s="137" t="s">
        <v>370</v>
      </c>
      <c r="V276" s="261">
        <f>S276</f>
        <v>0.58000000007450581</v>
      </c>
      <c r="W276" s="261">
        <f t="shared" si="44"/>
        <v>0.58000000007450581</v>
      </c>
      <c r="X276" s="261"/>
      <c r="Y276" s="176" t="s">
        <v>722</v>
      </c>
      <c r="Z276" s="176"/>
      <c r="AA276" s="186">
        <v>3767662</v>
      </c>
      <c r="AB276" s="186">
        <v>2618461.42</v>
      </c>
      <c r="AC276" s="176">
        <v>0</v>
      </c>
      <c r="AD276" s="176">
        <v>1149200</v>
      </c>
      <c r="AE276" s="186">
        <v>0.58000000007450581</v>
      </c>
      <c r="AF276" s="35">
        <v>0.58000000007450603</v>
      </c>
      <c r="AG276" s="212">
        <v>0</v>
      </c>
      <c r="AH276" s="212">
        <f t="shared" si="40"/>
        <v>0</v>
      </c>
      <c r="AI276" s="212" t="s">
        <v>370</v>
      </c>
      <c r="AJ276" s="212">
        <v>3767662</v>
      </c>
      <c r="AK276" s="212">
        <v>3615061.42</v>
      </c>
      <c r="AL276" s="212">
        <v>0</v>
      </c>
      <c r="AM276" s="212">
        <v>152600</v>
      </c>
      <c r="AN276" s="212">
        <v>0.58000000007450603</v>
      </c>
      <c r="AO276" s="176">
        <v>0</v>
      </c>
      <c r="AP276" s="176">
        <v>0</v>
      </c>
      <c r="AQ276" s="176">
        <v>0</v>
      </c>
      <c r="AR276" s="212">
        <f t="shared" si="41"/>
        <v>0.58000000007450581</v>
      </c>
      <c r="AS276" s="212">
        <f t="shared" si="42"/>
        <v>3767661.42</v>
      </c>
      <c r="AT276" s="473">
        <f t="shared" si="43"/>
        <v>3767660.84</v>
      </c>
      <c r="AU276" s="478"/>
    </row>
    <row r="277" spans="1:47" s="35" customFormat="1" ht="43.5" hidden="1" x14ac:dyDescent="0.35">
      <c r="A277" s="35" t="s">
        <v>1197</v>
      </c>
      <c r="B277" s="224" t="s">
        <v>949</v>
      </c>
      <c r="C277" s="222" t="s">
        <v>19</v>
      </c>
      <c r="D277" s="136">
        <v>8470530</v>
      </c>
      <c r="E277" s="137" t="s">
        <v>361</v>
      </c>
      <c r="F277" s="138">
        <v>421600</v>
      </c>
      <c r="G277" s="137" t="s">
        <v>369</v>
      </c>
      <c r="H277" s="137" t="s">
        <v>371</v>
      </c>
      <c r="I277" s="137">
        <v>2649480</v>
      </c>
      <c r="J277" s="140">
        <v>2453019</v>
      </c>
      <c r="K277" s="141">
        <v>795109.05</v>
      </c>
      <c r="L277" s="148">
        <v>1634640</v>
      </c>
      <c r="M277" s="140">
        <v>23269.48</v>
      </c>
      <c r="N277" s="144">
        <f t="shared" si="38"/>
        <v>0.46999999995387043</v>
      </c>
      <c r="O277" s="145"/>
      <c r="P277" s="145"/>
      <c r="Q277" s="149"/>
      <c r="R277" s="146"/>
      <c r="S277" s="254">
        <f t="shared" si="39"/>
        <v>0.46999999995387043</v>
      </c>
      <c r="T277" s="172"/>
      <c r="U277" s="137" t="s">
        <v>371</v>
      </c>
      <c r="V277" s="261">
        <f>S277</f>
        <v>0.46999999995387043</v>
      </c>
      <c r="W277" s="261">
        <f t="shared" si="44"/>
        <v>0.46999999995387043</v>
      </c>
      <c r="X277" s="261"/>
      <c r="Y277" s="176" t="s">
        <v>722</v>
      </c>
      <c r="Z277" s="176"/>
      <c r="AA277" s="186">
        <v>2421019</v>
      </c>
      <c r="AB277" s="186">
        <v>2305266.79</v>
      </c>
      <c r="AC277" s="176">
        <v>0</v>
      </c>
      <c r="AD277" s="176">
        <v>62211.74</v>
      </c>
      <c r="AE277" s="186">
        <v>53540.469999999965</v>
      </c>
      <c r="AF277" s="35">
        <v>53540.47</v>
      </c>
      <c r="AG277" s="212">
        <v>0</v>
      </c>
      <c r="AH277" s="212">
        <f t="shared" si="40"/>
        <v>53540.000000000015</v>
      </c>
      <c r="AI277" s="212" t="s">
        <v>371</v>
      </c>
      <c r="AJ277" s="212">
        <v>2421019</v>
      </c>
      <c r="AK277" s="212">
        <v>2305257.31</v>
      </c>
      <c r="AL277" s="212">
        <v>0</v>
      </c>
      <c r="AM277" s="212">
        <v>115760.96000000001</v>
      </c>
      <c r="AN277" s="212">
        <v>0.72999999998137399</v>
      </c>
      <c r="AO277" s="176">
        <v>0</v>
      </c>
      <c r="AP277" s="176">
        <v>0</v>
      </c>
      <c r="AQ277" s="176">
        <v>0</v>
      </c>
      <c r="AR277" s="212">
        <f t="shared" si="41"/>
        <v>0.46999999995387043</v>
      </c>
      <c r="AS277" s="212">
        <f t="shared" si="42"/>
        <v>2367478.5300000003</v>
      </c>
      <c r="AT277" s="473">
        <f t="shared" si="43"/>
        <v>2421017.8000000003</v>
      </c>
      <c r="AU277" s="478"/>
    </row>
    <row r="278" spans="1:47" s="35" customFormat="1" ht="43.5" hidden="1" x14ac:dyDescent="0.35">
      <c r="A278" s="35" t="s">
        <v>1197</v>
      </c>
      <c r="B278" s="224" t="s">
        <v>949</v>
      </c>
      <c r="C278" s="222" t="s">
        <v>19</v>
      </c>
      <c r="D278" s="136">
        <v>8470530</v>
      </c>
      <c r="E278" s="137" t="s">
        <v>361</v>
      </c>
      <c r="F278" s="138">
        <v>421600</v>
      </c>
      <c r="G278" s="137" t="s">
        <v>369</v>
      </c>
      <c r="H278" s="137" t="s">
        <v>372</v>
      </c>
      <c r="I278" s="137">
        <v>2601720</v>
      </c>
      <c r="J278" s="140">
        <v>2017720</v>
      </c>
      <c r="K278" s="141">
        <v>470781.74</v>
      </c>
      <c r="L278" s="148">
        <v>1385720</v>
      </c>
      <c r="M278" s="140">
        <v>161217.89000000001</v>
      </c>
      <c r="N278" s="144">
        <f t="shared" si="38"/>
        <v>0.36999999999534339</v>
      </c>
      <c r="O278" s="145"/>
      <c r="P278" s="145"/>
      <c r="Q278" s="149"/>
      <c r="R278" s="146"/>
      <c r="S278" s="254">
        <f t="shared" si="39"/>
        <v>0.36999999999534339</v>
      </c>
      <c r="T278" s="172"/>
      <c r="U278" s="137" t="s">
        <v>372</v>
      </c>
      <c r="V278" s="261">
        <f>S278</f>
        <v>0.36999999999534339</v>
      </c>
      <c r="W278" s="261">
        <f t="shared" si="44"/>
        <v>0.36999999999534339</v>
      </c>
      <c r="X278" s="261"/>
      <c r="Y278" s="176" t="s">
        <v>722</v>
      </c>
      <c r="Z278" s="176"/>
      <c r="AA278" s="186">
        <v>1952720</v>
      </c>
      <c r="AB278" s="186">
        <v>470781.74</v>
      </c>
      <c r="AC278" s="176">
        <v>0</v>
      </c>
      <c r="AD278" s="176">
        <v>161217.89000000001</v>
      </c>
      <c r="AE278" s="186">
        <v>1320720.3700000001</v>
      </c>
      <c r="AF278" s="35">
        <v>1320720.3700000001</v>
      </c>
      <c r="AG278" s="212">
        <v>0</v>
      </c>
      <c r="AH278" s="212">
        <f t="shared" si="40"/>
        <v>1320720</v>
      </c>
      <c r="AI278" s="212" t="s">
        <v>372</v>
      </c>
      <c r="AJ278" s="212">
        <v>2054143</v>
      </c>
      <c r="AK278" s="212">
        <v>1574226.74</v>
      </c>
      <c r="AL278" s="212">
        <v>0</v>
      </c>
      <c r="AM278" s="212">
        <v>378492.89</v>
      </c>
      <c r="AN278" s="212">
        <v>101423.37</v>
      </c>
      <c r="AO278" s="176">
        <v>0</v>
      </c>
      <c r="AP278" s="176">
        <v>0</v>
      </c>
      <c r="AQ278" s="176">
        <v>0</v>
      </c>
      <c r="AR278" s="212">
        <f t="shared" si="41"/>
        <v>0.36999999999534339</v>
      </c>
      <c r="AS278" s="212">
        <f t="shared" si="42"/>
        <v>631999.63</v>
      </c>
      <c r="AT278" s="473">
        <f t="shared" si="43"/>
        <v>1952719.2599999998</v>
      </c>
      <c r="AU278" s="478"/>
    </row>
    <row r="279" spans="1:47" s="35" customFormat="1" ht="43.5" hidden="1" x14ac:dyDescent="0.35">
      <c r="A279" s="35" t="s">
        <v>1197</v>
      </c>
      <c r="B279" s="224" t="s">
        <v>949</v>
      </c>
      <c r="C279" s="222" t="s">
        <v>19</v>
      </c>
      <c r="D279" s="136">
        <v>8470530</v>
      </c>
      <c r="E279" s="137" t="s">
        <v>361</v>
      </c>
      <c r="F279" s="138">
        <v>421600</v>
      </c>
      <c r="G279" s="137" t="s">
        <v>369</v>
      </c>
      <c r="H279" s="137" t="s">
        <v>373</v>
      </c>
      <c r="I279" s="137">
        <v>0</v>
      </c>
      <c r="J279" s="140">
        <v>635219</v>
      </c>
      <c r="K279" s="141">
        <v>446286.18</v>
      </c>
      <c r="L279" s="142"/>
      <c r="M279" s="143"/>
      <c r="N279" s="144">
        <f t="shared" si="38"/>
        <v>188932.82</v>
      </c>
      <c r="O279" s="145">
        <v>62977</v>
      </c>
      <c r="P279" s="145">
        <v>62977</v>
      </c>
      <c r="Q279" s="149">
        <v>62977</v>
      </c>
      <c r="R279" s="146" t="s">
        <v>786</v>
      </c>
      <c r="S279" s="254">
        <f t="shared" si="39"/>
        <v>1.8200000000069849</v>
      </c>
      <c r="T279" s="172"/>
      <c r="U279" s="137" t="s">
        <v>373</v>
      </c>
      <c r="V279" s="261">
        <f>S279</f>
        <v>1.8200000000069849</v>
      </c>
      <c r="W279" s="261">
        <f t="shared" si="44"/>
        <v>1.8200000000069849</v>
      </c>
      <c r="X279" s="261"/>
      <c r="Y279" s="176" t="s">
        <v>722</v>
      </c>
      <c r="Z279" s="176"/>
      <c r="AA279" s="186">
        <v>635219</v>
      </c>
      <c r="AB279" s="186">
        <v>446286.18</v>
      </c>
      <c r="AC279" s="176">
        <v>0</v>
      </c>
      <c r="AD279" s="176">
        <v>0</v>
      </c>
      <c r="AE279" s="186">
        <v>188932.82</v>
      </c>
      <c r="AF279" s="35">
        <v>188932.82</v>
      </c>
      <c r="AG279" s="212">
        <v>0</v>
      </c>
      <c r="AH279" s="212">
        <f t="shared" si="40"/>
        <v>188931</v>
      </c>
      <c r="AI279" s="212" t="s">
        <v>373</v>
      </c>
      <c r="AJ279" s="212">
        <v>635219</v>
      </c>
      <c r="AK279" s="212">
        <v>446286.18</v>
      </c>
      <c r="AL279" s="212">
        <v>0</v>
      </c>
      <c r="AM279" s="212">
        <v>96978</v>
      </c>
      <c r="AN279" s="212">
        <v>91954.819999999905</v>
      </c>
      <c r="AO279" s="176">
        <v>0</v>
      </c>
      <c r="AP279" s="176">
        <v>0</v>
      </c>
      <c r="AQ279" s="176">
        <v>0</v>
      </c>
      <c r="AR279" s="212">
        <f t="shared" si="41"/>
        <v>1.8200000000069849</v>
      </c>
      <c r="AS279" s="212">
        <f t="shared" si="42"/>
        <v>509263.18</v>
      </c>
      <c r="AT279" s="473">
        <f t="shared" si="43"/>
        <v>606239.35999999987</v>
      </c>
      <c r="AU279" s="478"/>
    </row>
    <row r="280" spans="1:47" s="35" customFormat="1" ht="43.5" hidden="1" x14ac:dyDescent="0.35">
      <c r="A280" s="35" t="s">
        <v>1197</v>
      </c>
      <c r="B280" s="224" t="s">
        <v>949</v>
      </c>
      <c r="C280" s="222" t="s">
        <v>19</v>
      </c>
      <c r="D280" s="136">
        <v>8470530</v>
      </c>
      <c r="E280" s="137" t="s">
        <v>361</v>
      </c>
      <c r="F280" s="138">
        <v>421700</v>
      </c>
      <c r="G280" s="137" t="s">
        <v>29</v>
      </c>
      <c r="H280" s="137" t="s">
        <v>374</v>
      </c>
      <c r="I280" s="137">
        <v>0</v>
      </c>
      <c r="J280" s="140">
        <v>263000</v>
      </c>
      <c r="K280" s="141">
        <v>49500</v>
      </c>
      <c r="L280" s="148">
        <v>0</v>
      </c>
      <c r="M280" s="140">
        <v>181500</v>
      </c>
      <c r="N280" s="144">
        <f t="shared" si="38"/>
        <v>32000</v>
      </c>
      <c r="O280" s="145"/>
      <c r="P280" s="145"/>
      <c r="Q280" s="149"/>
      <c r="R280" s="146"/>
      <c r="S280" s="254">
        <f t="shared" si="39"/>
        <v>32000</v>
      </c>
      <c r="T280" s="172"/>
      <c r="U280" s="137" t="s">
        <v>374</v>
      </c>
      <c r="V280" s="261">
        <f>S280</f>
        <v>32000</v>
      </c>
      <c r="W280" s="261">
        <f t="shared" si="44"/>
        <v>32000</v>
      </c>
      <c r="X280" s="261"/>
      <c r="Y280" s="176" t="s">
        <v>722</v>
      </c>
      <c r="Z280" s="176"/>
      <c r="AA280" s="186">
        <v>328000</v>
      </c>
      <c r="AB280" s="186">
        <v>99000</v>
      </c>
      <c r="AC280" s="176">
        <v>96000</v>
      </c>
      <c r="AD280" s="176">
        <v>132000</v>
      </c>
      <c r="AE280" s="186">
        <v>1000</v>
      </c>
      <c r="AF280" s="35">
        <v>1000</v>
      </c>
      <c r="AG280" s="212">
        <v>0</v>
      </c>
      <c r="AH280" s="212">
        <f t="shared" si="40"/>
        <v>-31000</v>
      </c>
      <c r="AI280" s="212" t="s">
        <v>374</v>
      </c>
      <c r="AJ280" s="212">
        <v>328000</v>
      </c>
      <c r="AK280" s="212">
        <v>99000</v>
      </c>
      <c r="AL280" s="212">
        <v>30000</v>
      </c>
      <c r="AM280" s="212">
        <v>197000</v>
      </c>
      <c r="AN280" s="212">
        <v>2000</v>
      </c>
      <c r="AO280" s="176">
        <v>0</v>
      </c>
      <c r="AP280" s="176">
        <v>0</v>
      </c>
      <c r="AQ280" s="176">
        <v>0</v>
      </c>
      <c r="AR280" s="212">
        <f t="shared" si="41"/>
        <v>32000</v>
      </c>
      <c r="AS280" s="212">
        <f t="shared" si="42"/>
        <v>327000</v>
      </c>
      <c r="AT280" s="473">
        <f t="shared" si="43"/>
        <v>294000</v>
      </c>
      <c r="AU280" s="478"/>
    </row>
    <row r="281" spans="1:47" s="35" customFormat="1" ht="43.5" hidden="1" x14ac:dyDescent="0.35">
      <c r="A281" s="35" t="s">
        <v>1197</v>
      </c>
      <c r="B281" s="224" t="s">
        <v>949</v>
      </c>
      <c r="C281" s="222" t="s">
        <v>19</v>
      </c>
      <c r="D281" s="136">
        <v>8470530</v>
      </c>
      <c r="E281" s="137" t="s">
        <v>361</v>
      </c>
      <c r="F281" s="138">
        <v>425510</v>
      </c>
      <c r="G281" s="137" t="s">
        <v>31</v>
      </c>
      <c r="H281" s="137" t="s">
        <v>375</v>
      </c>
      <c r="I281" s="137">
        <v>20000</v>
      </c>
      <c r="J281" s="140">
        <v>20000</v>
      </c>
      <c r="K281" s="141">
        <v>1280.3699999999999</v>
      </c>
      <c r="L281" s="142"/>
      <c r="M281" s="143"/>
      <c r="N281" s="144">
        <f t="shared" si="38"/>
        <v>18719.63</v>
      </c>
      <c r="O281" s="145"/>
      <c r="P281" s="145"/>
      <c r="Q281" s="145"/>
      <c r="R281" s="146"/>
      <c r="S281" s="139">
        <f t="shared" si="39"/>
        <v>18719.63</v>
      </c>
      <c r="T281" s="172"/>
      <c r="U281" s="137" t="s">
        <v>375</v>
      </c>
      <c r="V281" s="261">
        <f>AN281*0.8</f>
        <v>2645.3040000000001</v>
      </c>
      <c r="W281" s="261">
        <f t="shared" si="44"/>
        <v>95.304000000000087</v>
      </c>
      <c r="X281" s="261"/>
      <c r="Y281" s="176" t="s">
        <v>838</v>
      </c>
      <c r="Z281" s="176"/>
      <c r="AA281" s="186">
        <v>20000</v>
      </c>
      <c r="AB281" s="186">
        <v>14348.37</v>
      </c>
      <c r="AC281" s="176">
        <v>0</v>
      </c>
      <c r="AD281" s="176">
        <v>0</v>
      </c>
      <c r="AE281" s="186">
        <v>5651.6299999999992</v>
      </c>
      <c r="AF281" s="35">
        <v>5651.63</v>
      </c>
      <c r="AG281" s="212">
        <v>0</v>
      </c>
      <c r="AH281" s="212">
        <f t="shared" si="40"/>
        <v>3006.3259999999991</v>
      </c>
      <c r="AI281" s="212" t="s">
        <v>375</v>
      </c>
      <c r="AJ281" s="212">
        <v>20000</v>
      </c>
      <c r="AK281" s="212">
        <v>16693.37</v>
      </c>
      <c r="AL281" s="212">
        <v>0</v>
      </c>
      <c r="AM281" s="212">
        <v>0</v>
      </c>
      <c r="AN281" s="212">
        <v>3306.63</v>
      </c>
      <c r="AO281" s="176">
        <v>0</v>
      </c>
      <c r="AP281" s="176">
        <v>0</v>
      </c>
      <c r="AQ281" s="176">
        <v>2550</v>
      </c>
      <c r="AR281" s="212">
        <f t="shared" si="41"/>
        <v>95.304000000000087</v>
      </c>
      <c r="AS281" s="212">
        <f t="shared" si="42"/>
        <v>16898.370000000003</v>
      </c>
      <c r="AT281" s="473">
        <f t="shared" si="43"/>
        <v>19148.065999999999</v>
      </c>
      <c r="AU281" s="477"/>
    </row>
    <row r="282" spans="1:47" s="35" customFormat="1" ht="43.5" hidden="1" x14ac:dyDescent="0.35">
      <c r="A282" s="35" t="s">
        <v>1197</v>
      </c>
      <c r="B282" s="224" t="s">
        <v>949</v>
      </c>
      <c r="C282" s="222" t="s">
        <v>19</v>
      </c>
      <c r="D282" s="136">
        <v>8470530</v>
      </c>
      <c r="E282" s="137" t="s">
        <v>361</v>
      </c>
      <c r="F282" s="138">
        <v>425900</v>
      </c>
      <c r="G282" s="137" t="s">
        <v>35</v>
      </c>
      <c r="H282" s="137" t="s">
        <v>376</v>
      </c>
      <c r="I282" s="137">
        <v>30000</v>
      </c>
      <c r="J282" s="140">
        <v>30000</v>
      </c>
      <c r="K282" s="141">
        <v>11571</v>
      </c>
      <c r="L282" s="142"/>
      <c r="M282" s="143"/>
      <c r="N282" s="144">
        <f t="shared" si="38"/>
        <v>18429</v>
      </c>
      <c r="O282" s="145"/>
      <c r="P282" s="145"/>
      <c r="Q282" s="149"/>
      <c r="R282" s="146"/>
      <c r="S282" s="254">
        <f t="shared" si="39"/>
        <v>18429</v>
      </c>
      <c r="T282" s="172"/>
      <c r="U282" s="137" t="s">
        <v>376</v>
      </c>
      <c r="V282" s="261">
        <f t="shared" ref="V282:V288" si="45">S282</f>
        <v>18429</v>
      </c>
      <c r="W282" s="261">
        <f t="shared" si="44"/>
        <v>18429</v>
      </c>
      <c r="X282" s="261"/>
      <c r="Y282" s="176" t="s">
        <v>722</v>
      </c>
      <c r="Z282" s="176"/>
      <c r="AA282" s="186">
        <v>30000</v>
      </c>
      <c r="AB282" s="186">
        <v>11571</v>
      </c>
      <c r="AC282" s="176">
        <v>0</v>
      </c>
      <c r="AD282" s="176">
        <v>0</v>
      </c>
      <c r="AE282" s="186">
        <v>18429</v>
      </c>
      <c r="AF282" s="35">
        <v>18429</v>
      </c>
      <c r="AG282" s="212">
        <v>0</v>
      </c>
      <c r="AH282" s="212">
        <f t="shared" si="40"/>
        <v>0</v>
      </c>
      <c r="AI282" s="212" t="s">
        <v>376</v>
      </c>
      <c r="AJ282" s="212">
        <v>30000</v>
      </c>
      <c r="AK282" s="212">
        <v>16443</v>
      </c>
      <c r="AL282" s="212">
        <v>0</v>
      </c>
      <c r="AM282" s="212">
        <v>0</v>
      </c>
      <c r="AN282" s="212">
        <v>12927</v>
      </c>
      <c r="AO282" s="176">
        <v>0</v>
      </c>
      <c r="AP282" s="176">
        <v>0</v>
      </c>
      <c r="AQ282" s="176">
        <v>0</v>
      </c>
      <c r="AR282" s="212">
        <f t="shared" si="41"/>
        <v>18429</v>
      </c>
      <c r="AS282" s="212">
        <f t="shared" si="42"/>
        <v>11571</v>
      </c>
      <c r="AT282" s="473">
        <f t="shared" si="43"/>
        <v>-1986</v>
      </c>
      <c r="AU282" s="478"/>
    </row>
    <row r="283" spans="1:47" s="35" customFormat="1" ht="43.5" hidden="1" x14ac:dyDescent="0.35">
      <c r="A283" s="35" t="s">
        <v>1197</v>
      </c>
      <c r="B283" s="224" t="s">
        <v>949</v>
      </c>
      <c r="C283" s="222" t="s">
        <v>19</v>
      </c>
      <c r="D283" s="136">
        <v>8470530</v>
      </c>
      <c r="E283" s="137" t="s">
        <v>361</v>
      </c>
      <c r="F283" s="138">
        <v>426220</v>
      </c>
      <c r="G283" s="137" t="s">
        <v>377</v>
      </c>
      <c r="H283" s="137" t="s">
        <v>378</v>
      </c>
      <c r="I283" s="137">
        <v>960437</v>
      </c>
      <c r="J283" s="140">
        <v>960437</v>
      </c>
      <c r="K283" s="141">
        <v>44981.51</v>
      </c>
      <c r="L283" s="142"/>
      <c r="M283" s="143"/>
      <c r="N283" s="144">
        <f t="shared" si="38"/>
        <v>915455.49</v>
      </c>
      <c r="O283" s="145"/>
      <c r="P283" s="145"/>
      <c r="Q283" s="149"/>
      <c r="R283" s="146"/>
      <c r="S283" s="254">
        <f t="shared" si="39"/>
        <v>915455.49</v>
      </c>
      <c r="T283" s="172"/>
      <c r="U283" s="137" t="s">
        <v>378</v>
      </c>
      <c r="V283" s="261">
        <f t="shared" si="45"/>
        <v>915455.49</v>
      </c>
      <c r="W283" s="261">
        <f t="shared" si="44"/>
        <v>915455.49</v>
      </c>
      <c r="X283" s="261"/>
      <c r="Y283" s="176" t="s">
        <v>722</v>
      </c>
      <c r="Z283" s="176"/>
      <c r="AA283" s="186">
        <v>960437</v>
      </c>
      <c r="AB283" s="186">
        <v>558196.81000000006</v>
      </c>
      <c r="AC283" s="176">
        <v>0</v>
      </c>
      <c r="AD283" s="176">
        <v>0</v>
      </c>
      <c r="AE283" s="186">
        <v>402240.18999999994</v>
      </c>
      <c r="AF283" s="35">
        <v>402240.19</v>
      </c>
      <c r="AG283" s="212">
        <v>0</v>
      </c>
      <c r="AH283" s="212">
        <f t="shared" si="40"/>
        <v>-513215.30000000005</v>
      </c>
      <c r="AI283" s="212" t="s">
        <v>378</v>
      </c>
      <c r="AJ283" s="212">
        <v>960437</v>
      </c>
      <c r="AK283" s="212">
        <v>558196.81000000006</v>
      </c>
      <c r="AL283" s="212">
        <v>0</v>
      </c>
      <c r="AM283" s="212">
        <v>0</v>
      </c>
      <c r="AN283" s="212">
        <v>402240.19</v>
      </c>
      <c r="AO283" s="176">
        <v>0</v>
      </c>
      <c r="AP283" s="176">
        <v>0</v>
      </c>
      <c r="AQ283" s="176">
        <v>0</v>
      </c>
      <c r="AR283" s="212">
        <f t="shared" si="41"/>
        <v>915455.49</v>
      </c>
      <c r="AS283" s="212">
        <f t="shared" si="42"/>
        <v>558196.81000000006</v>
      </c>
      <c r="AT283" s="473">
        <f t="shared" si="43"/>
        <v>-357258.67999999993</v>
      </c>
      <c r="AU283" s="478"/>
    </row>
    <row r="284" spans="1:47" s="35" customFormat="1" ht="43.5" hidden="1" x14ac:dyDescent="0.35">
      <c r="A284" s="35" t="s">
        <v>1197</v>
      </c>
      <c r="B284" s="224" t="s">
        <v>949</v>
      </c>
      <c r="C284" s="222" t="s">
        <v>19</v>
      </c>
      <c r="D284" s="136">
        <v>8470530</v>
      </c>
      <c r="E284" s="137" t="s">
        <v>361</v>
      </c>
      <c r="F284" s="138">
        <v>426220</v>
      </c>
      <c r="G284" s="137" t="s">
        <v>377</v>
      </c>
      <c r="H284" s="137" t="s">
        <v>379</v>
      </c>
      <c r="I284" s="137">
        <v>23714</v>
      </c>
      <c r="J284" s="140">
        <v>23714</v>
      </c>
      <c r="K284" s="147"/>
      <c r="L284" s="142"/>
      <c r="M284" s="143"/>
      <c r="N284" s="144">
        <f t="shared" si="38"/>
        <v>23714</v>
      </c>
      <c r="O284" s="145"/>
      <c r="P284" s="145"/>
      <c r="Q284" s="149"/>
      <c r="R284" s="146"/>
      <c r="S284" s="254">
        <f t="shared" si="39"/>
        <v>23714</v>
      </c>
      <c r="T284" s="172"/>
      <c r="U284" s="137" t="s">
        <v>379</v>
      </c>
      <c r="V284" s="261">
        <f t="shared" si="45"/>
        <v>23714</v>
      </c>
      <c r="W284" s="261">
        <f t="shared" si="44"/>
        <v>23714</v>
      </c>
      <c r="X284" s="261"/>
      <c r="Y284" s="176" t="s">
        <v>722</v>
      </c>
      <c r="Z284" s="176"/>
      <c r="AA284" s="186">
        <v>23714</v>
      </c>
      <c r="AB284" s="186">
        <v>0</v>
      </c>
      <c r="AC284" s="176">
        <v>0</v>
      </c>
      <c r="AD284" s="176">
        <v>0</v>
      </c>
      <c r="AE284" s="186">
        <v>23714</v>
      </c>
      <c r="AF284" s="35">
        <v>23714</v>
      </c>
      <c r="AG284" s="212">
        <v>0</v>
      </c>
      <c r="AH284" s="212">
        <f t="shared" si="40"/>
        <v>0</v>
      </c>
      <c r="AI284" s="212" t="s">
        <v>379</v>
      </c>
      <c r="AJ284" s="212">
        <v>23714</v>
      </c>
      <c r="AK284" s="212">
        <v>0</v>
      </c>
      <c r="AL284" s="212">
        <v>0</v>
      </c>
      <c r="AM284" s="212">
        <v>0</v>
      </c>
      <c r="AN284" s="212">
        <v>23714</v>
      </c>
      <c r="AO284" s="176">
        <v>0</v>
      </c>
      <c r="AP284" s="176">
        <v>0</v>
      </c>
      <c r="AQ284" s="176">
        <v>0</v>
      </c>
      <c r="AR284" s="212">
        <f t="shared" si="41"/>
        <v>23714</v>
      </c>
      <c r="AS284" s="212">
        <f t="shared" si="42"/>
        <v>0</v>
      </c>
      <c r="AT284" s="473">
        <f t="shared" si="43"/>
        <v>-23714</v>
      </c>
      <c r="AU284" s="478"/>
    </row>
    <row r="285" spans="1:47" s="35" customFormat="1" ht="43.5" hidden="1" x14ac:dyDescent="0.35">
      <c r="A285" s="35" t="s">
        <v>1197</v>
      </c>
      <c r="B285" s="224" t="s">
        <v>949</v>
      </c>
      <c r="C285" s="222" t="s">
        <v>19</v>
      </c>
      <c r="D285" s="136">
        <v>8470530</v>
      </c>
      <c r="E285" s="137" t="s">
        <v>361</v>
      </c>
      <c r="F285" s="138">
        <v>426250</v>
      </c>
      <c r="G285" s="137" t="s">
        <v>380</v>
      </c>
      <c r="H285" s="137" t="s">
        <v>381</v>
      </c>
      <c r="I285" s="137">
        <v>50000</v>
      </c>
      <c r="J285" s="140">
        <v>50000</v>
      </c>
      <c r="K285" s="141">
        <v>14718</v>
      </c>
      <c r="L285" s="142"/>
      <c r="M285" s="143"/>
      <c r="N285" s="144">
        <f t="shared" si="38"/>
        <v>35282</v>
      </c>
      <c r="O285" s="145"/>
      <c r="P285" s="145"/>
      <c r="Q285" s="149"/>
      <c r="R285" s="146"/>
      <c r="S285" s="254">
        <f t="shared" si="39"/>
        <v>35282</v>
      </c>
      <c r="T285" s="172"/>
      <c r="U285" s="137" t="s">
        <v>381</v>
      </c>
      <c r="V285" s="261">
        <f t="shared" si="45"/>
        <v>35282</v>
      </c>
      <c r="W285" s="261">
        <f t="shared" si="44"/>
        <v>35282</v>
      </c>
      <c r="X285" s="261"/>
      <c r="Y285" s="176" t="s">
        <v>722</v>
      </c>
      <c r="Z285" s="176"/>
      <c r="AA285" s="186">
        <v>50000</v>
      </c>
      <c r="AB285" s="186">
        <v>14718</v>
      </c>
      <c r="AC285" s="176">
        <v>0</v>
      </c>
      <c r="AD285" s="176">
        <v>0</v>
      </c>
      <c r="AE285" s="186">
        <v>35282</v>
      </c>
      <c r="AF285" s="35">
        <v>35282</v>
      </c>
      <c r="AG285" s="212">
        <v>0</v>
      </c>
      <c r="AH285" s="212">
        <f t="shared" si="40"/>
        <v>0</v>
      </c>
      <c r="AI285" s="212" t="s">
        <v>381</v>
      </c>
      <c r="AJ285" s="212">
        <v>50000</v>
      </c>
      <c r="AK285" s="212">
        <v>14718</v>
      </c>
      <c r="AL285" s="212">
        <v>0</v>
      </c>
      <c r="AM285" s="212">
        <v>0</v>
      </c>
      <c r="AN285" s="212">
        <v>35282</v>
      </c>
      <c r="AO285" s="176">
        <v>0</v>
      </c>
      <c r="AP285" s="176">
        <v>0</v>
      </c>
      <c r="AQ285" s="176">
        <v>0</v>
      </c>
      <c r="AR285" s="212">
        <f t="shared" si="41"/>
        <v>35282</v>
      </c>
      <c r="AS285" s="212">
        <f t="shared" si="42"/>
        <v>14718</v>
      </c>
      <c r="AT285" s="473">
        <f t="shared" si="43"/>
        <v>-20564</v>
      </c>
      <c r="AU285" s="478"/>
    </row>
    <row r="286" spans="1:47" s="35" customFormat="1" ht="43.5" hidden="1" x14ac:dyDescent="0.35">
      <c r="A286" s="35" t="s">
        <v>1197</v>
      </c>
      <c r="B286" s="224" t="s">
        <v>949</v>
      </c>
      <c r="C286" s="222" t="s">
        <v>19</v>
      </c>
      <c r="D286" s="136">
        <v>8470530</v>
      </c>
      <c r="E286" s="137" t="s">
        <v>361</v>
      </c>
      <c r="F286" s="138">
        <v>428090</v>
      </c>
      <c r="G286" s="137" t="s">
        <v>39</v>
      </c>
      <c r="H286" s="137" t="s">
        <v>382</v>
      </c>
      <c r="I286" s="137">
        <v>50000</v>
      </c>
      <c r="J286" s="140">
        <v>13623</v>
      </c>
      <c r="K286" s="147"/>
      <c r="L286" s="142"/>
      <c r="M286" s="143"/>
      <c r="N286" s="144">
        <f t="shared" si="38"/>
        <v>13623</v>
      </c>
      <c r="O286" s="145"/>
      <c r="P286" s="145"/>
      <c r="Q286" s="149"/>
      <c r="R286" s="146"/>
      <c r="S286" s="254">
        <f t="shared" si="39"/>
        <v>13623</v>
      </c>
      <c r="T286" s="172"/>
      <c r="U286" s="137" t="s">
        <v>382</v>
      </c>
      <c r="V286" s="261">
        <f t="shared" si="45"/>
        <v>13623</v>
      </c>
      <c r="W286" s="261">
        <f t="shared" si="44"/>
        <v>13623</v>
      </c>
      <c r="X286" s="261"/>
      <c r="Y286" s="176" t="s">
        <v>722</v>
      </c>
      <c r="Z286" s="176"/>
      <c r="AA286" s="186">
        <v>101423</v>
      </c>
      <c r="AB286" s="186">
        <v>0</v>
      </c>
      <c r="AC286" s="176">
        <v>0</v>
      </c>
      <c r="AD286" s="176">
        <v>0</v>
      </c>
      <c r="AE286" s="186">
        <v>101423</v>
      </c>
      <c r="AF286" s="35">
        <v>101423</v>
      </c>
      <c r="AG286" s="212">
        <v>0</v>
      </c>
      <c r="AH286" s="212">
        <f t="shared" si="40"/>
        <v>87800</v>
      </c>
      <c r="AI286" s="212" t="s">
        <v>382</v>
      </c>
      <c r="AJ286" s="212">
        <v>0</v>
      </c>
      <c r="AK286" s="212">
        <v>0</v>
      </c>
      <c r="AL286" s="212">
        <v>0</v>
      </c>
      <c r="AM286" s="212">
        <v>0</v>
      </c>
      <c r="AN286" s="212">
        <v>0</v>
      </c>
      <c r="AO286" s="176">
        <v>0</v>
      </c>
      <c r="AP286" s="176">
        <v>0</v>
      </c>
      <c r="AQ286" s="176">
        <v>0</v>
      </c>
      <c r="AR286" s="212">
        <f t="shared" si="41"/>
        <v>13623</v>
      </c>
      <c r="AS286" s="212">
        <f t="shared" si="42"/>
        <v>0</v>
      </c>
      <c r="AT286" s="473">
        <f t="shared" si="43"/>
        <v>-13623</v>
      </c>
      <c r="AU286" s="478"/>
    </row>
    <row r="287" spans="1:47" s="35" customFormat="1" ht="43.5" hidden="1" x14ac:dyDescent="0.35">
      <c r="A287" s="35" t="s">
        <v>1197</v>
      </c>
      <c r="B287" s="224" t="s">
        <v>949</v>
      </c>
      <c r="C287" s="222" t="s">
        <v>19</v>
      </c>
      <c r="D287" s="136">
        <v>8470530</v>
      </c>
      <c r="E287" s="137" t="s">
        <v>361</v>
      </c>
      <c r="F287" s="138">
        <v>430110</v>
      </c>
      <c r="G287" s="137" t="s">
        <v>383</v>
      </c>
      <c r="H287" s="137" t="s">
        <v>384</v>
      </c>
      <c r="I287" s="137">
        <v>0</v>
      </c>
      <c r="J287" s="140">
        <v>200211</v>
      </c>
      <c r="K287" s="141">
        <v>199212.79999999999</v>
      </c>
      <c r="L287" s="142"/>
      <c r="M287" s="143"/>
      <c r="N287" s="144">
        <f t="shared" si="38"/>
        <v>998.20000000001164</v>
      </c>
      <c r="O287" s="145"/>
      <c r="P287" s="145"/>
      <c r="Q287" s="149"/>
      <c r="R287" s="146"/>
      <c r="S287" s="254">
        <f t="shared" si="39"/>
        <v>998.20000000001164</v>
      </c>
      <c r="T287" s="172"/>
      <c r="U287" s="137" t="s">
        <v>384</v>
      </c>
      <c r="V287" s="261">
        <f t="shared" si="45"/>
        <v>998.20000000001164</v>
      </c>
      <c r="W287" s="261">
        <f t="shared" si="44"/>
        <v>998.20000000001164</v>
      </c>
      <c r="X287" s="261"/>
      <c r="Y287" s="176" t="s">
        <v>722</v>
      </c>
      <c r="Z287" s="176"/>
      <c r="AA287" s="186">
        <v>200211</v>
      </c>
      <c r="AB287" s="186">
        <v>199212.79999999999</v>
      </c>
      <c r="AC287" s="176">
        <v>0</v>
      </c>
      <c r="AD287" s="176">
        <v>0</v>
      </c>
      <c r="AE287" s="186">
        <v>998.20000000001164</v>
      </c>
      <c r="AF287" s="35">
        <v>998.19999999998299</v>
      </c>
      <c r="AG287" s="212">
        <v>2.8649083105847239E-11</v>
      </c>
      <c r="AH287" s="212">
        <f t="shared" si="40"/>
        <v>0</v>
      </c>
      <c r="AI287" s="212" t="s">
        <v>384</v>
      </c>
      <c r="AJ287" s="212">
        <v>200211</v>
      </c>
      <c r="AK287" s="212">
        <v>199212.79999999999</v>
      </c>
      <c r="AL287" s="212">
        <v>0</v>
      </c>
      <c r="AM287" s="212">
        <v>0</v>
      </c>
      <c r="AN287" s="212">
        <v>998.19999999998299</v>
      </c>
      <c r="AO287" s="176">
        <v>0</v>
      </c>
      <c r="AP287" s="176">
        <v>0</v>
      </c>
      <c r="AQ287" s="176">
        <v>0</v>
      </c>
      <c r="AR287" s="212">
        <f t="shared" si="41"/>
        <v>998.20000000001164</v>
      </c>
      <c r="AS287" s="212">
        <f t="shared" si="42"/>
        <v>199212.79999999999</v>
      </c>
      <c r="AT287" s="473">
        <f t="shared" si="43"/>
        <v>198214.59999999998</v>
      </c>
      <c r="AU287" s="478"/>
    </row>
    <row r="288" spans="1:47" s="35" customFormat="1" ht="43.5" hidden="1" x14ac:dyDescent="0.35">
      <c r="A288" s="35" t="s">
        <v>1197</v>
      </c>
      <c r="B288" s="224" t="s">
        <v>949</v>
      </c>
      <c r="C288" s="222" t="s">
        <v>19</v>
      </c>
      <c r="D288" s="136">
        <v>8470530</v>
      </c>
      <c r="E288" s="137" t="s">
        <v>361</v>
      </c>
      <c r="F288" s="138">
        <v>432120</v>
      </c>
      <c r="G288" s="137" t="s">
        <v>385</v>
      </c>
      <c r="H288" s="137" t="s">
        <v>386</v>
      </c>
      <c r="I288" s="137">
        <v>11946037</v>
      </c>
      <c r="J288" s="140">
        <v>11446037</v>
      </c>
      <c r="K288" s="141">
        <v>5878366.3899999997</v>
      </c>
      <c r="L288" s="148">
        <v>100501</v>
      </c>
      <c r="M288" s="140">
        <v>5181508.41</v>
      </c>
      <c r="N288" s="144">
        <f t="shared" si="38"/>
        <v>285661.20000000019</v>
      </c>
      <c r="O288" s="145"/>
      <c r="P288" s="145"/>
      <c r="Q288" s="149">
        <v>285661</v>
      </c>
      <c r="R288" s="146" t="s">
        <v>787</v>
      </c>
      <c r="S288" s="254">
        <f t="shared" si="39"/>
        <v>0.20000000018626451</v>
      </c>
      <c r="T288" s="172"/>
      <c r="U288" s="137" t="s">
        <v>386</v>
      </c>
      <c r="V288" s="261">
        <f t="shared" si="45"/>
        <v>0.20000000018626451</v>
      </c>
      <c r="W288" s="261">
        <f t="shared" si="44"/>
        <v>-39961.049999999814</v>
      </c>
      <c r="X288" s="261"/>
      <c r="Y288" s="176" t="s">
        <v>722</v>
      </c>
      <c r="Z288" s="176"/>
      <c r="AA288" s="186">
        <v>11446037</v>
      </c>
      <c r="AB288" s="186">
        <v>6393327.1500000004</v>
      </c>
      <c r="AC288" s="176">
        <v>162501</v>
      </c>
      <c r="AD288" s="176">
        <v>4603433.74</v>
      </c>
      <c r="AE288" s="186">
        <v>286775.1099999994</v>
      </c>
      <c r="AF288" s="35">
        <v>286775.109999999</v>
      </c>
      <c r="AG288" s="212">
        <v>0</v>
      </c>
      <c r="AH288" s="212">
        <f t="shared" si="40"/>
        <v>286774.90999999922</v>
      </c>
      <c r="AI288" s="212" t="s">
        <v>386</v>
      </c>
      <c r="AJ288" s="212">
        <v>11446037</v>
      </c>
      <c r="AK288" s="212">
        <v>10079288.35</v>
      </c>
      <c r="AL288" s="212">
        <v>162501</v>
      </c>
      <c r="AM288" s="212">
        <v>961199.54</v>
      </c>
      <c r="AN288" s="212">
        <v>243048.11</v>
      </c>
      <c r="AO288" s="176">
        <v>0</v>
      </c>
      <c r="AP288" s="176">
        <v>39961.25</v>
      </c>
      <c r="AQ288" s="176">
        <v>0</v>
      </c>
      <c r="AR288" s="212">
        <f t="shared" si="41"/>
        <v>-39961.049999999814</v>
      </c>
      <c r="AS288" s="212">
        <f t="shared" si="42"/>
        <v>11484884.140000001</v>
      </c>
      <c r="AT288" s="473">
        <f t="shared" si="43"/>
        <v>11568572.190000001</v>
      </c>
      <c r="AU288" s="478"/>
    </row>
    <row r="289" spans="1:47" s="35" customFormat="1" ht="43.5" hidden="1" x14ac:dyDescent="0.35">
      <c r="A289" s="35" t="s">
        <v>1197</v>
      </c>
      <c r="B289" s="224" t="s">
        <v>949</v>
      </c>
      <c r="C289" s="222" t="s">
        <v>19</v>
      </c>
      <c r="D289" s="136">
        <v>8470530</v>
      </c>
      <c r="E289" s="137" t="s">
        <v>361</v>
      </c>
      <c r="F289" s="138">
        <v>432120</v>
      </c>
      <c r="G289" s="137" t="s">
        <v>385</v>
      </c>
      <c r="H289" s="137" t="s">
        <v>387</v>
      </c>
      <c r="I289" s="137">
        <v>5071140</v>
      </c>
      <c r="J289" s="140">
        <v>4977140</v>
      </c>
      <c r="K289" s="141">
        <v>2280318.2200000002</v>
      </c>
      <c r="L289" s="148">
        <v>0</v>
      </c>
      <c r="M289" s="140">
        <v>2579272.12</v>
      </c>
      <c r="N289" s="144">
        <f t="shared" si="38"/>
        <v>117549.65999999968</v>
      </c>
      <c r="O289" s="145"/>
      <c r="P289" s="145"/>
      <c r="Q289" s="149">
        <v>161404</v>
      </c>
      <c r="R289" s="146" t="s">
        <v>787</v>
      </c>
      <c r="S289" s="254">
        <f t="shared" si="39"/>
        <v>-43854.340000000317</v>
      </c>
      <c r="T289" s="172"/>
      <c r="U289" s="137" t="s">
        <v>387</v>
      </c>
      <c r="V289" s="261"/>
      <c r="W289" s="261">
        <f t="shared" si="44"/>
        <v>0</v>
      </c>
      <c r="X289" s="474">
        <v>43854.340000000317</v>
      </c>
      <c r="Y289" s="176" t="s">
        <v>722</v>
      </c>
      <c r="Z289" s="176"/>
      <c r="AA289" s="186">
        <v>4977140</v>
      </c>
      <c r="AB289" s="186">
        <v>2628812.29</v>
      </c>
      <c r="AC289" s="176">
        <v>0</v>
      </c>
      <c r="AD289" s="176">
        <v>2288120.62</v>
      </c>
      <c r="AE289" s="186">
        <v>60207.089999999851</v>
      </c>
      <c r="AF289" s="35">
        <v>60207.089999999902</v>
      </c>
      <c r="AG289" s="212">
        <v>0</v>
      </c>
      <c r="AH289" s="212">
        <f t="shared" si="40"/>
        <v>60207.089999999851</v>
      </c>
      <c r="AI289" s="212" t="s">
        <v>387</v>
      </c>
      <c r="AJ289" s="212">
        <v>4984740</v>
      </c>
      <c r="AK289" s="212">
        <v>4644337.99</v>
      </c>
      <c r="AL289" s="212">
        <v>0</v>
      </c>
      <c r="AM289" s="212">
        <v>337211.29</v>
      </c>
      <c r="AN289" s="212">
        <v>3190.7200000006701</v>
      </c>
      <c r="AO289" s="176">
        <v>0</v>
      </c>
      <c r="AP289" s="176">
        <v>0</v>
      </c>
      <c r="AQ289" s="176">
        <v>0</v>
      </c>
      <c r="AR289" s="212">
        <f t="shared" si="41"/>
        <v>0</v>
      </c>
      <c r="AS289" s="212">
        <f t="shared" si="42"/>
        <v>5078336.91</v>
      </c>
      <c r="AT289" s="473">
        <f t="shared" si="43"/>
        <v>5186807.620000001</v>
      </c>
      <c r="AU289" s="478"/>
    </row>
    <row r="290" spans="1:47" s="35" customFormat="1" ht="43.5" hidden="1" x14ac:dyDescent="0.35">
      <c r="A290" s="35" t="s">
        <v>1197</v>
      </c>
      <c r="B290" s="224" t="s">
        <v>949</v>
      </c>
      <c r="C290" s="222" t="s">
        <v>19</v>
      </c>
      <c r="D290" s="136">
        <v>8470530</v>
      </c>
      <c r="E290" s="137" t="s">
        <v>361</v>
      </c>
      <c r="F290" s="138">
        <v>432120</v>
      </c>
      <c r="G290" s="137" t="s">
        <v>385</v>
      </c>
      <c r="H290" s="137" t="s">
        <v>388</v>
      </c>
      <c r="I290" s="137">
        <v>5573134</v>
      </c>
      <c r="J290" s="140">
        <v>5540416</v>
      </c>
      <c r="K290" s="141">
        <v>2537013.4300000002</v>
      </c>
      <c r="L290" s="148">
        <v>57015.000000000502</v>
      </c>
      <c r="M290" s="140">
        <v>2934727.69</v>
      </c>
      <c r="N290" s="144">
        <f t="shared" si="38"/>
        <v>11659.879999999423</v>
      </c>
      <c r="O290" s="145"/>
      <c r="P290" s="145"/>
      <c r="Q290" s="149">
        <v>11660</v>
      </c>
      <c r="R290" s="146" t="s">
        <v>787</v>
      </c>
      <c r="S290" s="254">
        <f t="shared" si="39"/>
        <v>-0.12000000057742</v>
      </c>
      <c r="T290" s="172"/>
      <c r="U290" s="137" t="s">
        <v>388</v>
      </c>
      <c r="V290" s="261">
        <f>S290</f>
        <v>-0.12000000057742</v>
      </c>
      <c r="W290" s="261">
        <f t="shared" si="44"/>
        <v>-0.12000000057742</v>
      </c>
      <c r="X290" s="261"/>
      <c r="Y290" s="176" t="s">
        <v>722</v>
      </c>
      <c r="Z290" s="176"/>
      <c r="AA290" s="186">
        <v>5740416</v>
      </c>
      <c r="AB290" s="186">
        <v>3876391.44</v>
      </c>
      <c r="AC290" s="176">
        <v>0</v>
      </c>
      <c r="AD290" s="176">
        <v>1615249.68</v>
      </c>
      <c r="AE290" s="186">
        <v>248774.88000000012</v>
      </c>
      <c r="AF290" s="35">
        <v>248774.87999999899</v>
      </c>
      <c r="AG290" s="212">
        <v>1.1350493878126144E-9</v>
      </c>
      <c r="AH290" s="212">
        <f t="shared" si="40"/>
        <v>248775.0000000007</v>
      </c>
      <c r="AI290" s="212" t="s">
        <v>388</v>
      </c>
      <c r="AJ290" s="212">
        <v>5735416</v>
      </c>
      <c r="AK290" s="212">
        <v>5183381.6399999997</v>
      </c>
      <c r="AL290" s="212">
        <v>200000</v>
      </c>
      <c r="AM290" s="212">
        <v>328638.94</v>
      </c>
      <c r="AN290" s="212">
        <v>23395.420000000198</v>
      </c>
      <c r="AO290" s="176">
        <v>0</v>
      </c>
      <c r="AP290" s="176">
        <v>0</v>
      </c>
      <c r="AQ290" s="176">
        <v>0</v>
      </c>
      <c r="AR290" s="212">
        <f t="shared" si="41"/>
        <v>-0.12000000057742</v>
      </c>
      <c r="AS290" s="212">
        <f t="shared" si="42"/>
        <v>5503301.1200000001</v>
      </c>
      <c r="AT290" s="473">
        <f t="shared" si="43"/>
        <v>5723680.7000000011</v>
      </c>
      <c r="AU290" s="478"/>
    </row>
    <row r="291" spans="1:47" s="35" customFormat="1" ht="43.5" hidden="1" x14ac:dyDescent="0.35">
      <c r="A291" s="35" t="s">
        <v>1197</v>
      </c>
      <c r="B291" s="224" t="s">
        <v>949</v>
      </c>
      <c r="C291" s="222" t="s">
        <v>19</v>
      </c>
      <c r="D291" s="136">
        <v>8470530</v>
      </c>
      <c r="E291" s="137" t="s">
        <v>361</v>
      </c>
      <c r="F291" s="138">
        <v>432120</v>
      </c>
      <c r="G291" s="137" t="s">
        <v>385</v>
      </c>
      <c r="H291" s="137" t="s">
        <v>389</v>
      </c>
      <c r="I291" s="137">
        <v>1207678</v>
      </c>
      <c r="J291" s="140">
        <v>1207678</v>
      </c>
      <c r="K291" s="141">
        <v>611011.55000000005</v>
      </c>
      <c r="L291" s="148">
        <v>24830</v>
      </c>
      <c r="M291" s="140">
        <v>78120.210000000006</v>
      </c>
      <c r="N291" s="144">
        <f t="shared" si="38"/>
        <v>493716.23999999993</v>
      </c>
      <c r="O291" s="145"/>
      <c r="P291" s="145"/>
      <c r="Q291" s="145">
        <v>493716</v>
      </c>
      <c r="R291" s="146" t="s">
        <v>787</v>
      </c>
      <c r="S291" s="139">
        <f t="shared" si="39"/>
        <v>0.23999999993247911</v>
      </c>
      <c r="T291" s="172"/>
      <c r="U291" s="137" t="s">
        <v>389</v>
      </c>
      <c r="V291" s="261">
        <f>AN291*0.8</f>
        <v>104106.03200000001</v>
      </c>
      <c r="W291" s="261">
        <f t="shared" si="44"/>
        <v>104106.03200000001</v>
      </c>
      <c r="X291" s="261"/>
      <c r="Y291" s="176" t="s">
        <v>838</v>
      </c>
      <c r="Z291" s="176"/>
      <c r="AA291" s="186">
        <v>1207678</v>
      </c>
      <c r="AB291" s="186">
        <v>628246.77</v>
      </c>
      <c r="AC291" s="176">
        <v>161543</v>
      </c>
      <c r="AD291" s="176">
        <v>73357</v>
      </c>
      <c r="AE291" s="186">
        <v>344531.23</v>
      </c>
      <c r="AF291" s="35">
        <v>344531.23</v>
      </c>
      <c r="AG291" s="212">
        <v>0</v>
      </c>
      <c r="AH291" s="212">
        <f t="shared" si="40"/>
        <v>240425.19799999997</v>
      </c>
      <c r="AI291" s="212" t="s">
        <v>389</v>
      </c>
      <c r="AJ291" s="212">
        <v>1207678</v>
      </c>
      <c r="AK291" s="212">
        <v>910754.96</v>
      </c>
      <c r="AL291" s="212">
        <v>62070</v>
      </c>
      <c r="AM291" s="212">
        <v>104720.5</v>
      </c>
      <c r="AN291" s="212">
        <v>130132.54</v>
      </c>
      <c r="AO291" s="176">
        <v>0</v>
      </c>
      <c r="AP291" s="176">
        <v>0</v>
      </c>
      <c r="AQ291" s="176">
        <v>0</v>
      </c>
      <c r="AR291" s="212">
        <f t="shared" si="41"/>
        <v>104106.03200000001</v>
      </c>
      <c r="AS291" s="212">
        <f t="shared" si="42"/>
        <v>1356862.77</v>
      </c>
      <c r="AT291" s="473">
        <f t="shared" si="43"/>
        <v>1467155.4279999998</v>
      </c>
      <c r="AU291" s="477"/>
    </row>
    <row r="292" spans="1:47" s="35" customFormat="1" ht="43.5" hidden="1" x14ac:dyDescent="0.35">
      <c r="A292" s="35" t="s">
        <v>1197</v>
      </c>
      <c r="B292" s="224" t="s">
        <v>949</v>
      </c>
      <c r="C292" s="222" t="s">
        <v>19</v>
      </c>
      <c r="D292" s="136">
        <v>8470530</v>
      </c>
      <c r="E292" s="137" t="s">
        <v>361</v>
      </c>
      <c r="F292" s="138">
        <v>432170</v>
      </c>
      <c r="G292" s="137" t="s">
        <v>390</v>
      </c>
      <c r="H292" s="137" t="s">
        <v>391</v>
      </c>
      <c r="I292" s="137">
        <v>30000</v>
      </c>
      <c r="J292" s="140">
        <v>30000</v>
      </c>
      <c r="K292" s="141">
        <v>12166</v>
      </c>
      <c r="L292" s="148">
        <v>0</v>
      </c>
      <c r="M292" s="140">
        <v>0</v>
      </c>
      <c r="N292" s="144">
        <f t="shared" si="38"/>
        <v>17834</v>
      </c>
      <c r="O292" s="145"/>
      <c r="P292" s="145"/>
      <c r="Q292" s="149"/>
      <c r="R292" s="146"/>
      <c r="S292" s="254">
        <f t="shared" si="39"/>
        <v>17834</v>
      </c>
      <c r="T292" s="172"/>
      <c r="U292" s="137" t="s">
        <v>391</v>
      </c>
      <c r="V292" s="261">
        <f t="shared" ref="V292:V303" si="46">S292</f>
        <v>17834</v>
      </c>
      <c r="W292" s="261">
        <f t="shared" si="44"/>
        <v>17834</v>
      </c>
      <c r="X292" s="261"/>
      <c r="Y292" s="176" t="s">
        <v>722</v>
      </c>
      <c r="Z292" s="176"/>
      <c r="AA292" s="186">
        <v>30000</v>
      </c>
      <c r="AB292" s="186">
        <v>12166</v>
      </c>
      <c r="AC292" s="176">
        <v>0</v>
      </c>
      <c r="AD292" s="176">
        <v>0</v>
      </c>
      <c r="AE292" s="186">
        <v>17834</v>
      </c>
      <c r="AF292" s="35">
        <v>17834</v>
      </c>
      <c r="AG292" s="212">
        <v>0</v>
      </c>
      <c r="AH292" s="212">
        <f t="shared" si="40"/>
        <v>0</v>
      </c>
      <c r="AI292" s="212" t="s">
        <v>391</v>
      </c>
      <c r="AJ292" s="212">
        <v>30000</v>
      </c>
      <c r="AK292" s="212">
        <v>20638</v>
      </c>
      <c r="AL292" s="212">
        <v>0</v>
      </c>
      <c r="AM292" s="212">
        <v>0</v>
      </c>
      <c r="AN292" s="212">
        <v>9362</v>
      </c>
      <c r="AO292" s="176">
        <v>0</v>
      </c>
      <c r="AP292" s="176">
        <v>0</v>
      </c>
      <c r="AQ292" s="176">
        <v>0</v>
      </c>
      <c r="AR292" s="212">
        <f t="shared" si="41"/>
        <v>17834</v>
      </c>
      <c r="AS292" s="212">
        <f t="shared" si="42"/>
        <v>12166</v>
      </c>
      <c r="AT292" s="473">
        <f t="shared" si="43"/>
        <v>2804</v>
      </c>
      <c r="AU292" s="478"/>
    </row>
    <row r="293" spans="1:47" s="35" customFormat="1" ht="43.5" hidden="1" x14ac:dyDescent="0.35">
      <c r="A293" s="35" t="s">
        <v>1197</v>
      </c>
      <c r="B293" s="224" t="s">
        <v>949</v>
      </c>
      <c r="C293" s="222" t="s">
        <v>19</v>
      </c>
      <c r="D293" s="136">
        <v>8470530</v>
      </c>
      <c r="E293" s="137" t="s">
        <v>361</v>
      </c>
      <c r="F293" s="138">
        <v>432320</v>
      </c>
      <c r="G293" s="137" t="s">
        <v>392</v>
      </c>
      <c r="H293" s="137" t="s">
        <v>393</v>
      </c>
      <c r="I293" s="137">
        <v>26000</v>
      </c>
      <c r="J293" s="140">
        <v>26000</v>
      </c>
      <c r="K293" s="141">
        <v>5024</v>
      </c>
      <c r="L293" s="142"/>
      <c r="M293" s="143"/>
      <c r="N293" s="144">
        <f t="shared" si="38"/>
        <v>20976</v>
      </c>
      <c r="O293" s="145"/>
      <c r="P293" s="145"/>
      <c r="Q293" s="149"/>
      <c r="R293" s="146"/>
      <c r="S293" s="254">
        <f t="shared" si="39"/>
        <v>20976</v>
      </c>
      <c r="T293" s="172"/>
      <c r="U293" s="137" t="s">
        <v>393</v>
      </c>
      <c r="V293" s="261">
        <f t="shared" si="46"/>
        <v>20976</v>
      </c>
      <c r="W293" s="261">
        <f t="shared" si="44"/>
        <v>20976</v>
      </c>
      <c r="X293" s="261"/>
      <c r="Y293" s="176" t="s">
        <v>722</v>
      </c>
      <c r="Z293" s="176"/>
      <c r="AA293" s="186">
        <v>26000</v>
      </c>
      <c r="AB293" s="186">
        <v>5024</v>
      </c>
      <c r="AC293" s="176">
        <v>0</v>
      </c>
      <c r="AD293" s="176">
        <v>0</v>
      </c>
      <c r="AE293" s="186">
        <v>20976</v>
      </c>
      <c r="AF293" s="35">
        <v>20976</v>
      </c>
      <c r="AG293" s="212">
        <v>0</v>
      </c>
      <c r="AH293" s="212">
        <f t="shared" si="40"/>
        <v>0</v>
      </c>
      <c r="AI293" s="212" t="s">
        <v>393</v>
      </c>
      <c r="AJ293" s="212">
        <v>26000</v>
      </c>
      <c r="AK293" s="212">
        <v>5024</v>
      </c>
      <c r="AL293" s="212">
        <v>0</v>
      </c>
      <c r="AM293" s="212">
        <v>0</v>
      </c>
      <c r="AN293" s="212">
        <v>20976</v>
      </c>
      <c r="AO293" s="176">
        <v>0</v>
      </c>
      <c r="AP293" s="176">
        <v>0</v>
      </c>
      <c r="AQ293" s="176">
        <v>0</v>
      </c>
      <c r="AR293" s="212">
        <f t="shared" si="41"/>
        <v>20976</v>
      </c>
      <c r="AS293" s="212">
        <f t="shared" si="42"/>
        <v>5024</v>
      </c>
      <c r="AT293" s="473">
        <f t="shared" si="43"/>
        <v>-15952</v>
      </c>
      <c r="AU293" s="478"/>
    </row>
    <row r="294" spans="1:47" s="35" customFormat="1" ht="43.5" hidden="1" x14ac:dyDescent="0.35">
      <c r="A294" s="35" t="s">
        <v>1197</v>
      </c>
      <c r="B294" s="224" t="s">
        <v>949</v>
      </c>
      <c r="C294" s="222" t="s">
        <v>19</v>
      </c>
      <c r="D294" s="136">
        <v>8470530</v>
      </c>
      <c r="E294" s="137" t="s">
        <v>361</v>
      </c>
      <c r="F294" s="138">
        <v>436340</v>
      </c>
      <c r="G294" s="137" t="s">
        <v>394</v>
      </c>
      <c r="H294" s="137" t="s">
        <v>395</v>
      </c>
      <c r="I294" s="137">
        <v>0</v>
      </c>
      <c r="J294" s="140">
        <v>20000</v>
      </c>
      <c r="K294" s="147"/>
      <c r="L294" s="142"/>
      <c r="M294" s="143"/>
      <c r="N294" s="144">
        <f t="shared" si="38"/>
        <v>20000</v>
      </c>
      <c r="O294" s="145"/>
      <c r="P294" s="145"/>
      <c r="Q294" s="149"/>
      <c r="R294" s="146"/>
      <c r="S294" s="254">
        <f t="shared" si="39"/>
        <v>20000</v>
      </c>
      <c r="T294" s="172"/>
      <c r="U294" s="137" t="s">
        <v>395</v>
      </c>
      <c r="V294" s="261">
        <f t="shared" si="46"/>
        <v>20000</v>
      </c>
      <c r="W294" s="261">
        <f t="shared" si="44"/>
        <v>20000</v>
      </c>
      <c r="X294" s="261"/>
      <c r="Y294" s="176" t="s">
        <v>722</v>
      </c>
      <c r="Z294" s="176"/>
      <c r="AA294" s="186">
        <v>20000</v>
      </c>
      <c r="AB294" s="186">
        <v>0</v>
      </c>
      <c r="AC294" s="176">
        <v>0</v>
      </c>
      <c r="AD294" s="176">
        <v>0</v>
      </c>
      <c r="AE294" s="186">
        <v>20000</v>
      </c>
      <c r="AF294" s="35">
        <v>20000</v>
      </c>
      <c r="AG294" s="212">
        <v>0</v>
      </c>
      <c r="AH294" s="212">
        <f t="shared" si="40"/>
        <v>0</v>
      </c>
      <c r="AI294" s="212" t="s">
        <v>395</v>
      </c>
      <c r="AJ294" s="212">
        <v>20000</v>
      </c>
      <c r="AK294" s="212">
        <v>0</v>
      </c>
      <c r="AL294" s="212">
        <v>0</v>
      </c>
      <c r="AM294" s="212">
        <v>0</v>
      </c>
      <c r="AN294" s="212">
        <v>20000</v>
      </c>
      <c r="AO294" s="176">
        <v>0</v>
      </c>
      <c r="AP294" s="176">
        <v>0</v>
      </c>
      <c r="AQ294" s="176">
        <v>0</v>
      </c>
      <c r="AR294" s="212">
        <f t="shared" si="41"/>
        <v>20000</v>
      </c>
      <c r="AS294" s="212">
        <f t="shared" si="42"/>
        <v>0</v>
      </c>
      <c r="AT294" s="473">
        <f t="shared" si="43"/>
        <v>-20000</v>
      </c>
      <c r="AU294" s="478"/>
    </row>
    <row r="295" spans="1:47" s="35" customFormat="1" ht="43.5" hidden="1" x14ac:dyDescent="0.35">
      <c r="A295" s="35" t="s">
        <v>1197</v>
      </c>
      <c r="B295" s="224" t="s">
        <v>949</v>
      </c>
      <c r="C295" s="222" t="s">
        <v>19</v>
      </c>
      <c r="D295" s="136">
        <v>8470540</v>
      </c>
      <c r="E295" s="137" t="s">
        <v>396</v>
      </c>
      <c r="F295" s="138">
        <v>421100</v>
      </c>
      <c r="G295" s="137" t="s">
        <v>367</v>
      </c>
      <c r="H295" s="137" t="s">
        <v>397</v>
      </c>
      <c r="I295" s="137">
        <v>3589128</v>
      </c>
      <c r="J295" s="140">
        <v>489128</v>
      </c>
      <c r="K295" s="141">
        <v>168512.62</v>
      </c>
      <c r="L295" s="148">
        <v>1</v>
      </c>
      <c r="M295" s="140">
        <v>253016.89</v>
      </c>
      <c r="N295" s="144">
        <f t="shared" si="38"/>
        <v>67597.489999999991</v>
      </c>
      <c r="O295" s="145"/>
      <c r="P295" s="145"/>
      <c r="Q295" s="149">
        <v>67597</v>
      </c>
      <c r="R295" s="146" t="s">
        <v>788</v>
      </c>
      <c r="S295" s="254">
        <f t="shared" si="39"/>
        <v>0.48999999999068677</v>
      </c>
      <c r="T295" s="172"/>
      <c r="U295" s="137" t="s">
        <v>397</v>
      </c>
      <c r="V295" s="261">
        <f t="shared" si="46"/>
        <v>0.48999999999068677</v>
      </c>
      <c r="W295" s="261">
        <f t="shared" si="44"/>
        <v>0.48999999999068677</v>
      </c>
      <c r="X295" s="261"/>
      <c r="Y295" s="176" t="s">
        <v>722</v>
      </c>
      <c r="Z295" s="176"/>
      <c r="AA295" s="186">
        <v>409781</v>
      </c>
      <c r="AB295" s="186">
        <v>168512.62</v>
      </c>
      <c r="AC295" s="176">
        <v>50005.48</v>
      </c>
      <c r="AD295" s="176">
        <v>191257.31</v>
      </c>
      <c r="AE295" s="186">
        <v>5.5899999999965075</v>
      </c>
      <c r="AF295" s="35">
        <v>5.5899999999965102</v>
      </c>
      <c r="AG295" s="212">
        <v>0</v>
      </c>
      <c r="AH295" s="212">
        <f t="shared" si="40"/>
        <v>5.1000000000058208</v>
      </c>
      <c r="AI295" s="212" t="s">
        <v>397</v>
      </c>
      <c r="AJ295" s="212">
        <v>351171</v>
      </c>
      <c r="AK295" s="212">
        <v>168512.62</v>
      </c>
      <c r="AL295" s="212">
        <v>50005.48</v>
      </c>
      <c r="AM295" s="212">
        <v>56917.31</v>
      </c>
      <c r="AN295" s="212">
        <v>75735.59</v>
      </c>
      <c r="AO295" s="176">
        <v>0</v>
      </c>
      <c r="AP295" s="176">
        <v>0</v>
      </c>
      <c r="AQ295" s="176">
        <v>0</v>
      </c>
      <c r="AR295" s="212">
        <f t="shared" si="41"/>
        <v>0.48999999999068677</v>
      </c>
      <c r="AS295" s="212">
        <f t="shared" si="42"/>
        <v>477372.41000000003</v>
      </c>
      <c r="AT295" s="473">
        <f t="shared" si="43"/>
        <v>343031.92000000004</v>
      </c>
      <c r="AU295" s="478"/>
    </row>
    <row r="296" spans="1:47" s="35" customFormat="1" ht="43.5" hidden="1" x14ac:dyDescent="0.35">
      <c r="A296" s="35" t="s">
        <v>1197</v>
      </c>
      <c r="B296" s="224" t="s">
        <v>949</v>
      </c>
      <c r="C296" s="222" t="s">
        <v>19</v>
      </c>
      <c r="D296" s="136">
        <v>8470540</v>
      </c>
      <c r="E296" s="137" t="s">
        <v>396</v>
      </c>
      <c r="F296" s="138">
        <v>426800</v>
      </c>
      <c r="G296" s="137" t="s">
        <v>398</v>
      </c>
      <c r="H296" s="137" t="s">
        <v>399</v>
      </c>
      <c r="I296" s="137">
        <v>10000</v>
      </c>
      <c r="J296" s="140">
        <v>10000</v>
      </c>
      <c r="K296" s="141">
        <v>848</v>
      </c>
      <c r="L296" s="142"/>
      <c r="M296" s="143"/>
      <c r="N296" s="144">
        <f t="shared" si="38"/>
        <v>9152</v>
      </c>
      <c r="O296" s="145"/>
      <c r="P296" s="145"/>
      <c r="Q296" s="149"/>
      <c r="R296" s="146"/>
      <c r="S296" s="254">
        <f t="shared" si="39"/>
        <v>9152</v>
      </c>
      <c r="T296" s="172"/>
      <c r="U296" s="137" t="s">
        <v>399</v>
      </c>
      <c r="V296" s="261">
        <f t="shared" si="46"/>
        <v>9152</v>
      </c>
      <c r="W296" s="261">
        <f t="shared" si="44"/>
        <v>9152</v>
      </c>
      <c r="X296" s="261"/>
      <c r="Y296" s="176" t="s">
        <v>722</v>
      </c>
      <c r="Z296" s="176"/>
      <c r="AA296" s="186">
        <v>10000</v>
      </c>
      <c r="AB296" s="186">
        <v>848</v>
      </c>
      <c r="AC296" s="176">
        <v>0</v>
      </c>
      <c r="AD296" s="176">
        <v>0</v>
      </c>
      <c r="AE296" s="186">
        <v>9152</v>
      </c>
      <c r="AF296" s="35">
        <v>9152</v>
      </c>
      <c r="AG296" s="212">
        <v>0</v>
      </c>
      <c r="AH296" s="212">
        <f t="shared" si="40"/>
        <v>0</v>
      </c>
      <c r="AI296" s="212" t="s">
        <v>399</v>
      </c>
      <c r="AJ296" s="212">
        <v>10000</v>
      </c>
      <c r="AK296" s="212">
        <v>848</v>
      </c>
      <c r="AL296" s="212">
        <v>0</v>
      </c>
      <c r="AM296" s="212">
        <v>0</v>
      </c>
      <c r="AN296" s="212">
        <v>9152</v>
      </c>
      <c r="AO296" s="176">
        <v>0</v>
      </c>
      <c r="AP296" s="176">
        <v>0</v>
      </c>
      <c r="AQ296" s="176">
        <v>0</v>
      </c>
      <c r="AR296" s="212">
        <f t="shared" si="41"/>
        <v>9152</v>
      </c>
      <c r="AS296" s="212">
        <f t="shared" si="42"/>
        <v>848</v>
      </c>
      <c r="AT296" s="473">
        <f t="shared" si="43"/>
        <v>-8304</v>
      </c>
      <c r="AU296" s="478"/>
    </row>
    <row r="297" spans="1:47" s="35" customFormat="1" ht="43.5" hidden="1" x14ac:dyDescent="0.35">
      <c r="A297" s="35" t="s">
        <v>1197</v>
      </c>
      <c r="B297" s="224" t="s">
        <v>949</v>
      </c>
      <c r="C297" s="222" t="s">
        <v>19</v>
      </c>
      <c r="D297" s="136">
        <v>8470540</v>
      </c>
      <c r="E297" s="137" t="s">
        <v>396</v>
      </c>
      <c r="F297" s="138">
        <v>426900</v>
      </c>
      <c r="G297" s="137" t="s">
        <v>400</v>
      </c>
      <c r="H297" s="137" t="s">
        <v>401</v>
      </c>
      <c r="I297" s="137">
        <v>30000</v>
      </c>
      <c r="J297" s="140">
        <v>30000</v>
      </c>
      <c r="K297" s="141">
        <v>3000</v>
      </c>
      <c r="L297" s="142"/>
      <c r="M297" s="143"/>
      <c r="N297" s="144">
        <f t="shared" si="38"/>
        <v>27000</v>
      </c>
      <c r="O297" s="145"/>
      <c r="P297" s="145"/>
      <c r="Q297" s="149"/>
      <c r="R297" s="146"/>
      <c r="S297" s="254">
        <f t="shared" si="39"/>
        <v>27000</v>
      </c>
      <c r="T297" s="172"/>
      <c r="U297" s="137" t="s">
        <v>401</v>
      </c>
      <c r="V297" s="261">
        <f t="shared" si="46"/>
        <v>27000</v>
      </c>
      <c r="W297" s="261">
        <f t="shared" si="44"/>
        <v>27000</v>
      </c>
      <c r="X297" s="261"/>
      <c r="Y297" s="176" t="s">
        <v>722</v>
      </c>
      <c r="Z297" s="176"/>
      <c r="AA297" s="186">
        <v>6000</v>
      </c>
      <c r="AB297" s="186">
        <v>3000</v>
      </c>
      <c r="AC297" s="176">
        <v>0</v>
      </c>
      <c r="AD297" s="176">
        <v>0</v>
      </c>
      <c r="AE297" s="186">
        <v>3000</v>
      </c>
      <c r="AF297" s="35">
        <v>3000</v>
      </c>
      <c r="AG297" s="212">
        <v>0</v>
      </c>
      <c r="AH297" s="212">
        <f t="shared" si="40"/>
        <v>-24000</v>
      </c>
      <c r="AI297" s="212" t="s">
        <v>401</v>
      </c>
      <c r="AJ297" s="212">
        <v>6000</v>
      </c>
      <c r="AK297" s="212">
        <v>3000</v>
      </c>
      <c r="AL297" s="212">
        <v>0</v>
      </c>
      <c r="AM297" s="212">
        <v>0</v>
      </c>
      <c r="AN297" s="212">
        <v>3000</v>
      </c>
      <c r="AO297" s="176">
        <v>0</v>
      </c>
      <c r="AP297" s="176">
        <v>0</v>
      </c>
      <c r="AQ297" s="176">
        <v>0</v>
      </c>
      <c r="AR297" s="212">
        <f t="shared" si="41"/>
        <v>27000</v>
      </c>
      <c r="AS297" s="212">
        <f t="shared" si="42"/>
        <v>3000</v>
      </c>
      <c r="AT297" s="473">
        <f t="shared" si="43"/>
        <v>-24000</v>
      </c>
      <c r="AU297" s="478"/>
    </row>
    <row r="298" spans="1:47" s="35" customFormat="1" ht="43.5" hidden="1" x14ac:dyDescent="0.35">
      <c r="A298" s="35" t="s">
        <v>1197</v>
      </c>
      <c r="B298" s="224" t="s">
        <v>949</v>
      </c>
      <c r="C298" s="222" t="s">
        <v>19</v>
      </c>
      <c r="D298" s="136">
        <v>8470540</v>
      </c>
      <c r="E298" s="137" t="s">
        <v>396</v>
      </c>
      <c r="F298" s="138">
        <v>427710</v>
      </c>
      <c r="G298" s="137" t="s">
        <v>51</v>
      </c>
      <c r="H298" s="137" t="s">
        <v>402</v>
      </c>
      <c r="I298" s="137">
        <v>0</v>
      </c>
      <c r="J298" s="140">
        <v>7000</v>
      </c>
      <c r="K298" s="141">
        <v>5106</v>
      </c>
      <c r="L298" s="148">
        <v>0</v>
      </c>
      <c r="M298" s="140">
        <v>0</v>
      </c>
      <c r="N298" s="144">
        <f t="shared" si="38"/>
        <v>1894</v>
      </c>
      <c r="O298" s="145"/>
      <c r="P298" s="145"/>
      <c r="Q298" s="149"/>
      <c r="R298" s="146"/>
      <c r="S298" s="254">
        <f t="shared" si="39"/>
        <v>1894</v>
      </c>
      <c r="T298" s="172"/>
      <c r="U298" s="137" t="s">
        <v>402</v>
      </c>
      <c r="V298" s="261">
        <f t="shared" si="46"/>
        <v>1894</v>
      </c>
      <c r="W298" s="261">
        <f t="shared" si="44"/>
        <v>1894</v>
      </c>
      <c r="X298" s="261"/>
      <c r="Y298" s="176" t="s">
        <v>722</v>
      </c>
      <c r="Z298" s="176"/>
      <c r="AA298" s="186">
        <v>7000</v>
      </c>
      <c r="AB298" s="186">
        <v>5106</v>
      </c>
      <c r="AC298" s="176">
        <v>0</v>
      </c>
      <c r="AD298" s="176">
        <v>0</v>
      </c>
      <c r="AE298" s="186">
        <v>1894</v>
      </c>
      <c r="AF298" s="35">
        <v>1894</v>
      </c>
      <c r="AG298" s="212">
        <v>0</v>
      </c>
      <c r="AH298" s="212">
        <f t="shared" si="40"/>
        <v>0</v>
      </c>
      <c r="AI298" s="212" t="s">
        <v>402</v>
      </c>
      <c r="AJ298" s="212">
        <v>7000</v>
      </c>
      <c r="AK298" s="212">
        <v>5106</v>
      </c>
      <c r="AL298" s="212">
        <v>0</v>
      </c>
      <c r="AM298" s="212">
        <v>0</v>
      </c>
      <c r="AN298" s="212">
        <v>1894</v>
      </c>
      <c r="AO298" s="176">
        <v>0</v>
      </c>
      <c r="AP298" s="176">
        <v>0</v>
      </c>
      <c r="AQ298" s="176">
        <v>0</v>
      </c>
      <c r="AR298" s="212">
        <f t="shared" si="41"/>
        <v>1894</v>
      </c>
      <c r="AS298" s="212">
        <f t="shared" si="42"/>
        <v>5106</v>
      </c>
      <c r="AT298" s="473">
        <f t="shared" si="43"/>
        <v>3212</v>
      </c>
      <c r="AU298" s="478"/>
    </row>
    <row r="299" spans="1:47" s="35" customFormat="1" ht="43.5" hidden="1" x14ac:dyDescent="0.35">
      <c r="A299" s="35" t="s">
        <v>1197</v>
      </c>
      <c r="B299" s="224" t="s">
        <v>949</v>
      </c>
      <c r="C299" s="222" t="s">
        <v>19</v>
      </c>
      <c r="D299" s="136">
        <v>8470540</v>
      </c>
      <c r="E299" s="137" t="s">
        <v>396</v>
      </c>
      <c r="F299" s="138">
        <v>428111</v>
      </c>
      <c r="G299" s="137" t="s">
        <v>403</v>
      </c>
      <c r="H299" s="137" t="s">
        <v>404</v>
      </c>
      <c r="I299" s="137">
        <v>7349560</v>
      </c>
      <c r="J299" s="140">
        <v>7349560</v>
      </c>
      <c r="K299" s="141">
        <v>5212427.82</v>
      </c>
      <c r="L299" s="142"/>
      <c r="M299" s="143"/>
      <c r="N299" s="144">
        <f t="shared" si="38"/>
        <v>2137132.1799999997</v>
      </c>
      <c r="O299" s="145"/>
      <c r="P299" s="145"/>
      <c r="Q299" s="149">
        <v>2137132</v>
      </c>
      <c r="R299" s="146" t="s">
        <v>789</v>
      </c>
      <c r="S299" s="254">
        <f t="shared" si="39"/>
        <v>0.17999999970197678</v>
      </c>
      <c r="T299" s="172"/>
      <c r="U299" s="137" t="s">
        <v>404</v>
      </c>
      <c r="V299" s="261">
        <f t="shared" si="46"/>
        <v>0.17999999970197678</v>
      </c>
      <c r="W299" s="261">
        <f t="shared" si="44"/>
        <v>0.17999999970197678</v>
      </c>
      <c r="X299" s="261"/>
      <c r="Y299" s="176" t="s">
        <v>722</v>
      </c>
      <c r="Z299" s="176"/>
      <c r="AA299" s="186">
        <v>7099560</v>
      </c>
      <c r="AB299" s="186">
        <v>5845824.0199999996</v>
      </c>
      <c r="AC299" s="176">
        <v>0</v>
      </c>
      <c r="AD299" s="176">
        <v>0</v>
      </c>
      <c r="AE299" s="186">
        <v>1253735.9800000004</v>
      </c>
      <c r="AF299" s="35">
        <v>1253735.98</v>
      </c>
      <c r="AG299" s="212">
        <v>0</v>
      </c>
      <c r="AH299" s="212">
        <f t="shared" si="40"/>
        <v>1253735.8000000007</v>
      </c>
      <c r="AI299" s="212" t="s">
        <v>404</v>
      </c>
      <c r="AJ299" s="212">
        <v>7538560</v>
      </c>
      <c r="AK299" s="212">
        <v>6816334.6600000001</v>
      </c>
      <c r="AL299" s="212">
        <v>0</v>
      </c>
      <c r="AM299" s="212">
        <v>0</v>
      </c>
      <c r="AN299" s="212">
        <v>722225.34</v>
      </c>
      <c r="AO299" s="176">
        <v>0</v>
      </c>
      <c r="AP299" s="176">
        <v>0</v>
      </c>
      <c r="AQ299" s="176">
        <v>0</v>
      </c>
      <c r="AR299" s="212">
        <f t="shared" si="41"/>
        <v>0.17999999970197678</v>
      </c>
      <c r="AS299" s="212">
        <f t="shared" si="42"/>
        <v>7982956.0199999996</v>
      </c>
      <c r="AT299" s="473">
        <f t="shared" si="43"/>
        <v>8953466.4800000004</v>
      </c>
      <c r="AU299" s="478"/>
    </row>
    <row r="300" spans="1:47" s="35" customFormat="1" ht="43.5" hidden="1" x14ac:dyDescent="0.35">
      <c r="A300" s="35" t="s">
        <v>1197</v>
      </c>
      <c r="B300" s="224" t="s">
        <v>949</v>
      </c>
      <c r="C300" s="222" t="s">
        <v>19</v>
      </c>
      <c r="D300" s="136">
        <v>8470540</v>
      </c>
      <c r="E300" s="137" t="s">
        <v>396</v>
      </c>
      <c r="F300" s="138">
        <v>428111</v>
      </c>
      <c r="G300" s="137" t="s">
        <v>403</v>
      </c>
      <c r="H300" s="137" t="s">
        <v>405</v>
      </c>
      <c r="I300" s="137">
        <v>4615084</v>
      </c>
      <c r="J300" s="140">
        <v>4524084</v>
      </c>
      <c r="K300" s="141">
        <v>3033573.52</v>
      </c>
      <c r="L300" s="142"/>
      <c r="M300" s="143"/>
      <c r="N300" s="144">
        <f t="shared" si="38"/>
        <v>1490510.48</v>
      </c>
      <c r="O300" s="145"/>
      <c r="P300" s="145"/>
      <c r="Q300" s="149">
        <v>1490510</v>
      </c>
      <c r="R300" s="146" t="s">
        <v>789</v>
      </c>
      <c r="S300" s="254">
        <f t="shared" si="39"/>
        <v>0.47999999998137355</v>
      </c>
      <c r="T300" s="172"/>
      <c r="U300" s="137" t="s">
        <v>405</v>
      </c>
      <c r="V300" s="261">
        <f t="shared" si="46"/>
        <v>0.47999999998137355</v>
      </c>
      <c r="W300" s="261">
        <f t="shared" si="44"/>
        <v>0.47999999998137355</v>
      </c>
      <c r="X300" s="261"/>
      <c r="Y300" s="176" t="s">
        <v>722</v>
      </c>
      <c r="Z300" s="176"/>
      <c r="AA300" s="186">
        <v>4274084</v>
      </c>
      <c r="AB300" s="186">
        <v>3542965.05</v>
      </c>
      <c r="AC300" s="176">
        <v>0</v>
      </c>
      <c r="AD300" s="176">
        <v>0</v>
      </c>
      <c r="AE300" s="186">
        <v>731118.95000000019</v>
      </c>
      <c r="AF300" s="35">
        <v>731118.95</v>
      </c>
      <c r="AG300" s="212">
        <v>0</v>
      </c>
      <c r="AH300" s="212">
        <f t="shared" si="40"/>
        <v>731118.4700000002</v>
      </c>
      <c r="AI300" s="212" t="s">
        <v>405</v>
      </c>
      <c r="AJ300" s="212">
        <v>4457384</v>
      </c>
      <c r="AK300" s="212">
        <v>3941179.14</v>
      </c>
      <c r="AL300" s="212">
        <v>0</v>
      </c>
      <c r="AM300" s="212">
        <v>0</v>
      </c>
      <c r="AN300" s="212">
        <v>516204.859999999</v>
      </c>
      <c r="AO300" s="176">
        <v>0</v>
      </c>
      <c r="AP300" s="176">
        <v>0</v>
      </c>
      <c r="AQ300" s="176">
        <v>0</v>
      </c>
      <c r="AR300" s="212">
        <f t="shared" si="41"/>
        <v>0.47999999998137355</v>
      </c>
      <c r="AS300" s="212">
        <f t="shared" si="42"/>
        <v>5033475.05</v>
      </c>
      <c r="AT300" s="473">
        <f t="shared" si="43"/>
        <v>5431688.6600000001</v>
      </c>
      <c r="AU300" s="478"/>
    </row>
    <row r="301" spans="1:47" s="35" customFormat="1" ht="43.5" hidden="1" x14ac:dyDescent="0.35">
      <c r="A301" s="35" t="s">
        <v>1197</v>
      </c>
      <c r="B301" s="224" t="s">
        <v>949</v>
      </c>
      <c r="C301" s="222" t="s">
        <v>19</v>
      </c>
      <c r="D301" s="136">
        <v>8470540</v>
      </c>
      <c r="E301" s="137" t="s">
        <v>396</v>
      </c>
      <c r="F301" s="138">
        <v>428111</v>
      </c>
      <c r="G301" s="137" t="s">
        <v>403</v>
      </c>
      <c r="H301" s="137" t="s">
        <v>406</v>
      </c>
      <c r="I301" s="137">
        <v>3058446</v>
      </c>
      <c r="J301" s="140">
        <v>3149446</v>
      </c>
      <c r="K301" s="141">
        <v>3148690.2</v>
      </c>
      <c r="L301" s="142"/>
      <c r="M301" s="143"/>
      <c r="N301" s="144">
        <f t="shared" si="38"/>
        <v>755.79999999981374</v>
      </c>
      <c r="O301" s="145"/>
      <c r="P301" s="145"/>
      <c r="Q301" s="149">
        <v>756</v>
      </c>
      <c r="R301" s="146" t="s">
        <v>789</v>
      </c>
      <c r="S301" s="254">
        <f t="shared" si="39"/>
        <v>-0.20000000018626451</v>
      </c>
      <c r="T301" s="172"/>
      <c r="U301" s="137" t="s">
        <v>406</v>
      </c>
      <c r="V301" s="261">
        <f t="shared" si="46"/>
        <v>-0.20000000018626451</v>
      </c>
      <c r="W301" s="261">
        <f t="shared" si="44"/>
        <v>-0.20000000018626451</v>
      </c>
      <c r="X301" s="261"/>
      <c r="Y301" s="176" t="s">
        <v>722</v>
      </c>
      <c r="Z301" s="176"/>
      <c r="AA301" s="186">
        <v>3709446</v>
      </c>
      <c r="AB301" s="186">
        <v>3700307.8</v>
      </c>
      <c r="AC301" s="176">
        <v>0</v>
      </c>
      <c r="AD301" s="176">
        <v>0</v>
      </c>
      <c r="AE301" s="186">
        <v>9138.2000000001863</v>
      </c>
      <c r="AF301" s="35">
        <v>9138.1999999997806</v>
      </c>
      <c r="AG301" s="212">
        <v>4.0563463699072599E-10</v>
      </c>
      <c r="AH301" s="212">
        <f t="shared" si="40"/>
        <v>9138.4000000003725</v>
      </c>
      <c r="AI301" s="212" t="s">
        <v>406</v>
      </c>
      <c r="AJ301" s="212">
        <v>4843573</v>
      </c>
      <c r="AK301" s="212">
        <v>4347580.5999999996</v>
      </c>
      <c r="AL301" s="212">
        <v>0</v>
      </c>
      <c r="AM301" s="212">
        <v>0</v>
      </c>
      <c r="AN301" s="212">
        <v>495992.39999999898</v>
      </c>
      <c r="AO301" s="176">
        <v>0</v>
      </c>
      <c r="AP301" s="176">
        <v>0</v>
      </c>
      <c r="AQ301" s="176">
        <v>0</v>
      </c>
      <c r="AR301" s="212">
        <f t="shared" si="41"/>
        <v>-0.20000000018626451</v>
      </c>
      <c r="AS301" s="212">
        <f t="shared" si="42"/>
        <v>3701063.8</v>
      </c>
      <c r="AT301" s="473">
        <f t="shared" si="43"/>
        <v>4348336.8</v>
      </c>
      <c r="AU301" s="478"/>
    </row>
    <row r="302" spans="1:47" s="35" customFormat="1" ht="43.5" hidden="1" x14ac:dyDescent="0.35">
      <c r="A302" s="35" t="s">
        <v>1197</v>
      </c>
      <c r="B302" s="224" t="s">
        <v>949</v>
      </c>
      <c r="C302" s="222" t="s">
        <v>19</v>
      </c>
      <c r="D302" s="136">
        <v>8470540</v>
      </c>
      <c r="E302" s="137" t="s">
        <v>396</v>
      </c>
      <c r="F302" s="138">
        <v>428111</v>
      </c>
      <c r="G302" s="137" t="s">
        <v>403</v>
      </c>
      <c r="H302" s="137" t="s">
        <v>407</v>
      </c>
      <c r="I302" s="137">
        <v>442627</v>
      </c>
      <c r="J302" s="140">
        <v>442627</v>
      </c>
      <c r="K302" s="147"/>
      <c r="L302" s="142"/>
      <c r="M302" s="143"/>
      <c r="N302" s="144">
        <f t="shared" si="38"/>
        <v>442627</v>
      </c>
      <c r="O302" s="145"/>
      <c r="P302" s="145"/>
      <c r="Q302" s="149">
        <v>442627</v>
      </c>
      <c r="R302" s="146" t="s">
        <v>789</v>
      </c>
      <c r="S302" s="254">
        <f t="shared" si="39"/>
        <v>0</v>
      </c>
      <c r="T302" s="172"/>
      <c r="U302" s="137" t="s">
        <v>407</v>
      </c>
      <c r="V302" s="261">
        <f t="shared" si="46"/>
        <v>0</v>
      </c>
      <c r="W302" s="261">
        <f t="shared" si="44"/>
        <v>0</v>
      </c>
      <c r="X302" s="261"/>
      <c r="Y302" s="176" t="s">
        <v>722</v>
      </c>
      <c r="Z302" s="176"/>
      <c r="AA302" s="186">
        <v>382627</v>
      </c>
      <c r="AB302" s="186">
        <v>0</v>
      </c>
      <c r="AC302" s="176">
        <v>0</v>
      </c>
      <c r="AD302" s="176">
        <v>0</v>
      </c>
      <c r="AE302" s="186">
        <v>382627</v>
      </c>
      <c r="AF302" s="35">
        <v>382627</v>
      </c>
      <c r="AG302" s="212">
        <v>0</v>
      </c>
      <c r="AH302" s="212">
        <f t="shared" si="40"/>
        <v>382627</v>
      </c>
      <c r="AI302" s="212" t="s">
        <v>407</v>
      </c>
      <c r="AJ302" s="212">
        <v>0</v>
      </c>
      <c r="AK302" s="212">
        <v>0</v>
      </c>
      <c r="AL302" s="212">
        <v>0</v>
      </c>
      <c r="AM302" s="212">
        <v>0</v>
      </c>
      <c r="AN302" s="212">
        <v>0</v>
      </c>
      <c r="AO302" s="176">
        <v>0</v>
      </c>
      <c r="AP302" s="176">
        <v>0</v>
      </c>
      <c r="AQ302" s="176">
        <v>0</v>
      </c>
      <c r="AR302" s="212">
        <f t="shared" si="41"/>
        <v>0</v>
      </c>
      <c r="AS302" s="212">
        <f t="shared" si="42"/>
        <v>442627</v>
      </c>
      <c r="AT302" s="473">
        <f t="shared" si="43"/>
        <v>442627</v>
      </c>
      <c r="AU302" s="478"/>
    </row>
    <row r="303" spans="1:47" s="35" customFormat="1" ht="43.5" hidden="1" x14ac:dyDescent="0.35">
      <c r="A303" s="35" t="s">
        <v>1197</v>
      </c>
      <c r="B303" s="224" t="s">
        <v>949</v>
      </c>
      <c r="C303" s="222" t="s">
        <v>19</v>
      </c>
      <c r="D303" s="136">
        <v>8470540</v>
      </c>
      <c r="E303" s="137" t="s">
        <v>396</v>
      </c>
      <c r="F303" s="138">
        <v>428112</v>
      </c>
      <c r="G303" s="137" t="s">
        <v>408</v>
      </c>
      <c r="H303" s="137" t="s">
        <v>409</v>
      </c>
      <c r="I303" s="137">
        <v>1153128</v>
      </c>
      <c r="J303" s="140">
        <v>1153128</v>
      </c>
      <c r="K303" s="141">
        <v>711620.8</v>
      </c>
      <c r="L303" s="142"/>
      <c r="M303" s="143"/>
      <c r="N303" s="144">
        <f t="shared" si="38"/>
        <v>441507.19999999995</v>
      </c>
      <c r="O303" s="145"/>
      <c r="P303" s="145"/>
      <c r="Q303" s="149">
        <v>441507</v>
      </c>
      <c r="R303" s="146" t="s">
        <v>790</v>
      </c>
      <c r="S303" s="254">
        <f t="shared" si="39"/>
        <v>0.19999999995343387</v>
      </c>
      <c r="T303" s="172"/>
      <c r="U303" s="137" t="s">
        <v>409</v>
      </c>
      <c r="V303" s="261">
        <f t="shared" si="46"/>
        <v>0.19999999995343387</v>
      </c>
      <c r="W303" s="261">
        <f t="shared" si="44"/>
        <v>0.19999999995343387</v>
      </c>
      <c r="X303" s="261"/>
      <c r="Y303" s="176" t="s">
        <v>722</v>
      </c>
      <c r="Z303" s="176"/>
      <c r="AA303" s="186">
        <v>1153128</v>
      </c>
      <c r="AB303" s="186">
        <v>860822</v>
      </c>
      <c r="AC303" s="176">
        <v>0</v>
      </c>
      <c r="AD303" s="176">
        <v>0</v>
      </c>
      <c r="AE303" s="186">
        <v>292306</v>
      </c>
      <c r="AF303" s="35">
        <v>292306</v>
      </c>
      <c r="AG303" s="212">
        <v>0</v>
      </c>
      <c r="AH303" s="212">
        <f t="shared" si="40"/>
        <v>292305.80000000005</v>
      </c>
      <c r="AI303" s="212" t="s">
        <v>409</v>
      </c>
      <c r="AJ303" s="212">
        <v>1153128</v>
      </c>
      <c r="AK303" s="212">
        <v>979183.52</v>
      </c>
      <c r="AL303" s="212">
        <v>0</v>
      </c>
      <c r="AM303" s="212">
        <v>0</v>
      </c>
      <c r="AN303" s="212">
        <v>173944.48</v>
      </c>
      <c r="AO303" s="176">
        <v>0</v>
      </c>
      <c r="AP303" s="176">
        <v>0</v>
      </c>
      <c r="AQ303" s="176">
        <v>0</v>
      </c>
      <c r="AR303" s="212">
        <f t="shared" si="41"/>
        <v>0.19999999995343387</v>
      </c>
      <c r="AS303" s="212">
        <f t="shared" si="42"/>
        <v>1302329</v>
      </c>
      <c r="AT303" s="473">
        <f t="shared" si="43"/>
        <v>1420690.32</v>
      </c>
      <c r="AU303" s="478"/>
    </row>
    <row r="304" spans="1:47" s="35" customFormat="1" ht="43.5" hidden="1" x14ac:dyDescent="0.35">
      <c r="A304" s="35" t="s">
        <v>1197</v>
      </c>
      <c r="B304" s="224" t="s">
        <v>949</v>
      </c>
      <c r="C304" s="222" t="s">
        <v>19</v>
      </c>
      <c r="D304" s="136">
        <v>8470530</v>
      </c>
      <c r="E304" s="137" t="s">
        <v>361</v>
      </c>
      <c r="F304" s="138">
        <v>425747</v>
      </c>
      <c r="G304" s="137" t="s">
        <v>591</v>
      </c>
      <c r="H304" s="137" t="s">
        <v>974</v>
      </c>
      <c r="I304" s="137"/>
      <c r="J304" s="140"/>
      <c r="K304" s="141"/>
      <c r="L304" s="142"/>
      <c r="M304" s="143"/>
      <c r="N304" s="144"/>
      <c r="O304" s="145"/>
      <c r="P304" s="145"/>
      <c r="Q304" s="149"/>
      <c r="R304" s="146"/>
      <c r="S304" s="243">
        <v>-3900000</v>
      </c>
      <c r="T304" s="245" t="s">
        <v>975</v>
      </c>
      <c r="U304" s="137" t="s">
        <v>974</v>
      </c>
      <c r="V304" s="261"/>
      <c r="W304" s="261">
        <f t="shared" si="44"/>
        <v>0</v>
      </c>
      <c r="X304" s="474">
        <v>3900000</v>
      </c>
      <c r="Y304" s="176" t="s">
        <v>722</v>
      </c>
      <c r="Z304" s="176"/>
      <c r="AA304" s="186"/>
      <c r="AB304" s="186"/>
      <c r="AC304" s="176"/>
      <c r="AD304" s="176"/>
      <c r="AE304" s="186"/>
      <c r="AG304" s="212"/>
      <c r="AH304" s="212">
        <f t="shared" si="40"/>
        <v>0</v>
      </c>
      <c r="AI304" s="212" t="s">
        <v>974</v>
      </c>
      <c r="AJ304" s="212">
        <v>0</v>
      </c>
      <c r="AK304" s="212">
        <v>0</v>
      </c>
      <c r="AL304" s="212">
        <v>0</v>
      </c>
      <c r="AM304" s="212">
        <v>0</v>
      </c>
      <c r="AN304" s="212">
        <v>0</v>
      </c>
      <c r="AO304" s="176">
        <v>0</v>
      </c>
      <c r="AP304" s="176">
        <v>0</v>
      </c>
      <c r="AQ304" s="176">
        <v>0</v>
      </c>
      <c r="AR304" s="212">
        <f t="shared" si="41"/>
        <v>0</v>
      </c>
      <c r="AS304" s="212">
        <f t="shared" si="42"/>
        <v>0</v>
      </c>
      <c r="AT304" s="473">
        <f t="shared" si="43"/>
        <v>3900000</v>
      </c>
      <c r="AU304" s="478"/>
    </row>
    <row r="305" spans="1:47" s="35" customFormat="1" ht="43.5" hidden="1" x14ac:dyDescent="0.35">
      <c r="A305" s="35" t="s">
        <v>1197</v>
      </c>
      <c r="B305" s="224" t="s">
        <v>949</v>
      </c>
      <c r="C305" s="222" t="s">
        <v>19</v>
      </c>
      <c r="D305" s="136">
        <v>8470540</v>
      </c>
      <c r="E305" s="137" t="s">
        <v>396</v>
      </c>
      <c r="F305" s="138">
        <v>428112</v>
      </c>
      <c r="G305" s="137" t="s">
        <v>408</v>
      </c>
      <c r="H305" s="137" t="s">
        <v>410</v>
      </c>
      <c r="I305" s="137">
        <v>1681399</v>
      </c>
      <c r="J305" s="140">
        <v>1681399</v>
      </c>
      <c r="K305" s="141">
        <v>910484.04</v>
      </c>
      <c r="L305" s="142"/>
      <c r="M305" s="143"/>
      <c r="N305" s="144">
        <f t="shared" si="38"/>
        <v>770914.96</v>
      </c>
      <c r="O305" s="145"/>
      <c r="P305" s="145"/>
      <c r="Q305" s="149">
        <v>770915</v>
      </c>
      <c r="R305" s="146" t="s">
        <v>790</v>
      </c>
      <c r="S305" s="254">
        <f t="shared" si="39"/>
        <v>-4.0000000037252903E-2</v>
      </c>
      <c r="T305" s="172"/>
      <c r="U305" s="137" t="s">
        <v>410</v>
      </c>
      <c r="V305" s="261">
        <f t="shared" ref="V305:V317" si="47">S305</f>
        <v>-4.0000000037252903E-2</v>
      </c>
      <c r="W305" s="261">
        <f t="shared" si="44"/>
        <v>-4.0000000037252903E-2</v>
      </c>
      <c r="X305" s="261"/>
      <c r="Y305" s="176" t="s">
        <v>722</v>
      </c>
      <c r="Z305" s="176"/>
      <c r="AA305" s="186">
        <v>1681399</v>
      </c>
      <c r="AB305" s="186">
        <v>1051177.02</v>
      </c>
      <c r="AC305" s="176">
        <v>0</v>
      </c>
      <c r="AD305" s="176">
        <v>0</v>
      </c>
      <c r="AE305" s="186">
        <v>630221.98</v>
      </c>
      <c r="AF305" s="35">
        <v>630221.98</v>
      </c>
      <c r="AG305" s="212">
        <v>0</v>
      </c>
      <c r="AH305" s="212">
        <f t="shared" si="40"/>
        <v>630222.02</v>
      </c>
      <c r="AI305" s="212" t="s">
        <v>410</v>
      </c>
      <c r="AJ305" s="212">
        <v>1681399</v>
      </c>
      <c r="AK305" s="212">
        <v>1190796.5900000001</v>
      </c>
      <c r="AL305" s="212">
        <v>0</v>
      </c>
      <c r="AM305" s="212">
        <v>0</v>
      </c>
      <c r="AN305" s="212">
        <v>490602.41</v>
      </c>
      <c r="AO305" s="176">
        <v>0</v>
      </c>
      <c r="AP305" s="176">
        <v>0</v>
      </c>
      <c r="AQ305" s="176">
        <v>0</v>
      </c>
      <c r="AR305" s="212">
        <f t="shared" si="41"/>
        <v>-4.0000000037252903E-2</v>
      </c>
      <c r="AS305" s="212">
        <f t="shared" si="42"/>
        <v>1822092.02</v>
      </c>
      <c r="AT305" s="473">
        <f t="shared" si="43"/>
        <v>1961711.6300000001</v>
      </c>
      <c r="AU305" s="478"/>
    </row>
    <row r="306" spans="1:47" s="35" customFormat="1" ht="43.5" hidden="1" x14ac:dyDescent="0.35">
      <c r="A306" s="35" t="s">
        <v>1197</v>
      </c>
      <c r="B306" s="224" t="s">
        <v>949</v>
      </c>
      <c r="C306" s="222" t="s">
        <v>19</v>
      </c>
      <c r="D306" s="136">
        <v>8470540</v>
      </c>
      <c r="E306" s="137" t="s">
        <v>396</v>
      </c>
      <c r="F306" s="138">
        <v>428112</v>
      </c>
      <c r="G306" s="137" t="s">
        <v>408</v>
      </c>
      <c r="H306" s="137" t="s">
        <v>411</v>
      </c>
      <c r="I306" s="137">
        <v>1703132</v>
      </c>
      <c r="J306" s="140">
        <v>1703132</v>
      </c>
      <c r="K306" s="141">
        <v>961105.55</v>
      </c>
      <c r="L306" s="142"/>
      <c r="M306" s="143"/>
      <c r="N306" s="144">
        <f t="shared" si="38"/>
        <v>742026.45</v>
      </c>
      <c r="O306" s="145"/>
      <c r="P306" s="145"/>
      <c r="Q306" s="149">
        <v>742026</v>
      </c>
      <c r="R306" s="146" t="s">
        <v>790</v>
      </c>
      <c r="S306" s="254">
        <f t="shared" si="39"/>
        <v>0.44999999995343387</v>
      </c>
      <c r="T306" s="172"/>
      <c r="U306" s="137" t="s">
        <v>411</v>
      </c>
      <c r="V306" s="261">
        <f t="shared" si="47"/>
        <v>0.44999999995343387</v>
      </c>
      <c r="W306" s="261">
        <f t="shared" si="44"/>
        <v>0.44999999995343387</v>
      </c>
      <c r="X306" s="261"/>
      <c r="Y306" s="176" t="s">
        <v>722</v>
      </c>
      <c r="Z306" s="176"/>
      <c r="AA306" s="186">
        <v>1703132</v>
      </c>
      <c r="AB306" s="186">
        <v>1117309.57</v>
      </c>
      <c r="AC306" s="176">
        <v>0</v>
      </c>
      <c r="AD306" s="176">
        <v>0</v>
      </c>
      <c r="AE306" s="186">
        <v>585822.42999999993</v>
      </c>
      <c r="AF306" s="35">
        <v>585822.43000000005</v>
      </c>
      <c r="AG306" s="212">
        <v>0</v>
      </c>
      <c r="AH306" s="212">
        <f t="shared" si="40"/>
        <v>585821.98</v>
      </c>
      <c r="AI306" s="212" t="s">
        <v>411</v>
      </c>
      <c r="AJ306" s="212">
        <v>1703132</v>
      </c>
      <c r="AK306" s="212">
        <v>1270064.1299999999</v>
      </c>
      <c r="AL306" s="212">
        <v>0</v>
      </c>
      <c r="AM306" s="212">
        <v>0</v>
      </c>
      <c r="AN306" s="212">
        <v>433067.87</v>
      </c>
      <c r="AO306" s="176">
        <v>0</v>
      </c>
      <c r="AP306" s="176">
        <v>0</v>
      </c>
      <c r="AQ306" s="176">
        <v>0</v>
      </c>
      <c r="AR306" s="212">
        <f t="shared" si="41"/>
        <v>0.44999999995343387</v>
      </c>
      <c r="AS306" s="212">
        <f t="shared" si="42"/>
        <v>1859335.57</v>
      </c>
      <c r="AT306" s="473">
        <f t="shared" si="43"/>
        <v>2012089.68</v>
      </c>
      <c r="AU306" s="478"/>
    </row>
    <row r="307" spans="1:47" s="35" customFormat="1" ht="43.5" hidden="1" x14ac:dyDescent="0.35">
      <c r="A307" s="35" t="s">
        <v>1197</v>
      </c>
      <c r="B307" s="224" t="s">
        <v>949</v>
      </c>
      <c r="C307" s="222" t="s">
        <v>19</v>
      </c>
      <c r="D307" s="136">
        <v>8470540</v>
      </c>
      <c r="E307" s="137" t="s">
        <v>396</v>
      </c>
      <c r="F307" s="138">
        <v>428112</v>
      </c>
      <c r="G307" s="137" t="s">
        <v>408</v>
      </c>
      <c r="H307" s="137" t="s">
        <v>412</v>
      </c>
      <c r="I307" s="137">
        <v>153570</v>
      </c>
      <c r="J307" s="140">
        <v>153570</v>
      </c>
      <c r="K307" s="147"/>
      <c r="L307" s="142"/>
      <c r="M307" s="143"/>
      <c r="N307" s="144">
        <f t="shared" si="38"/>
        <v>153570</v>
      </c>
      <c r="O307" s="145"/>
      <c r="P307" s="145"/>
      <c r="Q307" s="149">
        <v>153570</v>
      </c>
      <c r="R307" s="146" t="s">
        <v>790</v>
      </c>
      <c r="S307" s="254">
        <f t="shared" si="39"/>
        <v>0</v>
      </c>
      <c r="T307" s="172"/>
      <c r="U307" s="137" t="s">
        <v>412</v>
      </c>
      <c r="V307" s="261">
        <f t="shared" si="47"/>
        <v>0</v>
      </c>
      <c r="W307" s="261">
        <f t="shared" si="44"/>
        <v>0</v>
      </c>
      <c r="X307" s="261"/>
      <c r="Y307" s="176" t="s">
        <v>722</v>
      </c>
      <c r="Z307" s="176"/>
      <c r="AA307" s="186">
        <v>153570</v>
      </c>
      <c r="AB307" s="186">
        <v>0</v>
      </c>
      <c r="AC307" s="176">
        <v>0</v>
      </c>
      <c r="AD307" s="176">
        <v>0</v>
      </c>
      <c r="AE307" s="186">
        <v>153570</v>
      </c>
      <c r="AF307" s="35">
        <v>153570</v>
      </c>
      <c r="AG307" s="212">
        <v>0</v>
      </c>
      <c r="AH307" s="212">
        <f t="shared" si="40"/>
        <v>153570</v>
      </c>
      <c r="AI307" s="212" t="s">
        <v>412</v>
      </c>
      <c r="AJ307" s="212">
        <v>153570</v>
      </c>
      <c r="AK307" s="212">
        <v>0</v>
      </c>
      <c r="AL307" s="212">
        <v>0</v>
      </c>
      <c r="AM307" s="212">
        <v>0</v>
      </c>
      <c r="AN307" s="212">
        <v>153570</v>
      </c>
      <c r="AO307" s="176">
        <v>0</v>
      </c>
      <c r="AP307" s="176">
        <v>0</v>
      </c>
      <c r="AQ307" s="176">
        <v>0</v>
      </c>
      <c r="AR307" s="212">
        <f t="shared" si="41"/>
        <v>0</v>
      </c>
      <c r="AS307" s="212">
        <f t="shared" si="42"/>
        <v>153570</v>
      </c>
      <c r="AT307" s="473">
        <f t="shared" si="43"/>
        <v>153570</v>
      </c>
      <c r="AU307" s="478"/>
    </row>
    <row r="308" spans="1:47" s="35" customFormat="1" ht="43.5" hidden="1" x14ac:dyDescent="0.35">
      <c r="A308" s="35" t="s">
        <v>1197</v>
      </c>
      <c r="B308" s="224" t="s">
        <v>949</v>
      </c>
      <c r="C308" s="222" t="s">
        <v>19</v>
      </c>
      <c r="D308" s="136">
        <v>8470540</v>
      </c>
      <c r="E308" s="137" t="s">
        <v>396</v>
      </c>
      <c r="F308" s="138">
        <v>429900</v>
      </c>
      <c r="G308" s="137" t="s">
        <v>413</v>
      </c>
      <c r="H308" s="137" t="s">
        <v>414</v>
      </c>
      <c r="I308" s="137">
        <v>44000</v>
      </c>
      <c r="J308" s="140">
        <v>44000</v>
      </c>
      <c r="K308" s="141">
        <v>41250</v>
      </c>
      <c r="L308" s="142"/>
      <c r="M308" s="143"/>
      <c r="N308" s="144">
        <f t="shared" si="38"/>
        <v>2750</v>
      </c>
      <c r="O308" s="145"/>
      <c r="P308" s="145"/>
      <c r="Q308" s="149"/>
      <c r="R308" s="146"/>
      <c r="S308" s="254">
        <f t="shared" si="39"/>
        <v>2750</v>
      </c>
      <c r="T308" s="172"/>
      <c r="U308" s="137" t="s">
        <v>414</v>
      </c>
      <c r="V308" s="261">
        <f t="shared" si="47"/>
        <v>2750</v>
      </c>
      <c r="W308" s="261">
        <f t="shared" si="44"/>
        <v>2750</v>
      </c>
      <c r="X308" s="261"/>
      <c r="Y308" s="176" t="s">
        <v>722</v>
      </c>
      <c r="Z308" s="176"/>
      <c r="AA308" s="186">
        <v>44000</v>
      </c>
      <c r="AB308" s="186">
        <v>41250</v>
      </c>
      <c r="AC308" s="176">
        <v>0</v>
      </c>
      <c r="AD308" s="176">
        <v>0</v>
      </c>
      <c r="AE308" s="186">
        <v>2750</v>
      </c>
      <c r="AF308" s="35">
        <v>2750</v>
      </c>
      <c r="AG308" s="212">
        <v>0</v>
      </c>
      <c r="AH308" s="212">
        <f t="shared" si="40"/>
        <v>0</v>
      </c>
      <c r="AI308" s="212" t="s">
        <v>414</v>
      </c>
      <c r="AJ308" s="212">
        <v>44000</v>
      </c>
      <c r="AK308" s="212">
        <v>41250</v>
      </c>
      <c r="AL308" s="212">
        <v>0</v>
      </c>
      <c r="AM308" s="212">
        <v>0</v>
      </c>
      <c r="AN308" s="212">
        <v>2750</v>
      </c>
      <c r="AO308" s="176">
        <v>0</v>
      </c>
      <c r="AP308" s="176">
        <v>0</v>
      </c>
      <c r="AQ308" s="176">
        <v>0</v>
      </c>
      <c r="AR308" s="212">
        <f t="shared" si="41"/>
        <v>2750</v>
      </c>
      <c r="AS308" s="212">
        <f t="shared" si="42"/>
        <v>41250</v>
      </c>
      <c r="AT308" s="473">
        <f t="shared" si="43"/>
        <v>38500</v>
      </c>
      <c r="AU308" s="478"/>
    </row>
    <row r="309" spans="1:47" s="35" customFormat="1" ht="43.5" hidden="1" x14ac:dyDescent="0.35">
      <c r="A309" s="35" t="s">
        <v>1197</v>
      </c>
      <c r="B309" s="224" t="s">
        <v>949</v>
      </c>
      <c r="C309" s="222" t="s">
        <v>19</v>
      </c>
      <c r="D309" s="136">
        <v>8470540</v>
      </c>
      <c r="E309" s="137" t="s">
        <v>396</v>
      </c>
      <c r="F309" s="138">
        <v>430230</v>
      </c>
      <c r="G309" s="137" t="s">
        <v>416</v>
      </c>
      <c r="H309" s="137" t="s">
        <v>417</v>
      </c>
      <c r="I309" s="137">
        <v>0</v>
      </c>
      <c r="J309" s="140">
        <v>100000</v>
      </c>
      <c r="K309" s="141">
        <v>24415</v>
      </c>
      <c r="L309" s="148">
        <v>0</v>
      </c>
      <c r="M309" s="140">
        <v>0</v>
      </c>
      <c r="N309" s="144">
        <f t="shared" si="38"/>
        <v>75585</v>
      </c>
      <c r="O309" s="145"/>
      <c r="P309" s="145"/>
      <c r="Q309" s="149"/>
      <c r="R309" s="146"/>
      <c r="S309" s="254">
        <f t="shared" si="39"/>
        <v>75585</v>
      </c>
      <c r="T309" s="172"/>
      <c r="U309" s="137" t="s">
        <v>417</v>
      </c>
      <c r="V309" s="261">
        <f t="shared" si="47"/>
        <v>75585</v>
      </c>
      <c r="W309" s="261">
        <f t="shared" si="44"/>
        <v>75585</v>
      </c>
      <c r="X309" s="261"/>
      <c r="Y309" s="176" t="s">
        <v>722</v>
      </c>
      <c r="Z309" s="176"/>
      <c r="AA309" s="186">
        <v>100000</v>
      </c>
      <c r="AB309" s="186">
        <v>24415</v>
      </c>
      <c r="AC309" s="176">
        <v>0</v>
      </c>
      <c r="AD309" s="176">
        <v>0</v>
      </c>
      <c r="AE309" s="186">
        <v>75585</v>
      </c>
      <c r="AF309" s="35">
        <v>75585</v>
      </c>
      <c r="AG309" s="212">
        <v>0</v>
      </c>
      <c r="AH309" s="212">
        <f t="shared" si="40"/>
        <v>0</v>
      </c>
      <c r="AI309" s="212" t="s">
        <v>417</v>
      </c>
      <c r="AJ309" s="212">
        <v>64000</v>
      </c>
      <c r="AK309" s="212">
        <v>24415</v>
      </c>
      <c r="AL309" s="212">
        <v>0</v>
      </c>
      <c r="AM309" s="212">
        <v>0</v>
      </c>
      <c r="AN309" s="212">
        <v>39585</v>
      </c>
      <c r="AO309" s="176">
        <v>0</v>
      </c>
      <c r="AP309" s="176">
        <v>0</v>
      </c>
      <c r="AQ309" s="176">
        <v>0</v>
      </c>
      <c r="AR309" s="212">
        <f t="shared" si="41"/>
        <v>75585</v>
      </c>
      <c r="AS309" s="212">
        <f t="shared" si="42"/>
        <v>24415</v>
      </c>
      <c r="AT309" s="473">
        <f t="shared" si="43"/>
        <v>-51170</v>
      </c>
      <c r="AU309" s="478"/>
    </row>
    <row r="310" spans="1:47" s="35" customFormat="1" ht="43.5" hidden="1" x14ac:dyDescent="0.35">
      <c r="A310" s="35" t="s">
        <v>1197</v>
      </c>
      <c r="B310" s="224" t="s">
        <v>949</v>
      </c>
      <c r="C310" s="222" t="s">
        <v>19</v>
      </c>
      <c r="D310" s="136">
        <v>8470540</v>
      </c>
      <c r="E310" s="137" t="s">
        <v>396</v>
      </c>
      <c r="F310" s="138">
        <v>430330</v>
      </c>
      <c r="G310" s="137" t="s">
        <v>418</v>
      </c>
      <c r="H310" s="137" t="s">
        <v>419</v>
      </c>
      <c r="I310" s="137">
        <v>967680</v>
      </c>
      <c r="J310" s="140">
        <v>967680</v>
      </c>
      <c r="K310" s="141">
        <v>14000</v>
      </c>
      <c r="L310" s="148">
        <v>901610</v>
      </c>
      <c r="M310" s="140">
        <v>7000</v>
      </c>
      <c r="N310" s="144">
        <f t="shared" si="38"/>
        <v>45070</v>
      </c>
      <c r="O310" s="145"/>
      <c r="P310" s="145"/>
      <c r="Q310" s="149"/>
      <c r="R310" s="146"/>
      <c r="S310" s="254">
        <f t="shared" si="39"/>
        <v>45070</v>
      </c>
      <c r="T310" s="172"/>
      <c r="U310" s="137" t="s">
        <v>419</v>
      </c>
      <c r="V310" s="261">
        <f t="shared" si="47"/>
        <v>45070</v>
      </c>
      <c r="W310" s="261">
        <f t="shared" si="44"/>
        <v>45070</v>
      </c>
      <c r="X310" s="261"/>
      <c r="Y310" s="176" t="s">
        <v>722</v>
      </c>
      <c r="Z310" s="176"/>
      <c r="AA310" s="186">
        <v>967680</v>
      </c>
      <c r="AB310" s="186">
        <v>21000</v>
      </c>
      <c r="AC310" s="186">
        <v>20486</v>
      </c>
      <c r="AD310" s="186">
        <v>924512.96</v>
      </c>
      <c r="AE310" s="186">
        <v>1681.0400000000373</v>
      </c>
      <c r="AF310" s="184">
        <v>1681.04000000004</v>
      </c>
      <c r="AG310" s="184">
        <v>-2.7284841053187847E-12</v>
      </c>
      <c r="AH310" s="212">
        <f t="shared" si="40"/>
        <v>-43388.959999999963</v>
      </c>
      <c r="AI310" s="212" t="s">
        <v>419</v>
      </c>
      <c r="AJ310" s="212">
        <v>1044290</v>
      </c>
      <c r="AK310" s="212">
        <v>668045.88</v>
      </c>
      <c r="AL310" s="212">
        <v>0</v>
      </c>
      <c r="AM310" s="212">
        <v>309813.08</v>
      </c>
      <c r="AN310" s="212">
        <v>66431.039999999994</v>
      </c>
      <c r="AO310" s="176">
        <v>0</v>
      </c>
      <c r="AP310" s="176">
        <v>0</v>
      </c>
      <c r="AQ310" s="176">
        <v>0</v>
      </c>
      <c r="AR310" s="212">
        <f t="shared" si="41"/>
        <v>45070</v>
      </c>
      <c r="AS310" s="212">
        <f t="shared" si="42"/>
        <v>965998.96</v>
      </c>
      <c r="AT310" s="473">
        <f t="shared" si="43"/>
        <v>932788.96</v>
      </c>
      <c r="AU310" s="478"/>
    </row>
    <row r="311" spans="1:47" s="35" customFormat="1" ht="43.5" hidden="1" x14ac:dyDescent="0.35">
      <c r="A311" s="35" t="s">
        <v>1197</v>
      </c>
      <c r="B311" s="224" t="s">
        <v>949</v>
      </c>
      <c r="C311" s="222" t="s">
        <v>19</v>
      </c>
      <c r="D311" s="136">
        <v>8470540</v>
      </c>
      <c r="E311" s="137" t="s">
        <v>396</v>
      </c>
      <c r="F311" s="138">
        <v>432120</v>
      </c>
      <c r="G311" s="137" t="s">
        <v>385</v>
      </c>
      <c r="H311" s="137" t="s">
        <v>420</v>
      </c>
      <c r="I311" s="137">
        <v>0</v>
      </c>
      <c r="J311" s="140">
        <v>-367211</v>
      </c>
      <c r="K311" s="141">
        <v>-367211.82</v>
      </c>
      <c r="L311" s="142"/>
      <c r="M311" s="140">
        <v>-7.0000000006984905E-2</v>
      </c>
      <c r="N311" s="144">
        <f t="shared" si="38"/>
        <v>0.89000000001396984</v>
      </c>
      <c r="O311" s="145"/>
      <c r="P311" s="145"/>
      <c r="Q311" s="149"/>
      <c r="R311" s="146"/>
      <c r="S311" s="254">
        <f t="shared" si="39"/>
        <v>0.89000000001396984</v>
      </c>
      <c r="T311" s="172"/>
      <c r="U311" s="137" t="s">
        <v>420</v>
      </c>
      <c r="V311" s="261">
        <f t="shared" si="47"/>
        <v>0.89000000001396984</v>
      </c>
      <c r="W311" s="261">
        <f t="shared" si="44"/>
        <v>0.89000000001396984</v>
      </c>
      <c r="X311" s="261"/>
      <c r="Y311" s="176" t="s">
        <v>722</v>
      </c>
      <c r="Z311" s="176"/>
      <c r="AA311" s="186">
        <v>-367211</v>
      </c>
      <c r="AB311" s="186">
        <v>-367211.82</v>
      </c>
      <c r="AC311" s="176">
        <v>0</v>
      </c>
      <c r="AD311" s="176">
        <v>-7.0000000006984905E-2</v>
      </c>
      <c r="AE311" s="186">
        <v>0.89000000001396984</v>
      </c>
      <c r="AF311" s="35">
        <v>0.89000000001396995</v>
      </c>
      <c r="AG311" s="212">
        <v>0</v>
      </c>
      <c r="AH311" s="212">
        <f t="shared" si="40"/>
        <v>0</v>
      </c>
      <c r="AI311" s="212" t="s">
        <v>420</v>
      </c>
      <c r="AJ311" s="212">
        <v>-367211</v>
      </c>
      <c r="AK311" s="212">
        <v>-367211.82</v>
      </c>
      <c r="AL311" s="212">
        <v>0</v>
      </c>
      <c r="AM311" s="212">
        <v>-7.0000000006984905E-2</v>
      </c>
      <c r="AN311" s="212">
        <v>0.89000000001396995</v>
      </c>
      <c r="AO311" s="176">
        <v>0</v>
      </c>
      <c r="AP311" s="176">
        <v>0</v>
      </c>
      <c r="AQ311" s="176">
        <v>0</v>
      </c>
      <c r="AR311" s="212">
        <f t="shared" si="41"/>
        <v>0.89000000001396984</v>
      </c>
      <c r="AS311" s="212">
        <f t="shared" si="42"/>
        <v>-367211.89</v>
      </c>
      <c r="AT311" s="473">
        <f t="shared" si="43"/>
        <v>-367212.78</v>
      </c>
      <c r="AU311" s="478"/>
    </row>
    <row r="312" spans="1:47" s="35" customFormat="1" ht="43.5" hidden="1" x14ac:dyDescent="0.35">
      <c r="A312" s="35" t="s">
        <v>1197</v>
      </c>
      <c r="B312" s="224" t="s">
        <v>949</v>
      </c>
      <c r="C312" s="222" t="s">
        <v>19</v>
      </c>
      <c r="D312" s="136">
        <v>8470540</v>
      </c>
      <c r="E312" s="137" t="s">
        <v>396</v>
      </c>
      <c r="F312" s="138">
        <v>432120</v>
      </c>
      <c r="G312" s="137" t="s">
        <v>385</v>
      </c>
      <c r="H312" s="137" t="s">
        <v>421</v>
      </c>
      <c r="I312" s="137">
        <v>0</v>
      </c>
      <c r="J312" s="140">
        <v>-241882</v>
      </c>
      <c r="K312" s="141">
        <v>-242103.6</v>
      </c>
      <c r="L312" s="148">
        <v>3</v>
      </c>
      <c r="M312" s="140">
        <v>0</v>
      </c>
      <c r="N312" s="144">
        <f t="shared" si="38"/>
        <v>218.60000000000582</v>
      </c>
      <c r="O312" s="145"/>
      <c r="P312" s="145"/>
      <c r="Q312" s="149"/>
      <c r="R312" s="146"/>
      <c r="S312" s="254">
        <f t="shared" si="39"/>
        <v>218.60000000000582</v>
      </c>
      <c r="T312" s="172"/>
      <c r="U312" s="137" t="s">
        <v>421</v>
      </c>
      <c r="V312" s="261">
        <f t="shared" si="47"/>
        <v>218.60000000000582</v>
      </c>
      <c r="W312" s="261">
        <f t="shared" si="44"/>
        <v>218.60000000000582</v>
      </c>
      <c r="X312" s="261"/>
      <c r="Y312" s="176" t="s">
        <v>722</v>
      </c>
      <c r="Z312" s="176"/>
      <c r="AA312" s="186">
        <v>-241882</v>
      </c>
      <c r="AB312" s="186">
        <v>-242103.6</v>
      </c>
      <c r="AC312" s="176">
        <v>2</v>
      </c>
      <c r="AD312" s="176">
        <v>0</v>
      </c>
      <c r="AE312" s="186">
        <v>219.60000000000582</v>
      </c>
      <c r="AF312" s="35">
        <v>219.60000000000599</v>
      </c>
      <c r="AG312" s="212">
        <v>0</v>
      </c>
      <c r="AH312" s="212">
        <f t="shared" si="40"/>
        <v>1</v>
      </c>
      <c r="AI312" s="212" t="s">
        <v>421</v>
      </c>
      <c r="AJ312" s="212">
        <v>-241882</v>
      </c>
      <c r="AK312" s="212">
        <v>-242103.6</v>
      </c>
      <c r="AL312" s="212">
        <v>2</v>
      </c>
      <c r="AM312" s="212">
        <v>0</v>
      </c>
      <c r="AN312" s="212">
        <v>219.60000000000599</v>
      </c>
      <c r="AO312" s="176">
        <v>0</v>
      </c>
      <c r="AP312" s="176">
        <v>0</v>
      </c>
      <c r="AQ312" s="176">
        <v>0</v>
      </c>
      <c r="AR312" s="212">
        <f t="shared" si="41"/>
        <v>218.60000000000582</v>
      </c>
      <c r="AS312" s="212">
        <f t="shared" si="42"/>
        <v>-242101.6</v>
      </c>
      <c r="AT312" s="473">
        <f t="shared" si="43"/>
        <v>-242320.2</v>
      </c>
      <c r="AU312" s="478"/>
    </row>
    <row r="313" spans="1:47" s="35" customFormat="1" ht="43.5" hidden="1" x14ac:dyDescent="0.35">
      <c r="A313" s="35" t="s">
        <v>1197</v>
      </c>
      <c r="B313" s="224" t="s">
        <v>949</v>
      </c>
      <c r="C313" s="222" t="s">
        <v>19</v>
      </c>
      <c r="D313" s="136">
        <v>8470540</v>
      </c>
      <c r="E313" s="137" t="s">
        <v>396</v>
      </c>
      <c r="F313" s="138">
        <v>432540</v>
      </c>
      <c r="G313" s="137" t="s">
        <v>422</v>
      </c>
      <c r="H313" s="137" t="s">
        <v>423</v>
      </c>
      <c r="I313" s="137">
        <v>140000</v>
      </c>
      <c r="J313" s="140">
        <v>140000</v>
      </c>
      <c r="K313" s="141">
        <v>23171.84</v>
      </c>
      <c r="L313" s="148">
        <v>0</v>
      </c>
      <c r="M313" s="143"/>
      <c r="N313" s="144">
        <f t="shared" si="38"/>
        <v>116828.16</v>
      </c>
      <c r="O313" s="145">
        <v>30000</v>
      </c>
      <c r="P313" s="145">
        <v>30000</v>
      </c>
      <c r="Q313" s="149">
        <v>30000</v>
      </c>
      <c r="R313" s="146" t="s">
        <v>791</v>
      </c>
      <c r="S313" s="254">
        <f t="shared" si="39"/>
        <v>26828.160000000003</v>
      </c>
      <c r="T313" s="172"/>
      <c r="U313" s="137" t="s">
        <v>423</v>
      </c>
      <c r="V313" s="261">
        <f t="shared" si="47"/>
        <v>26828.160000000003</v>
      </c>
      <c r="W313" s="261">
        <f t="shared" si="44"/>
        <v>26828.160000000003</v>
      </c>
      <c r="X313" s="261"/>
      <c r="Y313" s="176" t="s">
        <v>722</v>
      </c>
      <c r="Z313" s="176"/>
      <c r="AA313" s="186">
        <v>140000</v>
      </c>
      <c r="AB313" s="186">
        <v>23171.84</v>
      </c>
      <c r="AC313" s="176">
        <v>0</v>
      </c>
      <c r="AD313" s="176">
        <v>0</v>
      </c>
      <c r="AE313" s="186">
        <v>116828.16</v>
      </c>
      <c r="AF313" s="35">
        <v>116828.16</v>
      </c>
      <c r="AG313" s="212">
        <v>0</v>
      </c>
      <c r="AH313" s="212">
        <f t="shared" si="40"/>
        <v>90000</v>
      </c>
      <c r="AI313" s="212" t="s">
        <v>423</v>
      </c>
      <c r="AJ313" s="212">
        <v>140000</v>
      </c>
      <c r="AK313" s="212">
        <v>23171.84</v>
      </c>
      <c r="AL313" s="212">
        <v>66430</v>
      </c>
      <c r="AM313" s="212">
        <v>0</v>
      </c>
      <c r="AN313" s="212">
        <v>50398.16</v>
      </c>
      <c r="AO313" s="176">
        <v>0</v>
      </c>
      <c r="AP313" s="176">
        <v>0</v>
      </c>
      <c r="AQ313" s="176">
        <v>0</v>
      </c>
      <c r="AR313" s="212">
        <f t="shared" si="41"/>
        <v>26828.160000000003</v>
      </c>
      <c r="AS313" s="212">
        <f t="shared" si="42"/>
        <v>53171.839999999997</v>
      </c>
      <c r="AT313" s="473">
        <f t="shared" si="43"/>
        <v>92773.68</v>
      </c>
      <c r="AU313" s="478"/>
    </row>
    <row r="314" spans="1:47" s="35" customFormat="1" ht="43.5" hidden="1" x14ac:dyDescent="0.35">
      <c r="A314" s="35" t="s">
        <v>1197</v>
      </c>
      <c r="B314" s="224" t="s">
        <v>949</v>
      </c>
      <c r="C314" s="222" t="s">
        <v>19</v>
      </c>
      <c r="D314" s="136">
        <v>8470540</v>
      </c>
      <c r="E314" s="137" t="s">
        <v>396</v>
      </c>
      <c r="F314" s="138">
        <v>435410</v>
      </c>
      <c r="G314" s="137" t="s">
        <v>424</v>
      </c>
      <c r="H314" s="137" t="s">
        <v>425</v>
      </c>
      <c r="I314" s="137">
        <v>0</v>
      </c>
      <c r="J314" s="140">
        <v>1112782</v>
      </c>
      <c r="K314" s="141">
        <v>688516.35</v>
      </c>
      <c r="L314" s="148">
        <v>2.0000000000363798</v>
      </c>
      <c r="M314" s="140">
        <v>-3.6379788070917097E-11</v>
      </c>
      <c r="N314" s="144">
        <f t="shared" si="38"/>
        <v>424263.65</v>
      </c>
      <c r="O314" s="145">
        <v>141421</v>
      </c>
      <c r="P314" s="145">
        <v>141421</v>
      </c>
      <c r="Q314" s="149">
        <v>141422</v>
      </c>
      <c r="R314" s="146" t="s">
        <v>792</v>
      </c>
      <c r="S314" s="254">
        <f t="shared" si="39"/>
        <v>-0.34999999997671694</v>
      </c>
      <c r="T314" s="172"/>
      <c r="U314" s="137" t="s">
        <v>425</v>
      </c>
      <c r="V314" s="261">
        <f t="shared" si="47"/>
        <v>-0.34999999997671694</v>
      </c>
      <c r="W314" s="261">
        <f t="shared" si="44"/>
        <v>-3360.3499999999767</v>
      </c>
      <c r="X314" s="261"/>
      <c r="Y314" s="176" t="s">
        <v>722</v>
      </c>
      <c r="Z314" s="176"/>
      <c r="AA314" s="186">
        <v>1459395</v>
      </c>
      <c r="AB314" s="186">
        <v>1049921.06</v>
      </c>
      <c r="AC314" s="176">
        <v>2</v>
      </c>
      <c r="AD314" s="176">
        <v>-3.6379788070917097E-11</v>
      </c>
      <c r="AE314" s="186">
        <v>409471.94</v>
      </c>
      <c r="AF314" s="35">
        <v>409471.94</v>
      </c>
      <c r="AG314" s="212">
        <v>0</v>
      </c>
      <c r="AH314" s="212">
        <f t="shared" si="40"/>
        <v>409472.29</v>
      </c>
      <c r="AI314" s="212" t="s">
        <v>425</v>
      </c>
      <c r="AJ314" s="212">
        <v>1477395</v>
      </c>
      <c r="AK314" s="212">
        <v>1441006.98</v>
      </c>
      <c r="AL314" s="212">
        <v>2</v>
      </c>
      <c r="AM314" s="212">
        <v>11386.0800000001</v>
      </c>
      <c r="AN314" s="212">
        <v>24999.94</v>
      </c>
      <c r="AO314" s="176">
        <v>0</v>
      </c>
      <c r="AP314" s="176">
        <v>3360</v>
      </c>
      <c r="AQ314" s="176">
        <v>0</v>
      </c>
      <c r="AR314" s="212">
        <f t="shared" si="41"/>
        <v>-3360.3499999999767</v>
      </c>
      <c r="AS314" s="212">
        <f t="shared" si="42"/>
        <v>1194705.06</v>
      </c>
      <c r="AT314" s="473">
        <f t="shared" si="43"/>
        <v>1600537.4100000001</v>
      </c>
      <c r="AU314" s="478"/>
    </row>
    <row r="315" spans="1:47" s="35" customFormat="1" ht="43.5" hidden="1" x14ac:dyDescent="0.35">
      <c r="A315" s="35" t="s">
        <v>1197</v>
      </c>
      <c r="B315" s="224" t="s">
        <v>949</v>
      </c>
      <c r="C315" s="222" t="s">
        <v>19</v>
      </c>
      <c r="D315" s="136">
        <v>8470540</v>
      </c>
      <c r="E315" s="137" t="s">
        <v>396</v>
      </c>
      <c r="F315" s="138">
        <v>435740</v>
      </c>
      <c r="G315" s="137" t="s">
        <v>426</v>
      </c>
      <c r="H315" s="137" t="s">
        <v>427</v>
      </c>
      <c r="I315" s="137">
        <v>336000</v>
      </c>
      <c r="J315" s="140">
        <v>336000</v>
      </c>
      <c r="K315" s="141">
        <v>266719.75</v>
      </c>
      <c r="L315" s="142"/>
      <c r="M315" s="143"/>
      <c r="N315" s="144">
        <f t="shared" si="38"/>
        <v>69280.25</v>
      </c>
      <c r="O315" s="145">
        <v>20000</v>
      </c>
      <c r="P315" s="145">
        <v>20000</v>
      </c>
      <c r="Q315" s="149">
        <v>20000</v>
      </c>
      <c r="R315" s="146" t="s">
        <v>793</v>
      </c>
      <c r="S315" s="254">
        <f t="shared" si="39"/>
        <v>9280.25</v>
      </c>
      <c r="T315" s="172"/>
      <c r="U315" s="137" t="s">
        <v>427</v>
      </c>
      <c r="V315" s="261">
        <f t="shared" si="47"/>
        <v>9280.25</v>
      </c>
      <c r="W315" s="261">
        <f t="shared" si="44"/>
        <v>9280.25</v>
      </c>
      <c r="X315" s="261"/>
      <c r="Y315" s="176" t="s">
        <v>722</v>
      </c>
      <c r="Z315" s="176"/>
      <c r="AA315" s="186">
        <v>336000</v>
      </c>
      <c r="AB315" s="186">
        <v>266719.75</v>
      </c>
      <c r="AC315" s="176">
        <v>0</v>
      </c>
      <c r="AD315" s="176">
        <v>0</v>
      </c>
      <c r="AE315" s="186">
        <v>69280.25</v>
      </c>
      <c r="AF315" s="35">
        <v>69280.25</v>
      </c>
      <c r="AG315" s="212">
        <v>0</v>
      </c>
      <c r="AH315" s="212">
        <f t="shared" si="40"/>
        <v>60000</v>
      </c>
      <c r="AI315" s="212" t="s">
        <v>427</v>
      </c>
      <c r="AJ315" s="212">
        <v>336000</v>
      </c>
      <c r="AK315" s="212">
        <v>266719.75</v>
      </c>
      <c r="AL315" s="212">
        <v>0</v>
      </c>
      <c r="AM315" s="212">
        <v>0</v>
      </c>
      <c r="AN315" s="212">
        <v>69280.25</v>
      </c>
      <c r="AO315" s="176">
        <v>0</v>
      </c>
      <c r="AP315" s="176">
        <v>0</v>
      </c>
      <c r="AQ315" s="176">
        <v>0</v>
      </c>
      <c r="AR315" s="212">
        <f t="shared" si="41"/>
        <v>9280.25</v>
      </c>
      <c r="AS315" s="212">
        <f t="shared" si="42"/>
        <v>286719.75</v>
      </c>
      <c r="AT315" s="473">
        <f t="shared" si="43"/>
        <v>277439.5</v>
      </c>
      <c r="AU315" s="478"/>
    </row>
    <row r="316" spans="1:47" s="35" customFormat="1" ht="43.5" hidden="1" x14ac:dyDescent="0.35">
      <c r="A316" s="35" t="s">
        <v>1197</v>
      </c>
      <c r="B316" s="224" t="s">
        <v>949</v>
      </c>
      <c r="C316" s="222" t="s">
        <v>19</v>
      </c>
      <c r="D316" s="136">
        <v>8470540</v>
      </c>
      <c r="E316" s="137" t="s">
        <v>396</v>
      </c>
      <c r="F316" s="138">
        <v>436110</v>
      </c>
      <c r="G316" s="137" t="s">
        <v>119</v>
      </c>
      <c r="H316" s="137" t="s">
        <v>428</v>
      </c>
      <c r="I316" s="137">
        <v>193910</v>
      </c>
      <c r="J316" s="140">
        <v>193910</v>
      </c>
      <c r="K316" s="141">
        <v>107100.78</v>
      </c>
      <c r="L316" s="148">
        <v>0</v>
      </c>
      <c r="M316" s="140">
        <v>0</v>
      </c>
      <c r="N316" s="144">
        <f t="shared" si="38"/>
        <v>86809.22</v>
      </c>
      <c r="O316" s="145">
        <v>5000</v>
      </c>
      <c r="P316" s="145">
        <v>5000</v>
      </c>
      <c r="Q316" s="149">
        <v>5000</v>
      </c>
      <c r="R316" s="146" t="s">
        <v>794</v>
      </c>
      <c r="S316" s="254">
        <f t="shared" si="39"/>
        <v>71809.22</v>
      </c>
      <c r="T316" s="172"/>
      <c r="U316" s="137" t="s">
        <v>428</v>
      </c>
      <c r="V316" s="261">
        <f t="shared" si="47"/>
        <v>71809.22</v>
      </c>
      <c r="W316" s="261">
        <f t="shared" si="44"/>
        <v>68756.87</v>
      </c>
      <c r="X316" s="261"/>
      <c r="Y316" s="176" t="s">
        <v>722</v>
      </c>
      <c r="Z316" s="176"/>
      <c r="AA316" s="186">
        <v>107110</v>
      </c>
      <c r="AB316" s="186">
        <v>107100.78</v>
      </c>
      <c r="AC316" s="176">
        <v>0</v>
      </c>
      <c r="AD316" s="176">
        <v>0</v>
      </c>
      <c r="AE316" s="186">
        <v>9.2200000000011642</v>
      </c>
      <c r="AF316" s="35">
        <v>9.2200000000011606</v>
      </c>
      <c r="AG316" s="212">
        <v>0</v>
      </c>
      <c r="AH316" s="212">
        <f t="shared" si="40"/>
        <v>-71800</v>
      </c>
      <c r="AI316" s="212" t="s">
        <v>428</v>
      </c>
      <c r="AJ316" s="212">
        <v>107110</v>
      </c>
      <c r="AK316" s="212">
        <v>107100.78</v>
      </c>
      <c r="AL316" s="212">
        <v>0</v>
      </c>
      <c r="AM316" s="212">
        <v>0</v>
      </c>
      <c r="AN316" s="212">
        <v>9.2200000000011606</v>
      </c>
      <c r="AO316" s="176">
        <v>0</v>
      </c>
      <c r="AP316" s="176">
        <v>3052.35</v>
      </c>
      <c r="AQ316" s="176">
        <v>0</v>
      </c>
      <c r="AR316" s="212">
        <f t="shared" si="41"/>
        <v>68756.87</v>
      </c>
      <c r="AS316" s="212">
        <f t="shared" si="42"/>
        <v>115153.13</v>
      </c>
      <c r="AT316" s="473">
        <f t="shared" si="43"/>
        <v>46396.260000000009</v>
      </c>
      <c r="AU316" s="478"/>
    </row>
    <row r="317" spans="1:47" s="35" customFormat="1" ht="43.5" hidden="1" x14ac:dyDescent="0.35">
      <c r="A317" s="35" t="s">
        <v>1198</v>
      </c>
      <c r="B317" s="224" t="s">
        <v>958</v>
      </c>
      <c r="C317" s="222" t="s">
        <v>19</v>
      </c>
      <c r="D317" s="136">
        <v>8470610</v>
      </c>
      <c r="E317" s="137" t="s">
        <v>429</v>
      </c>
      <c r="F317" s="138">
        <v>428090</v>
      </c>
      <c r="G317" s="137" t="s">
        <v>39</v>
      </c>
      <c r="H317" s="137" t="s">
        <v>430</v>
      </c>
      <c r="I317" s="137">
        <v>0</v>
      </c>
      <c r="J317" s="140">
        <v>2000</v>
      </c>
      <c r="K317" s="147"/>
      <c r="L317" s="142"/>
      <c r="M317" s="143"/>
      <c r="N317" s="144">
        <f t="shared" si="38"/>
        <v>2000</v>
      </c>
      <c r="O317" s="145">
        <v>350</v>
      </c>
      <c r="P317" s="145"/>
      <c r="Q317" s="149"/>
      <c r="R317" s="146"/>
      <c r="S317" s="254">
        <f t="shared" si="39"/>
        <v>1650</v>
      </c>
      <c r="T317" s="172"/>
      <c r="U317" s="137" t="s">
        <v>430</v>
      </c>
      <c r="V317" s="261">
        <f t="shared" si="47"/>
        <v>1650</v>
      </c>
      <c r="W317" s="261">
        <f t="shared" si="44"/>
        <v>1650</v>
      </c>
      <c r="X317" s="261"/>
      <c r="Y317" s="176" t="s">
        <v>722</v>
      </c>
      <c r="Z317" s="176"/>
      <c r="AA317" s="186">
        <v>6445</v>
      </c>
      <c r="AB317" s="186">
        <v>5845</v>
      </c>
      <c r="AC317" s="176">
        <v>0</v>
      </c>
      <c r="AD317" s="176">
        <v>0</v>
      </c>
      <c r="AE317" s="186">
        <v>600</v>
      </c>
      <c r="AF317" s="35">
        <v>600</v>
      </c>
      <c r="AG317" s="212">
        <v>0</v>
      </c>
      <c r="AH317" s="212">
        <f t="shared" si="40"/>
        <v>-1050</v>
      </c>
      <c r="AI317" s="212" t="s">
        <v>430</v>
      </c>
      <c r="AJ317" s="212">
        <v>6445</v>
      </c>
      <c r="AK317" s="212">
        <v>5845</v>
      </c>
      <c r="AL317" s="212">
        <v>0</v>
      </c>
      <c r="AM317" s="212">
        <v>0</v>
      </c>
      <c r="AN317" s="212">
        <v>600</v>
      </c>
      <c r="AO317" s="176">
        <v>0</v>
      </c>
      <c r="AP317" s="176">
        <v>0</v>
      </c>
      <c r="AQ317" s="176">
        <v>0</v>
      </c>
      <c r="AR317" s="212">
        <f t="shared" si="41"/>
        <v>1650</v>
      </c>
      <c r="AS317" s="212">
        <f t="shared" si="42"/>
        <v>5845</v>
      </c>
      <c r="AT317" s="473">
        <f t="shared" si="43"/>
        <v>4195</v>
      </c>
      <c r="AU317" s="478"/>
    </row>
    <row r="318" spans="1:47" s="35" customFormat="1" ht="120" hidden="1" customHeight="1" x14ac:dyDescent="0.35">
      <c r="A318" s="35" t="s">
        <v>1198</v>
      </c>
      <c r="B318" s="224" t="s">
        <v>950</v>
      </c>
      <c r="C318" s="222" t="s">
        <v>19</v>
      </c>
      <c r="D318" s="136">
        <v>8470620</v>
      </c>
      <c r="E318" s="137" t="s">
        <v>431</v>
      </c>
      <c r="F318" s="138">
        <v>420130</v>
      </c>
      <c r="G318" s="137" t="s">
        <v>432</v>
      </c>
      <c r="H318" s="137" t="s">
        <v>433</v>
      </c>
      <c r="I318" s="137">
        <v>295000</v>
      </c>
      <c r="J318" s="140">
        <v>295000</v>
      </c>
      <c r="K318" s="141">
        <v>171100</v>
      </c>
      <c r="L318" s="142"/>
      <c r="M318" s="143"/>
      <c r="N318" s="144">
        <f t="shared" si="38"/>
        <v>123900</v>
      </c>
      <c r="O318" s="145">
        <v>75750</v>
      </c>
      <c r="P318" s="145">
        <v>136350</v>
      </c>
      <c r="Q318" s="149"/>
      <c r="R318" s="150" t="s">
        <v>732</v>
      </c>
      <c r="S318" s="254">
        <f t="shared" si="39"/>
        <v>-88200</v>
      </c>
      <c r="T318" s="172" t="s">
        <v>969</v>
      </c>
      <c r="U318" s="137" t="s">
        <v>433</v>
      </c>
      <c r="V318" s="261"/>
      <c r="W318" s="261">
        <f t="shared" si="44"/>
        <v>0</v>
      </c>
      <c r="X318" s="474">
        <v>88200</v>
      </c>
      <c r="Y318" s="176" t="s">
        <v>722</v>
      </c>
      <c r="Z318" s="176"/>
      <c r="AA318" s="186">
        <v>383200</v>
      </c>
      <c r="AB318" s="186">
        <v>171100</v>
      </c>
      <c r="AC318" s="176">
        <v>0</v>
      </c>
      <c r="AD318" s="176">
        <v>0</v>
      </c>
      <c r="AE318" s="186">
        <v>212100</v>
      </c>
      <c r="AF318" s="35">
        <v>212100</v>
      </c>
      <c r="AG318" s="212">
        <v>0</v>
      </c>
      <c r="AH318" s="212">
        <f t="shared" si="40"/>
        <v>212100</v>
      </c>
      <c r="AI318" s="212" t="s">
        <v>433</v>
      </c>
      <c r="AJ318" s="212">
        <v>383200</v>
      </c>
      <c r="AK318" s="212">
        <v>264525</v>
      </c>
      <c r="AL318" s="212">
        <v>0</v>
      </c>
      <c r="AM318" s="212">
        <v>0</v>
      </c>
      <c r="AN318" s="212">
        <v>118675</v>
      </c>
      <c r="AO318" s="176">
        <v>0</v>
      </c>
      <c r="AP318" s="176">
        <v>0</v>
      </c>
      <c r="AQ318" s="176">
        <v>0</v>
      </c>
      <c r="AR318" s="212">
        <f t="shared" si="41"/>
        <v>0</v>
      </c>
      <c r="AS318" s="212">
        <f t="shared" si="42"/>
        <v>171100</v>
      </c>
      <c r="AT318" s="473">
        <f t="shared" si="43"/>
        <v>352725</v>
      </c>
      <c r="AU318" s="478"/>
    </row>
    <row r="319" spans="1:47" s="35" customFormat="1" ht="29" hidden="1" x14ac:dyDescent="0.35">
      <c r="A319" s="35" t="s">
        <v>1198</v>
      </c>
      <c r="B319" s="224" t="s">
        <v>950</v>
      </c>
      <c r="C319" s="222" t="s">
        <v>19</v>
      </c>
      <c r="D319" s="136">
        <v>8470620</v>
      </c>
      <c r="E319" s="137" t="s">
        <v>431</v>
      </c>
      <c r="F319" s="138">
        <v>421100</v>
      </c>
      <c r="G319" s="137" t="s">
        <v>367</v>
      </c>
      <c r="H319" s="137" t="s">
        <v>434</v>
      </c>
      <c r="I319" s="137">
        <v>431160</v>
      </c>
      <c r="J319" s="140">
        <v>31160</v>
      </c>
      <c r="K319" s="141">
        <v>31000</v>
      </c>
      <c r="L319" s="142"/>
      <c r="M319" s="143"/>
      <c r="N319" s="144">
        <f t="shared" si="38"/>
        <v>160</v>
      </c>
      <c r="O319" s="145">
        <v>0</v>
      </c>
      <c r="P319" s="145">
        <v>0</v>
      </c>
      <c r="Q319" s="149">
        <v>0</v>
      </c>
      <c r="R319" s="150"/>
      <c r="S319" s="254">
        <f t="shared" si="39"/>
        <v>160</v>
      </c>
      <c r="T319" s="173" t="s">
        <v>741</v>
      </c>
      <c r="U319" s="137" t="s">
        <v>434</v>
      </c>
      <c r="V319" s="261">
        <f>S319</f>
        <v>160</v>
      </c>
      <c r="W319" s="261">
        <f t="shared" si="44"/>
        <v>160</v>
      </c>
      <c r="X319" s="261"/>
      <c r="Y319" s="176" t="s">
        <v>722</v>
      </c>
      <c r="Z319" s="176"/>
      <c r="AA319" s="186">
        <v>31160</v>
      </c>
      <c r="AB319" s="186">
        <v>31000</v>
      </c>
      <c r="AC319" s="176">
        <v>0</v>
      </c>
      <c r="AD319" s="176">
        <v>0</v>
      </c>
      <c r="AE319" s="186">
        <v>160</v>
      </c>
      <c r="AF319" s="35">
        <v>160</v>
      </c>
      <c r="AG319" s="212">
        <v>0</v>
      </c>
      <c r="AH319" s="212">
        <f t="shared" si="40"/>
        <v>0</v>
      </c>
      <c r="AI319" s="212" t="s">
        <v>434</v>
      </c>
      <c r="AJ319" s="212">
        <v>31160</v>
      </c>
      <c r="AK319" s="212">
        <v>31000</v>
      </c>
      <c r="AL319" s="212">
        <v>0</v>
      </c>
      <c r="AM319" s="212">
        <v>0</v>
      </c>
      <c r="AN319" s="212">
        <v>160</v>
      </c>
      <c r="AO319" s="176">
        <v>0</v>
      </c>
      <c r="AP319" s="176">
        <v>0</v>
      </c>
      <c r="AQ319" s="176">
        <v>0</v>
      </c>
      <c r="AR319" s="212">
        <f t="shared" si="41"/>
        <v>160</v>
      </c>
      <c r="AS319" s="212">
        <f t="shared" si="42"/>
        <v>31000</v>
      </c>
      <c r="AT319" s="473">
        <f t="shared" si="43"/>
        <v>30840</v>
      </c>
      <c r="AU319" s="478"/>
    </row>
    <row r="320" spans="1:47" s="35" customFormat="1" ht="72.5" hidden="1" x14ac:dyDescent="0.35">
      <c r="A320" s="35" t="s">
        <v>1198</v>
      </c>
      <c r="B320" s="224" t="s">
        <v>950</v>
      </c>
      <c r="C320" s="222" t="s">
        <v>19</v>
      </c>
      <c r="D320" s="136">
        <v>8470620</v>
      </c>
      <c r="E320" s="137" t="s">
        <v>431</v>
      </c>
      <c r="F320" s="138">
        <v>422900</v>
      </c>
      <c r="G320" s="137" t="s">
        <v>435</v>
      </c>
      <c r="H320" s="137" t="s">
        <v>436</v>
      </c>
      <c r="I320" s="137">
        <v>310500</v>
      </c>
      <c r="J320" s="140">
        <v>426100</v>
      </c>
      <c r="K320" s="141">
        <v>322075</v>
      </c>
      <c r="L320" s="148">
        <v>0</v>
      </c>
      <c r="M320" s="140">
        <v>104025</v>
      </c>
      <c r="N320" s="144">
        <f t="shared" si="38"/>
        <v>0</v>
      </c>
      <c r="O320" s="145">
        <v>91250</v>
      </c>
      <c r="P320" s="145">
        <v>2880</v>
      </c>
      <c r="Q320" s="149">
        <v>0</v>
      </c>
      <c r="R320" s="150" t="s">
        <v>733</v>
      </c>
      <c r="S320" s="254">
        <f t="shared" si="39"/>
        <v>-94130</v>
      </c>
      <c r="T320" s="174" t="s">
        <v>739</v>
      </c>
      <c r="U320" s="137" t="s">
        <v>436</v>
      </c>
      <c r="V320" s="261"/>
      <c r="W320" s="261">
        <f t="shared" si="44"/>
        <v>0</v>
      </c>
      <c r="X320" s="474">
        <v>94130</v>
      </c>
      <c r="Y320" s="176" t="s">
        <v>722</v>
      </c>
      <c r="Z320" s="176"/>
      <c r="AA320" s="186">
        <v>520230</v>
      </c>
      <c r="AB320" s="186">
        <v>384490</v>
      </c>
      <c r="AC320" s="176">
        <v>0</v>
      </c>
      <c r="AD320" s="176">
        <v>132860</v>
      </c>
      <c r="AE320" s="186">
        <v>2880</v>
      </c>
      <c r="AF320" s="35">
        <v>2880</v>
      </c>
      <c r="AG320" s="212">
        <v>0</v>
      </c>
      <c r="AH320" s="212">
        <f t="shared" si="40"/>
        <v>2880</v>
      </c>
      <c r="AI320" s="212" t="s">
        <v>436</v>
      </c>
      <c r="AJ320" s="212">
        <v>520230</v>
      </c>
      <c r="AK320" s="212">
        <v>386410</v>
      </c>
      <c r="AL320" s="212">
        <v>0</v>
      </c>
      <c r="AM320" s="212">
        <v>132860</v>
      </c>
      <c r="AN320" s="212">
        <v>960</v>
      </c>
      <c r="AO320" s="176">
        <v>0</v>
      </c>
      <c r="AP320" s="176">
        <v>0</v>
      </c>
      <c r="AQ320" s="176">
        <v>0</v>
      </c>
      <c r="AR320" s="212">
        <f t="shared" si="41"/>
        <v>0</v>
      </c>
      <c r="AS320" s="212">
        <f t="shared" si="42"/>
        <v>517350</v>
      </c>
      <c r="AT320" s="473">
        <f t="shared" si="43"/>
        <v>613400</v>
      </c>
      <c r="AU320" s="478"/>
    </row>
    <row r="321" spans="1:47" s="35" customFormat="1" ht="29" hidden="1" x14ac:dyDescent="0.35">
      <c r="A321" s="35" t="s">
        <v>1198</v>
      </c>
      <c r="B321" s="224" t="s">
        <v>950</v>
      </c>
      <c r="C321" s="222" t="s">
        <v>19</v>
      </c>
      <c r="D321" s="136">
        <v>8470620</v>
      </c>
      <c r="E321" s="137" t="s">
        <v>431</v>
      </c>
      <c r="F321" s="138">
        <v>425300</v>
      </c>
      <c r="G321" s="137" t="s">
        <v>437</v>
      </c>
      <c r="H321" s="137" t="s">
        <v>438</v>
      </c>
      <c r="I321" s="137">
        <v>3600</v>
      </c>
      <c r="J321" s="140">
        <v>3600</v>
      </c>
      <c r="K321" s="141">
        <v>288.14</v>
      </c>
      <c r="L321" s="142"/>
      <c r="M321" s="143"/>
      <c r="N321" s="144">
        <f t="shared" si="38"/>
        <v>3311.86</v>
      </c>
      <c r="O321" s="145">
        <v>100</v>
      </c>
      <c r="P321" s="145">
        <v>100</v>
      </c>
      <c r="Q321" s="145">
        <v>100</v>
      </c>
      <c r="R321" s="150" t="s">
        <v>735</v>
      </c>
      <c r="S321" s="139">
        <f t="shared" si="39"/>
        <v>3011.86</v>
      </c>
      <c r="T321" s="172"/>
      <c r="U321" s="137" t="s">
        <v>438</v>
      </c>
      <c r="V321" s="261">
        <f>AN321*0.8</f>
        <v>2451.0880000000002</v>
      </c>
      <c r="W321" s="261">
        <f t="shared" si="44"/>
        <v>2451.0880000000002</v>
      </c>
      <c r="X321" s="261"/>
      <c r="Y321" s="176" t="s">
        <v>838</v>
      </c>
      <c r="Z321" s="176"/>
      <c r="AA321" s="186">
        <v>3600</v>
      </c>
      <c r="AB321" s="186">
        <v>445.64</v>
      </c>
      <c r="AC321" s="176">
        <v>0</v>
      </c>
      <c r="AD321" s="176">
        <v>0</v>
      </c>
      <c r="AE321" s="186">
        <v>3154.36</v>
      </c>
      <c r="AF321" s="35">
        <v>3154.36</v>
      </c>
      <c r="AG321" s="212">
        <v>0</v>
      </c>
      <c r="AH321" s="212">
        <f t="shared" si="40"/>
        <v>703.27199999999993</v>
      </c>
      <c r="AI321" s="212" t="s">
        <v>438</v>
      </c>
      <c r="AJ321" s="212">
        <v>3600</v>
      </c>
      <c r="AK321" s="212">
        <v>536.14</v>
      </c>
      <c r="AL321" s="212">
        <v>0</v>
      </c>
      <c r="AM321" s="212">
        <v>0</v>
      </c>
      <c r="AN321" s="212">
        <v>3063.86</v>
      </c>
      <c r="AO321" s="176">
        <v>0</v>
      </c>
      <c r="AP321" s="176">
        <v>0</v>
      </c>
      <c r="AQ321" s="176">
        <v>0</v>
      </c>
      <c r="AR321" s="212">
        <f t="shared" si="41"/>
        <v>2451.0880000000002</v>
      </c>
      <c r="AS321" s="212">
        <f t="shared" si="42"/>
        <v>545.64</v>
      </c>
      <c r="AT321" s="473">
        <f t="shared" si="43"/>
        <v>-1814.9480000000003</v>
      </c>
      <c r="AU321" s="477"/>
    </row>
    <row r="322" spans="1:47" s="35" customFormat="1" ht="29" hidden="1" x14ac:dyDescent="0.35">
      <c r="A322" s="35" t="s">
        <v>1198</v>
      </c>
      <c r="B322" s="224" t="s">
        <v>950</v>
      </c>
      <c r="C322" s="222" t="s">
        <v>19</v>
      </c>
      <c r="D322" s="136">
        <v>8470620</v>
      </c>
      <c r="E322" s="137" t="s">
        <v>431</v>
      </c>
      <c r="F322" s="138">
        <v>425350</v>
      </c>
      <c r="G322" s="137" t="s">
        <v>439</v>
      </c>
      <c r="H322" s="137" t="s">
        <v>440</v>
      </c>
      <c r="I322" s="137">
        <v>90000</v>
      </c>
      <c r="J322" s="140">
        <v>90000</v>
      </c>
      <c r="K322" s="141">
        <v>72397.169999999896</v>
      </c>
      <c r="L322" s="142"/>
      <c r="M322" s="143"/>
      <c r="N322" s="144">
        <f t="shared" si="38"/>
        <v>17602.830000000104</v>
      </c>
      <c r="O322" s="145">
        <v>5867</v>
      </c>
      <c r="P322" s="145">
        <v>5867</v>
      </c>
      <c r="Q322" s="149">
        <v>5869</v>
      </c>
      <c r="R322" s="150" t="s">
        <v>735</v>
      </c>
      <c r="S322" s="254">
        <f t="shared" si="39"/>
        <v>-0.16999999989639036</v>
      </c>
      <c r="T322" s="172"/>
      <c r="U322" s="137" t="s">
        <v>440</v>
      </c>
      <c r="V322" s="261">
        <f>S322</f>
        <v>-0.16999999989639036</v>
      </c>
      <c r="W322" s="261">
        <f t="shared" si="44"/>
        <v>-0.16999999989639036</v>
      </c>
      <c r="X322" s="261"/>
      <c r="Y322" s="176" t="s">
        <v>722</v>
      </c>
      <c r="Z322" s="176"/>
      <c r="AA322" s="186">
        <v>124500</v>
      </c>
      <c r="AB322" s="186">
        <v>94431.34</v>
      </c>
      <c r="AC322" s="176">
        <v>0</v>
      </c>
      <c r="AD322" s="176">
        <v>0</v>
      </c>
      <c r="AE322" s="186">
        <v>30068.660000000003</v>
      </c>
      <c r="AF322" s="35">
        <v>30068.66</v>
      </c>
      <c r="AG322" s="212">
        <v>0</v>
      </c>
      <c r="AH322" s="212">
        <f t="shared" ref="AH322:AH385" si="48">AE322-V322</f>
        <v>30068.8299999999</v>
      </c>
      <c r="AI322" s="212" t="s">
        <v>440</v>
      </c>
      <c r="AJ322" s="212">
        <v>124500</v>
      </c>
      <c r="AK322" s="212">
        <v>99123.96</v>
      </c>
      <c r="AL322" s="212">
        <v>0</v>
      </c>
      <c r="AM322" s="212">
        <v>0</v>
      </c>
      <c r="AN322" s="212">
        <v>25376.04</v>
      </c>
      <c r="AO322" s="176">
        <v>0</v>
      </c>
      <c r="AP322" s="176">
        <v>0</v>
      </c>
      <c r="AQ322" s="176">
        <v>0</v>
      </c>
      <c r="AR322" s="212">
        <f t="shared" ref="AR322:AR385" si="49">V322-AO322-AP322-AQ322</f>
        <v>-0.16999999989639036</v>
      </c>
      <c r="AS322" s="212">
        <f t="shared" ref="AS322:AS385" si="50">AB322+AC322+AD322+Q322+AO322+AP322+AQ322</f>
        <v>100300.34</v>
      </c>
      <c r="AT322" s="473">
        <f t="shared" ref="AT322:AT385" si="51">AK322+AL322+AM322+AO322+AP322+AQ322+X322+Q322-W322</f>
        <v>104993.1299999999</v>
      </c>
      <c r="AU322" s="478"/>
    </row>
    <row r="323" spans="1:47" s="35" customFormat="1" ht="29" hidden="1" x14ac:dyDescent="0.35">
      <c r="A323" s="35" t="s">
        <v>1198</v>
      </c>
      <c r="B323" s="224" t="s">
        <v>950</v>
      </c>
      <c r="C323" s="222" t="s">
        <v>19</v>
      </c>
      <c r="D323" s="136">
        <v>8470620</v>
      </c>
      <c r="E323" s="137" t="s">
        <v>431</v>
      </c>
      <c r="F323" s="138">
        <v>426610</v>
      </c>
      <c r="G323" s="137" t="s">
        <v>37</v>
      </c>
      <c r="H323" s="137" t="s">
        <v>441</v>
      </c>
      <c r="I323" s="137">
        <v>31680</v>
      </c>
      <c r="J323" s="140">
        <v>31680</v>
      </c>
      <c r="K323" s="147"/>
      <c r="L323" s="148">
        <v>0</v>
      </c>
      <c r="M323" s="140">
        <v>31680</v>
      </c>
      <c r="N323" s="144">
        <f t="shared" ref="N323:N387" si="52">J323-K323-L323-M323</f>
        <v>0</v>
      </c>
      <c r="O323" s="145">
        <v>0</v>
      </c>
      <c r="P323" s="145">
        <v>0</v>
      </c>
      <c r="Q323" s="149">
        <v>0</v>
      </c>
      <c r="R323" s="150"/>
      <c r="S323" s="254">
        <f t="shared" si="39"/>
        <v>0</v>
      </c>
      <c r="T323" s="172"/>
      <c r="U323" s="137" t="s">
        <v>441</v>
      </c>
      <c r="V323" s="261">
        <f>S323</f>
        <v>0</v>
      </c>
      <c r="W323" s="261">
        <f t="shared" ref="W323:W386" si="53">V323-(AO323+AP323+AQ323)</f>
        <v>0</v>
      </c>
      <c r="X323" s="261"/>
      <c r="Y323" s="176" t="s">
        <v>722</v>
      </c>
      <c r="Z323" s="176"/>
      <c r="AA323" s="186">
        <v>31680</v>
      </c>
      <c r="AB323" s="186">
        <v>31680</v>
      </c>
      <c r="AC323" s="176">
        <v>0</v>
      </c>
      <c r="AD323" s="176">
        <v>0</v>
      </c>
      <c r="AE323" s="186">
        <v>0</v>
      </c>
      <c r="AF323" s="35">
        <v>0</v>
      </c>
      <c r="AG323" s="212">
        <v>0</v>
      </c>
      <c r="AH323" s="212">
        <f t="shared" si="48"/>
        <v>0</v>
      </c>
      <c r="AI323" s="212" t="s">
        <v>441</v>
      </c>
      <c r="AJ323" s="212">
        <v>31680</v>
      </c>
      <c r="AK323" s="212">
        <v>31680</v>
      </c>
      <c r="AL323" s="212">
        <v>0</v>
      </c>
      <c r="AM323" s="212">
        <v>0</v>
      </c>
      <c r="AN323" s="212">
        <v>0</v>
      </c>
      <c r="AO323" s="176">
        <v>0</v>
      </c>
      <c r="AP323" s="176">
        <v>0</v>
      </c>
      <c r="AQ323" s="176">
        <v>0</v>
      </c>
      <c r="AR323" s="212">
        <f t="shared" si="49"/>
        <v>0</v>
      </c>
      <c r="AS323" s="212">
        <f t="shared" si="50"/>
        <v>31680</v>
      </c>
      <c r="AT323" s="473">
        <f t="shared" si="51"/>
        <v>31680</v>
      </c>
      <c r="AU323" s="478"/>
    </row>
    <row r="324" spans="1:47" s="35" customFormat="1" ht="29" hidden="1" x14ac:dyDescent="0.35">
      <c r="A324" s="35" t="s">
        <v>1198</v>
      </c>
      <c r="B324" s="224" t="s">
        <v>950</v>
      </c>
      <c r="C324" s="222" t="s">
        <v>19</v>
      </c>
      <c r="D324" s="136">
        <v>8470620</v>
      </c>
      <c r="E324" s="137" t="s">
        <v>431</v>
      </c>
      <c r="F324" s="138">
        <v>436110</v>
      </c>
      <c r="G324" s="137" t="s">
        <v>119</v>
      </c>
      <c r="H324" s="137" t="s">
        <v>442</v>
      </c>
      <c r="I324" s="137">
        <v>0</v>
      </c>
      <c r="J324" s="143"/>
      <c r="K324" s="141">
        <v>0</v>
      </c>
      <c r="L324" s="142"/>
      <c r="M324" s="143"/>
      <c r="N324" s="144">
        <f t="shared" si="52"/>
        <v>0</v>
      </c>
      <c r="O324" s="145"/>
      <c r="P324" s="145"/>
      <c r="Q324" s="149"/>
      <c r="R324" s="150"/>
      <c r="S324" s="254">
        <f t="shared" si="39"/>
        <v>0</v>
      </c>
      <c r="T324" s="172"/>
      <c r="U324" s="137" t="s">
        <v>442</v>
      </c>
      <c r="V324" s="261">
        <f>S324</f>
        <v>0</v>
      </c>
      <c r="W324" s="261">
        <f t="shared" si="53"/>
        <v>0</v>
      </c>
      <c r="X324" s="261"/>
      <c r="Y324" s="176" t="s">
        <v>722</v>
      </c>
      <c r="Z324" s="176"/>
      <c r="AA324" s="186">
        <v>0</v>
      </c>
      <c r="AB324" s="186">
        <v>0</v>
      </c>
      <c r="AC324" s="176">
        <v>0</v>
      </c>
      <c r="AD324" s="176">
        <v>0</v>
      </c>
      <c r="AE324" s="186">
        <v>0</v>
      </c>
      <c r="AF324" s="35">
        <v>0</v>
      </c>
      <c r="AG324" s="212">
        <v>0</v>
      </c>
      <c r="AH324" s="212">
        <f t="shared" si="48"/>
        <v>0</v>
      </c>
      <c r="AI324" s="212" t="s">
        <v>442</v>
      </c>
      <c r="AJ324" s="212">
        <v>0</v>
      </c>
      <c r="AK324" s="212">
        <v>0</v>
      </c>
      <c r="AL324" s="212">
        <v>0</v>
      </c>
      <c r="AM324" s="212">
        <v>0</v>
      </c>
      <c r="AN324" s="212">
        <v>0</v>
      </c>
      <c r="AO324" s="176">
        <v>0</v>
      </c>
      <c r="AP324" s="176">
        <v>0</v>
      </c>
      <c r="AQ324" s="176">
        <v>0</v>
      </c>
      <c r="AR324" s="212">
        <f t="shared" si="49"/>
        <v>0</v>
      </c>
      <c r="AS324" s="212">
        <f t="shared" si="50"/>
        <v>0</v>
      </c>
      <c r="AT324" s="473">
        <f t="shared" si="51"/>
        <v>0</v>
      </c>
      <c r="AU324" s="478"/>
    </row>
    <row r="325" spans="1:47" s="35" customFormat="1" ht="29" hidden="1" x14ac:dyDescent="0.35">
      <c r="A325" s="35" t="s">
        <v>1198</v>
      </c>
      <c r="B325" s="224" t="s">
        <v>950</v>
      </c>
      <c r="C325" s="222" t="s">
        <v>19</v>
      </c>
      <c r="D325" s="136">
        <v>8470620</v>
      </c>
      <c r="E325" s="137" t="s">
        <v>431</v>
      </c>
      <c r="F325" s="138">
        <v>436120</v>
      </c>
      <c r="G325" s="137" t="s">
        <v>443</v>
      </c>
      <c r="H325" s="137" t="s">
        <v>444</v>
      </c>
      <c r="I325" s="137">
        <v>2500</v>
      </c>
      <c r="J325" s="140">
        <v>13750</v>
      </c>
      <c r="K325" s="147"/>
      <c r="L325" s="142"/>
      <c r="M325" s="143"/>
      <c r="N325" s="144">
        <f t="shared" si="52"/>
        <v>13750</v>
      </c>
      <c r="O325" s="145">
        <v>6150</v>
      </c>
      <c r="P325" s="151">
        <v>4720</v>
      </c>
      <c r="Q325" s="149"/>
      <c r="R325" s="150" t="s">
        <v>736</v>
      </c>
      <c r="S325" s="254">
        <f t="shared" si="39"/>
        <v>2880</v>
      </c>
      <c r="T325" s="172"/>
      <c r="U325" s="137" t="s">
        <v>444</v>
      </c>
      <c r="V325" s="261">
        <f>S325</f>
        <v>2880</v>
      </c>
      <c r="W325" s="261">
        <f t="shared" si="53"/>
        <v>2880</v>
      </c>
      <c r="X325" s="261"/>
      <c r="Y325" s="176" t="s">
        <v>722</v>
      </c>
      <c r="Z325" s="176"/>
      <c r="AA325" s="186">
        <v>10870</v>
      </c>
      <c r="AB325" s="186">
        <v>6150</v>
      </c>
      <c r="AC325" s="176">
        <v>0</v>
      </c>
      <c r="AD325" s="176">
        <v>0</v>
      </c>
      <c r="AE325" s="186">
        <v>4720</v>
      </c>
      <c r="AF325" s="35">
        <v>4720</v>
      </c>
      <c r="AG325" s="212">
        <v>0</v>
      </c>
      <c r="AH325" s="212">
        <f t="shared" si="48"/>
        <v>1840</v>
      </c>
      <c r="AI325" s="212" t="s">
        <v>444</v>
      </c>
      <c r="AJ325" s="212">
        <v>10870</v>
      </c>
      <c r="AK325" s="212">
        <v>6150</v>
      </c>
      <c r="AL325" s="212">
        <v>0</v>
      </c>
      <c r="AM325" s="212">
        <v>0</v>
      </c>
      <c r="AN325" s="212">
        <v>4720</v>
      </c>
      <c r="AO325" s="176">
        <v>0</v>
      </c>
      <c r="AP325" s="176">
        <v>0</v>
      </c>
      <c r="AQ325" s="176">
        <v>0</v>
      </c>
      <c r="AR325" s="212">
        <f t="shared" si="49"/>
        <v>2880</v>
      </c>
      <c r="AS325" s="212">
        <f t="shared" si="50"/>
        <v>6150</v>
      </c>
      <c r="AT325" s="473">
        <f t="shared" si="51"/>
        <v>3270</v>
      </c>
      <c r="AU325" s="478"/>
    </row>
    <row r="326" spans="1:47" s="35" customFormat="1" ht="43.5" hidden="1" x14ac:dyDescent="0.35">
      <c r="A326" s="35" t="s">
        <v>1198</v>
      </c>
      <c r="B326" s="224" t="s">
        <v>958</v>
      </c>
      <c r="C326" s="223" t="s">
        <v>19</v>
      </c>
      <c r="D326" s="153">
        <v>8470610</v>
      </c>
      <c r="E326" s="154" t="s">
        <v>429</v>
      </c>
      <c r="F326" s="155">
        <v>425900</v>
      </c>
      <c r="G326" s="154" t="s">
        <v>737</v>
      </c>
      <c r="H326" s="154" t="s">
        <v>738</v>
      </c>
      <c r="I326" s="137">
        <v>0</v>
      </c>
      <c r="J326" s="156"/>
      <c r="K326" s="157"/>
      <c r="L326" s="158"/>
      <c r="M326" s="159"/>
      <c r="N326" s="144">
        <f t="shared" si="52"/>
        <v>0</v>
      </c>
      <c r="O326" s="160">
        <v>2000</v>
      </c>
      <c r="P326" s="161"/>
      <c r="Q326" s="248"/>
      <c r="R326" s="162"/>
      <c r="S326" s="256">
        <f t="shared" ref="S326:S357" si="54">N326-O326-P326-Q326</f>
        <v>-2000</v>
      </c>
      <c r="T326" s="174" t="s">
        <v>739</v>
      </c>
      <c r="U326" s="154" t="s">
        <v>738</v>
      </c>
      <c r="V326" s="261"/>
      <c r="W326" s="261">
        <f t="shared" si="53"/>
        <v>0</v>
      </c>
      <c r="X326" s="474">
        <v>2000</v>
      </c>
      <c r="Y326" s="176" t="s">
        <v>722</v>
      </c>
      <c r="Z326" s="176"/>
      <c r="AA326" s="186">
        <v>0</v>
      </c>
      <c r="AB326" s="186">
        <v>0</v>
      </c>
      <c r="AC326" s="176">
        <v>0</v>
      </c>
      <c r="AD326" s="176">
        <v>0</v>
      </c>
      <c r="AE326" s="186">
        <v>0</v>
      </c>
      <c r="AF326" s="35" t="e">
        <v>#N/A</v>
      </c>
      <c r="AG326" s="212" t="e">
        <v>#N/A</v>
      </c>
      <c r="AH326" s="212">
        <f t="shared" si="48"/>
        <v>0</v>
      </c>
      <c r="AI326" s="212" t="s">
        <v>738</v>
      </c>
      <c r="AJ326" s="212">
        <v>0</v>
      </c>
      <c r="AK326" s="212">
        <v>0</v>
      </c>
      <c r="AL326" s="212">
        <v>0</v>
      </c>
      <c r="AM326" s="212">
        <v>0</v>
      </c>
      <c r="AN326" s="212">
        <v>0</v>
      </c>
      <c r="AO326" s="176">
        <v>0</v>
      </c>
      <c r="AP326" s="176">
        <v>0</v>
      </c>
      <c r="AQ326" s="176">
        <v>0</v>
      </c>
      <c r="AR326" s="212">
        <f t="shared" si="49"/>
        <v>0</v>
      </c>
      <c r="AS326" s="212">
        <f t="shared" si="50"/>
        <v>0</v>
      </c>
      <c r="AT326" s="473">
        <f t="shared" si="51"/>
        <v>2000</v>
      </c>
      <c r="AU326" s="478"/>
    </row>
    <row r="327" spans="1:47" s="35" customFormat="1" ht="52.5" hidden="1" x14ac:dyDescent="0.35">
      <c r="A327" s="35" t="s">
        <v>1198</v>
      </c>
      <c r="B327" s="224" t="s">
        <v>950</v>
      </c>
      <c r="C327" s="223" t="s">
        <v>19</v>
      </c>
      <c r="D327" s="153">
        <v>8470620</v>
      </c>
      <c r="E327" s="154" t="s">
        <v>431</v>
      </c>
      <c r="F327" s="155">
        <v>428090</v>
      </c>
      <c r="G327" s="154" t="s">
        <v>39</v>
      </c>
      <c r="H327" s="154" t="s">
        <v>740</v>
      </c>
      <c r="I327" s="137">
        <v>0</v>
      </c>
      <c r="J327" s="156"/>
      <c r="K327" s="157"/>
      <c r="L327" s="158"/>
      <c r="M327" s="159"/>
      <c r="N327" s="144">
        <f t="shared" si="52"/>
        <v>0</v>
      </c>
      <c r="O327" s="163">
        <v>5080</v>
      </c>
      <c r="P327" s="164">
        <v>0</v>
      </c>
      <c r="Q327" s="249"/>
      <c r="R327" s="165" t="s">
        <v>731</v>
      </c>
      <c r="S327" s="256">
        <f t="shared" si="54"/>
        <v>-5080</v>
      </c>
      <c r="T327" s="174" t="s">
        <v>739</v>
      </c>
      <c r="U327" s="154" t="s">
        <v>740</v>
      </c>
      <c r="V327" s="261"/>
      <c r="W327" s="261">
        <f t="shared" si="53"/>
        <v>0</v>
      </c>
      <c r="X327" s="474">
        <v>5080</v>
      </c>
      <c r="Y327" s="176" t="s">
        <v>722</v>
      </c>
      <c r="Z327" s="176"/>
      <c r="AA327" s="186">
        <v>0</v>
      </c>
      <c r="AB327" s="186">
        <v>0</v>
      </c>
      <c r="AC327" s="176">
        <v>0</v>
      </c>
      <c r="AD327" s="176">
        <v>0</v>
      </c>
      <c r="AE327" s="186">
        <v>0</v>
      </c>
      <c r="AF327" s="35" t="e">
        <v>#N/A</v>
      </c>
      <c r="AG327" s="212" t="e">
        <v>#N/A</v>
      </c>
      <c r="AH327" s="212">
        <f t="shared" si="48"/>
        <v>0</v>
      </c>
      <c r="AI327" s="212" t="s">
        <v>740</v>
      </c>
      <c r="AJ327" s="212">
        <v>0</v>
      </c>
      <c r="AK327" s="212">
        <v>0</v>
      </c>
      <c r="AL327" s="212">
        <v>0</v>
      </c>
      <c r="AM327" s="212">
        <v>0</v>
      </c>
      <c r="AN327" s="212">
        <v>0</v>
      </c>
      <c r="AO327" s="176">
        <v>0</v>
      </c>
      <c r="AP327" s="176">
        <v>0</v>
      </c>
      <c r="AQ327" s="176">
        <v>0</v>
      </c>
      <c r="AR327" s="212">
        <f t="shared" si="49"/>
        <v>0</v>
      </c>
      <c r="AS327" s="212">
        <f t="shared" si="50"/>
        <v>0</v>
      </c>
      <c r="AT327" s="473">
        <f t="shared" si="51"/>
        <v>5080</v>
      </c>
      <c r="AU327" s="478"/>
    </row>
    <row r="328" spans="1:47" s="35" customFormat="1" hidden="1" x14ac:dyDescent="0.35">
      <c r="A328" s="35" t="s">
        <v>1197</v>
      </c>
      <c r="B328" s="224" t="s">
        <v>951</v>
      </c>
      <c r="C328" s="222" t="s">
        <v>19</v>
      </c>
      <c r="D328" s="136">
        <v>8470720</v>
      </c>
      <c r="E328" s="137" t="s">
        <v>445</v>
      </c>
      <c r="F328" s="138">
        <v>421700</v>
      </c>
      <c r="G328" s="137" t="s">
        <v>29</v>
      </c>
      <c r="H328" s="137" t="s">
        <v>446</v>
      </c>
      <c r="I328" s="137">
        <v>2000</v>
      </c>
      <c r="J328" s="140">
        <v>24000</v>
      </c>
      <c r="K328" s="147"/>
      <c r="L328" s="148">
        <v>20000</v>
      </c>
      <c r="M328" s="143"/>
      <c r="N328" s="144">
        <f t="shared" si="52"/>
        <v>4000</v>
      </c>
      <c r="O328" s="145"/>
      <c r="P328" s="145"/>
      <c r="Q328" s="145"/>
      <c r="R328" s="146"/>
      <c r="S328" s="139">
        <f t="shared" si="54"/>
        <v>4000</v>
      </c>
      <c r="T328" s="172"/>
      <c r="U328" s="137" t="s">
        <v>446</v>
      </c>
      <c r="V328" s="261">
        <f t="shared" ref="V328:V343" si="55">AN328*0.8</f>
        <v>9600</v>
      </c>
      <c r="W328" s="261">
        <f t="shared" si="53"/>
        <v>9600</v>
      </c>
      <c r="X328" s="261"/>
      <c r="Y328" s="176" t="s">
        <v>838</v>
      </c>
      <c r="Z328" s="176"/>
      <c r="AA328" s="186">
        <v>24000</v>
      </c>
      <c r="AB328" s="186">
        <v>0</v>
      </c>
      <c r="AC328" s="176">
        <v>0</v>
      </c>
      <c r="AD328" s="176">
        <v>12000</v>
      </c>
      <c r="AE328" s="186">
        <v>12000</v>
      </c>
      <c r="AF328" s="35">
        <v>12000</v>
      </c>
      <c r="AG328" s="212">
        <v>0</v>
      </c>
      <c r="AH328" s="212">
        <f t="shared" si="48"/>
        <v>2400</v>
      </c>
      <c r="AI328" s="212" t="s">
        <v>446</v>
      </c>
      <c r="AJ328" s="212">
        <v>24000</v>
      </c>
      <c r="AK328" s="212">
        <v>0</v>
      </c>
      <c r="AL328" s="212">
        <v>0</v>
      </c>
      <c r="AM328" s="212">
        <v>12000</v>
      </c>
      <c r="AN328" s="212">
        <v>12000</v>
      </c>
      <c r="AO328" s="176">
        <v>0</v>
      </c>
      <c r="AP328" s="176">
        <v>0</v>
      </c>
      <c r="AQ328" s="176">
        <v>0</v>
      </c>
      <c r="AR328" s="212">
        <f t="shared" si="49"/>
        <v>9600</v>
      </c>
      <c r="AS328" s="212">
        <f t="shared" si="50"/>
        <v>12000</v>
      </c>
      <c r="AT328" s="473">
        <f t="shared" si="51"/>
        <v>2400</v>
      </c>
      <c r="AU328" s="477"/>
    </row>
    <row r="329" spans="1:47" s="35" customFormat="1" hidden="1" x14ac:dyDescent="0.35">
      <c r="A329" s="35" t="s">
        <v>1197</v>
      </c>
      <c r="B329" s="224" t="s">
        <v>951</v>
      </c>
      <c r="C329" s="222" t="s">
        <v>19</v>
      </c>
      <c r="D329" s="136">
        <v>8470720</v>
      </c>
      <c r="E329" s="137" t="s">
        <v>445</v>
      </c>
      <c r="F329" s="138">
        <v>426610</v>
      </c>
      <c r="G329" s="137" t="s">
        <v>37</v>
      </c>
      <c r="H329" s="137" t="s">
        <v>447</v>
      </c>
      <c r="I329" s="137">
        <v>0</v>
      </c>
      <c r="J329" s="140">
        <v>7300</v>
      </c>
      <c r="K329" s="147"/>
      <c r="L329" s="148">
        <v>6901.65</v>
      </c>
      <c r="M329" s="143"/>
      <c r="N329" s="144">
        <f t="shared" si="52"/>
        <v>398.35000000000036</v>
      </c>
      <c r="O329" s="145"/>
      <c r="P329" s="145"/>
      <c r="Q329" s="145"/>
      <c r="R329" s="146"/>
      <c r="S329" s="139">
        <f t="shared" si="54"/>
        <v>398.35000000000036</v>
      </c>
      <c r="T329" s="172"/>
      <c r="U329" s="137" t="s">
        <v>447</v>
      </c>
      <c r="V329" s="261">
        <f t="shared" si="55"/>
        <v>823.2</v>
      </c>
      <c r="W329" s="261">
        <f t="shared" si="53"/>
        <v>823.2</v>
      </c>
      <c r="X329" s="261"/>
      <c r="Y329" s="176" t="s">
        <v>838</v>
      </c>
      <c r="Z329" s="176"/>
      <c r="AA329" s="186">
        <v>7300</v>
      </c>
      <c r="AB329" s="186">
        <v>0</v>
      </c>
      <c r="AC329" s="176">
        <v>0</v>
      </c>
      <c r="AD329" s="176">
        <v>6271</v>
      </c>
      <c r="AE329" s="186">
        <v>1029</v>
      </c>
      <c r="AF329" s="35">
        <v>1029</v>
      </c>
      <c r="AG329" s="212">
        <v>0</v>
      </c>
      <c r="AH329" s="212">
        <f t="shared" si="48"/>
        <v>205.79999999999995</v>
      </c>
      <c r="AI329" s="212" t="s">
        <v>447</v>
      </c>
      <c r="AJ329" s="212">
        <v>7300</v>
      </c>
      <c r="AK329" s="212">
        <v>6271</v>
      </c>
      <c r="AL329" s="212">
        <v>0</v>
      </c>
      <c r="AM329" s="212">
        <v>0</v>
      </c>
      <c r="AN329" s="212">
        <v>1029</v>
      </c>
      <c r="AO329" s="176">
        <v>0</v>
      </c>
      <c r="AP329" s="176">
        <v>0</v>
      </c>
      <c r="AQ329" s="176">
        <v>0</v>
      </c>
      <c r="AR329" s="212">
        <f t="shared" si="49"/>
        <v>823.2</v>
      </c>
      <c r="AS329" s="212">
        <f t="shared" si="50"/>
        <v>6271</v>
      </c>
      <c r="AT329" s="473">
        <f t="shared" si="51"/>
        <v>5447.8</v>
      </c>
      <c r="AU329" s="477"/>
    </row>
    <row r="330" spans="1:47" s="35" customFormat="1" hidden="1" x14ac:dyDescent="0.35">
      <c r="A330" s="35" t="s">
        <v>1197</v>
      </c>
      <c r="B330" s="224" t="s">
        <v>951</v>
      </c>
      <c r="C330" s="222" t="s">
        <v>19</v>
      </c>
      <c r="D330" s="136">
        <v>8470720</v>
      </c>
      <c r="E330" s="137" t="s">
        <v>445</v>
      </c>
      <c r="F330" s="138">
        <v>426900</v>
      </c>
      <c r="G330" s="137" t="s">
        <v>400</v>
      </c>
      <c r="H330" s="137" t="s">
        <v>448</v>
      </c>
      <c r="I330" s="137">
        <v>10000</v>
      </c>
      <c r="J330" s="140">
        <v>15000</v>
      </c>
      <c r="K330" s="141">
        <v>9274.24</v>
      </c>
      <c r="L330" s="142"/>
      <c r="M330" s="143"/>
      <c r="N330" s="144">
        <f t="shared" si="52"/>
        <v>5725.76</v>
      </c>
      <c r="O330" s="145"/>
      <c r="P330" s="145"/>
      <c r="Q330" s="145"/>
      <c r="R330" s="146"/>
      <c r="S330" s="139">
        <f t="shared" si="54"/>
        <v>5725.76</v>
      </c>
      <c r="T330" s="172"/>
      <c r="U330" s="137" t="s">
        <v>448</v>
      </c>
      <c r="V330" s="261">
        <f t="shared" si="55"/>
        <v>4040.5839999999998</v>
      </c>
      <c r="W330" s="261">
        <f t="shared" si="53"/>
        <v>4040.5839999999998</v>
      </c>
      <c r="X330" s="261"/>
      <c r="Y330" s="176" t="s">
        <v>838</v>
      </c>
      <c r="Z330" s="176"/>
      <c r="AA330" s="186">
        <v>15000</v>
      </c>
      <c r="AB330" s="186">
        <v>9664.82</v>
      </c>
      <c r="AC330" s="186">
        <v>0</v>
      </c>
      <c r="AD330" s="186">
        <v>0</v>
      </c>
      <c r="AE330" s="214">
        <v>5335.18</v>
      </c>
      <c r="AF330" s="184">
        <v>5319.18</v>
      </c>
      <c r="AG330" s="184">
        <v>16</v>
      </c>
      <c r="AH330" s="212">
        <f t="shared" si="48"/>
        <v>1294.5960000000005</v>
      </c>
      <c r="AI330" s="212" t="s">
        <v>448</v>
      </c>
      <c r="AJ330" s="212">
        <v>15000</v>
      </c>
      <c r="AK330" s="212">
        <v>9933.27</v>
      </c>
      <c r="AL330" s="212">
        <v>0</v>
      </c>
      <c r="AM330" s="212">
        <v>0</v>
      </c>
      <c r="AN330" s="212">
        <v>5050.7299999999996</v>
      </c>
      <c r="AO330" s="176">
        <v>0</v>
      </c>
      <c r="AP330" s="176">
        <v>0</v>
      </c>
      <c r="AQ330" s="176">
        <v>0</v>
      </c>
      <c r="AR330" s="212">
        <f t="shared" si="49"/>
        <v>4040.5839999999998</v>
      </c>
      <c r="AS330" s="212">
        <f t="shared" si="50"/>
        <v>9664.82</v>
      </c>
      <c r="AT330" s="473">
        <f t="shared" si="51"/>
        <v>5892.6860000000006</v>
      </c>
      <c r="AU330" s="477"/>
    </row>
    <row r="331" spans="1:47" s="35" customFormat="1" hidden="1" x14ac:dyDescent="0.35">
      <c r="A331" s="35" t="s">
        <v>1197</v>
      </c>
      <c r="B331" s="224" t="s">
        <v>951</v>
      </c>
      <c r="C331" s="222" t="s">
        <v>19</v>
      </c>
      <c r="D331" s="136">
        <v>8470720</v>
      </c>
      <c r="E331" s="137" t="s">
        <v>445</v>
      </c>
      <c r="F331" s="138">
        <v>428200</v>
      </c>
      <c r="G331" s="137" t="s">
        <v>357</v>
      </c>
      <c r="H331" s="137" t="s">
        <v>449</v>
      </c>
      <c r="I331" s="137">
        <v>250000</v>
      </c>
      <c r="J331" s="140">
        <v>350000</v>
      </c>
      <c r="K331" s="141">
        <v>231002.99</v>
      </c>
      <c r="L331" s="148">
        <v>-7.2759576141834308E-12</v>
      </c>
      <c r="M331" s="140">
        <v>20020</v>
      </c>
      <c r="N331" s="144">
        <f t="shared" si="52"/>
        <v>98977.010000000009</v>
      </c>
      <c r="O331" s="145"/>
      <c r="P331" s="145"/>
      <c r="Q331" s="145"/>
      <c r="R331" s="146"/>
      <c r="S331" s="139">
        <f t="shared" si="54"/>
        <v>98977.010000000009</v>
      </c>
      <c r="T331" s="172"/>
      <c r="U331" s="137" t="s">
        <v>449</v>
      </c>
      <c r="V331" s="261">
        <f t="shared" si="55"/>
        <v>4551.2080000000087</v>
      </c>
      <c r="W331" s="261">
        <f t="shared" si="53"/>
        <v>4551.2080000000087</v>
      </c>
      <c r="X331" s="261"/>
      <c r="Y331" s="176" t="s">
        <v>838</v>
      </c>
      <c r="Z331" s="176"/>
      <c r="AA331" s="186">
        <v>350000</v>
      </c>
      <c r="AB331" s="186">
        <v>291642.99</v>
      </c>
      <c r="AC331" s="176">
        <v>0</v>
      </c>
      <c r="AD331" s="176">
        <v>52668</v>
      </c>
      <c r="AE331" s="186">
        <v>5689.0100000000093</v>
      </c>
      <c r="AF331" s="35">
        <v>5689.0100000000102</v>
      </c>
      <c r="AG331" s="212">
        <v>0</v>
      </c>
      <c r="AH331" s="212">
        <f t="shared" si="48"/>
        <v>1137.8020000000006</v>
      </c>
      <c r="AI331" s="212" t="s">
        <v>449</v>
      </c>
      <c r="AJ331" s="212">
        <v>350000</v>
      </c>
      <c r="AK331" s="212">
        <v>291642.99</v>
      </c>
      <c r="AL331" s="212">
        <v>0</v>
      </c>
      <c r="AM331" s="212">
        <v>52668</v>
      </c>
      <c r="AN331" s="212">
        <v>5689.0100000000102</v>
      </c>
      <c r="AO331" s="176">
        <v>0</v>
      </c>
      <c r="AP331" s="176">
        <v>0</v>
      </c>
      <c r="AQ331" s="176">
        <v>0</v>
      </c>
      <c r="AR331" s="212">
        <f t="shared" si="49"/>
        <v>4551.2080000000087</v>
      </c>
      <c r="AS331" s="212">
        <f t="shared" si="50"/>
        <v>344310.99</v>
      </c>
      <c r="AT331" s="473">
        <f t="shared" si="51"/>
        <v>339759.78200000001</v>
      </c>
      <c r="AU331" s="477"/>
    </row>
    <row r="332" spans="1:47" s="35" customFormat="1" hidden="1" x14ac:dyDescent="0.35">
      <c r="A332" s="35" t="s">
        <v>1197</v>
      </c>
      <c r="B332" s="224" t="s">
        <v>951</v>
      </c>
      <c r="C332" s="222" t="s">
        <v>19</v>
      </c>
      <c r="D332" s="136">
        <v>8470720</v>
      </c>
      <c r="E332" s="137" t="s">
        <v>445</v>
      </c>
      <c r="F332" s="138">
        <v>432120</v>
      </c>
      <c r="G332" s="137" t="s">
        <v>385</v>
      </c>
      <c r="H332" s="137" t="s">
        <v>450</v>
      </c>
      <c r="I332" s="137">
        <v>236400</v>
      </c>
      <c r="J332" s="140">
        <v>54400</v>
      </c>
      <c r="K332" s="141">
        <v>1250</v>
      </c>
      <c r="L332" s="148">
        <v>52100</v>
      </c>
      <c r="M332" s="143"/>
      <c r="N332" s="144">
        <f t="shared" si="52"/>
        <v>1050</v>
      </c>
      <c r="O332" s="145"/>
      <c r="P332" s="145"/>
      <c r="Q332" s="145"/>
      <c r="R332" s="146"/>
      <c r="S332" s="139">
        <f t="shared" si="54"/>
        <v>1050</v>
      </c>
      <c r="T332" s="172"/>
      <c r="U332" s="137" t="s">
        <v>450</v>
      </c>
      <c r="V332" s="261">
        <f t="shared" si="55"/>
        <v>2760</v>
      </c>
      <c r="W332" s="261">
        <f t="shared" si="53"/>
        <v>2760</v>
      </c>
      <c r="X332" s="261"/>
      <c r="Y332" s="176" t="s">
        <v>838</v>
      </c>
      <c r="Z332" s="176"/>
      <c r="AA332" s="186">
        <v>54400</v>
      </c>
      <c r="AB332" s="186">
        <v>1250</v>
      </c>
      <c r="AC332" s="176">
        <v>0</v>
      </c>
      <c r="AD332" s="176">
        <v>49700</v>
      </c>
      <c r="AE332" s="186">
        <v>3450</v>
      </c>
      <c r="AF332" s="35">
        <v>3450</v>
      </c>
      <c r="AG332" s="212">
        <v>0</v>
      </c>
      <c r="AH332" s="212">
        <f t="shared" si="48"/>
        <v>690</v>
      </c>
      <c r="AI332" s="212" t="s">
        <v>450</v>
      </c>
      <c r="AJ332" s="212">
        <v>54400</v>
      </c>
      <c r="AK332" s="212">
        <v>50950</v>
      </c>
      <c r="AL332" s="212">
        <v>0</v>
      </c>
      <c r="AM332" s="212">
        <v>0</v>
      </c>
      <c r="AN332" s="212">
        <v>3450</v>
      </c>
      <c r="AO332" s="176">
        <v>0</v>
      </c>
      <c r="AP332" s="176">
        <v>0</v>
      </c>
      <c r="AQ332" s="176">
        <v>0</v>
      </c>
      <c r="AR332" s="212">
        <f t="shared" si="49"/>
        <v>2760</v>
      </c>
      <c r="AS332" s="212">
        <f t="shared" si="50"/>
        <v>50950</v>
      </c>
      <c r="AT332" s="473">
        <f t="shared" si="51"/>
        <v>48190</v>
      </c>
      <c r="AU332" s="477"/>
    </row>
    <row r="333" spans="1:47" s="35" customFormat="1" hidden="1" x14ac:dyDescent="0.35">
      <c r="A333" s="35" t="s">
        <v>1197</v>
      </c>
      <c r="B333" s="224" t="s">
        <v>951</v>
      </c>
      <c r="C333" s="222" t="s">
        <v>19</v>
      </c>
      <c r="D333" s="136">
        <v>8470720</v>
      </c>
      <c r="E333" s="137" t="s">
        <v>445</v>
      </c>
      <c r="F333" s="138">
        <v>435410</v>
      </c>
      <c r="G333" s="137" t="s">
        <v>424</v>
      </c>
      <c r="H333" s="137" t="s">
        <v>451</v>
      </c>
      <c r="I333" s="137">
        <v>840000</v>
      </c>
      <c r="J333" s="140">
        <v>164310</v>
      </c>
      <c r="K333" s="141">
        <v>163340.39000000001</v>
      </c>
      <c r="L333" s="148">
        <v>0</v>
      </c>
      <c r="M333" s="140">
        <v>450</v>
      </c>
      <c r="N333" s="144">
        <f t="shared" si="52"/>
        <v>519.60999999998603</v>
      </c>
      <c r="O333" s="145"/>
      <c r="P333" s="145"/>
      <c r="Q333" s="145"/>
      <c r="R333" s="146"/>
      <c r="S333" s="139">
        <f t="shared" si="54"/>
        <v>519.60999999998603</v>
      </c>
      <c r="T333" s="172"/>
      <c r="U333" s="137" t="s">
        <v>451</v>
      </c>
      <c r="V333" s="261">
        <f t="shared" si="55"/>
        <v>415.68799999998885</v>
      </c>
      <c r="W333" s="261">
        <f t="shared" si="53"/>
        <v>415.68799999998885</v>
      </c>
      <c r="X333" s="261"/>
      <c r="Y333" s="176" t="s">
        <v>838</v>
      </c>
      <c r="Z333" s="176"/>
      <c r="AA333" s="186">
        <v>164310</v>
      </c>
      <c r="AB333" s="186">
        <v>163340.39000000001</v>
      </c>
      <c r="AC333" s="176">
        <v>0</v>
      </c>
      <c r="AD333" s="176">
        <v>450</v>
      </c>
      <c r="AE333" s="186">
        <v>519.60999999998603</v>
      </c>
      <c r="AF333" s="35">
        <v>519.60999999998603</v>
      </c>
      <c r="AG333" s="212">
        <v>0</v>
      </c>
      <c r="AH333" s="212">
        <f t="shared" si="48"/>
        <v>103.92199999999718</v>
      </c>
      <c r="AI333" s="212" t="s">
        <v>451</v>
      </c>
      <c r="AJ333" s="212">
        <v>164310</v>
      </c>
      <c r="AK333" s="212">
        <v>163340.39000000001</v>
      </c>
      <c r="AL333" s="212">
        <v>0</v>
      </c>
      <c r="AM333" s="212">
        <v>450</v>
      </c>
      <c r="AN333" s="212">
        <v>519.60999999998603</v>
      </c>
      <c r="AO333" s="176">
        <v>0</v>
      </c>
      <c r="AP333" s="176">
        <v>0</v>
      </c>
      <c r="AQ333" s="176">
        <v>0</v>
      </c>
      <c r="AR333" s="212">
        <f t="shared" si="49"/>
        <v>415.68799999998885</v>
      </c>
      <c r="AS333" s="212">
        <f t="shared" si="50"/>
        <v>163790.39000000001</v>
      </c>
      <c r="AT333" s="473">
        <f t="shared" si="51"/>
        <v>163374.70200000002</v>
      </c>
      <c r="AU333" s="477"/>
    </row>
    <row r="334" spans="1:47" s="35" customFormat="1" hidden="1" x14ac:dyDescent="0.35">
      <c r="A334" s="35" t="s">
        <v>1197</v>
      </c>
      <c r="B334" s="224" t="s">
        <v>951</v>
      </c>
      <c r="C334" s="222" t="s">
        <v>19</v>
      </c>
      <c r="D334" s="136">
        <v>8470720</v>
      </c>
      <c r="E334" s="137" t="s">
        <v>445</v>
      </c>
      <c r="F334" s="138">
        <v>436110</v>
      </c>
      <c r="G334" s="137" t="s">
        <v>119</v>
      </c>
      <c r="H334" s="137" t="s">
        <v>452</v>
      </c>
      <c r="I334" s="137">
        <v>50000</v>
      </c>
      <c r="J334" s="140">
        <v>37700</v>
      </c>
      <c r="K334" s="141">
        <v>12853.5</v>
      </c>
      <c r="L334" s="148">
        <v>0</v>
      </c>
      <c r="M334" s="143"/>
      <c r="N334" s="144">
        <f t="shared" si="52"/>
        <v>24846.5</v>
      </c>
      <c r="O334" s="145"/>
      <c r="P334" s="145"/>
      <c r="Q334" s="145"/>
      <c r="R334" s="146"/>
      <c r="S334" s="139">
        <f t="shared" si="54"/>
        <v>24846.5</v>
      </c>
      <c r="T334" s="172"/>
      <c r="U334" s="137" t="s">
        <v>452</v>
      </c>
      <c r="V334" s="261">
        <f t="shared" si="55"/>
        <v>0.4</v>
      </c>
      <c r="W334" s="261">
        <f t="shared" si="53"/>
        <v>0.4</v>
      </c>
      <c r="X334" s="261"/>
      <c r="Y334" s="176" t="s">
        <v>838</v>
      </c>
      <c r="Z334" s="176"/>
      <c r="AA334" s="186">
        <v>37700</v>
      </c>
      <c r="AB334" s="186">
        <v>12853.5</v>
      </c>
      <c r="AC334" s="176">
        <v>0</v>
      </c>
      <c r="AD334" s="176">
        <v>0</v>
      </c>
      <c r="AE334" s="186">
        <v>24846.5</v>
      </c>
      <c r="AF334" s="35">
        <v>24846.5</v>
      </c>
      <c r="AG334" s="212">
        <v>0</v>
      </c>
      <c r="AH334" s="212">
        <f t="shared" si="48"/>
        <v>24846.1</v>
      </c>
      <c r="AI334" s="212" t="s">
        <v>452</v>
      </c>
      <c r="AJ334" s="212">
        <v>12854</v>
      </c>
      <c r="AK334" s="212">
        <v>12853.5</v>
      </c>
      <c r="AL334" s="212">
        <v>0</v>
      </c>
      <c r="AM334" s="212">
        <v>0</v>
      </c>
      <c r="AN334" s="212">
        <v>0.5</v>
      </c>
      <c r="AO334" s="176">
        <v>0</v>
      </c>
      <c r="AP334" s="176">
        <v>0</v>
      </c>
      <c r="AQ334" s="176">
        <v>0</v>
      </c>
      <c r="AR334" s="212">
        <f t="shared" si="49"/>
        <v>0.4</v>
      </c>
      <c r="AS334" s="212">
        <f t="shared" si="50"/>
        <v>12853.5</v>
      </c>
      <c r="AT334" s="473">
        <f t="shared" si="51"/>
        <v>12853.1</v>
      </c>
      <c r="AU334" s="477"/>
    </row>
    <row r="335" spans="1:47" s="35" customFormat="1" hidden="1" x14ac:dyDescent="0.35">
      <c r="A335" s="35" t="s">
        <v>1197</v>
      </c>
      <c r="B335" s="224" t="s">
        <v>951</v>
      </c>
      <c r="C335" s="222" t="s">
        <v>19</v>
      </c>
      <c r="D335" s="136">
        <v>8470720</v>
      </c>
      <c r="E335" s="137" t="s">
        <v>445</v>
      </c>
      <c r="F335" s="138">
        <v>436120</v>
      </c>
      <c r="G335" s="137" t="s">
        <v>443</v>
      </c>
      <c r="H335" s="137" t="s">
        <v>453</v>
      </c>
      <c r="I335" s="137">
        <v>120000</v>
      </c>
      <c r="J335" s="140">
        <v>180000</v>
      </c>
      <c r="K335" s="141">
        <v>163228.88</v>
      </c>
      <c r="L335" s="148">
        <v>53.010000000002002</v>
      </c>
      <c r="M335" s="140">
        <v>8021.99999999999</v>
      </c>
      <c r="N335" s="144">
        <f t="shared" si="52"/>
        <v>8696.1100000000042</v>
      </c>
      <c r="O335" s="145"/>
      <c r="P335" s="145"/>
      <c r="Q335" s="145"/>
      <c r="R335" s="146"/>
      <c r="S335" s="139">
        <f t="shared" si="54"/>
        <v>8696.1100000000042</v>
      </c>
      <c r="T335" s="172"/>
      <c r="U335" s="137" t="s">
        <v>453</v>
      </c>
      <c r="V335" s="261">
        <f t="shared" si="55"/>
        <v>6956.8879999999917</v>
      </c>
      <c r="W335" s="261">
        <f t="shared" si="53"/>
        <v>2105.8879999999917</v>
      </c>
      <c r="X335" s="261"/>
      <c r="Y335" s="176" t="s">
        <v>838</v>
      </c>
      <c r="Z335" s="176"/>
      <c r="AA335" s="186">
        <v>180000</v>
      </c>
      <c r="AB335" s="186">
        <v>171250.88</v>
      </c>
      <c r="AC335" s="176">
        <v>53.01</v>
      </c>
      <c r="AD335" s="176">
        <v>-2.18278728425503E-11</v>
      </c>
      <c r="AE335" s="186">
        <v>8696.110000000017</v>
      </c>
      <c r="AF335" s="35">
        <v>8696.1099999999897</v>
      </c>
      <c r="AG335" s="212">
        <v>2.7284841053187847E-11</v>
      </c>
      <c r="AH335" s="212">
        <f t="shared" si="48"/>
        <v>1739.2220000000252</v>
      </c>
      <c r="AI335" s="212" t="s">
        <v>453</v>
      </c>
      <c r="AJ335" s="212">
        <v>180000</v>
      </c>
      <c r="AK335" s="212">
        <v>171250.88</v>
      </c>
      <c r="AL335" s="212">
        <v>53.01</v>
      </c>
      <c r="AM335" s="212">
        <v>-2.18278728425503E-11</v>
      </c>
      <c r="AN335" s="212">
        <v>8696.1099999999897</v>
      </c>
      <c r="AO335" s="176">
        <v>0</v>
      </c>
      <c r="AP335" s="176">
        <v>4851</v>
      </c>
      <c r="AQ335" s="176">
        <v>0</v>
      </c>
      <c r="AR335" s="212">
        <f t="shared" si="49"/>
        <v>2105.8879999999917</v>
      </c>
      <c r="AS335" s="212">
        <f t="shared" si="50"/>
        <v>176154.88999999998</v>
      </c>
      <c r="AT335" s="473">
        <f t="shared" si="51"/>
        <v>174049.00199999998</v>
      </c>
      <c r="AU335" s="477"/>
    </row>
    <row r="336" spans="1:47" s="35" customFormat="1" hidden="1" x14ac:dyDescent="0.35">
      <c r="A336" s="35" t="s">
        <v>1197</v>
      </c>
      <c r="B336" s="224" t="s">
        <v>952</v>
      </c>
      <c r="C336" s="222" t="s">
        <v>19</v>
      </c>
      <c r="D336" s="136">
        <v>8470730</v>
      </c>
      <c r="E336" s="137" t="s">
        <v>454</v>
      </c>
      <c r="F336" s="138">
        <v>421000</v>
      </c>
      <c r="G336" s="137" t="s">
        <v>27</v>
      </c>
      <c r="H336" s="137" t="s">
        <v>455</v>
      </c>
      <c r="I336" s="137">
        <v>300000</v>
      </c>
      <c r="J336" s="140">
        <v>600000</v>
      </c>
      <c r="K336" s="141">
        <v>2000</v>
      </c>
      <c r="L336" s="148">
        <v>-2.91038304567337E-11</v>
      </c>
      <c r="M336" s="140">
        <v>345051.9</v>
      </c>
      <c r="N336" s="144">
        <f t="shared" si="52"/>
        <v>252948.09999999998</v>
      </c>
      <c r="O336" s="145"/>
      <c r="P336" s="145"/>
      <c r="Q336" s="145"/>
      <c r="R336" s="146"/>
      <c r="S336" s="139">
        <f t="shared" si="54"/>
        <v>252948.09999999998</v>
      </c>
      <c r="T336" s="172"/>
      <c r="U336" s="137" t="s">
        <v>455</v>
      </c>
      <c r="V336" s="261">
        <f t="shared" si="55"/>
        <v>31365.68</v>
      </c>
      <c r="W336" s="261">
        <f t="shared" si="53"/>
        <v>29265.68</v>
      </c>
      <c r="X336" s="261"/>
      <c r="Y336" s="176" t="s">
        <v>838</v>
      </c>
      <c r="Z336" s="176"/>
      <c r="AA336" s="186">
        <v>600000</v>
      </c>
      <c r="AB336" s="186">
        <v>6026</v>
      </c>
      <c r="AC336" s="176">
        <v>0</v>
      </c>
      <c r="AD336" s="176">
        <v>554766.9</v>
      </c>
      <c r="AE336" s="186">
        <v>39207.099999999977</v>
      </c>
      <c r="AF336" s="35">
        <v>39207.1</v>
      </c>
      <c r="AG336" s="212">
        <v>0</v>
      </c>
      <c r="AH336" s="212">
        <f t="shared" si="48"/>
        <v>7841.4199999999764</v>
      </c>
      <c r="AI336" s="212" t="s">
        <v>455</v>
      </c>
      <c r="AJ336" s="212">
        <v>600000</v>
      </c>
      <c r="AK336" s="212">
        <v>6026</v>
      </c>
      <c r="AL336" s="212">
        <v>0</v>
      </c>
      <c r="AM336" s="212">
        <v>554766.9</v>
      </c>
      <c r="AN336" s="212">
        <v>39207.1</v>
      </c>
      <c r="AO336" s="176">
        <v>0</v>
      </c>
      <c r="AP336" s="176">
        <v>2100</v>
      </c>
      <c r="AQ336" s="176">
        <v>0</v>
      </c>
      <c r="AR336" s="212">
        <f t="shared" si="49"/>
        <v>29265.68</v>
      </c>
      <c r="AS336" s="212">
        <f t="shared" si="50"/>
        <v>562892.9</v>
      </c>
      <c r="AT336" s="473">
        <f t="shared" si="51"/>
        <v>533627.22</v>
      </c>
      <c r="AU336" s="477"/>
    </row>
    <row r="337" spans="1:47" s="35" customFormat="1" hidden="1" x14ac:dyDescent="0.35">
      <c r="A337" s="35" t="s">
        <v>1197</v>
      </c>
      <c r="B337" s="224" t="s">
        <v>952</v>
      </c>
      <c r="C337" s="222" t="s">
        <v>19</v>
      </c>
      <c r="D337" s="136">
        <v>8470730</v>
      </c>
      <c r="E337" s="137" t="s">
        <v>454</v>
      </c>
      <c r="F337" s="138">
        <v>425510</v>
      </c>
      <c r="G337" s="137" t="s">
        <v>31</v>
      </c>
      <c r="H337" s="137" t="s">
        <v>456</v>
      </c>
      <c r="I337" s="137">
        <v>50000</v>
      </c>
      <c r="J337" s="140">
        <v>42000</v>
      </c>
      <c r="K337" s="141">
        <v>12490</v>
      </c>
      <c r="L337" s="142"/>
      <c r="M337" s="143"/>
      <c r="N337" s="144">
        <f t="shared" si="52"/>
        <v>29510</v>
      </c>
      <c r="O337" s="145"/>
      <c r="P337" s="145"/>
      <c r="Q337" s="145"/>
      <c r="R337" s="146"/>
      <c r="S337" s="139">
        <f t="shared" si="54"/>
        <v>29510</v>
      </c>
      <c r="T337" s="172"/>
      <c r="U337" s="137" t="s">
        <v>456</v>
      </c>
      <c r="V337" s="261">
        <f t="shared" si="55"/>
        <v>23048</v>
      </c>
      <c r="W337" s="261">
        <f t="shared" si="53"/>
        <v>23048</v>
      </c>
      <c r="X337" s="261"/>
      <c r="Y337" s="176" t="s">
        <v>838</v>
      </c>
      <c r="Z337" s="176"/>
      <c r="AA337" s="186">
        <v>42000</v>
      </c>
      <c r="AB337" s="186">
        <v>13190</v>
      </c>
      <c r="AC337" s="176">
        <v>0</v>
      </c>
      <c r="AD337" s="176">
        <v>0</v>
      </c>
      <c r="AE337" s="186">
        <v>28810</v>
      </c>
      <c r="AF337" s="35">
        <v>28810</v>
      </c>
      <c r="AG337" s="212">
        <v>0</v>
      </c>
      <c r="AH337" s="212">
        <f t="shared" si="48"/>
        <v>5762</v>
      </c>
      <c r="AI337" s="212" t="s">
        <v>456</v>
      </c>
      <c r="AJ337" s="212">
        <v>42000</v>
      </c>
      <c r="AK337" s="212">
        <v>13190</v>
      </c>
      <c r="AL337" s="212">
        <v>0</v>
      </c>
      <c r="AM337" s="212">
        <v>0</v>
      </c>
      <c r="AN337" s="212">
        <v>28810</v>
      </c>
      <c r="AO337" s="176">
        <v>0</v>
      </c>
      <c r="AP337" s="176">
        <v>0</v>
      </c>
      <c r="AQ337" s="176">
        <v>0</v>
      </c>
      <c r="AR337" s="212">
        <f t="shared" si="49"/>
        <v>23048</v>
      </c>
      <c r="AS337" s="212">
        <f t="shared" si="50"/>
        <v>13190</v>
      </c>
      <c r="AT337" s="473">
        <f t="shared" si="51"/>
        <v>-9858</v>
      </c>
      <c r="AU337" s="477"/>
    </row>
    <row r="338" spans="1:47" s="35" customFormat="1" hidden="1" x14ac:dyDescent="0.35">
      <c r="A338" s="35" t="s">
        <v>1197</v>
      </c>
      <c r="B338" s="224" t="s">
        <v>952</v>
      </c>
      <c r="C338" s="222" t="s">
        <v>19</v>
      </c>
      <c r="D338" s="136">
        <v>8470730</v>
      </c>
      <c r="E338" s="137" t="s">
        <v>454</v>
      </c>
      <c r="F338" s="138">
        <v>425900</v>
      </c>
      <c r="G338" s="137" t="s">
        <v>35</v>
      </c>
      <c r="H338" s="137" t="s">
        <v>457</v>
      </c>
      <c r="I338" s="137">
        <v>250000</v>
      </c>
      <c r="J338" s="140">
        <v>250000</v>
      </c>
      <c r="K338" s="141">
        <v>650</v>
      </c>
      <c r="L338" s="148">
        <v>144600</v>
      </c>
      <c r="M338" s="143"/>
      <c r="N338" s="144">
        <f t="shared" si="52"/>
        <v>104750</v>
      </c>
      <c r="O338" s="145"/>
      <c r="P338" s="145"/>
      <c r="Q338" s="145"/>
      <c r="R338" s="146"/>
      <c r="S338" s="139">
        <f t="shared" si="54"/>
        <v>104750</v>
      </c>
      <c r="T338" s="172"/>
      <c r="U338" s="137" t="s">
        <v>457</v>
      </c>
      <c r="V338" s="261">
        <f t="shared" si="55"/>
        <v>19106.400000000001</v>
      </c>
      <c r="W338" s="261">
        <f t="shared" si="53"/>
        <v>19106.400000000001</v>
      </c>
      <c r="X338" s="261"/>
      <c r="Y338" s="176" t="s">
        <v>838</v>
      </c>
      <c r="Z338" s="176"/>
      <c r="AA338" s="186">
        <v>250000</v>
      </c>
      <c r="AB338" s="186">
        <v>650</v>
      </c>
      <c r="AC338" s="176">
        <v>0</v>
      </c>
      <c r="AD338" s="176">
        <v>144600</v>
      </c>
      <c r="AE338" s="186">
        <v>104750</v>
      </c>
      <c r="AF338" s="35">
        <v>104750</v>
      </c>
      <c r="AG338" s="212">
        <v>0</v>
      </c>
      <c r="AH338" s="212">
        <f t="shared" si="48"/>
        <v>85643.6</v>
      </c>
      <c r="AI338" s="212" t="s">
        <v>457</v>
      </c>
      <c r="AJ338" s="212">
        <v>176273</v>
      </c>
      <c r="AK338" s="212">
        <v>650</v>
      </c>
      <c r="AL338" s="212">
        <v>7140</v>
      </c>
      <c r="AM338" s="212">
        <v>144600</v>
      </c>
      <c r="AN338" s="212">
        <v>23883</v>
      </c>
      <c r="AO338" s="176">
        <v>0</v>
      </c>
      <c r="AP338" s="176">
        <v>0</v>
      </c>
      <c r="AQ338" s="176">
        <v>0</v>
      </c>
      <c r="AR338" s="212">
        <f t="shared" si="49"/>
        <v>19106.400000000001</v>
      </c>
      <c r="AS338" s="212">
        <f t="shared" si="50"/>
        <v>145250</v>
      </c>
      <c r="AT338" s="473">
        <f t="shared" si="51"/>
        <v>133283.6</v>
      </c>
      <c r="AU338" s="477"/>
    </row>
    <row r="339" spans="1:47" s="35" customFormat="1" hidden="1" x14ac:dyDescent="0.35">
      <c r="A339" s="35" t="s">
        <v>1197</v>
      </c>
      <c r="B339" s="224" t="s">
        <v>952</v>
      </c>
      <c r="C339" s="222" t="s">
        <v>19</v>
      </c>
      <c r="D339" s="136">
        <v>8470730</v>
      </c>
      <c r="E339" s="137" t="s">
        <v>454</v>
      </c>
      <c r="F339" s="138">
        <v>426610</v>
      </c>
      <c r="G339" s="137" t="s">
        <v>37</v>
      </c>
      <c r="H339" s="137" t="s">
        <v>458</v>
      </c>
      <c r="I339" s="137">
        <v>600000</v>
      </c>
      <c r="J339" s="140">
        <v>300000</v>
      </c>
      <c r="K339" s="141">
        <v>165285</v>
      </c>
      <c r="L339" s="148">
        <v>0</v>
      </c>
      <c r="M339" s="140">
        <v>17000</v>
      </c>
      <c r="N339" s="144">
        <f t="shared" si="52"/>
        <v>117715</v>
      </c>
      <c r="O339" s="145"/>
      <c r="P339" s="145"/>
      <c r="Q339" s="145"/>
      <c r="R339" s="146"/>
      <c r="S339" s="139">
        <f t="shared" si="54"/>
        <v>117715</v>
      </c>
      <c r="T339" s="172"/>
      <c r="U339" s="137" t="s">
        <v>458</v>
      </c>
      <c r="V339" s="261">
        <f t="shared" si="55"/>
        <v>93372</v>
      </c>
      <c r="W339" s="261">
        <f t="shared" si="53"/>
        <v>93372</v>
      </c>
      <c r="X339" s="261"/>
      <c r="Y339" s="176" t="s">
        <v>838</v>
      </c>
      <c r="Z339" s="176"/>
      <c r="AA339" s="186">
        <v>300000</v>
      </c>
      <c r="AB339" s="186">
        <v>165285</v>
      </c>
      <c r="AC339" s="176">
        <v>0</v>
      </c>
      <c r="AD339" s="176">
        <v>18000</v>
      </c>
      <c r="AE339" s="186">
        <v>116715</v>
      </c>
      <c r="AF339" s="35">
        <v>116715</v>
      </c>
      <c r="AG339" s="212">
        <v>0</v>
      </c>
      <c r="AH339" s="212">
        <f t="shared" si="48"/>
        <v>23343</v>
      </c>
      <c r="AI339" s="212" t="s">
        <v>458</v>
      </c>
      <c r="AJ339" s="212">
        <v>300000</v>
      </c>
      <c r="AK339" s="212">
        <v>165285</v>
      </c>
      <c r="AL339" s="212">
        <v>0</v>
      </c>
      <c r="AM339" s="212">
        <v>18000</v>
      </c>
      <c r="AN339" s="212">
        <v>116715</v>
      </c>
      <c r="AO339" s="176">
        <v>0</v>
      </c>
      <c r="AP339" s="176">
        <v>0</v>
      </c>
      <c r="AQ339" s="176">
        <v>0</v>
      </c>
      <c r="AR339" s="212">
        <f t="shared" si="49"/>
        <v>93372</v>
      </c>
      <c r="AS339" s="212">
        <f t="shared" si="50"/>
        <v>183285</v>
      </c>
      <c r="AT339" s="473">
        <f t="shared" si="51"/>
        <v>89913</v>
      </c>
      <c r="AU339" s="477"/>
    </row>
    <row r="340" spans="1:47" s="35" customFormat="1" hidden="1" x14ac:dyDescent="0.35">
      <c r="A340" s="35" t="s">
        <v>1197</v>
      </c>
      <c r="B340" s="224" t="s">
        <v>952</v>
      </c>
      <c r="C340" s="222" t="s">
        <v>19</v>
      </c>
      <c r="D340" s="136">
        <v>8470730</v>
      </c>
      <c r="E340" s="137" t="s">
        <v>454</v>
      </c>
      <c r="F340" s="138">
        <v>427900</v>
      </c>
      <c r="G340" s="137" t="s">
        <v>459</v>
      </c>
      <c r="H340" s="137" t="s">
        <v>460</v>
      </c>
      <c r="I340" s="137">
        <v>10000</v>
      </c>
      <c r="J340" s="140">
        <v>10000</v>
      </c>
      <c r="K340" s="147"/>
      <c r="L340" s="142"/>
      <c r="M340" s="143"/>
      <c r="N340" s="144">
        <f t="shared" si="52"/>
        <v>10000</v>
      </c>
      <c r="O340" s="145"/>
      <c r="P340" s="145"/>
      <c r="Q340" s="145"/>
      <c r="R340" s="146"/>
      <c r="S340" s="139">
        <f t="shared" si="54"/>
        <v>10000</v>
      </c>
      <c r="T340" s="172"/>
      <c r="U340" s="137" t="s">
        <v>460</v>
      </c>
      <c r="V340" s="261">
        <f t="shared" si="55"/>
        <v>3200</v>
      </c>
      <c r="W340" s="261">
        <f t="shared" si="53"/>
        <v>3200</v>
      </c>
      <c r="X340" s="261"/>
      <c r="Y340" s="176" t="s">
        <v>838</v>
      </c>
      <c r="Z340" s="176"/>
      <c r="AA340" s="186">
        <v>10000</v>
      </c>
      <c r="AB340" s="186">
        <v>0</v>
      </c>
      <c r="AC340" s="176">
        <v>0</v>
      </c>
      <c r="AD340" s="176">
        <v>0</v>
      </c>
      <c r="AE340" s="186">
        <v>10000</v>
      </c>
      <c r="AF340" s="35">
        <v>10000</v>
      </c>
      <c r="AG340" s="212">
        <v>0</v>
      </c>
      <c r="AH340" s="212">
        <f t="shared" si="48"/>
        <v>6800</v>
      </c>
      <c r="AI340" s="212" t="s">
        <v>460</v>
      </c>
      <c r="AJ340" s="212">
        <v>4000</v>
      </c>
      <c r="AK340" s="212">
        <v>0</v>
      </c>
      <c r="AL340" s="212">
        <v>0</v>
      </c>
      <c r="AM340" s="212">
        <v>0</v>
      </c>
      <c r="AN340" s="212">
        <v>4000</v>
      </c>
      <c r="AO340" s="176">
        <v>0</v>
      </c>
      <c r="AP340" s="176">
        <v>0</v>
      </c>
      <c r="AQ340" s="176">
        <v>0</v>
      </c>
      <c r="AR340" s="212">
        <f t="shared" si="49"/>
        <v>3200</v>
      </c>
      <c r="AS340" s="212">
        <f t="shared" si="50"/>
        <v>0</v>
      </c>
      <c r="AT340" s="473">
        <f t="shared" si="51"/>
        <v>-3200</v>
      </c>
      <c r="AU340" s="477"/>
    </row>
    <row r="341" spans="1:47" s="35" customFormat="1" hidden="1" x14ac:dyDescent="0.35">
      <c r="A341" s="35" t="s">
        <v>1197</v>
      </c>
      <c r="B341" s="224" t="s">
        <v>952</v>
      </c>
      <c r="C341" s="222" t="s">
        <v>19</v>
      </c>
      <c r="D341" s="136">
        <v>8470730</v>
      </c>
      <c r="E341" s="137" t="s">
        <v>454</v>
      </c>
      <c r="F341" s="138">
        <v>428090</v>
      </c>
      <c r="G341" s="137" t="s">
        <v>39</v>
      </c>
      <c r="H341" s="137" t="s">
        <v>461</v>
      </c>
      <c r="I341" s="137">
        <v>0</v>
      </c>
      <c r="J341" s="140">
        <v>8000</v>
      </c>
      <c r="K341" s="141">
        <v>8000</v>
      </c>
      <c r="L341" s="142"/>
      <c r="M341" s="143"/>
      <c r="N341" s="144">
        <f t="shared" si="52"/>
        <v>0</v>
      </c>
      <c r="O341" s="145"/>
      <c r="P341" s="145"/>
      <c r="Q341" s="145"/>
      <c r="R341" s="146"/>
      <c r="S341" s="139">
        <f t="shared" si="54"/>
        <v>0</v>
      </c>
      <c r="T341" s="172"/>
      <c r="U341" s="137" t="s">
        <v>461</v>
      </c>
      <c r="V341" s="261">
        <f t="shared" si="55"/>
        <v>0</v>
      </c>
      <c r="W341" s="261">
        <f t="shared" si="53"/>
        <v>0</v>
      </c>
      <c r="X341" s="261"/>
      <c r="Y341" s="176" t="s">
        <v>838</v>
      </c>
      <c r="Z341" s="176"/>
      <c r="AA341" s="186">
        <v>8000</v>
      </c>
      <c r="AB341" s="186">
        <v>8000</v>
      </c>
      <c r="AC341" s="176">
        <v>0</v>
      </c>
      <c r="AD341" s="176">
        <v>0</v>
      </c>
      <c r="AE341" s="186">
        <v>0</v>
      </c>
      <c r="AF341" s="35">
        <v>0</v>
      </c>
      <c r="AG341" s="212">
        <v>0</v>
      </c>
      <c r="AH341" s="212">
        <f t="shared" si="48"/>
        <v>0</v>
      </c>
      <c r="AI341" s="212" t="s">
        <v>461</v>
      </c>
      <c r="AJ341" s="212">
        <v>8000</v>
      </c>
      <c r="AK341" s="212">
        <v>8000</v>
      </c>
      <c r="AL341" s="212">
        <v>0</v>
      </c>
      <c r="AM341" s="212">
        <v>0</v>
      </c>
      <c r="AN341" s="212">
        <v>0</v>
      </c>
      <c r="AO341" s="176">
        <v>0</v>
      </c>
      <c r="AP341" s="176">
        <v>0</v>
      </c>
      <c r="AQ341" s="176">
        <v>0</v>
      </c>
      <c r="AR341" s="212">
        <f t="shared" si="49"/>
        <v>0</v>
      </c>
      <c r="AS341" s="212">
        <f t="shared" si="50"/>
        <v>8000</v>
      </c>
      <c r="AT341" s="473">
        <f t="shared" si="51"/>
        <v>8000</v>
      </c>
      <c r="AU341" s="477"/>
    </row>
    <row r="342" spans="1:47" s="35" customFormat="1" hidden="1" x14ac:dyDescent="0.35">
      <c r="A342" s="35" t="s">
        <v>1197</v>
      </c>
      <c r="B342" s="224" t="s">
        <v>952</v>
      </c>
      <c r="C342" s="222" t="s">
        <v>19</v>
      </c>
      <c r="D342" s="136">
        <v>8470730</v>
      </c>
      <c r="E342" s="137" t="s">
        <v>454</v>
      </c>
      <c r="F342" s="138">
        <v>428640</v>
      </c>
      <c r="G342" s="137" t="s">
        <v>43</v>
      </c>
      <c r="H342" s="137" t="s">
        <v>462</v>
      </c>
      <c r="I342" s="137">
        <v>250000</v>
      </c>
      <c r="J342" s="140">
        <v>132134</v>
      </c>
      <c r="K342" s="141">
        <v>47510.1</v>
      </c>
      <c r="L342" s="148">
        <v>0</v>
      </c>
      <c r="M342" s="140">
        <v>0</v>
      </c>
      <c r="N342" s="144">
        <f t="shared" si="52"/>
        <v>84623.9</v>
      </c>
      <c r="O342" s="145"/>
      <c r="P342" s="145"/>
      <c r="Q342" s="145"/>
      <c r="R342" s="146"/>
      <c r="S342" s="139">
        <f t="shared" si="54"/>
        <v>84623.9</v>
      </c>
      <c r="T342" s="172"/>
      <c r="U342" s="137" t="s">
        <v>462</v>
      </c>
      <c r="V342" s="261">
        <f t="shared" si="55"/>
        <v>1200.7199999999921</v>
      </c>
      <c r="W342" s="261">
        <f t="shared" si="53"/>
        <v>1200.7199999999921</v>
      </c>
      <c r="X342" s="261"/>
      <c r="Y342" s="176" t="s">
        <v>838</v>
      </c>
      <c r="Z342" s="176"/>
      <c r="AA342" s="186">
        <v>132134</v>
      </c>
      <c r="AB342" s="186">
        <v>47510.1</v>
      </c>
      <c r="AC342" s="176">
        <v>13750</v>
      </c>
      <c r="AD342" s="176">
        <v>0</v>
      </c>
      <c r="AE342" s="186">
        <v>70873.899999999994</v>
      </c>
      <c r="AF342" s="35">
        <v>70873.899999999994</v>
      </c>
      <c r="AG342" s="212">
        <v>0</v>
      </c>
      <c r="AH342" s="212">
        <f t="shared" si="48"/>
        <v>69673.180000000008</v>
      </c>
      <c r="AI342" s="212" t="s">
        <v>462</v>
      </c>
      <c r="AJ342" s="212">
        <v>205861</v>
      </c>
      <c r="AK342" s="212">
        <v>47510.1</v>
      </c>
      <c r="AL342" s="212">
        <v>156850</v>
      </c>
      <c r="AM342" s="212">
        <v>0</v>
      </c>
      <c r="AN342" s="212">
        <v>1500.8999999999901</v>
      </c>
      <c r="AO342" s="176">
        <v>0</v>
      </c>
      <c r="AP342" s="176">
        <v>0</v>
      </c>
      <c r="AQ342" s="176">
        <v>0</v>
      </c>
      <c r="AR342" s="212">
        <f t="shared" si="49"/>
        <v>1200.7199999999921</v>
      </c>
      <c r="AS342" s="212">
        <f t="shared" si="50"/>
        <v>61260.1</v>
      </c>
      <c r="AT342" s="473">
        <f t="shared" si="51"/>
        <v>203159.38</v>
      </c>
      <c r="AU342" s="477"/>
    </row>
    <row r="343" spans="1:47" s="35" customFormat="1" hidden="1" x14ac:dyDescent="0.35">
      <c r="A343" s="35" t="s">
        <v>1197</v>
      </c>
      <c r="B343" s="224" t="s">
        <v>952</v>
      </c>
      <c r="C343" s="222" t="s">
        <v>19</v>
      </c>
      <c r="D343" s="136">
        <v>8470730</v>
      </c>
      <c r="E343" s="137" t="s">
        <v>454</v>
      </c>
      <c r="F343" s="138">
        <v>436110</v>
      </c>
      <c r="G343" s="137" t="s">
        <v>119</v>
      </c>
      <c r="H343" s="137" t="s">
        <v>463</v>
      </c>
      <c r="I343" s="137">
        <v>50000</v>
      </c>
      <c r="J343" s="140">
        <v>50000</v>
      </c>
      <c r="K343" s="141">
        <v>11620</v>
      </c>
      <c r="L343" s="148">
        <v>0</v>
      </c>
      <c r="M343" s="140">
        <v>32500</v>
      </c>
      <c r="N343" s="144">
        <f t="shared" si="52"/>
        <v>5880</v>
      </c>
      <c r="O343" s="145"/>
      <c r="P343" s="145"/>
      <c r="Q343" s="145"/>
      <c r="R343" s="146"/>
      <c r="S343" s="139">
        <f t="shared" si="54"/>
        <v>5880</v>
      </c>
      <c r="T343" s="172"/>
      <c r="U343" s="137" t="s">
        <v>463</v>
      </c>
      <c r="V343" s="261">
        <f t="shared" si="55"/>
        <v>4596</v>
      </c>
      <c r="W343" s="261">
        <f t="shared" si="53"/>
        <v>2821.5</v>
      </c>
      <c r="X343" s="261"/>
      <c r="Y343" s="176" t="s">
        <v>838</v>
      </c>
      <c r="Z343" s="176"/>
      <c r="AA343" s="186">
        <v>50000</v>
      </c>
      <c r="AB343" s="186">
        <v>15780</v>
      </c>
      <c r="AC343" s="176">
        <v>0</v>
      </c>
      <c r="AD343" s="176">
        <v>29600</v>
      </c>
      <c r="AE343" s="186">
        <v>4620</v>
      </c>
      <c r="AF343" s="35">
        <v>4620</v>
      </c>
      <c r="AG343" s="212">
        <v>0</v>
      </c>
      <c r="AH343" s="212">
        <f t="shared" si="48"/>
        <v>24</v>
      </c>
      <c r="AI343" s="212" t="s">
        <v>463</v>
      </c>
      <c r="AJ343" s="212">
        <v>56000</v>
      </c>
      <c r="AK343" s="212">
        <v>15780</v>
      </c>
      <c r="AL343" s="212">
        <v>4875</v>
      </c>
      <c r="AM343" s="212">
        <v>29600</v>
      </c>
      <c r="AN343" s="212">
        <v>5745</v>
      </c>
      <c r="AO343" s="176">
        <v>0</v>
      </c>
      <c r="AP343" s="176">
        <v>1774.5</v>
      </c>
      <c r="AQ343" s="176">
        <v>0</v>
      </c>
      <c r="AR343" s="212">
        <f t="shared" si="49"/>
        <v>2821.5</v>
      </c>
      <c r="AS343" s="212">
        <f t="shared" si="50"/>
        <v>47154.5</v>
      </c>
      <c r="AT343" s="473">
        <f t="shared" si="51"/>
        <v>49208</v>
      </c>
      <c r="AU343" s="477"/>
    </row>
    <row r="344" spans="1:47" s="35" customFormat="1" hidden="1" x14ac:dyDescent="0.35">
      <c r="A344" s="35" t="s">
        <v>1197</v>
      </c>
      <c r="B344" s="224" t="s">
        <v>953</v>
      </c>
      <c r="C344" s="222" t="s">
        <v>19</v>
      </c>
      <c r="D344" s="136">
        <v>8470810</v>
      </c>
      <c r="E344" s="137" t="s">
        <v>464</v>
      </c>
      <c r="F344" s="138">
        <v>420811</v>
      </c>
      <c r="G344" s="137" t="s">
        <v>469</v>
      </c>
      <c r="H344" s="137" t="s">
        <v>470</v>
      </c>
      <c r="I344" s="137">
        <v>0</v>
      </c>
      <c r="J344" s="140">
        <v>10351793</v>
      </c>
      <c r="K344" s="166">
        <v>10221106</v>
      </c>
      <c r="L344" s="142"/>
      <c r="M344" s="143"/>
      <c r="N344" s="144">
        <f t="shared" si="52"/>
        <v>130687</v>
      </c>
      <c r="O344" s="167"/>
      <c r="P344" s="145"/>
      <c r="Q344" s="149">
        <v>130687</v>
      </c>
      <c r="R344" s="146"/>
      <c r="S344" s="254">
        <f t="shared" si="54"/>
        <v>0</v>
      </c>
      <c r="T344" s="172" t="s">
        <v>802</v>
      </c>
      <c r="U344" s="137" t="s">
        <v>470</v>
      </c>
      <c r="V344" s="261">
        <f>S344</f>
        <v>0</v>
      </c>
      <c r="W344" s="261">
        <f t="shared" si="53"/>
        <v>0</v>
      </c>
      <c r="X344" s="261"/>
      <c r="Y344" s="176" t="s">
        <v>722</v>
      </c>
      <c r="Z344" s="176"/>
      <c r="AA344" s="186">
        <v>10351793</v>
      </c>
      <c r="AB344" s="186">
        <v>10226277.23</v>
      </c>
      <c r="AC344" s="186">
        <v>0</v>
      </c>
      <c r="AD344" s="186">
        <v>0</v>
      </c>
      <c r="AE344" s="186">
        <v>125515.76999999955</v>
      </c>
      <c r="AF344" s="184">
        <v>125515.77000000099</v>
      </c>
      <c r="AG344" s="184">
        <v>-1.4406396076083183E-9</v>
      </c>
      <c r="AH344" s="212">
        <f t="shared" si="48"/>
        <v>125515.76999999955</v>
      </c>
      <c r="AI344" s="212" t="s">
        <v>470</v>
      </c>
      <c r="AJ344" s="212">
        <v>10351793</v>
      </c>
      <c r="AK344" s="212">
        <v>10226277.23</v>
      </c>
      <c r="AL344" s="212">
        <v>0</v>
      </c>
      <c r="AM344" s="212">
        <v>0</v>
      </c>
      <c r="AN344" s="212">
        <v>125515.77000000099</v>
      </c>
      <c r="AO344" s="176">
        <v>0</v>
      </c>
      <c r="AP344" s="176">
        <v>0</v>
      </c>
      <c r="AQ344" s="176">
        <v>0</v>
      </c>
      <c r="AR344" s="212">
        <f t="shared" si="49"/>
        <v>0</v>
      </c>
      <c r="AS344" s="212">
        <f t="shared" si="50"/>
        <v>10356964.23</v>
      </c>
      <c r="AT344" s="473">
        <f t="shared" si="51"/>
        <v>10356964.23</v>
      </c>
      <c r="AU344" s="478"/>
    </row>
    <row r="345" spans="1:47" s="35" customFormat="1" ht="43.5" hidden="1" x14ac:dyDescent="0.35">
      <c r="A345" s="35" t="s">
        <v>1197</v>
      </c>
      <c r="B345" s="224" t="s">
        <v>953</v>
      </c>
      <c r="C345" s="222" t="s">
        <v>19</v>
      </c>
      <c r="D345" s="136">
        <v>8470810</v>
      </c>
      <c r="E345" s="137" t="s">
        <v>464</v>
      </c>
      <c r="F345" s="138">
        <v>421100</v>
      </c>
      <c r="G345" s="137" t="s">
        <v>367</v>
      </c>
      <c r="H345" s="137" t="s">
        <v>471</v>
      </c>
      <c r="I345" s="137">
        <v>7465192</v>
      </c>
      <c r="J345" s="140">
        <v>445192</v>
      </c>
      <c r="K345" s="166">
        <v>-189882.07</v>
      </c>
      <c r="L345" s="148">
        <v>0</v>
      </c>
      <c r="M345" s="140">
        <v>563543.22</v>
      </c>
      <c r="N345" s="144">
        <f t="shared" si="52"/>
        <v>71530.850000000093</v>
      </c>
      <c r="O345" s="145"/>
      <c r="P345" s="145"/>
      <c r="Q345" s="149"/>
      <c r="R345" s="146"/>
      <c r="S345" s="254">
        <f t="shared" si="54"/>
        <v>71530.850000000093</v>
      </c>
      <c r="T345" s="175" t="s">
        <v>803</v>
      </c>
      <c r="U345" s="137" t="s">
        <v>471</v>
      </c>
      <c r="V345" s="261">
        <f>S345</f>
        <v>71530.850000000093</v>
      </c>
      <c r="W345" s="261">
        <f t="shared" si="53"/>
        <v>71530.850000000093</v>
      </c>
      <c r="X345" s="261"/>
      <c r="Y345" s="176" t="s">
        <v>722</v>
      </c>
      <c r="Z345" s="176"/>
      <c r="AA345" s="186">
        <v>445192</v>
      </c>
      <c r="AB345" s="186">
        <v>-189882.07</v>
      </c>
      <c r="AC345" s="176">
        <v>0</v>
      </c>
      <c r="AD345" s="176">
        <v>563543.22</v>
      </c>
      <c r="AE345" s="186">
        <v>71530.850000000093</v>
      </c>
      <c r="AF345" s="35">
        <v>71530.850000000093</v>
      </c>
      <c r="AG345" s="212">
        <v>0</v>
      </c>
      <c r="AH345" s="212">
        <f t="shared" si="48"/>
        <v>0</v>
      </c>
      <c r="AI345" s="212" t="s">
        <v>471</v>
      </c>
      <c r="AJ345" s="212">
        <v>387192</v>
      </c>
      <c r="AK345" s="212">
        <v>-189882.07</v>
      </c>
      <c r="AL345" s="212">
        <v>0</v>
      </c>
      <c r="AM345" s="212">
        <v>563543.22</v>
      </c>
      <c r="AN345" s="212">
        <v>13530.8500000001</v>
      </c>
      <c r="AO345" s="176">
        <v>0</v>
      </c>
      <c r="AP345" s="176">
        <v>0</v>
      </c>
      <c r="AQ345" s="176">
        <v>0</v>
      </c>
      <c r="AR345" s="212">
        <f t="shared" si="49"/>
        <v>71530.850000000093</v>
      </c>
      <c r="AS345" s="212">
        <f t="shared" si="50"/>
        <v>373661.14999999997</v>
      </c>
      <c r="AT345" s="473">
        <f t="shared" si="51"/>
        <v>302130.29999999987</v>
      </c>
      <c r="AU345" s="478"/>
    </row>
    <row r="346" spans="1:47" s="35" customFormat="1" hidden="1" x14ac:dyDescent="0.35">
      <c r="A346" s="35" t="s">
        <v>1197</v>
      </c>
      <c r="B346" s="224" t="s">
        <v>953</v>
      </c>
      <c r="C346" s="222" t="s">
        <v>19</v>
      </c>
      <c r="D346" s="136">
        <v>8470810</v>
      </c>
      <c r="E346" s="137" t="s">
        <v>464</v>
      </c>
      <c r="F346" s="138">
        <v>426610</v>
      </c>
      <c r="G346" s="137" t="s">
        <v>37</v>
      </c>
      <c r="H346" s="137" t="s">
        <v>472</v>
      </c>
      <c r="I346" s="137">
        <v>8612571</v>
      </c>
      <c r="J346" s="140">
        <v>7589571</v>
      </c>
      <c r="K346" s="166">
        <v>4052414.96</v>
      </c>
      <c r="L346" s="148">
        <v>1146207.08</v>
      </c>
      <c r="M346" s="140">
        <v>2297253.5699999998</v>
      </c>
      <c r="N346" s="144">
        <f t="shared" si="52"/>
        <v>93695.39000000013</v>
      </c>
      <c r="O346" s="145">
        <v>64312.5</v>
      </c>
      <c r="P346" s="145"/>
      <c r="Q346" s="149"/>
      <c r="R346" s="146" t="s">
        <v>796</v>
      </c>
      <c r="S346" s="254">
        <f t="shared" si="54"/>
        <v>29382.89000000013</v>
      </c>
      <c r="T346" s="172" t="s">
        <v>804</v>
      </c>
      <c r="U346" s="137" t="s">
        <v>472</v>
      </c>
      <c r="V346" s="261">
        <f>S346</f>
        <v>29382.89000000013</v>
      </c>
      <c r="W346" s="261">
        <f t="shared" si="53"/>
        <v>29382.89000000013</v>
      </c>
      <c r="X346" s="261"/>
      <c r="Y346" s="176" t="s">
        <v>722</v>
      </c>
      <c r="Z346" s="176"/>
      <c r="AA346" s="186">
        <v>7595071</v>
      </c>
      <c r="AB346" s="186">
        <v>4382852.83</v>
      </c>
      <c r="AC346" s="186">
        <v>273866.23</v>
      </c>
      <c r="AD346" s="186">
        <v>2935326.88</v>
      </c>
      <c r="AE346" s="186">
        <v>3025.0600000000559</v>
      </c>
      <c r="AF346" s="184">
        <v>3025.0600000005202</v>
      </c>
      <c r="AG346" s="184">
        <v>-4.6429704525507987E-10</v>
      </c>
      <c r="AH346" s="212">
        <f t="shared" si="48"/>
        <v>-26357.830000000075</v>
      </c>
      <c r="AI346" s="212" t="s">
        <v>472</v>
      </c>
      <c r="AJ346" s="212">
        <v>7653071</v>
      </c>
      <c r="AK346" s="212">
        <v>6008318.3600000003</v>
      </c>
      <c r="AL346" s="212">
        <v>331866.23</v>
      </c>
      <c r="AM346" s="212">
        <v>1309861.3500000001</v>
      </c>
      <c r="AN346" s="212">
        <v>3025.0600000007498</v>
      </c>
      <c r="AO346" s="176">
        <v>0</v>
      </c>
      <c r="AP346" s="176">
        <v>0</v>
      </c>
      <c r="AQ346" s="176">
        <v>0</v>
      </c>
      <c r="AR346" s="212">
        <f t="shared" si="49"/>
        <v>29382.89000000013</v>
      </c>
      <c r="AS346" s="212">
        <f t="shared" si="50"/>
        <v>7592045.9400000004</v>
      </c>
      <c r="AT346" s="473">
        <f t="shared" si="51"/>
        <v>7620663.0499999989</v>
      </c>
      <c r="AU346" s="478"/>
    </row>
    <row r="347" spans="1:47" s="35" customFormat="1" ht="43.5" hidden="1" x14ac:dyDescent="0.35">
      <c r="A347" s="35" t="s">
        <v>1197</v>
      </c>
      <c r="B347" s="224" t="s">
        <v>953</v>
      </c>
      <c r="C347" s="222" t="s">
        <v>19</v>
      </c>
      <c r="D347" s="136">
        <v>8470810</v>
      </c>
      <c r="E347" s="137" t="s">
        <v>464</v>
      </c>
      <c r="F347" s="138">
        <v>427810</v>
      </c>
      <c r="G347" s="137" t="s">
        <v>473</v>
      </c>
      <c r="H347" s="137" t="s">
        <v>474</v>
      </c>
      <c r="I347" s="137">
        <v>800000</v>
      </c>
      <c r="J347" s="140">
        <v>1205000</v>
      </c>
      <c r="K347" s="166">
        <v>946683.89</v>
      </c>
      <c r="L347" s="142"/>
      <c r="M347" s="143"/>
      <c r="N347" s="144">
        <f t="shared" si="52"/>
        <v>258316.11</v>
      </c>
      <c r="O347" s="145">
        <v>1480000</v>
      </c>
      <c r="P347" s="145">
        <v>55000</v>
      </c>
      <c r="Q347" s="149">
        <v>55000</v>
      </c>
      <c r="R347" s="146" t="s">
        <v>797</v>
      </c>
      <c r="S347" s="258">
        <f t="shared" si="54"/>
        <v>-1331683.8900000001</v>
      </c>
      <c r="T347" s="245" t="s">
        <v>805</v>
      </c>
      <c r="U347" s="137" t="s">
        <v>474</v>
      </c>
      <c r="V347" s="261">
        <v>0</v>
      </c>
      <c r="W347" s="261">
        <f t="shared" si="53"/>
        <v>0</v>
      </c>
      <c r="X347" s="261"/>
      <c r="Y347" s="176" t="s">
        <v>722</v>
      </c>
      <c r="Z347" s="176"/>
      <c r="AA347" s="186">
        <v>2620114</v>
      </c>
      <c r="AB347" s="186">
        <v>1138866.56</v>
      </c>
      <c r="AC347" s="186">
        <v>0</v>
      </c>
      <c r="AD347" s="186">
        <v>0</v>
      </c>
      <c r="AE347" s="214">
        <v>1481247.44</v>
      </c>
      <c r="AF347" s="184">
        <v>1507661.69</v>
      </c>
      <c r="AG347" s="184">
        <v>-26414.25</v>
      </c>
      <c r="AH347" s="212">
        <f t="shared" si="48"/>
        <v>1481247.44</v>
      </c>
      <c r="AI347" s="212" t="s">
        <v>474</v>
      </c>
      <c r="AJ347" s="212">
        <v>2620114</v>
      </c>
      <c r="AK347" s="212">
        <v>2229255.09</v>
      </c>
      <c r="AL347" s="212">
        <v>0</v>
      </c>
      <c r="AM347" s="212">
        <v>0</v>
      </c>
      <c r="AN347" s="212">
        <v>417273.16</v>
      </c>
      <c r="AO347" s="176">
        <v>0</v>
      </c>
      <c r="AP347" s="176">
        <v>0</v>
      </c>
      <c r="AQ347" s="176">
        <v>0</v>
      </c>
      <c r="AR347" s="212">
        <f t="shared" si="49"/>
        <v>0</v>
      </c>
      <c r="AS347" s="212">
        <f t="shared" si="50"/>
        <v>1193866.56</v>
      </c>
      <c r="AT347" s="473">
        <f t="shared" si="51"/>
        <v>2284255.09</v>
      </c>
      <c r="AU347" s="478"/>
    </row>
    <row r="348" spans="1:47" s="35" customFormat="1" hidden="1" x14ac:dyDescent="0.35">
      <c r="A348" s="35" t="s">
        <v>1197</v>
      </c>
      <c r="B348" s="224" t="s">
        <v>953</v>
      </c>
      <c r="C348" s="222" t="s">
        <v>19</v>
      </c>
      <c r="D348" s="136">
        <v>8470810</v>
      </c>
      <c r="E348" s="137" t="s">
        <v>464</v>
      </c>
      <c r="F348" s="138">
        <v>427850</v>
      </c>
      <c r="G348" s="137" t="s">
        <v>475</v>
      </c>
      <c r="H348" s="137" t="s">
        <v>476</v>
      </c>
      <c r="I348" s="137">
        <v>2618028</v>
      </c>
      <c r="J348" s="140">
        <v>2213028</v>
      </c>
      <c r="K348" s="166">
        <v>1465268.54</v>
      </c>
      <c r="L348" s="142"/>
      <c r="M348" s="143"/>
      <c r="N348" s="144">
        <f t="shared" si="52"/>
        <v>747759.46</v>
      </c>
      <c r="O348" s="145">
        <v>387759.45999999996</v>
      </c>
      <c r="P348" s="145">
        <v>180000</v>
      </c>
      <c r="Q348" s="149">
        <v>180000</v>
      </c>
      <c r="R348" s="146" t="s">
        <v>798</v>
      </c>
      <c r="S348" s="254">
        <f t="shared" si="54"/>
        <v>0</v>
      </c>
      <c r="T348" s="172"/>
      <c r="U348" s="137" t="s">
        <v>476</v>
      </c>
      <c r="V348" s="261">
        <f t="shared" ref="V348:V381" si="56">S348</f>
        <v>0</v>
      </c>
      <c r="W348" s="261">
        <f t="shared" si="53"/>
        <v>0</v>
      </c>
      <c r="X348" s="261"/>
      <c r="Y348" s="176" t="s">
        <v>722</v>
      </c>
      <c r="Z348" s="176"/>
      <c r="AA348" s="186">
        <v>2198728</v>
      </c>
      <c r="AB348" s="186">
        <v>1718658.34</v>
      </c>
      <c r="AC348" s="176">
        <v>0</v>
      </c>
      <c r="AD348" s="176">
        <v>0</v>
      </c>
      <c r="AE348" s="186">
        <v>480069.65999999992</v>
      </c>
      <c r="AF348" s="35">
        <v>480069.66</v>
      </c>
      <c r="AG348" s="212">
        <v>0</v>
      </c>
      <c r="AH348" s="212">
        <f t="shared" si="48"/>
        <v>480069.65999999992</v>
      </c>
      <c r="AI348" s="212" t="s">
        <v>476</v>
      </c>
      <c r="AJ348" s="212">
        <v>2198728</v>
      </c>
      <c r="AK348" s="212">
        <v>1892538.54</v>
      </c>
      <c r="AL348" s="212">
        <v>0</v>
      </c>
      <c r="AM348" s="212">
        <v>0</v>
      </c>
      <c r="AN348" s="212">
        <v>306189.46000000002</v>
      </c>
      <c r="AO348" s="176">
        <v>0</v>
      </c>
      <c r="AP348" s="176">
        <v>0</v>
      </c>
      <c r="AQ348" s="176">
        <v>0</v>
      </c>
      <c r="AR348" s="212">
        <f t="shared" si="49"/>
        <v>0</v>
      </c>
      <c r="AS348" s="212">
        <f t="shared" si="50"/>
        <v>1898658.34</v>
      </c>
      <c r="AT348" s="473">
        <f t="shared" si="51"/>
        <v>2072538.54</v>
      </c>
      <c r="AU348" s="478"/>
    </row>
    <row r="349" spans="1:47" s="35" customFormat="1" hidden="1" x14ac:dyDescent="0.35">
      <c r="A349" s="35" t="s">
        <v>1197</v>
      </c>
      <c r="B349" s="224" t="s">
        <v>953</v>
      </c>
      <c r="C349" s="222" t="s">
        <v>19</v>
      </c>
      <c r="D349" s="136">
        <v>8470810</v>
      </c>
      <c r="E349" s="137" t="s">
        <v>464</v>
      </c>
      <c r="F349" s="138">
        <v>428090</v>
      </c>
      <c r="G349" s="137" t="s">
        <v>39</v>
      </c>
      <c r="H349" s="137" t="s">
        <v>477</v>
      </c>
      <c r="I349" s="137">
        <v>11500</v>
      </c>
      <c r="J349" s="140">
        <v>6334</v>
      </c>
      <c r="K349" s="166">
        <v>4400</v>
      </c>
      <c r="L349" s="142"/>
      <c r="M349" s="143"/>
      <c r="N349" s="144">
        <f t="shared" si="52"/>
        <v>1934</v>
      </c>
      <c r="O349" s="145">
        <v>1934</v>
      </c>
      <c r="P349" s="145"/>
      <c r="Q349" s="149"/>
      <c r="R349" s="146" t="s">
        <v>799</v>
      </c>
      <c r="S349" s="254">
        <f t="shared" si="54"/>
        <v>0</v>
      </c>
      <c r="T349" s="172"/>
      <c r="U349" s="137" t="s">
        <v>477</v>
      </c>
      <c r="V349" s="261">
        <f t="shared" si="56"/>
        <v>0</v>
      </c>
      <c r="W349" s="261">
        <f t="shared" si="53"/>
        <v>0</v>
      </c>
      <c r="X349" s="261"/>
      <c r="Y349" s="176" t="s">
        <v>722</v>
      </c>
      <c r="Z349" s="176"/>
      <c r="AA349" s="186">
        <v>27451</v>
      </c>
      <c r="AB349" s="186">
        <v>4400</v>
      </c>
      <c r="AC349" s="176">
        <v>0</v>
      </c>
      <c r="AD349" s="176">
        <v>0</v>
      </c>
      <c r="AE349" s="186">
        <v>23051</v>
      </c>
      <c r="AF349" s="35">
        <v>23051</v>
      </c>
      <c r="AG349" s="212">
        <v>0</v>
      </c>
      <c r="AH349" s="212">
        <f t="shared" si="48"/>
        <v>23051</v>
      </c>
      <c r="AI349" s="212" t="s">
        <v>477</v>
      </c>
      <c r="AJ349" s="212">
        <v>27451</v>
      </c>
      <c r="AK349" s="212">
        <v>4400</v>
      </c>
      <c r="AL349" s="212">
        <v>0</v>
      </c>
      <c r="AM349" s="212">
        <v>0</v>
      </c>
      <c r="AN349" s="212">
        <v>23051</v>
      </c>
      <c r="AO349" s="176">
        <v>0</v>
      </c>
      <c r="AP349" s="176">
        <v>0</v>
      </c>
      <c r="AQ349" s="176">
        <v>0</v>
      </c>
      <c r="AR349" s="212">
        <f t="shared" si="49"/>
        <v>0</v>
      </c>
      <c r="AS349" s="212">
        <f t="shared" si="50"/>
        <v>4400</v>
      </c>
      <c r="AT349" s="473">
        <f t="shared" si="51"/>
        <v>4400</v>
      </c>
      <c r="AU349" s="478"/>
    </row>
    <row r="350" spans="1:47" s="35" customFormat="1" hidden="1" x14ac:dyDescent="0.35">
      <c r="A350" s="35" t="s">
        <v>1197</v>
      </c>
      <c r="B350" s="224" t="s">
        <v>953</v>
      </c>
      <c r="C350" s="222" t="s">
        <v>19</v>
      </c>
      <c r="D350" s="136">
        <v>8470810</v>
      </c>
      <c r="E350" s="137" t="s">
        <v>464</v>
      </c>
      <c r="F350" s="138">
        <v>430250</v>
      </c>
      <c r="G350" s="137" t="s">
        <v>479</v>
      </c>
      <c r="H350" s="137" t="s">
        <v>480</v>
      </c>
      <c r="I350" s="137">
        <v>0</v>
      </c>
      <c r="J350" s="140">
        <v>1034317</v>
      </c>
      <c r="K350" s="166">
        <v>754866.67</v>
      </c>
      <c r="L350" s="148">
        <v>-8.7311491370201098E-11</v>
      </c>
      <c r="M350" s="140">
        <v>265899.09999999998</v>
      </c>
      <c r="N350" s="144">
        <f t="shared" si="52"/>
        <v>13551.230000000098</v>
      </c>
      <c r="O350" s="145"/>
      <c r="P350" s="145"/>
      <c r="Q350" s="149"/>
      <c r="R350" s="146"/>
      <c r="S350" s="254">
        <f t="shared" si="54"/>
        <v>13551.230000000098</v>
      </c>
      <c r="T350" s="172"/>
      <c r="U350" s="137" t="s">
        <v>480</v>
      </c>
      <c r="V350" s="261">
        <f t="shared" si="56"/>
        <v>13551.230000000098</v>
      </c>
      <c r="W350" s="261">
        <f t="shared" si="53"/>
        <v>13551.230000000098</v>
      </c>
      <c r="X350" s="261"/>
      <c r="Y350" s="176" t="s">
        <v>722</v>
      </c>
      <c r="Z350" s="176"/>
      <c r="AA350" s="186">
        <v>1022000</v>
      </c>
      <c r="AB350" s="186">
        <v>754866.67</v>
      </c>
      <c r="AC350" s="176">
        <v>0</v>
      </c>
      <c r="AD350" s="176">
        <v>265899.09999999998</v>
      </c>
      <c r="AE350" s="186">
        <v>1234.2299999999814</v>
      </c>
      <c r="AF350" s="35">
        <v>1234.22999999992</v>
      </c>
      <c r="AG350" s="212">
        <v>6.1390892369672656E-11</v>
      </c>
      <c r="AH350" s="212">
        <f t="shared" si="48"/>
        <v>-12317.000000000116</v>
      </c>
      <c r="AI350" s="212" t="s">
        <v>480</v>
      </c>
      <c r="AJ350" s="212">
        <v>1022000</v>
      </c>
      <c r="AK350" s="212">
        <v>754866.67</v>
      </c>
      <c r="AL350" s="212">
        <v>0</v>
      </c>
      <c r="AM350" s="212">
        <v>265899.09999999998</v>
      </c>
      <c r="AN350" s="212">
        <v>1234.22999999992</v>
      </c>
      <c r="AO350" s="176">
        <v>0</v>
      </c>
      <c r="AP350" s="176">
        <v>0</v>
      </c>
      <c r="AQ350" s="176">
        <v>0</v>
      </c>
      <c r="AR350" s="212">
        <f t="shared" si="49"/>
        <v>13551.230000000098</v>
      </c>
      <c r="AS350" s="212">
        <f t="shared" si="50"/>
        <v>1020765.77</v>
      </c>
      <c r="AT350" s="473">
        <f t="shared" si="51"/>
        <v>1007214.5399999999</v>
      </c>
      <c r="AU350" s="478"/>
    </row>
    <row r="351" spans="1:47" s="35" customFormat="1" hidden="1" x14ac:dyDescent="0.35">
      <c r="A351" s="35" t="s">
        <v>1197</v>
      </c>
      <c r="B351" s="224" t="s">
        <v>953</v>
      </c>
      <c r="C351" s="222" t="s">
        <v>19</v>
      </c>
      <c r="D351" s="136">
        <v>8470810</v>
      </c>
      <c r="E351" s="137" t="s">
        <v>464</v>
      </c>
      <c r="F351" s="138">
        <v>432205</v>
      </c>
      <c r="G351" s="137" t="s">
        <v>95</v>
      </c>
      <c r="H351" s="137" t="s">
        <v>481</v>
      </c>
      <c r="I351" s="137">
        <v>1475000</v>
      </c>
      <c r="J351" s="140">
        <v>1505000</v>
      </c>
      <c r="K351" s="166">
        <v>598441.93999999994</v>
      </c>
      <c r="L351" s="148">
        <v>-2.6193447411060302E-10</v>
      </c>
      <c r="M351" s="140">
        <v>841859.39999999898</v>
      </c>
      <c r="N351" s="144">
        <f t="shared" si="52"/>
        <v>64698.660000001313</v>
      </c>
      <c r="O351" s="145">
        <v>64699</v>
      </c>
      <c r="P351" s="145"/>
      <c r="Q351" s="149"/>
      <c r="R351" s="146" t="s">
        <v>800</v>
      </c>
      <c r="S351" s="254">
        <f t="shared" si="54"/>
        <v>-0.33999999868683517</v>
      </c>
      <c r="T351" s="172" t="s">
        <v>802</v>
      </c>
      <c r="U351" s="137" t="s">
        <v>481</v>
      </c>
      <c r="V351" s="261">
        <f t="shared" si="56"/>
        <v>-0.33999999868683517</v>
      </c>
      <c r="W351" s="261">
        <f t="shared" si="53"/>
        <v>-0.33999999868683517</v>
      </c>
      <c r="X351" s="261"/>
      <c r="Y351" s="176" t="s">
        <v>722</v>
      </c>
      <c r="Z351" s="176"/>
      <c r="AA351" s="186">
        <v>1505000</v>
      </c>
      <c r="AB351" s="186">
        <v>1258143.1399999999</v>
      </c>
      <c r="AC351" s="176">
        <v>60000</v>
      </c>
      <c r="AD351" s="176">
        <v>137290.99999999901</v>
      </c>
      <c r="AE351" s="186">
        <v>49565.860000001092</v>
      </c>
      <c r="AF351" s="35">
        <v>49565.860000000102</v>
      </c>
      <c r="AG351" s="212">
        <v>9.8953023552894592E-10</v>
      </c>
      <c r="AH351" s="212">
        <f t="shared" si="48"/>
        <v>49566.199999999779</v>
      </c>
      <c r="AI351" s="212" t="s">
        <v>481</v>
      </c>
      <c r="AJ351" s="212">
        <v>1505000</v>
      </c>
      <c r="AK351" s="212">
        <v>1304827.54</v>
      </c>
      <c r="AL351" s="212">
        <v>0</v>
      </c>
      <c r="AM351" s="212">
        <v>150606.59999999899</v>
      </c>
      <c r="AN351" s="212">
        <v>49565.860000000503</v>
      </c>
      <c r="AO351" s="176">
        <v>0</v>
      </c>
      <c r="AP351" s="176">
        <v>0</v>
      </c>
      <c r="AQ351" s="176">
        <v>0</v>
      </c>
      <c r="AR351" s="212">
        <f t="shared" si="49"/>
        <v>-0.33999999868683517</v>
      </c>
      <c r="AS351" s="212">
        <f t="shared" si="50"/>
        <v>1455434.139999999</v>
      </c>
      <c r="AT351" s="473">
        <f t="shared" si="51"/>
        <v>1455434.4799999977</v>
      </c>
      <c r="AU351" s="478"/>
    </row>
    <row r="352" spans="1:47" s="35" customFormat="1" hidden="1" x14ac:dyDescent="0.35">
      <c r="A352" s="35" t="s">
        <v>1197</v>
      </c>
      <c r="B352" s="224" t="s">
        <v>953</v>
      </c>
      <c r="C352" s="222" t="s">
        <v>19</v>
      </c>
      <c r="D352" s="136">
        <v>8470810</v>
      </c>
      <c r="E352" s="137" t="s">
        <v>464</v>
      </c>
      <c r="F352" s="138">
        <v>432226</v>
      </c>
      <c r="G352" s="137" t="s">
        <v>482</v>
      </c>
      <c r="H352" s="137" t="s">
        <v>483</v>
      </c>
      <c r="I352" s="137">
        <v>0</v>
      </c>
      <c r="J352" s="140">
        <v>360000</v>
      </c>
      <c r="K352" s="166">
        <v>266260.51</v>
      </c>
      <c r="L352" s="142"/>
      <c r="M352" s="143"/>
      <c r="N352" s="144">
        <f t="shared" si="52"/>
        <v>93739.489999999991</v>
      </c>
      <c r="O352" s="145">
        <v>31739</v>
      </c>
      <c r="P352" s="145">
        <v>31000</v>
      </c>
      <c r="Q352" s="149">
        <v>31000</v>
      </c>
      <c r="R352" s="146" t="s">
        <v>801</v>
      </c>
      <c r="S352" s="254">
        <f t="shared" si="54"/>
        <v>0.48999999999068677</v>
      </c>
      <c r="T352" s="172"/>
      <c r="U352" s="137" t="s">
        <v>483</v>
      </c>
      <c r="V352" s="261">
        <f t="shared" si="56"/>
        <v>0.48999999999068677</v>
      </c>
      <c r="W352" s="261">
        <f t="shared" si="53"/>
        <v>0.48999999999068677</v>
      </c>
      <c r="X352" s="261"/>
      <c r="Y352" s="176" t="s">
        <v>722</v>
      </c>
      <c r="Z352" s="176"/>
      <c r="AA352" s="186">
        <v>360000</v>
      </c>
      <c r="AB352" s="186">
        <v>330656.21000000002</v>
      </c>
      <c r="AC352" s="176">
        <v>0</v>
      </c>
      <c r="AD352" s="176">
        <v>0</v>
      </c>
      <c r="AE352" s="186">
        <v>29343.789999999979</v>
      </c>
      <c r="AF352" s="35">
        <v>29343.79</v>
      </c>
      <c r="AG352" s="212">
        <v>0</v>
      </c>
      <c r="AH352" s="212">
        <f t="shared" si="48"/>
        <v>29343.299999999988</v>
      </c>
      <c r="AI352" s="212" t="s">
        <v>483</v>
      </c>
      <c r="AJ352" s="212">
        <v>360000</v>
      </c>
      <c r="AK352" s="212">
        <v>352209.35</v>
      </c>
      <c r="AL352" s="212">
        <v>0</v>
      </c>
      <c r="AM352" s="212">
        <v>0</v>
      </c>
      <c r="AN352" s="212">
        <v>7790.6499999999696</v>
      </c>
      <c r="AO352" s="176">
        <v>0</v>
      </c>
      <c r="AP352" s="176">
        <v>0</v>
      </c>
      <c r="AQ352" s="176">
        <v>0</v>
      </c>
      <c r="AR352" s="212">
        <f t="shared" si="49"/>
        <v>0.48999999999068677</v>
      </c>
      <c r="AS352" s="212">
        <f t="shared" si="50"/>
        <v>361656.21</v>
      </c>
      <c r="AT352" s="473">
        <f t="shared" si="51"/>
        <v>383208.86</v>
      </c>
      <c r="AU352" s="478"/>
    </row>
    <row r="353" spans="1:47" s="35" customFormat="1" ht="29" hidden="1" x14ac:dyDescent="0.35">
      <c r="A353" s="35" t="s">
        <v>1199</v>
      </c>
      <c r="B353" s="224" t="s">
        <v>954</v>
      </c>
      <c r="C353" s="222" t="s">
        <v>19</v>
      </c>
      <c r="D353" s="136">
        <v>8471010</v>
      </c>
      <c r="E353" s="137" t="s">
        <v>485</v>
      </c>
      <c r="F353" s="138">
        <v>425100</v>
      </c>
      <c r="G353" s="137" t="s">
        <v>55</v>
      </c>
      <c r="H353" s="137" t="s">
        <v>486</v>
      </c>
      <c r="I353" s="137">
        <v>107500</v>
      </c>
      <c r="J353" s="140">
        <v>107500</v>
      </c>
      <c r="K353" s="147"/>
      <c r="L353" s="148">
        <v>0</v>
      </c>
      <c r="M353" s="140">
        <v>105000</v>
      </c>
      <c r="N353" s="144">
        <f t="shared" si="52"/>
        <v>2500</v>
      </c>
      <c r="O353" s="145"/>
      <c r="P353" s="145"/>
      <c r="Q353" s="149"/>
      <c r="R353" s="146"/>
      <c r="S353" s="254">
        <f t="shared" si="54"/>
        <v>2500</v>
      </c>
      <c r="T353" s="175"/>
      <c r="U353" s="137" t="s">
        <v>486</v>
      </c>
      <c r="V353" s="261">
        <f t="shared" si="56"/>
        <v>2500</v>
      </c>
      <c r="W353" s="261">
        <f t="shared" si="53"/>
        <v>2500</v>
      </c>
      <c r="X353" s="261"/>
      <c r="Y353" s="176" t="s">
        <v>722</v>
      </c>
      <c r="Z353" s="176"/>
      <c r="AA353" s="186">
        <v>107500</v>
      </c>
      <c r="AB353" s="186">
        <v>0</v>
      </c>
      <c r="AC353" s="176">
        <v>0</v>
      </c>
      <c r="AD353" s="176">
        <v>105000</v>
      </c>
      <c r="AE353" s="186">
        <v>2500</v>
      </c>
      <c r="AF353" s="35">
        <v>2500</v>
      </c>
      <c r="AG353" s="212">
        <v>0</v>
      </c>
      <c r="AH353" s="212">
        <f t="shared" si="48"/>
        <v>0</v>
      </c>
      <c r="AI353" s="212" t="s">
        <v>486</v>
      </c>
      <c r="AJ353" s="212">
        <v>107500</v>
      </c>
      <c r="AK353" s="212">
        <v>0</v>
      </c>
      <c r="AL353" s="212">
        <v>0</v>
      </c>
      <c r="AM353" s="212">
        <v>105000</v>
      </c>
      <c r="AN353" s="212">
        <v>2500</v>
      </c>
      <c r="AO353" s="176">
        <v>0</v>
      </c>
      <c r="AP353" s="176">
        <v>0</v>
      </c>
      <c r="AQ353" s="176">
        <v>0</v>
      </c>
      <c r="AR353" s="212">
        <f t="shared" si="49"/>
        <v>2500</v>
      </c>
      <c r="AS353" s="212">
        <f t="shared" si="50"/>
        <v>105000</v>
      </c>
      <c r="AT353" s="473">
        <f t="shared" si="51"/>
        <v>102500</v>
      </c>
      <c r="AU353" s="478"/>
    </row>
    <row r="354" spans="1:47" s="35" customFormat="1" ht="72.5" hidden="1" x14ac:dyDescent="0.35">
      <c r="A354" s="35" t="s">
        <v>1199</v>
      </c>
      <c r="B354" s="224" t="s">
        <v>954</v>
      </c>
      <c r="C354" s="222" t="s">
        <v>19</v>
      </c>
      <c r="D354" s="136">
        <v>8471010</v>
      </c>
      <c r="E354" s="137" t="s">
        <v>485</v>
      </c>
      <c r="F354" s="138">
        <v>425510</v>
      </c>
      <c r="G354" s="137" t="s">
        <v>31</v>
      </c>
      <c r="H354" s="137" t="s">
        <v>487</v>
      </c>
      <c r="I354" s="137">
        <v>100000</v>
      </c>
      <c r="J354" s="140">
        <v>94000</v>
      </c>
      <c r="K354" s="147"/>
      <c r="L354" s="142"/>
      <c r="M354" s="143"/>
      <c r="N354" s="144">
        <f t="shared" si="52"/>
        <v>94000</v>
      </c>
      <c r="O354" s="145"/>
      <c r="P354" s="145"/>
      <c r="Q354" s="149">
        <v>94000</v>
      </c>
      <c r="R354" s="146"/>
      <c r="S354" s="254">
        <f t="shared" si="54"/>
        <v>0</v>
      </c>
      <c r="T354" s="175" t="s">
        <v>726</v>
      </c>
      <c r="U354" s="137" t="s">
        <v>487</v>
      </c>
      <c r="V354" s="261">
        <f t="shared" si="56"/>
        <v>0</v>
      </c>
      <c r="W354" s="261">
        <f t="shared" si="53"/>
        <v>0</v>
      </c>
      <c r="X354" s="261"/>
      <c r="Y354" s="176" t="s">
        <v>722</v>
      </c>
      <c r="Z354" s="176"/>
      <c r="AA354" s="186">
        <v>94000</v>
      </c>
      <c r="AB354" s="186">
        <v>5876.8</v>
      </c>
      <c r="AC354" s="176">
        <v>0</v>
      </c>
      <c r="AD354" s="176">
        <v>0</v>
      </c>
      <c r="AE354" s="186">
        <v>88123.199999999997</v>
      </c>
      <c r="AF354" s="35">
        <v>88123.199999999997</v>
      </c>
      <c r="AG354" s="212">
        <v>0</v>
      </c>
      <c r="AH354" s="212">
        <f t="shared" si="48"/>
        <v>88123.199999999997</v>
      </c>
      <c r="AI354" s="212" t="s">
        <v>487</v>
      </c>
      <c r="AJ354" s="212">
        <v>94000</v>
      </c>
      <c r="AK354" s="212">
        <v>5876.8</v>
      </c>
      <c r="AL354" s="212">
        <v>0</v>
      </c>
      <c r="AM354" s="212">
        <v>0</v>
      </c>
      <c r="AN354" s="212">
        <v>88123.199999999997</v>
      </c>
      <c r="AO354" s="176">
        <v>0</v>
      </c>
      <c r="AP354" s="176">
        <v>0</v>
      </c>
      <c r="AQ354" s="176">
        <v>0</v>
      </c>
      <c r="AR354" s="212">
        <f t="shared" si="49"/>
        <v>0</v>
      </c>
      <c r="AS354" s="212">
        <f t="shared" si="50"/>
        <v>99876.800000000003</v>
      </c>
      <c r="AT354" s="473">
        <f t="shared" si="51"/>
        <v>99876.800000000003</v>
      </c>
      <c r="AU354" s="478"/>
    </row>
    <row r="355" spans="1:47" s="35" customFormat="1" ht="43.5" hidden="1" x14ac:dyDescent="0.35">
      <c r="A355" s="35" t="s">
        <v>1199</v>
      </c>
      <c r="B355" s="224" t="s">
        <v>954</v>
      </c>
      <c r="C355" s="222" t="s">
        <v>19</v>
      </c>
      <c r="D355" s="136">
        <v>8471010</v>
      </c>
      <c r="E355" s="137" t="s">
        <v>485</v>
      </c>
      <c r="F355" s="138">
        <v>425550</v>
      </c>
      <c r="G355" s="137" t="s">
        <v>33</v>
      </c>
      <c r="H355" s="137" t="s">
        <v>488</v>
      </c>
      <c r="I355" s="137">
        <v>0</v>
      </c>
      <c r="J355" s="140">
        <v>6000</v>
      </c>
      <c r="K355" s="147"/>
      <c r="L355" s="142"/>
      <c r="M355" s="143"/>
      <c r="N355" s="144">
        <f t="shared" si="52"/>
        <v>6000</v>
      </c>
      <c r="O355" s="145"/>
      <c r="P355" s="145"/>
      <c r="Q355" s="149"/>
      <c r="R355" s="146"/>
      <c r="S355" s="254">
        <f t="shared" si="54"/>
        <v>6000</v>
      </c>
      <c r="T355" s="175" t="s">
        <v>727</v>
      </c>
      <c r="U355" s="137" t="s">
        <v>488</v>
      </c>
      <c r="V355" s="261">
        <f t="shared" si="56"/>
        <v>6000</v>
      </c>
      <c r="W355" s="261">
        <f t="shared" si="53"/>
        <v>6000</v>
      </c>
      <c r="X355" s="261"/>
      <c r="Y355" s="176" t="s">
        <v>722</v>
      </c>
      <c r="Z355" s="176"/>
      <c r="AA355" s="186">
        <v>6000</v>
      </c>
      <c r="AB355" s="186">
        <v>0</v>
      </c>
      <c r="AC355" s="176">
        <v>0</v>
      </c>
      <c r="AD355" s="176">
        <v>0</v>
      </c>
      <c r="AE355" s="186">
        <v>6000</v>
      </c>
      <c r="AF355" s="35">
        <v>6000</v>
      </c>
      <c r="AG355" s="212">
        <v>0</v>
      </c>
      <c r="AH355" s="212">
        <f t="shared" si="48"/>
        <v>0</v>
      </c>
      <c r="AI355" s="212" t="s">
        <v>488</v>
      </c>
      <c r="AJ355" s="212">
        <v>6000</v>
      </c>
      <c r="AK355" s="212">
        <v>0</v>
      </c>
      <c r="AL355" s="212">
        <v>0</v>
      </c>
      <c r="AM355" s="212">
        <v>0</v>
      </c>
      <c r="AN355" s="212">
        <v>6000</v>
      </c>
      <c r="AO355" s="176">
        <v>0</v>
      </c>
      <c r="AP355" s="176">
        <v>0</v>
      </c>
      <c r="AQ355" s="176">
        <v>0</v>
      </c>
      <c r="AR355" s="212">
        <f t="shared" si="49"/>
        <v>6000</v>
      </c>
      <c r="AS355" s="212">
        <f t="shared" si="50"/>
        <v>0</v>
      </c>
      <c r="AT355" s="473">
        <f t="shared" si="51"/>
        <v>-6000</v>
      </c>
      <c r="AU355" s="478"/>
    </row>
    <row r="356" spans="1:47" s="35" customFormat="1" ht="29" hidden="1" x14ac:dyDescent="0.35">
      <c r="A356" s="35" t="s">
        <v>1199</v>
      </c>
      <c r="B356" s="224" t="s">
        <v>954</v>
      </c>
      <c r="C356" s="222" t="s">
        <v>19</v>
      </c>
      <c r="D356" s="136">
        <v>8471010</v>
      </c>
      <c r="E356" s="137" t="s">
        <v>485</v>
      </c>
      <c r="F356" s="138">
        <v>425720</v>
      </c>
      <c r="G356" s="137" t="s">
        <v>224</v>
      </c>
      <c r="H356" s="137" t="s">
        <v>489</v>
      </c>
      <c r="I356" s="137">
        <v>76120</v>
      </c>
      <c r="J356" s="140">
        <v>76120</v>
      </c>
      <c r="K356" s="141">
        <v>62280</v>
      </c>
      <c r="L356" s="142"/>
      <c r="M356" s="143"/>
      <c r="N356" s="144">
        <f t="shared" si="52"/>
        <v>13840</v>
      </c>
      <c r="O356" s="145"/>
      <c r="P356" s="145"/>
      <c r="Q356" s="149"/>
      <c r="R356" s="146"/>
      <c r="S356" s="254">
        <f t="shared" si="54"/>
        <v>13840</v>
      </c>
      <c r="T356" s="175" t="s">
        <v>728</v>
      </c>
      <c r="U356" s="137" t="s">
        <v>489</v>
      </c>
      <c r="V356" s="261">
        <f t="shared" si="56"/>
        <v>13840</v>
      </c>
      <c r="W356" s="261">
        <f t="shared" si="53"/>
        <v>13840</v>
      </c>
      <c r="X356" s="261"/>
      <c r="Y356" s="176" t="s">
        <v>722</v>
      </c>
      <c r="Z356" s="176"/>
      <c r="AA356" s="186">
        <v>76120</v>
      </c>
      <c r="AB356" s="186">
        <v>69200</v>
      </c>
      <c r="AC356" s="176">
        <v>0</v>
      </c>
      <c r="AD356" s="176">
        <v>0</v>
      </c>
      <c r="AE356" s="186">
        <v>6920</v>
      </c>
      <c r="AF356" s="35">
        <v>6920</v>
      </c>
      <c r="AG356" s="212">
        <v>0</v>
      </c>
      <c r="AH356" s="212">
        <f t="shared" si="48"/>
        <v>-6920</v>
      </c>
      <c r="AI356" s="212" t="s">
        <v>489</v>
      </c>
      <c r="AJ356" s="212">
        <v>96120</v>
      </c>
      <c r="AK356" s="212">
        <v>83040</v>
      </c>
      <c r="AL356" s="212">
        <v>0</v>
      </c>
      <c r="AM356" s="212">
        <v>0</v>
      </c>
      <c r="AN356" s="212">
        <v>13080</v>
      </c>
      <c r="AO356" s="176">
        <v>0</v>
      </c>
      <c r="AP356" s="176">
        <v>0</v>
      </c>
      <c r="AQ356" s="176">
        <v>0</v>
      </c>
      <c r="AR356" s="212">
        <f t="shared" si="49"/>
        <v>13840</v>
      </c>
      <c r="AS356" s="212">
        <f t="shared" si="50"/>
        <v>69200</v>
      </c>
      <c r="AT356" s="473">
        <f t="shared" si="51"/>
        <v>69200</v>
      </c>
      <c r="AU356" s="478"/>
    </row>
    <row r="357" spans="1:47" s="35" customFormat="1" ht="58" hidden="1" x14ac:dyDescent="0.35">
      <c r="A357" s="35" t="s">
        <v>1199</v>
      </c>
      <c r="B357" s="224" t="s">
        <v>954</v>
      </c>
      <c r="C357" s="222" t="s">
        <v>19</v>
      </c>
      <c r="D357" s="136">
        <v>8471010</v>
      </c>
      <c r="E357" s="137" t="s">
        <v>485</v>
      </c>
      <c r="F357" s="138">
        <v>425900</v>
      </c>
      <c r="G357" s="137" t="s">
        <v>35</v>
      </c>
      <c r="H357" s="137" t="s">
        <v>490</v>
      </c>
      <c r="I357" s="137">
        <v>162500</v>
      </c>
      <c r="J357" s="140">
        <v>162500</v>
      </c>
      <c r="K357" s="147"/>
      <c r="L357" s="142"/>
      <c r="M357" s="143"/>
      <c r="N357" s="144">
        <f t="shared" si="52"/>
        <v>162500</v>
      </c>
      <c r="O357" s="145"/>
      <c r="P357" s="145"/>
      <c r="Q357" s="149"/>
      <c r="R357" s="146">
        <v>162500</v>
      </c>
      <c r="S357" s="254">
        <f t="shared" si="54"/>
        <v>162500</v>
      </c>
      <c r="T357" s="175" t="s">
        <v>729</v>
      </c>
      <c r="U357" s="137" t="s">
        <v>490</v>
      </c>
      <c r="V357" s="261">
        <f t="shared" si="56"/>
        <v>162500</v>
      </c>
      <c r="W357" s="261">
        <f t="shared" si="53"/>
        <v>162500</v>
      </c>
      <c r="X357" s="261"/>
      <c r="Y357" s="176" t="s">
        <v>722</v>
      </c>
      <c r="Z357" s="176"/>
      <c r="AA357" s="186">
        <v>133075</v>
      </c>
      <c r="AB357" s="186">
        <v>0</v>
      </c>
      <c r="AC357" s="176">
        <v>0</v>
      </c>
      <c r="AD357" s="176">
        <v>0</v>
      </c>
      <c r="AE357" s="186">
        <v>133075</v>
      </c>
      <c r="AF357" s="35">
        <v>133075</v>
      </c>
      <c r="AG357" s="212">
        <v>0</v>
      </c>
      <c r="AH357" s="212">
        <f t="shared" si="48"/>
        <v>-29425</v>
      </c>
      <c r="AI357" s="212" t="s">
        <v>490</v>
      </c>
      <c r="AJ357" s="212">
        <v>113075</v>
      </c>
      <c r="AK357" s="212">
        <v>10290</v>
      </c>
      <c r="AL357" s="212">
        <v>0</v>
      </c>
      <c r="AM357" s="212">
        <v>0</v>
      </c>
      <c r="AN357" s="212">
        <v>96485</v>
      </c>
      <c r="AO357" s="176">
        <v>0</v>
      </c>
      <c r="AP357" s="176">
        <v>0</v>
      </c>
      <c r="AQ357" s="176">
        <v>0</v>
      </c>
      <c r="AR357" s="212">
        <f t="shared" si="49"/>
        <v>162500</v>
      </c>
      <c r="AS357" s="212">
        <f t="shared" si="50"/>
        <v>0</v>
      </c>
      <c r="AT357" s="473">
        <f t="shared" si="51"/>
        <v>-152210</v>
      </c>
      <c r="AU357" s="478"/>
    </row>
    <row r="358" spans="1:47" s="35" customFormat="1" ht="58" hidden="1" x14ac:dyDescent="0.35">
      <c r="A358" s="35" t="s">
        <v>1199</v>
      </c>
      <c r="B358" s="224" t="s">
        <v>954</v>
      </c>
      <c r="C358" s="222" t="s">
        <v>19</v>
      </c>
      <c r="D358" s="136">
        <v>8471010</v>
      </c>
      <c r="E358" s="137" t="s">
        <v>485</v>
      </c>
      <c r="F358" s="138">
        <v>436110</v>
      </c>
      <c r="G358" s="137" t="s">
        <v>119</v>
      </c>
      <c r="H358" s="137" t="s">
        <v>491</v>
      </c>
      <c r="I358" s="137">
        <v>50625</v>
      </c>
      <c r="J358" s="140">
        <v>50625</v>
      </c>
      <c r="K358" s="147"/>
      <c r="L358" s="142"/>
      <c r="M358" s="143"/>
      <c r="N358" s="144">
        <f t="shared" si="52"/>
        <v>50625</v>
      </c>
      <c r="O358" s="145"/>
      <c r="P358" s="145"/>
      <c r="Q358" s="149"/>
      <c r="R358" s="146">
        <v>50625</v>
      </c>
      <c r="S358" s="254">
        <f t="shared" ref="S358:S391" si="57">N358-O358-P358-Q358</f>
        <v>50625</v>
      </c>
      <c r="T358" s="175" t="s">
        <v>729</v>
      </c>
      <c r="U358" s="137" t="s">
        <v>491</v>
      </c>
      <c r="V358" s="261">
        <f t="shared" si="56"/>
        <v>50625</v>
      </c>
      <c r="W358" s="261">
        <f t="shared" si="53"/>
        <v>43189.4</v>
      </c>
      <c r="X358" s="261"/>
      <c r="Y358" s="176" t="s">
        <v>722</v>
      </c>
      <c r="Z358" s="176"/>
      <c r="AA358" s="186">
        <v>50625</v>
      </c>
      <c r="AB358" s="186">
        <v>0</v>
      </c>
      <c r="AC358" s="176">
        <v>0</v>
      </c>
      <c r="AD358" s="176">
        <v>0</v>
      </c>
      <c r="AE358" s="186">
        <v>50625</v>
      </c>
      <c r="AF358" s="35">
        <v>50625</v>
      </c>
      <c r="AG358" s="212">
        <v>0</v>
      </c>
      <c r="AH358" s="212">
        <f t="shared" si="48"/>
        <v>0</v>
      </c>
      <c r="AI358" s="212" t="s">
        <v>491</v>
      </c>
      <c r="AJ358" s="212">
        <v>50625</v>
      </c>
      <c r="AK358" s="212">
        <v>4450</v>
      </c>
      <c r="AL358" s="212">
        <v>0</v>
      </c>
      <c r="AM358" s="212">
        <v>0</v>
      </c>
      <c r="AN358" s="212">
        <v>46175</v>
      </c>
      <c r="AO358" s="176">
        <v>0</v>
      </c>
      <c r="AP358" s="176">
        <v>7435.6</v>
      </c>
      <c r="AQ358" s="176">
        <v>0</v>
      </c>
      <c r="AR358" s="212">
        <f t="shared" si="49"/>
        <v>43189.4</v>
      </c>
      <c r="AS358" s="212">
        <f t="shared" si="50"/>
        <v>7435.6</v>
      </c>
      <c r="AT358" s="473">
        <f t="shared" si="51"/>
        <v>-31303.800000000003</v>
      </c>
      <c r="AU358" s="478"/>
    </row>
    <row r="359" spans="1:47" s="35" customFormat="1" ht="29" hidden="1" x14ac:dyDescent="0.35">
      <c r="A359" s="35" t="s">
        <v>1199</v>
      </c>
      <c r="B359" s="224" t="s">
        <v>954</v>
      </c>
      <c r="C359" s="222" t="s">
        <v>19</v>
      </c>
      <c r="D359" s="136">
        <v>8471010</v>
      </c>
      <c r="E359" s="137" t="s">
        <v>485</v>
      </c>
      <c r="F359" s="138">
        <v>436120</v>
      </c>
      <c r="G359" s="137" t="s">
        <v>443</v>
      </c>
      <c r="H359" s="137" t="s">
        <v>492</v>
      </c>
      <c r="I359" s="137">
        <v>5625</v>
      </c>
      <c r="J359" s="140">
        <v>5625</v>
      </c>
      <c r="K359" s="147"/>
      <c r="L359" s="142"/>
      <c r="M359" s="143"/>
      <c r="N359" s="144">
        <f t="shared" si="52"/>
        <v>5625</v>
      </c>
      <c r="O359" s="145"/>
      <c r="P359" s="145"/>
      <c r="Q359" s="149"/>
      <c r="R359" s="146"/>
      <c r="S359" s="254">
        <f t="shared" si="57"/>
        <v>5625</v>
      </c>
      <c r="T359" s="175" t="s">
        <v>730</v>
      </c>
      <c r="U359" s="137" t="s">
        <v>492</v>
      </c>
      <c r="V359" s="261">
        <f t="shared" si="56"/>
        <v>5625</v>
      </c>
      <c r="W359" s="261">
        <f t="shared" si="53"/>
        <v>5625</v>
      </c>
      <c r="X359" s="261"/>
      <c r="Y359" s="176" t="s">
        <v>722</v>
      </c>
      <c r="Z359" s="176"/>
      <c r="AA359" s="186">
        <v>5625</v>
      </c>
      <c r="AB359" s="186">
        <v>0</v>
      </c>
      <c r="AC359" s="176">
        <v>0</v>
      </c>
      <c r="AD359" s="176">
        <v>0</v>
      </c>
      <c r="AE359" s="186">
        <v>5625</v>
      </c>
      <c r="AF359" s="35">
        <v>5625</v>
      </c>
      <c r="AG359" s="212">
        <v>0</v>
      </c>
      <c r="AH359" s="212">
        <f t="shared" si="48"/>
        <v>0</v>
      </c>
      <c r="AI359" s="212" t="s">
        <v>492</v>
      </c>
      <c r="AJ359" s="212">
        <v>5625</v>
      </c>
      <c r="AK359" s="212">
        <v>0</v>
      </c>
      <c r="AL359" s="212">
        <v>0</v>
      </c>
      <c r="AM359" s="212">
        <v>0</v>
      </c>
      <c r="AN359" s="212">
        <v>5625</v>
      </c>
      <c r="AO359" s="176">
        <v>0</v>
      </c>
      <c r="AP359" s="176">
        <v>0</v>
      </c>
      <c r="AQ359" s="176">
        <v>0</v>
      </c>
      <c r="AR359" s="212">
        <f t="shared" si="49"/>
        <v>5625</v>
      </c>
      <c r="AS359" s="212">
        <f t="shared" si="50"/>
        <v>0</v>
      </c>
      <c r="AT359" s="473">
        <f t="shared" si="51"/>
        <v>-5625</v>
      </c>
      <c r="AU359" s="478"/>
    </row>
    <row r="360" spans="1:47" s="35" customFormat="1" ht="29" hidden="1" x14ac:dyDescent="0.35">
      <c r="A360" s="35" t="s">
        <v>1200</v>
      </c>
      <c r="B360" s="224" t="s">
        <v>955</v>
      </c>
      <c r="C360" s="222" t="s">
        <v>19</v>
      </c>
      <c r="D360" s="136">
        <v>8471110</v>
      </c>
      <c r="E360" s="137" t="s">
        <v>493</v>
      </c>
      <c r="F360" s="138">
        <v>425900</v>
      </c>
      <c r="G360" s="137" t="s">
        <v>35</v>
      </c>
      <c r="H360" s="137" t="s">
        <v>494</v>
      </c>
      <c r="I360" s="137">
        <v>30000</v>
      </c>
      <c r="J360" s="140">
        <v>28000</v>
      </c>
      <c r="K360" s="147"/>
      <c r="L360" s="142"/>
      <c r="M360" s="143"/>
      <c r="N360" s="144">
        <f t="shared" si="52"/>
        <v>28000</v>
      </c>
      <c r="O360" s="145"/>
      <c r="P360" s="145">
        <v>14000</v>
      </c>
      <c r="Q360" s="149">
        <v>14000</v>
      </c>
      <c r="R360" s="146" t="s">
        <v>807</v>
      </c>
      <c r="S360" s="254">
        <f t="shared" si="57"/>
        <v>0</v>
      </c>
      <c r="T360" s="172" t="s">
        <v>824</v>
      </c>
      <c r="U360" s="137" t="s">
        <v>494</v>
      </c>
      <c r="V360" s="261">
        <f t="shared" si="56"/>
        <v>0</v>
      </c>
      <c r="W360" s="261">
        <f t="shared" si="53"/>
        <v>0</v>
      </c>
      <c r="X360" s="261"/>
      <c r="Y360" s="176" t="s">
        <v>722</v>
      </c>
      <c r="Z360" s="176"/>
      <c r="AA360" s="186">
        <v>28000</v>
      </c>
      <c r="AB360" s="186">
        <v>0</v>
      </c>
      <c r="AC360" s="176">
        <v>0</v>
      </c>
      <c r="AD360" s="176">
        <v>0</v>
      </c>
      <c r="AE360" s="186">
        <v>28000</v>
      </c>
      <c r="AF360" s="35">
        <v>28000</v>
      </c>
      <c r="AG360" s="212">
        <v>0</v>
      </c>
      <c r="AH360" s="212">
        <f t="shared" si="48"/>
        <v>28000</v>
      </c>
      <c r="AI360" s="212" t="s">
        <v>494</v>
      </c>
      <c r="AJ360" s="212">
        <v>28000</v>
      </c>
      <c r="AK360" s="212">
        <v>0</v>
      </c>
      <c r="AL360" s="212">
        <v>0</v>
      </c>
      <c r="AM360" s="212">
        <v>0</v>
      </c>
      <c r="AN360" s="212">
        <v>28000</v>
      </c>
      <c r="AO360" s="176">
        <v>0</v>
      </c>
      <c r="AP360" s="176">
        <v>0</v>
      </c>
      <c r="AQ360" s="176">
        <v>0</v>
      </c>
      <c r="AR360" s="212">
        <f t="shared" si="49"/>
        <v>0</v>
      </c>
      <c r="AS360" s="212">
        <f t="shared" si="50"/>
        <v>14000</v>
      </c>
      <c r="AT360" s="473">
        <f t="shared" si="51"/>
        <v>14000</v>
      </c>
      <c r="AU360" s="478"/>
    </row>
    <row r="361" spans="1:47" s="35" customFormat="1" ht="29" hidden="1" x14ac:dyDescent="0.35">
      <c r="A361" s="35" t="s">
        <v>1200</v>
      </c>
      <c r="B361" s="224" t="s">
        <v>955</v>
      </c>
      <c r="C361" s="222" t="s">
        <v>19</v>
      </c>
      <c r="D361" s="136">
        <v>8471110</v>
      </c>
      <c r="E361" s="137" t="s">
        <v>493</v>
      </c>
      <c r="F361" s="138">
        <v>427710</v>
      </c>
      <c r="G361" s="137" t="s">
        <v>51</v>
      </c>
      <c r="H361" s="137" t="s">
        <v>495</v>
      </c>
      <c r="I361" s="137">
        <v>428951</v>
      </c>
      <c r="J361" s="140">
        <v>428951</v>
      </c>
      <c r="K361" s="141">
        <v>19687.28</v>
      </c>
      <c r="L361" s="148">
        <v>0</v>
      </c>
      <c r="M361" s="140">
        <v>299294.42</v>
      </c>
      <c r="N361" s="144">
        <f t="shared" si="52"/>
        <v>109969.29999999999</v>
      </c>
      <c r="O361" s="145"/>
      <c r="P361" s="145">
        <v>50000</v>
      </c>
      <c r="Q361" s="149">
        <v>59368</v>
      </c>
      <c r="R361" s="146" t="s">
        <v>808</v>
      </c>
      <c r="S361" s="254">
        <f t="shared" si="57"/>
        <v>601.29999999998836</v>
      </c>
      <c r="T361" s="172" t="s">
        <v>824</v>
      </c>
      <c r="U361" s="137" t="s">
        <v>495</v>
      </c>
      <c r="V361" s="261">
        <f t="shared" si="56"/>
        <v>601.29999999998836</v>
      </c>
      <c r="W361" s="261">
        <f t="shared" si="53"/>
        <v>601.29999999998836</v>
      </c>
      <c r="X361" s="261"/>
      <c r="Y361" s="176" t="s">
        <v>722</v>
      </c>
      <c r="Z361" s="176"/>
      <c r="AA361" s="186">
        <v>403951</v>
      </c>
      <c r="AB361" s="186">
        <v>30706.28</v>
      </c>
      <c r="AC361" s="176">
        <v>0</v>
      </c>
      <c r="AD361" s="176">
        <v>299294.42</v>
      </c>
      <c r="AE361" s="186">
        <v>73950.299999999988</v>
      </c>
      <c r="AF361" s="35">
        <v>73950.3</v>
      </c>
      <c r="AG361" s="212">
        <v>0</v>
      </c>
      <c r="AH361" s="212">
        <f t="shared" si="48"/>
        <v>73349</v>
      </c>
      <c r="AI361" s="212" t="s">
        <v>495</v>
      </c>
      <c r="AJ361" s="212">
        <v>403951</v>
      </c>
      <c r="AK361" s="212">
        <v>30706.28</v>
      </c>
      <c r="AL361" s="212">
        <v>0</v>
      </c>
      <c r="AM361" s="212">
        <v>299294.42</v>
      </c>
      <c r="AN361" s="212">
        <v>73950.3</v>
      </c>
      <c r="AO361" s="176">
        <v>0</v>
      </c>
      <c r="AP361" s="176">
        <v>0</v>
      </c>
      <c r="AQ361" s="176">
        <v>0</v>
      </c>
      <c r="AR361" s="212">
        <f t="shared" si="49"/>
        <v>601.29999999998836</v>
      </c>
      <c r="AS361" s="212">
        <f t="shared" si="50"/>
        <v>389368.69999999995</v>
      </c>
      <c r="AT361" s="473">
        <f t="shared" si="51"/>
        <v>388767.39999999997</v>
      </c>
      <c r="AU361" s="478"/>
    </row>
    <row r="362" spans="1:47" s="35" customFormat="1" ht="29" hidden="1" x14ac:dyDescent="0.35">
      <c r="A362" s="35" t="s">
        <v>1200</v>
      </c>
      <c r="B362" s="224" t="s">
        <v>955</v>
      </c>
      <c r="C362" s="222" t="s">
        <v>19</v>
      </c>
      <c r="D362" s="136">
        <v>8471110</v>
      </c>
      <c r="E362" s="137" t="s">
        <v>493</v>
      </c>
      <c r="F362" s="138">
        <v>428090</v>
      </c>
      <c r="G362" s="137" t="s">
        <v>39</v>
      </c>
      <c r="H362" s="137" t="s">
        <v>496</v>
      </c>
      <c r="I362" s="137">
        <v>100000</v>
      </c>
      <c r="J362" s="140">
        <v>27246</v>
      </c>
      <c r="K362" s="147"/>
      <c r="L362" s="142"/>
      <c r="M362" s="143"/>
      <c r="N362" s="144">
        <f t="shared" si="52"/>
        <v>27246</v>
      </c>
      <c r="O362" s="145"/>
      <c r="P362" s="145"/>
      <c r="Q362" s="149">
        <v>27246</v>
      </c>
      <c r="R362" s="146" t="s">
        <v>809</v>
      </c>
      <c r="S362" s="254">
        <f t="shared" si="57"/>
        <v>0</v>
      </c>
      <c r="T362" s="172" t="s">
        <v>824</v>
      </c>
      <c r="U362" s="137" t="s">
        <v>496</v>
      </c>
      <c r="V362" s="261">
        <f t="shared" si="56"/>
        <v>0</v>
      </c>
      <c r="W362" s="261">
        <f t="shared" si="53"/>
        <v>-18095</v>
      </c>
      <c r="X362" s="261"/>
      <c r="Y362" s="176" t="s">
        <v>722</v>
      </c>
      <c r="Z362" s="176"/>
      <c r="AA362" s="186">
        <v>52246</v>
      </c>
      <c r="AB362" s="186">
        <v>21955</v>
      </c>
      <c r="AC362" s="176">
        <v>0</v>
      </c>
      <c r="AD362" s="176">
        <v>0</v>
      </c>
      <c r="AE362" s="186">
        <v>30291</v>
      </c>
      <c r="AF362" s="35">
        <v>30291</v>
      </c>
      <c r="AG362" s="212">
        <v>0</v>
      </c>
      <c r="AH362" s="212">
        <f t="shared" si="48"/>
        <v>30291</v>
      </c>
      <c r="AI362" s="212" t="s">
        <v>496</v>
      </c>
      <c r="AJ362" s="212">
        <v>52246</v>
      </c>
      <c r="AK362" s="212">
        <v>48418.080000000002</v>
      </c>
      <c r="AL362" s="212">
        <v>0</v>
      </c>
      <c r="AM362" s="212">
        <v>0</v>
      </c>
      <c r="AN362" s="212">
        <v>3827.92</v>
      </c>
      <c r="AO362" s="176">
        <v>0</v>
      </c>
      <c r="AP362" s="176">
        <v>0</v>
      </c>
      <c r="AQ362" s="176">
        <v>18095</v>
      </c>
      <c r="AR362" s="212">
        <f t="shared" si="49"/>
        <v>-18095</v>
      </c>
      <c r="AS362" s="212">
        <f t="shared" si="50"/>
        <v>67296</v>
      </c>
      <c r="AT362" s="473">
        <f t="shared" si="51"/>
        <v>111854.08</v>
      </c>
      <c r="AU362" s="478"/>
    </row>
    <row r="363" spans="1:47" s="35" customFormat="1" ht="29" hidden="1" x14ac:dyDescent="0.35">
      <c r="A363" s="35" t="s">
        <v>1200</v>
      </c>
      <c r="B363" s="224" t="s">
        <v>955</v>
      </c>
      <c r="C363" s="222" t="s">
        <v>19</v>
      </c>
      <c r="D363" s="136">
        <v>8471110</v>
      </c>
      <c r="E363" s="137" t="s">
        <v>493</v>
      </c>
      <c r="F363" s="138">
        <v>435508</v>
      </c>
      <c r="G363" s="137" t="s">
        <v>135</v>
      </c>
      <c r="H363" s="137" t="s">
        <v>497</v>
      </c>
      <c r="I363" s="137">
        <v>0</v>
      </c>
      <c r="J363" s="140">
        <v>2000</v>
      </c>
      <c r="K363" s="141">
        <v>1875</v>
      </c>
      <c r="L363" s="142"/>
      <c r="M363" s="143"/>
      <c r="N363" s="144">
        <f t="shared" si="52"/>
        <v>125</v>
      </c>
      <c r="O363" s="145"/>
      <c r="P363" s="145"/>
      <c r="Q363" s="149"/>
      <c r="R363" s="146"/>
      <c r="S363" s="254">
        <f t="shared" si="57"/>
        <v>125</v>
      </c>
      <c r="T363" s="172"/>
      <c r="U363" s="137" t="s">
        <v>497</v>
      </c>
      <c r="V363" s="261">
        <f t="shared" si="56"/>
        <v>125</v>
      </c>
      <c r="W363" s="261">
        <f t="shared" si="53"/>
        <v>125</v>
      </c>
      <c r="X363" s="261"/>
      <c r="Y363" s="176" t="s">
        <v>722</v>
      </c>
      <c r="Z363" s="176"/>
      <c r="AA363" s="186">
        <v>2000</v>
      </c>
      <c r="AB363" s="186">
        <v>1875</v>
      </c>
      <c r="AC363" s="176">
        <v>0</v>
      </c>
      <c r="AD363" s="176">
        <v>0</v>
      </c>
      <c r="AE363" s="186">
        <v>125</v>
      </c>
      <c r="AF363" s="35">
        <v>125</v>
      </c>
      <c r="AG363" s="212">
        <v>0</v>
      </c>
      <c r="AH363" s="212">
        <f t="shared" si="48"/>
        <v>0</v>
      </c>
      <c r="AI363" s="212" t="s">
        <v>497</v>
      </c>
      <c r="AJ363" s="212">
        <v>2000</v>
      </c>
      <c r="AK363" s="212">
        <v>1875</v>
      </c>
      <c r="AL363" s="212">
        <v>0</v>
      </c>
      <c r="AM363" s="212">
        <v>0</v>
      </c>
      <c r="AN363" s="212">
        <v>125</v>
      </c>
      <c r="AO363" s="176">
        <v>0</v>
      </c>
      <c r="AP363" s="176">
        <v>0</v>
      </c>
      <c r="AQ363" s="176">
        <v>0</v>
      </c>
      <c r="AR363" s="212">
        <f t="shared" si="49"/>
        <v>125</v>
      </c>
      <c r="AS363" s="212">
        <f t="shared" si="50"/>
        <v>1875</v>
      </c>
      <c r="AT363" s="473">
        <f t="shared" si="51"/>
        <v>1750</v>
      </c>
      <c r="AU363" s="478"/>
    </row>
    <row r="364" spans="1:47" s="35" customFormat="1" ht="29" hidden="1" x14ac:dyDescent="0.35">
      <c r="A364" s="35" t="s">
        <v>1200</v>
      </c>
      <c r="B364" s="224" t="s">
        <v>955</v>
      </c>
      <c r="C364" s="222" t="s">
        <v>19</v>
      </c>
      <c r="D364" s="136">
        <v>8471120</v>
      </c>
      <c r="E364" s="137" t="s">
        <v>498</v>
      </c>
      <c r="F364" s="138">
        <v>425900</v>
      </c>
      <c r="G364" s="137" t="s">
        <v>35</v>
      </c>
      <c r="H364" s="137" t="s">
        <v>499</v>
      </c>
      <c r="I364" s="137">
        <v>110000</v>
      </c>
      <c r="J364" s="140">
        <v>110000</v>
      </c>
      <c r="K364" s="147"/>
      <c r="L364" s="142"/>
      <c r="M364" s="143"/>
      <c r="N364" s="144">
        <f t="shared" si="52"/>
        <v>110000</v>
      </c>
      <c r="O364" s="145">
        <v>0</v>
      </c>
      <c r="P364" s="145">
        <v>50000</v>
      </c>
      <c r="Q364" s="149">
        <v>60000</v>
      </c>
      <c r="R364" s="146" t="s">
        <v>810</v>
      </c>
      <c r="S364" s="254">
        <f t="shared" si="57"/>
        <v>0</v>
      </c>
      <c r="T364" s="172"/>
      <c r="U364" s="137" t="s">
        <v>499</v>
      </c>
      <c r="V364" s="261">
        <f t="shared" si="56"/>
        <v>0</v>
      </c>
      <c r="W364" s="261">
        <f t="shared" si="53"/>
        <v>0</v>
      </c>
      <c r="X364" s="261"/>
      <c r="Y364" s="176" t="s">
        <v>722</v>
      </c>
      <c r="Z364" s="176"/>
      <c r="AA364" s="186">
        <v>110000</v>
      </c>
      <c r="AB364" s="186">
        <v>0</v>
      </c>
      <c r="AC364" s="176">
        <v>0</v>
      </c>
      <c r="AD364" s="176">
        <v>0</v>
      </c>
      <c r="AE364" s="186">
        <v>110000</v>
      </c>
      <c r="AF364" s="35">
        <v>110000</v>
      </c>
      <c r="AG364" s="212">
        <v>0</v>
      </c>
      <c r="AH364" s="212">
        <f t="shared" si="48"/>
        <v>110000</v>
      </c>
      <c r="AI364" s="212" t="s">
        <v>499</v>
      </c>
      <c r="AJ364" s="212">
        <v>110000</v>
      </c>
      <c r="AK364" s="212">
        <v>0</v>
      </c>
      <c r="AL364" s="212">
        <v>0</v>
      </c>
      <c r="AM364" s="212">
        <v>0</v>
      </c>
      <c r="AN364" s="212">
        <v>110000</v>
      </c>
      <c r="AO364" s="176">
        <v>0</v>
      </c>
      <c r="AP364" s="176">
        <v>0</v>
      </c>
      <c r="AQ364" s="176">
        <v>0</v>
      </c>
      <c r="AR364" s="212">
        <f t="shared" si="49"/>
        <v>0</v>
      </c>
      <c r="AS364" s="212">
        <f t="shared" si="50"/>
        <v>60000</v>
      </c>
      <c r="AT364" s="473">
        <f t="shared" si="51"/>
        <v>60000</v>
      </c>
      <c r="AU364" s="478"/>
    </row>
    <row r="365" spans="1:47" s="35" customFormat="1" ht="29" hidden="1" x14ac:dyDescent="0.35">
      <c r="A365" s="35" t="s">
        <v>1200</v>
      </c>
      <c r="B365" s="224" t="s">
        <v>955</v>
      </c>
      <c r="C365" s="222" t="s">
        <v>19</v>
      </c>
      <c r="D365" s="136">
        <v>8471120</v>
      </c>
      <c r="E365" s="137" t="s">
        <v>498</v>
      </c>
      <c r="F365" s="138">
        <v>428090</v>
      </c>
      <c r="G365" s="137" t="s">
        <v>39</v>
      </c>
      <c r="H365" s="137" t="s">
        <v>500</v>
      </c>
      <c r="I365" s="137">
        <v>220000</v>
      </c>
      <c r="J365" s="140">
        <v>59942</v>
      </c>
      <c r="K365" s="147"/>
      <c r="L365" s="142"/>
      <c r="M365" s="143"/>
      <c r="N365" s="144">
        <f t="shared" si="52"/>
        <v>59942</v>
      </c>
      <c r="O365" s="145">
        <v>0</v>
      </c>
      <c r="P365" s="145">
        <v>19000</v>
      </c>
      <c r="Q365" s="149">
        <v>40942</v>
      </c>
      <c r="R365" s="146" t="s">
        <v>811</v>
      </c>
      <c r="S365" s="254">
        <f t="shared" si="57"/>
        <v>0</v>
      </c>
      <c r="T365" s="172"/>
      <c r="U365" s="137" t="s">
        <v>500</v>
      </c>
      <c r="V365" s="261">
        <f t="shared" si="56"/>
        <v>0</v>
      </c>
      <c r="W365" s="261">
        <f t="shared" si="53"/>
        <v>-10495</v>
      </c>
      <c r="X365" s="261"/>
      <c r="Y365" s="176" t="s">
        <v>722</v>
      </c>
      <c r="Z365" s="176"/>
      <c r="AA365" s="186">
        <v>59942</v>
      </c>
      <c r="AB365" s="186">
        <v>8721</v>
      </c>
      <c r="AC365" s="176">
        <v>0</v>
      </c>
      <c r="AD365" s="176">
        <v>0</v>
      </c>
      <c r="AE365" s="186">
        <v>51221</v>
      </c>
      <c r="AF365" s="35">
        <v>51221</v>
      </c>
      <c r="AG365" s="212">
        <v>0</v>
      </c>
      <c r="AH365" s="212">
        <f t="shared" si="48"/>
        <v>51221</v>
      </c>
      <c r="AI365" s="212" t="s">
        <v>500</v>
      </c>
      <c r="AJ365" s="212">
        <v>59942</v>
      </c>
      <c r="AK365" s="212">
        <v>8721</v>
      </c>
      <c r="AL365" s="212">
        <v>0</v>
      </c>
      <c r="AM365" s="212">
        <v>0</v>
      </c>
      <c r="AN365" s="212">
        <v>51221</v>
      </c>
      <c r="AO365" s="176">
        <v>0</v>
      </c>
      <c r="AP365" s="176">
        <v>0</v>
      </c>
      <c r="AQ365" s="176">
        <v>10495</v>
      </c>
      <c r="AR365" s="212">
        <f t="shared" si="49"/>
        <v>-10495</v>
      </c>
      <c r="AS365" s="212">
        <f t="shared" si="50"/>
        <v>60158</v>
      </c>
      <c r="AT365" s="473">
        <f t="shared" si="51"/>
        <v>70653</v>
      </c>
      <c r="AU365" s="478"/>
    </row>
    <row r="366" spans="1:47" s="35" customFormat="1" ht="29" hidden="1" x14ac:dyDescent="0.35">
      <c r="A366" s="35" t="s">
        <v>1200</v>
      </c>
      <c r="B366" s="224" t="s">
        <v>955</v>
      </c>
      <c r="C366" s="222" t="s">
        <v>19</v>
      </c>
      <c r="D366" s="136">
        <v>8471120</v>
      </c>
      <c r="E366" s="137" t="s">
        <v>498</v>
      </c>
      <c r="F366" s="138">
        <v>429900</v>
      </c>
      <c r="G366" s="137" t="s">
        <v>413</v>
      </c>
      <c r="H366" s="137" t="s">
        <v>501</v>
      </c>
      <c r="I366" s="137">
        <v>55510</v>
      </c>
      <c r="J366" s="140">
        <v>55510</v>
      </c>
      <c r="K366" s="147"/>
      <c r="L366" s="142"/>
      <c r="M366" s="143"/>
      <c r="N366" s="144">
        <f t="shared" si="52"/>
        <v>55510</v>
      </c>
      <c r="O366" s="145">
        <v>10000</v>
      </c>
      <c r="P366" s="145">
        <v>22755</v>
      </c>
      <c r="Q366" s="149">
        <v>22755</v>
      </c>
      <c r="R366" s="146" t="s">
        <v>812</v>
      </c>
      <c r="S366" s="254">
        <f t="shared" si="57"/>
        <v>0</v>
      </c>
      <c r="T366" s="172"/>
      <c r="U366" s="137" t="s">
        <v>501</v>
      </c>
      <c r="V366" s="261">
        <f t="shared" si="56"/>
        <v>0</v>
      </c>
      <c r="W366" s="261">
        <f t="shared" si="53"/>
        <v>0</v>
      </c>
      <c r="X366" s="261"/>
      <c r="Y366" s="176" t="s">
        <v>722</v>
      </c>
      <c r="Z366" s="176"/>
      <c r="AA366" s="186">
        <v>55510</v>
      </c>
      <c r="AB366" s="186">
        <v>0</v>
      </c>
      <c r="AC366" s="176">
        <v>0</v>
      </c>
      <c r="AD366" s="176">
        <v>0</v>
      </c>
      <c r="AE366" s="186">
        <v>55510</v>
      </c>
      <c r="AF366" s="35">
        <v>55510</v>
      </c>
      <c r="AG366" s="212">
        <v>0</v>
      </c>
      <c r="AH366" s="212">
        <f t="shared" si="48"/>
        <v>55510</v>
      </c>
      <c r="AI366" s="212" t="s">
        <v>501</v>
      </c>
      <c r="AJ366" s="212">
        <v>55510</v>
      </c>
      <c r="AK366" s="212">
        <v>0</v>
      </c>
      <c r="AL366" s="212">
        <v>0</v>
      </c>
      <c r="AM366" s="212">
        <v>0</v>
      </c>
      <c r="AN366" s="212">
        <v>55510</v>
      </c>
      <c r="AO366" s="176">
        <v>0</v>
      </c>
      <c r="AP366" s="176">
        <v>0</v>
      </c>
      <c r="AQ366" s="176">
        <v>0</v>
      </c>
      <c r="AR366" s="212">
        <f t="shared" si="49"/>
        <v>0</v>
      </c>
      <c r="AS366" s="212">
        <f t="shared" si="50"/>
        <v>22755</v>
      </c>
      <c r="AT366" s="473">
        <f t="shared" si="51"/>
        <v>22755</v>
      </c>
      <c r="AU366" s="478"/>
    </row>
    <row r="367" spans="1:47" s="35" customFormat="1" ht="29" hidden="1" x14ac:dyDescent="0.35">
      <c r="A367" s="35" t="s">
        <v>1200</v>
      </c>
      <c r="B367" s="224" t="s">
        <v>955</v>
      </c>
      <c r="C367" s="222" t="s">
        <v>19</v>
      </c>
      <c r="D367" s="136">
        <v>8471120</v>
      </c>
      <c r="E367" s="137" t="s">
        <v>498</v>
      </c>
      <c r="F367" s="138">
        <v>435523</v>
      </c>
      <c r="G367" s="137" t="s">
        <v>81</v>
      </c>
      <c r="H367" s="137" t="s">
        <v>502</v>
      </c>
      <c r="I367" s="137">
        <v>25510</v>
      </c>
      <c r="J367" s="140">
        <v>0</v>
      </c>
      <c r="K367" s="147"/>
      <c r="L367" s="142"/>
      <c r="M367" s="143"/>
      <c r="N367" s="144">
        <f t="shared" si="52"/>
        <v>0</v>
      </c>
      <c r="O367" s="145"/>
      <c r="P367" s="145"/>
      <c r="Q367" s="149"/>
      <c r="R367" s="146"/>
      <c r="S367" s="254">
        <f t="shared" si="57"/>
        <v>0</v>
      </c>
      <c r="T367" s="172"/>
      <c r="U367" s="137" t="s">
        <v>502</v>
      </c>
      <c r="V367" s="261">
        <f t="shared" si="56"/>
        <v>0</v>
      </c>
      <c r="W367" s="261">
        <f t="shared" si="53"/>
        <v>0</v>
      </c>
      <c r="X367" s="261"/>
      <c r="Y367" s="176" t="s">
        <v>722</v>
      </c>
      <c r="Z367" s="176"/>
      <c r="AA367" s="186">
        <v>0</v>
      </c>
      <c r="AB367" s="186">
        <v>0</v>
      </c>
      <c r="AC367" s="176">
        <v>0</v>
      </c>
      <c r="AD367" s="176">
        <v>0</v>
      </c>
      <c r="AE367" s="186">
        <v>0</v>
      </c>
      <c r="AF367" s="35">
        <v>0</v>
      </c>
      <c r="AG367" s="212">
        <v>0</v>
      </c>
      <c r="AH367" s="212">
        <f t="shared" si="48"/>
        <v>0</v>
      </c>
      <c r="AI367" s="212" t="s">
        <v>502</v>
      </c>
      <c r="AJ367" s="212">
        <v>0</v>
      </c>
      <c r="AK367" s="212">
        <v>0</v>
      </c>
      <c r="AL367" s="212">
        <v>0</v>
      </c>
      <c r="AM367" s="212">
        <v>0</v>
      </c>
      <c r="AN367" s="212">
        <v>0</v>
      </c>
      <c r="AO367" s="176">
        <v>0</v>
      </c>
      <c r="AP367" s="176">
        <v>0</v>
      </c>
      <c r="AQ367" s="176">
        <v>0</v>
      </c>
      <c r="AR367" s="212">
        <f t="shared" si="49"/>
        <v>0</v>
      </c>
      <c r="AS367" s="212">
        <f t="shared" si="50"/>
        <v>0</v>
      </c>
      <c r="AT367" s="473">
        <f t="shared" si="51"/>
        <v>0</v>
      </c>
      <c r="AU367" s="478"/>
    </row>
    <row r="368" spans="1:47" s="35" customFormat="1" ht="29" hidden="1" x14ac:dyDescent="0.35">
      <c r="A368" s="35" t="s">
        <v>1200</v>
      </c>
      <c r="B368" s="224" t="s">
        <v>955</v>
      </c>
      <c r="C368" s="222" t="s">
        <v>19</v>
      </c>
      <c r="D368" s="136">
        <v>8471121</v>
      </c>
      <c r="E368" s="137" t="s">
        <v>503</v>
      </c>
      <c r="F368" s="138">
        <v>425510</v>
      </c>
      <c r="G368" s="137" t="s">
        <v>31</v>
      </c>
      <c r="H368" s="137" t="s">
        <v>504</v>
      </c>
      <c r="I368" s="137">
        <v>50000</v>
      </c>
      <c r="J368" s="140">
        <v>50000</v>
      </c>
      <c r="K368" s="147"/>
      <c r="L368" s="142"/>
      <c r="M368" s="143"/>
      <c r="N368" s="144">
        <f t="shared" si="52"/>
        <v>50000</v>
      </c>
      <c r="O368" s="145"/>
      <c r="P368" s="145"/>
      <c r="Q368" s="149"/>
      <c r="R368" s="146"/>
      <c r="S368" s="254">
        <f t="shared" si="57"/>
        <v>50000</v>
      </c>
      <c r="T368" s="172"/>
      <c r="U368" s="137" t="s">
        <v>504</v>
      </c>
      <c r="V368" s="261">
        <f t="shared" si="56"/>
        <v>50000</v>
      </c>
      <c r="W368" s="261">
        <f t="shared" si="53"/>
        <v>50000</v>
      </c>
      <c r="X368" s="261"/>
      <c r="Y368" s="176" t="s">
        <v>722</v>
      </c>
      <c r="Z368" s="176"/>
      <c r="AA368" s="186">
        <v>50000</v>
      </c>
      <c r="AB368" s="186">
        <v>0</v>
      </c>
      <c r="AC368" s="176">
        <v>0</v>
      </c>
      <c r="AD368" s="176">
        <v>0</v>
      </c>
      <c r="AE368" s="186">
        <v>50000</v>
      </c>
      <c r="AF368" s="35">
        <v>50000</v>
      </c>
      <c r="AG368" s="212">
        <v>0</v>
      </c>
      <c r="AH368" s="212">
        <f t="shared" si="48"/>
        <v>0</v>
      </c>
      <c r="AI368" s="212" t="s">
        <v>504</v>
      </c>
      <c r="AJ368" s="212">
        <v>50000</v>
      </c>
      <c r="AK368" s="212">
        <v>0</v>
      </c>
      <c r="AL368" s="212">
        <v>0</v>
      </c>
      <c r="AM368" s="212">
        <v>0</v>
      </c>
      <c r="AN368" s="212">
        <v>50000</v>
      </c>
      <c r="AO368" s="176">
        <v>0</v>
      </c>
      <c r="AP368" s="176">
        <v>0</v>
      </c>
      <c r="AQ368" s="176">
        <v>0</v>
      </c>
      <c r="AR368" s="212">
        <f t="shared" si="49"/>
        <v>50000</v>
      </c>
      <c r="AS368" s="212">
        <f t="shared" si="50"/>
        <v>0</v>
      </c>
      <c r="AT368" s="473">
        <f t="shared" si="51"/>
        <v>-50000</v>
      </c>
      <c r="AU368" s="478"/>
    </row>
    <row r="369" spans="1:47" s="35" customFormat="1" ht="29" hidden="1" x14ac:dyDescent="0.35">
      <c r="A369" s="35" t="s">
        <v>1200</v>
      </c>
      <c r="B369" s="224" t="s">
        <v>955</v>
      </c>
      <c r="C369" s="222" t="s">
        <v>19</v>
      </c>
      <c r="D369" s="136">
        <v>8471121</v>
      </c>
      <c r="E369" s="137" t="s">
        <v>503</v>
      </c>
      <c r="F369" s="138">
        <v>425900</v>
      </c>
      <c r="G369" s="137" t="s">
        <v>35</v>
      </c>
      <c r="H369" s="137" t="s">
        <v>505</v>
      </c>
      <c r="I369" s="137">
        <v>15000</v>
      </c>
      <c r="J369" s="140">
        <v>15000</v>
      </c>
      <c r="K369" s="147"/>
      <c r="L369" s="142"/>
      <c r="M369" s="143"/>
      <c r="N369" s="144">
        <f t="shared" si="52"/>
        <v>15000</v>
      </c>
      <c r="O369" s="145"/>
      <c r="P369" s="145"/>
      <c r="Q369" s="149"/>
      <c r="R369" s="146"/>
      <c r="S369" s="254">
        <f t="shared" si="57"/>
        <v>15000</v>
      </c>
      <c r="T369" s="172"/>
      <c r="U369" s="137" t="s">
        <v>505</v>
      </c>
      <c r="V369" s="261">
        <f t="shared" si="56"/>
        <v>15000</v>
      </c>
      <c r="W369" s="261">
        <f t="shared" si="53"/>
        <v>15000</v>
      </c>
      <c r="X369" s="261"/>
      <c r="Y369" s="176" t="s">
        <v>722</v>
      </c>
      <c r="Z369" s="176"/>
      <c r="AA369" s="186">
        <v>15000</v>
      </c>
      <c r="AB369" s="186">
        <v>0</v>
      </c>
      <c r="AC369" s="176">
        <v>0</v>
      </c>
      <c r="AD369" s="176">
        <v>0</v>
      </c>
      <c r="AE369" s="186">
        <v>15000</v>
      </c>
      <c r="AF369" s="35">
        <v>15000</v>
      </c>
      <c r="AG369" s="212">
        <v>0</v>
      </c>
      <c r="AH369" s="212">
        <f t="shared" si="48"/>
        <v>0</v>
      </c>
      <c r="AI369" s="212" t="s">
        <v>505</v>
      </c>
      <c r="AJ369" s="212">
        <v>15000</v>
      </c>
      <c r="AK369" s="212">
        <v>0</v>
      </c>
      <c r="AL369" s="212">
        <v>0</v>
      </c>
      <c r="AM369" s="212">
        <v>0</v>
      </c>
      <c r="AN369" s="212">
        <v>15000</v>
      </c>
      <c r="AO369" s="176">
        <v>0</v>
      </c>
      <c r="AP369" s="176">
        <v>0</v>
      </c>
      <c r="AQ369" s="176">
        <v>0</v>
      </c>
      <c r="AR369" s="212">
        <f t="shared" si="49"/>
        <v>15000</v>
      </c>
      <c r="AS369" s="212">
        <f t="shared" si="50"/>
        <v>0</v>
      </c>
      <c r="AT369" s="473">
        <f t="shared" si="51"/>
        <v>-15000</v>
      </c>
      <c r="AU369" s="478"/>
    </row>
    <row r="370" spans="1:47" s="35" customFormat="1" ht="29" hidden="1" x14ac:dyDescent="0.35">
      <c r="A370" s="35" t="s">
        <v>1200</v>
      </c>
      <c r="B370" s="224" t="s">
        <v>955</v>
      </c>
      <c r="C370" s="222" t="s">
        <v>19</v>
      </c>
      <c r="D370" s="136">
        <v>8471121</v>
      </c>
      <c r="E370" s="137" t="s">
        <v>503</v>
      </c>
      <c r="F370" s="138">
        <v>428090</v>
      </c>
      <c r="G370" s="137" t="s">
        <v>39</v>
      </c>
      <c r="H370" s="137" t="s">
        <v>506</v>
      </c>
      <c r="I370" s="137">
        <v>50000</v>
      </c>
      <c r="J370" s="140">
        <v>13623</v>
      </c>
      <c r="K370" s="147"/>
      <c r="L370" s="142"/>
      <c r="M370" s="143"/>
      <c r="N370" s="144">
        <f t="shared" si="52"/>
        <v>13623</v>
      </c>
      <c r="O370" s="145"/>
      <c r="P370" s="145"/>
      <c r="Q370" s="149"/>
      <c r="R370" s="146"/>
      <c r="S370" s="254">
        <f t="shared" si="57"/>
        <v>13623</v>
      </c>
      <c r="T370" s="172"/>
      <c r="U370" s="137" t="s">
        <v>506</v>
      </c>
      <c r="V370" s="261">
        <f t="shared" si="56"/>
        <v>13623</v>
      </c>
      <c r="W370" s="261">
        <f t="shared" si="53"/>
        <v>13623</v>
      </c>
      <c r="X370" s="261"/>
      <c r="Y370" s="176" t="s">
        <v>722</v>
      </c>
      <c r="Z370" s="176"/>
      <c r="AA370" s="186">
        <v>13623</v>
      </c>
      <c r="AB370" s="186">
        <v>0</v>
      </c>
      <c r="AC370" s="176">
        <v>0</v>
      </c>
      <c r="AD370" s="176">
        <v>0</v>
      </c>
      <c r="AE370" s="186">
        <v>13623</v>
      </c>
      <c r="AF370" s="35">
        <v>13623</v>
      </c>
      <c r="AG370" s="212">
        <v>0</v>
      </c>
      <c r="AH370" s="212">
        <f t="shared" si="48"/>
        <v>0</v>
      </c>
      <c r="AI370" s="212" t="s">
        <v>506</v>
      </c>
      <c r="AJ370" s="212">
        <v>13623</v>
      </c>
      <c r="AK370" s="212">
        <v>0</v>
      </c>
      <c r="AL370" s="212">
        <v>0</v>
      </c>
      <c r="AM370" s="212">
        <v>0</v>
      </c>
      <c r="AN370" s="212">
        <v>13623</v>
      </c>
      <c r="AO370" s="176">
        <v>0</v>
      </c>
      <c r="AP370" s="176">
        <v>0</v>
      </c>
      <c r="AQ370" s="176">
        <v>0</v>
      </c>
      <c r="AR370" s="212">
        <f t="shared" si="49"/>
        <v>13623</v>
      </c>
      <c r="AS370" s="212">
        <f t="shared" si="50"/>
        <v>0</v>
      </c>
      <c r="AT370" s="473">
        <f t="shared" si="51"/>
        <v>-13623</v>
      </c>
      <c r="AU370" s="478"/>
    </row>
    <row r="371" spans="1:47" s="35" customFormat="1" ht="29" hidden="1" x14ac:dyDescent="0.35">
      <c r="A371" s="35" t="s">
        <v>1200</v>
      </c>
      <c r="B371" s="224" t="s">
        <v>955</v>
      </c>
      <c r="C371" s="222" t="s">
        <v>19</v>
      </c>
      <c r="D371" s="136">
        <v>8471121</v>
      </c>
      <c r="E371" s="137" t="s">
        <v>503</v>
      </c>
      <c r="F371" s="138">
        <v>432170</v>
      </c>
      <c r="G371" s="137" t="s">
        <v>390</v>
      </c>
      <c r="H371" s="137" t="s">
        <v>507</v>
      </c>
      <c r="I371" s="137">
        <v>500000</v>
      </c>
      <c r="J371" s="140">
        <v>0</v>
      </c>
      <c r="K371" s="147"/>
      <c r="L371" s="142"/>
      <c r="M371" s="143"/>
      <c r="N371" s="144">
        <f t="shared" si="52"/>
        <v>0</v>
      </c>
      <c r="O371" s="145"/>
      <c r="P371" s="145"/>
      <c r="Q371" s="149"/>
      <c r="R371" s="146"/>
      <c r="S371" s="254">
        <f t="shared" si="57"/>
        <v>0</v>
      </c>
      <c r="T371" s="172"/>
      <c r="U371" s="137" t="s">
        <v>507</v>
      </c>
      <c r="V371" s="261">
        <f t="shared" si="56"/>
        <v>0</v>
      </c>
      <c r="W371" s="261">
        <f t="shared" si="53"/>
        <v>0</v>
      </c>
      <c r="X371" s="261"/>
      <c r="Y371" s="176" t="s">
        <v>722</v>
      </c>
      <c r="Z371" s="176"/>
      <c r="AA371" s="186">
        <v>0</v>
      </c>
      <c r="AB371" s="186">
        <v>0</v>
      </c>
      <c r="AC371" s="176">
        <v>0</v>
      </c>
      <c r="AD371" s="176">
        <v>0</v>
      </c>
      <c r="AE371" s="186">
        <v>0</v>
      </c>
      <c r="AF371" s="35">
        <v>0</v>
      </c>
      <c r="AG371" s="212">
        <v>0</v>
      </c>
      <c r="AH371" s="212">
        <f t="shared" si="48"/>
        <v>0</v>
      </c>
      <c r="AI371" s="212" t="s">
        <v>507</v>
      </c>
      <c r="AJ371" s="212">
        <v>0</v>
      </c>
      <c r="AK371" s="212">
        <v>0</v>
      </c>
      <c r="AL371" s="212">
        <v>0</v>
      </c>
      <c r="AM371" s="212">
        <v>0</v>
      </c>
      <c r="AN371" s="212">
        <v>0</v>
      </c>
      <c r="AO371" s="176">
        <v>0</v>
      </c>
      <c r="AP371" s="176">
        <v>0</v>
      </c>
      <c r="AQ371" s="176">
        <v>0</v>
      </c>
      <c r="AR371" s="212">
        <f t="shared" si="49"/>
        <v>0</v>
      </c>
      <c r="AS371" s="212">
        <f t="shared" si="50"/>
        <v>0</v>
      </c>
      <c r="AT371" s="473">
        <f t="shared" si="51"/>
        <v>0</v>
      </c>
      <c r="AU371" s="478"/>
    </row>
    <row r="372" spans="1:47" s="35" customFormat="1" ht="29" hidden="1" x14ac:dyDescent="0.35">
      <c r="A372" s="35" t="s">
        <v>1200</v>
      </c>
      <c r="B372" s="224" t="s">
        <v>955</v>
      </c>
      <c r="C372" s="222" t="s">
        <v>19</v>
      </c>
      <c r="D372" s="136">
        <v>8471121</v>
      </c>
      <c r="E372" s="137" t="s">
        <v>503</v>
      </c>
      <c r="F372" s="138">
        <v>435523</v>
      </c>
      <c r="G372" s="137" t="s">
        <v>81</v>
      </c>
      <c r="H372" s="137" t="s">
        <v>508</v>
      </c>
      <c r="I372" s="137">
        <v>926280</v>
      </c>
      <c r="J372" s="140">
        <v>826280</v>
      </c>
      <c r="K372" s="147"/>
      <c r="L372" s="142"/>
      <c r="M372" s="143"/>
      <c r="N372" s="144">
        <f t="shared" si="52"/>
        <v>826280</v>
      </c>
      <c r="O372" s="145"/>
      <c r="P372" s="145"/>
      <c r="Q372" s="149"/>
      <c r="R372" s="146"/>
      <c r="S372" s="254">
        <f t="shared" si="57"/>
        <v>826280</v>
      </c>
      <c r="T372" s="172"/>
      <c r="U372" s="137" t="s">
        <v>508</v>
      </c>
      <c r="V372" s="261">
        <f t="shared" si="56"/>
        <v>826280</v>
      </c>
      <c r="W372" s="261">
        <f t="shared" si="53"/>
        <v>826280</v>
      </c>
      <c r="X372" s="261"/>
      <c r="Y372" s="176" t="s">
        <v>722</v>
      </c>
      <c r="Z372" s="176"/>
      <c r="AA372" s="186">
        <v>826280</v>
      </c>
      <c r="AB372" s="186">
        <v>0</v>
      </c>
      <c r="AC372" s="176">
        <v>0</v>
      </c>
      <c r="AD372" s="176">
        <v>0</v>
      </c>
      <c r="AE372" s="186">
        <v>826280</v>
      </c>
      <c r="AF372" s="35">
        <v>826280</v>
      </c>
      <c r="AG372" s="212">
        <v>0</v>
      </c>
      <c r="AH372" s="212">
        <f t="shared" si="48"/>
        <v>0</v>
      </c>
      <c r="AI372" s="212" t="s">
        <v>508</v>
      </c>
      <c r="AJ372" s="212">
        <v>826280</v>
      </c>
      <c r="AK372" s="212">
        <v>0</v>
      </c>
      <c r="AL372" s="212">
        <v>0</v>
      </c>
      <c r="AM372" s="212">
        <v>0</v>
      </c>
      <c r="AN372" s="212">
        <v>826280</v>
      </c>
      <c r="AO372" s="176">
        <v>0</v>
      </c>
      <c r="AP372" s="176">
        <v>0</v>
      </c>
      <c r="AQ372" s="176">
        <v>0</v>
      </c>
      <c r="AR372" s="212">
        <f t="shared" si="49"/>
        <v>826280</v>
      </c>
      <c r="AS372" s="212">
        <f t="shared" si="50"/>
        <v>0</v>
      </c>
      <c r="AT372" s="473">
        <f t="shared" si="51"/>
        <v>-826280</v>
      </c>
      <c r="AU372" s="478"/>
    </row>
    <row r="373" spans="1:47" s="35" customFormat="1" ht="29" hidden="1" x14ac:dyDescent="0.35">
      <c r="A373" s="35" t="s">
        <v>1200</v>
      </c>
      <c r="B373" s="224" t="s">
        <v>955</v>
      </c>
      <c r="C373" s="222" t="s">
        <v>19</v>
      </c>
      <c r="D373" s="136">
        <v>8471122</v>
      </c>
      <c r="E373" s="137" t="s">
        <v>509</v>
      </c>
      <c r="F373" s="138">
        <v>425900</v>
      </c>
      <c r="G373" s="137" t="s">
        <v>35</v>
      </c>
      <c r="H373" s="137" t="s">
        <v>510</v>
      </c>
      <c r="I373" s="137">
        <v>0</v>
      </c>
      <c r="J373" s="140">
        <v>50000</v>
      </c>
      <c r="K373" s="147"/>
      <c r="L373" s="142"/>
      <c r="M373" s="143"/>
      <c r="N373" s="144">
        <f t="shared" si="52"/>
        <v>50000</v>
      </c>
      <c r="O373" s="145"/>
      <c r="P373" s="145"/>
      <c r="Q373" s="149"/>
      <c r="R373" s="146"/>
      <c r="S373" s="254">
        <f t="shared" si="57"/>
        <v>50000</v>
      </c>
      <c r="T373" s="172"/>
      <c r="U373" s="137" t="s">
        <v>510</v>
      </c>
      <c r="V373" s="261">
        <f t="shared" si="56"/>
        <v>50000</v>
      </c>
      <c r="W373" s="261">
        <f t="shared" si="53"/>
        <v>50000</v>
      </c>
      <c r="X373" s="261"/>
      <c r="Y373" s="176" t="s">
        <v>722</v>
      </c>
      <c r="Z373" s="176"/>
      <c r="AA373" s="186">
        <v>50000</v>
      </c>
      <c r="AB373" s="186">
        <v>0</v>
      </c>
      <c r="AC373" s="176">
        <v>0</v>
      </c>
      <c r="AD373" s="176">
        <v>0</v>
      </c>
      <c r="AE373" s="186">
        <v>50000</v>
      </c>
      <c r="AF373" s="35">
        <v>50000</v>
      </c>
      <c r="AG373" s="212">
        <v>0</v>
      </c>
      <c r="AH373" s="212">
        <f t="shared" si="48"/>
        <v>0</v>
      </c>
      <c r="AI373" s="212" t="s">
        <v>510</v>
      </c>
      <c r="AJ373" s="212">
        <v>50000</v>
      </c>
      <c r="AK373" s="212">
        <v>0</v>
      </c>
      <c r="AL373" s="212">
        <v>0</v>
      </c>
      <c r="AM373" s="212">
        <v>0</v>
      </c>
      <c r="AN373" s="212">
        <v>50000</v>
      </c>
      <c r="AO373" s="176">
        <v>0</v>
      </c>
      <c r="AP373" s="176">
        <v>0</v>
      </c>
      <c r="AQ373" s="176">
        <v>0</v>
      </c>
      <c r="AR373" s="212">
        <f t="shared" si="49"/>
        <v>50000</v>
      </c>
      <c r="AS373" s="212">
        <f t="shared" si="50"/>
        <v>0</v>
      </c>
      <c r="AT373" s="473">
        <f t="shared" si="51"/>
        <v>-50000</v>
      </c>
      <c r="AU373" s="478"/>
    </row>
    <row r="374" spans="1:47" s="35" customFormat="1" ht="29" hidden="1" x14ac:dyDescent="0.35">
      <c r="A374" s="35" t="s">
        <v>1200</v>
      </c>
      <c r="B374" s="224" t="s">
        <v>955</v>
      </c>
      <c r="C374" s="222" t="s">
        <v>19</v>
      </c>
      <c r="D374" s="136">
        <v>8471122</v>
      </c>
      <c r="E374" s="137" t="s">
        <v>509</v>
      </c>
      <c r="F374" s="138">
        <v>428090</v>
      </c>
      <c r="G374" s="137" t="s">
        <v>39</v>
      </c>
      <c r="H374" s="137" t="s">
        <v>511</v>
      </c>
      <c r="I374" s="137">
        <v>0</v>
      </c>
      <c r="J374" s="140">
        <v>13623</v>
      </c>
      <c r="K374" s="147"/>
      <c r="L374" s="142"/>
      <c r="M374" s="143"/>
      <c r="N374" s="144">
        <f t="shared" si="52"/>
        <v>13623</v>
      </c>
      <c r="O374" s="145"/>
      <c r="P374" s="145"/>
      <c r="Q374" s="149"/>
      <c r="R374" s="146"/>
      <c r="S374" s="254">
        <f t="shared" si="57"/>
        <v>13623</v>
      </c>
      <c r="T374" s="172"/>
      <c r="U374" s="137" t="s">
        <v>511</v>
      </c>
      <c r="V374" s="261">
        <f t="shared" si="56"/>
        <v>13623</v>
      </c>
      <c r="W374" s="261">
        <f t="shared" si="53"/>
        <v>13623</v>
      </c>
      <c r="X374" s="261"/>
      <c r="Y374" s="176" t="s">
        <v>722</v>
      </c>
      <c r="Z374" s="176"/>
      <c r="AA374" s="186">
        <v>13623</v>
      </c>
      <c r="AB374" s="186">
        <v>0</v>
      </c>
      <c r="AC374" s="176">
        <v>0</v>
      </c>
      <c r="AD374" s="176">
        <v>0</v>
      </c>
      <c r="AE374" s="186">
        <v>13623</v>
      </c>
      <c r="AF374" s="35">
        <v>13623</v>
      </c>
      <c r="AG374" s="212">
        <v>0</v>
      </c>
      <c r="AH374" s="212">
        <f t="shared" si="48"/>
        <v>0</v>
      </c>
      <c r="AI374" s="212" t="s">
        <v>511</v>
      </c>
      <c r="AJ374" s="212">
        <v>13623</v>
      </c>
      <c r="AK374" s="212">
        <v>0</v>
      </c>
      <c r="AL374" s="212">
        <v>0</v>
      </c>
      <c r="AM374" s="212">
        <v>0</v>
      </c>
      <c r="AN374" s="212">
        <v>13623</v>
      </c>
      <c r="AO374" s="176">
        <v>0</v>
      </c>
      <c r="AP374" s="176">
        <v>0</v>
      </c>
      <c r="AQ374" s="176">
        <v>0</v>
      </c>
      <c r="AR374" s="212">
        <f t="shared" si="49"/>
        <v>13623</v>
      </c>
      <c r="AS374" s="212">
        <f t="shared" si="50"/>
        <v>0</v>
      </c>
      <c r="AT374" s="473">
        <f t="shared" si="51"/>
        <v>-13623</v>
      </c>
      <c r="AU374" s="478"/>
    </row>
    <row r="375" spans="1:47" s="35" customFormat="1" ht="29" hidden="1" x14ac:dyDescent="0.35">
      <c r="A375" s="35" t="s">
        <v>1200</v>
      </c>
      <c r="B375" s="224" t="s">
        <v>955</v>
      </c>
      <c r="C375" s="222" t="s">
        <v>19</v>
      </c>
      <c r="D375" s="136">
        <v>8471130</v>
      </c>
      <c r="E375" s="137" t="s">
        <v>512</v>
      </c>
      <c r="F375" s="138">
        <v>420811</v>
      </c>
      <c r="G375" s="137" t="s">
        <v>469</v>
      </c>
      <c r="H375" s="137" t="s">
        <v>513</v>
      </c>
      <c r="I375" s="137">
        <v>0</v>
      </c>
      <c r="J375" s="140">
        <v>306385</v>
      </c>
      <c r="K375" s="147"/>
      <c r="L375" s="148">
        <v>276944.2</v>
      </c>
      <c r="M375" s="143"/>
      <c r="N375" s="144">
        <f t="shared" si="52"/>
        <v>29440.799999999988</v>
      </c>
      <c r="O375" s="145"/>
      <c r="P375" s="145"/>
      <c r="Q375" s="149">
        <v>29440.799999999999</v>
      </c>
      <c r="R375" s="146"/>
      <c r="S375" s="254">
        <f t="shared" si="57"/>
        <v>0</v>
      </c>
      <c r="T375" s="172" t="s">
        <v>825</v>
      </c>
      <c r="U375" s="137" t="s">
        <v>513</v>
      </c>
      <c r="V375" s="261">
        <f t="shared" si="56"/>
        <v>0</v>
      </c>
      <c r="W375" s="261">
        <f t="shared" si="53"/>
        <v>0</v>
      </c>
      <c r="X375" s="261"/>
      <c r="Y375" s="176" t="s">
        <v>722</v>
      </c>
      <c r="Z375" s="176"/>
      <c r="AA375" s="186">
        <v>306385</v>
      </c>
      <c r="AB375" s="186">
        <v>0</v>
      </c>
      <c r="AC375" s="176">
        <v>276944.2</v>
      </c>
      <c r="AD375" s="176">
        <v>0</v>
      </c>
      <c r="AE375" s="186">
        <v>29440.799999999988</v>
      </c>
      <c r="AF375" s="35">
        <v>29440.799999999999</v>
      </c>
      <c r="AG375" s="212">
        <v>0</v>
      </c>
      <c r="AH375" s="212">
        <f t="shared" si="48"/>
        <v>29440.799999999988</v>
      </c>
      <c r="AI375" s="212" t="s">
        <v>513</v>
      </c>
      <c r="AJ375" s="212">
        <v>306385</v>
      </c>
      <c r="AK375" s="212">
        <v>0</v>
      </c>
      <c r="AL375" s="212">
        <v>276944.2</v>
      </c>
      <c r="AM375" s="212">
        <v>0</v>
      </c>
      <c r="AN375" s="212">
        <v>29440.799999999999</v>
      </c>
      <c r="AO375" s="176">
        <v>0</v>
      </c>
      <c r="AP375" s="176">
        <v>0</v>
      </c>
      <c r="AQ375" s="176">
        <v>0</v>
      </c>
      <c r="AR375" s="212">
        <f t="shared" si="49"/>
        <v>0</v>
      </c>
      <c r="AS375" s="212">
        <f t="shared" si="50"/>
        <v>306385</v>
      </c>
      <c r="AT375" s="473">
        <f t="shared" si="51"/>
        <v>306385</v>
      </c>
      <c r="AU375" s="478"/>
    </row>
    <row r="376" spans="1:47" s="35" customFormat="1" ht="29" hidden="1" x14ac:dyDescent="0.35">
      <c r="A376" s="35" t="s">
        <v>1200</v>
      </c>
      <c r="B376" s="224" t="s">
        <v>955</v>
      </c>
      <c r="C376" s="222" t="s">
        <v>19</v>
      </c>
      <c r="D376" s="136">
        <v>8471130</v>
      </c>
      <c r="E376" s="137" t="s">
        <v>512</v>
      </c>
      <c r="F376" s="138">
        <v>426610</v>
      </c>
      <c r="G376" s="137" t="s">
        <v>37</v>
      </c>
      <c r="H376" s="137" t="s">
        <v>514</v>
      </c>
      <c r="I376" s="137">
        <v>0</v>
      </c>
      <c r="J376" s="140">
        <v>171900</v>
      </c>
      <c r="K376" s="141">
        <v>171712.75</v>
      </c>
      <c r="L376" s="142"/>
      <c r="M376" s="143"/>
      <c r="N376" s="144">
        <f t="shared" si="52"/>
        <v>187.25</v>
      </c>
      <c r="O376" s="145"/>
      <c r="P376" s="145"/>
      <c r="Q376" s="149"/>
      <c r="R376" s="146"/>
      <c r="S376" s="254">
        <f t="shared" si="57"/>
        <v>187.25</v>
      </c>
      <c r="T376" s="172"/>
      <c r="U376" s="137" t="s">
        <v>514</v>
      </c>
      <c r="V376" s="261">
        <f t="shared" si="56"/>
        <v>187.25</v>
      </c>
      <c r="W376" s="261">
        <f t="shared" si="53"/>
        <v>187.25</v>
      </c>
      <c r="X376" s="261"/>
      <c r="Y376" s="176" t="s">
        <v>722</v>
      </c>
      <c r="Z376" s="176"/>
      <c r="AA376" s="186">
        <v>171900</v>
      </c>
      <c r="AB376" s="186">
        <v>171712.75</v>
      </c>
      <c r="AC376" s="176">
        <v>0</v>
      </c>
      <c r="AD376" s="176">
        <v>0</v>
      </c>
      <c r="AE376" s="186">
        <v>187.25</v>
      </c>
      <c r="AF376" s="35">
        <v>187.25</v>
      </c>
      <c r="AG376" s="212">
        <v>0</v>
      </c>
      <c r="AH376" s="212">
        <f t="shared" si="48"/>
        <v>0</v>
      </c>
      <c r="AI376" s="212" t="s">
        <v>514</v>
      </c>
      <c r="AJ376" s="212">
        <v>171900</v>
      </c>
      <c r="AK376" s="212">
        <v>171712.75</v>
      </c>
      <c r="AL376" s="212">
        <v>0</v>
      </c>
      <c r="AM376" s="212">
        <v>0</v>
      </c>
      <c r="AN376" s="212">
        <v>187.25</v>
      </c>
      <c r="AO376" s="176">
        <v>0</v>
      </c>
      <c r="AP376" s="176">
        <v>0</v>
      </c>
      <c r="AQ376" s="176">
        <v>0</v>
      </c>
      <c r="AR376" s="212">
        <f t="shared" si="49"/>
        <v>187.25</v>
      </c>
      <c r="AS376" s="212">
        <f t="shared" si="50"/>
        <v>171712.75</v>
      </c>
      <c r="AT376" s="473">
        <f t="shared" si="51"/>
        <v>171525.5</v>
      </c>
      <c r="AU376" s="478"/>
    </row>
    <row r="377" spans="1:47" s="35" customFormat="1" ht="29" hidden="1" x14ac:dyDescent="0.35">
      <c r="A377" s="35" t="s">
        <v>1200</v>
      </c>
      <c r="B377" s="224" t="s">
        <v>955</v>
      </c>
      <c r="C377" s="222" t="s">
        <v>19</v>
      </c>
      <c r="D377" s="136">
        <v>8471130</v>
      </c>
      <c r="E377" s="137" t="s">
        <v>512</v>
      </c>
      <c r="F377" s="138">
        <v>427900</v>
      </c>
      <c r="G377" s="137" t="s">
        <v>459</v>
      </c>
      <c r="H377" s="137" t="s">
        <v>515</v>
      </c>
      <c r="I377" s="137">
        <v>5000</v>
      </c>
      <c r="J377" s="140">
        <v>0</v>
      </c>
      <c r="K377" s="147"/>
      <c r="L377" s="142"/>
      <c r="M377" s="143"/>
      <c r="N377" s="144">
        <f t="shared" si="52"/>
        <v>0</v>
      </c>
      <c r="O377" s="145"/>
      <c r="P377" s="145"/>
      <c r="Q377" s="149"/>
      <c r="R377" s="146"/>
      <c r="S377" s="254">
        <f t="shared" si="57"/>
        <v>0</v>
      </c>
      <c r="T377" s="172"/>
      <c r="U377" s="137" t="s">
        <v>515</v>
      </c>
      <c r="V377" s="261">
        <f t="shared" si="56"/>
        <v>0</v>
      </c>
      <c r="W377" s="261">
        <f t="shared" si="53"/>
        <v>0</v>
      </c>
      <c r="X377" s="261"/>
      <c r="Y377" s="176" t="s">
        <v>722</v>
      </c>
      <c r="Z377" s="176"/>
      <c r="AA377" s="186">
        <v>0</v>
      </c>
      <c r="AB377" s="186">
        <v>0</v>
      </c>
      <c r="AC377" s="176">
        <v>0</v>
      </c>
      <c r="AD377" s="176">
        <v>0</v>
      </c>
      <c r="AE377" s="186">
        <v>0</v>
      </c>
      <c r="AF377" s="35">
        <v>0</v>
      </c>
      <c r="AG377" s="212">
        <v>0</v>
      </c>
      <c r="AH377" s="212">
        <f t="shared" si="48"/>
        <v>0</v>
      </c>
      <c r="AI377" s="212" t="s">
        <v>515</v>
      </c>
      <c r="AJ377" s="212">
        <v>0</v>
      </c>
      <c r="AK377" s="212">
        <v>0</v>
      </c>
      <c r="AL377" s="212">
        <v>0</v>
      </c>
      <c r="AM377" s="212">
        <v>0</v>
      </c>
      <c r="AN377" s="212">
        <v>0</v>
      </c>
      <c r="AO377" s="176">
        <v>0</v>
      </c>
      <c r="AP377" s="176">
        <v>0</v>
      </c>
      <c r="AQ377" s="176">
        <v>0</v>
      </c>
      <c r="AR377" s="212">
        <f t="shared" si="49"/>
        <v>0</v>
      </c>
      <c r="AS377" s="212">
        <f t="shared" si="50"/>
        <v>0</v>
      </c>
      <c r="AT377" s="473">
        <f t="shared" si="51"/>
        <v>0</v>
      </c>
      <c r="AU377" s="478"/>
    </row>
    <row r="378" spans="1:47" s="35" customFormat="1" ht="29" hidden="1" x14ac:dyDescent="0.35">
      <c r="A378" s="35" t="s">
        <v>1200</v>
      </c>
      <c r="B378" s="224" t="s">
        <v>955</v>
      </c>
      <c r="C378" s="222" t="s">
        <v>19</v>
      </c>
      <c r="D378" s="136">
        <v>8471130</v>
      </c>
      <c r="E378" s="137" t="s">
        <v>512</v>
      </c>
      <c r="F378" s="138">
        <v>428090</v>
      </c>
      <c r="G378" s="137" t="s">
        <v>39</v>
      </c>
      <c r="H378" s="137" t="s">
        <v>516</v>
      </c>
      <c r="I378" s="137">
        <v>70000</v>
      </c>
      <c r="J378" s="140">
        <v>66459</v>
      </c>
      <c r="K378" s="147"/>
      <c r="L378" s="142"/>
      <c r="M378" s="143"/>
      <c r="N378" s="144">
        <f t="shared" si="52"/>
        <v>66459</v>
      </c>
      <c r="O378" s="145"/>
      <c r="P378" s="145">
        <v>22000</v>
      </c>
      <c r="Q378" s="149"/>
      <c r="R378" s="146"/>
      <c r="S378" s="254">
        <f t="shared" si="57"/>
        <v>44459</v>
      </c>
      <c r="T378" s="172" t="s">
        <v>826</v>
      </c>
      <c r="U378" s="137" t="s">
        <v>516</v>
      </c>
      <c r="V378" s="261">
        <f t="shared" si="56"/>
        <v>44459</v>
      </c>
      <c r="W378" s="261">
        <f t="shared" si="53"/>
        <v>44459</v>
      </c>
      <c r="X378" s="261"/>
      <c r="Y378" s="176" t="s">
        <v>722</v>
      </c>
      <c r="Z378" s="176"/>
      <c r="AA378" s="186">
        <v>66459</v>
      </c>
      <c r="AB378" s="186">
        <v>23760.37</v>
      </c>
      <c r="AC378" s="176">
        <v>0</v>
      </c>
      <c r="AD378" s="176">
        <v>0</v>
      </c>
      <c r="AE378" s="186">
        <v>42698.630000000005</v>
      </c>
      <c r="AF378" s="35">
        <v>42698.63</v>
      </c>
      <c r="AG378" s="212">
        <v>0</v>
      </c>
      <c r="AH378" s="212">
        <f t="shared" si="48"/>
        <v>-1760.3699999999953</v>
      </c>
      <c r="AI378" s="212" t="s">
        <v>516</v>
      </c>
      <c r="AJ378" s="212">
        <v>66459</v>
      </c>
      <c r="AK378" s="212">
        <v>23760.37</v>
      </c>
      <c r="AL378" s="212">
        <v>0</v>
      </c>
      <c r="AM378" s="212">
        <v>0</v>
      </c>
      <c r="AN378" s="212">
        <v>42698.63</v>
      </c>
      <c r="AO378" s="176">
        <v>0</v>
      </c>
      <c r="AP378" s="176">
        <v>0</v>
      </c>
      <c r="AQ378" s="176">
        <v>0</v>
      </c>
      <c r="AR378" s="212">
        <f t="shared" si="49"/>
        <v>44459</v>
      </c>
      <c r="AS378" s="212">
        <f t="shared" si="50"/>
        <v>23760.37</v>
      </c>
      <c r="AT378" s="473">
        <f t="shared" si="51"/>
        <v>-20698.63</v>
      </c>
      <c r="AU378" s="478"/>
    </row>
    <row r="379" spans="1:47" s="35" customFormat="1" ht="29" hidden="1" x14ac:dyDescent="0.35">
      <c r="A379" s="35" t="s">
        <v>1200</v>
      </c>
      <c r="B379" s="224" t="s">
        <v>955</v>
      </c>
      <c r="C379" s="222" t="s">
        <v>19</v>
      </c>
      <c r="D379" s="136">
        <v>8471130</v>
      </c>
      <c r="E379" s="137" t="s">
        <v>512</v>
      </c>
      <c r="F379" s="138">
        <v>435523</v>
      </c>
      <c r="G379" s="137" t="s">
        <v>81</v>
      </c>
      <c r="H379" s="137" t="s">
        <v>517</v>
      </c>
      <c r="I379" s="137">
        <v>205962</v>
      </c>
      <c r="J379" s="140">
        <v>157190</v>
      </c>
      <c r="K379" s="141">
        <v>157599.53</v>
      </c>
      <c r="L379" s="142"/>
      <c r="M379" s="140">
        <v>-409.91000000000298</v>
      </c>
      <c r="N379" s="144">
        <f t="shared" si="52"/>
        <v>0.38000000000414502</v>
      </c>
      <c r="O379" s="145"/>
      <c r="P379" s="145"/>
      <c r="Q379" s="149"/>
      <c r="R379" s="146"/>
      <c r="S379" s="254">
        <f t="shared" si="57"/>
        <v>0.38000000000414502</v>
      </c>
      <c r="T379" s="172"/>
      <c r="U379" s="137" t="s">
        <v>517</v>
      </c>
      <c r="V379" s="261">
        <f t="shared" si="56"/>
        <v>0.38000000000414502</v>
      </c>
      <c r="W379" s="261">
        <f t="shared" si="53"/>
        <v>0.38000000000414502</v>
      </c>
      <c r="X379" s="261"/>
      <c r="Y379" s="176" t="s">
        <v>722</v>
      </c>
      <c r="Z379" s="176"/>
      <c r="AA379" s="186">
        <v>157190</v>
      </c>
      <c r="AB379" s="186">
        <v>157599.53</v>
      </c>
      <c r="AC379" s="186">
        <v>0</v>
      </c>
      <c r="AD379" s="186">
        <v>-409.91</v>
      </c>
      <c r="AE379" s="186">
        <v>0.38000000000118916</v>
      </c>
      <c r="AF379" s="184">
        <v>0.38000000000124601</v>
      </c>
      <c r="AG379" s="184">
        <v>-5.6843418860808015E-14</v>
      </c>
      <c r="AH379" s="212">
        <f t="shared" si="48"/>
        <v>-2.9558577807620168E-12</v>
      </c>
      <c r="AI379" s="212" t="s">
        <v>517</v>
      </c>
      <c r="AJ379" s="212">
        <v>157190</v>
      </c>
      <c r="AK379" s="212">
        <v>157599.53</v>
      </c>
      <c r="AL379" s="212">
        <v>0</v>
      </c>
      <c r="AM379" s="212">
        <v>-409.91</v>
      </c>
      <c r="AN379" s="212">
        <v>0.38000000000124601</v>
      </c>
      <c r="AO379" s="176">
        <v>0</v>
      </c>
      <c r="AP379" s="176">
        <v>0</v>
      </c>
      <c r="AQ379" s="176">
        <v>0</v>
      </c>
      <c r="AR379" s="212">
        <f t="shared" si="49"/>
        <v>0.38000000000414502</v>
      </c>
      <c r="AS379" s="212">
        <f t="shared" si="50"/>
        <v>157189.62</v>
      </c>
      <c r="AT379" s="473">
        <f t="shared" si="51"/>
        <v>157189.24</v>
      </c>
      <c r="AU379" s="478"/>
    </row>
    <row r="380" spans="1:47" s="35" customFormat="1" ht="29" hidden="1" x14ac:dyDescent="0.35">
      <c r="A380" s="35" t="s">
        <v>1200</v>
      </c>
      <c r="B380" s="224" t="s">
        <v>955</v>
      </c>
      <c r="C380" s="222" t="s">
        <v>19</v>
      </c>
      <c r="D380" s="136">
        <v>8471140</v>
      </c>
      <c r="E380" s="137" t="s">
        <v>518</v>
      </c>
      <c r="F380" s="138">
        <v>420570</v>
      </c>
      <c r="G380" s="137" t="s">
        <v>23</v>
      </c>
      <c r="H380" s="137" t="s">
        <v>519</v>
      </c>
      <c r="I380" s="137">
        <v>231840</v>
      </c>
      <c r="J380" s="140">
        <v>231840</v>
      </c>
      <c r="K380" s="141">
        <v>103329.59</v>
      </c>
      <c r="L380" s="142"/>
      <c r="M380" s="143"/>
      <c r="N380" s="144">
        <f t="shared" si="52"/>
        <v>128510.41</v>
      </c>
      <c r="O380" s="145"/>
      <c r="P380" s="145"/>
      <c r="Q380" s="149"/>
      <c r="R380" s="146"/>
      <c r="S380" s="254">
        <f t="shared" si="57"/>
        <v>128510.41</v>
      </c>
      <c r="T380" s="172"/>
      <c r="U380" s="137" t="s">
        <v>519</v>
      </c>
      <c r="V380" s="261">
        <f t="shared" si="56"/>
        <v>128510.41</v>
      </c>
      <c r="W380" s="261">
        <f t="shared" si="53"/>
        <v>127959.16</v>
      </c>
      <c r="X380" s="261"/>
      <c r="Y380" s="176" t="s">
        <v>722</v>
      </c>
      <c r="Z380" s="176"/>
      <c r="AA380" s="186">
        <v>231840</v>
      </c>
      <c r="AB380" s="186">
        <v>103329.59</v>
      </c>
      <c r="AC380" s="176">
        <v>0</v>
      </c>
      <c r="AD380" s="176">
        <v>0</v>
      </c>
      <c r="AE380" s="186">
        <v>128510.41</v>
      </c>
      <c r="AF380" s="35">
        <v>128510.41</v>
      </c>
      <c r="AG380" s="212">
        <v>0</v>
      </c>
      <c r="AH380" s="212">
        <f t="shared" si="48"/>
        <v>0</v>
      </c>
      <c r="AI380" s="212" t="s">
        <v>519</v>
      </c>
      <c r="AJ380" s="212">
        <v>231840</v>
      </c>
      <c r="AK380" s="212">
        <v>103329.59</v>
      </c>
      <c r="AL380" s="212">
        <v>0</v>
      </c>
      <c r="AM380" s="212">
        <v>0</v>
      </c>
      <c r="AN380" s="212">
        <v>128510.41</v>
      </c>
      <c r="AO380" s="176">
        <v>0</v>
      </c>
      <c r="AP380" s="176">
        <v>551.25</v>
      </c>
      <c r="AQ380" s="176">
        <v>0</v>
      </c>
      <c r="AR380" s="212">
        <f t="shared" si="49"/>
        <v>127959.16</v>
      </c>
      <c r="AS380" s="212">
        <f t="shared" si="50"/>
        <v>103880.84</v>
      </c>
      <c r="AT380" s="473">
        <f t="shared" si="51"/>
        <v>-24078.320000000007</v>
      </c>
      <c r="AU380" s="478"/>
    </row>
    <row r="381" spans="1:47" s="35" customFormat="1" ht="29" hidden="1" x14ac:dyDescent="0.35">
      <c r="A381" s="35" t="s">
        <v>1200</v>
      </c>
      <c r="B381" s="224" t="s">
        <v>955</v>
      </c>
      <c r="C381" s="222" t="s">
        <v>19</v>
      </c>
      <c r="D381" s="136">
        <v>8471140</v>
      </c>
      <c r="E381" s="137" t="s">
        <v>518</v>
      </c>
      <c r="F381" s="138">
        <v>428090</v>
      </c>
      <c r="G381" s="137" t="s">
        <v>39</v>
      </c>
      <c r="H381" s="188" t="s">
        <v>520</v>
      </c>
      <c r="I381" s="188">
        <v>80000</v>
      </c>
      <c r="J381" s="140">
        <v>85693</v>
      </c>
      <c r="K381" s="141">
        <v>35236.71</v>
      </c>
      <c r="L381" s="142"/>
      <c r="M381" s="143"/>
      <c r="N381" s="144">
        <f t="shared" si="52"/>
        <v>50456.29</v>
      </c>
      <c r="O381" s="145"/>
      <c r="P381" s="145"/>
      <c r="Q381" s="149"/>
      <c r="R381" s="146"/>
      <c r="S381" s="254">
        <f t="shared" si="57"/>
        <v>50456.29</v>
      </c>
      <c r="T381" s="172"/>
      <c r="U381" s="188" t="s">
        <v>520</v>
      </c>
      <c r="V381" s="261">
        <f t="shared" si="56"/>
        <v>50456.29</v>
      </c>
      <c r="W381" s="261">
        <f t="shared" si="53"/>
        <v>45403.16</v>
      </c>
      <c r="X381" s="261"/>
      <c r="Y381" s="176" t="s">
        <v>722</v>
      </c>
      <c r="Z381" s="176"/>
      <c r="AA381" s="186">
        <v>85693</v>
      </c>
      <c r="AB381" s="186">
        <v>78188.97</v>
      </c>
      <c r="AC381" s="176">
        <v>0</v>
      </c>
      <c r="AD381" s="176">
        <v>0</v>
      </c>
      <c r="AE381" s="186">
        <v>7504.0299999999988</v>
      </c>
      <c r="AF381" s="35">
        <v>7504.03</v>
      </c>
      <c r="AG381" s="212">
        <v>0</v>
      </c>
      <c r="AH381" s="212">
        <f t="shared" si="48"/>
        <v>-42952.26</v>
      </c>
      <c r="AI381" s="212" t="s">
        <v>520</v>
      </c>
      <c r="AJ381" s="212">
        <v>85693</v>
      </c>
      <c r="AK381" s="212">
        <v>78188.97</v>
      </c>
      <c r="AL381" s="212">
        <v>0</v>
      </c>
      <c r="AM381" s="212">
        <v>0</v>
      </c>
      <c r="AN381" s="212">
        <v>7504.03</v>
      </c>
      <c r="AO381" s="176">
        <v>5053.13</v>
      </c>
      <c r="AP381" s="176">
        <v>0</v>
      </c>
      <c r="AQ381" s="176">
        <v>0</v>
      </c>
      <c r="AR381" s="212">
        <f t="shared" si="49"/>
        <v>45403.16</v>
      </c>
      <c r="AS381" s="212">
        <f t="shared" si="50"/>
        <v>83242.100000000006</v>
      </c>
      <c r="AT381" s="473">
        <f t="shared" si="51"/>
        <v>37838.94</v>
      </c>
      <c r="AU381" s="478"/>
    </row>
    <row r="382" spans="1:47" s="35" customFormat="1" ht="29" hidden="1" x14ac:dyDescent="0.35">
      <c r="A382" s="449" t="s">
        <v>1200</v>
      </c>
      <c r="B382" s="450" t="s">
        <v>955</v>
      </c>
      <c r="C382" s="451" t="s">
        <v>19</v>
      </c>
      <c r="D382" s="452">
        <v>8471140</v>
      </c>
      <c r="E382" s="453" t="s">
        <v>518</v>
      </c>
      <c r="F382" s="454">
        <v>420570</v>
      </c>
      <c r="G382" s="451" t="s">
        <v>23</v>
      </c>
      <c r="H382" s="455" t="s">
        <v>519</v>
      </c>
      <c r="I382" s="456"/>
      <c r="J382" s="457"/>
      <c r="K382" s="458"/>
      <c r="L382" s="459"/>
      <c r="M382" s="460"/>
      <c r="N382" s="461"/>
      <c r="O382" s="462"/>
      <c r="P382" s="462"/>
      <c r="Q382" s="463"/>
      <c r="R382" s="464"/>
      <c r="S382" s="465">
        <v>-2000000</v>
      </c>
      <c r="T382" s="466" t="s">
        <v>976</v>
      </c>
      <c r="U382" s="455" t="s">
        <v>519</v>
      </c>
      <c r="V382" s="467"/>
      <c r="W382" s="261">
        <f t="shared" si="53"/>
        <v>0</v>
      </c>
      <c r="X382" s="475">
        <v>2000000</v>
      </c>
      <c r="Y382" s="468" t="s">
        <v>722</v>
      </c>
      <c r="Z382" s="469"/>
      <c r="AA382" s="470"/>
      <c r="AB382" s="470"/>
      <c r="AC382" s="469"/>
      <c r="AD382" s="469"/>
      <c r="AE382" s="470"/>
      <c r="AF382" s="449"/>
      <c r="AG382" s="471"/>
      <c r="AH382" s="471">
        <f t="shared" si="48"/>
        <v>0</v>
      </c>
      <c r="AI382" s="471" t="s">
        <v>519</v>
      </c>
      <c r="AJ382" s="471"/>
      <c r="AK382" s="471"/>
      <c r="AL382" s="471">
        <v>0</v>
      </c>
      <c r="AM382" s="471">
        <v>0</v>
      </c>
      <c r="AN382" s="471"/>
      <c r="AO382" s="469">
        <v>0</v>
      </c>
      <c r="AP382" s="469"/>
      <c r="AQ382" s="469">
        <v>0</v>
      </c>
      <c r="AR382" s="471">
        <f t="shared" si="49"/>
        <v>0</v>
      </c>
      <c r="AS382" s="471">
        <f t="shared" si="50"/>
        <v>0</v>
      </c>
      <c r="AT382" s="473">
        <f t="shared" si="51"/>
        <v>2000000</v>
      </c>
      <c r="AU382" s="478"/>
    </row>
    <row r="383" spans="1:47" s="35" customFormat="1" ht="29" hidden="1" x14ac:dyDescent="0.35">
      <c r="A383" s="449" t="s">
        <v>1200</v>
      </c>
      <c r="B383" s="450" t="s">
        <v>955</v>
      </c>
      <c r="C383" s="451" t="s">
        <v>19</v>
      </c>
      <c r="D383" s="452">
        <v>8471140</v>
      </c>
      <c r="E383" s="453" t="s">
        <v>518</v>
      </c>
      <c r="F383" s="454">
        <v>420570</v>
      </c>
      <c r="G383" s="451" t="s">
        <v>23</v>
      </c>
      <c r="H383" s="455" t="s">
        <v>519</v>
      </c>
      <c r="I383" s="456"/>
      <c r="J383" s="457"/>
      <c r="K383" s="458"/>
      <c r="L383" s="459"/>
      <c r="M383" s="460"/>
      <c r="N383" s="461"/>
      <c r="O383" s="462"/>
      <c r="P383" s="462"/>
      <c r="Q383" s="463"/>
      <c r="R383" s="464"/>
      <c r="S383" s="465">
        <v>-3000000</v>
      </c>
      <c r="T383" s="466" t="s">
        <v>977</v>
      </c>
      <c r="U383" s="455" t="s">
        <v>519</v>
      </c>
      <c r="V383" s="467"/>
      <c r="W383" s="261">
        <f t="shared" si="53"/>
        <v>0</v>
      </c>
      <c r="X383" s="475">
        <v>3000000</v>
      </c>
      <c r="Y383" s="468" t="s">
        <v>722</v>
      </c>
      <c r="Z383" s="469"/>
      <c r="AA383" s="470"/>
      <c r="AB383" s="470"/>
      <c r="AC383" s="469"/>
      <c r="AD383" s="469"/>
      <c r="AE383" s="470"/>
      <c r="AF383" s="449"/>
      <c r="AG383" s="471"/>
      <c r="AH383" s="471">
        <f t="shared" si="48"/>
        <v>0</v>
      </c>
      <c r="AI383" s="471" t="s">
        <v>519</v>
      </c>
      <c r="AJ383" s="471"/>
      <c r="AK383" s="471"/>
      <c r="AL383" s="471">
        <v>0</v>
      </c>
      <c r="AM383" s="471">
        <v>0</v>
      </c>
      <c r="AN383" s="471"/>
      <c r="AO383" s="469">
        <v>0</v>
      </c>
      <c r="AP383" s="469"/>
      <c r="AQ383" s="469">
        <v>0</v>
      </c>
      <c r="AR383" s="471">
        <f t="shared" si="49"/>
        <v>0</v>
      </c>
      <c r="AS383" s="471">
        <f t="shared" si="50"/>
        <v>0</v>
      </c>
      <c r="AT383" s="473">
        <f t="shared" si="51"/>
        <v>3000000</v>
      </c>
      <c r="AU383" s="478"/>
    </row>
    <row r="384" spans="1:47" s="35" customFormat="1" ht="29" hidden="1" x14ac:dyDescent="0.35">
      <c r="A384" s="35" t="s">
        <v>1200</v>
      </c>
      <c r="B384" s="224" t="s">
        <v>955</v>
      </c>
      <c r="C384" s="222" t="s">
        <v>19</v>
      </c>
      <c r="D384" s="136">
        <v>8471140</v>
      </c>
      <c r="E384" s="137" t="s">
        <v>518</v>
      </c>
      <c r="F384" s="138">
        <v>435523</v>
      </c>
      <c r="G384" s="137" t="s">
        <v>81</v>
      </c>
      <c r="H384" s="137" t="s">
        <v>521</v>
      </c>
      <c r="I384" s="137">
        <v>99831748</v>
      </c>
      <c r="J384" s="140">
        <v>90170195</v>
      </c>
      <c r="K384" s="141">
        <v>59036197.060000002</v>
      </c>
      <c r="L384" s="148">
        <v>1302442.29</v>
      </c>
      <c r="M384" s="140">
        <v>2812212.05</v>
      </c>
      <c r="N384" s="144">
        <f t="shared" si="52"/>
        <v>27019343.599999998</v>
      </c>
      <c r="O384" s="149">
        <f>27019343.6/3</f>
        <v>9006447.8666666672</v>
      </c>
      <c r="P384" s="145">
        <v>9006447.8666666672</v>
      </c>
      <c r="Q384" s="259">
        <f>9006447.86666667-2000000</f>
        <v>7006447.8666666709</v>
      </c>
      <c r="R384" s="146"/>
      <c r="S384" s="254">
        <f t="shared" si="57"/>
        <v>1999999.9999999925</v>
      </c>
      <c r="T384" s="172" t="s">
        <v>827</v>
      </c>
      <c r="U384" s="137" t="s">
        <v>521</v>
      </c>
      <c r="V384" s="261">
        <f t="shared" ref="V384:V397" si="58">S384</f>
        <v>1999999.9999999925</v>
      </c>
      <c r="W384" s="261">
        <f t="shared" si="53"/>
        <v>-274676.52075000759</v>
      </c>
      <c r="X384" s="261"/>
      <c r="Y384" s="176" t="s">
        <v>722</v>
      </c>
      <c r="Z384" s="176"/>
      <c r="AA384" s="186">
        <v>89763900</v>
      </c>
      <c r="AB384" s="186">
        <v>69027511.600000098</v>
      </c>
      <c r="AC384" s="186">
        <v>525790.75</v>
      </c>
      <c r="AD384" s="186">
        <v>3087234.18</v>
      </c>
      <c r="AE384" s="214">
        <v>17123363.469999902</v>
      </c>
      <c r="AF384" s="184">
        <v>17155350.429999799</v>
      </c>
      <c r="AG384" s="184">
        <v>-31986.959999896586</v>
      </c>
      <c r="AH384" s="212">
        <f t="shared" si="48"/>
        <v>15123363.469999909</v>
      </c>
      <c r="AI384" s="212" t="s">
        <v>521</v>
      </c>
      <c r="AJ384" s="212">
        <v>89786458</v>
      </c>
      <c r="AK384" s="212">
        <v>76465079.940000206</v>
      </c>
      <c r="AL384" s="212">
        <v>517174.64</v>
      </c>
      <c r="AM384" s="212">
        <v>2943127.77</v>
      </c>
      <c r="AN384" s="212">
        <v>9889597.6099998001</v>
      </c>
      <c r="AO384" s="186">
        <v>235933.73999999996</v>
      </c>
      <c r="AP384" s="186">
        <v>1358179.65075</v>
      </c>
      <c r="AQ384" s="186">
        <v>680563.13000000012</v>
      </c>
      <c r="AR384" s="212">
        <f t="shared" si="49"/>
        <v>-274676.52075000759</v>
      </c>
      <c r="AS384" s="212">
        <f t="shared" si="50"/>
        <v>81921660.917416766</v>
      </c>
      <c r="AT384" s="473">
        <f t="shared" si="51"/>
        <v>89481183.258166865</v>
      </c>
      <c r="AU384" s="478"/>
    </row>
    <row r="385" spans="1:47" s="35" customFormat="1" ht="29" hidden="1" x14ac:dyDescent="0.35">
      <c r="A385" s="35" t="s">
        <v>1200</v>
      </c>
      <c r="B385" s="224" t="s">
        <v>955</v>
      </c>
      <c r="C385" s="222" t="s">
        <v>19</v>
      </c>
      <c r="D385" s="136">
        <v>8471150</v>
      </c>
      <c r="E385" s="137" t="s">
        <v>522</v>
      </c>
      <c r="F385" s="138">
        <v>420900</v>
      </c>
      <c r="G385" s="137" t="s">
        <v>25</v>
      </c>
      <c r="H385" s="137" t="s">
        <v>523</v>
      </c>
      <c r="I385" s="137">
        <v>3332844</v>
      </c>
      <c r="J385" s="140">
        <v>3332844</v>
      </c>
      <c r="K385" s="141">
        <v>2009692.38</v>
      </c>
      <c r="L385" s="148">
        <v>1099372.21</v>
      </c>
      <c r="M385" s="140">
        <v>-1.01863406598568E-10</v>
      </c>
      <c r="N385" s="144">
        <f t="shared" si="52"/>
        <v>223779.41000000027</v>
      </c>
      <c r="O385" s="145">
        <v>23779.41</v>
      </c>
      <c r="P385" s="145">
        <v>200000</v>
      </c>
      <c r="Q385" s="149"/>
      <c r="R385" s="146" t="s">
        <v>813</v>
      </c>
      <c r="S385" s="254">
        <f t="shared" si="57"/>
        <v>2.6193447411060333E-10</v>
      </c>
      <c r="T385" s="172"/>
      <c r="U385" s="137" t="s">
        <v>523</v>
      </c>
      <c r="V385" s="261">
        <f t="shared" si="58"/>
        <v>2.6193447411060333E-10</v>
      </c>
      <c r="W385" s="261">
        <f t="shared" si="53"/>
        <v>2.6193447411060333E-10</v>
      </c>
      <c r="X385" s="261"/>
      <c r="Y385" s="176" t="s">
        <v>722</v>
      </c>
      <c r="Z385" s="176"/>
      <c r="AA385" s="186">
        <v>3946963</v>
      </c>
      <c r="AB385" s="186">
        <v>2499471.7599999998</v>
      </c>
      <c r="AC385" s="176">
        <v>895461.22</v>
      </c>
      <c r="AD385" s="176">
        <v>34511.51</v>
      </c>
      <c r="AE385" s="186">
        <v>517518.51000000024</v>
      </c>
      <c r="AF385" s="35">
        <v>517518.51</v>
      </c>
      <c r="AG385" s="212">
        <v>0</v>
      </c>
      <c r="AH385" s="212">
        <f t="shared" si="48"/>
        <v>517518.51</v>
      </c>
      <c r="AI385" s="212" t="s">
        <v>523</v>
      </c>
      <c r="AJ385" s="212">
        <v>3946963</v>
      </c>
      <c r="AK385" s="212">
        <v>2533983.27</v>
      </c>
      <c r="AL385" s="212">
        <v>895461.22</v>
      </c>
      <c r="AM385" s="212">
        <v>0</v>
      </c>
      <c r="AN385" s="212">
        <v>517518.51</v>
      </c>
      <c r="AO385" s="176">
        <v>0</v>
      </c>
      <c r="AP385" s="176">
        <v>0</v>
      </c>
      <c r="AQ385" s="176">
        <v>0</v>
      </c>
      <c r="AR385" s="212">
        <f t="shared" si="49"/>
        <v>2.6193447411060333E-10</v>
      </c>
      <c r="AS385" s="212">
        <f t="shared" si="50"/>
        <v>3429444.4899999993</v>
      </c>
      <c r="AT385" s="473">
        <f t="shared" si="51"/>
        <v>3429444.4899999998</v>
      </c>
      <c r="AU385" s="478"/>
    </row>
    <row r="386" spans="1:47" s="35" customFormat="1" ht="29" hidden="1" x14ac:dyDescent="0.35">
      <c r="A386" s="35" t="s">
        <v>1200</v>
      </c>
      <c r="B386" s="224" t="s">
        <v>955</v>
      </c>
      <c r="C386" s="222" t="s">
        <v>19</v>
      </c>
      <c r="D386" s="136">
        <v>8471150</v>
      </c>
      <c r="E386" s="137" t="s">
        <v>522</v>
      </c>
      <c r="F386" s="138">
        <v>425510</v>
      </c>
      <c r="G386" s="137" t="s">
        <v>31</v>
      </c>
      <c r="H386" s="137" t="s">
        <v>524</v>
      </c>
      <c r="I386" s="137">
        <v>100002</v>
      </c>
      <c r="J386" s="140">
        <v>100002</v>
      </c>
      <c r="K386" s="147"/>
      <c r="L386" s="142"/>
      <c r="M386" s="143"/>
      <c r="N386" s="144">
        <f t="shared" si="52"/>
        <v>100002</v>
      </c>
      <c r="O386" s="145">
        <v>50000</v>
      </c>
      <c r="P386" s="145">
        <v>50002</v>
      </c>
      <c r="Q386" s="149"/>
      <c r="R386" s="146" t="s">
        <v>814</v>
      </c>
      <c r="S386" s="254">
        <f t="shared" si="57"/>
        <v>0</v>
      </c>
      <c r="T386" s="172"/>
      <c r="U386" s="137" t="s">
        <v>524</v>
      </c>
      <c r="V386" s="261">
        <f t="shared" si="58"/>
        <v>0</v>
      </c>
      <c r="W386" s="261">
        <f t="shared" si="53"/>
        <v>0</v>
      </c>
      <c r="X386" s="261"/>
      <c r="Y386" s="176" t="s">
        <v>722</v>
      </c>
      <c r="Z386" s="176"/>
      <c r="AA386" s="186">
        <v>100002</v>
      </c>
      <c r="AB386" s="186">
        <v>0</v>
      </c>
      <c r="AC386" s="176">
        <v>0</v>
      </c>
      <c r="AD386" s="176">
        <v>0</v>
      </c>
      <c r="AE386" s="186">
        <v>100002</v>
      </c>
      <c r="AF386" s="35">
        <v>100002</v>
      </c>
      <c r="AG386" s="212">
        <v>0</v>
      </c>
      <c r="AH386" s="212">
        <f t="shared" ref="AH386:AH449" si="59">AE386-V386</f>
        <v>100002</v>
      </c>
      <c r="AI386" s="212" t="s">
        <v>524</v>
      </c>
      <c r="AJ386" s="212">
        <v>100002</v>
      </c>
      <c r="AK386" s="212">
        <v>0</v>
      </c>
      <c r="AL386" s="212">
        <v>0</v>
      </c>
      <c r="AM386" s="212">
        <v>0</v>
      </c>
      <c r="AN386" s="212">
        <v>100002</v>
      </c>
      <c r="AO386" s="176">
        <v>0</v>
      </c>
      <c r="AP386" s="176">
        <v>0</v>
      </c>
      <c r="AQ386" s="176">
        <v>0</v>
      </c>
      <c r="AR386" s="212">
        <f t="shared" ref="AR386:AR449" si="60">V386-AO386-AP386-AQ386</f>
        <v>0</v>
      </c>
      <c r="AS386" s="212">
        <f t="shared" ref="AS386:AS449" si="61">AB386+AC386+AD386+Q386+AO386+AP386+AQ386</f>
        <v>0</v>
      </c>
      <c r="AT386" s="473">
        <f t="shared" ref="AT386:AT449" si="62">AK386+AL386+AM386+AO386+AP386+AQ386+X386+Q386-W386</f>
        <v>0</v>
      </c>
      <c r="AU386" s="478"/>
    </row>
    <row r="387" spans="1:47" s="35" customFormat="1" ht="29" hidden="1" x14ac:dyDescent="0.35">
      <c r="A387" s="35" t="s">
        <v>1200</v>
      </c>
      <c r="B387" s="224" t="s">
        <v>955</v>
      </c>
      <c r="C387" s="222" t="s">
        <v>19</v>
      </c>
      <c r="D387" s="136">
        <v>8471150</v>
      </c>
      <c r="E387" s="137" t="s">
        <v>522</v>
      </c>
      <c r="F387" s="138">
        <v>425550</v>
      </c>
      <c r="G387" s="137" t="s">
        <v>33</v>
      </c>
      <c r="H387" s="137" t="s">
        <v>525</v>
      </c>
      <c r="I387" s="137">
        <v>100002</v>
      </c>
      <c r="J387" s="140">
        <v>100002</v>
      </c>
      <c r="K387" s="141">
        <v>11745</v>
      </c>
      <c r="L387" s="142"/>
      <c r="M387" s="143"/>
      <c r="N387" s="144">
        <f t="shared" si="52"/>
        <v>88257</v>
      </c>
      <c r="O387" s="145">
        <v>40000</v>
      </c>
      <c r="P387" s="145">
        <v>25000</v>
      </c>
      <c r="Q387" s="149">
        <v>23257</v>
      </c>
      <c r="R387" s="146" t="s">
        <v>815</v>
      </c>
      <c r="S387" s="254">
        <f t="shared" si="57"/>
        <v>0</v>
      </c>
      <c r="T387" s="172"/>
      <c r="U387" s="137" t="s">
        <v>525</v>
      </c>
      <c r="V387" s="261">
        <f t="shared" si="58"/>
        <v>0</v>
      </c>
      <c r="W387" s="261">
        <f t="shared" ref="W387:W450" si="63">V387-(AO387+AP387+AQ387)</f>
        <v>0</v>
      </c>
      <c r="X387" s="261"/>
      <c r="Y387" s="176" t="s">
        <v>722</v>
      </c>
      <c r="Z387" s="176"/>
      <c r="AA387" s="186">
        <v>100002</v>
      </c>
      <c r="AB387" s="186">
        <v>19542</v>
      </c>
      <c r="AC387" s="176">
        <v>0</v>
      </c>
      <c r="AD387" s="176">
        <v>0</v>
      </c>
      <c r="AE387" s="186">
        <v>80460</v>
      </c>
      <c r="AF387" s="35">
        <v>80460</v>
      </c>
      <c r="AG387" s="212">
        <v>0</v>
      </c>
      <c r="AH387" s="212">
        <f t="shared" si="59"/>
        <v>80460</v>
      </c>
      <c r="AI387" s="212" t="s">
        <v>525</v>
      </c>
      <c r="AJ387" s="212">
        <v>100002</v>
      </c>
      <c r="AK387" s="212">
        <v>26095</v>
      </c>
      <c r="AL387" s="212">
        <v>0</v>
      </c>
      <c r="AM387" s="212">
        <v>0</v>
      </c>
      <c r="AN387" s="212">
        <v>73907</v>
      </c>
      <c r="AO387" s="176">
        <v>0</v>
      </c>
      <c r="AP387" s="176">
        <v>0</v>
      </c>
      <c r="AQ387" s="176">
        <v>0</v>
      </c>
      <c r="AR387" s="212">
        <f t="shared" si="60"/>
        <v>0</v>
      </c>
      <c r="AS387" s="212">
        <f t="shared" si="61"/>
        <v>42799</v>
      </c>
      <c r="AT387" s="473">
        <f t="shared" si="62"/>
        <v>49352</v>
      </c>
      <c r="AU387" s="478"/>
    </row>
    <row r="388" spans="1:47" s="35" customFormat="1" ht="29" hidden="1" x14ac:dyDescent="0.35">
      <c r="A388" s="35" t="s">
        <v>1200</v>
      </c>
      <c r="B388" s="224" t="s">
        <v>955</v>
      </c>
      <c r="C388" s="222" t="s">
        <v>19</v>
      </c>
      <c r="D388" s="136">
        <v>8471150</v>
      </c>
      <c r="E388" s="137" t="s">
        <v>522</v>
      </c>
      <c r="F388" s="138">
        <v>425900</v>
      </c>
      <c r="G388" s="137" t="s">
        <v>35</v>
      </c>
      <c r="H388" s="137" t="s">
        <v>526</v>
      </c>
      <c r="I388" s="137">
        <v>0</v>
      </c>
      <c r="J388" s="140">
        <v>2000</v>
      </c>
      <c r="K388" s="141">
        <v>525</v>
      </c>
      <c r="L388" s="142"/>
      <c r="M388" s="143"/>
      <c r="N388" s="144">
        <f t="shared" ref="N388:N451" si="64">J388-K388-L388-M388</f>
        <v>1475</v>
      </c>
      <c r="O388" s="145">
        <v>1475</v>
      </c>
      <c r="P388" s="145"/>
      <c r="Q388" s="149"/>
      <c r="R388" s="146" t="s">
        <v>816</v>
      </c>
      <c r="S388" s="254">
        <f t="shared" si="57"/>
        <v>0</v>
      </c>
      <c r="T388" s="172"/>
      <c r="U388" s="137" t="s">
        <v>526</v>
      </c>
      <c r="V388" s="261">
        <f t="shared" si="58"/>
        <v>0</v>
      </c>
      <c r="W388" s="261">
        <f t="shared" si="63"/>
        <v>0</v>
      </c>
      <c r="X388" s="261"/>
      <c r="Y388" s="176" t="s">
        <v>722</v>
      </c>
      <c r="Z388" s="176"/>
      <c r="AA388" s="186">
        <v>2000</v>
      </c>
      <c r="AB388" s="186">
        <v>525</v>
      </c>
      <c r="AC388" s="176">
        <v>0</v>
      </c>
      <c r="AD388" s="176">
        <v>0</v>
      </c>
      <c r="AE388" s="186">
        <v>1475</v>
      </c>
      <c r="AF388" s="35">
        <v>1475</v>
      </c>
      <c r="AG388" s="212">
        <v>0</v>
      </c>
      <c r="AH388" s="212">
        <f t="shared" si="59"/>
        <v>1475</v>
      </c>
      <c r="AI388" s="212" t="s">
        <v>526</v>
      </c>
      <c r="AJ388" s="212">
        <v>2000</v>
      </c>
      <c r="AK388" s="212">
        <v>918.75</v>
      </c>
      <c r="AL388" s="212">
        <v>0</v>
      </c>
      <c r="AM388" s="212">
        <v>0</v>
      </c>
      <c r="AN388" s="212">
        <v>1081.25</v>
      </c>
      <c r="AO388" s="176">
        <v>0</v>
      </c>
      <c r="AP388" s="176">
        <v>0</v>
      </c>
      <c r="AQ388" s="176">
        <v>0</v>
      </c>
      <c r="AR388" s="212">
        <f t="shared" si="60"/>
        <v>0</v>
      </c>
      <c r="AS388" s="212">
        <f t="shared" si="61"/>
        <v>525</v>
      </c>
      <c r="AT388" s="473">
        <f t="shared" si="62"/>
        <v>918.75</v>
      </c>
      <c r="AU388" s="478"/>
    </row>
    <row r="389" spans="1:47" s="35" customFormat="1" ht="29" hidden="1" x14ac:dyDescent="0.35">
      <c r="A389" s="35" t="s">
        <v>1200</v>
      </c>
      <c r="B389" s="224" t="s">
        <v>955</v>
      </c>
      <c r="C389" s="222" t="s">
        <v>19</v>
      </c>
      <c r="D389" s="136">
        <v>8471150</v>
      </c>
      <c r="E389" s="137" t="s">
        <v>522</v>
      </c>
      <c r="F389" s="138">
        <v>426610</v>
      </c>
      <c r="G389" s="137" t="s">
        <v>37</v>
      </c>
      <c r="H389" s="137" t="s">
        <v>527</v>
      </c>
      <c r="I389" s="137">
        <v>120000</v>
      </c>
      <c r="J389" s="140">
        <v>118000</v>
      </c>
      <c r="K389" s="147"/>
      <c r="L389" s="148">
        <v>0</v>
      </c>
      <c r="M389" s="143"/>
      <c r="N389" s="144">
        <f t="shared" si="64"/>
        <v>118000</v>
      </c>
      <c r="O389" s="145"/>
      <c r="P389" s="145">
        <v>118000</v>
      </c>
      <c r="Q389" s="149"/>
      <c r="R389" s="146" t="s">
        <v>817</v>
      </c>
      <c r="S389" s="254">
        <f t="shared" si="57"/>
        <v>0</v>
      </c>
      <c r="T389" s="172"/>
      <c r="U389" s="137" t="s">
        <v>527</v>
      </c>
      <c r="V389" s="261">
        <f t="shared" si="58"/>
        <v>0</v>
      </c>
      <c r="W389" s="261">
        <f t="shared" si="63"/>
        <v>0</v>
      </c>
      <c r="X389" s="261"/>
      <c r="Y389" s="176" t="s">
        <v>722</v>
      </c>
      <c r="Z389" s="176"/>
      <c r="AA389" s="186">
        <v>3881</v>
      </c>
      <c r="AB389" s="186">
        <v>3880.12</v>
      </c>
      <c r="AC389" s="176">
        <v>0</v>
      </c>
      <c r="AD389" s="176">
        <v>0</v>
      </c>
      <c r="AE389" s="186">
        <v>0.88000000000010914</v>
      </c>
      <c r="AF389" s="35">
        <v>0.88000000000010903</v>
      </c>
      <c r="AG389" s="212">
        <v>0</v>
      </c>
      <c r="AH389" s="212">
        <f t="shared" si="59"/>
        <v>0.88000000000010914</v>
      </c>
      <c r="AI389" s="212" t="s">
        <v>527</v>
      </c>
      <c r="AJ389" s="212">
        <v>3881</v>
      </c>
      <c r="AK389" s="212">
        <v>3880.12</v>
      </c>
      <c r="AL389" s="212">
        <v>0</v>
      </c>
      <c r="AM389" s="212">
        <v>0</v>
      </c>
      <c r="AN389" s="212">
        <v>0.88000000000010903</v>
      </c>
      <c r="AO389" s="176">
        <v>0</v>
      </c>
      <c r="AP389" s="176">
        <v>0</v>
      </c>
      <c r="AQ389" s="176">
        <v>0</v>
      </c>
      <c r="AR389" s="212">
        <f t="shared" si="60"/>
        <v>0</v>
      </c>
      <c r="AS389" s="212">
        <f t="shared" si="61"/>
        <v>3880.12</v>
      </c>
      <c r="AT389" s="473">
        <f t="shared" si="62"/>
        <v>3880.12</v>
      </c>
      <c r="AU389" s="478"/>
    </row>
    <row r="390" spans="1:47" s="35" customFormat="1" ht="29" hidden="1" x14ac:dyDescent="0.35">
      <c r="A390" s="35" t="s">
        <v>1200</v>
      </c>
      <c r="B390" s="224" t="s">
        <v>955</v>
      </c>
      <c r="C390" s="222" t="s">
        <v>19</v>
      </c>
      <c r="D390" s="136">
        <v>8471150</v>
      </c>
      <c r="E390" s="137" t="s">
        <v>522</v>
      </c>
      <c r="F390" s="138">
        <v>428090</v>
      </c>
      <c r="G390" s="137" t="s">
        <v>39</v>
      </c>
      <c r="H390" s="137" t="s">
        <v>528</v>
      </c>
      <c r="I390" s="137">
        <v>50001</v>
      </c>
      <c r="J390" s="140">
        <v>13623</v>
      </c>
      <c r="K390" s="147"/>
      <c r="L390" s="142"/>
      <c r="M390" s="143"/>
      <c r="N390" s="144">
        <f t="shared" si="64"/>
        <v>13623</v>
      </c>
      <c r="O390" s="145"/>
      <c r="P390" s="145">
        <v>13623</v>
      </c>
      <c r="Q390" s="149"/>
      <c r="R390" s="146" t="s">
        <v>818</v>
      </c>
      <c r="S390" s="254">
        <f t="shared" si="57"/>
        <v>0</v>
      </c>
      <c r="T390" s="172"/>
      <c r="U390" s="137" t="s">
        <v>528</v>
      </c>
      <c r="V390" s="261">
        <f t="shared" si="58"/>
        <v>0</v>
      </c>
      <c r="W390" s="261">
        <f t="shared" si="63"/>
        <v>0</v>
      </c>
      <c r="X390" s="261"/>
      <c r="Y390" s="176" t="s">
        <v>722</v>
      </c>
      <c r="Z390" s="176"/>
      <c r="AA390" s="186">
        <v>13623</v>
      </c>
      <c r="AB390" s="186">
        <v>0</v>
      </c>
      <c r="AC390" s="176">
        <v>0</v>
      </c>
      <c r="AD390" s="176">
        <v>0</v>
      </c>
      <c r="AE390" s="186">
        <v>13623</v>
      </c>
      <c r="AF390" s="35">
        <v>13623</v>
      </c>
      <c r="AG390" s="212">
        <v>0</v>
      </c>
      <c r="AH390" s="212">
        <f t="shared" si="59"/>
        <v>13623</v>
      </c>
      <c r="AI390" s="212" t="s">
        <v>528</v>
      </c>
      <c r="AJ390" s="212">
        <v>13623</v>
      </c>
      <c r="AK390" s="212">
        <v>0</v>
      </c>
      <c r="AL390" s="212">
        <v>0</v>
      </c>
      <c r="AM390" s="212">
        <v>0</v>
      </c>
      <c r="AN390" s="212">
        <v>13623</v>
      </c>
      <c r="AO390" s="176">
        <v>0</v>
      </c>
      <c r="AP390" s="176">
        <v>0</v>
      </c>
      <c r="AQ390" s="176">
        <v>0</v>
      </c>
      <c r="AR390" s="212">
        <f t="shared" si="60"/>
        <v>0</v>
      </c>
      <c r="AS390" s="212">
        <f t="shared" si="61"/>
        <v>0</v>
      </c>
      <c r="AT390" s="473">
        <f t="shared" si="62"/>
        <v>0</v>
      </c>
      <c r="AU390" s="478"/>
    </row>
    <row r="391" spans="1:47" s="35" customFormat="1" ht="29" hidden="1" x14ac:dyDescent="0.35">
      <c r="A391" s="35" t="s">
        <v>1200</v>
      </c>
      <c r="B391" s="224" t="s">
        <v>955</v>
      </c>
      <c r="C391" s="222" t="s">
        <v>19</v>
      </c>
      <c r="D391" s="136">
        <v>8471160</v>
      </c>
      <c r="E391" s="137" t="s">
        <v>529</v>
      </c>
      <c r="F391" s="138">
        <v>420810</v>
      </c>
      <c r="G391" s="137" t="s">
        <v>466</v>
      </c>
      <c r="H391" s="137" t="s">
        <v>530</v>
      </c>
      <c r="I391" s="137">
        <v>588000</v>
      </c>
      <c r="J391" s="140">
        <v>0</v>
      </c>
      <c r="K391" s="147"/>
      <c r="L391" s="142"/>
      <c r="M391" s="143"/>
      <c r="N391" s="144">
        <f t="shared" si="64"/>
        <v>0</v>
      </c>
      <c r="O391" s="145"/>
      <c r="P391" s="145"/>
      <c r="Q391" s="149"/>
      <c r="R391" s="146"/>
      <c r="S391" s="254">
        <f t="shared" si="57"/>
        <v>0</v>
      </c>
      <c r="T391" s="172"/>
      <c r="U391" s="137" t="s">
        <v>530</v>
      </c>
      <c r="V391" s="261">
        <f t="shared" si="58"/>
        <v>0</v>
      </c>
      <c r="W391" s="261">
        <f t="shared" si="63"/>
        <v>0</v>
      </c>
      <c r="X391" s="261"/>
      <c r="Y391" s="176" t="s">
        <v>722</v>
      </c>
      <c r="Z391" s="176"/>
      <c r="AA391" s="186">
        <v>0</v>
      </c>
      <c r="AB391" s="186">
        <v>0</v>
      </c>
      <c r="AC391" s="176">
        <v>0</v>
      </c>
      <c r="AD391" s="176">
        <v>0</v>
      </c>
      <c r="AE391" s="186">
        <v>0</v>
      </c>
      <c r="AF391" s="35">
        <v>0</v>
      </c>
      <c r="AG391" s="212">
        <v>0</v>
      </c>
      <c r="AH391" s="212">
        <f t="shared" si="59"/>
        <v>0</v>
      </c>
      <c r="AI391" s="212" t="s">
        <v>530</v>
      </c>
      <c r="AJ391" s="212">
        <v>0</v>
      </c>
      <c r="AK391" s="212">
        <v>0</v>
      </c>
      <c r="AL391" s="212">
        <v>0</v>
      </c>
      <c r="AM391" s="212">
        <v>0</v>
      </c>
      <c r="AN391" s="212">
        <v>0</v>
      </c>
      <c r="AO391" s="176">
        <v>0</v>
      </c>
      <c r="AP391" s="176">
        <v>0</v>
      </c>
      <c r="AQ391" s="176">
        <v>0</v>
      </c>
      <c r="AR391" s="212">
        <f t="shared" si="60"/>
        <v>0</v>
      </c>
      <c r="AS391" s="212">
        <f t="shared" si="61"/>
        <v>0</v>
      </c>
      <c r="AT391" s="473">
        <f t="shared" si="62"/>
        <v>0</v>
      </c>
      <c r="AU391" s="478"/>
    </row>
    <row r="392" spans="1:47" s="35" customFormat="1" ht="29" hidden="1" x14ac:dyDescent="0.35">
      <c r="A392" s="35" t="s">
        <v>1200</v>
      </c>
      <c r="B392" s="224" t="s">
        <v>955</v>
      </c>
      <c r="C392" s="222" t="s">
        <v>19</v>
      </c>
      <c r="D392" s="136">
        <v>8471160</v>
      </c>
      <c r="E392" s="137" t="s">
        <v>529</v>
      </c>
      <c r="F392" s="138">
        <v>420811</v>
      </c>
      <c r="G392" s="137" t="s">
        <v>469</v>
      </c>
      <c r="H392" s="137" t="s">
        <v>531</v>
      </c>
      <c r="I392" s="137">
        <v>0</v>
      </c>
      <c r="J392" s="140">
        <v>588000</v>
      </c>
      <c r="K392" s="147"/>
      <c r="L392" s="142"/>
      <c r="M392" s="143"/>
      <c r="N392" s="144">
        <f t="shared" si="64"/>
        <v>588000</v>
      </c>
      <c r="O392" s="145"/>
      <c r="P392" s="145"/>
      <c r="Q392" s="149"/>
      <c r="R392" s="146"/>
      <c r="S392" s="254">
        <f t="shared" ref="S392:S423" si="65">N392-O392-P392-Q392</f>
        <v>588000</v>
      </c>
      <c r="T392" s="172" t="s">
        <v>828</v>
      </c>
      <c r="U392" s="137" t="s">
        <v>531</v>
      </c>
      <c r="V392" s="261">
        <f t="shared" si="58"/>
        <v>588000</v>
      </c>
      <c r="W392" s="261">
        <f t="shared" si="63"/>
        <v>588000</v>
      </c>
      <c r="X392" s="261"/>
      <c r="Y392" s="176" t="s">
        <v>722</v>
      </c>
      <c r="Z392" s="176"/>
      <c r="AA392" s="186">
        <v>588000</v>
      </c>
      <c r="AB392" s="186">
        <v>0</v>
      </c>
      <c r="AC392" s="176">
        <v>0</v>
      </c>
      <c r="AD392" s="176">
        <v>0</v>
      </c>
      <c r="AE392" s="186">
        <v>588000</v>
      </c>
      <c r="AF392" s="35">
        <v>588000</v>
      </c>
      <c r="AG392" s="212">
        <v>0</v>
      </c>
      <c r="AH392" s="212">
        <f t="shared" si="59"/>
        <v>0</v>
      </c>
      <c r="AI392" s="212" t="s">
        <v>531</v>
      </c>
      <c r="AJ392" s="212">
        <v>588000</v>
      </c>
      <c r="AK392" s="212">
        <v>0</v>
      </c>
      <c r="AL392" s="212">
        <v>0</v>
      </c>
      <c r="AM392" s="212">
        <v>0</v>
      </c>
      <c r="AN392" s="212">
        <v>588000</v>
      </c>
      <c r="AO392" s="176">
        <v>0</v>
      </c>
      <c r="AP392" s="176">
        <v>0</v>
      </c>
      <c r="AQ392" s="176">
        <v>0</v>
      </c>
      <c r="AR392" s="212">
        <f t="shared" si="60"/>
        <v>588000</v>
      </c>
      <c r="AS392" s="212">
        <f t="shared" si="61"/>
        <v>0</v>
      </c>
      <c r="AT392" s="473">
        <f t="shared" si="62"/>
        <v>-588000</v>
      </c>
      <c r="AU392" s="478"/>
    </row>
    <row r="393" spans="1:47" s="35" customFormat="1" ht="29" hidden="1" x14ac:dyDescent="0.35">
      <c r="A393" s="35" t="s">
        <v>1200</v>
      </c>
      <c r="B393" s="224" t="s">
        <v>955</v>
      </c>
      <c r="C393" s="222" t="s">
        <v>19</v>
      </c>
      <c r="D393" s="136">
        <v>8471160</v>
      </c>
      <c r="E393" s="137" t="s">
        <v>529</v>
      </c>
      <c r="F393" s="138">
        <v>426610</v>
      </c>
      <c r="G393" s="137" t="s">
        <v>37</v>
      </c>
      <c r="H393" s="137" t="s">
        <v>532</v>
      </c>
      <c r="I393" s="137">
        <v>161375</v>
      </c>
      <c r="J393" s="140">
        <v>507375</v>
      </c>
      <c r="K393" s="141">
        <v>87650</v>
      </c>
      <c r="L393" s="148">
        <v>62561.07</v>
      </c>
      <c r="M393" s="140">
        <v>269559.7</v>
      </c>
      <c r="N393" s="144">
        <f t="shared" si="64"/>
        <v>87604.229999999981</v>
      </c>
      <c r="O393" s="145"/>
      <c r="P393" s="145"/>
      <c r="Q393" s="149"/>
      <c r="R393" s="146"/>
      <c r="S393" s="254">
        <f t="shared" si="65"/>
        <v>87604.229999999981</v>
      </c>
      <c r="T393" s="172" t="s">
        <v>829</v>
      </c>
      <c r="U393" s="137" t="s">
        <v>532</v>
      </c>
      <c r="V393" s="261">
        <f t="shared" si="58"/>
        <v>87604.229999999981</v>
      </c>
      <c r="W393" s="261">
        <f t="shared" si="63"/>
        <v>87604.229999999981</v>
      </c>
      <c r="X393" s="261"/>
      <c r="Y393" s="176" t="s">
        <v>722</v>
      </c>
      <c r="Z393" s="176"/>
      <c r="AA393" s="186">
        <v>507375</v>
      </c>
      <c r="AB393" s="186">
        <v>152650</v>
      </c>
      <c r="AC393" s="176">
        <v>0</v>
      </c>
      <c r="AD393" s="176">
        <v>265024.2</v>
      </c>
      <c r="AE393" s="186">
        <v>89700.799999999988</v>
      </c>
      <c r="AF393" s="35">
        <v>89700.800000000003</v>
      </c>
      <c r="AG393" s="212">
        <v>0</v>
      </c>
      <c r="AH393" s="212">
        <f t="shared" si="59"/>
        <v>2096.570000000007</v>
      </c>
      <c r="AI393" s="212" t="s">
        <v>532</v>
      </c>
      <c r="AJ393" s="212">
        <v>507375</v>
      </c>
      <c r="AK393" s="212">
        <v>171015</v>
      </c>
      <c r="AL393" s="212">
        <v>0</v>
      </c>
      <c r="AM393" s="212">
        <v>265024.2</v>
      </c>
      <c r="AN393" s="212">
        <v>71335.8</v>
      </c>
      <c r="AO393" s="176">
        <v>0</v>
      </c>
      <c r="AP393" s="176">
        <v>0</v>
      </c>
      <c r="AQ393" s="176">
        <v>0</v>
      </c>
      <c r="AR393" s="212">
        <f t="shared" si="60"/>
        <v>87604.229999999981</v>
      </c>
      <c r="AS393" s="212">
        <f t="shared" si="61"/>
        <v>417674.2</v>
      </c>
      <c r="AT393" s="473">
        <f t="shared" si="62"/>
        <v>348434.97000000003</v>
      </c>
      <c r="AU393" s="478"/>
    </row>
    <row r="394" spans="1:47" s="35" customFormat="1" ht="29" hidden="1" x14ac:dyDescent="0.35">
      <c r="A394" s="35" t="s">
        <v>1200</v>
      </c>
      <c r="B394" s="224" t="s">
        <v>955</v>
      </c>
      <c r="C394" s="222" t="s">
        <v>19</v>
      </c>
      <c r="D394" s="136">
        <v>8471160</v>
      </c>
      <c r="E394" s="137" t="s">
        <v>529</v>
      </c>
      <c r="F394" s="138">
        <v>432209</v>
      </c>
      <c r="G394" s="137" t="s">
        <v>132</v>
      </c>
      <c r="H394" s="137" t="s">
        <v>533</v>
      </c>
      <c r="I394" s="137">
        <v>15319303</v>
      </c>
      <c r="J394" s="140">
        <v>13549303</v>
      </c>
      <c r="K394" s="141">
        <v>6443128.0300000003</v>
      </c>
      <c r="L394" s="148">
        <v>2912354.85</v>
      </c>
      <c r="M394" s="140">
        <v>4150387.85</v>
      </c>
      <c r="N394" s="144">
        <f t="shared" si="64"/>
        <v>43432.269999999553</v>
      </c>
      <c r="O394" s="145">
        <v>35000</v>
      </c>
      <c r="P394" s="145">
        <v>7000</v>
      </c>
      <c r="Q394" s="149">
        <v>1000</v>
      </c>
      <c r="R394" s="146" t="s">
        <v>819</v>
      </c>
      <c r="S394" s="254">
        <f t="shared" si="65"/>
        <v>432.26999999955297</v>
      </c>
      <c r="T394" s="172" t="s">
        <v>830</v>
      </c>
      <c r="U394" s="137" t="s">
        <v>533</v>
      </c>
      <c r="V394" s="261">
        <f t="shared" si="58"/>
        <v>432.26999999955297</v>
      </c>
      <c r="W394" s="261">
        <f t="shared" si="63"/>
        <v>-7232.730000000447</v>
      </c>
      <c r="X394" s="261"/>
      <c r="Y394" s="176" t="s">
        <v>722</v>
      </c>
      <c r="Z394" s="176"/>
      <c r="AA394" s="186">
        <v>13449303</v>
      </c>
      <c r="AB394" s="186">
        <v>6745037.5300000003</v>
      </c>
      <c r="AC394" s="186">
        <v>2423461.2999999998</v>
      </c>
      <c r="AD394" s="186">
        <v>3524448.07</v>
      </c>
      <c r="AE394" s="186">
        <v>756356.10000000009</v>
      </c>
      <c r="AF394" s="184">
        <v>756356.10000000102</v>
      </c>
      <c r="AG394" s="184">
        <v>-9.3132257461547852E-10</v>
      </c>
      <c r="AH394" s="212">
        <f t="shared" si="59"/>
        <v>755923.83000000054</v>
      </c>
      <c r="AI394" s="212" t="s">
        <v>533</v>
      </c>
      <c r="AJ394" s="212">
        <v>12849303</v>
      </c>
      <c r="AK394" s="212">
        <v>7215057.6900000004</v>
      </c>
      <c r="AL394" s="212">
        <v>1102830.8600000001</v>
      </c>
      <c r="AM394" s="212">
        <v>4376281.7</v>
      </c>
      <c r="AN394" s="212">
        <v>155132.75000000099</v>
      </c>
      <c r="AO394" s="176">
        <v>0</v>
      </c>
      <c r="AP394" s="176">
        <v>7665</v>
      </c>
      <c r="AQ394" s="176">
        <v>0</v>
      </c>
      <c r="AR394" s="212">
        <f t="shared" si="60"/>
        <v>-7232.730000000447</v>
      </c>
      <c r="AS394" s="212">
        <f t="shared" si="61"/>
        <v>12701611.9</v>
      </c>
      <c r="AT394" s="473">
        <f t="shared" si="62"/>
        <v>12710067.98</v>
      </c>
      <c r="AU394" s="478"/>
    </row>
    <row r="395" spans="1:47" s="35" customFormat="1" ht="29" hidden="1" x14ac:dyDescent="0.35">
      <c r="A395" s="35" t="s">
        <v>1200</v>
      </c>
      <c r="B395" s="224" t="s">
        <v>955</v>
      </c>
      <c r="C395" s="222" t="s">
        <v>19</v>
      </c>
      <c r="D395" s="136">
        <v>8471160</v>
      </c>
      <c r="E395" s="137" t="s">
        <v>529</v>
      </c>
      <c r="F395" s="138">
        <v>435508</v>
      </c>
      <c r="G395" s="137" t="s">
        <v>135</v>
      </c>
      <c r="H395" s="137" t="s">
        <v>534</v>
      </c>
      <c r="I395" s="137">
        <v>2753398</v>
      </c>
      <c r="J395" s="140">
        <v>4157398</v>
      </c>
      <c r="K395" s="141">
        <v>831180.13</v>
      </c>
      <c r="L395" s="148">
        <v>1143117.57</v>
      </c>
      <c r="M395" s="140">
        <v>802993.35</v>
      </c>
      <c r="N395" s="144">
        <f t="shared" si="64"/>
        <v>1380106.9499999997</v>
      </c>
      <c r="O395" s="149">
        <v>900000</v>
      </c>
      <c r="P395" s="149">
        <v>40000</v>
      </c>
      <c r="Q395" s="149">
        <v>5000</v>
      </c>
      <c r="R395" s="146" t="s">
        <v>820</v>
      </c>
      <c r="S395" s="254">
        <f t="shared" si="65"/>
        <v>435106.94999999972</v>
      </c>
      <c r="T395" s="172" t="s">
        <v>831</v>
      </c>
      <c r="U395" s="137" t="s">
        <v>534</v>
      </c>
      <c r="V395" s="261">
        <f t="shared" si="58"/>
        <v>435106.94999999972</v>
      </c>
      <c r="W395" s="261">
        <f t="shared" si="63"/>
        <v>424519.7999999997</v>
      </c>
      <c r="X395" s="261"/>
      <c r="Y395" s="176" t="s">
        <v>722</v>
      </c>
      <c r="Z395" s="176"/>
      <c r="AA395" s="186">
        <v>4097398</v>
      </c>
      <c r="AB395" s="186">
        <v>1132764.8899999999</v>
      </c>
      <c r="AC395" s="176">
        <v>690145.7</v>
      </c>
      <c r="AD395" s="176">
        <v>1640158.34</v>
      </c>
      <c r="AE395" s="186">
        <v>634329.07000000007</v>
      </c>
      <c r="AF395" s="35">
        <v>634329.06999999995</v>
      </c>
      <c r="AG395" s="212">
        <v>0</v>
      </c>
      <c r="AH395" s="212">
        <f t="shared" si="59"/>
        <v>199222.12000000034</v>
      </c>
      <c r="AI395" s="212" t="s">
        <v>534</v>
      </c>
      <c r="AJ395" s="212">
        <v>4696998</v>
      </c>
      <c r="AK395" s="212">
        <v>1037843.99</v>
      </c>
      <c r="AL395" s="212">
        <v>1602317.74</v>
      </c>
      <c r="AM395" s="212">
        <v>1620727.39</v>
      </c>
      <c r="AN395" s="212">
        <v>436108.88</v>
      </c>
      <c r="AO395" s="176">
        <v>0</v>
      </c>
      <c r="AP395" s="176">
        <v>10587.15</v>
      </c>
      <c r="AQ395" s="176">
        <v>0</v>
      </c>
      <c r="AR395" s="212">
        <f t="shared" si="60"/>
        <v>424519.7999999997</v>
      </c>
      <c r="AS395" s="212">
        <f t="shared" si="61"/>
        <v>3478656.0799999996</v>
      </c>
      <c r="AT395" s="473">
        <f t="shared" si="62"/>
        <v>3851956.4700000007</v>
      </c>
      <c r="AU395" s="478"/>
    </row>
    <row r="396" spans="1:47" s="35" customFormat="1" ht="29" hidden="1" x14ac:dyDescent="0.35">
      <c r="A396" s="35" t="s">
        <v>1200</v>
      </c>
      <c r="B396" s="224" t="s">
        <v>955</v>
      </c>
      <c r="C396" s="222" t="s">
        <v>19</v>
      </c>
      <c r="D396" s="136">
        <v>8471160</v>
      </c>
      <c r="E396" s="137" t="s">
        <v>529</v>
      </c>
      <c r="F396" s="138">
        <v>436600</v>
      </c>
      <c r="G396" s="137" t="s">
        <v>137</v>
      </c>
      <c r="H396" s="137" t="s">
        <v>535</v>
      </c>
      <c r="I396" s="137">
        <v>0</v>
      </c>
      <c r="J396" s="140">
        <v>20000</v>
      </c>
      <c r="K396" s="147"/>
      <c r="L396" s="142"/>
      <c r="M396" s="143"/>
      <c r="N396" s="144">
        <f t="shared" si="64"/>
        <v>20000</v>
      </c>
      <c r="O396" s="145">
        <v>20000</v>
      </c>
      <c r="P396" s="145">
        <v>0</v>
      </c>
      <c r="Q396" s="149">
        <v>0</v>
      </c>
      <c r="R396" s="146" t="s">
        <v>821</v>
      </c>
      <c r="S396" s="254">
        <f t="shared" si="65"/>
        <v>0</v>
      </c>
      <c r="T396" s="172"/>
      <c r="U396" s="137" t="s">
        <v>535</v>
      </c>
      <c r="V396" s="261">
        <f t="shared" si="58"/>
        <v>0</v>
      </c>
      <c r="W396" s="261">
        <f t="shared" si="63"/>
        <v>0</v>
      </c>
      <c r="X396" s="261"/>
      <c r="Y396" s="176" t="s">
        <v>722</v>
      </c>
      <c r="Z396" s="176"/>
      <c r="AA396" s="186">
        <v>20000</v>
      </c>
      <c r="AB396" s="186">
        <v>15359</v>
      </c>
      <c r="AC396" s="176">
        <v>0</v>
      </c>
      <c r="AD396" s="176">
        <v>0</v>
      </c>
      <c r="AE396" s="186">
        <v>4641</v>
      </c>
      <c r="AF396" s="35">
        <v>4641</v>
      </c>
      <c r="AG396" s="212">
        <v>0</v>
      </c>
      <c r="AH396" s="212">
        <f t="shared" si="59"/>
        <v>4641</v>
      </c>
      <c r="AI396" s="212" t="s">
        <v>535</v>
      </c>
      <c r="AJ396" s="212">
        <v>20000</v>
      </c>
      <c r="AK396" s="212">
        <v>15359</v>
      </c>
      <c r="AL396" s="212">
        <v>0</v>
      </c>
      <c r="AM396" s="212">
        <v>0</v>
      </c>
      <c r="AN396" s="212">
        <v>4641</v>
      </c>
      <c r="AO396" s="176">
        <v>0</v>
      </c>
      <c r="AP396" s="176">
        <v>0</v>
      </c>
      <c r="AQ396" s="176">
        <v>0</v>
      </c>
      <c r="AR396" s="212">
        <f t="shared" si="60"/>
        <v>0</v>
      </c>
      <c r="AS396" s="212">
        <f t="shared" si="61"/>
        <v>15359</v>
      </c>
      <c r="AT396" s="473">
        <f t="shared" si="62"/>
        <v>15359</v>
      </c>
      <c r="AU396" s="478"/>
    </row>
    <row r="397" spans="1:47" s="35" customFormat="1" ht="29" hidden="1" x14ac:dyDescent="0.35">
      <c r="A397" s="35" t="s">
        <v>1200</v>
      </c>
      <c r="B397" s="224" t="s">
        <v>955</v>
      </c>
      <c r="C397" s="222" t="s">
        <v>19</v>
      </c>
      <c r="D397" s="136">
        <v>8471170</v>
      </c>
      <c r="E397" s="137" t="s">
        <v>536</v>
      </c>
      <c r="F397" s="138">
        <v>420810</v>
      </c>
      <c r="G397" s="137" t="s">
        <v>466</v>
      </c>
      <c r="H397" s="137" t="s">
        <v>537</v>
      </c>
      <c r="I397" s="137">
        <v>1709607</v>
      </c>
      <c r="J397" s="140">
        <v>319000</v>
      </c>
      <c r="K397" s="147"/>
      <c r="L397" s="142"/>
      <c r="M397" s="143"/>
      <c r="N397" s="144">
        <f t="shared" si="64"/>
        <v>319000</v>
      </c>
      <c r="O397" s="145"/>
      <c r="P397" s="145"/>
      <c r="Q397" s="149"/>
      <c r="R397" s="146"/>
      <c r="S397" s="254">
        <f t="shared" si="65"/>
        <v>319000</v>
      </c>
      <c r="T397" s="172"/>
      <c r="U397" s="137" t="s">
        <v>537</v>
      </c>
      <c r="V397" s="261">
        <f t="shared" si="58"/>
        <v>319000</v>
      </c>
      <c r="W397" s="261">
        <f t="shared" si="63"/>
        <v>319000</v>
      </c>
      <c r="X397" s="261"/>
      <c r="Y397" s="176" t="s">
        <v>722</v>
      </c>
      <c r="Z397" s="176"/>
      <c r="AA397" s="186">
        <v>319000</v>
      </c>
      <c r="AB397" s="186">
        <v>0</v>
      </c>
      <c r="AC397" s="176">
        <v>0</v>
      </c>
      <c r="AD397" s="176">
        <v>0</v>
      </c>
      <c r="AE397" s="186">
        <v>319000</v>
      </c>
      <c r="AF397" s="35">
        <v>319000</v>
      </c>
      <c r="AG397" s="212">
        <v>0</v>
      </c>
      <c r="AH397" s="212">
        <f t="shared" si="59"/>
        <v>0</v>
      </c>
      <c r="AI397" s="212" t="s">
        <v>537</v>
      </c>
      <c r="AJ397" s="212">
        <v>319000</v>
      </c>
      <c r="AK397" s="212">
        <v>0</v>
      </c>
      <c r="AL397" s="212">
        <v>0</v>
      </c>
      <c r="AM397" s="212">
        <v>0</v>
      </c>
      <c r="AN397" s="212">
        <v>319000</v>
      </c>
      <c r="AO397" s="176">
        <v>0</v>
      </c>
      <c r="AP397" s="176">
        <v>0</v>
      </c>
      <c r="AQ397" s="176">
        <v>0</v>
      </c>
      <c r="AR397" s="212">
        <f t="shared" si="60"/>
        <v>319000</v>
      </c>
      <c r="AS397" s="212">
        <f t="shared" si="61"/>
        <v>0</v>
      </c>
      <c r="AT397" s="473">
        <f t="shared" si="62"/>
        <v>-319000</v>
      </c>
      <c r="AU397" s="478"/>
    </row>
    <row r="398" spans="1:47" s="35" customFormat="1" ht="29" hidden="1" x14ac:dyDescent="0.35">
      <c r="A398" s="35" t="s">
        <v>1200</v>
      </c>
      <c r="B398" s="231" t="s">
        <v>955</v>
      </c>
      <c r="C398" s="232" t="s">
        <v>19</v>
      </c>
      <c r="D398" s="233">
        <v>8471170</v>
      </c>
      <c r="E398" s="234" t="s">
        <v>536</v>
      </c>
      <c r="F398" s="235">
        <v>420811</v>
      </c>
      <c r="G398" s="234" t="s">
        <v>469</v>
      </c>
      <c r="H398" s="547" t="s">
        <v>538</v>
      </c>
      <c r="I398" s="234">
        <v>0</v>
      </c>
      <c r="J398" s="236">
        <v>1709607</v>
      </c>
      <c r="K398" s="237"/>
      <c r="L398" s="238">
        <v>871932.8</v>
      </c>
      <c r="M398" s="239"/>
      <c r="N398" s="240">
        <f t="shared" si="64"/>
        <v>837674.2</v>
      </c>
      <c r="O398" s="241"/>
      <c r="P398" s="241"/>
      <c r="Q398" s="250"/>
      <c r="R398" s="242"/>
      <c r="S398" s="255">
        <v>-10489500</v>
      </c>
      <c r="T398" s="244" t="s">
        <v>980</v>
      </c>
      <c r="U398" s="547" t="s">
        <v>538</v>
      </c>
      <c r="V398" s="261"/>
      <c r="W398" s="261">
        <f t="shared" si="63"/>
        <v>0</v>
      </c>
      <c r="X398" s="474">
        <v>10489500</v>
      </c>
      <c r="Y398" s="176" t="s">
        <v>722</v>
      </c>
      <c r="Z398" s="176"/>
      <c r="AA398" s="186">
        <v>1709607</v>
      </c>
      <c r="AB398" s="186">
        <v>0</v>
      </c>
      <c r="AC398" s="176">
        <v>320932.8</v>
      </c>
      <c r="AD398" s="176">
        <v>551000</v>
      </c>
      <c r="AE398" s="186">
        <v>837674.2</v>
      </c>
      <c r="AF398" s="35">
        <v>837674.2</v>
      </c>
      <c r="AG398" s="212">
        <v>0</v>
      </c>
      <c r="AH398" s="212">
        <f t="shared" si="59"/>
        <v>837674.2</v>
      </c>
      <c r="AI398" s="212" t="s">
        <v>538</v>
      </c>
      <c r="AJ398" s="212">
        <v>1709607</v>
      </c>
      <c r="AK398" s="212">
        <v>0</v>
      </c>
      <c r="AL398" s="212">
        <v>0</v>
      </c>
      <c r="AM398" s="212">
        <v>871932.8</v>
      </c>
      <c r="AN398" s="212">
        <v>837674.2</v>
      </c>
      <c r="AO398" s="176">
        <v>0</v>
      </c>
      <c r="AP398" s="176">
        <v>0</v>
      </c>
      <c r="AQ398" s="176">
        <v>0</v>
      </c>
      <c r="AR398" s="212">
        <f t="shared" si="60"/>
        <v>0</v>
      </c>
      <c r="AS398" s="212">
        <f t="shared" si="61"/>
        <v>871932.8</v>
      </c>
      <c r="AT398" s="473">
        <f t="shared" si="62"/>
        <v>11361432.800000001</v>
      </c>
      <c r="AU398" s="478"/>
    </row>
    <row r="399" spans="1:47" s="35" customFormat="1" ht="29" hidden="1" x14ac:dyDescent="0.35">
      <c r="A399" s="35" t="s">
        <v>1200</v>
      </c>
      <c r="B399" s="224" t="s">
        <v>955</v>
      </c>
      <c r="C399" s="222" t="s">
        <v>19</v>
      </c>
      <c r="D399" s="136">
        <v>8471170</v>
      </c>
      <c r="E399" s="137" t="s">
        <v>536</v>
      </c>
      <c r="F399" s="138">
        <v>425900</v>
      </c>
      <c r="G399" s="137" t="s">
        <v>35</v>
      </c>
      <c r="H399" s="137" t="s">
        <v>539</v>
      </c>
      <c r="I399" s="137">
        <v>10000</v>
      </c>
      <c r="J399" s="140">
        <v>10000</v>
      </c>
      <c r="K399" s="147"/>
      <c r="L399" s="142"/>
      <c r="M399" s="143"/>
      <c r="N399" s="144">
        <f t="shared" si="64"/>
        <v>10000</v>
      </c>
      <c r="O399" s="145"/>
      <c r="P399" s="145">
        <v>5000</v>
      </c>
      <c r="Q399" s="149"/>
      <c r="R399" s="146" t="s">
        <v>822</v>
      </c>
      <c r="S399" s="254">
        <f t="shared" si="65"/>
        <v>5000</v>
      </c>
      <c r="T399" s="172" t="s">
        <v>832</v>
      </c>
      <c r="U399" s="137" t="s">
        <v>539</v>
      </c>
      <c r="V399" s="261">
        <f t="shared" ref="V399:V426" si="66">S399</f>
        <v>5000</v>
      </c>
      <c r="W399" s="261">
        <f t="shared" si="63"/>
        <v>5000</v>
      </c>
      <c r="X399" s="261"/>
      <c r="Y399" s="176" t="s">
        <v>722</v>
      </c>
      <c r="Z399" s="176"/>
      <c r="AA399" s="186">
        <v>10000</v>
      </c>
      <c r="AB399" s="186">
        <v>0</v>
      </c>
      <c r="AC399" s="176">
        <v>0</v>
      </c>
      <c r="AD399" s="176">
        <v>0</v>
      </c>
      <c r="AE399" s="186">
        <v>10000</v>
      </c>
      <c r="AF399" s="35">
        <v>10000</v>
      </c>
      <c r="AG399" s="212">
        <v>0</v>
      </c>
      <c r="AH399" s="212">
        <f t="shared" si="59"/>
        <v>5000</v>
      </c>
      <c r="AI399" s="212" t="s">
        <v>539</v>
      </c>
      <c r="AJ399" s="212">
        <v>10000</v>
      </c>
      <c r="AK399" s="212">
        <v>0</v>
      </c>
      <c r="AL399" s="212">
        <v>0</v>
      </c>
      <c r="AM399" s="212">
        <v>0</v>
      </c>
      <c r="AN399" s="212">
        <v>10000</v>
      </c>
      <c r="AO399" s="176">
        <v>0</v>
      </c>
      <c r="AP399" s="176">
        <v>0</v>
      </c>
      <c r="AQ399" s="176">
        <v>0</v>
      </c>
      <c r="AR399" s="212">
        <f t="shared" si="60"/>
        <v>5000</v>
      </c>
      <c r="AS399" s="212">
        <f t="shared" si="61"/>
        <v>0</v>
      </c>
      <c r="AT399" s="473">
        <f t="shared" si="62"/>
        <v>-5000</v>
      </c>
      <c r="AU399" s="478"/>
    </row>
    <row r="400" spans="1:47" s="35" customFormat="1" ht="29" hidden="1" x14ac:dyDescent="0.35">
      <c r="A400" s="35" t="s">
        <v>1200</v>
      </c>
      <c r="B400" s="224" t="s">
        <v>955</v>
      </c>
      <c r="C400" s="222" t="s">
        <v>19</v>
      </c>
      <c r="D400" s="136">
        <v>8471170</v>
      </c>
      <c r="E400" s="137" t="s">
        <v>536</v>
      </c>
      <c r="F400" s="138">
        <v>426610</v>
      </c>
      <c r="G400" s="137" t="s">
        <v>37</v>
      </c>
      <c r="H400" s="137" t="s">
        <v>540</v>
      </c>
      <c r="I400" s="137">
        <v>2618576</v>
      </c>
      <c r="J400" s="140">
        <v>2299576</v>
      </c>
      <c r="K400" s="141">
        <v>751513.28</v>
      </c>
      <c r="L400" s="148">
        <v>34038.690000000097</v>
      </c>
      <c r="M400" s="140">
        <v>843285.47</v>
      </c>
      <c r="N400" s="144">
        <f t="shared" si="64"/>
        <v>670738.55999999982</v>
      </c>
      <c r="O400" s="145"/>
      <c r="P400" s="145"/>
      <c r="Q400" s="149"/>
      <c r="R400" s="146"/>
      <c r="S400" s="254">
        <f t="shared" si="65"/>
        <v>670738.55999999982</v>
      </c>
      <c r="T400" s="172" t="s">
        <v>833</v>
      </c>
      <c r="U400" s="137" t="s">
        <v>540</v>
      </c>
      <c r="V400" s="261">
        <f t="shared" si="66"/>
        <v>670738.55999999982</v>
      </c>
      <c r="W400" s="261">
        <f t="shared" si="63"/>
        <v>670738.55999999982</v>
      </c>
      <c r="X400" s="261"/>
      <c r="Y400" s="176" t="s">
        <v>722</v>
      </c>
      <c r="Z400" s="176"/>
      <c r="AA400" s="186">
        <v>2269576</v>
      </c>
      <c r="AB400" s="186">
        <v>1040409.21</v>
      </c>
      <c r="AC400" s="176">
        <v>30921.19</v>
      </c>
      <c r="AD400" s="176">
        <v>584990</v>
      </c>
      <c r="AE400" s="186">
        <v>613255.60000000009</v>
      </c>
      <c r="AF400" s="35">
        <v>613255.6</v>
      </c>
      <c r="AG400" s="212">
        <v>0</v>
      </c>
      <c r="AH400" s="212">
        <f t="shared" si="59"/>
        <v>-57482.95999999973</v>
      </c>
      <c r="AI400" s="212" t="s">
        <v>540</v>
      </c>
      <c r="AJ400" s="212">
        <v>2269576</v>
      </c>
      <c r="AK400" s="212">
        <v>1040409.21</v>
      </c>
      <c r="AL400" s="212">
        <v>-1.3099999999976699</v>
      </c>
      <c r="AM400" s="212">
        <v>614440</v>
      </c>
      <c r="AN400" s="212">
        <v>614728.1</v>
      </c>
      <c r="AO400" s="176">
        <v>0</v>
      </c>
      <c r="AP400" s="176">
        <v>0</v>
      </c>
      <c r="AQ400" s="176">
        <v>0</v>
      </c>
      <c r="AR400" s="212">
        <f t="shared" si="60"/>
        <v>670738.55999999982</v>
      </c>
      <c r="AS400" s="212">
        <f t="shared" si="61"/>
        <v>1656320.4</v>
      </c>
      <c r="AT400" s="473">
        <f t="shared" si="62"/>
        <v>984109.34000000008</v>
      </c>
      <c r="AU400" s="478"/>
    </row>
    <row r="401" spans="1:47" s="35" customFormat="1" ht="29" hidden="1" x14ac:dyDescent="0.35">
      <c r="A401" s="35" t="s">
        <v>1200</v>
      </c>
      <c r="B401" s="224" t="s">
        <v>955</v>
      </c>
      <c r="C401" s="222" t="s">
        <v>19</v>
      </c>
      <c r="D401" s="136">
        <v>8471170</v>
      </c>
      <c r="E401" s="137" t="s">
        <v>536</v>
      </c>
      <c r="F401" s="138">
        <v>428090</v>
      </c>
      <c r="G401" s="137" t="s">
        <v>39</v>
      </c>
      <c r="H401" s="137" t="s">
        <v>541</v>
      </c>
      <c r="I401" s="137">
        <v>45000</v>
      </c>
      <c r="J401" s="140">
        <v>12261</v>
      </c>
      <c r="K401" s="147"/>
      <c r="L401" s="142"/>
      <c r="M401" s="143"/>
      <c r="N401" s="144">
        <f t="shared" si="64"/>
        <v>12261</v>
      </c>
      <c r="O401" s="145">
        <v>12261</v>
      </c>
      <c r="P401" s="145"/>
      <c r="Q401" s="149"/>
      <c r="R401" s="146" t="s">
        <v>823</v>
      </c>
      <c r="S401" s="254">
        <f t="shared" si="65"/>
        <v>0</v>
      </c>
      <c r="T401" s="172"/>
      <c r="U401" s="137" t="s">
        <v>541</v>
      </c>
      <c r="V401" s="261">
        <f t="shared" si="66"/>
        <v>0</v>
      </c>
      <c r="W401" s="261">
        <f t="shared" si="63"/>
        <v>-22434.170000000002</v>
      </c>
      <c r="X401" s="261"/>
      <c r="Y401" s="176" t="s">
        <v>722</v>
      </c>
      <c r="Z401" s="176"/>
      <c r="AA401" s="186">
        <v>42261</v>
      </c>
      <c r="AB401" s="186">
        <v>21236.27</v>
      </c>
      <c r="AC401" s="176">
        <v>0</v>
      </c>
      <c r="AD401" s="176">
        <v>0</v>
      </c>
      <c r="AE401" s="186">
        <v>21024.73</v>
      </c>
      <c r="AF401" s="35">
        <v>21024.73</v>
      </c>
      <c r="AG401" s="212">
        <v>0</v>
      </c>
      <c r="AH401" s="212">
        <f t="shared" si="59"/>
        <v>21024.73</v>
      </c>
      <c r="AI401" s="212" t="s">
        <v>541</v>
      </c>
      <c r="AJ401" s="212">
        <v>42261</v>
      </c>
      <c r="AK401" s="212">
        <v>31751.27</v>
      </c>
      <c r="AL401" s="212">
        <v>0</v>
      </c>
      <c r="AM401" s="212">
        <v>0</v>
      </c>
      <c r="AN401" s="212">
        <v>10509.73</v>
      </c>
      <c r="AO401" s="176">
        <v>1960.68</v>
      </c>
      <c r="AP401" s="176">
        <v>0</v>
      </c>
      <c r="AQ401" s="176">
        <v>20473.490000000002</v>
      </c>
      <c r="AR401" s="212">
        <f t="shared" si="60"/>
        <v>-22434.170000000002</v>
      </c>
      <c r="AS401" s="212">
        <f t="shared" si="61"/>
        <v>43670.44</v>
      </c>
      <c r="AT401" s="473">
        <f t="shared" si="62"/>
        <v>76619.61</v>
      </c>
      <c r="AU401" s="478"/>
    </row>
    <row r="402" spans="1:47" s="35" customFormat="1" ht="43.5" x14ac:dyDescent="0.35">
      <c r="A402" s="35" t="s">
        <v>1194</v>
      </c>
      <c r="B402" s="224" t="s">
        <v>946</v>
      </c>
      <c r="C402" s="222" t="s">
        <v>19</v>
      </c>
      <c r="D402" s="136">
        <v>8471210</v>
      </c>
      <c r="E402" s="137" t="s">
        <v>542</v>
      </c>
      <c r="F402" s="138">
        <v>425900</v>
      </c>
      <c r="G402" s="137" t="s">
        <v>35</v>
      </c>
      <c r="H402" s="137" t="s">
        <v>543</v>
      </c>
      <c r="I402" s="137">
        <v>15000</v>
      </c>
      <c r="J402" s="140">
        <v>15000</v>
      </c>
      <c r="K402" s="141">
        <v>13795</v>
      </c>
      <c r="L402" s="148">
        <v>0</v>
      </c>
      <c r="M402" s="140">
        <v>0</v>
      </c>
      <c r="N402" s="144">
        <f t="shared" si="64"/>
        <v>1205</v>
      </c>
      <c r="O402" s="145"/>
      <c r="P402" s="145"/>
      <c r="Q402" s="149"/>
      <c r="R402" s="146"/>
      <c r="S402" s="254">
        <f t="shared" si="65"/>
        <v>1205</v>
      </c>
      <c r="T402" s="172"/>
      <c r="U402" s="137" t="s">
        <v>543</v>
      </c>
      <c r="V402" s="261">
        <f t="shared" si="66"/>
        <v>1205</v>
      </c>
      <c r="W402" s="261">
        <f t="shared" si="63"/>
        <v>1205</v>
      </c>
      <c r="X402" s="261"/>
      <c r="Y402" s="176" t="s">
        <v>722</v>
      </c>
      <c r="Z402" s="176"/>
      <c r="AA402" s="186">
        <v>15000</v>
      </c>
      <c r="AB402" s="186">
        <v>13795</v>
      </c>
      <c r="AC402" s="176">
        <v>0</v>
      </c>
      <c r="AD402" s="176">
        <v>0</v>
      </c>
      <c r="AE402" s="186">
        <v>1205</v>
      </c>
      <c r="AF402" s="35">
        <v>1205</v>
      </c>
      <c r="AG402" s="212">
        <v>0</v>
      </c>
      <c r="AH402" s="212">
        <f t="shared" si="59"/>
        <v>0</v>
      </c>
      <c r="AI402" s="212" t="s">
        <v>543</v>
      </c>
      <c r="AJ402" s="212">
        <v>15000</v>
      </c>
      <c r="AK402" s="212">
        <v>14792.5</v>
      </c>
      <c r="AL402" s="212">
        <v>0</v>
      </c>
      <c r="AM402" s="212">
        <v>0</v>
      </c>
      <c r="AN402" s="212">
        <v>207.5</v>
      </c>
      <c r="AO402" s="176">
        <v>0</v>
      </c>
      <c r="AP402" s="176">
        <v>0</v>
      </c>
      <c r="AQ402" s="176">
        <v>0</v>
      </c>
      <c r="AR402" s="212">
        <f t="shared" si="60"/>
        <v>1205</v>
      </c>
      <c r="AS402" s="212">
        <f t="shared" si="61"/>
        <v>13795</v>
      </c>
      <c r="AT402" s="473">
        <f t="shared" si="62"/>
        <v>13587.5</v>
      </c>
      <c r="AU402" s="478"/>
    </row>
    <row r="403" spans="1:47" s="35" customFormat="1" ht="43.5" x14ac:dyDescent="0.35">
      <c r="A403" s="35" t="s">
        <v>1194</v>
      </c>
      <c r="B403" s="224" t="s">
        <v>946</v>
      </c>
      <c r="C403" s="222" t="s">
        <v>19</v>
      </c>
      <c r="D403" s="136">
        <v>8471210</v>
      </c>
      <c r="E403" s="137" t="s">
        <v>542</v>
      </c>
      <c r="F403" s="138">
        <v>428090</v>
      </c>
      <c r="G403" s="137" t="s">
        <v>39</v>
      </c>
      <c r="H403" s="137" t="s">
        <v>544</v>
      </c>
      <c r="I403" s="137">
        <v>100000</v>
      </c>
      <c r="J403" s="140">
        <v>57246</v>
      </c>
      <c r="K403" s="141">
        <v>12000</v>
      </c>
      <c r="L403" s="142"/>
      <c r="M403" s="143"/>
      <c r="N403" s="144">
        <f t="shared" si="64"/>
        <v>45246</v>
      </c>
      <c r="O403" s="145"/>
      <c r="P403" s="145"/>
      <c r="Q403" s="149"/>
      <c r="R403" s="146" t="s">
        <v>853</v>
      </c>
      <c r="S403" s="254">
        <f t="shared" si="65"/>
        <v>45246</v>
      </c>
      <c r="T403" s="172"/>
      <c r="U403" s="137" t="s">
        <v>544</v>
      </c>
      <c r="V403" s="261">
        <f t="shared" si="66"/>
        <v>45246</v>
      </c>
      <c r="W403" s="261">
        <f t="shared" si="63"/>
        <v>45246</v>
      </c>
      <c r="X403" s="261"/>
      <c r="Y403" s="176" t="s">
        <v>722</v>
      </c>
      <c r="Z403" s="176"/>
      <c r="AA403" s="186">
        <v>57246</v>
      </c>
      <c r="AB403" s="186">
        <v>56700</v>
      </c>
      <c r="AC403" s="176">
        <v>0</v>
      </c>
      <c r="AD403" s="176">
        <v>0</v>
      </c>
      <c r="AE403" s="186">
        <v>546</v>
      </c>
      <c r="AF403" s="35">
        <v>546</v>
      </c>
      <c r="AG403" s="212">
        <v>0</v>
      </c>
      <c r="AH403" s="212">
        <f t="shared" si="59"/>
        <v>-44700</v>
      </c>
      <c r="AI403" s="212" t="s">
        <v>544</v>
      </c>
      <c r="AJ403" s="212">
        <v>57246</v>
      </c>
      <c r="AK403" s="212">
        <v>56700</v>
      </c>
      <c r="AL403" s="212">
        <v>0</v>
      </c>
      <c r="AM403" s="212">
        <v>0</v>
      </c>
      <c r="AN403" s="212">
        <v>546</v>
      </c>
      <c r="AO403" s="176">
        <v>0</v>
      </c>
      <c r="AP403" s="176">
        <v>0</v>
      </c>
      <c r="AQ403" s="176">
        <v>0</v>
      </c>
      <c r="AR403" s="212">
        <f t="shared" si="60"/>
        <v>45246</v>
      </c>
      <c r="AS403" s="212">
        <f t="shared" si="61"/>
        <v>56700</v>
      </c>
      <c r="AT403" s="473">
        <f t="shared" si="62"/>
        <v>11454</v>
      </c>
      <c r="AU403" s="478"/>
    </row>
    <row r="404" spans="1:47" s="35" customFormat="1" ht="43.5" x14ac:dyDescent="0.35">
      <c r="A404" s="35" t="s">
        <v>1194</v>
      </c>
      <c r="B404" s="224" t="s">
        <v>946</v>
      </c>
      <c r="C404" s="222" t="s">
        <v>19</v>
      </c>
      <c r="D404" s="136">
        <v>8471210</v>
      </c>
      <c r="E404" s="137" t="s">
        <v>542</v>
      </c>
      <c r="F404" s="138">
        <v>428640</v>
      </c>
      <c r="G404" s="137" t="s">
        <v>43</v>
      </c>
      <c r="H404" s="137" t="s">
        <v>545</v>
      </c>
      <c r="I404" s="137">
        <v>20000</v>
      </c>
      <c r="J404" s="140">
        <v>149</v>
      </c>
      <c r="K404" s="147"/>
      <c r="L404" s="142"/>
      <c r="M404" s="143"/>
      <c r="N404" s="144">
        <f t="shared" si="64"/>
        <v>149</v>
      </c>
      <c r="O404" s="145"/>
      <c r="P404" s="145"/>
      <c r="Q404" s="149"/>
      <c r="R404" s="146"/>
      <c r="S404" s="254">
        <f t="shared" si="65"/>
        <v>149</v>
      </c>
      <c r="T404" s="172"/>
      <c r="U404" s="137" t="s">
        <v>545</v>
      </c>
      <c r="V404" s="261">
        <f t="shared" si="66"/>
        <v>149</v>
      </c>
      <c r="W404" s="261">
        <f t="shared" si="63"/>
        <v>149</v>
      </c>
      <c r="X404" s="261"/>
      <c r="Y404" s="176" t="s">
        <v>722</v>
      </c>
      <c r="Z404" s="176"/>
      <c r="AA404" s="186">
        <v>149</v>
      </c>
      <c r="AB404" s="186">
        <v>0</v>
      </c>
      <c r="AC404" s="176">
        <v>0</v>
      </c>
      <c r="AD404" s="176">
        <v>0</v>
      </c>
      <c r="AE404" s="186">
        <v>149</v>
      </c>
      <c r="AF404" s="35">
        <v>149</v>
      </c>
      <c r="AG404" s="212">
        <v>0</v>
      </c>
      <c r="AH404" s="212">
        <f t="shared" si="59"/>
        <v>0</v>
      </c>
      <c r="AI404" s="212" t="s">
        <v>545</v>
      </c>
      <c r="AJ404" s="212">
        <v>149</v>
      </c>
      <c r="AK404" s="212">
        <v>0</v>
      </c>
      <c r="AL404" s="212">
        <v>0</v>
      </c>
      <c r="AM404" s="212">
        <v>0</v>
      </c>
      <c r="AN404" s="212">
        <v>149</v>
      </c>
      <c r="AO404" s="176">
        <v>0</v>
      </c>
      <c r="AP404" s="176">
        <v>0</v>
      </c>
      <c r="AQ404" s="176">
        <v>0</v>
      </c>
      <c r="AR404" s="212">
        <f t="shared" si="60"/>
        <v>149</v>
      </c>
      <c r="AS404" s="212">
        <f t="shared" si="61"/>
        <v>0</v>
      </c>
      <c r="AT404" s="473">
        <f t="shared" si="62"/>
        <v>-149</v>
      </c>
      <c r="AU404" s="478"/>
    </row>
    <row r="405" spans="1:47" s="35" customFormat="1" ht="43.5" x14ac:dyDescent="0.35">
      <c r="A405" s="35" t="s">
        <v>1194</v>
      </c>
      <c r="B405" s="224" t="s">
        <v>946</v>
      </c>
      <c r="C405" s="222" t="s">
        <v>19</v>
      </c>
      <c r="D405" s="136">
        <v>8471220</v>
      </c>
      <c r="E405" s="137" t="s">
        <v>549</v>
      </c>
      <c r="F405" s="138">
        <v>425510</v>
      </c>
      <c r="G405" s="137" t="s">
        <v>31</v>
      </c>
      <c r="H405" s="137" t="s">
        <v>550</v>
      </c>
      <c r="I405" s="137">
        <v>2200</v>
      </c>
      <c r="J405" s="140">
        <v>2200</v>
      </c>
      <c r="K405" s="147"/>
      <c r="L405" s="142"/>
      <c r="M405" s="143"/>
      <c r="N405" s="144">
        <f t="shared" si="64"/>
        <v>2200</v>
      </c>
      <c r="O405" s="145"/>
      <c r="P405" s="145"/>
      <c r="Q405" s="149"/>
      <c r="R405" s="146"/>
      <c r="S405" s="254">
        <f t="shared" si="65"/>
        <v>2200</v>
      </c>
      <c r="T405" s="172"/>
      <c r="U405" s="137" t="s">
        <v>550</v>
      </c>
      <c r="V405" s="261">
        <f t="shared" si="66"/>
        <v>2200</v>
      </c>
      <c r="W405" s="261">
        <f t="shared" si="63"/>
        <v>2200</v>
      </c>
      <c r="X405" s="261"/>
      <c r="Y405" s="176" t="s">
        <v>722</v>
      </c>
      <c r="Z405" s="176"/>
      <c r="AA405" s="186">
        <v>22200</v>
      </c>
      <c r="AB405" s="186">
        <v>8800</v>
      </c>
      <c r="AC405" s="176">
        <v>0</v>
      </c>
      <c r="AD405" s="176">
        <v>0</v>
      </c>
      <c r="AE405" s="186">
        <v>13400</v>
      </c>
      <c r="AF405" s="35">
        <v>13400</v>
      </c>
      <c r="AG405" s="212">
        <v>0</v>
      </c>
      <c r="AH405" s="212">
        <f t="shared" si="59"/>
        <v>11200</v>
      </c>
      <c r="AI405" s="212" t="s">
        <v>550</v>
      </c>
      <c r="AJ405" s="212">
        <v>22200</v>
      </c>
      <c r="AK405" s="212">
        <v>8800</v>
      </c>
      <c r="AL405" s="212">
        <v>0</v>
      </c>
      <c r="AM405" s="212">
        <v>0</v>
      </c>
      <c r="AN405" s="212">
        <v>13400</v>
      </c>
      <c r="AO405" s="176">
        <v>0</v>
      </c>
      <c r="AP405" s="176">
        <v>0</v>
      </c>
      <c r="AQ405" s="176">
        <v>0</v>
      </c>
      <c r="AR405" s="212">
        <f t="shared" si="60"/>
        <v>2200</v>
      </c>
      <c r="AS405" s="212">
        <f t="shared" si="61"/>
        <v>8800</v>
      </c>
      <c r="AT405" s="473">
        <f t="shared" si="62"/>
        <v>6600</v>
      </c>
      <c r="AU405" s="478"/>
    </row>
    <row r="406" spans="1:47" s="35" customFormat="1" ht="43.5" x14ac:dyDescent="0.35">
      <c r="A406" s="35" t="s">
        <v>1194</v>
      </c>
      <c r="B406" s="224" t="s">
        <v>946</v>
      </c>
      <c r="C406" s="222" t="s">
        <v>19</v>
      </c>
      <c r="D406" s="136">
        <v>8471220</v>
      </c>
      <c r="E406" s="137" t="s">
        <v>549</v>
      </c>
      <c r="F406" s="138">
        <v>425741</v>
      </c>
      <c r="G406" s="137" t="s">
        <v>551</v>
      </c>
      <c r="H406" s="137" t="s">
        <v>552</v>
      </c>
      <c r="I406" s="137">
        <v>80501600</v>
      </c>
      <c r="J406" s="140">
        <v>80582600</v>
      </c>
      <c r="K406" s="141">
        <v>49281401.380000003</v>
      </c>
      <c r="L406" s="142"/>
      <c r="M406" s="143"/>
      <c r="N406" s="144">
        <f t="shared" si="64"/>
        <v>31301198.619999997</v>
      </c>
      <c r="O406" s="149">
        <v>10243611</v>
      </c>
      <c r="P406" s="149">
        <v>10246984</v>
      </c>
      <c r="Q406" s="149">
        <v>7514454.9333333336</v>
      </c>
      <c r="R406" s="146"/>
      <c r="S406" s="254">
        <f t="shared" si="65"/>
        <v>3296148.6866666637</v>
      </c>
      <c r="T406" s="172" t="s">
        <v>884</v>
      </c>
      <c r="U406" s="137" t="s">
        <v>552</v>
      </c>
      <c r="V406" s="261">
        <f t="shared" si="66"/>
        <v>3296148.6866666637</v>
      </c>
      <c r="W406" s="261">
        <f t="shared" si="63"/>
        <v>3296148.6866666637</v>
      </c>
      <c r="X406" s="261"/>
      <c r="Y406" s="176" t="s">
        <v>722</v>
      </c>
      <c r="Z406" s="176"/>
      <c r="AA406" s="186">
        <v>80825600</v>
      </c>
      <c r="AB406" s="186">
        <v>59526469.380000003</v>
      </c>
      <c r="AC406" s="176">
        <v>0</v>
      </c>
      <c r="AD406" s="176">
        <v>0</v>
      </c>
      <c r="AE406" s="186">
        <v>21299130.619999997</v>
      </c>
      <c r="AF406" s="35">
        <v>21299130.620000001</v>
      </c>
      <c r="AG406" s="212">
        <v>0</v>
      </c>
      <c r="AH406" s="212">
        <f t="shared" si="59"/>
        <v>18002981.933333334</v>
      </c>
      <c r="AI406" s="212" t="s">
        <v>552</v>
      </c>
      <c r="AJ406" s="212">
        <v>80825600</v>
      </c>
      <c r="AK406" s="212">
        <v>69771996.379999995</v>
      </c>
      <c r="AL406" s="212">
        <v>0</v>
      </c>
      <c r="AM406" s="212">
        <v>0</v>
      </c>
      <c r="AN406" s="212">
        <v>11053603.619999999</v>
      </c>
      <c r="AO406" s="176">
        <v>0</v>
      </c>
      <c r="AP406" s="176">
        <v>0</v>
      </c>
      <c r="AQ406" s="176">
        <v>0</v>
      </c>
      <c r="AR406" s="212">
        <f t="shared" si="60"/>
        <v>3296148.6866666637</v>
      </c>
      <c r="AS406" s="212">
        <f t="shared" si="61"/>
        <v>67040924.313333333</v>
      </c>
      <c r="AT406" s="473">
        <f t="shared" si="62"/>
        <v>73990302.626666665</v>
      </c>
      <c r="AU406" s="478"/>
    </row>
    <row r="407" spans="1:47" s="35" customFormat="1" ht="43.5" x14ac:dyDescent="0.35">
      <c r="A407" s="35" t="s">
        <v>1194</v>
      </c>
      <c r="B407" s="224" t="s">
        <v>946</v>
      </c>
      <c r="C407" s="222" t="s">
        <v>19</v>
      </c>
      <c r="D407" s="136">
        <v>8471220</v>
      </c>
      <c r="E407" s="137" t="s">
        <v>549</v>
      </c>
      <c r="F407" s="138">
        <v>425745</v>
      </c>
      <c r="G407" s="137" t="s">
        <v>106</v>
      </c>
      <c r="H407" s="137" t="s">
        <v>553</v>
      </c>
      <c r="I407" s="137">
        <v>0</v>
      </c>
      <c r="J407" s="143"/>
      <c r="K407" s="141">
        <v>-11290.12</v>
      </c>
      <c r="L407" s="142"/>
      <c r="M407" s="143"/>
      <c r="N407" s="144">
        <f t="shared" si="64"/>
        <v>11290.12</v>
      </c>
      <c r="O407" s="145"/>
      <c r="P407" s="145"/>
      <c r="Q407" s="149"/>
      <c r="R407" s="146"/>
      <c r="S407" s="254">
        <f t="shared" si="65"/>
        <v>11290.12</v>
      </c>
      <c r="T407" s="172"/>
      <c r="U407" s="137" t="s">
        <v>553</v>
      </c>
      <c r="V407" s="261">
        <f t="shared" si="66"/>
        <v>11290.12</v>
      </c>
      <c r="W407" s="261">
        <f t="shared" si="63"/>
        <v>11290.12</v>
      </c>
      <c r="X407" s="261"/>
      <c r="Y407" s="176" t="s">
        <v>722</v>
      </c>
      <c r="Z407" s="176"/>
      <c r="AA407" s="186">
        <v>0</v>
      </c>
      <c r="AB407" s="186">
        <v>-14070.8</v>
      </c>
      <c r="AC407" s="176">
        <v>0</v>
      </c>
      <c r="AD407" s="176">
        <v>0</v>
      </c>
      <c r="AE407" s="186">
        <v>14070.8</v>
      </c>
      <c r="AF407" s="35">
        <v>14070.8</v>
      </c>
      <c r="AG407" s="212">
        <v>0</v>
      </c>
      <c r="AH407" s="212">
        <f t="shared" si="59"/>
        <v>2780.6799999999985</v>
      </c>
      <c r="AI407" s="212" t="s">
        <v>553</v>
      </c>
      <c r="AJ407" s="212">
        <v>0</v>
      </c>
      <c r="AK407" s="212">
        <v>-15194</v>
      </c>
      <c r="AL407" s="212">
        <v>0</v>
      </c>
      <c r="AM407" s="212">
        <v>0</v>
      </c>
      <c r="AN407" s="212">
        <v>15194</v>
      </c>
      <c r="AO407" s="176">
        <v>0</v>
      </c>
      <c r="AP407" s="176">
        <v>0</v>
      </c>
      <c r="AQ407" s="176">
        <v>0</v>
      </c>
      <c r="AR407" s="212">
        <f t="shared" si="60"/>
        <v>11290.12</v>
      </c>
      <c r="AS407" s="212">
        <f t="shared" si="61"/>
        <v>-14070.8</v>
      </c>
      <c r="AT407" s="473">
        <f t="shared" si="62"/>
        <v>-26484.120000000003</v>
      </c>
      <c r="AU407" s="478"/>
    </row>
    <row r="408" spans="1:47" s="35" customFormat="1" ht="43.5" x14ac:dyDescent="0.35">
      <c r="A408" s="35" t="s">
        <v>1194</v>
      </c>
      <c r="B408" s="224" t="s">
        <v>946</v>
      </c>
      <c r="C408" s="222" t="s">
        <v>19</v>
      </c>
      <c r="D408" s="136">
        <v>8471220</v>
      </c>
      <c r="E408" s="137" t="s">
        <v>549</v>
      </c>
      <c r="F408" s="138">
        <v>426900</v>
      </c>
      <c r="G408" s="137" t="s">
        <v>400</v>
      </c>
      <c r="H408" s="137" t="s">
        <v>554</v>
      </c>
      <c r="I408" s="137">
        <v>11000</v>
      </c>
      <c r="J408" s="140">
        <v>11000</v>
      </c>
      <c r="K408" s="147"/>
      <c r="L408" s="142"/>
      <c r="M408" s="143"/>
      <c r="N408" s="144">
        <f t="shared" si="64"/>
        <v>11000</v>
      </c>
      <c r="O408" s="145"/>
      <c r="P408" s="145"/>
      <c r="Q408" s="149"/>
      <c r="R408" s="146"/>
      <c r="S408" s="254">
        <f t="shared" si="65"/>
        <v>11000</v>
      </c>
      <c r="T408" s="172"/>
      <c r="U408" s="137" t="s">
        <v>554</v>
      </c>
      <c r="V408" s="261">
        <f t="shared" si="66"/>
        <v>11000</v>
      </c>
      <c r="W408" s="261">
        <f t="shared" si="63"/>
        <v>11000</v>
      </c>
      <c r="X408" s="261"/>
      <c r="Y408" s="176" t="s">
        <v>722</v>
      </c>
      <c r="Z408" s="176"/>
      <c r="AA408" s="186">
        <v>11000</v>
      </c>
      <c r="AB408" s="186">
        <v>0</v>
      </c>
      <c r="AC408" s="176">
        <v>0</v>
      </c>
      <c r="AD408" s="176">
        <v>0</v>
      </c>
      <c r="AE408" s="186">
        <v>11000</v>
      </c>
      <c r="AF408" s="35">
        <v>11000</v>
      </c>
      <c r="AG408" s="212">
        <v>0</v>
      </c>
      <c r="AH408" s="212">
        <f t="shared" si="59"/>
        <v>0</v>
      </c>
      <c r="AI408" s="212" t="s">
        <v>554</v>
      </c>
      <c r="AJ408" s="212">
        <v>11000</v>
      </c>
      <c r="AK408" s="212">
        <v>0</v>
      </c>
      <c r="AL408" s="212">
        <v>0</v>
      </c>
      <c r="AM408" s="212">
        <v>0</v>
      </c>
      <c r="AN408" s="212">
        <v>11000</v>
      </c>
      <c r="AO408" s="176">
        <v>0</v>
      </c>
      <c r="AP408" s="176">
        <v>0</v>
      </c>
      <c r="AQ408" s="176">
        <v>0</v>
      </c>
      <c r="AR408" s="212">
        <f t="shared" si="60"/>
        <v>11000</v>
      </c>
      <c r="AS408" s="212">
        <f t="shared" si="61"/>
        <v>0</v>
      </c>
      <c r="AT408" s="473">
        <f t="shared" si="62"/>
        <v>-11000</v>
      </c>
      <c r="AU408" s="478"/>
    </row>
    <row r="409" spans="1:47" s="35" customFormat="1" ht="43.5" x14ac:dyDescent="0.35">
      <c r="A409" s="35" t="s">
        <v>1194</v>
      </c>
      <c r="B409" s="224" t="s">
        <v>946</v>
      </c>
      <c r="C409" s="222" t="s">
        <v>19</v>
      </c>
      <c r="D409" s="136">
        <v>8471220</v>
      </c>
      <c r="E409" s="137" t="s">
        <v>549</v>
      </c>
      <c r="F409" s="138">
        <v>435340</v>
      </c>
      <c r="G409" s="137" t="s">
        <v>202</v>
      </c>
      <c r="H409" s="137" t="s">
        <v>555</v>
      </c>
      <c r="I409" s="137">
        <v>9500000</v>
      </c>
      <c r="J409" s="140">
        <v>9500000</v>
      </c>
      <c r="K409" s="141">
        <v>4279841.18</v>
      </c>
      <c r="L409" s="148">
        <v>4852865.17</v>
      </c>
      <c r="M409" s="140">
        <v>0</v>
      </c>
      <c r="N409" s="144">
        <f t="shared" si="64"/>
        <v>367293.65000000037</v>
      </c>
      <c r="O409" s="145"/>
      <c r="P409" s="145"/>
      <c r="Q409" s="149"/>
      <c r="R409" s="146"/>
      <c r="S409" s="254">
        <f t="shared" si="65"/>
        <v>367293.65000000037</v>
      </c>
      <c r="T409" s="172" t="s">
        <v>885</v>
      </c>
      <c r="U409" s="137" t="s">
        <v>555</v>
      </c>
      <c r="V409" s="261">
        <f t="shared" si="66"/>
        <v>367293.65000000037</v>
      </c>
      <c r="W409" s="261">
        <f t="shared" si="63"/>
        <v>367293.65000000037</v>
      </c>
      <c r="X409" s="261"/>
      <c r="Y409" s="176" t="s">
        <v>722</v>
      </c>
      <c r="Z409" s="176"/>
      <c r="AA409" s="186">
        <v>9500000</v>
      </c>
      <c r="AB409" s="186">
        <v>9132706.3499999996</v>
      </c>
      <c r="AC409" s="176">
        <v>0</v>
      </c>
      <c r="AD409" s="176">
        <v>0</v>
      </c>
      <c r="AE409" s="186">
        <v>367293.65000000037</v>
      </c>
      <c r="AF409" s="35">
        <v>367293.65</v>
      </c>
      <c r="AG409" s="212">
        <v>0</v>
      </c>
      <c r="AH409" s="212">
        <f t="shared" si="59"/>
        <v>0</v>
      </c>
      <c r="AI409" s="212" t="s">
        <v>555</v>
      </c>
      <c r="AJ409" s="212">
        <v>9500000</v>
      </c>
      <c r="AK409" s="212">
        <v>9132706.3499999996</v>
      </c>
      <c r="AL409" s="212">
        <v>0</v>
      </c>
      <c r="AM409" s="212">
        <v>0</v>
      </c>
      <c r="AN409" s="212">
        <v>367293.65</v>
      </c>
      <c r="AO409" s="176">
        <v>0</v>
      </c>
      <c r="AP409" s="176">
        <v>0</v>
      </c>
      <c r="AQ409" s="176">
        <v>0</v>
      </c>
      <c r="AR409" s="212">
        <f t="shared" si="60"/>
        <v>367293.65000000037</v>
      </c>
      <c r="AS409" s="212">
        <f t="shared" si="61"/>
        <v>9132706.3499999996</v>
      </c>
      <c r="AT409" s="473">
        <f t="shared" si="62"/>
        <v>8765412.6999999993</v>
      </c>
      <c r="AU409" s="478"/>
    </row>
    <row r="410" spans="1:47" s="35" customFormat="1" ht="43.5" x14ac:dyDescent="0.35">
      <c r="A410" s="35" t="s">
        <v>1194</v>
      </c>
      <c r="B410" s="224" t="s">
        <v>946</v>
      </c>
      <c r="C410" s="222" t="s">
        <v>19</v>
      </c>
      <c r="D410" s="136">
        <v>8471220</v>
      </c>
      <c r="E410" s="137" t="s">
        <v>549</v>
      </c>
      <c r="F410" s="138">
        <v>436110</v>
      </c>
      <c r="G410" s="137" t="s">
        <v>119</v>
      </c>
      <c r="H410" s="137" t="s">
        <v>556</v>
      </c>
      <c r="I410" s="137">
        <v>300000</v>
      </c>
      <c r="J410" s="140">
        <v>300000</v>
      </c>
      <c r="K410" s="141">
        <v>115500</v>
      </c>
      <c r="L410" s="148">
        <v>0</v>
      </c>
      <c r="M410" s="140">
        <v>0</v>
      </c>
      <c r="N410" s="144">
        <f t="shared" si="64"/>
        <v>184500</v>
      </c>
      <c r="O410" s="145"/>
      <c r="P410" s="145"/>
      <c r="Q410" s="149"/>
      <c r="R410" s="146"/>
      <c r="S410" s="254">
        <f t="shared" si="65"/>
        <v>184500</v>
      </c>
      <c r="T410" s="172" t="s">
        <v>886</v>
      </c>
      <c r="U410" s="137" t="s">
        <v>556</v>
      </c>
      <c r="V410" s="261">
        <f t="shared" si="66"/>
        <v>184500</v>
      </c>
      <c r="W410" s="261">
        <f t="shared" si="63"/>
        <v>184500</v>
      </c>
      <c r="X410" s="261"/>
      <c r="Y410" s="176" t="s">
        <v>722</v>
      </c>
      <c r="Z410" s="176"/>
      <c r="AA410" s="186">
        <v>280000</v>
      </c>
      <c r="AB410" s="186">
        <v>115500</v>
      </c>
      <c r="AC410" s="176">
        <v>0</v>
      </c>
      <c r="AD410" s="176">
        <v>15800</v>
      </c>
      <c r="AE410" s="186">
        <v>148700</v>
      </c>
      <c r="AF410" s="35">
        <v>148700</v>
      </c>
      <c r="AG410" s="212">
        <v>0</v>
      </c>
      <c r="AH410" s="212">
        <f t="shared" si="59"/>
        <v>-35800</v>
      </c>
      <c r="AI410" s="212" t="s">
        <v>556</v>
      </c>
      <c r="AJ410" s="212">
        <v>280000</v>
      </c>
      <c r="AK410" s="212">
        <v>115500</v>
      </c>
      <c r="AL410" s="212">
        <v>0</v>
      </c>
      <c r="AM410" s="212">
        <v>15800</v>
      </c>
      <c r="AN410" s="212">
        <v>148700</v>
      </c>
      <c r="AO410" s="176">
        <v>0</v>
      </c>
      <c r="AP410" s="176">
        <v>0</v>
      </c>
      <c r="AQ410" s="176">
        <v>0</v>
      </c>
      <c r="AR410" s="212">
        <f t="shared" si="60"/>
        <v>184500</v>
      </c>
      <c r="AS410" s="212">
        <f t="shared" si="61"/>
        <v>131300</v>
      </c>
      <c r="AT410" s="473">
        <f t="shared" si="62"/>
        <v>-53200</v>
      </c>
      <c r="AU410" s="478"/>
    </row>
    <row r="411" spans="1:47" s="35" customFormat="1" ht="43.5" x14ac:dyDescent="0.35">
      <c r="A411" s="35" t="s">
        <v>1194</v>
      </c>
      <c r="B411" s="224" t="s">
        <v>946</v>
      </c>
      <c r="C411" s="222" t="s">
        <v>19</v>
      </c>
      <c r="D411" s="136">
        <v>8471220</v>
      </c>
      <c r="E411" s="137" t="s">
        <v>549</v>
      </c>
      <c r="F411" s="138">
        <v>436120</v>
      </c>
      <c r="G411" s="137" t="s">
        <v>443</v>
      </c>
      <c r="H411" s="137" t="s">
        <v>557</v>
      </c>
      <c r="I411" s="137">
        <v>6000</v>
      </c>
      <c r="J411" s="140">
        <v>6000</v>
      </c>
      <c r="K411" s="147"/>
      <c r="L411" s="142"/>
      <c r="M411" s="143"/>
      <c r="N411" s="144">
        <f t="shared" si="64"/>
        <v>6000</v>
      </c>
      <c r="O411" s="145"/>
      <c r="P411" s="145"/>
      <c r="Q411" s="149"/>
      <c r="R411" s="146"/>
      <c r="S411" s="254">
        <f t="shared" si="65"/>
        <v>6000</v>
      </c>
      <c r="T411" s="172"/>
      <c r="U411" s="137" t="s">
        <v>557</v>
      </c>
      <c r="V411" s="261">
        <f t="shared" si="66"/>
        <v>6000</v>
      </c>
      <c r="W411" s="261">
        <f t="shared" si="63"/>
        <v>6000</v>
      </c>
      <c r="X411" s="261"/>
      <c r="Y411" s="176" t="s">
        <v>722</v>
      </c>
      <c r="Z411" s="176"/>
      <c r="AA411" s="186">
        <v>6000</v>
      </c>
      <c r="AB411" s="186">
        <v>0</v>
      </c>
      <c r="AC411" s="176">
        <v>0</v>
      </c>
      <c r="AD411" s="176">
        <v>0</v>
      </c>
      <c r="AE411" s="186">
        <v>6000</v>
      </c>
      <c r="AF411" s="35">
        <v>6000</v>
      </c>
      <c r="AG411" s="212">
        <v>0</v>
      </c>
      <c r="AH411" s="212">
        <f t="shared" si="59"/>
        <v>0</v>
      </c>
      <c r="AI411" s="212" t="s">
        <v>557</v>
      </c>
      <c r="AJ411" s="212">
        <v>6000</v>
      </c>
      <c r="AK411" s="212">
        <v>0</v>
      </c>
      <c r="AL411" s="212">
        <v>0</v>
      </c>
      <c r="AM411" s="212">
        <v>0</v>
      </c>
      <c r="AN411" s="212">
        <v>6000</v>
      </c>
      <c r="AO411" s="176">
        <v>0</v>
      </c>
      <c r="AP411" s="176">
        <v>0</v>
      </c>
      <c r="AQ411" s="176">
        <v>0</v>
      </c>
      <c r="AR411" s="212">
        <f t="shared" si="60"/>
        <v>6000</v>
      </c>
      <c r="AS411" s="212">
        <f t="shared" si="61"/>
        <v>0</v>
      </c>
      <c r="AT411" s="473">
        <f t="shared" si="62"/>
        <v>-6000</v>
      </c>
      <c r="AU411" s="478"/>
    </row>
    <row r="412" spans="1:47" s="35" customFormat="1" ht="43.5" x14ac:dyDescent="0.35">
      <c r="A412" s="35" t="s">
        <v>1194</v>
      </c>
      <c r="B412" s="224" t="s">
        <v>946</v>
      </c>
      <c r="C412" s="222" t="s">
        <v>19</v>
      </c>
      <c r="D412" s="136">
        <v>8471230</v>
      </c>
      <c r="E412" s="137" t="s">
        <v>558</v>
      </c>
      <c r="F412" s="138">
        <v>425742</v>
      </c>
      <c r="G412" s="137" t="s">
        <v>559</v>
      </c>
      <c r="H412" s="137" t="s">
        <v>560</v>
      </c>
      <c r="I412" s="137">
        <v>2000000</v>
      </c>
      <c r="J412" s="140">
        <v>1247000</v>
      </c>
      <c r="K412" s="141">
        <v>691086.57</v>
      </c>
      <c r="L412" s="148">
        <v>92515.74</v>
      </c>
      <c r="M412" s="140">
        <v>161631.32999999999</v>
      </c>
      <c r="N412" s="168">
        <f t="shared" si="64"/>
        <v>301766.3600000001</v>
      </c>
      <c r="O412" s="145"/>
      <c r="P412" s="145"/>
      <c r="Q412" s="149"/>
      <c r="R412" s="146" t="s">
        <v>854</v>
      </c>
      <c r="S412" s="257">
        <f t="shared" si="65"/>
        <v>301766.3600000001</v>
      </c>
      <c r="T412" s="172"/>
      <c r="U412" s="137" t="s">
        <v>560</v>
      </c>
      <c r="V412" s="261">
        <f t="shared" si="66"/>
        <v>301766.3600000001</v>
      </c>
      <c r="W412" s="261">
        <f t="shared" si="63"/>
        <v>292771.3600000001</v>
      </c>
      <c r="X412" s="261"/>
      <c r="Y412" s="176" t="s">
        <v>722</v>
      </c>
      <c r="Z412" s="176"/>
      <c r="AA412" s="186">
        <v>1552520</v>
      </c>
      <c r="AB412" s="186">
        <v>1310063.82</v>
      </c>
      <c r="AC412" s="176">
        <v>0</v>
      </c>
      <c r="AD412" s="176">
        <v>94651.33</v>
      </c>
      <c r="AE412" s="186">
        <v>147804.84999999992</v>
      </c>
      <c r="AF412" s="35">
        <v>147804.85</v>
      </c>
      <c r="AG412" s="212">
        <v>0</v>
      </c>
      <c r="AH412" s="212">
        <f t="shared" si="59"/>
        <v>-153961.51000000018</v>
      </c>
      <c r="AI412" s="212" t="s">
        <v>560</v>
      </c>
      <c r="AJ412" s="212">
        <v>1552520</v>
      </c>
      <c r="AK412" s="212">
        <v>1366366.08</v>
      </c>
      <c r="AL412" s="212">
        <v>0</v>
      </c>
      <c r="AM412" s="212">
        <v>94651.33</v>
      </c>
      <c r="AN412" s="212">
        <v>91502.589999999895</v>
      </c>
      <c r="AO412" s="176">
        <v>0</v>
      </c>
      <c r="AP412" s="176">
        <v>0</v>
      </c>
      <c r="AQ412" s="176">
        <v>8995</v>
      </c>
      <c r="AR412" s="212">
        <f t="shared" si="60"/>
        <v>292771.3600000001</v>
      </c>
      <c r="AS412" s="212">
        <f t="shared" si="61"/>
        <v>1413710.1500000001</v>
      </c>
      <c r="AT412" s="473">
        <f t="shared" si="62"/>
        <v>1177241.05</v>
      </c>
      <c r="AU412" s="478"/>
    </row>
    <row r="413" spans="1:47" s="35" customFormat="1" ht="43.5" x14ac:dyDescent="0.35">
      <c r="A413" s="35" t="s">
        <v>1194</v>
      </c>
      <c r="B413" s="224" t="s">
        <v>946</v>
      </c>
      <c r="C413" s="222" t="s">
        <v>19</v>
      </c>
      <c r="D413" s="136">
        <v>8471230</v>
      </c>
      <c r="E413" s="137" t="s">
        <v>558</v>
      </c>
      <c r="F413" s="138">
        <v>426610</v>
      </c>
      <c r="G413" s="137" t="s">
        <v>37</v>
      </c>
      <c r="H413" s="137" t="s">
        <v>561</v>
      </c>
      <c r="I413" s="137">
        <v>120000</v>
      </c>
      <c r="J413" s="140">
        <v>120000</v>
      </c>
      <c r="K413" s="141">
        <v>14479.23</v>
      </c>
      <c r="L413" s="142"/>
      <c r="M413" s="143"/>
      <c r="N413" s="144">
        <f t="shared" si="64"/>
        <v>105520.77</v>
      </c>
      <c r="O413" s="145"/>
      <c r="P413" s="145"/>
      <c r="Q413" s="149">
        <v>105521</v>
      </c>
      <c r="R413" s="146" t="s">
        <v>854</v>
      </c>
      <c r="S413" s="254">
        <f t="shared" si="65"/>
        <v>-0.22999999999592546</v>
      </c>
      <c r="T413" s="172"/>
      <c r="U413" s="137" t="s">
        <v>561</v>
      </c>
      <c r="V413" s="261">
        <f t="shared" si="66"/>
        <v>-0.22999999999592546</v>
      </c>
      <c r="W413" s="261">
        <f t="shared" si="63"/>
        <v>-0.22999999999592546</v>
      </c>
      <c r="X413" s="261"/>
      <c r="Y413" s="176" t="s">
        <v>722</v>
      </c>
      <c r="Z413" s="176"/>
      <c r="AA413" s="186">
        <v>14480</v>
      </c>
      <c r="AB413" s="186">
        <v>14479.23</v>
      </c>
      <c r="AC413" s="176">
        <v>0</v>
      </c>
      <c r="AD413" s="176">
        <v>0</v>
      </c>
      <c r="AE413" s="186">
        <v>0.77000000000043656</v>
      </c>
      <c r="AF413" s="35">
        <v>0.770000000000437</v>
      </c>
      <c r="AG413" s="212">
        <v>0</v>
      </c>
      <c r="AH413" s="212">
        <f t="shared" si="59"/>
        <v>0.99999999999636202</v>
      </c>
      <c r="AI413" s="212" t="s">
        <v>561</v>
      </c>
      <c r="AJ413" s="212">
        <v>14480</v>
      </c>
      <c r="AK413" s="212">
        <v>14479.23</v>
      </c>
      <c r="AL413" s="212">
        <v>0</v>
      </c>
      <c r="AM413" s="212">
        <v>0</v>
      </c>
      <c r="AN413" s="212">
        <v>0.770000000000437</v>
      </c>
      <c r="AO413" s="176">
        <v>0</v>
      </c>
      <c r="AP413" s="176">
        <v>0</v>
      </c>
      <c r="AQ413" s="176">
        <v>0</v>
      </c>
      <c r="AR413" s="212">
        <f t="shared" si="60"/>
        <v>-0.22999999999592546</v>
      </c>
      <c r="AS413" s="212">
        <f t="shared" si="61"/>
        <v>120000.23</v>
      </c>
      <c r="AT413" s="473">
        <f t="shared" si="62"/>
        <v>120000.45999999999</v>
      </c>
      <c r="AU413" s="478"/>
    </row>
    <row r="414" spans="1:47" s="35" customFormat="1" ht="43.5" x14ac:dyDescent="0.35">
      <c r="A414" s="35" t="s">
        <v>1194</v>
      </c>
      <c r="B414" s="224" t="s">
        <v>946</v>
      </c>
      <c r="C414" s="222" t="s">
        <v>19</v>
      </c>
      <c r="D414" s="136">
        <v>8471240</v>
      </c>
      <c r="E414" s="137" t="s">
        <v>562</v>
      </c>
      <c r="F414" s="138">
        <v>425510</v>
      </c>
      <c r="G414" s="137" t="s">
        <v>31</v>
      </c>
      <c r="H414" s="137" t="s">
        <v>563</v>
      </c>
      <c r="I414" s="137">
        <v>220000</v>
      </c>
      <c r="J414" s="140">
        <v>220000</v>
      </c>
      <c r="K414" s="141">
        <v>51401.25</v>
      </c>
      <c r="L414" s="148">
        <v>0</v>
      </c>
      <c r="M414" s="140">
        <v>0</v>
      </c>
      <c r="N414" s="144">
        <f t="shared" si="64"/>
        <v>168598.75</v>
      </c>
      <c r="O414" s="145"/>
      <c r="P414" s="145"/>
      <c r="Q414" s="149">
        <v>168599</v>
      </c>
      <c r="R414" s="146"/>
      <c r="S414" s="254">
        <f t="shared" si="65"/>
        <v>-0.25</v>
      </c>
      <c r="T414" s="172" t="s">
        <v>887</v>
      </c>
      <c r="U414" s="137" t="s">
        <v>563</v>
      </c>
      <c r="V414" s="261">
        <f t="shared" si="66"/>
        <v>-0.25</v>
      </c>
      <c r="W414" s="261">
        <f t="shared" si="63"/>
        <v>-0.25</v>
      </c>
      <c r="X414" s="261"/>
      <c r="Y414" s="176" t="s">
        <v>722</v>
      </c>
      <c r="Z414" s="176"/>
      <c r="AA414" s="186">
        <v>85000</v>
      </c>
      <c r="AB414" s="186">
        <v>52661.440000000002</v>
      </c>
      <c r="AC414" s="176">
        <v>0</v>
      </c>
      <c r="AD414" s="176">
        <v>0</v>
      </c>
      <c r="AE414" s="186">
        <v>32338.559999999998</v>
      </c>
      <c r="AF414" s="35">
        <v>32338.560000000001</v>
      </c>
      <c r="AG414" s="212">
        <v>0</v>
      </c>
      <c r="AH414" s="212">
        <f t="shared" si="59"/>
        <v>32338.809999999998</v>
      </c>
      <c r="AI414" s="212" t="s">
        <v>563</v>
      </c>
      <c r="AJ414" s="212">
        <v>85000</v>
      </c>
      <c r="AK414" s="212">
        <v>67336.44</v>
      </c>
      <c r="AL414" s="212">
        <v>0</v>
      </c>
      <c r="AM414" s="212">
        <v>0</v>
      </c>
      <c r="AN414" s="212">
        <v>16193.56</v>
      </c>
      <c r="AO414" s="176">
        <v>0</v>
      </c>
      <c r="AP414" s="176">
        <v>0</v>
      </c>
      <c r="AQ414" s="176">
        <v>0</v>
      </c>
      <c r="AR414" s="212">
        <f t="shared" si="60"/>
        <v>-0.25</v>
      </c>
      <c r="AS414" s="212">
        <f t="shared" si="61"/>
        <v>221260.44</v>
      </c>
      <c r="AT414" s="473">
        <f t="shared" si="62"/>
        <v>235935.69</v>
      </c>
      <c r="AU414" s="478"/>
    </row>
    <row r="415" spans="1:47" s="35" customFormat="1" ht="43.5" x14ac:dyDescent="0.35">
      <c r="A415" s="35" t="s">
        <v>1194</v>
      </c>
      <c r="B415" s="224" t="s">
        <v>946</v>
      </c>
      <c r="C415" s="222" t="s">
        <v>19</v>
      </c>
      <c r="D415" s="136">
        <v>8471240</v>
      </c>
      <c r="E415" s="137" t="s">
        <v>562</v>
      </c>
      <c r="F415" s="138">
        <v>425720</v>
      </c>
      <c r="G415" s="137" t="s">
        <v>224</v>
      </c>
      <c r="H415" s="137" t="s">
        <v>564</v>
      </c>
      <c r="I415" s="137">
        <v>128000</v>
      </c>
      <c r="J415" s="140">
        <v>128000</v>
      </c>
      <c r="K415" s="147"/>
      <c r="L415" s="142"/>
      <c r="M415" s="143"/>
      <c r="N415" s="144">
        <f t="shared" si="64"/>
        <v>128000</v>
      </c>
      <c r="O415" s="145"/>
      <c r="P415" s="145"/>
      <c r="Q415" s="149"/>
      <c r="R415" s="146" t="s">
        <v>855</v>
      </c>
      <c r="S415" s="254">
        <f t="shared" si="65"/>
        <v>128000</v>
      </c>
      <c r="T415" s="172"/>
      <c r="U415" s="137" t="s">
        <v>564</v>
      </c>
      <c r="V415" s="261">
        <f t="shared" si="66"/>
        <v>128000</v>
      </c>
      <c r="W415" s="261">
        <f t="shared" si="63"/>
        <v>-117500</v>
      </c>
      <c r="X415" s="261"/>
      <c r="Y415" s="176" t="s">
        <v>722</v>
      </c>
      <c r="Z415" s="176"/>
      <c r="AA415" s="186">
        <v>228000</v>
      </c>
      <c r="AB415" s="186">
        <v>0</v>
      </c>
      <c r="AC415" s="176">
        <v>0</v>
      </c>
      <c r="AD415" s="176">
        <v>0</v>
      </c>
      <c r="AE415" s="186">
        <v>228000</v>
      </c>
      <c r="AF415" s="35">
        <v>228000</v>
      </c>
      <c r="AG415" s="212">
        <v>0</v>
      </c>
      <c r="AH415" s="212">
        <f t="shared" si="59"/>
        <v>100000</v>
      </c>
      <c r="AI415" s="212" t="s">
        <v>564</v>
      </c>
      <c r="AJ415" s="212">
        <v>246000</v>
      </c>
      <c r="AK415" s="212">
        <v>0</v>
      </c>
      <c r="AL415" s="212">
        <v>0</v>
      </c>
      <c r="AM415" s="212">
        <v>0</v>
      </c>
      <c r="AN415" s="212">
        <v>246000</v>
      </c>
      <c r="AO415" s="176">
        <v>0</v>
      </c>
      <c r="AP415" s="176">
        <v>245500</v>
      </c>
      <c r="AQ415" s="176">
        <v>0</v>
      </c>
      <c r="AR415" s="212">
        <f t="shared" si="60"/>
        <v>-117500</v>
      </c>
      <c r="AS415" s="212">
        <f t="shared" si="61"/>
        <v>245500</v>
      </c>
      <c r="AT415" s="473">
        <f t="shared" si="62"/>
        <v>363000</v>
      </c>
      <c r="AU415" s="478"/>
    </row>
    <row r="416" spans="1:47" s="35" customFormat="1" ht="43.5" x14ac:dyDescent="0.35">
      <c r="A416" s="35" t="s">
        <v>1194</v>
      </c>
      <c r="B416" s="224" t="s">
        <v>946</v>
      </c>
      <c r="C416" s="222" t="s">
        <v>19</v>
      </c>
      <c r="D416" s="136">
        <v>8471240</v>
      </c>
      <c r="E416" s="137" t="s">
        <v>562</v>
      </c>
      <c r="F416" s="138">
        <v>425750</v>
      </c>
      <c r="G416" s="137" t="s">
        <v>565</v>
      </c>
      <c r="H416" s="137" t="s">
        <v>566</v>
      </c>
      <c r="I416" s="137">
        <v>23000</v>
      </c>
      <c r="J416" s="140">
        <v>23000</v>
      </c>
      <c r="K416" s="147"/>
      <c r="L416" s="142"/>
      <c r="M416" s="143"/>
      <c r="N416" s="144">
        <f t="shared" si="64"/>
        <v>23000</v>
      </c>
      <c r="O416" s="145"/>
      <c r="P416" s="145"/>
      <c r="Q416" s="149"/>
      <c r="R416" s="146"/>
      <c r="S416" s="254">
        <f t="shared" si="65"/>
        <v>23000</v>
      </c>
      <c r="T416" s="172"/>
      <c r="U416" s="137" t="s">
        <v>566</v>
      </c>
      <c r="V416" s="261">
        <f t="shared" si="66"/>
        <v>23000</v>
      </c>
      <c r="W416" s="261">
        <f t="shared" si="63"/>
        <v>23000</v>
      </c>
      <c r="X416" s="261"/>
      <c r="Y416" s="176" t="s">
        <v>722</v>
      </c>
      <c r="Z416" s="176"/>
      <c r="AA416" s="186">
        <v>23000</v>
      </c>
      <c r="AB416" s="186">
        <v>0</v>
      </c>
      <c r="AC416" s="176">
        <v>0</v>
      </c>
      <c r="AD416" s="176">
        <v>0</v>
      </c>
      <c r="AE416" s="186">
        <v>23000</v>
      </c>
      <c r="AF416" s="35">
        <v>23000</v>
      </c>
      <c r="AG416" s="212">
        <v>0</v>
      </c>
      <c r="AH416" s="212">
        <f t="shared" si="59"/>
        <v>0</v>
      </c>
      <c r="AI416" s="212" t="s">
        <v>566</v>
      </c>
      <c r="AJ416" s="212">
        <v>23000</v>
      </c>
      <c r="AK416" s="212">
        <v>0</v>
      </c>
      <c r="AL416" s="212">
        <v>0</v>
      </c>
      <c r="AM416" s="212">
        <v>0</v>
      </c>
      <c r="AN416" s="212">
        <v>23000</v>
      </c>
      <c r="AO416" s="176">
        <v>0</v>
      </c>
      <c r="AP416" s="176">
        <v>0</v>
      </c>
      <c r="AQ416" s="176">
        <v>0</v>
      </c>
      <c r="AR416" s="212">
        <f t="shared" si="60"/>
        <v>23000</v>
      </c>
      <c r="AS416" s="212">
        <f t="shared" si="61"/>
        <v>0</v>
      </c>
      <c r="AT416" s="473">
        <f t="shared" si="62"/>
        <v>-23000</v>
      </c>
      <c r="AU416" s="478"/>
    </row>
    <row r="417" spans="1:47" s="35" customFormat="1" ht="43.5" x14ac:dyDescent="0.35">
      <c r="A417" s="35" t="s">
        <v>1194</v>
      </c>
      <c r="B417" s="224" t="s">
        <v>946</v>
      </c>
      <c r="C417" s="222" t="s">
        <v>19</v>
      </c>
      <c r="D417" s="136">
        <v>8471240</v>
      </c>
      <c r="E417" s="137" t="s">
        <v>562</v>
      </c>
      <c r="F417" s="138">
        <v>425761</v>
      </c>
      <c r="G417" s="137" t="s">
        <v>110</v>
      </c>
      <c r="H417" s="137" t="s">
        <v>567</v>
      </c>
      <c r="I417" s="137">
        <v>800000</v>
      </c>
      <c r="J417" s="140">
        <v>800000</v>
      </c>
      <c r="K417" s="141">
        <v>325555.34999999998</v>
      </c>
      <c r="L417" s="142"/>
      <c r="M417" s="143"/>
      <c r="N417" s="144">
        <f t="shared" si="64"/>
        <v>474444.65</v>
      </c>
      <c r="O417" s="145"/>
      <c r="P417" s="145"/>
      <c r="Q417" s="149">
        <v>474445</v>
      </c>
      <c r="R417" s="146" t="s">
        <v>856</v>
      </c>
      <c r="S417" s="257">
        <f t="shared" si="65"/>
        <v>-0.34999999997671694</v>
      </c>
      <c r="T417" s="172"/>
      <c r="U417" s="137" t="s">
        <v>567</v>
      </c>
      <c r="V417" s="261">
        <f t="shared" si="66"/>
        <v>-0.34999999997671694</v>
      </c>
      <c r="W417" s="261">
        <f t="shared" si="63"/>
        <v>-105923.07424999998</v>
      </c>
      <c r="X417" s="261"/>
      <c r="Y417" s="176" t="s">
        <v>722</v>
      </c>
      <c r="Z417" s="176"/>
      <c r="AA417" s="186">
        <v>792290</v>
      </c>
      <c r="AB417" s="186">
        <v>325555.34999999998</v>
      </c>
      <c r="AC417" s="176">
        <v>0</v>
      </c>
      <c r="AD417" s="176">
        <v>0</v>
      </c>
      <c r="AE417" s="186">
        <v>466734.65</v>
      </c>
      <c r="AF417" s="35">
        <v>466734.65</v>
      </c>
      <c r="AG417" s="212">
        <v>0</v>
      </c>
      <c r="AH417" s="212">
        <f t="shared" si="59"/>
        <v>466735</v>
      </c>
      <c r="AI417" s="212" t="s">
        <v>567</v>
      </c>
      <c r="AJ417" s="212">
        <v>792290</v>
      </c>
      <c r="AK417" s="212">
        <v>325555.34999999998</v>
      </c>
      <c r="AL417" s="212">
        <v>0</v>
      </c>
      <c r="AM417" s="212">
        <v>0</v>
      </c>
      <c r="AN417" s="212">
        <v>466734.65</v>
      </c>
      <c r="AO417" s="176">
        <v>0</v>
      </c>
      <c r="AP417" s="176">
        <v>105922.72425</v>
      </c>
      <c r="AQ417" s="176">
        <v>0</v>
      </c>
      <c r="AR417" s="212">
        <f t="shared" si="60"/>
        <v>-105923.07424999998</v>
      </c>
      <c r="AS417" s="212">
        <f t="shared" si="61"/>
        <v>905923.07424999995</v>
      </c>
      <c r="AT417" s="473">
        <f t="shared" si="62"/>
        <v>1011846.1484999999</v>
      </c>
      <c r="AU417" s="478"/>
    </row>
    <row r="418" spans="1:47" s="35" customFormat="1" ht="43.5" x14ac:dyDescent="0.35">
      <c r="A418" s="35" t="s">
        <v>1194</v>
      </c>
      <c r="B418" s="224" t="s">
        <v>946</v>
      </c>
      <c r="C418" s="222" t="s">
        <v>19</v>
      </c>
      <c r="D418" s="136">
        <v>8471240</v>
      </c>
      <c r="E418" s="137" t="s">
        <v>562</v>
      </c>
      <c r="F418" s="138">
        <v>425900</v>
      </c>
      <c r="G418" s="137" t="s">
        <v>35</v>
      </c>
      <c r="H418" s="137" t="s">
        <v>568</v>
      </c>
      <c r="I418" s="137">
        <v>24000</v>
      </c>
      <c r="J418" s="140">
        <v>24000</v>
      </c>
      <c r="K418" s="141">
        <v>2294.25</v>
      </c>
      <c r="L418" s="142"/>
      <c r="M418" s="143"/>
      <c r="N418" s="144">
        <f t="shared" si="64"/>
        <v>21705.75</v>
      </c>
      <c r="O418" s="145"/>
      <c r="P418" s="145"/>
      <c r="Q418" s="149"/>
      <c r="R418" s="146"/>
      <c r="S418" s="254">
        <f t="shared" si="65"/>
        <v>21705.75</v>
      </c>
      <c r="T418" s="172"/>
      <c r="U418" s="137" t="s">
        <v>568</v>
      </c>
      <c r="V418" s="261">
        <f t="shared" si="66"/>
        <v>21705.75</v>
      </c>
      <c r="W418" s="261">
        <f t="shared" si="63"/>
        <v>21705.75</v>
      </c>
      <c r="X418" s="261"/>
      <c r="Y418" s="176" t="s">
        <v>722</v>
      </c>
      <c r="Z418" s="176"/>
      <c r="AA418" s="186">
        <v>24000</v>
      </c>
      <c r="AB418" s="186">
        <v>2682.75</v>
      </c>
      <c r="AC418" s="176">
        <v>0</v>
      </c>
      <c r="AD418" s="176">
        <v>0</v>
      </c>
      <c r="AE418" s="186">
        <v>21317.25</v>
      </c>
      <c r="AF418" s="35">
        <v>21317.25</v>
      </c>
      <c r="AG418" s="212">
        <v>0</v>
      </c>
      <c r="AH418" s="212">
        <f t="shared" si="59"/>
        <v>-388.5</v>
      </c>
      <c r="AI418" s="212" t="s">
        <v>568</v>
      </c>
      <c r="AJ418" s="212">
        <v>24000</v>
      </c>
      <c r="AK418" s="212">
        <v>7722.75</v>
      </c>
      <c r="AL418" s="212">
        <v>0</v>
      </c>
      <c r="AM418" s="212">
        <v>0</v>
      </c>
      <c r="AN418" s="212">
        <v>16277.25</v>
      </c>
      <c r="AO418" s="176">
        <v>0</v>
      </c>
      <c r="AP418" s="176">
        <v>0</v>
      </c>
      <c r="AQ418" s="176">
        <v>0</v>
      </c>
      <c r="AR418" s="212">
        <f t="shared" si="60"/>
        <v>21705.75</v>
      </c>
      <c r="AS418" s="212">
        <f t="shared" si="61"/>
        <v>2682.75</v>
      </c>
      <c r="AT418" s="473">
        <f t="shared" si="62"/>
        <v>-13983</v>
      </c>
      <c r="AU418" s="478"/>
    </row>
    <row r="419" spans="1:47" s="35" customFormat="1" ht="43.5" x14ac:dyDescent="0.35">
      <c r="A419" s="35" t="s">
        <v>1194</v>
      </c>
      <c r="B419" s="224" t="s">
        <v>946</v>
      </c>
      <c r="C419" s="222" t="s">
        <v>19</v>
      </c>
      <c r="D419" s="136">
        <v>8471240</v>
      </c>
      <c r="E419" s="137" t="s">
        <v>562</v>
      </c>
      <c r="F419" s="138">
        <v>426610</v>
      </c>
      <c r="G419" s="137" t="s">
        <v>37</v>
      </c>
      <c r="H419" s="137" t="s">
        <v>569</v>
      </c>
      <c r="I419" s="137">
        <v>0</v>
      </c>
      <c r="J419" s="140">
        <v>363000</v>
      </c>
      <c r="K419" s="147"/>
      <c r="L419" s="148">
        <v>0</v>
      </c>
      <c r="M419" s="140">
        <v>362782.21</v>
      </c>
      <c r="N419" s="144">
        <f t="shared" si="64"/>
        <v>217.78999999997905</v>
      </c>
      <c r="O419" s="145"/>
      <c r="P419" s="145"/>
      <c r="Q419" s="149"/>
      <c r="R419" s="146"/>
      <c r="S419" s="254">
        <f t="shared" si="65"/>
        <v>217.78999999997905</v>
      </c>
      <c r="T419" s="172"/>
      <c r="U419" s="137" t="s">
        <v>569</v>
      </c>
      <c r="V419" s="261">
        <f t="shared" si="66"/>
        <v>217.78999999997905</v>
      </c>
      <c r="W419" s="261">
        <f t="shared" si="63"/>
        <v>217.78999999997905</v>
      </c>
      <c r="X419" s="261"/>
      <c r="Y419" s="176" t="s">
        <v>722</v>
      </c>
      <c r="Z419" s="176"/>
      <c r="AA419" s="186">
        <v>363000</v>
      </c>
      <c r="AB419" s="186">
        <v>0</v>
      </c>
      <c r="AC419" s="176">
        <v>0</v>
      </c>
      <c r="AD419" s="176">
        <v>362782.21</v>
      </c>
      <c r="AE419" s="186">
        <v>217.78999999997905</v>
      </c>
      <c r="AF419" s="35">
        <v>217.78999999997899</v>
      </c>
      <c r="AG419" s="212">
        <v>0</v>
      </c>
      <c r="AH419" s="212">
        <f t="shared" si="59"/>
        <v>0</v>
      </c>
      <c r="AI419" s="212" t="s">
        <v>569</v>
      </c>
      <c r="AJ419" s="212">
        <v>363000</v>
      </c>
      <c r="AK419" s="212">
        <v>145112.88</v>
      </c>
      <c r="AL419" s="212">
        <v>0</v>
      </c>
      <c r="AM419" s="212">
        <v>217669.33</v>
      </c>
      <c r="AN419" s="212">
        <v>217.78999999997899</v>
      </c>
      <c r="AO419" s="176">
        <v>0</v>
      </c>
      <c r="AP419" s="176">
        <v>0</v>
      </c>
      <c r="AQ419" s="176">
        <v>0</v>
      </c>
      <c r="AR419" s="212">
        <f t="shared" si="60"/>
        <v>217.78999999997905</v>
      </c>
      <c r="AS419" s="212">
        <f t="shared" si="61"/>
        <v>362782.21</v>
      </c>
      <c r="AT419" s="473">
        <f t="shared" si="62"/>
        <v>362564.42</v>
      </c>
      <c r="AU419" s="478"/>
    </row>
    <row r="420" spans="1:47" s="35" customFormat="1" ht="43.5" x14ac:dyDescent="0.35">
      <c r="A420" s="35" t="s">
        <v>1194</v>
      </c>
      <c r="B420" s="224" t="s">
        <v>946</v>
      </c>
      <c r="C420" s="222" t="s">
        <v>19</v>
      </c>
      <c r="D420" s="136">
        <v>8471240</v>
      </c>
      <c r="E420" s="137" t="s">
        <v>562</v>
      </c>
      <c r="F420" s="138">
        <v>427710</v>
      </c>
      <c r="G420" s="137" t="s">
        <v>51</v>
      </c>
      <c r="H420" s="137" t="s">
        <v>570</v>
      </c>
      <c r="I420" s="137">
        <v>0</v>
      </c>
      <c r="J420" s="140">
        <v>11020</v>
      </c>
      <c r="K420" s="141">
        <v>11019</v>
      </c>
      <c r="L420" s="142"/>
      <c r="M420" s="143"/>
      <c r="N420" s="144">
        <f t="shared" si="64"/>
        <v>1</v>
      </c>
      <c r="O420" s="145"/>
      <c r="P420" s="145"/>
      <c r="Q420" s="149"/>
      <c r="R420" s="146"/>
      <c r="S420" s="254">
        <f t="shared" si="65"/>
        <v>1</v>
      </c>
      <c r="T420" s="172"/>
      <c r="U420" s="137" t="s">
        <v>570</v>
      </c>
      <c r="V420" s="261">
        <f t="shared" si="66"/>
        <v>1</v>
      </c>
      <c r="W420" s="261">
        <f t="shared" si="63"/>
        <v>1</v>
      </c>
      <c r="X420" s="261"/>
      <c r="Y420" s="176" t="s">
        <v>722</v>
      </c>
      <c r="Z420" s="176"/>
      <c r="AA420" s="186">
        <v>11020</v>
      </c>
      <c r="AB420" s="186">
        <v>11019</v>
      </c>
      <c r="AC420" s="176">
        <v>0</v>
      </c>
      <c r="AD420" s="176">
        <v>0</v>
      </c>
      <c r="AE420" s="186">
        <v>1</v>
      </c>
      <c r="AF420" s="35">
        <v>1</v>
      </c>
      <c r="AG420" s="212">
        <v>0</v>
      </c>
      <c r="AH420" s="212">
        <f t="shared" si="59"/>
        <v>0</v>
      </c>
      <c r="AI420" s="212" t="s">
        <v>570</v>
      </c>
      <c r="AJ420" s="212">
        <v>11020</v>
      </c>
      <c r="AK420" s="212">
        <v>11019</v>
      </c>
      <c r="AL420" s="212">
        <v>0</v>
      </c>
      <c r="AM420" s="212">
        <v>0</v>
      </c>
      <c r="AN420" s="212">
        <v>1</v>
      </c>
      <c r="AO420" s="176">
        <v>0</v>
      </c>
      <c r="AP420" s="176">
        <v>0</v>
      </c>
      <c r="AQ420" s="176">
        <v>0</v>
      </c>
      <c r="AR420" s="212">
        <f t="shared" si="60"/>
        <v>1</v>
      </c>
      <c r="AS420" s="212">
        <f t="shared" si="61"/>
        <v>11019</v>
      </c>
      <c r="AT420" s="473">
        <f t="shared" si="62"/>
        <v>11018</v>
      </c>
      <c r="AU420" s="478"/>
    </row>
    <row r="421" spans="1:47" s="35" customFormat="1" ht="43.5" x14ac:dyDescent="0.35">
      <c r="A421" s="35" t="s">
        <v>1194</v>
      </c>
      <c r="B421" s="224" t="s">
        <v>946</v>
      </c>
      <c r="C421" s="222" t="s">
        <v>19</v>
      </c>
      <c r="D421" s="136">
        <v>8471240</v>
      </c>
      <c r="E421" s="137" t="s">
        <v>562</v>
      </c>
      <c r="F421" s="138">
        <v>428090</v>
      </c>
      <c r="G421" s="137" t="s">
        <v>39</v>
      </c>
      <c r="H421" s="137" t="s">
        <v>571</v>
      </c>
      <c r="I421" s="137">
        <v>60000</v>
      </c>
      <c r="J421" s="140">
        <v>12382</v>
      </c>
      <c r="K421" s="141">
        <v>12381.18</v>
      </c>
      <c r="L421" s="142"/>
      <c r="M421" s="143"/>
      <c r="N421" s="144">
        <f t="shared" si="64"/>
        <v>0.81999999999970896</v>
      </c>
      <c r="O421" s="145"/>
      <c r="P421" s="145"/>
      <c r="Q421" s="149"/>
      <c r="R421" s="146"/>
      <c r="S421" s="254">
        <f t="shared" si="65"/>
        <v>0.81999999999970896</v>
      </c>
      <c r="T421" s="172"/>
      <c r="U421" s="137" t="s">
        <v>571</v>
      </c>
      <c r="V421" s="261">
        <f t="shared" si="66"/>
        <v>0.81999999999970896</v>
      </c>
      <c r="W421" s="261">
        <f t="shared" si="63"/>
        <v>0.81999999999970896</v>
      </c>
      <c r="X421" s="261"/>
      <c r="Y421" s="176" t="s">
        <v>722</v>
      </c>
      <c r="Z421" s="176"/>
      <c r="AA421" s="186">
        <v>20092</v>
      </c>
      <c r="AB421" s="186">
        <v>20091.18</v>
      </c>
      <c r="AC421" s="176">
        <v>0</v>
      </c>
      <c r="AD421" s="176">
        <v>0</v>
      </c>
      <c r="AE421" s="186">
        <v>0.81999999999970896</v>
      </c>
      <c r="AF421" s="35">
        <v>0.81999999999970896</v>
      </c>
      <c r="AG421" s="212">
        <v>0</v>
      </c>
      <c r="AH421" s="212">
        <f t="shared" si="59"/>
        <v>0</v>
      </c>
      <c r="AI421" s="212" t="s">
        <v>571</v>
      </c>
      <c r="AJ421" s="212">
        <v>20092</v>
      </c>
      <c r="AK421" s="212">
        <v>20091.18</v>
      </c>
      <c r="AL421" s="212">
        <v>0</v>
      </c>
      <c r="AM421" s="212">
        <v>0</v>
      </c>
      <c r="AN421" s="212">
        <v>0.81999999999970896</v>
      </c>
      <c r="AO421" s="176">
        <v>0</v>
      </c>
      <c r="AP421" s="176">
        <v>0</v>
      </c>
      <c r="AQ421" s="176">
        <v>0</v>
      </c>
      <c r="AR421" s="212">
        <f t="shared" si="60"/>
        <v>0.81999999999970896</v>
      </c>
      <c r="AS421" s="212">
        <f t="shared" si="61"/>
        <v>20091.18</v>
      </c>
      <c r="AT421" s="473">
        <f t="shared" si="62"/>
        <v>20090.36</v>
      </c>
      <c r="AU421" s="478"/>
    </row>
    <row r="422" spans="1:47" s="35" customFormat="1" ht="43.5" x14ac:dyDescent="0.35">
      <c r="A422" s="35" t="s">
        <v>1194</v>
      </c>
      <c r="B422" s="224" t="s">
        <v>946</v>
      </c>
      <c r="C422" s="222" t="s">
        <v>19</v>
      </c>
      <c r="D422" s="136">
        <v>8471240</v>
      </c>
      <c r="E422" s="137" t="s">
        <v>562</v>
      </c>
      <c r="F422" s="138">
        <v>428640</v>
      </c>
      <c r="G422" s="137" t="s">
        <v>43</v>
      </c>
      <c r="H422" s="137" t="s">
        <v>572</v>
      </c>
      <c r="I422" s="137">
        <v>14000</v>
      </c>
      <c r="J422" s="140">
        <v>7104</v>
      </c>
      <c r="K422" s="147"/>
      <c r="L422" s="142"/>
      <c r="M422" s="143"/>
      <c r="N422" s="144">
        <f t="shared" si="64"/>
        <v>7104</v>
      </c>
      <c r="O422" s="145"/>
      <c r="P422" s="145"/>
      <c r="Q422" s="149"/>
      <c r="R422" s="146"/>
      <c r="S422" s="254">
        <f t="shared" si="65"/>
        <v>7104</v>
      </c>
      <c r="T422" s="172"/>
      <c r="U422" s="137" t="s">
        <v>572</v>
      </c>
      <c r="V422" s="261">
        <f t="shared" si="66"/>
        <v>7104</v>
      </c>
      <c r="W422" s="261">
        <f t="shared" si="63"/>
        <v>7104</v>
      </c>
      <c r="X422" s="261"/>
      <c r="Y422" s="176" t="s">
        <v>722</v>
      </c>
      <c r="Z422" s="176"/>
      <c r="AA422" s="186">
        <v>7104</v>
      </c>
      <c r="AB422" s="186">
        <v>0</v>
      </c>
      <c r="AC422" s="176">
        <v>0</v>
      </c>
      <c r="AD422" s="176">
        <v>0</v>
      </c>
      <c r="AE422" s="186">
        <v>7104</v>
      </c>
      <c r="AF422" s="35">
        <v>7104</v>
      </c>
      <c r="AG422" s="212">
        <v>0</v>
      </c>
      <c r="AH422" s="212">
        <f t="shared" si="59"/>
        <v>0</v>
      </c>
      <c r="AI422" s="212" t="s">
        <v>572</v>
      </c>
      <c r="AJ422" s="212">
        <v>7104</v>
      </c>
      <c r="AK422" s="212">
        <v>0</v>
      </c>
      <c r="AL422" s="212">
        <v>0</v>
      </c>
      <c r="AM422" s="212">
        <v>0</v>
      </c>
      <c r="AN422" s="212">
        <v>7104</v>
      </c>
      <c r="AO422" s="176">
        <v>0</v>
      </c>
      <c r="AP422" s="176">
        <v>0</v>
      </c>
      <c r="AQ422" s="176">
        <v>0</v>
      </c>
      <c r="AR422" s="212">
        <f t="shared" si="60"/>
        <v>7104</v>
      </c>
      <c r="AS422" s="212">
        <f t="shared" si="61"/>
        <v>0</v>
      </c>
      <c r="AT422" s="473">
        <f t="shared" si="62"/>
        <v>-7104</v>
      </c>
      <c r="AU422" s="478"/>
    </row>
    <row r="423" spans="1:47" s="35" customFormat="1" ht="43.5" x14ac:dyDescent="0.35">
      <c r="A423" s="35" t="s">
        <v>1194</v>
      </c>
      <c r="B423" s="224" t="s">
        <v>946</v>
      </c>
      <c r="C423" s="222" t="s">
        <v>19</v>
      </c>
      <c r="D423" s="136">
        <v>8471240</v>
      </c>
      <c r="E423" s="137" t="s">
        <v>562</v>
      </c>
      <c r="F423" s="138">
        <v>435330</v>
      </c>
      <c r="G423" s="137" t="s">
        <v>573</v>
      </c>
      <c r="H423" s="137" t="s">
        <v>574</v>
      </c>
      <c r="I423" s="137">
        <v>4750</v>
      </c>
      <c r="J423" s="140">
        <v>4750</v>
      </c>
      <c r="K423" s="147"/>
      <c r="L423" s="142"/>
      <c r="M423" s="143"/>
      <c r="N423" s="144">
        <f t="shared" si="64"/>
        <v>4750</v>
      </c>
      <c r="O423" s="145"/>
      <c r="P423" s="145"/>
      <c r="Q423" s="149"/>
      <c r="R423" s="146"/>
      <c r="S423" s="254">
        <f t="shared" si="65"/>
        <v>4750</v>
      </c>
      <c r="T423" s="172"/>
      <c r="U423" s="137" t="s">
        <v>574</v>
      </c>
      <c r="V423" s="261">
        <f t="shared" si="66"/>
        <v>4750</v>
      </c>
      <c r="W423" s="261">
        <f t="shared" si="63"/>
        <v>4750</v>
      </c>
      <c r="X423" s="261"/>
      <c r="Y423" s="176" t="s">
        <v>722</v>
      </c>
      <c r="Z423" s="176"/>
      <c r="AA423" s="186">
        <v>4750</v>
      </c>
      <c r="AB423" s="186">
        <v>0</v>
      </c>
      <c r="AC423" s="176">
        <v>0</v>
      </c>
      <c r="AD423" s="176">
        <v>0</v>
      </c>
      <c r="AE423" s="186">
        <v>4750</v>
      </c>
      <c r="AF423" s="35">
        <v>4750</v>
      </c>
      <c r="AG423" s="212">
        <v>0</v>
      </c>
      <c r="AH423" s="212">
        <f t="shared" si="59"/>
        <v>0</v>
      </c>
      <c r="AI423" s="212" t="s">
        <v>574</v>
      </c>
      <c r="AJ423" s="212">
        <v>4750</v>
      </c>
      <c r="AK423" s="212">
        <v>0</v>
      </c>
      <c r="AL423" s="212">
        <v>0</v>
      </c>
      <c r="AM423" s="212">
        <v>0</v>
      </c>
      <c r="AN423" s="212">
        <v>4750</v>
      </c>
      <c r="AO423" s="176">
        <v>0</v>
      </c>
      <c r="AP423" s="176">
        <v>0</v>
      </c>
      <c r="AQ423" s="176">
        <v>0</v>
      </c>
      <c r="AR423" s="212">
        <f t="shared" si="60"/>
        <v>4750</v>
      </c>
      <c r="AS423" s="212">
        <f t="shared" si="61"/>
        <v>0</v>
      </c>
      <c r="AT423" s="473">
        <f t="shared" si="62"/>
        <v>-4750</v>
      </c>
      <c r="AU423" s="478"/>
    </row>
    <row r="424" spans="1:47" s="35" customFormat="1" ht="43.5" x14ac:dyDescent="0.35">
      <c r="A424" s="35" t="s">
        <v>1194</v>
      </c>
      <c r="B424" s="224" t="s">
        <v>946</v>
      </c>
      <c r="C424" s="222" t="s">
        <v>19</v>
      </c>
      <c r="D424" s="136">
        <v>8471240</v>
      </c>
      <c r="E424" s="137" t="s">
        <v>562</v>
      </c>
      <c r="F424" s="138">
        <v>436110</v>
      </c>
      <c r="G424" s="137" t="s">
        <v>119</v>
      </c>
      <c r="H424" s="137" t="s">
        <v>575</v>
      </c>
      <c r="I424" s="137">
        <v>42000</v>
      </c>
      <c r="J424" s="140">
        <v>42000</v>
      </c>
      <c r="K424" s="147"/>
      <c r="L424" s="142"/>
      <c r="M424" s="143"/>
      <c r="N424" s="144">
        <f t="shared" si="64"/>
        <v>42000</v>
      </c>
      <c r="O424" s="145"/>
      <c r="P424" s="145"/>
      <c r="Q424" s="149"/>
      <c r="R424" s="146"/>
      <c r="S424" s="254">
        <f t="shared" ref="S424:S455" si="67">N424-O424-P424-Q424</f>
        <v>42000</v>
      </c>
      <c r="T424" s="172"/>
      <c r="U424" s="137" t="s">
        <v>575</v>
      </c>
      <c r="V424" s="261">
        <f t="shared" si="66"/>
        <v>42000</v>
      </c>
      <c r="W424" s="261">
        <f t="shared" si="63"/>
        <v>42000</v>
      </c>
      <c r="X424" s="261"/>
      <c r="Y424" s="176" t="s">
        <v>722</v>
      </c>
      <c r="Z424" s="176"/>
      <c r="AA424" s="186">
        <v>12000</v>
      </c>
      <c r="AB424" s="186">
        <v>0</v>
      </c>
      <c r="AC424" s="176">
        <v>0</v>
      </c>
      <c r="AD424" s="176">
        <v>0</v>
      </c>
      <c r="AE424" s="186">
        <v>12000</v>
      </c>
      <c r="AF424" s="35">
        <v>12000</v>
      </c>
      <c r="AG424" s="212">
        <v>0</v>
      </c>
      <c r="AH424" s="212">
        <f t="shared" si="59"/>
        <v>-30000</v>
      </c>
      <c r="AI424" s="212" t="s">
        <v>575</v>
      </c>
      <c r="AJ424" s="212">
        <v>12000</v>
      </c>
      <c r="AK424" s="212">
        <v>0</v>
      </c>
      <c r="AL424" s="212">
        <v>0</v>
      </c>
      <c r="AM424" s="212">
        <v>0</v>
      </c>
      <c r="AN424" s="212">
        <v>12000</v>
      </c>
      <c r="AO424" s="176">
        <v>0</v>
      </c>
      <c r="AP424" s="176">
        <v>0</v>
      </c>
      <c r="AQ424" s="176">
        <v>0</v>
      </c>
      <c r="AR424" s="212">
        <f t="shared" si="60"/>
        <v>42000</v>
      </c>
      <c r="AS424" s="212">
        <f t="shared" si="61"/>
        <v>0</v>
      </c>
      <c r="AT424" s="473">
        <f t="shared" si="62"/>
        <v>-42000</v>
      </c>
      <c r="AU424" s="478"/>
    </row>
    <row r="425" spans="1:47" s="35" customFormat="1" ht="43.5" x14ac:dyDescent="0.35">
      <c r="A425" s="35" t="s">
        <v>1194</v>
      </c>
      <c r="B425" s="224" t="s">
        <v>946</v>
      </c>
      <c r="C425" s="222" t="s">
        <v>19</v>
      </c>
      <c r="D425" s="136">
        <v>8471240</v>
      </c>
      <c r="E425" s="137" t="s">
        <v>562</v>
      </c>
      <c r="F425" s="138">
        <v>436120</v>
      </c>
      <c r="G425" s="137" t="s">
        <v>443</v>
      </c>
      <c r="H425" s="137" t="s">
        <v>576</v>
      </c>
      <c r="I425" s="137">
        <v>35000</v>
      </c>
      <c r="J425" s="140">
        <v>25000</v>
      </c>
      <c r="K425" s="147"/>
      <c r="L425" s="142"/>
      <c r="M425" s="143"/>
      <c r="N425" s="144">
        <f t="shared" si="64"/>
        <v>25000</v>
      </c>
      <c r="O425" s="145"/>
      <c r="P425" s="145"/>
      <c r="Q425" s="149"/>
      <c r="R425" s="146"/>
      <c r="S425" s="254">
        <f t="shared" si="67"/>
        <v>25000</v>
      </c>
      <c r="T425" s="172"/>
      <c r="U425" s="137" t="s">
        <v>576</v>
      </c>
      <c r="V425" s="261">
        <f t="shared" si="66"/>
        <v>25000</v>
      </c>
      <c r="W425" s="261">
        <f t="shared" si="63"/>
        <v>25000</v>
      </c>
      <c r="X425" s="261"/>
      <c r="Y425" s="176" t="s">
        <v>722</v>
      </c>
      <c r="Z425" s="176"/>
      <c r="AA425" s="186">
        <v>25000</v>
      </c>
      <c r="AB425" s="186">
        <v>0</v>
      </c>
      <c r="AC425" s="176">
        <v>0</v>
      </c>
      <c r="AD425" s="176">
        <v>0</v>
      </c>
      <c r="AE425" s="186">
        <v>25000</v>
      </c>
      <c r="AF425" s="35">
        <v>25000</v>
      </c>
      <c r="AG425" s="212">
        <v>0</v>
      </c>
      <c r="AH425" s="212">
        <f t="shared" si="59"/>
        <v>0</v>
      </c>
      <c r="AI425" s="212" t="s">
        <v>576</v>
      </c>
      <c r="AJ425" s="212">
        <v>25000</v>
      </c>
      <c r="AK425" s="212">
        <v>0</v>
      </c>
      <c r="AL425" s="212">
        <v>0</v>
      </c>
      <c r="AM425" s="212">
        <v>0</v>
      </c>
      <c r="AN425" s="212">
        <v>25000</v>
      </c>
      <c r="AO425" s="176">
        <v>0</v>
      </c>
      <c r="AP425" s="176">
        <v>0</v>
      </c>
      <c r="AQ425" s="176">
        <v>0</v>
      </c>
      <c r="AR425" s="212">
        <f t="shared" si="60"/>
        <v>25000</v>
      </c>
      <c r="AS425" s="212">
        <f t="shared" si="61"/>
        <v>0</v>
      </c>
      <c r="AT425" s="473">
        <f t="shared" si="62"/>
        <v>-25000</v>
      </c>
      <c r="AU425" s="478"/>
    </row>
    <row r="426" spans="1:47" s="35" customFormat="1" ht="43.5" x14ac:dyDescent="0.35">
      <c r="A426" s="35" t="s">
        <v>1194</v>
      </c>
      <c r="B426" s="224" t="s">
        <v>946</v>
      </c>
      <c r="C426" s="222" t="s">
        <v>19</v>
      </c>
      <c r="D426" s="136">
        <v>8471250</v>
      </c>
      <c r="E426" s="137" t="s">
        <v>577</v>
      </c>
      <c r="F426" s="138">
        <v>425510</v>
      </c>
      <c r="G426" s="137" t="s">
        <v>31</v>
      </c>
      <c r="H426" s="137" t="s">
        <v>578</v>
      </c>
      <c r="I426" s="137">
        <v>317500</v>
      </c>
      <c r="J426" s="140">
        <v>830600</v>
      </c>
      <c r="K426" s="141">
        <v>67500</v>
      </c>
      <c r="L426" s="148">
        <v>734500</v>
      </c>
      <c r="M426" s="140">
        <v>0</v>
      </c>
      <c r="N426" s="144">
        <f t="shared" si="64"/>
        <v>28600</v>
      </c>
      <c r="O426" s="145"/>
      <c r="P426" s="145">
        <v>28600</v>
      </c>
      <c r="Q426" s="149"/>
      <c r="R426" s="146" t="s">
        <v>857</v>
      </c>
      <c r="S426" s="254">
        <f t="shared" si="67"/>
        <v>0</v>
      </c>
      <c r="T426" s="172"/>
      <c r="U426" s="137" t="s">
        <v>578</v>
      </c>
      <c r="V426" s="261">
        <f t="shared" si="66"/>
        <v>0</v>
      </c>
      <c r="W426" s="261">
        <f t="shared" si="63"/>
        <v>-4725</v>
      </c>
      <c r="X426" s="261"/>
      <c r="Y426" s="176" t="s">
        <v>722</v>
      </c>
      <c r="Z426" s="176"/>
      <c r="AA426" s="186">
        <v>880600</v>
      </c>
      <c r="AB426" s="186">
        <v>112850</v>
      </c>
      <c r="AC426" s="176">
        <v>365000</v>
      </c>
      <c r="AD426" s="176">
        <v>358865</v>
      </c>
      <c r="AE426" s="186">
        <v>43885</v>
      </c>
      <c r="AF426" s="35">
        <v>43885</v>
      </c>
      <c r="AG426" s="212">
        <v>0</v>
      </c>
      <c r="AH426" s="212">
        <f t="shared" si="59"/>
        <v>43885</v>
      </c>
      <c r="AI426" s="212" t="s">
        <v>578</v>
      </c>
      <c r="AJ426" s="212">
        <v>992474</v>
      </c>
      <c r="AK426" s="212">
        <v>471715</v>
      </c>
      <c r="AL426" s="212">
        <v>365000</v>
      </c>
      <c r="AM426" s="212">
        <v>0</v>
      </c>
      <c r="AN426" s="212">
        <v>155759</v>
      </c>
      <c r="AO426" s="176">
        <v>0</v>
      </c>
      <c r="AP426" s="176">
        <v>4725</v>
      </c>
      <c r="AQ426" s="176">
        <v>0</v>
      </c>
      <c r="AR426" s="212">
        <f t="shared" si="60"/>
        <v>-4725</v>
      </c>
      <c r="AS426" s="212">
        <f t="shared" si="61"/>
        <v>841440</v>
      </c>
      <c r="AT426" s="473">
        <f t="shared" si="62"/>
        <v>846165</v>
      </c>
      <c r="AU426" s="478"/>
    </row>
    <row r="427" spans="1:47" s="35" customFormat="1" ht="43.5" x14ac:dyDescent="0.35">
      <c r="A427" s="35" t="s">
        <v>1194</v>
      </c>
      <c r="B427" s="224" t="s">
        <v>946</v>
      </c>
      <c r="C427" s="222" t="s">
        <v>19</v>
      </c>
      <c r="D427" s="136">
        <v>8471250</v>
      </c>
      <c r="E427" s="137" t="s">
        <v>577</v>
      </c>
      <c r="F427" s="138">
        <v>425762</v>
      </c>
      <c r="G427" s="137" t="s">
        <v>112</v>
      </c>
      <c r="H427" s="137" t="s">
        <v>580</v>
      </c>
      <c r="I427" s="137">
        <v>520000</v>
      </c>
      <c r="J427" s="140">
        <v>520000</v>
      </c>
      <c r="K427" s="141">
        <v>398977.51</v>
      </c>
      <c r="L427" s="142"/>
      <c r="M427" s="143"/>
      <c r="N427" s="144">
        <f t="shared" si="64"/>
        <v>121022.48999999999</v>
      </c>
      <c r="O427" s="145"/>
      <c r="P427" s="145">
        <v>127674.49</v>
      </c>
      <c r="Q427" s="149"/>
      <c r="R427" s="146" t="s">
        <v>858</v>
      </c>
      <c r="S427" s="254">
        <f t="shared" si="67"/>
        <v>-6652.0000000000146</v>
      </c>
      <c r="T427" s="172"/>
      <c r="U427" s="137" t="s">
        <v>580</v>
      </c>
      <c r="V427" s="261"/>
      <c r="W427" s="261">
        <f t="shared" si="63"/>
        <v>0</v>
      </c>
      <c r="X427" s="474">
        <v>6652.0000000000146</v>
      </c>
      <c r="Y427" s="176" t="s">
        <v>722</v>
      </c>
      <c r="Z427" s="176"/>
      <c r="AA427" s="186">
        <v>520000</v>
      </c>
      <c r="AB427" s="186">
        <v>443183.95</v>
      </c>
      <c r="AC427" s="176">
        <v>0</v>
      </c>
      <c r="AD427" s="176">
        <v>0</v>
      </c>
      <c r="AE427" s="186">
        <v>76816.049999999988</v>
      </c>
      <c r="AF427" s="35">
        <v>76816.05</v>
      </c>
      <c r="AG427" s="212">
        <v>0</v>
      </c>
      <c r="AH427" s="212">
        <f t="shared" si="59"/>
        <v>76816.049999999988</v>
      </c>
      <c r="AI427" s="212" t="s">
        <v>580</v>
      </c>
      <c r="AJ427" s="212">
        <v>462420</v>
      </c>
      <c r="AK427" s="212">
        <v>462418.95</v>
      </c>
      <c r="AL427" s="212">
        <v>0</v>
      </c>
      <c r="AM427" s="212">
        <v>0</v>
      </c>
      <c r="AN427" s="212">
        <v>1.0499999999865399</v>
      </c>
      <c r="AO427" s="176">
        <v>0</v>
      </c>
      <c r="AP427" s="176">
        <v>0</v>
      </c>
      <c r="AQ427" s="176">
        <v>0</v>
      </c>
      <c r="AR427" s="212">
        <f t="shared" si="60"/>
        <v>0</v>
      </c>
      <c r="AS427" s="212">
        <f t="shared" si="61"/>
        <v>443183.95</v>
      </c>
      <c r="AT427" s="473">
        <f t="shared" si="62"/>
        <v>469070.95</v>
      </c>
      <c r="AU427" s="478"/>
    </row>
    <row r="428" spans="1:47" s="35" customFormat="1" ht="43.5" x14ac:dyDescent="0.35">
      <c r="A428" s="35" t="s">
        <v>1194</v>
      </c>
      <c r="B428" s="224" t="s">
        <v>946</v>
      </c>
      <c r="C428" s="222" t="s">
        <v>19</v>
      </c>
      <c r="D428" s="136">
        <v>8471250</v>
      </c>
      <c r="E428" s="137" t="s">
        <v>577</v>
      </c>
      <c r="F428" s="138">
        <v>425900</v>
      </c>
      <c r="G428" s="137" t="s">
        <v>35</v>
      </c>
      <c r="H428" s="137" t="s">
        <v>581</v>
      </c>
      <c r="I428" s="137">
        <v>51000</v>
      </c>
      <c r="J428" s="140">
        <v>51000</v>
      </c>
      <c r="K428" s="147"/>
      <c r="L428" s="142"/>
      <c r="M428" s="143"/>
      <c r="N428" s="144">
        <f t="shared" si="64"/>
        <v>51000</v>
      </c>
      <c r="O428" s="145"/>
      <c r="P428" s="145">
        <v>51000</v>
      </c>
      <c r="Q428" s="149"/>
      <c r="R428" s="146" t="s">
        <v>859</v>
      </c>
      <c r="S428" s="254">
        <f t="shared" si="67"/>
        <v>0</v>
      </c>
      <c r="T428" s="172"/>
      <c r="U428" s="137" t="s">
        <v>581</v>
      </c>
      <c r="V428" s="261">
        <f t="shared" ref="V428:V434" si="68">S428</f>
        <v>0</v>
      </c>
      <c r="W428" s="261">
        <f t="shared" si="63"/>
        <v>0</v>
      </c>
      <c r="X428" s="261"/>
      <c r="Y428" s="176" t="s">
        <v>722</v>
      </c>
      <c r="Z428" s="176"/>
      <c r="AA428" s="186">
        <v>1000</v>
      </c>
      <c r="AB428" s="186">
        <v>0</v>
      </c>
      <c r="AC428" s="176">
        <v>0</v>
      </c>
      <c r="AD428" s="176">
        <v>0</v>
      </c>
      <c r="AE428" s="186">
        <v>1000</v>
      </c>
      <c r="AF428" s="35">
        <v>1000</v>
      </c>
      <c r="AG428" s="212">
        <v>0</v>
      </c>
      <c r="AH428" s="212">
        <f t="shared" si="59"/>
        <v>1000</v>
      </c>
      <c r="AI428" s="212" t="s">
        <v>581</v>
      </c>
      <c r="AJ428" s="212">
        <v>31400</v>
      </c>
      <c r="AK428" s="212">
        <v>31400</v>
      </c>
      <c r="AL428" s="212">
        <v>0</v>
      </c>
      <c r="AM428" s="212">
        <v>0</v>
      </c>
      <c r="AN428" s="212">
        <v>0</v>
      </c>
      <c r="AO428" s="176">
        <v>0</v>
      </c>
      <c r="AP428" s="176">
        <v>0</v>
      </c>
      <c r="AQ428" s="176">
        <v>0</v>
      </c>
      <c r="AR428" s="212">
        <f t="shared" si="60"/>
        <v>0</v>
      </c>
      <c r="AS428" s="212">
        <f t="shared" si="61"/>
        <v>0</v>
      </c>
      <c r="AT428" s="473">
        <f t="shared" si="62"/>
        <v>31400</v>
      </c>
      <c r="AU428" s="478"/>
    </row>
    <row r="429" spans="1:47" s="35" customFormat="1" ht="43.5" x14ac:dyDescent="0.35">
      <c r="A429" s="35" t="s">
        <v>1194</v>
      </c>
      <c r="B429" s="224" t="s">
        <v>946</v>
      </c>
      <c r="C429" s="222" t="s">
        <v>19</v>
      </c>
      <c r="D429" s="136">
        <v>8471250</v>
      </c>
      <c r="E429" s="137" t="s">
        <v>577</v>
      </c>
      <c r="F429" s="138">
        <v>426610</v>
      </c>
      <c r="G429" s="137" t="s">
        <v>37</v>
      </c>
      <c r="H429" s="137" t="s">
        <v>582</v>
      </c>
      <c r="I429" s="137">
        <v>60608</v>
      </c>
      <c r="J429" s="140">
        <v>60608</v>
      </c>
      <c r="K429" s="147"/>
      <c r="L429" s="148">
        <v>0</v>
      </c>
      <c r="M429" s="140">
        <v>60604.5</v>
      </c>
      <c r="N429" s="144">
        <f t="shared" si="64"/>
        <v>3.5</v>
      </c>
      <c r="O429" s="145"/>
      <c r="P429" s="145"/>
      <c r="Q429" s="149"/>
      <c r="R429" s="146"/>
      <c r="S429" s="254">
        <f t="shared" si="67"/>
        <v>3.5</v>
      </c>
      <c r="T429" s="172" t="s">
        <v>888</v>
      </c>
      <c r="U429" s="137" t="s">
        <v>582</v>
      </c>
      <c r="V429" s="261">
        <f t="shared" si="68"/>
        <v>3.5</v>
      </c>
      <c r="W429" s="261">
        <f t="shared" si="63"/>
        <v>3.5</v>
      </c>
      <c r="X429" s="261"/>
      <c r="Y429" s="176" t="s">
        <v>722</v>
      </c>
      <c r="Z429" s="176"/>
      <c r="AA429" s="186">
        <v>60608</v>
      </c>
      <c r="AB429" s="186">
        <v>60604.5</v>
      </c>
      <c r="AC429" s="176">
        <v>0</v>
      </c>
      <c r="AD429" s="176">
        <v>0</v>
      </c>
      <c r="AE429" s="186">
        <v>3.5</v>
      </c>
      <c r="AF429" s="35">
        <v>3.5</v>
      </c>
      <c r="AG429" s="212">
        <v>0</v>
      </c>
      <c r="AH429" s="212">
        <f t="shared" si="59"/>
        <v>0</v>
      </c>
      <c r="AI429" s="212" t="s">
        <v>582</v>
      </c>
      <c r="AJ429" s="212">
        <v>60608</v>
      </c>
      <c r="AK429" s="212">
        <v>60604.5</v>
      </c>
      <c r="AL429" s="212">
        <v>0</v>
      </c>
      <c r="AM429" s="212">
        <v>0</v>
      </c>
      <c r="AN429" s="212">
        <v>3.5</v>
      </c>
      <c r="AO429" s="176">
        <v>0</v>
      </c>
      <c r="AP429" s="176">
        <v>0</v>
      </c>
      <c r="AQ429" s="176">
        <v>0</v>
      </c>
      <c r="AR429" s="212">
        <f t="shared" si="60"/>
        <v>3.5</v>
      </c>
      <c r="AS429" s="212">
        <f t="shared" si="61"/>
        <v>60604.5</v>
      </c>
      <c r="AT429" s="473">
        <f t="shared" si="62"/>
        <v>60601</v>
      </c>
      <c r="AU429" s="478"/>
    </row>
    <row r="430" spans="1:47" s="35" customFormat="1" ht="43.5" x14ac:dyDescent="0.35">
      <c r="A430" s="35" t="s">
        <v>1194</v>
      </c>
      <c r="B430" s="224" t="s">
        <v>946</v>
      </c>
      <c r="C430" s="222" t="s">
        <v>19</v>
      </c>
      <c r="D430" s="136">
        <v>8471250</v>
      </c>
      <c r="E430" s="137" t="s">
        <v>577</v>
      </c>
      <c r="F430" s="138">
        <v>428090</v>
      </c>
      <c r="G430" s="137" t="s">
        <v>39</v>
      </c>
      <c r="H430" s="137" t="s">
        <v>583</v>
      </c>
      <c r="I430" s="137">
        <v>0</v>
      </c>
      <c r="J430" s="140">
        <v>10000</v>
      </c>
      <c r="K430" s="141">
        <v>4400</v>
      </c>
      <c r="L430" s="142"/>
      <c r="M430" s="143"/>
      <c r="N430" s="144">
        <f t="shared" si="64"/>
        <v>5600</v>
      </c>
      <c r="O430" s="145"/>
      <c r="P430" s="145"/>
      <c r="Q430" s="149">
        <v>5600</v>
      </c>
      <c r="R430" s="146" t="s">
        <v>860</v>
      </c>
      <c r="S430" s="254">
        <f t="shared" si="67"/>
        <v>0</v>
      </c>
      <c r="T430" s="172"/>
      <c r="U430" s="137" t="s">
        <v>583</v>
      </c>
      <c r="V430" s="261">
        <f t="shared" si="68"/>
        <v>0</v>
      </c>
      <c r="W430" s="261">
        <f t="shared" si="63"/>
        <v>0</v>
      </c>
      <c r="X430" s="261"/>
      <c r="Y430" s="176" t="s">
        <v>722</v>
      </c>
      <c r="Z430" s="176"/>
      <c r="AA430" s="186">
        <v>10000</v>
      </c>
      <c r="AB430" s="186">
        <v>5935</v>
      </c>
      <c r="AC430" s="176">
        <v>0</v>
      </c>
      <c r="AD430" s="176">
        <v>0</v>
      </c>
      <c r="AE430" s="186">
        <v>4065</v>
      </c>
      <c r="AF430" s="35">
        <v>4065</v>
      </c>
      <c r="AG430" s="212">
        <v>0</v>
      </c>
      <c r="AH430" s="212">
        <f t="shared" si="59"/>
        <v>4065</v>
      </c>
      <c r="AI430" s="212" t="s">
        <v>583</v>
      </c>
      <c r="AJ430" s="212">
        <v>7536</v>
      </c>
      <c r="AK430" s="212">
        <v>7535</v>
      </c>
      <c r="AL430" s="212">
        <v>0</v>
      </c>
      <c r="AM430" s="212">
        <v>0</v>
      </c>
      <c r="AN430" s="212">
        <v>1</v>
      </c>
      <c r="AO430" s="176">
        <v>0</v>
      </c>
      <c r="AP430" s="176">
        <v>0</v>
      </c>
      <c r="AQ430" s="176">
        <v>0</v>
      </c>
      <c r="AR430" s="212">
        <f t="shared" si="60"/>
        <v>0</v>
      </c>
      <c r="AS430" s="212">
        <f t="shared" si="61"/>
        <v>11535</v>
      </c>
      <c r="AT430" s="473">
        <f t="shared" si="62"/>
        <v>13135</v>
      </c>
      <c r="AU430" s="478"/>
    </row>
    <row r="431" spans="1:47" s="35" customFormat="1" ht="43.5" x14ac:dyDescent="0.35">
      <c r="A431" s="35" t="s">
        <v>1194</v>
      </c>
      <c r="B431" s="224" t="s">
        <v>946</v>
      </c>
      <c r="C431" s="222" t="s">
        <v>19</v>
      </c>
      <c r="D431" s="136">
        <v>8471250</v>
      </c>
      <c r="E431" s="137" t="s">
        <v>577</v>
      </c>
      <c r="F431" s="138">
        <v>428640</v>
      </c>
      <c r="G431" s="137" t="s">
        <v>43</v>
      </c>
      <c r="H431" s="137" t="s">
        <v>584</v>
      </c>
      <c r="I431" s="137">
        <v>46500</v>
      </c>
      <c r="J431" s="140">
        <v>70001</v>
      </c>
      <c r="K431" s="147"/>
      <c r="L431" s="142"/>
      <c r="M431" s="143"/>
      <c r="N431" s="144">
        <f t="shared" si="64"/>
        <v>70001</v>
      </c>
      <c r="O431" s="145"/>
      <c r="P431" s="145">
        <v>70001</v>
      </c>
      <c r="Q431" s="149"/>
      <c r="R431" s="146" t="s">
        <v>861</v>
      </c>
      <c r="S431" s="254">
        <f t="shared" si="67"/>
        <v>0</v>
      </c>
      <c r="T431" s="172"/>
      <c r="U431" s="137" t="s">
        <v>584</v>
      </c>
      <c r="V431" s="261">
        <f t="shared" si="68"/>
        <v>0</v>
      </c>
      <c r="W431" s="261">
        <f t="shared" si="63"/>
        <v>0</v>
      </c>
      <c r="X431" s="261"/>
      <c r="Y431" s="176" t="s">
        <v>722</v>
      </c>
      <c r="Z431" s="176"/>
      <c r="AA431" s="186">
        <v>1</v>
      </c>
      <c r="AB431" s="186">
        <v>0</v>
      </c>
      <c r="AC431" s="176">
        <v>0</v>
      </c>
      <c r="AD431" s="176">
        <v>0</v>
      </c>
      <c r="AE431" s="186">
        <v>1</v>
      </c>
      <c r="AF431" s="35">
        <v>1</v>
      </c>
      <c r="AG431" s="212">
        <v>0</v>
      </c>
      <c r="AH431" s="212">
        <f t="shared" si="59"/>
        <v>1</v>
      </c>
      <c r="AI431" s="212" t="s">
        <v>584</v>
      </c>
      <c r="AJ431" s="212">
        <v>1</v>
      </c>
      <c r="AK431" s="212">
        <v>0</v>
      </c>
      <c r="AL431" s="212">
        <v>0</v>
      </c>
      <c r="AM431" s="212">
        <v>0</v>
      </c>
      <c r="AN431" s="212">
        <v>1</v>
      </c>
      <c r="AO431" s="176">
        <v>0</v>
      </c>
      <c r="AP431" s="176">
        <v>0</v>
      </c>
      <c r="AQ431" s="176">
        <v>0</v>
      </c>
      <c r="AR431" s="212">
        <f t="shared" si="60"/>
        <v>0</v>
      </c>
      <c r="AS431" s="212">
        <f t="shared" si="61"/>
        <v>0</v>
      </c>
      <c r="AT431" s="473">
        <f t="shared" si="62"/>
        <v>0</v>
      </c>
      <c r="AU431" s="478"/>
    </row>
    <row r="432" spans="1:47" s="35" customFormat="1" ht="43.5" x14ac:dyDescent="0.35">
      <c r="A432" s="35" t="s">
        <v>1194</v>
      </c>
      <c r="B432" s="224" t="s">
        <v>946</v>
      </c>
      <c r="C432" s="222" t="s">
        <v>19</v>
      </c>
      <c r="D432" s="136">
        <v>8471250</v>
      </c>
      <c r="E432" s="137" t="s">
        <v>577</v>
      </c>
      <c r="F432" s="138">
        <v>436110</v>
      </c>
      <c r="G432" s="137" t="s">
        <v>119</v>
      </c>
      <c r="H432" s="137" t="s">
        <v>585</v>
      </c>
      <c r="I432" s="137">
        <v>10000</v>
      </c>
      <c r="J432" s="140">
        <v>10000</v>
      </c>
      <c r="K432" s="147"/>
      <c r="L432" s="142"/>
      <c r="M432" s="143"/>
      <c r="N432" s="144">
        <f t="shared" si="64"/>
        <v>10000</v>
      </c>
      <c r="O432" s="145"/>
      <c r="P432" s="145"/>
      <c r="Q432" s="149">
        <v>10000</v>
      </c>
      <c r="R432" s="146" t="s">
        <v>862</v>
      </c>
      <c r="S432" s="254">
        <f t="shared" si="67"/>
        <v>0</v>
      </c>
      <c r="T432" s="172"/>
      <c r="U432" s="137" t="s">
        <v>585</v>
      </c>
      <c r="V432" s="261">
        <f t="shared" si="68"/>
        <v>0</v>
      </c>
      <c r="W432" s="261">
        <f t="shared" si="63"/>
        <v>-12167.5</v>
      </c>
      <c r="X432" s="261"/>
      <c r="Y432" s="176" t="s">
        <v>722</v>
      </c>
      <c r="Z432" s="176"/>
      <c r="AA432" s="186">
        <v>10000</v>
      </c>
      <c r="AB432" s="186">
        <v>0</v>
      </c>
      <c r="AC432" s="176">
        <v>0</v>
      </c>
      <c r="AD432" s="176">
        <v>0</v>
      </c>
      <c r="AE432" s="186">
        <v>10000</v>
      </c>
      <c r="AF432" s="35">
        <v>10000</v>
      </c>
      <c r="AG432" s="212">
        <v>0</v>
      </c>
      <c r="AH432" s="212">
        <f t="shared" si="59"/>
        <v>10000</v>
      </c>
      <c r="AI432" s="212" t="s">
        <v>585</v>
      </c>
      <c r="AJ432" s="212">
        <v>12170</v>
      </c>
      <c r="AK432" s="212">
        <v>0</v>
      </c>
      <c r="AL432" s="212">
        <v>0</v>
      </c>
      <c r="AM432" s="212">
        <v>0</v>
      </c>
      <c r="AN432" s="212">
        <v>12170</v>
      </c>
      <c r="AO432" s="176">
        <v>0</v>
      </c>
      <c r="AP432" s="176">
        <v>12167.5</v>
      </c>
      <c r="AQ432" s="176">
        <v>0</v>
      </c>
      <c r="AR432" s="212">
        <f t="shared" si="60"/>
        <v>-12167.5</v>
      </c>
      <c r="AS432" s="212">
        <f t="shared" si="61"/>
        <v>22167.5</v>
      </c>
      <c r="AT432" s="473">
        <f t="shared" si="62"/>
        <v>34335</v>
      </c>
      <c r="AU432" s="478"/>
    </row>
    <row r="433" spans="1:47" s="35" customFormat="1" ht="43.5" x14ac:dyDescent="0.35">
      <c r="A433" s="35" t="s">
        <v>1194</v>
      </c>
      <c r="B433" s="224" t="s">
        <v>946</v>
      </c>
      <c r="C433" s="222" t="s">
        <v>19</v>
      </c>
      <c r="D433" s="136">
        <v>8471260</v>
      </c>
      <c r="E433" s="137" t="s">
        <v>586</v>
      </c>
      <c r="F433" s="138">
        <v>421100</v>
      </c>
      <c r="G433" s="137" t="s">
        <v>367</v>
      </c>
      <c r="H433" s="137" t="s">
        <v>587</v>
      </c>
      <c r="I433" s="137">
        <v>2058000</v>
      </c>
      <c r="J433" s="140">
        <v>353000</v>
      </c>
      <c r="K433" s="141">
        <v>352238.57</v>
      </c>
      <c r="L433" s="142"/>
      <c r="M433" s="143"/>
      <c r="N433" s="144">
        <f t="shared" si="64"/>
        <v>761.42999999999302</v>
      </c>
      <c r="O433" s="145">
        <v>0</v>
      </c>
      <c r="P433" s="145">
        <v>0</v>
      </c>
      <c r="Q433" s="149">
        <v>0</v>
      </c>
      <c r="R433" s="146">
        <v>0</v>
      </c>
      <c r="S433" s="254">
        <f t="shared" si="67"/>
        <v>761.42999999999302</v>
      </c>
      <c r="T433" s="172" t="s">
        <v>889</v>
      </c>
      <c r="U433" s="137" t="s">
        <v>587</v>
      </c>
      <c r="V433" s="261">
        <f t="shared" si="68"/>
        <v>761.42999999999302</v>
      </c>
      <c r="W433" s="261">
        <f t="shared" si="63"/>
        <v>761.42999999999302</v>
      </c>
      <c r="X433" s="261"/>
      <c r="Y433" s="176" t="s">
        <v>722</v>
      </c>
      <c r="Z433" s="176"/>
      <c r="AA433" s="186">
        <v>353000</v>
      </c>
      <c r="AB433" s="186">
        <v>352238.57</v>
      </c>
      <c r="AC433" s="176">
        <v>0</v>
      </c>
      <c r="AD433" s="176">
        <v>0</v>
      </c>
      <c r="AE433" s="186">
        <v>761.42999999999302</v>
      </c>
      <c r="AF433" s="35">
        <v>761.42999999999302</v>
      </c>
      <c r="AG433" s="212">
        <v>0</v>
      </c>
      <c r="AH433" s="212">
        <f t="shared" si="59"/>
        <v>0</v>
      </c>
      <c r="AI433" s="212" t="s">
        <v>587</v>
      </c>
      <c r="AJ433" s="212">
        <v>353000</v>
      </c>
      <c r="AK433" s="212">
        <v>352238.57</v>
      </c>
      <c r="AL433" s="212">
        <v>0</v>
      </c>
      <c r="AM433" s="212">
        <v>0</v>
      </c>
      <c r="AN433" s="212">
        <v>761.42999999999302</v>
      </c>
      <c r="AO433" s="176">
        <v>0</v>
      </c>
      <c r="AP433" s="176">
        <v>0</v>
      </c>
      <c r="AQ433" s="176">
        <v>0</v>
      </c>
      <c r="AR433" s="212">
        <f t="shared" si="60"/>
        <v>761.42999999999302</v>
      </c>
      <c r="AS433" s="212">
        <f t="shared" si="61"/>
        <v>352238.57</v>
      </c>
      <c r="AT433" s="473">
        <f t="shared" si="62"/>
        <v>351477.14</v>
      </c>
      <c r="AU433" s="478"/>
    </row>
    <row r="434" spans="1:47" s="35" customFormat="1" ht="43.5" x14ac:dyDescent="0.35">
      <c r="A434" s="35" t="s">
        <v>1194</v>
      </c>
      <c r="B434" s="224" t="s">
        <v>946</v>
      </c>
      <c r="C434" s="222" t="s">
        <v>19</v>
      </c>
      <c r="D434" s="136">
        <v>8471260</v>
      </c>
      <c r="E434" s="137" t="s">
        <v>586</v>
      </c>
      <c r="F434" s="138">
        <v>425510</v>
      </c>
      <c r="G434" s="137" t="s">
        <v>31</v>
      </c>
      <c r="H434" s="137" t="s">
        <v>588</v>
      </c>
      <c r="I434" s="137">
        <v>205000</v>
      </c>
      <c r="J434" s="140">
        <v>105000</v>
      </c>
      <c r="K434" s="141">
        <v>77273.75</v>
      </c>
      <c r="L434" s="148">
        <v>0</v>
      </c>
      <c r="M434" s="140">
        <v>0</v>
      </c>
      <c r="N434" s="144">
        <f t="shared" si="64"/>
        <v>27726.25</v>
      </c>
      <c r="O434" s="145">
        <v>0</v>
      </c>
      <c r="P434" s="145">
        <v>27726</v>
      </c>
      <c r="Q434" s="149">
        <v>0</v>
      </c>
      <c r="R434" s="146" t="s">
        <v>863</v>
      </c>
      <c r="S434" s="254">
        <f t="shared" si="67"/>
        <v>0.25</v>
      </c>
      <c r="T434" s="172"/>
      <c r="U434" s="137" t="s">
        <v>588</v>
      </c>
      <c r="V434" s="261">
        <f t="shared" si="68"/>
        <v>0.25</v>
      </c>
      <c r="W434" s="261">
        <f t="shared" si="63"/>
        <v>0.25</v>
      </c>
      <c r="X434" s="261"/>
      <c r="Y434" s="176" t="s">
        <v>722</v>
      </c>
      <c r="Z434" s="176"/>
      <c r="AA434" s="186">
        <v>105000</v>
      </c>
      <c r="AB434" s="186">
        <v>98773.75</v>
      </c>
      <c r="AC434" s="176">
        <v>0</v>
      </c>
      <c r="AD434" s="176">
        <v>0</v>
      </c>
      <c r="AE434" s="186">
        <v>6226.25</v>
      </c>
      <c r="AF434" s="35">
        <v>6226.25</v>
      </c>
      <c r="AG434" s="212">
        <v>0</v>
      </c>
      <c r="AH434" s="212">
        <f t="shared" si="59"/>
        <v>6226</v>
      </c>
      <c r="AI434" s="212" t="s">
        <v>588</v>
      </c>
      <c r="AJ434" s="212">
        <v>99000</v>
      </c>
      <c r="AK434" s="212">
        <v>98773.75</v>
      </c>
      <c r="AL434" s="212">
        <v>0</v>
      </c>
      <c r="AM434" s="212">
        <v>0</v>
      </c>
      <c r="AN434" s="212">
        <v>226.25</v>
      </c>
      <c r="AO434" s="176">
        <v>0</v>
      </c>
      <c r="AP434" s="176">
        <v>0</v>
      </c>
      <c r="AQ434" s="176">
        <v>0</v>
      </c>
      <c r="AR434" s="212">
        <f t="shared" si="60"/>
        <v>0.25</v>
      </c>
      <c r="AS434" s="212">
        <f t="shared" si="61"/>
        <v>98773.75</v>
      </c>
      <c r="AT434" s="473">
        <f t="shared" si="62"/>
        <v>98773.5</v>
      </c>
      <c r="AU434" s="478"/>
    </row>
    <row r="435" spans="1:47" s="35" customFormat="1" ht="43.5" x14ac:dyDescent="0.35">
      <c r="A435" s="35" t="s">
        <v>1194</v>
      </c>
      <c r="B435" s="224" t="s">
        <v>946</v>
      </c>
      <c r="C435" s="222" t="s">
        <v>19</v>
      </c>
      <c r="D435" s="136">
        <v>8471260</v>
      </c>
      <c r="E435" s="137" t="s">
        <v>586</v>
      </c>
      <c r="F435" s="138">
        <v>425746</v>
      </c>
      <c r="G435" s="137" t="s">
        <v>589</v>
      </c>
      <c r="H435" s="137" t="s">
        <v>590</v>
      </c>
      <c r="I435" s="137">
        <v>9349361</v>
      </c>
      <c r="J435" s="140">
        <v>9349361</v>
      </c>
      <c r="K435" s="141">
        <v>-58814.48</v>
      </c>
      <c r="L435" s="142"/>
      <c r="M435" s="140">
        <v>662298.51</v>
      </c>
      <c r="N435" s="144">
        <f t="shared" si="64"/>
        <v>8745876.9700000007</v>
      </c>
      <c r="O435" s="145">
        <v>9967605.25</v>
      </c>
      <c r="P435" s="145">
        <v>1143175.75</v>
      </c>
      <c r="Q435" s="149">
        <v>1143175.75</v>
      </c>
      <c r="R435" s="242" t="s">
        <v>864</v>
      </c>
      <c r="S435" s="255">
        <v>-5300000</v>
      </c>
      <c r="T435" s="244" t="s">
        <v>981</v>
      </c>
      <c r="U435" s="137" t="s">
        <v>590</v>
      </c>
      <c r="V435" s="261"/>
      <c r="W435" s="261">
        <f t="shared" si="63"/>
        <v>0</v>
      </c>
      <c r="X435" s="474">
        <v>5300000</v>
      </c>
      <c r="Y435" s="251" t="s">
        <v>722</v>
      </c>
      <c r="Z435" s="176"/>
      <c r="AA435" s="186">
        <v>9349361</v>
      </c>
      <c r="AB435" s="186">
        <v>-58814.48</v>
      </c>
      <c r="AC435" s="176">
        <v>0</v>
      </c>
      <c r="AD435" s="176">
        <v>9407298.5099999998</v>
      </c>
      <c r="AE435" s="186">
        <v>876.97000000067055</v>
      </c>
      <c r="AF435" s="35">
        <v>876.97000000067101</v>
      </c>
      <c r="AG435" s="212">
        <v>0</v>
      </c>
      <c r="AH435" s="212">
        <f t="shared" si="59"/>
        <v>876.97000000067055</v>
      </c>
      <c r="AI435" s="212" t="s">
        <v>590</v>
      </c>
      <c r="AJ435" s="212">
        <v>9349361</v>
      </c>
      <c r="AK435" s="212">
        <v>98990.26</v>
      </c>
      <c r="AL435" s="212">
        <v>0</v>
      </c>
      <c r="AM435" s="212">
        <v>8745000</v>
      </c>
      <c r="AN435" s="212">
        <v>505370.74</v>
      </c>
      <c r="AO435" s="176">
        <v>0</v>
      </c>
      <c r="AP435" s="176">
        <v>0</v>
      </c>
      <c r="AQ435" s="176">
        <v>0</v>
      </c>
      <c r="AR435" s="212">
        <f t="shared" si="60"/>
        <v>0</v>
      </c>
      <c r="AS435" s="212">
        <f t="shared" si="61"/>
        <v>10491659.779999999</v>
      </c>
      <c r="AT435" s="473">
        <f t="shared" si="62"/>
        <v>15287166.01</v>
      </c>
      <c r="AU435" s="478"/>
    </row>
    <row r="436" spans="1:47" s="35" customFormat="1" ht="43.5" x14ac:dyDescent="0.35">
      <c r="A436" s="35" t="s">
        <v>1194</v>
      </c>
      <c r="B436" s="224" t="s">
        <v>946</v>
      </c>
      <c r="C436" s="222" t="s">
        <v>19</v>
      </c>
      <c r="D436" s="136">
        <v>8471260</v>
      </c>
      <c r="E436" s="137" t="s">
        <v>586</v>
      </c>
      <c r="F436" s="138">
        <v>425747</v>
      </c>
      <c r="G436" s="137" t="s">
        <v>591</v>
      </c>
      <c r="H436" s="137" t="s">
        <v>592</v>
      </c>
      <c r="I436" s="137">
        <v>225000</v>
      </c>
      <c r="J436" s="140">
        <v>410000</v>
      </c>
      <c r="K436" s="141">
        <v>85680</v>
      </c>
      <c r="L436" s="148">
        <v>230400</v>
      </c>
      <c r="M436" s="140">
        <v>81632</v>
      </c>
      <c r="N436" s="144">
        <f t="shared" si="64"/>
        <v>12288</v>
      </c>
      <c r="O436" s="145"/>
      <c r="P436" s="145">
        <v>12288</v>
      </c>
      <c r="Q436" s="149"/>
      <c r="R436" s="146" t="s">
        <v>865</v>
      </c>
      <c r="S436" s="254">
        <f t="shared" si="67"/>
        <v>0</v>
      </c>
      <c r="T436" s="172" t="s">
        <v>889</v>
      </c>
      <c r="U436" s="137" t="s">
        <v>592</v>
      </c>
      <c r="V436" s="261">
        <f t="shared" ref="V436:V446" si="69">S436</f>
        <v>0</v>
      </c>
      <c r="W436" s="261">
        <f t="shared" si="63"/>
        <v>0</v>
      </c>
      <c r="X436" s="261"/>
      <c r="Y436" s="176" t="s">
        <v>722</v>
      </c>
      <c r="Z436" s="176"/>
      <c r="AA436" s="186">
        <v>397712</v>
      </c>
      <c r="AB436" s="186">
        <v>397712</v>
      </c>
      <c r="AC436" s="176">
        <v>0</v>
      </c>
      <c r="AD436" s="176">
        <v>0</v>
      </c>
      <c r="AE436" s="186">
        <v>0</v>
      </c>
      <c r="AF436" s="35">
        <v>0</v>
      </c>
      <c r="AG436" s="212">
        <v>0</v>
      </c>
      <c r="AH436" s="212">
        <f t="shared" si="59"/>
        <v>0</v>
      </c>
      <c r="AI436" s="212" t="s">
        <v>592</v>
      </c>
      <c r="AJ436" s="212">
        <v>586812</v>
      </c>
      <c r="AK436" s="212">
        <v>401793.6</v>
      </c>
      <c r="AL436" s="212">
        <v>0</v>
      </c>
      <c r="AM436" s="212">
        <v>0</v>
      </c>
      <c r="AN436" s="212">
        <v>185018.4</v>
      </c>
      <c r="AO436" s="176">
        <v>0</v>
      </c>
      <c r="AP436" s="176">
        <v>0</v>
      </c>
      <c r="AQ436" s="176">
        <v>0</v>
      </c>
      <c r="AR436" s="212">
        <f t="shared" si="60"/>
        <v>0</v>
      </c>
      <c r="AS436" s="212">
        <f t="shared" si="61"/>
        <v>397712</v>
      </c>
      <c r="AT436" s="473">
        <f t="shared" si="62"/>
        <v>401793.6</v>
      </c>
      <c r="AU436" s="478"/>
    </row>
    <row r="437" spans="1:47" s="35" customFormat="1" ht="43.5" x14ac:dyDescent="0.35">
      <c r="A437" s="35" t="s">
        <v>1194</v>
      </c>
      <c r="B437" s="224" t="s">
        <v>946</v>
      </c>
      <c r="C437" s="222" t="s">
        <v>19</v>
      </c>
      <c r="D437" s="136">
        <v>8471260</v>
      </c>
      <c r="E437" s="137" t="s">
        <v>586</v>
      </c>
      <c r="F437" s="138">
        <v>425760</v>
      </c>
      <c r="G437" s="137" t="s">
        <v>142</v>
      </c>
      <c r="H437" s="137" t="s">
        <v>593</v>
      </c>
      <c r="I437" s="137">
        <v>936870</v>
      </c>
      <c r="J437" s="140">
        <v>703970</v>
      </c>
      <c r="K437" s="141">
        <v>279636.98</v>
      </c>
      <c r="L437" s="148">
        <v>238050</v>
      </c>
      <c r="M437" s="140">
        <v>62469.05</v>
      </c>
      <c r="N437" s="144">
        <f t="shared" si="64"/>
        <v>123813.97000000002</v>
      </c>
      <c r="O437" s="145">
        <v>56907</v>
      </c>
      <c r="P437" s="145">
        <v>61907</v>
      </c>
      <c r="Q437" s="149">
        <v>5000</v>
      </c>
      <c r="R437" s="146" t="s">
        <v>866</v>
      </c>
      <c r="S437" s="254">
        <f t="shared" si="67"/>
        <v>-2.9999999984283932E-2</v>
      </c>
      <c r="T437" s="172" t="s">
        <v>889</v>
      </c>
      <c r="U437" s="137" t="s">
        <v>593</v>
      </c>
      <c r="V437" s="261">
        <f t="shared" si="69"/>
        <v>-2.9999999984283932E-2</v>
      </c>
      <c r="W437" s="261">
        <f t="shared" si="63"/>
        <v>-15854.839999999984</v>
      </c>
      <c r="X437" s="261"/>
      <c r="Y437" s="176" t="s">
        <v>722</v>
      </c>
      <c r="Z437" s="176"/>
      <c r="AA437" s="186">
        <v>703970</v>
      </c>
      <c r="AB437" s="186">
        <v>442827.3</v>
      </c>
      <c r="AC437" s="176">
        <v>25000</v>
      </c>
      <c r="AD437" s="176">
        <v>33450</v>
      </c>
      <c r="AE437" s="186">
        <v>202692.7</v>
      </c>
      <c r="AF437" s="35">
        <v>202692.7</v>
      </c>
      <c r="AG437" s="212">
        <v>0</v>
      </c>
      <c r="AH437" s="212">
        <f t="shared" si="59"/>
        <v>202692.72999999998</v>
      </c>
      <c r="AI437" s="212" t="s">
        <v>593</v>
      </c>
      <c r="AJ437" s="212">
        <v>575970</v>
      </c>
      <c r="AK437" s="212">
        <v>457648.93</v>
      </c>
      <c r="AL437" s="212">
        <v>0</v>
      </c>
      <c r="AM437" s="212">
        <v>47450</v>
      </c>
      <c r="AN437" s="212">
        <v>70871.069999999905</v>
      </c>
      <c r="AO437" s="176">
        <v>8586.91</v>
      </c>
      <c r="AP437" s="176">
        <v>7267.9</v>
      </c>
      <c r="AQ437" s="176">
        <v>0</v>
      </c>
      <c r="AR437" s="212">
        <f t="shared" si="60"/>
        <v>-15854.839999999984</v>
      </c>
      <c r="AS437" s="212">
        <f t="shared" si="61"/>
        <v>522132.11</v>
      </c>
      <c r="AT437" s="473">
        <f t="shared" si="62"/>
        <v>541808.57999999996</v>
      </c>
      <c r="AU437" s="478"/>
    </row>
    <row r="438" spans="1:47" s="35" customFormat="1" ht="43.5" x14ac:dyDescent="0.35">
      <c r="A438" s="35" t="s">
        <v>1194</v>
      </c>
      <c r="B438" s="224" t="s">
        <v>946</v>
      </c>
      <c r="C438" s="222" t="s">
        <v>19</v>
      </c>
      <c r="D438" s="136">
        <v>8471260</v>
      </c>
      <c r="E438" s="137" t="s">
        <v>586</v>
      </c>
      <c r="F438" s="138">
        <v>425900</v>
      </c>
      <c r="G438" s="137" t="s">
        <v>35</v>
      </c>
      <c r="H438" s="137" t="s">
        <v>594</v>
      </c>
      <c r="I438" s="137">
        <v>70800</v>
      </c>
      <c r="J438" s="140">
        <v>126700</v>
      </c>
      <c r="K438" s="141">
        <v>117403.98</v>
      </c>
      <c r="L438" s="148">
        <v>0</v>
      </c>
      <c r="M438" s="140">
        <v>0</v>
      </c>
      <c r="N438" s="144">
        <f t="shared" si="64"/>
        <v>9296.0200000000041</v>
      </c>
      <c r="O438" s="145">
        <v>4634.5</v>
      </c>
      <c r="P438" s="145">
        <v>4662</v>
      </c>
      <c r="Q438" s="149">
        <v>0</v>
      </c>
      <c r="R438" s="146" t="s">
        <v>867</v>
      </c>
      <c r="S438" s="254">
        <f t="shared" si="67"/>
        <v>-0.47999999999592546</v>
      </c>
      <c r="T438" s="172" t="s">
        <v>889</v>
      </c>
      <c r="U438" s="137" t="s">
        <v>594</v>
      </c>
      <c r="V438" s="261">
        <f t="shared" si="69"/>
        <v>-0.47999999999592546</v>
      </c>
      <c r="W438" s="261">
        <f t="shared" si="63"/>
        <v>-0.47999999999592546</v>
      </c>
      <c r="X438" s="261"/>
      <c r="Y438" s="176" t="s">
        <v>722</v>
      </c>
      <c r="Z438" s="176"/>
      <c r="AA438" s="186">
        <v>138988</v>
      </c>
      <c r="AB438" s="186">
        <v>135585.60000000001</v>
      </c>
      <c r="AC438" s="186">
        <v>0</v>
      </c>
      <c r="AD438" s="186">
        <v>0</v>
      </c>
      <c r="AE438" s="186">
        <v>3402.3999999999942</v>
      </c>
      <c r="AF438" s="184">
        <v>3402.4000000000301</v>
      </c>
      <c r="AG438" s="184">
        <v>-3.5925040720030665E-11</v>
      </c>
      <c r="AH438" s="212">
        <f t="shared" si="59"/>
        <v>3402.8799999999901</v>
      </c>
      <c r="AI438" s="212" t="s">
        <v>594</v>
      </c>
      <c r="AJ438" s="212">
        <v>144988</v>
      </c>
      <c r="AK438" s="212">
        <v>137684.41</v>
      </c>
      <c r="AL438" s="212">
        <v>0</v>
      </c>
      <c r="AM438" s="212">
        <v>0</v>
      </c>
      <c r="AN438" s="212">
        <v>6253.59</v>
      </c>
      <c r="AO438" s="176">
        <v>0</v>
      </c>
      <c r="AP438" s="176">
        <v>0</v>
      </c>
      <c r="AQ438" s="176">
        <v>0</v>
      </c>
      <c r="AR438" s="212">
        <f t="shared" si="60"/>
        <v>-0.47999999999592546</v>
      </c>
      <c r="AS438" s="212">
        <f t="shared" si="61"/>
        <v>135585.60000000001</v>
      </c>
      <c r="AT438" s="473">
        <f t="shared" si="62"/>
        <v>137684.89000000001</v>
      </c>
      <c r="AU438" s="478"/>
    </row>
    <row r="439" spans="1:47" s="35" customFormat="1" ht="43.5" x14ac:dyDescent="0.35">
      <c r="A439" s="35" t="s">
        <v>1194</v>
      </c>
      <c r="B439" s="224" t="s">
        <v>946</v>
      </c>
      <c r="C439" s="222" t="s">
        <v>19</v>
      </c>
      <c r="D439" s="136">
        <v>8471260</v>
      </c>
      <c r="E439" s="137" t="s">
        <v>586</v>
      </c>
      <c r="F439" s="138">
        <v>428640</v>
      </c>
      <c r="G439" s="137" t="s">
        <v>43</v>
      </c>
      <c r="H439" s="137" t="s">
        <v>595</v>
      </c>
      <c r="I439" s="137">
        <v>32500</v>
      </c>
      <c r="J439" s="140">
        <v>63492</v>
      </c>
      <c r="K439" s="141">
        <v>53454.94</v>
      </c>
      <c r="L439" s="148">
        <v>0</v>
      </c>
      <c r="M439" s="140">
        <v>0</v>
      </c>
      <c r="N439" s="144">
        <f t="shared" si="64"/>
        <v>10037.059999999998</v>
      </c>
      <c r="O439" s="145">
        <v>5000</v>
      </c>
      <c r="P439" s="145">
        <v>5037</v>
      </c>
      <c r="Q439" s="149"/>
      <c r="R439" s="146" t="s">
        <v>868</v>
      </c>
      <c r="S439" s="254">
        <f t="shared" si="67"/>
        <v>5.9999999997671694E-2</v>
      </c>
      <c r="T439" s="172" t="s">
        <v>889</v>
      </c>
      <c r="U439" s="137" t="s">
        <v>595</v>
      </c>
      <c r="V439" s="261">
        <f t="shared" si="69"/>
        <v>5.9999999997671694E-2</v>
      </c>
      <c r="W439" s="261">
        <f t="shared" si="63"/>
        <v>5.9999999997671694E-2</v>
      </c>
      <c r="X439" s="261"/>
      <c r="Y439" s="176" t="s">
        <v>722</v>
      </c>
      <c r="Z439" s="176"/>
      <c r="AA439" s="186">
        <v>63492</v>
      </c>
      <c r="AB439" s="186">
        <v>61287.44</v>
      </c>
      <c r="AC439" s="186">
        <v>0</v>
      </c>
      <c r="AD439" s="186">
        <v>0</v>
      </c>
      <c r="AE439" s="186">
        <v>2204.5599999999977</v>
      </c>
      <c r="AF439" s="184">
        <v>2204.5600000000099</v>
      </c>
      <c r="AG439" s="184">
        <v>-1.2278178473934531E-11</v>
      </c>
      <c r="AH439" s="212">
        <f t="shared" si="59"/>
        <v>2204.5</v>
      </c>
      <c r="AI439" s="212" t="s">
        <v>595</v>
      </c>
      <c r="AJ439" s="212">
        <v>63492</v>
      </c>
      <c r="AK439" s="212">
        <v>61287.44</v>
      </c>
      <c r="AL439" s="212">
        <v>0</v>
      </c>
      <c r="AM439" s="212">
        <v>0</v>
      </c>
      <c r="AN439" s="212">
        <v>2204.5600000000099</v>
      </c>
      <c r="AO439" s="176">
        <v>0</v>
      </c>
      <c r="AP439" s="176">
        <v>0</v>
      </c>
      <c r="AQ439" s="176">
        <v>0</v>
      </c>
      <c r="AR439" s="212">
        <f t="shared" si="60"/>
        <v>5.9999999997671694E-2</v>
      </c>
      <c r="AS439" s="212">
        <f t="shared" si="61"/>
        <v>61287.44</v>
      </c>
      <c r="AT439" s="473">
        <f t="shared" si="62"/>
        <v>61287.380000000005</v>
      </c>
      <c r="AU439" s="478"/>
    </row>
    <row r="440" spans="1:47" s="35" customFormat="1" ht="43.5" x14ac:dyDescent="0.35">
      <c r="A440" s="35" t="s">
        <v>1194</v>
      </c>
      <c r="B440" s="224" t="s">
        <v>946</v>
      </c>
      <c r="C440" s="222" t="s">
        <v>19</v>
      </c>
      <c r="D440" s="136">
        <v>8471260</v>
      </c>
      <c r="E440" s="137" t="s">
        <v>586</v>
      </c>
      <c r="F440" s="138">
        <v>435530</v>
      </c>
      <c r="G440" s="137" t="s">
        <v>547</v>
      </c>
      <c r="H440" s="137" t="s">
        <v>596</v>
      </c>
      <c r="I440" s="137">
        <v>12000</v>
      </c>
      <c r="J440" s="140">
        <v>117000</v>
      </c>
      <c r="K440" s="141">
        <v>54546.5</v>
      </c>
      <c r="L440" s="148">
        <v>0</v>
      </c>
      <c r="M440" s="140">
        <v>48600</v>
      </c>
      <c r="N440" s="144">
        <f t="shared" si="64"/>
        <v>13853.5</v>
      </c>
      <c r="O440" s="145">
        <v>6926.75</v>
      </c>
      <c r="P440" s="145">
        <v>6926.75</v>
      </c>
      <c r="Q440" s="149"/>
      <c r="R440" s="146" t="s">
        <v>869</v>
      </c>
      <c r="S440" s="254">
        <f t="shared" si="67"/>
        <v>0</v>
      </c>
      <c r="T440" s="172" t="s">
        <v>889</v>
      </c>
      <c r="U440" s="137" t="s">
        <v>596</v>
      </c>
      <c r="V440" s="261">
        <f t="shared" si="69"/>
        <v>0</v>
      </c>
      <c r="W440" s="261">
        <f t="shared" si="63"/>
        <v>0</v>
      </c>
      <c r="X440" s="261"/>
      <c r="Y440" s="176" t="s">
        <v>722</v>
      </c>
      <c r="Z440" s="176"/>
      <c r="AA440" s="186">
        <v>117000</v>
      </c>
      <c r="AB440" s="186">
        <v>106121.25</v>
      </c>
      <c r="AC440" s="176">
        <v>9050</v>
      </c>
      <c r="AD440" s="176">
        <v>0</v>
      </c>
      <c r="AE440" s="186">
        <v>1828.75</v>
      </c>
      <c r="AF440" s="35">
        <v>1828.74999999999</v>
      </c>
      <c r="AG440" s="212">
        <v>1.0004441719502211E-11</v>
      </c>
      <c r="AH440" s="212">
        <f t="shared" si="59"/>
        <v>1828.75</v>
      </c>
      <c r="AI440" s="212" t="s">
        <v>596</v>
      </c>
      <c r="AJ440" s="212">
        <v>117000</v>
      </c>
      <c r="AK440" s="212">
        <v>106121.25</v>
      </c>
      <c r="AL440" s="212">
        <v>0</v>
      </c>
      <c r="AM440" s="212">
        <v>9050</v>
      </c>
      <c r="AN440" s="212">
        <v>1828.74999999999</v>
      </c>
      <c r="AO440" s="176">
        <v>0</v>
      </c>
      <c r="AP440" s="176">
        <v>0</v>
      </c>
      <c r="AQ440" s="176">
        <v>0</v>
      </c>
      <c r="AR440" s="212">
        <f t="shared" si="60"/>
        <v>0</v>
      </c>
      <c r="AS440" s="212">
        <f t="shared" si="61"/>
        <v>115171.25</v>
      </c>
      <c r="AT440" s="473">
        <f t="shared" si="62"/>
        <v>115171.25</v>
      </c>
      <c r="AU440" s="478"/>
    </row>
    <row r="441" spans="1:47" s="35" customFormat="1" ht="43.5" x14ac:dyDescent="0.35">
      <c r="A441" s="35" t="s">
        <v>1194</v>
      </c>
      <c r="B441" s="224" t="s">
        <v>946</v>
      </c>
      <c r="C441" s="222" t="s">
        <v>19</v>
      </c>
      <c r="D441" s="136">
        <v>8471260</v>
      </c>
      <c r="E441" s="137" t="s">
        <v>586</v>
      </c>
      <c r="F441" s="138">
        <v>436110</v>
      </c>
      <c r="G441" s="137" t="s">
        <v>119</v>
      </c>
      <c r="H441" s="137" t="s">
        <v>597</v>
      </c>
      <c r="I441" s="137">
        <v>13500</v>
      </c>
      <c r="J441" s="140">
        <v>13500</v>
      </c>
      <c r="K441" s="141">
        <v>1620.23</v>
      </c>
      <c r="L441" s="142"/>
      <c r="M441" s="143"/>
      <c r="N441" s="144">
        <f t="shared" si="64"/>
        <v>11879.77</v>
      </c>
      <c r="O441" s="145">
        <v>7800</v>
      </c>
      <c r="P441" s="145">
        <v>4080</v>
      </c>
      <c r="Q441" s="149"/>
      <c r="R441" s="146" t="s">
        <v>870</v>
      </c>
      <c r="S441" s="254">
        <f t="shared" si="67"/>
        <v>-0.22999999999956344</v>
      </c>
      <c r="T441" s="172" t="s">
        <v>889</v>
      </c>
      <c r="U441" s="137" t="s">
        <v>597</v>
      </c>
      <c r="V441" s="261">
        <f t="shared" si="69"/>
        <v>-0.22999999999956344</v>
      </c>
      <c r="W441" s="261">
        <f t="shared" si="63"/>
        <v>-4234.8799999999992</v>
      </c>
      <c r="X441" s="261"/>
      <c r="Y441" s="176" t="s">
        <v>722</v>
      </c>
      <c r="Z441" s="176"/>
      <c r="AA441" s="186">
        <v>13500</v>
      </c>
      <c r="AB441" s="186">
        <v>7039.73</v>
      </c>
      <c r="AC441" s="176">
        <v>0</v>
      </c>
      <c r="AD441" s="176">
        <v>0</v>
      </c>
      <c r="AE441" s="186">
        <v>6460.27</v>
      </c>
      <c r="AF441" s="35">
        <v>6460.27</v>
      </c>
      <c r="AG441" s="212">
        <v>0</v>
      </c>
      <c r="AH441" s="212">
        <f t="shared" si="59"/>
        <v>6460.5</v>
      </c>
      <c r="AI441" s="212" t="s">
        <v>597</v>
      </c>
      <c r="AJ441" s="212">
        <v>13500</v>
      </c>
      <c r="AK441" s="212">
        <v>7039.73</v>
      </c>
      <c r="AL441" s="212">
        <v>0</v>
      </c>
      <c r="AM441" s="212">
        <v>0</v>
      </c>
      <c r="AN441" s="212">
        <v>6460.27</v>
      </c>
      <c r="AO441" s="176">
        <v>0</v>
      </c>
      <c r="AP441" s="176">
        <v>4234.6499999999996</v>
      </c>
      <c r="AQ441" s="176">
        <v>0</v>
      </c>
      <c r="AR441" s="212">
        <f t="shared" si="60"/>
        <v>-4234.8799999999992</v>
      </c>
      <c r="AS441" s="212">
        <f t="shared" si="61"/>
        <v>11274.38</v>
      </c>
      <c r="AT441" s="473">
        <f t="shared" si="62"/>
        <v>15509.259999999998</v>
      </c>
      <c r="AU441" s="478"/>
    </row>
    <row r="442" spans="1:47" s="35" customFormat="1" ht="43.5" x14ac:dyDescent="0.35">
      <c r="A442" s="35" t="s">
        <v>1194</v>
      </c>
      <c r="B442" s="224" t="s">
        <v>946</v>
      </c>
      <c r="C442" s="222" t="s">
        <v>19</v>
      </c>
      <c r="D442" s="136">
        <v>8471270</v>
      </c>
      <c r="E442" s="137" t="s">
        <v>598</v>
      </c>
      <c r="F442" s="138">
        <v>425900</v>
      </c>
      <c r="G442" s="137" t="s">
        <v>35</v>
      </c>
      <c r="H442" s="137" t="s">
        <v>599</v>
      </c>
      <c r="I442" s="137">
        <v>50000</v>
      </c>
      <c r="J442" s="140">
        <v>50000</v>
      </c>
      <c r="K442" s="147"/>
      <c r="L442" s="142"/>
      <c r="M442" s="143"/>
      <c r="N442" s="144">
        <f t="shared" si="64"/>
        <v>50000</v>
      </c>
      <c r="O442" s="145"/>
      <c r="P442" s="145"/>
      <c r="Q442" s="149"/>
      <c r="R442" s="146"/>
      <c r="S442" s="254">
        <f t="shared" si="67"/>
        <v>50000</v>
      </c>
      <c r="T442" s="172" t="s">
        <v>880</v>
      </c>
      <c r="U442" s="137" t="s">
        <v>599</v>
      </c>
      <c r="V442" s="261">
        <f t="shared" si="69"/>
        <v>50000</v>
      </c>
      <c r="W442" s="261">
        <f t="shared" si="63"/>
        <v>50000</v>
      </c>
      <c r="X442" s="261"/>
      <c r="Y442" s="176" t="s">
        <v>722</v>
      </c>
      <c r="Z442" s="176"/>
      <c r="AA442" s="186">
        <v>50000</v>
      </c>
      <c r="AB442" s="186">
        <v>0</v>
      </c>
      <c r="AC442" s="176">
        <v>0</v>
      </c>
      <c r="AD442" s="176">
        <v>0</v>
      </c>
      <c r="AE442" s="186">
        <v>50000</v>
      </c>
      <c r="AF442" s="35">
        <v>50000</v>
      </c>
      <c r="AG442" s="212">
        <v>0</v>
      </c>
      <c r="AH442" s="212">
        <f t="shared" si="59"/>
        <v>0</v>
      </c>
      <c r="AI442" s="212" t="s">
        <v>599</v>
      </c>
      <c r="AJ442" s="212">
        <v>15000</v>
      </c>
      <c r="AK442" s="212">
        <v>0</v>
      </c>
      <c r="AL442" s="212">
        <v>0</v>
      </c>
      <c r="AM442" s="212">
        <v>0</v>
      </c>
      <c r="AN442" s="212">
        <v>12039</v>
      </c>
      <c r="AO442" s="176">
        <v>0</v>
      </c>
      <c r="AP442" s="176">
        <v>0</v>
      </c>
      <c r="AQ442" s="176">
        <v>0</v>
      </c>
      <c r="AR442" s="212">
        <f t="shared" si="60"/>
        <v>50000</v>
      </c>
      <c r="AS442" s="212">
        <f t="shared" si="61"/>
        <v>0</v>
      </c>
      <c r="AT442" s="473">
        <f t="shared" si="62"/>
        <v>-50000</v>
      </c>
      <c r="AU442" s="478"/>
    </row>
    <row r="443" spans="1:47" s="35" customFormat="1" ht="43.5" x14ac:dyDescent="0.35">
      <c r="A443" s="35" t="s">
        <v>1194</v>
      </c>
      <c r="B443" s="224" t="s">
        <v>946</v>
      </c>
      <c r="C443" s="222" t="s">
        <v>19</v>
      </c>
      <c r="D443" s="136">
        <v>8471270</v>
      </c>
      <c r="E443" s="137" t="s">
        <v>598</v>
      </c>
      <c r="F443" s="138">
        <v>428090</v>
      </c>
      <c r="G443" s="137" t="s">
        <v>39</v>
      </c>
      <c r="H443" s="137" t="s">
        <v>600</v>
      </c>
      <c r="I443" s="137">
        <v>300000</v>
      </c>
      <c r="J443" s="140">
        <v>81738</v>
      </c>
      <c r="K443" s="147"/>
      <c r="L443" s="142"/>
      <c r="M443" s="143"/>
      <c r="N443" s="144">
        <f t="shared" si="64"/>
        <v>81738</v>
      </c>
      <c r="O443" s="145"/>
      <c r="P443" s="145"/>
      <c r="Q443" s="149">
        <v>81738</v>
      </c>
      <c r="R443" s="146"/>
      <c r="S443" s="254">
        <f t="shared" si="67"/>
        <v>0</v>
      </c>
      <c r="T443" s="172" t="s">
        <v>881</v>
      </c>
      <c r="U443" s="137" t="s">
        <v>600</v>
      </c>
      <c r="V443" s="261">
        <f t="shared" si="69"/>
        <v>0</v>
      </c>
      <c r="W443" s="261">
        <f t="shared" si="63"/>
        <v>0</v>
      </c>
      <c r="X443" s="261"/>
      <c r="Y443" s="176" t="s">
        <v>722</v>
      </c>
      <c r="Z443" s="176"/>
      <c r="AA443" s="186">
        <v>81738</v>
      </c>
      <c r="AB443" s="186">
        <v>0</v>
      </c>
      <c r="AC443" s="176">
        <v>0</v>
      </c>
      <c r="AD443" s="176">
        <v>0</v>
      </c>
      <c r="AE443" s="186">
        <v>81738</v>
      </c>
      <c r="AF443" s="35">
        <v>81738</v>
      </c>
      <c r="AG443" s="212">
        <v>0</v>
      </c>
      <c r="AH443" s="212">
        <f t="shared" si="59"/>
        <v>81738</v>
      </c>
      <c r="AI443" s="212" t="s">
        <v>600</v>
      </c>
      <c r="AJ443" s="212">
        <v>81738</v>
      </c>
      <c r="AK443" s="212">
        <v>0</v>
      </c>
      <c r="AL443" s="212">
        <v>0</v>
      </c>
      <c r="AM443" s="212">
        <v>0</v>
      </c>
      <c r="AN443" s="212">
        <v>81738</v>
      </c>
      <c r="AO443" s="176">
        <v>0</v>
      </c>
      <c r="AP443" s="176">
        <v>0</v>
      </c>
      <c r="AQ443" s="176">
        <v>0</v>
      </c>
      <c r="AR443" s="212">
        <f t="shared" si="60"/>
        <v>0</v>
      </c>
      <c r="AS443" s="212">
        <f t="shared" si="61"/>
        <v>81738</v>
      </c>
      <c r="AT443" s="473">
        <f t="shared" si="62"/>
        <v>81738</v>
      </c>
      <c r="AU443" s="478"/>
    </row>
    <row r="444" spans="1:47" s="35" customFormat="1" ht="43.5" x14ac:dyDescent="0.35">
      <c r="A444" s="35" t="s">
        <v>1194</v>
      </c>
      <c r="B444" s="224" t="s">
        <v>946</v>
      </c>
      <c r="C444" s="222" t="s">
        <v>19</v>
      </c>
      <c r="D444" s="136">
        <v>8471270</v>
      </c>
      <c r="E444" s="137" t="s">
        <v>598</v>
      </c>
      <c r="F444" s="138">
        <v>435330</v>
      </c>
      <c r="G444" s="137" t="s">
        <v>573</v>
      </c>
      <c r="H444" s="137" t="s">
        <v>601</v>
      </c>
      <c r="I444" s="137">
        <v>15199430</v>
      </c>
      <c r="J444" s="140">
        <v>15139430</v>
      </c>
      <c r="K444" s="141">
        <v>12767176.51</v>
      </c>
      <c r="L444" s="148">
        <v>1073562.97</v>
      </c>
      <c r="M444" s="140">
        <v>1053366.4099999999</v>
      </c>
      <c r="N444" s="144">
        <f t="shared" si="64"/>
        <v>245324.11000000034</v>
      </c>
      <c r="O444" s="145"/>
      <c r="P444" s="145"/>
      <c r="Q444" s="149">
        <v>245324</v>
      </c>
      <c r="R444" s="146"/>
      <c r="S444" s="254">
        <f t="shared" si="67"/>
        <v>0.11000000033527613</v>
      </c>
      <c r="T444" s="172" t="s">
        <v>882</v>
      </c>
      <c r="U444" s="137" t="s">
        <v>601</v>
      </c>
      <c r="V444" s="261">
        <f t="shared" si="69"/>
        <v>0.11000000033527613</v>
      </c>
      <c r="W444" s="261">
        <f t="shared" si="63"/>
        <v>0.11000000033527613</v>
      </c>
      <c r="X444" s="261"/>
      <c r="Y444" s="176" t="s">
        <v>722</v>
      </c>
      <c r="Z444" s="176"/>
      <c r="AA444" s="186">
        <v>15139430</v>
      </c>
      <c r="AB444" s="186">
        <v>13396190.74</v>
      </c>
      <c r="AC444" s="176">
        <v>816172.97</v>
      </c>
      <c r="AD444" s="176">
        <v>731910.63</v>
      </c>
      <c r="AE444" s="186">
        <v>195155.6599999998</v>
      </c>
      <c r="AF444" s="35">
        <v>195155.65999999701</v>
      </c>
      <c r="AG444" s="212">
        <v>2.7939677238464355E-9</v>
      </c>
      <c r="AH444" s="212">
        <f t="shared" si="59"/>
        <v>195155.54999999946</v>
      </c>
      <c r="AI444" s="212" t="s">
        <v>601</v>
      </c>
      <c r="AJ444" s="212">
        <v>15139430</v>
      </c>
      <c r="AK444" s="212">
        <v>13533104.15</v>
      </c>
      <c r="AL444" s="212">
        <v>73143.000000000495</v>
      </c>
      <c r="AM444" s="212">
        <v>1305980.06</v>
      </c>
      <c r="AN444" s="212">
        <v>227202.78999999599</v>
      </c>
      <c r="AO444" s="176">
        <v>0</v>
      </c>
      <c r="AP444" s="176">
        <v>0</v>
      </c>
      <c r="AQ444" s="176">
        <v>0</v>
      </c>
      <c r="AR444" s="212">
        <f t="shared" si="60"/>
        <v>0.11000000033527613</v>
      </c>
      <c r="AS444" s="212">
        <f t="shared" si="61"/>
        <v>15189598.340000002</v>
      </c>
      <c r="AT444" s="473">
        <f t="shared" si="62"/>
        <v>15157551.100000001</v>
      </c>
      <c r="AU444" s="478"/>
    </row>
    <row r="445" spans="1:47" s="35" customFormat="1" ht="43.5" x14ac:dyDescent="0.35">
      <c r="A445" s="35" t="s">
        <v>1194</v>
      </c>
      <c r="B445" s="224" t="s">
        <v>946</v>
      </c>
      <c r="C445" s="222" t="s">
        <v>19</v>
      </c>
      <c r="D445" s="136">
        <v>8471270</v>
      </c>
      <c r="E445" s="137" t="s">
        <v>598</v>
      </c>
      <c r="F445" s="138">
        <v>436110</v>
      </c>
      <c r="G445" s="137" t="s">
        <v>119</v>
      </c>
      <c r="H445" s="137" t="s">
        <v>602</v>
      </c>
      <c r="I445" s="137">
        <v>50000</v>
      </c>
      <c r="J445" s="140">
        <v>50000</v>
      </c>
      <c r="K445" s="147"/>
      <c r="L445" s="142"/>
      <c r="M445" s="143"/>
      <c r="N445" s="144">
        <f t="shared" si="64"/>
        <v>50000</v>
      </c>
      <c r="O445" s="145"/>
      <c r="P445" s="145"/>
      <c r="Q445" s="149"/>
      <c r="R445" s="146"/>
      <c r="S445" s="254">
        <f t="shared" si="67"/>
        <v>50000</v>
      </c>
      <c r="T445" s="172" t="s">
        <v>883</v>
      </c>
      <c r="U445" s="137" t="s">
        <v>602</v>
      </c>
      <c r="V445" s="261">
        <f t="shared" si="69"/>
        <v>50000</v>
      </c>
      <c r="W445" s="261">
        <f t="shared" si="63"/>
        <v>50000</v>
      </c>
      <c r="X445" s="261"/>
      <c r="Y445" s="176" t="s">
        <v>722</v>
      </c>
      <c r="Z445" s="176"/>
      <c r="AA445" s="186">
        <v>50000</v>
      </c>
      <c r="AB445" s="186">
        <v>0</v>
      </c>
      <c r="AC445" s="176">
        <v>0</v>
      </c>
      <c r="AD445" s="176">
        <v>0</v>
      </c>
      <c r="AE445" s="186">
        <v>50000</v>
      </c>
      <c r="AF445" s="35">
        <v>50000</v>
      </c>
      <c r="AG445" s="212">
        <v>0</v>
      </c>
      <c r="AH445" s="212">
        <f t="shared" si="59"/>
        <v>0</v>
      </c>
      <c r="AI445" s="212" t="s">
        <v>602</v>
      </c>
      <c r="AJ445" s="212">
        <v>10000</v>
      </c>
      <c r="AK445" s="212">
        <v>0</v>
      </c>
      <c r="AL445" s="212">
        <v>0</v>
      </c>
      <c r="AM445" s="212">
        <v>0</v>
      </c>
      <c r="AN445" s="212">
        <v>10000</v>
      </c>
      <c r="AO445" s="176">
        <v>0</v>
      </c>
      <c r="AP445" s="176">
        <v>0</v>
      </c>
      <c r="AQ445" s="176">
        <v>0</v>
      </c>
      <c r="AR445" s="212">
        <f t="shared" si="60"/>
        <v>50000</v>
      </c>
      <c r="AS445" s="212">
        <f t="shared" si="61"/>
        <v>0</v>
      </c>
      <c r="AT445" s="473">
        <f t="shared" si="62"/>
        <v>-50000</v>
      </c>
      <c r="AU445" s="478"/>
    </row>
    <row r="446" spans="1:47" s="35" customFormat="1" ht="43.5" x14ac:dyDescent="0.35">
      <c r="A446" s="35" t="s">
        <v>1194</v>
      </c>
      <c r="B446" s="224" t="s">
        <v>946</v>
      </c>
      <c r="C446" s="222" t="s">
        <v>19</v>
      </c>
      <c r="D446" s="136">
        <v>8471280</v>
      </c>
      <c r="E446" s="137" t="s">
        <v>603</v>
      </c>
      <c r="F446" s="138">
        <v>425100</v>
      </c>
      <c r="G446" s="137" t="s">
        <v>55</v>
      </c>
      <c r="H446" s="137" t="s">
        <v>604</v>
      </c>
      <c r="I446" s="137">
        <v>2500</v>
      </c>
      <c r="J446" s="140">
        <v>2500</v>
      </c>
      <c r="K446" s="147"/>
      <c r="L446" s="142"/>
      <c r="M446" s="143"/>
      <c r="N446" s="144">
        <f t="shared" si="64"/>
        <v>2500</v>
      </c>
      <c r="O446" s="145">
        <v>2500</v>
      </c>
      <c r="P446" s="145"/>
      <c r="Q446" s="149"/>
      <c r="R446" s="146" t="s">
        <v>871</v>
      </c>
      <c r="S446" s="254">
        <f t="shared" si="67"/>
        <v>0</v>
      </c>
      <c r="T446" s="172"/>
      <c r="U446" s="137" t="s">
        <v>604</v>
      </c>
      <c r="V446" s="261">
        <f t="shared" si="69"/>
        <v>0</v>
      </c>
      <c r="W446" s="261">
        <f t="shared" si="63"/>
        <v>0</v>
      </c>
      <c r="X446" s="261"/>
      <c r="Y446" s="176" t="s">
        <v>722</v>
      </c>
      <c r="Z446" s="176"/>
      <c r="AA446" s="186">
        <v>2500</v>
      </c>
      <c r="AB446" s="186">
        <v>0</v>
      </c>
      <c r="AC446" s="176">
        <v>0</v>
      </c>
      <c r="AD446" s="176">
        <v>0</v>
      </c>
      <c r="AE446" s="186">
        <v>2500</v>
      </c>
      <c r="AF446" s="35">
        <v>2500</v>
      </c>
      <c r="AG446" s="212">
        <v>0</v>
      </c>
      <c r="AH446" s="212">
        <f t="shared" si="59"/>
        <v>2500</v>
      </c>
      <c r="AI446" s="212" t="s">
        <v>604</v>
      </c>
      <c r="AJ446" s="212">
        <v>2500</v>
      </c>
      <c r="AK446" s="212">
        <v>0</v>
      </c>
      <c r="AL446" s="212">
        <v>0</v>
      </c>
      <c r="AM446" s="212">
        <v>0</v>
      </c>
      <c r="AN446" s="212">
        <v>2500</v>
      </c>
      <c r="AO446" s="176">
        <v>0</v>
      </c>
      <c r="AP446" s="176">
        <v>0</v>
      </c>
      <c r="AQ446" s="176">
        <v>0</v>
      </c>
      <c r="AR446" s="212">
        <f t="shared" si="60"/>
        <v>0</v>
      </c>
      <c r="AS446" s="212">
        <f t="shared" si="61"/>
        <v>0</v>
      </c>
      <c r="AT446" s="473">
        <f t="shared" si="62"/>
        <v>0</v>
      </c>
      <c r="AU446" s="478"/>
    </row>
    <row r="447" spans="1:47" s="35" customFormat="1" ht="43.5" x14ac:dyDescent="0.35">
      <c r="A447" s="35" t="s">
        <v>1194</v>
      </c>
      <c r="B447" s="224" t="s">
        <v>946</v>
      </c>
      <c r="C447" s="222" t="s">
        <v>19</v>
      </c>
      <c r="D447" s="136">
        <v>8471280</v>
      </c>
      <c r="E447" s="137" t="s">
        <v>603</v>
      </c>
      <c r="F447" s="138">
        <v>425510</v>
      </c>
      <c r="G447" s="137" t="s">
        <v>31</v>
      </c>
      <c r="H447" s="137" t="s">
        <v>605</v>
      </c>
      <c r="I447" s="137">
        <v>30000</v>
      </c>
      <c r="J447" s="140">
        <v>98500</v>
      </c>
      <c r="K447" s="141">
        <v>27665.17</v>
      </c>
      <c r="L447" s="142"/>
      <c r="M447" s="143"/>
      <c r="N447" s="144">
        <f t="shared" si="64"/>
        <v>70834.83</v>
      </c>
      <c r="O447" s="145">
        <v>75840</v>
      </c>
      <c r="P447" s="145"/>
      <c r="Q447" s="149"/>
      <c r="R447" s="146" t="s">
        <v>872</v>
      </c>
      <c r="S447" s="254">
        <f t="shared" si="67"/>
        <v>-5005.1699999999983</v>
      </c>
      <c r="T447" s="172" t="s">
        <v>891</v>
      </c>
      <c r="U447" s="137" t="s">
        <v>605</v>
      </c>
      <c r="V447" s="261"/>
      <c r="W447" s="261">
        <f t="shared" si="63"/>
        <v>0</v>
      </c>
      <c r="X447" s="474">
        <v>5005.1699999999983</v>
      </c>
      <c r="Y447" s="176" t="s">
        <v>722</v>
      </c>
      <c r="Z447" s="176"/>
      <c r="AA447" s="186">
        <v>157078</v>
      </c>
      <c r="AB447" s="186">
        <v>120344.87</v>
      </c>
      <c r="AC447" s="176">
        <v>0</v>
      </c>
      <c r="AD447" s="176">
        <v>0</v>
      </c>
      <c r="AE447" s="186">
        <v>36733.130000000005</v>
      </c>
      <c r="AF447" s="35">
        <v>36733.129999999997</v>
      </c>
      <c r="AG447" s="212">
        <v>0</v>
      </c>
      <c r="AH447" s="212">
        <f t="shared" si="59"/>
        <v>36733.130000000005</v>
      </c>
      <c r="AI447" s="212" t="s">
        <v>605</v>
      </c>
      <c r="AJ447" s="212">
        <v>157078</v>
      </c>
      <c r="AK447" s="212">
        <v>129204.37</v>
      </c>
      <c r="AL447" s="212">
        <v>0</v>
      </c>
      <c r="AM447" s="212">
        <v>0</v>
      </c>
      <c r="AN447" s="212">
        <v>26928.63</v>
      </c>
      <c r="AO447" s="176">
        <v>0</v>
      </c>
      <c r="AP447" s="176">
        <v>0</v>
      </c>
      <c r="AQ447" s="176">
        <v>0</v>
      </c>
      <c r="AR447" s="212">
        <f t="shared" si="60"/>
        <v>0</v>
      </c>
      <c r="AS447" s="212">
        <f t="shared" si="61"/>
        <v>120344.87</v>
      </c>
      <c r="AT447" s="473">
        <f t="shared" si="62"/>
        <v>134209.53999999998</v>
      </c>
      <c r="AU447" s="478"/>
    </row>
    <row r="448" spans="1:47" s="35" customFormat="1" ht="43.5" x14ac:dyDescent="0.35">
      <c r="A448" s="35" t="s">
        <v>1194</v>
      </c>
      <c r="B448" s="224" t="s">
        <v>946</v>
      </c>
      <c r="C448" s="222" t="s">
        <v>19</v>
      </c>
      <c r="D448" s="136">
        <v>8471280</v>
      </c>
      <c r="E448" s="137" t="s">
        <v>603</v>
      </c>
      <c r="F448" s="138">
        <v>425550</v>
      </c>
      <c r="G448" s="137" t="s">
        <v>33</v>
      </c>
      <c r="H448" s="137" t="s">
        <v>606</v>
      </c>
      <c r="I448" s="137">
        <v>60000</v>
      </c>
      <c r="J448" s="140">
        <v>60000</v>
      </c>
      <c r="K448" s="141">
        <v>28416.86</v>
      </c>
      <c r="L448" s="142"/>
      <c r="M448" s="143"/>
      <c r="N448" s="144">
        <f t="shared" si="64"/>
        <v>31583.14</v>
      </c>
      <c r="O448" s="145">
        <v>25700</v>
      </c>
      <c r="P448" s="145">
        <v>21683.14</v>
      </c>
      <c r="Q448" s="149"/>
      <c r="R448" s="146" t="s">
        <v>873</v>
      </c>
      <c r="S448" s="254">
        <f t="shared" si="67"/>
        <v>-15800</v>
      </c>
      <c r="T448" s="172"/>
      <c r="U448" s="137" t="s">
        <v>606</v>
      </c>
      <c r="V448" s="261"/>
      <c r="W448" s="261">
        <f t="shared" si="63"/>
        <v>0</v>
      </c>
      <c r="X448" s="474">
        <v>15800</v>
      </c>
      <c r="Y448" s="176" t="s">
        <v>722</v>
      </c>
      <c r="Z448" s="176"/>
      <c r="AA448" s="186">
        <v>60000</v>
      </c>
      <c r="AB448" s="186">
        <v>28416.86</v>
      </c>
      <c r="AC448" s="176">
        <v>0</v>
      </c>
      <c r="AD448" s="176">
        <v>0</v>
      </c>
      <c r="AE448" s="186">
        <v>31583.14</v>
      </c>
      <c r="AF448" s="35">
        <v>31583.14</v>
      </c>
      <c r="AG448" s="212">
        <v>0</v>
      </c>
      <c r="AH448" s="212">
        <f t="shared" si="59"/>
        <v>31583.14</v>
      </c>
      <c r="AI448" s="212" t="s">
        <v>606</v>
      </c>
      <c r="AJ448" s="212">
        <v>60000</v>
      </c>
      <c r="AK448" s="212">
        <v>28416.86</v>
      </c>
      <c r="AL448" s="212">
        <v>0</v>
      </c>
      <c r="AM448" s="212">
        <v>0</v>
      </c>
      <c r="AN448" s="212">
        <v>31583.14</v>
      </c>
      <c r="AO448" s="176">
        <v>0</v>
      </c>
      <c r="AP448" s="176">
        <v>0</v>
      </c>
      <c r="AQ448" s="176">
        <v>0</v>
      </c>
      <c r="AR448" s="212">
        <f t="shared" si="60"/>
        <v>0</v>
      </c>
      <c r="AS448" s="212">
        <f t="shared" si="61"/>
        <v>28416.86</v>
      </c>
      <c r="AT448" s="473">
        <f t="shared" si="62"/>
        <v>44216.86</v>
      </c>
      <c r="AU448" s="478"/>
    </row>
    <row r="449" spans="1:47" s="35" customFormat="1" ht="43.5" x14ac:dyDescent="0.35">
      <c r="A449" s="35" t="s">
        <v>1194</v>
      </c>
      <c r="B449" s="224" t="s">
        <v>946</v>
      </c>
      <c r="C449" s="222" t="s">
        <v>19</v>
      </c>
      <c r="D449" s="136">
        <v>8471280</v>
      </c>
      <c r="E449" s="137" t="s">
        <v>603</v>
      </c>
      <c r="F449" s="138">
        <v>425710</v>
      </c>
      <c r="G449" s="137" t="s">
        <v>607</v>
      </c>
      <c r="H449" s="137" t="s">
        <v>608</v>
      </c>
      <c r="I449" s="137">
        <v>0</v>
      </c>
      <c r="J449" s="140">
        <v>300000</v>
      </c>
      <c r="K449" s="147"/>
      <c r="L449" s="142"/>
      <c r="M449" s="143"/>
      <c r="N449" s="144">
        <f t="shared" si="64"/>
        <v>300000</v>
      </c>
      <c r="O449" s="145">
        <v>366666</v>
      </c>
      <c r="P449" s="145"/>
      <c r="Q449" s="149"/>
      <c r="R449" s="146" t="s">
        <v>874</v>
      </c>
      <c r="S449" s="254">
        <f t="shared" si="67"/>
        <v>-66666</v>
      </c>
      <c r="T449" s="172" t="s">
        <v>892</v>
      </c>
      <c r="U449" s="137" t="s">
        <v>608</v>
      </c>
      <c r="V449" s="261"/>
      <c r="W449" s="261">
        <f t="shared" si="63"/>
        <v>-120000</v>
      </c>
      <c r="X449" s="474">
        <v>66666</v>
      </c>
      <c r="Y449" s="176" t="s">
        <v>722</v>
      </c>
      <c r="Z449" s="176"/>
      <c r="AA449" s="186">
        <v>200000</v>
      </c>
      <c r="AB449" s="186">
        <v>57500</v>
      </c>
      <c r="AC449" s="176">
        <v>0</v>
      </c>
      <c r="AD449" s="176">
        <v>0</v>
      </c>
      <c r="AE449" s="186">
        <v>142500</v>
      </c>
      <c r="AF449" s="35">
        <v>142500</v>
      </c>
      <c r="AG449" s="212">
        <v>0</v>
      </c>
      <c r="AH449" s="212">
        <f t="shared" si="59"/>
        <v>142500</v>
      </c>
      <c r="AI449" s="212" t="s">
        <v>608</v>
      </c>
      <c r="AJ449" s="212">
        <v>200000</v>
      </c>
      <c r="AK449" s="212">
        <v>157500</v>
      </c>
      <c r="AL449" s="212">
        <v>0</v>
      </c>
      <c r="AM449" s="212">
        <v>0</v>
      </c>
      <c r="AN449" s="212">
        <v>42500</v>
      </c>
      <c r="AO449" s="176">
        <v>0</v>
      </c>
      <c r="AP449" s="176">
        <v>120000</v>
      </c>
      <c r="AQ449" s="176">
        <v>0</v>
      </c>
      <c r="AR449" s="212">
        <f t="shared" si="60"/>
        <v>-120000</v>
      </c>
      <c r="AS449" s="212">
        <f t="shared" si="61"/>
        <v>177500</v>
      </c>
      <c r="AT449" s="473">
        <f t="shared" si="62"/>
        <v>464166</v>
      </c>
      <c r="AU449" s="478"/>
    </row>
    <row r="450" spans="1:47" s="35" customFormat="1" ht="43.5" x14ac:dyDescent="0.35">
      <c r="A450" s="35" t="s">
        <v>1194</v>
      </c>
      <c r="B450" s="224" t="s">
        <v>946</v>
      </c>
      <c r="C450" s="222" t="s">
        <v>19</v>
      </c>
      <c r="D450" s="136">
        <v>8471280</v>
      </c>
      <c r="E450" s="137" t="s">
        <v>603</v>
      </c>
      <c r="F450" s="138">
        <v>425760</v>
      </c>
      <c r="G450" s="137" t="s">
        <v>142</v>
      </c>
      <c r="H450" s="137" t="s">
        <v>609</v>
      </c>
      <c r="I450" s="137">
        <v>30000</v>
      </c>
      <c r="J450" s="140">
        <v>30000</v>
      </c>
      <c r="K450" s="147"/>
      <c r="L450" s="142"/>
      <c r="M450" s="143"/>
      <c r="N450" s="144">
        <f t="shared" si="64"/>
        <v>30000</v>
      </c>
      <c r="O450" s="145">
        <v>20000</v>
      </c>
      <c r="P450" s="145">
        <v>10000</v>
      </c>
      <c r="Q450" s="149"/>
      <c r="R450" s="146" t="s">
        <v>875</v>
      </c>
      <c r="S450" s="254">
        <f t="shared" si="67"/>
        <v>0</v>
      </c>
      <c r="T450" s="172"/>
      <c r="U450" s="137" t="s">
        <v>609</v>
      </c>
      <c r="V450" s="261">
        <f t="shared" ref="V450:V467" si="70">S450</f>
        <v>0</v>
      </c>
      <c r="W450" s="261">
        <f t="shared" si="63"/>
        <v>0</v>
      </c>
      <c r="X450" s="261"/>
      <c r="Y450" s="176" t="s">
        <v>722</v>
      </c>
      <c r="Z450" s="176"/>
      <c r="AA450" s="186">
        <v>30000</v>
      </c>
      <c r="AB450" s="186">
        <v>3000</v>
      </c>
      <c r="AC450" s="176">
        <v>0</v>
      </c>
      <c r="AD450" s="176">
        <v>0</v>
      </c>
      <c r="AE450" s="186">
        <v>27000</v>
      </c>
      <c r="AF450" s="35">
        <v>27000</v>
      </c>
      <c r="AG450" s="212">
        <v>0</v>
      </c>
      <c r="AH450" s="212">
        <f t="shared" ref="AH450:AH505" si="71">AE450-V450</f>
        <v>27000</v>
      </c>
      <c r="AI450" s="212" t="s">
        <v>609</v>
      </c>
      <c r="AJ450" s="212">
        <v>30000</v>
      </c>
      <c r="AK450" s="212">
        <v>3000</v>
      </c>
      <c r="AL450" s="212">
        <v>0</v>
      </c>
      <c r="AM450" s="212">
        <v>0</v>
      </c>
      <c r="AN450" s="212">
        <v>27000</v>
      </c>
      <c r="AO450" s="176">
        <v>0</v>
      </c>
      <c r="AP450" s="176">
        <v>0</v>
      </c>
      <c r="AQ450" s="176">
        <v>0</v>
      </c>
      <c r="AR450" s="212">
        <f t="shared" ref="AR450:AR505" si="72">V450-AO450-AP450-AQ450</f>
        <v>0</v>
      </c>
      <c r="AS450" s="212">
        <f t="shared" ref="AS450:AS505" si="73">AB450+AC450+AD450+Q450+AO450+AP450+AQ450</f>
        <v>3000</v>
      </c>
      <c r="AT450" s="473">
        <f t="shared" ref="AT450:AT510" si="74">AK450+AL450+AM450+AO450+AP450+AQ450+X450+Q450-W450</f>
        <v>3000</v>
      </c>
      <c r="AU450" s="478"/>
    </row>
    <row r="451" spans="1:47" s="35" customFormat="1" ht="43.5" x14ac:dyDescent="0.35">
      <c r="A451" s="35" t="s">
        <v>1194</v>
      </c>
      <c r="B451" s="224" t="s">
        <v>946</v>
      </c>
      <c r="C451" s="222" t="s">
        <v>19</v>
      </c>
      <c r="D451" s="136">
        <v>8471280</v>
      </c>
      <c r="E451" s="137" t="s">
        <v>603</v>
      </c>
      <c r="F451" s="138">
        <v>425770</v>
      </c>
      <c r="G451" s="137" t="s">
        <v>74</v>
      </c>
      <c r="H451" s="137" t="s">
        <v>610</v>
      </c>
      <c r="I451" s="137">
        <v>500000</v>
      </c>
      <c r="J451" s="140">
        <v>141321</v>
      </c>
      <c r="K451" s="141">
        <v>82742.5</v>
      </c>
      <c r="L451" s="148">
        <v>0</v>
      </c>
      <c r="M451" s="140">
        <v>0</v>
      </c>
      <c r="N451" s="144">
        <f t="shared" si="64"/>
        <v>58578.5</v>
      </c>
      <c r="O451" s="145"/>
      <c r="P451" s="145"/>
      <c r="Q451" s="149"/>
      <c r="R451" s="146"/>
      <c r="S451" s="254">
        <f t="shared" si="67"/>
        <v>58578.5</v>
      </c>
      <c r="T451" s="172" t="s">
        <v>893</v>
      </c>
      <c r="U451" s="137" t="s">
        <v>610</v>
      </c>
      <c r="V451" s="261">
        <f t="shared" si="70"/>
        <v>58578.5</v>
      </c>
      <c r="W451" s="261">
        <f t="shared" ref="W451:W509" si="75">V451-(AO451+AP451+AQ451)</f>
        <v>58578.5</v>
      </c>
      <c r="X451" s="261"/>
      <c r="Y451" s="176" t="s">
        <v>722</v>
      </c>
      <c r="Z451" s="176"/>
      <c r="AA451" s="186">
        <v>82743</v>
      </c>
      <c r="AB451" s="186">
        <v>82742.5</v>
      </c>
      <c r="AC451" s="176">
        <v>0</v>
      </c>
      <c r="AD451" s="176">
        <v>0</v>
      </c>
      <c r="AE451" s="186">
        <v>0.5</v>
      </c>
      <c r="AF451" s="35">
        <v>0.5</v>
      </c>
      <c r="AG451" s="212">
        <v>0</v>
      </c>
      <c r="AH451" s="212">
        <f t="shared" si="71"/>
        <v>-58578</v>
      </c>
      <c r="AI451" s="212" t="s">
        <v>610</v>
      </c>
      <c r="AJ451" s="212">
        <v>82743</v>
      </c>
      <c r="AK451" s="212">
        <v>82742.5</v>
      </c>
      <c r="AL451" s="212">
        <v>0</v>
      </c>
      <c r="AM451" s="212">
        <v>0</v>
      </c>
      <c r="AN451" s="212">
        <v>0.5</v>
      </c>
      <c r="AO451" s="176">
        <v>0</v>
      </c>
      <c r="AP451" s="176">
        <v>0</v>
      </c>
      <c r="AQ451" s="176">
        <v>0</v>
      </c>
      <c r="AR451" s="212">
        <f t="shared" si="72"/>
        <v>58578.5</v>
      </c>
      <c r="AS451" s="212">
        <f t="shared" si="73"/>
        <v>82742.5</v>
      </c>
      <c r="AT451" s="473">
        <f t="shared" si="74"/>
        <v>24164</v>
      </c>
      <c r="AU451" s="478"/>
    </row>
    <row r="452" spans="1:47" s="35" customFormat="1" ht="43.5" x14ac:dyDescent="0.35">
      <c r="A452" s="35" t="s">
        <v>1194</v>
      </c>
      <c r="B452" s="224" t="s">
        <v>946</v>
      </c>
      <c r="C452" s="222" t="s">
        <v>19</v>
      </c>
      <c r="D452" s="136">
        <v>8471280</v>
      </c>
      <c r="E452" s="137" t="s">
        <v>603</v>
      </c>
      <c r="F452" s="138">
        <v>426610</v>
      </c>
      <c r="G452" s="137" t="s">
        <v>37</v>
      </c>
      <c r="H452" s="137" t="s">
        <v>611</v>
      </c>
      <c r="I452" s="137">
        <v>321000</v>
      </c>
      <c r="J452" s="140">
        <v>321000</v>
      </c>
      <c r="K452" s="141">
        <v>201651.64</v>
      </c>
      <c r="L452" s="148">
        <v>14692</v>
      </c>
      <c r="M452" s="140">
        <v>59481</v>
      </c>
      <c r="N452" s="144">
        <f t="shared" ref="N452:N489" si="76">J452-K452-L452-M452</f>
        <v>45175.359999999986</v>
      </c>
      <c r="O452" s="145"/>
      <c r="P452" s="145">
        <v>45175</v>
      </c>
      <c r="Q452" s="149"/>
      <c r="R452" s="146" t="s">
        <v>876</v>
      </c>
      <c r="S452" s="254">
        <f t="shared" si="67"/>
        <v>0.35999999998603016</v>
      </c>
      <c r="T452" s="172"/>
      <c r="U452" s="137" t="s">
        <v>611</v>
      </c>
      <c r="V452" s="261">
        <f t="shared" si="70"/>
        <v>0.35999999998603016</v>
      </c>
      <c r="W452" s="261">
        <f t="shared" si="75"/>
        <v>-7766.7525000000132</v>
      </c>
      <c r="X452" s="261"/>
      <c r="Y452" s="176" t="s">
        <v>722</v>
      </c>
      <c r="Z452" s="176"/>
      <c r="AA452" s="186">
        <v>321000</v>
      </c>
      <c r="AB452" s="186">
        <v>266911.89</v>
      </c>
      <c r="AC452" s="176">
        <v>14692</v>
      </c>
      <c r="AD452" s="176">
        <v>0</v>
      </c>
      <c r="AE452" s="186">
        <v>39396.109999999986</v>
      </c>
      <c r="AF452" s="35">
        <v>39396.11</v>
      </c>
      <c r="AG452" s="212">
        <v>0</v>
      </c>
      <c r="AH452" s="212">
        <f t="shared" si="71"/>
        <v>39395.75</v>
      </c>
      <c r="AI452" s="212" t="s">
        <v>611</v>
      </c>
      <c r="AJ452" s="212">
        <v>321000</v>
      </c>
      <c r="AK452" s="212">
        <v>271991.93</v>
      </c>
      <c r="AL452" s="212">
        <v>14692</v>
      </c>
      <c r="AM452" s="212">
        <v>0</v>
      </c>
      <c r="AN452" s="212">
        <v>34316.07</v>
      </c>
      <c r="AO452" s="176">
        <v>0</v>
      </c>
      <c r="AP452" s="176">
        <v>7767.1124999999993</v>
      </c>
      <c r="AQ452" s="176">
        <v>0</v>
      </c>
      <c r="AR452" s="212">
        <f t="shared" si="72"/>
        <v>-7766.7525000000132</v>
      </c>
      <c r="AS452" s="212">
        <f t="shared" si="73"/>
        <v>289371.0025</v>
      </c>
      <c r="AT452" s="473">
        <f t="shared" si="74"/>
        <v>302217.79499999998</v>
      </c>
      <c r="AU452" s="478"/>
    </row>
    <row r="453" spans="1:47" s="35" customFormat="1" ht="43.5" x14ac:dyDescent="0.35">
      <c r="A453" s="35" t="s">
        <v>1194</v>
      </c>
      <c r="B453" s="224" t="s">
        <v>946</v>
      </c>
      <c r="C453" s="222" t="s">
        <v>19</v>
      </c>
      <c r="D453" s="136">
        <v>8471280</v>
      </c>
      <c r="E453" s="137" t="s">
        <v>603</v>
      </c>
      <c r="F453" s="138">
        <v>428640</v>
      </c>
      <c r="G453" s="137" t="s">
        <v>43</v>
      </c>
      <c r="H453" s="137" t="s">
        <v>612</v>
      </c>
      <c r="I453" s="137">
        <v>15000</v>
      </c>
      <c r="J453" s="140">
        <v>7612</v>
      </c>
      <c r="K453" s="147"/>
      <c r="L453" s="142"/>
      <c r="M453" s="143"/>
      <c r="N453" s="144">
        <f t="shared" si="76"/>
        <v>7612</v>
      </c>
      <c r="O453" s="145"/>
      <c r="P453" s="145">
        <v>7612</v>
      </c>
      <c r="Q453" s="149"/>
      <c r="R453" s="146" t="s">
        <v>877</v>
      </c>
      <c r="S453" s="254">
        <f t="shared" si="67"/>
        <v>0</v>
      </c>
      <c r="T453" s="172"/>
      <c r="U453" s="137" t="s">
        <v>612</v>
      </c>
      <c r="V453" s="261">
        <f t="shared" si="70"/>
        <v>0</v>
      </c>
      <c r="W453" s="261">
        <f t="shared" si="75"/>
        <v>0</v>
      </c>
      <c r="X453" s="261"/>
      <c r="Y453" s="176" t="s">
        <v>722</v>
      </c>
      <c r="Z453" s="176"/>
      <c r="AA453" s="186">
        <v>7612</v>
      </c>
      <c r="AB453" s="186">
        <v>0</v>
      </c>
      <c r="AC453" s="176">
        <v>0</v>
      </c>
      <c r="AD453" s="176">
        <v>0</v>
      </c>
      <c r="AE453" s="186">
        <v>7612</v>
      </c>
      <c r="AF453" s="35">
        <v>7612</v>
      </c>
      <c r="AG453" s="212">
        <v>0</v>
      </c>
      <c r="AH453" s="212">
        <f t="shared" si="71"/>
        <v>7612</v>
      </c>
      <c r="AI453" s="212" t="s">
        <v>612</v>
      </c>
      <c r="AJ453" s="212">
        <v>7612</v>
      </c>
      <c r="AK453" s="212">
        <v>0</v>
      </c>
      <c r="AL453" s="212">
        <v>0</v>
      </c>
      <c r="AM453" s="212">
        <v>0</v>
      </c>
      <c r="AN453" s="212">
        <v>7612</v>
      </c>
      <c r="AO453" s="176">
        <v>0</v>
      </c>
      <c r="AP453" s="176">
        <v>0</v>
      </c>
      <c r="AQ453" s="176">
        <v>0</v>
      </c>
      <c r="AR453" s="212">
        <f t="shared" si="72"/>
        <v>0</v>
      </c>
      <c r="AS453" s="212">
        <f t="shared" si="73"/>
        <v>0</v>
      </c>
      <c r="AT453" s="473">
        <f t="shared" si="74"/>
        <v>0</v>
      </c>
      <c r="AU453" s="478"/>
    </row>
    <row r="454" spans="1:47" s="35" customFormat="1" ht="43.5" x14ac:dyDescent="0.35">
      <c r="A454" s="35" t="s">
        <v>1194</v>
      </c>
      <c r="B454" s="224" t="s">
        <v>946</v>
      </c>
      <c r="C454" s="222" t="s">
        <v>19</v>
      </c>
      <c r="D454" s="136">
        <v>8471280</v>
      </c>
      <c r="E454" s="137" t="s">
        <v>603</v>
      </c>
      <c r="F454" s="138">
        <v>432170</v>
      </c>
      <c r="G454" s="137" t="s">
        <v>390</v>
      </c>
      <c r="H454" s="137" t="s">
        <v>613</v>
      </c>
      <c r="I454" s="137">
        <v>200000</v>
      </c>
      <c r="J454" s="140">
        <v>200000</v>
      </c>
      <c r="K454" s="147"/>
      <c r="L454" s="142"/>
      <c r="M454" s="143"/>
      <c r="N454" s="144">
        <f t="shared" si="76"/>
        <v>200000</v>
      </c>
      <c r="O454" s="145"/>
      <c r="P454" s="145"/>
      <c r="Q454" s="149"/>
      <c r="R454" s="146"/>
      <c r="S454" s="254">
        <f t="shared" si="67"/>
        <v>200000</v>
      </c>
      <c r="T454" s="172" t="s">
        <v>894</v>
      </c>
      <c r="U454" s="137" t="s">
        <v>613</v>
      </c>
      <c r="V454" s="261">
        <f t="shared" si="70"/>
        <v>200000</v>
      </c>
      <c r="W454" s="261">
        <f t="shared" si="75"/>
        <v>200000</v>
      </c>
      <c r="X454" s="261"/>
      <c r="Y454" s="176" t="s">
        <v>722</v>
      </c>
      <c r="Z454" s="176"/>
      <c r="AA454" s="186">
        <v>0</v>
      </c>
      <c r="AB454" s="186">
        <v>0</v>
      </c>
      <c r="AC454" s="176">
        <v>0</v>
      </c>
      <c r="AD454" s="176">
        <v>0</v>
      </c>
      <c r="AE454" s="186">
        <v>0</v>
      </c>
      <c r="AF454" s="35">
        <v>0</v>
      </c>
      <c r="AG454" s="212">
        <v>0</v>
      </c>
      <c r="AH454" s="212">
        <f t="shared" si="71"/>
        <v>-200000</v>
      </c>
      <c r="AI454" s="212" t="s">
        <v>613</v>
      </c>
      <c r="AJ454" s="212">
        <v>0</v>
      </c>
      <c r="AK454" s="212">
        <v>0</v>
      </c>
      <c r="AL454" s="212">
        <v>0</v>
      </c>
      <c r="AM454" s="212">
        <v>0</v>
      </c>
      <c r="AN454" s="212">
        <v>0</v>
      </c>
      <c r="AO454" s="176">
        <v>0</v>
      </c>
      <c r="AP454" s="176">
        <v>0</v>
      </c>
      <c r="AQ454" s="176">
        <v>0</v>
      </c>
      <c r="AR454" s="212">
        <f t="shared" si="72"/>
        <v>200000</v>
      </c>
      <c r="AS454" s="212">
        <f t="shared" si="73"/>
        <v>0</v>
      </c>
      <c r="AT454" s="473">
        <f t="shared" si="74"/>
        <v>-200000</v>
      </c>
      <c r="AU454" s="478"/>
    </row>
    <row r="455" spans="1:47" s="35" customFormat="1" ht="43.5" x14ac:dyDescent="0.35">
      <c r="A455" s="35" t="s">
        <v>1194</v>
      </c>
      <c r="B455" s="224" t="s">
        <v>946</v>
      </c>
      <c r="C455" s="222" t="s">
        <v>19</v>
      </c>
      <c r="D455" s="136">
        <v>8471280</v>
      </c>
      <c r="E455" s="137" t="s">
        <v>603</v>
      </c>
      <c r="F455" s="138">
        <v>435340</v>
      </c>
      <c r="G455" s="137" t="s">
        <v>202</v>
      </c>
      <c r="H455" s="137" t="s">
        <v>614</v>
      </c>
      <c r="I455" s="137">
        <v>10000</v>
      </c>
      <c r="J455" s="140">
        <v>10000</v>
      </c>
      <c r="K455" s="147"/>
      <c r="L455" s="142"/>
      <c r="M455" s="143"/>
      <c r="N455" s="144">
        <f t="shared" si="76"/>
        <v>10000</v>
      </c>
      <c r="O455" s="145"/>
      <c r="P455" s="145">
        <v>10000</v>
      </c>
      <c r="Q455" s="149"/>
      <c r="R455" s="146" t="s">
        <v>878</v>
      </c>
      <c r="S455" s="254">
        <f t="shared" si="67"/>
        <v>0</v>
      </c>
      <c r="T455" s="172"/>
      <c r="U455" s="137" t="s">
        <v>614</v>
      </c>
      <c r="V455" s="261">
        <f t="shared" si="70"/>
        <v>0</v>
      </c>
      <c r="W455" s="261">
        <f t="shared" si="75"/>
        <v>0</v>
      </c>
      <c r="X455" s="261"/>
      <c r="Y455" s="176" t="s">
        <v>722</v>
      </c>
      <c r="Z455" s="176"/>
      <c r="AA455" s="186">
        <v>10000</v>
      </c>
      <c r="AB455" s="186">
        <v>0</v>
      </c>
      <c r="AC455" s="176">
        <v>0</v>
      </c>
      <c r="AD455" s="176">
        <v>0</v>
      </c>
      <c r="AE455" s="186">
        <v>10000</v>
      </c>
      <c r="AF455" s="35">
        <v>10000</v>
      </c>
      <c r="AG455" s="212">
        <v>0</v>
      </c>
      <c r="AH455" s="212">
        <f t="shared" si="71"/>
        <v>10000</v>
      </c>
      <c r="AI455" s="212" t="s">
        <v>614</v>
      </c>
      <c r="AJ455" s="212">
        <v>10000</v>
      </c>
      <c r="AK455" s="212">
        <v>0</v>
      </c>
      <c r="AL455" s="212">
        <v>0</v>
      </c>
      <c r="AM455" s="212">
        <v>0</v>
      </c>
      <c r="AN455" s="212">
        <v>10000</v>
      </c>
      <c r="AO455" s="176">
        <v>0</v>
      </c>
      <c r="AP455" s="176">
        <v>0</v>
      </c>
      <c r="AQ455" s="176">
        <v>0</v>
      </c>
      <c r="AR455" s="212">
        <f t="shared" si="72"/>
        <v>0</v>
      </c>
      <c r="AS455" s="212">
        <f t="shared" si="73"/>
        <v>0</v>
      </c>
      <c r="AT455" s="473">
        <f t="shared" si="74"/>
        <v>0</v>
      </c>
      <c r="AU455" s="478"/>
    </row>
    <row r="456" spans="1:47" s="35" customFormat="1" ht="43.5" x14ac:dyDescent="0.35">
      <c r="A456" s="35" t="s">
        <v>1194</v>
      </c>
      <c r="B456" s="224" t="s">
        <v>946</v>
      </c>
      <c r="C456" s="222" t="s">
        <v>19</v>
      </c>
      <c r="D456" s="136">
        <v>8471280</v>
      </c>
      <c r="E456" s="137" t="s">
        <v>603</v>
      </c>
      <c r="F456" s="138">
        <v>435530</v>
      </c>
      <c r="G456" s="137" t="s">
        <v>547</v>
      </c>
      <c r="H456" s="137" t="s">
        <v>615</v>
      </c>
      <c r="I456" s="137">
        <v>5000</v>
      </c>
      <c r="J456" s="140">
        <v>5000</v>
      </c>
      <c r="K456" s="147"/>
      <c r="L456" s="142"/>
      <c r="M456" s="143"/>
      <c r="N456" s="144">
        <f t="shared" si="76"/>
        <v>5000</v>
      </c>
      <c r="O456" s="145">
        <v>2500</v>
      </c>
      <c r="P456" s="145">
        <v>2500</v>
      </c>
      <c r="Q456" s="149"/>
      <c r="R456" s="146" t="s">
        <v>879</v>
      </c>
      <c r="S456" s="254">
        <f t="shared" ref="S456:S489" si="77">N456-O456-P456-Q456</f>
        <v>0</v>
      </c>
      <c r="T456" s="172"/>
      <c r="U456" s="137" t="s">
        <v>615</v>
      </c>
      <c r="V456" s="261">
        <f t="shared" si="70"/>
        <v>0</v>
      </c>
      <c r="W456" s="261">
        <f t="shared" si="75"/>
        <v>0</v>
      </c>
      <c r="X456" s="261"/>
      <c r="Y456" s="176" t="s">
        <v>722</v>
      </c>
      <c r="Z456" s="176"/>
      <c r="AA456" s="186">
        <v>5000</v>
      </c>
      <c r="AB456" s="186">
        <v>0</v>
      </c>
      <c r="AC456" s="176">
        <v>0</v>
      </c>
      <c r="AD456" s="176">
        <v>0</v>
      </c>
      <c r="AE456" s="186">
        <v>5000</v>
      </c>
      <c r="AF456" s="35">
        <v>5000</v>
      </c>
      <c r="AG456" s="212">
        <v>0</v>
      </c>
      <c r="AH456" s="212">
        <f t="shared" si="71"/>
        <v>5000</v>
      </c>
      <c r="AI456" s="212" t="s">
        <v>615</v>
      </c>
      <c r="AJ456" s="212">
        <v>5000</v>
      </c>
      <c r="AK456" s="212">
        <v>1014</v>
      </c>
      <c r="AL456" s="212">
        <v>0</v>
      </c>
      <c r="AM456" s="212">
        <v>0</v>
      </c>
      <c r="AN456" s="212">
        <v>3986</v>
      </c>
      <c r="AO456" s="176">
        <v>0</v>
      </c>
      <c r="AP456" s="176">
        <v>0</v>
      </c>
      <c r="AQ456" s="176">
        <v>0</v>
      </c>
      <c r="AR456" s="212">
        <f t="shared" si="72"/>
        <v>0</v>
      </c>
      <c r="AS456" s="212">
        <f t="shared" si="73"/>
        <v>0</v>
      </c>
      <c r="AT456" s="473">
        <f t="shared" si="74"/>
        <v>1014</v>
      </c>
      <c r="AU456" s="478"/>
    </row>
    <row r="457" spans="1:47" s="35" customFormat="1" ht="145" hidden="1" x14ac:dyDescent="0.35">
      <c r="A457" s="35" t="s">
        <v>1201</v>
      </c>
      <c r="B457" s="224" t="s">
        <v>956</v>
      </c>
      <c r="C457" s="222" t="s">
        <v>19</v>
      </c>
      <c r="D457" s="136">
        <v>8471305</v>
      </c>
      <c r="E457" s="137" t="s">
        <v>616</v>
      </c>
      <c r="F457" s="138">
        <v>420570</v>
      </c>
      <c r="G457" s="137" t="s">
        <v>23</v>
      </c>
      <c r="H457" s="137" t="s">
        <v>617</v>
      </c>
      <c r="I457" s="137">
        <v>21895944</v>
      </c>
      <c r="J457" s="140">
        <v>21895944</v>
      </c>
      <c r="K457" s="141">
        <v>6288810</v>
      </c>
      <c r="L457" s="142"/>
      <c r="M457" s="143"/>
      <c r="N457" s="144">
        <f t="shared" si="76"/>
        <v>15607134</v>
      </c>
      <c r="O457" s="145">
        <v>5202378</v>
      </c>
      <c r="P457" s="145">
        <v>5202378</v>
      </c>
      <c r="Q457" s="149">
        <v>5202378</v>
      </c>
      <c r="R457" s="146" t="s">
        <v>742</v>
      </c>
      <c r="S457" s="254">
        <f t="shared" si="77"/>
        <v>0</v>
      </c>
      <c r="T457" s="175" t="s">
        <v>770</v>
      </c>
      <c r="U457" s="137" t="s">
        <v>617</v>
      </c>
      <c r="V457" s="261">
        <f t="shared" si="70"/>
        <v>0</v>
      </c>
      <c r="W457" s="261">
        <f t="shared" si="75"/>
        <v>0</v>
      </c>
      <c r="X457" s="261"/>
      <c r="Y457" s="176" t="s">
        <v>722</v>
      </c>
      <c r="Z457" s="176"/>
      <c r="AA457" s="186">
        <v>21895944</v>
      </c>
      <c r="AB457" s="186">
        <v>18866430</v>
      </c>
      <c r="AC457" s="176">
        <v>0</v>
      </c>
      <c r="AD457" s="176">
        <v>0</v>
      </c>
      <c r="AE457" s="186">
        <v>3029514</v>
      </c>
      <c r="AF457" s="35">
        <v>3029514</v>
      </c>
      <c r="AG457" s="212">
        <v>0</v>
      </c>
      <c r="AH457" s="212">
        <f t="shared" si="71"/>
        <v>3029514</v>
      </c>
      <c r="AI457" s="212" t="s">
        <v>617</v>
      </c>
      <c r="AJ457" s="212">
        <v>21895944</v>
      </c>
      <c r="AK457" s="212">
        <v>18866430</v>
      </c>
      <c r="AL457" s="212">
        <v>0</v>
      </c>
      <c r="AM457" s="212">
        <v>0</v>
      </c>
      <c r="AN457" s="212">
        <v>3029514</v>
      </c>
      <c r="AO457" s="176">
        <v>0</v>
      </c>
      <c r="AP457" s="176">
        <v>0</v>
      </c>
      <c r="AQ457" s="176">
        <v>0</v>
      </c>
      <c r="AR457" s="212">
        <f t="shared" si="72"/>
        <v>0</v>
      </c>
      <c r="AS457" s="212">
        <f t="shared" si="73"/>
        <v>24068808</v>
      </c>
      <c r="AT457" s="473">
        <f t="shared" si="74"/>
        <v>24068808</v>
      </c>
      <c r="AU457" s="478"/>
    </row>
    <row r="458" spans="1:47" s="35" customFormat="1" ht="87" hidden="1" x14ac:dyDescent="0.35">
      <c r="A458" s="35" t="s">
        <v>1201</v>
      </c>
      <c r="B458" s="224" t="s">
        <v>956</v>
      </c>
      <c r="C458" s="222" t="s">
        <v>19</v>
      </c>
      <c r="D458" s="136">
        <v>8471305</v>
      </c>
      <c r="E458" s="137" t="s">
        <v>616</v>
      </c>
      <c r="F458" s="138">
        <v>421000</v>
      </c>
      <c r="G458" s="137" t="s">
        <v>27</v>
      </c>
      <c r="H458" s="137" t="s">
        <v>620</v>
      </c>
      <c r="I458" s="137">
        <v>271000</v>
      </c>
      <c r="J458" s="140">
        <v>271000</v>
      </c>
      <c r="K458" s="141">
        <v>147834.06</v>
      </c>
      <c r="L458" s="148">
        <v>0</v>
      </c>
      <c r="M458" s="140">
        <v>0</v>
      </c>
      <c r="N458" s="144">
        <f t="shared" si="76"/>
        <v>123165.94</v>
      </c>
      <c r="O458" s="145">
        <v>41056</v>
      </c>
      <c r="P458" s="145">
        <v>41055</v>
      </c>
      <c r="Q458" s="149">
        <v>41055</v>
      </c>
      <c r="R458" s="146" t="s">
        <v>743</v>
      </c>
      <c r="S458" s="254">
        <f t="shared" si="77"/>
        <v>-5.9999999997671694E-2</v>
      </c>
      <c r="T458" s="175" t="s">
        <v>771</v>
      </c>
      <c r="U458" s="137" t="s">
        <v>620</v>
      </c>
      <c r="V458" s="261">
        <f t="shared" si="70"/>
        <v>-5.9999999997671694E-2</v>
      </c>
      <c r="W458" s="261">
        <f t="shared" si="75"/>
        <v>-5.9999999997671694E-2</v>
      </c>
      <c r="X458" s="261"/>
      <c r="Y458" s="176" t="s">
        <v>722</v>
      </c>
      <c r="Z458" s="176"/>
      <c r="AA458" s="186">
        <v>271000</v>
      </c>
      <c r="AB458" s="186">
        <v>147834.06</v>
      </c>
      <c r="AC458" s="176">
        <v>0</v>
      </c>
      <c r="AD458" s="176">
        <v>0</v>
      </c>
      <c r="AE458" s="186">
        <v>123165.94</v>
      </c>
      <c r="AF458" s="35">
        <v>123165.94</v>
      </c>
      <c r="AG458" s="212">
        <v>0</v>
      </c>
      <c r="AH458" s="212">
        <f t="shared" si="71"/>
        <v>123166</v>
      </c>
      <c r="AI458" s="212" t="s">
        <v>620</v>
      </c>
      <c r="AJ458" s="212">
        <v>271000</v>
      </c>
      <c r="AK458" s="212">
        <v>147834.06</v>
      </c>
      <c r="AL458" s="212">
        <v>0</v>
      </c>
      <c r="AM458" s="212">
        <v>0</v>
      </c>
      <c r="AN458" s="212">
        <v>123165.94</v>
      </c>
      <c r="AO458" s="176">
        <v>0</v>
      </c>
      <c r="AP458" s="176">
        <v>0</v>
      </c>
      <c r="AQ458" s="176">
        <v>0</v>
      </c>
      <c r="AR458" s="212">
        <f t="shared" si="72"/>
        <v>-5.9999999997671694E-2</v>
      </c>
      <c r="AS458" s="212">
        <f t="shared" si="73"/>
        <v>188889.06</v>
      </c>
      <c r="AT458" s="473">
        <f t="shared" si="74"/>
        <v>188889.12</v>
      </c>
      <c r="AU458" s="478"/>
    </row>
    <row r="459" spans="1:47" s="35" customFormat="1" ht="43.5" hidden="1" x14ac:dyDescent="0.35">
      <c r="A459" s="35" t="s">
        <v>1201</v>
      </c>
      <c r="B459" s="224" t="s">
        <v>956</v>
      </c>
      <c r="C459" s="222" t="s">
        <v>19</v>
      </c>
      <c r="D459" s="136">
        <v>8471305</v>
      </c>
      <c r="E459" s="137" t="s">
        <v>616</v>
      </c>
      <c r="F459" s="138">
        <v>421700</v>
      </c>
      <c r="G459" s="137" t="s">
        <v>29</v>
      </c>
      <c r="H459" s="137" t="s">
        <v>621</v>
      </c>
      <c r="I459" s="137">
        <v>170000</v>
      </c>
      <c r="J459" s="140">
        <v>170000</v>
      </c>
      <c r="K459" s="141">
        <v>73837.02</v>
      </c>
      <c r="L459" s="142"/>
      <c r="M459" s="143"/>
      <c r="N459" s="144">
        <f t="shared" si="76"/>
        <v>96162.98</v>
      </c>
      <c r="O459" s="145">
        <v>0</v>
      </c>
      <c r="P459" s="145">
        <v>48081</v>
      </c>
      <c r="Q459" s="149">
        <v>48082</v>
      </c>
      <c r="R459" s="146" t="s">
        <v>744</v>
      </c>
      <c r="S459" s="254">
        <f t="shared" si="77"/>
        <v>-2.0000000004074536E-2</v>
      </c>
      <c r="T459" s="175" t="s">
        <v>772</v>
      </c>
      <c r="U459" s="137" t="s">
        <v>621</v>
      </c>
      <c r="V459" s="261">
        <f t="shared" si="70"/>
        <v>-2.0000000004074536E-2</v>
      </c>
      <c r="W459" s="261">
        <f t="shared" si="75"/>
        <v>-2.0000000004074536E-2</v>
      </c>
      <c r="X459" s="261"/>
      <c r="Y459" s="176" t="s">
        <v>722</v>
      </c>
      <c r="Z459" s="176"/>
      <c r="AA459" s="186">
        <v>170000</v>
      </c>
      <c r="AB459" s="186">
        <v>73837.02</v>
      </c>
      <c r="AC459" s="176">
        <v>0</v>
      </c>
      <c r="AD459" s="176">
        <v>0</v>
      </c>
      <c r="AE459" s="186">
        <v>96162.98</v>
      </c>
      <c r="AF459" s="35">
        <v>96162.98</v>
      </c>
      <c r="AG459" s="212">
        <v>0</v>
      </c>
      <c r="AH459" s="212">
        <f t="shared" si="71"/>
        <v>96163</v>
      </c>
      <c r="AI459" s="212" t="s">
        <v>621</v>
      </c>
      <c r="AJ459" s="212">
        <v>170000</v>
      </c>
      <c r="AK459" s="212">
        <v>73837.02</v>
      </c>
      <c r="AL459" s="212">
        <v>0</v>
      </c>
      <c r="AM459" s="212">
        <v>0</v>
      </c>
      <c r="AN459" s="212">
        <v>96162.98</v>
      </c>
      <c r="AO459" s="176">
        <v>0</v>
      </c>
      <c r="AP459" s="176">
        <v>0</v>
      </c>
      <c r="AQ459" s="176">
        <v>0</v>
      </c>
      <c r="AR459" s="212">
        <f t="shared" si="72"/>
        <v>-2.0000000004074536E-2</v>
      </c>
      <c r="AS459" s="212">
        <f t="shared" si="73"/>
        <v>121919.02</v>
      </c>
      <c r="AT459" s="473">
        <f t="shared" si="74"/>
        <v>121919.04000000001</v>
      </c>
      <c r="AU459" s="478"/>
    </row>
    <row r="460" spans="1:47" s="35" customFormat="1" ht="29" hidden="1" x14ac:dyDescent="0.35">
      <c r="A460" s="35" t="s">
        <v>1201</v>
      </c>
      <c r="B460" s="224" t="s">
        <v>956</v>
      </c>
      <c r="C460" s="222" t="s">
        <v>19</v>
      </c>
      <c r="D460" s="136">
        <v>8471305</v>
      </c>
      <c r="E460" s="137" t="s">
        <v>616</v>
      </c>
      <c r="F460" s="138">
        <v>422100</v>
      </c>
      <c r="G460" s="137" t="s">
        <v>622</v>
      </c>
      <c r="H460" s="137" t="s">
        <v>623</v>
      </c>
      <c r="I460" s="137">
        <v>12000</v>
      </c>
      <c r="J460" s="140">
        <v>12000</v>
      </c>
      <c r="K460" s="147"/>
      <c r="L460" s="142"/>
      <c r="M460" s="143"/>
      <c r="N460" s="144">
        <f t="shared" si="76"/>
        <v>12000</v>
      </c>
      <c r="O460" s="145"/>
      <c r="P460" s="145"/>
      <c r="Q460" s="149">
        <v>12000</v>
      </c>
      <c r="R460" s="146" t="s">
        <v>745</v>
      </c>
      <c r="S460" s="254">
        <f t="shared" si="77"/>
        <v>0</v>
      </c>
      <c r="T460" s="175" t="s">
        <v>766</v>
      </c>
      <c r="U460" s="137" t="s">
        <v>623</v>
      </c>
      <c r="V460" s="261">
        <f t="shared" si="70"/>
        <v>0</v>
      </c>
      <c r="W460" s="261">
        <f t="shared" si="75"/>
        <v>0</v>
      </c>
      <c r="X460" s="261"/>
      <c r="Y460" s="176" t="s">
        <v>722</v>
      </c>
      <c r="Z460" s="176"/>
      <c r="AA460" s="186">
        <v>12000</v>
      </c>
      <c r="AB460" s="186">
        <v>0</v>
      </c>
      <c r="AC460" s="176">
        <v>0</v>
      </c>
      <c r="AD460" s="176">
        <v>0</v>
      </c>
      <c r="AE460" s="186">
        <v>12000</v>
      </c>
      <c r="AF460" s="35">
        <v>12000</v>
      </c>
      <c r="AG460" s="212">
        <v>0</v>
      </c>
      <c r="AH460" s="212">
        <f t="shared" si="71"/>
        <v>12000</v>
      </c>
      <c r="AI460" s="212" t="s">
        <v>623</v>
      </c>
      <c r="AJ460" s="212">
        <v>12000</v>
      </c>
      <c r="AK460" s="212">
        <v>0</v>
      </c>
      <c r="AL460" s="212">
        <v>0</v>
      </c>
      <c r="AM460" s="212">
        <v>0</v>
      </c>
      <c r="AN460" s="212">
        <v>12000</v>
      </c>
      <c r="AO460" s="176">
        <v>0</v>
      </c>
      <c r="AP460" s="176">
        <v>0</v>
      </c>
      <c r="AQ460" s="176">
        <v>0</v>
      </c>
      <c r="AR460" s="212">
        <f t="shared" si="72"/>
        <v>0</v>
      </c>
      <c r="AS460" s="212">
        <f t="shared" si="73"/>
        <v>12000</v>
      </c>
      <c r="AT460" s="473">
        <f t="shared" si="74"/>
        <v>12000</v>
      </c>
      <c r="AU460" s="478"/>
    </row>
    <row r="461" spans="1:47" s="35" customFormat="1" ht="232" hidden="1" x14ac:dyDescent="0.35">
      <c r="A461" s="35" t="s">
        <v>1201</v>
      </c>
      <c r="B461" s="224" t="s">
        <v>956</v>
      </c>
      <c r="C461" s="222" t="s">
        <v>19</v>
      </c>
      <c r="D461" s="136">
        <v>8471305</v>
      </c>
      <c r="E461" s="137" t="s">
        <v>616</v>
      </c>
      <c r="F461" s="138">
        <v>425510</v>
      </c>
      <c r="G461" s="137" t="s">
        <v>31</v>
      </c>
      <c r="H461" s="137" t="s">
        <v>624</v>
      </c>
      <c r="I461" s="137">
        <v>820000</v>
      </c>
      <c r="J461" s="140">
        <v>601500</v>
      </c>
      <c r="K461" s="141">
        <v>224036.23</v>
      </c>
      <c r="L461" s="148">
        <v>0</v>
      </c>
      <c r="M461" s="140">
        <v>76000</v>
      </c>
      <c r="N461" s="144">
        <f t="shared" si="76"/>
        <v>301463.77</v>
      </c>
      <c r="O461" s="145">
        <v>75000</v>
      </c>
      <c r="P461" s="145">
        <v>126000</v>
      </c>
      <c r="Q461" s="149">
        <v>100676</v>
      </c>
      <c r="R461" s="146" t="s">
        <v>746</v>
      </c>
      <c r="S461" s="254">
        <f t="shared" si="77"/>
        <v>-212.22999999998137</v>
      </c>
      <c r="T461" s="175" t="s">
        <v>773</v>
      </c>
      <c r="U461" s="137" t="s">
        <v>624</v>
      </c>
      <c r="V461" s="261">
        <f t="shared" si="70"/>
        <v>-212.22999999998137</v>
      </c>
      <c r="W461" s="261">
        <f t="shared" si="75"/>
        <v>-2050.6299999999815</v>
      </c>
      <c r="X461" s="261"/>
      <c r="Y461" s="176" t="s">
        <v>722</v>
      </c>
      <c r="Z461" s="176"/>
      <c r="AA461" s="186">
        <v>601500</v>
      </c>
      <c r="AB461" s="186">
        <v>303736.23</v>
      </c>
      <c r="AC461" s="176">
        <v>0</v>
      </c>
      <c r="AD461" s="176">
        <v>0</v>
      </c>
      <c r="AE461" s="186">
        <v>297763.77</v>
      </c>
      <c r="AF461" s="35">
        <v>297763.77</v>
      </c>
      <c r="AG461" s="212">
        <v>0</v>
      </c>
      <c r="AH461" s="212">
        <f t="shared" si="71"/>
        <v>297976</v>
      </c>
      <c r="AI461" s="212" t="s">
        <v>624</v>
      </c>
      <c r="AJ461" s="212">
        <v>601500</v>
      </c>
      <c r="AK461" s="212">
        <v>316404.98</v>
      </c>
      <c r="AL461" s="212">
        <v>0</v>
      </c>
      <c r="AM461" s="212">
        <v>0</v>
      </c>
      <c r="AN461" s="212">
        <v>270972.52</v>
      </c>
      <c r="AO461" s="176">
        <v>738.4</v>
      </c>
      <c r="AP461" s="176">
        <v>0</v>
      </c>
      <c r="AQ461" s="176">
        <v>1100</v>
      </c>
      <c r="AR461" s="212">
        <f t="shared" si="72"/>
        <v>-2050.6299999999815</v>
      </c>
      <c r="AS461" s="212">
        <f t="shared" si="73"/>
        <v>406250.63</v>
      </c>
      <c r="AT461" s="473">
        <f t="shared" si="74"/>
        <v>420970.01</v>
      </c>
      <c r="AU461" s="478"/>
    </row>
    <row r="462" spans="1:47" s="35" customFormat="1" ht="101.5" hidden="1" x14ac:dyDescent="0.35">
      <c r="A462" s="35" t="s">
        <v>1201</v>
      </c>
      <c r="B462" s="224" t="s">
        <v>956</v>
      </c>
      <c r="C462" s="222" t="s">
        <v>19</v>
      </c>
      <c r="D462" s="136">
        <v>8471305</v>
      </c>
      <c r="E462" s="137" t="s">
        <v>616</v>
      </c>
      <c r="F462" s="138">
        <v>425550</v>
      </c>
      <c r="G462" s="137" t="s">
        <v>33</v>
      </c>
      <c r="H462" s="137" t="s">
        <v>625</v>
      </c>
      <c r="I462" s="137">
        <v>780000</v>
      </c>
      <c r="J462" s="140">
        <v>622000</v>
      </c>
      <c r="K462" s="141">
        <v>85529.62</v>
      </c>
      <c r="L462" s="142"/>
      <c r="M462" s="143"/>
      <c r="N462" s="144">
        <f t="shared" si="76"/>
        <v>536470.38</v>
      </c>
      <c r="O462" s="145">
        <v>136000</v>
      </c>
      <c r="P462" s="145">
        <v>200000</v>
      </c>
      <c r="Q462" s="149">
        <v>100000</v>
      </c>
      <c r="R462" s="146" t="s">
        <v>747</v>
      </c>
      <c r="S462" s="254">
        <f t="shared" si="77"/>
        <v>100470.38</v>
      </c>
      <c r="T462" s="175" t="s">
        <v>774</v>
      </c>
      <c r="U462" s="137" t="s">
        <v>625</v>
      </c>
      <c r="V462" s="261">
        <f t="shared" si="70"/>
        <v>100470.38</v>
      </c>
      <c r="W462" s="261">
        <f t="shared" si="75"/>
        <v>87351.05</v>
      </c>
      <c r="X462" s="261"/>
      <c r="Y462" s="176" t="s">
        <v>722</v>
      </c>
      <c r="Z462" s="176"/>
      <c r="AA462" s="186">
        <v>607000</v>
      </c>
      <c r="AB462" s="186">
        <v>351181.9</v>
      </c>
      <c r="AC462" s="176">
        <v>0</v>
      </c>
      <c r="AD462" s="176">
        <v>0</v>
      </c>
      <c r="AE462" s="186">
        <v>255818.09999999998</v>
      </c>
      <c r="AF462" s="35">
        <v>255818.1</v>
      </c>
      <c r="AG462" s="212">
        <v>0</v>
      </c>
      <c r="AH462" s="212">
        <f t="shared" si="71"/>
        <v>155347.71999999997</v>
      </c>
      <c r="AI462" s="212" t="s">
        <v>625</v>
      </c>
      <c r="AJ462" s="212">
        <v>607000</v>
      </c>
      <c r="AK462" s="212">
        <v>367413.63</v>
      </c>
      <c r="AL462" s="212">
        <v>0</v>
      </c>
      <c r="AM462" s="212">
        <v>0</v>
      </c>
      <c r="AN462" s="212">
        <v>239586.37</v>
      </c>
      <c r="AO462" s="176">
        <v>13119.33</v>
      </c>
      <c r="AP462" s="176">
        <v>0</v>
      </c>
      <c r="AQ462" s="176">
        <v>0</v>
      </c>
      <c r="AR462" s="212">
        <f t="shared" si="72"/>
        <v>87351.05</v>
      </c>
      <c r="AS462" s="212">
        <f t="shared" si="73"/>
        <v>464301.23000000004</v>
      </c>
      <c r="AT462" s="473">
        <f t="shared" si="74"/>
        <v>393181.91000000003</v>
      </c>
      <c r="AU462" s="478"/>
    </row>
    <row r="463" spans="1:47" s="35" customFormat="1" ht="29" hidden="1" x14ac:dyDescent="0.35">
      <c r="A463" s="35" t="s">
        <v>1201</v>
      </c>
      <c r="B463" s="224" t="s">
        <v>956</v>
      </c>
      <c r="C463" s="222" t="s">
        <v>19</v>
      </c>
      <c r="D463" s="136">
        <v>8471305</v>
      </c>
      <c r="E463" s="137" t="s">
        <v>616</v>
      </c>
      <c r="F463" s="138">
        <v>425720</v>
      </c>
      <c r="G463" s="137" t="s">
        <v>224</v>
      </c>
      <c r="H463" s="137" t="s">
        <v>626</v>
      </c>
      <c r="I463" s="137">
        <v>2494345</v>
      </c>
      <c r="J463" s="140">
        <v>2424345</v>
      </c>
      <c r="K463" s="141">
        <v>1394432.45</v>
      </c>
      <c r="L463" s="148">
        <v>0</v>
      </c>
      <c r="M463" s="140">
        <v>692500</v>
      </c>
      <c r="N463" s="144">
        <f t="shared" si="76"/>
        <v>337412.55000000005</v>
      </c>
      <c r="O463" s="145">
        <v>138000</v>
      </c>
      <c r="P463" s="145">
        <v>100000</v>
      </c>
      <c r="Q463" s="149"/>
      <c r="R463" s="146" t="s">
        <v>748</v>
      </c>
      <c r="S463" s="254">
        <f t="shared" si="77"/>
        <v>99412.550000000047</v>
      </c>
      <c r="T463" s="175" t="s">
        <v>775</v>
      </c>
      <c r="U463" s="137" t="s">
        <v>626</v>
      </c>
      <c r="V463" s="261">
        <f t="shared" si="70"/>
        <v>99412.550000000047</v>
      </c>
      <c r="W463" s="261">
        <f t="shared" si="75"/>
        <v>79788.050000000047</v>
      </c>
      <c r="X463" s="261"/>
      <c r="Y463" s="176" t="s">
        <v>722</v>
      </c>
      <c r="Z463" s="176"/>
      <c r="AA463" s="186">
        <v>2424345</v>
      </c>
      <c r="AB463" s="186">
        <v>1474262.45</v>
      </c>
      <c r="AC463" s="176">
        <v>99801</v>
      </c>
      <c r="AD463" s="176">
        <v>804467.5</v>
      </c>
      <c r="AE463" s="186">
        <v>45814.050000000047</v>
      </c>
      <c r="AF463" s="35">
        <v>45814.049999999901</v>
      </c>
      <c r="AG463" s="212">
        <v>1.4551915228366852E-10</v>
      </c>
      <c r="AH463" s="212">
        <f t="shared" si="71"/>
        <v>-53598.5</v>
      </c>
      <c r="AI463" s="212" t="s">
        <v>626</v>
      </c>
      <c r="AJ463" s="212">
        <v>2449345</v>
      </c>
      <c r="AK463" s="212">
        <v>1297431.3</v>
      </c>
      <c r="AL463" s="212">
        <v>0</v>
      </c>
      <c r="AM463" s="212">
        <v>841579.26</v>
      </c>
      <c r="AN463" s="212">
        <v>310334.44</v>
      </c>
      <c r="AO463" s="176">
        <v>0</v>
      </c>
      <c r="AP463" s="176">
        <v>19624.5</v>
      </c>
      <c r="AQ463" s="176">
        <v>0</v>
      </c>
      <c r="AR463" s="212">
        <f t="shared" si="72"/>
        <v>79788.050000000047</v>
      </c>
      <c r="AS463" s="212">
        <f t="shared" si="73"/>
        <v>2398155.4500000002</v>
      </c>
      <c r="AT463" s="473">
        <f t="shared" si="74"/>
        <v>2078847.01</v>
      </c>
      <c r="AU463" s="478"/>
    </row>
    <row r="464" spans="1:47" s="35" customFormat="1" ht="29" hidden="1" x14ac:dyDescent="0.35">
      <c r="A464" s="35" t="s">
        <v>1201</v>
      </c>
      <c r="B464" s="224" t="s">
        <v>956</v>
      </c>
      <c r="C464" s="222" t="s">
        <v>19</v>
      </c>
      <c r="D464" s="136">
        <v>8471305</v>
      </c>
      <c r="E464" s="137" t="s">
        <v>616</v>
      </c>
      <c r="F464" s="138">
        <v>425742</v>
      </c>
      <c r="G464" s="137" t="s">
        <v>559</v>
      </c>
      <c r="H464" s="137" t="s">
        <v>627</v>
      </c>
      <c r="I464" s="137">
        <v>180000</v>
      </c>
      <c r="J464" s="140">
        <v>180000</v>
      </c>
      <c r="K464" s="141">
        <v>168989.59</v>
      </c>
      <c r="L464" s="142"/>
      <c r="M464" s="143"/>
      <c r="N464" s="144">
        <f t="shared" si="76"/>
        <v>11010.410000000003</v>
      </c>
      <c r="O464" s="145">
        <v>0</v>
      </c>
      <c r="P464" s="145">
        <v>11010.41</v>
      </c>
      <c r="Q464" s="149">
        <v>0</v>
      </c>
      <c r="R464" s="146" t="s">
        <v>749</v>
      </c>
      <c r="S464" s="254">
        <f t="shared" si="77"/>
        <v>3.637978807091713E-12</v>
      </c>
      <c r="T464" s="175" t="s">
        <v>749</v>
      </c>
      <c r="U464" s="137" t="s">
        <v>627</v>
      </c>
      <c r="V464" s="261">
        <f t="shared" si="70"/>
        <v>3.637978807091713E-12</v>
      </c>
      <c r="W464" s="261">
        <f t="shared" si="75"/>
        <v>3.637978807091713E-12</v>
      </c>
      <c r="X464" s="261"/>
      <c r="Y464" s="176" t="s">
        <v>722</v>
      </c>
      <c r="Z464" s="176"/>
      <c r="AA464" s="186">
        <v>180000</v>
      </c>
      <c r="AB464" s="186">
        <v>179039.58</v>
      </c>
      <c r="AC464" s="176">
        <v>0</v>
      </c>
      <c r="AD464" s="176">
        <v>0</v>
      </c>
      <c r="AE464" s="186">
        <v>960.42000000001281</v>
      </c>
      <c r="AF464" s="35">
        <v>960.41999999998404</v>
      </c>
      <c r="AG464" s="212">
        <v>2.8762769943568856E-11</v>
      </c>
      <c r="AH464" s="212">
        <f t="shared" si="71"/>
        <v>960.42000000000917</v>
      </c>
      <c r="AI464" s="212" t="s">
        <v>627</v>
      </c>
      <c r="AJ464" s="212">
        <v>180000</v>
      </c>
      <c r="AK464" s="212">
        <v>179039.58</v>
      </c>
      <c r="AL464" s="212">
        <v>0</v>
      </c>
      <c r="AM464" s="212">
        <v>0</v>
      </c>
      <c r="AN464" s="212">
        <v>960.41999999998404</v>
      </c>
      <c r="AO464" s="176">
        <v>0</v>
      </c>
      <c r="AP464" s="176">
        <v>0</v>
      </c>
      <c r="AQ464" s="176">
        <v>0</v>
      </c>
      <c r="AR464" s="212">
        <f t="shared" si="72"/>
        <v>3.637978807091713E-12</v>
      </c>
      <c r="AS464" s="212">
        <f t="shared" si="73"/>
        <v>179039.58</v>
      </c>
      <c r="AT464" s="473">
        <f t="shared" si="74"/>
        <v>179039.58</v>
      </c>
      <c r="AU464" s="478"/>
    </row>
    <row r="465" spans="1:47" s="35" customFormat="1" ht="29" hidden="1" x14ac:dyDescent="0.35">
      <c r="A465" s="35" t="s">
        <v>1201</v>
      </c>
      <c r="B465" s="224" t="s">
        <v>956</v>
      </c>
      <c r="C465" s="222" t="s">
        <v>19</v>
      </c>
      <c r="D465" s="136">
        <v>8471305</v>
      </c>
      <c r="E465" s="137" t="s">
        <v>616</v>
      </c>
      <c r="F465" s="138">
        <v>425744</v>
      </c>
      <c r="G465" s="137" t="s">
        <v>104</v>
      </c>
      <c r="H465" s="137" t="s">
        <v>628</v>
      </c>
      <c r="I465" s="137">
        <v>0</v>
      </c>
      <c r="J465" s="140">
        <v>100694</v>
      </c>
      <c r="K465" s="141">
        <v>100002</v>
      </c>
      <c r="L465" s="142"/>
      <c r="M465" s="143"/>
      <c r="N465" s="144">
        <f t="shared" si="76"/>
        <v>692</v>
      </c>
      <c r="O465" s="145">
        <v>0</v>
      </c>
      <c r="P465" s="145">
        <v>0</v>
      </c>
      <c r="Q465" s="149">
        <v>692</v>
      </c>
      <c r="R465" s="146" t="s">
        <v>749</v>
      </c>
      <c r="S465" s="254">
        <f t="shared" si="77"/>
        <v>0</v>
      </c>
      <c r="T465" s="175" t="s">
        <v>749</v>
      </c>
      <c r="U465" s="137" t="s">
        <v>628</v>
      </c>
      <c r="V465" s="261">
        <f t="shared" si="70"/>
        <v>0</v>
      </c>
      <c r="W465" s="261">
        <f t="shared" si="75"/>
        <v>0</v>
      </c>
      <c r="X465" s="261"/>
      <c r="Y465" s="176" t="s">
        <v>722</v>
      </c>
      <c r="Z465" s="176"/>
      <c r="AA465" s="186">
        <v>100694</v>
      </c>
      <c r="AB465" s="186">
        <v>100002</v>
      </c>
      <c r="AC465" s="176">
        <v>0</v>
      </c>
      <c r="AD465" s="176">
        <v>0</v>
      </c>
      <c r="AE465" s="186">
        <v>692</v>
      </c>
      <c r="AF465" s="35">
        <v>692</v>
      </c>
      <c r="AG465" s="212">
        <v>0</v>
      </c>
      <c r="AH465" s="212">
        <f t="shared" si="71"/>
        <v>692</v>
      </c>
      <c r="AI465" s="212" t="s">
        <v>628</v>
      </c>
      <c r="AJ465" s="212">
        <v>100694</v>
      </c>
      <c r="AK465" s="212">
        <v>100002</v>
      </c>
      <c r="AL465" s="212">
        <v>0</v>
      </c>
      <c r="AM465" s="212">
        <v>0</v>
      </c>
      <c r="AN465" s="212">
        <v>692</v>
      </c>
      <c r="AO465" s="176">
        <v>0</v>
      </c>
      <c r="AP465" s="176">
        <v>0</v>
      </c>
      <c r="AQ465" s="176">
        <v>0</v>
      </c>
      <c r="AR465" s="212">
        <f t="shared" si="72"/>
        <v>0</v>
      </c>
      <c r="AS465" s="212">
        <f t="shared" si="73"/>
        <v>100694</v>
      </c>
      <c r="AT465" s="473">
        <f t="shared" si="74"/>
        <v>100694</v>
      </c>
      <c r="AU465" s="478"/>
    </row>
    <row r="466" spans="1:47" s="35" customFormat="1" ht="29" hidden="1" x14ac:dyDescent="0.35">
      <c r="A466" s="35" t="s">
        <v>1201</v>
      </c>
      <c r="B466" s="224" t="s">
        <v>956</v>
      </c>
      <c r="C466" s="222" t="s">
        <v>19</v>
      </c>
      <c r="D466" s="136">
        <v>8471305</v>
      </c>
      <c r="E466" s="137" t="s">
        <v>616</v>
      </c>
      <c r="F466" s="138">
        <v>425745</v>
      </c>
      <c r="G466" s="137" t="s">
        <v>106</v>
      </c>
      <c r="H466" s="137" t="s">
        <v>629</v>
      </c>
      <c r="I466" s="137">
        <v>0</v>
      </c>
      <c r="J466" s="140">
        <v>40400</v>
      </c>
      <c r="K466" s="141">
        <v>39340</v>
      </c>
      <c r="L466" s="142"/>
      <c r="M466" s="143"/>
      <c r="N466" s="144">
        <f t="shared" si="76"/>
        <v>1060</v>
      </c>
      <c r="O466" s="145"/>
      <c r="P466" s="145"/>
      <c r="Q466" s="149">
        <v>1060</v>
      </c>
      <c r="R466" s="146" t="s">
        <v>749</v>
      </c>
      <c r="S466" s="254">
        <f t="shared" si="77"/>
        <v>0</v>
      </c>
      <c r="T466" s="175" t="s">
        <v>749</v>
      </c>
      <c r="U466" s="137" t="s">
        <v>629</v>
      </c>
      <c r="V466" s="261">
        <f t="shared" si="70"/>
        <v>0</v>
      </c>
      <c r="W466" s="261">
        <f t="shared" si="75"/>
        <v>0</v>
      </c>
      <c r="X466" s="261"/>
      <c r="Y466" s="176" t="s">
        <v>722</v>
      </c>
      <c r="Z466" s="176"/>
      <c r="AA466" s="186">
        <v>55400</v>
      </c>
      <c r="AB466" s="186">
        <v>54543</v>
      </c>
      <c r="AC466" s="176">
        <v>0</v>
      </c>
      <c r="AD466" s="176">
        <v>0</v>
      </c>
      <c r="AE466" s="186">
        <v>857</v>
      </c>
      <c r="AF466" s="35">
        <v>857</v>
      </c>
      <c r="AG466" s="212">
        <v>0</v>
      </c>
      <c r="AH466" s="212">
        <f t="shared" si="71"/>
        <v>857</v>
      </c>
      <c r="AI466" s="212" t="s">
        <v>629</v>
      </c>
      <c r="AJ466" s="212">
        <v>55400</v>
      </c>
      <c r="AK466" s="212">
        <v>54543</v>
      </c>
      <c r="AL466" s="212">
        <v>0</v>
      </c>
      <c r="AM466" s="212">
        <v>0</v>
      </c>
      <c r="AN466" s="212">
        <v>857</v>
      </c>
      <c r="AO466" s="176">
        <v>0</v>
      </c>
      <c r="AP466" s="176">
        <v>0</v>
      </c>
      <c r="AQ466" s="176">
        <v>0</v>
      </c>
      <c r="AR466" s="212">
        <f t="shared" si="72"/>
        <v>0</v>
      </c>
      <c r="AS466" s="212">
        <f t="shared" si="73"/>
        <v>55603</v>
      </c>
      <c r="AT466" s="473">
        <f t="shared" si="74"/>
        <v>55603</v>
      </c>
      <c r="AU466" s="478"/>
    </row>
    <row r="467" spans="1:47" s="35" customFormat="1" ht="43.5" hidden="1" x14ac:dyDescent="0.35">
      <c r="A467" s="35" t="s">
        <v>1201</v>
      </c>
      <c r="B467" s="224" t="s">
        <v>956</v>
      </c>
      <c r="C467" s="222" t="s">
        <v>19</v>
      </c>
      <c r="D467" s="136">
        <v>8471305</v>
      </c>
      <c r="E467" s="137" t="s">
        <v>616</v>
      </c>
      <c r="F467" s="138">
        <v>425746</v>
      </c>
      <c r="G467" s="137" t="s">
        <v>589</v>
      </c>
      <c r="H467" s="137" t="s">
        <v>630</v>
      </c>
      <c r="I467" s="137">
        <v>312600</v>
      </c>
      <c r="J467" s="140">
        <v>292600</v>
      </c>
      <c r="K467" s="147"/>
      <c r="L467" s="142"/>
      <c r="M467" s="143"/>
      <c r="N467" s="144">
        <f t="shared" si="76"/>
        <v>292600</v>
      </c>
      <c r="O467" s="145">
        <v>100000</v>
      </c>
      <c r="P467" s="145">
        <v>100000</v>
      </c>
      <c r="Q467" s="149">
        <v>92600</v>
      </c>
      <c r="R467" s="146" t="s">
        <v>750</v>
      </c>
      <c r="S467" s="254">
        <f t="shared" si="77"/>
        <v>0</v>
      </c>
      <c r="T467" s="175" t="s">
        <v>750</v>
      </c>
      <c r="U467" s="137" t="s">
        <v>630</v>
      </c>
      <c r="V467" s="261">
        <f t="shared" si="70"/>
        <v>0</v>
      </c>
      <c r="W467" s="261">
        <f t="shared" si="75"/>
        <v>0</v>
      </c>
      <c r="X467" s="261"/>
      <c r="Y467" s="176" t="s">
        <v>722</v>
      </c>
      <c r="Z467" s="176"/>
      <c r="AA467" s="186">
        <v>292600</v>
      </c>
      <c r="AB467" s="186">
        <v>0</v>
      </c>
      <c r="AC467" s="176">
        <v>0</v>
      </c>
      <c r="AD467" s="176">
        <v>0</v>
      </c>
      <c r="AE467" s="186">
        <v>292600</v>
      </c>
      <c r="AF467" s="35">
        <v>292600</v>
      </c>
      <c r="AG467" s="212">
        <v>0</v>
      </c>
      <c r="AH467" s="212">
        <f t="shared" si="71"/>
        <v>292600</v>
      </c>
      <c r="AI467" s="212" t="s">
        <v>630</v>
      </c>
      <c r="AJ467" s="212">
        <v>292600</v>
      </c>
      <c r="AK467" s="212">
        <v>0</v>
      </c>
      <c r="AL467" s="212">
        <v>0</v>
      </c>
      <c r="AM467" s="212">
        <v>0</v>
      </c>
      <c r="AN467" s="212">
        <v>292600</v>
      </c>
      <c r="AO467" s="176">
        <v>0</v>
      </c>
      <c r="AP467" s="176">
        <v>0</v>
      </c>
      <c r="AQ467" s="176">
        <v>0</v>
      </c>
      <c r="AR467" s="212">
        <f t="shared" si="72"/>
        <v>0</v>
      </c>
      <c r="AS467" s="212">
        <f t="shared" si="73"/>
        <v>92600</v>
      </c>
      <c r="AT467" s="473">
        <f t="shared" si="74"/>
        <v>92600</v>
      </c>
      <c r="AU467" s="478"/>
    </row>
    <row r="468" spans="1:47" s="35" customFormat="1" ht="58" hidden="1" x14ac:dyDescent="0.35">
      <c r="A468" s="35" t="s">
        <v>1201</v>
      </c>
      <c r="B468" s="224" t="s">
        <v>956</v>
      </c>
      <c r="C468" s="222" t="s">
        <v>19</v>
      </c>
      <c r="D468" s="136">
        <v>8471305</v>
      </c>
      <c r="E468" s="137" t="s">
        <v>616</v>
      </c>
      <c r="F468" s="138">
        <v>425749</v>
      </c>
      <c r="G468" s="137" t="s">
        <v>108</v>
      </c>
      <c r="H468" s="137" t="s">
        <v>631</v>
      </c>
      <c r="I468" s="137">
        <v>24213178</v>
      </c>
      <c r="J468" s="140">
        <v>24213178</v>
      </c>
      <c r="K468" s="141">
        <v>17903200.030000001</v>
      </c>
      <c r="L468" s="142"/>
      <c r="M468" s="143"/>
      <c r="N468" s="144">
        <f t="shared" si="76"/>
        <v>6309977.9699999988</v>
      </c>
      <c r="O468" s="149">
        <v>2103326</v>
      </c>
      <c r="P468" s="149">
        <v>2103326</v>
      </c>
      <c r="Q468" s="149">
        <v>2724000</v>
      </c>
      <c r="R468" s="146" t="s">
        <v>751</v>
      </c>
      <c r="S468" s="254">
        <f>N468-O468-P468-Q468</f>
        <v>-620674.03000000119</v>
      </c>
      <c r="T468" s="175" t="s">
        <v>776</v>
      </c>
      <c r="U468" s="137" t="s">
        <v>631</v>
      </c>
      <c r="V468" s="261"/>
      <c r="W468" s="261">
        <f t="shared" si="75"/>
        <v>0</v>
      </c>
      <c r="X468" s="474">
        <v>620674.03000000119</v>
      </c>
      <c r="Y468" s="176" t="s">
        <v>722</v>
      </c>
      <c r="Z468" s="176"/>
      <c r="AA468" s="186">
        <v>26413178</v>
      </c>
      <c r="AB468" s="186">
        <v>20741200.030000001</v>
      </c>
      <c r="AC468" s="176">
        <v>0</v>
      </c>
      <c r="AD468" s="176">
        <v>0</v>
      </c>
      <c r="AE468" s="186">
        <v>5671977.9699999988</v>
      </c>
      <c r="AF468" s="35">
        <v>5671977.9699999997</v>
      </c>
      <c r="AG468" s="212">
        <v>0</v>
      </c>
      <c r="AH468" s="212">
        <f t="shared" si="71"/>
        <v>5671977.9699999988</v>
      </c>
      <c r="AI468" s="212" t="s">
        <v>631</v>
      </c>
      <c r="AJ468" s="212">
        <v>26413178</v>
      </c>
      <c r="AK468" s="212">
        <v>26231200.030000001</v>
      </c>
      <c r="AL468" s="212">
        <v>0</v>
      </c>
      <c r="AM468" s="212">
        <v>0</v>
      </c>
      <c r="AN468" s="212">
        <v>181977.969999995</v>
      </c>
      <c r="AO468" s="176">
        <v>0</v>
      </c>
      <c r="AP468" s="176">
        <v>0</v>
      </c>
      <c r="AQ468" s="176">
        <v>0</v>
      </c>
      <c r="AR468" s="212">
        <f t="shared" si="72"/>
        <v>0</v>
      </c>
      <c r="AS468" s="212">
        <f t="shared" si="73"/>
        <v>23465200.030000001</v>
      </c>
      <c r="AT468" s="473">
        <f t="shared" si="74"/>
        <v>29575874.060000002</v>
      </c>
      <c r="AU468" s="478"/>
    </row>
    <row r="469" spans="1:47" s="35" customFormat="1" ht="145" hidden="1" x14ac:dyDescent="0.35">
      <c r="A469" s="35" t="s">
        <v>1201</v>
      </c>
      <c r="B469" s="224" t="s">
        <v>956</v>
      </c>
      <c r="C469" s="222" t="s">
        <v>19</v>
      </c>
      <c r="D469" s="136">
        <v>8471305</v>
      </c>
      <c r="E469" s="137" t="s">
        <v>616</v>
      </c>
      <c r="F469" s="138">
        <v>425750</v>
      </c>
      <c r="G469" s="137" t="s">
        <v>565</v>
      </c>
      <c r="H469" s="137" t="s">
        <v>632</v>
      </c>
      <c r="I469" s="137">
        <v>864069</v>
      </c>
      <c r="J469" s="140">
        <v>864069</v>
      </c>
      <c r="K469" s="141">
        <v>120718.5</v>
      </c>
      <c r="L469" s="142"/>
      <c r="M469" s="143"/>
      <c r="N469" s="144">
        <f t="shared" si="76"/>
        <v>743350.5</v>
      </c>
      <c r="O469" s="145"/>
      <c r="P469" s="145"/>
      <c r="Q469" s="149"/>
      <c r="R469" s="146" t="s">
        <v>752</v>
      </c>
      <c r="S469" s="254">
        <f t="shared" si="77"/>
        <v>743350.5</v>
      </c>
      <c r="T469" s="175" t="s">
        <v>777</v>
      </c>
      <c r="U469" s="137" t="s">
        <v>632</v>
      </c>
      <c r="V469" s="261">
        <f t="shared" ref="V469:V505" si="78">S469</f>
        <v>743350.5</v>
      </c>
      <c r="W469" s="261">
        <f t="shared" si="75"/>
        <v>743350.5</v>
      </c>
      <c r="X469" s="261"/>
      <c r="Y469" s="176" t="s">
        <v>722</v>
      </c>
      <c r="Z469" s="176"/>
      <c r="AA469" s="186">
        <v>864069</v>
      </c>
      <c r="AB469" s="186">
        <v>131112.59</v>
      </c>
      <c r="AC469" s="176">
        <v>0</v>
      </c>
      <c r="AD469" s="176">
        <v>0</v>
      </c>
      <c r="AE469" s="186">
        <v>732956.41</v>
      </c>
      <c r="AF469" s="35">
        <v>732956.41</v>
      </c>
      <c r="AG469" s="212">
        <v>0</v>
      </c>
      <c r="AH469" s="212">
        <f t="shared" si="71"/>
        <v>-10394.089999999967</v>
      </c>
      <c r="AI469" s="212" t="s">
        <v>632</v>
      </c>
      <c r="AJ469" s="212">
        <v>864069</v>
      </c>
      <c r="AK469" s="212">
        <v>131112.59</v>
      </c>
      <c r="AL469" s="212">
        <v>0</v>
      </c>
      <c r="AM469" s="212">
        <v>0</v>
      </c>
      <c r="AN469" s="212">
        <v>732956.41</v>
      </c>
      <c r="AO469" s="176">
        <v>0</v>
      </c>
      <c r="AP469" s="176">
        <v>0</v>
      </c>
      <c r="AQ469" s="176">
        <v>0</v>
      </c>
      <c r="AR469" s="212">
        <f t="shared" si="72"/>
        <v>743350.5</v>
      </c>
      <c r="AS469" s="212">
        <f t="shared" si="73"/>
        <v>131112.59</v>
      </c>
      <c r="AT469" s="473">
        <f t="shared" si="74"/>
        <v>-612237.91</v>
      </c>
      <c r="AU469" s="478"/>
    </row>
    <row r="470" spans="1:47" s="35" customFormat="1" hidden="1" x14ac:dyDescent="0.35">
      <c r="A470" s="35" t="s">
        <v>1201</v>
      </c>
      <c r="B470" s="224" t="s">
        <v>956</v>
      </c>
      <c r="C470" s="222" t="s">
        <v>19</v>
      </c>
      <c r="D470" s="136">
        <v>8471305</v>
      </c>
      <c r="E470" s="137" t="s">
        <v>616</v>
      </c>
      <c r="F470" s="138">
        <v>425762</v>
      </c>
      <c r="G470" s="137" t="s">
        <v>112</v>
      </c>
      <c r="H470" s="137" t="s">
        <v>633</v>
      </c>
      <c r="I470" s="137">
        <v>2759974</v>
      </c>
      <c r="J470" s="140">
        <v>2088974</v>
      </c>
      <c r="K470" s="141">
        <v>4000.47</v>
      </c>
      <c r="L470" s="142"/>
      <c r="M470" s="143"/>
      <c r="N470" s="144">
        <f t="shared" si="76"/>
        <v>2084973.53</v>
      </c>
      <c r="O470" s="145">
        <v>500000</v>
      </c>
      <c r="P470" s="145">
        <v>1000000</v>
      </c>
      <c r="Q470" s="149">
        <v>500000</v>
      </c>
      <c r="R470" s="146" t="s">
        <v>753</v>
      </c>
      <c r="S470" s="254">
        <f t="shared" si="77"/>
        <v>84973.530000000028</v>
      </c>
      <c r="T470" s="175" t="s">
        <v>778</v>
      </c>
      <c r="U470" s="137" t="s">
        <v>633</v>
      </c>
      <c r="V470" s="261">
        <f t="shared" si="78"/>
        <v>84973.530000000028</v>
      </c>
      <c r="W470" s="261">
        <f t="shared" si="75"/>
        <v>71902.560000000027</v>
      </c>
      <c r="X470" s="261"/>
      <c r="Y470" s="176" t="s">
        <v>722</v>
      </c>
      <c r="Z470" s="176"/>
      <c r="AA470" s="186">
        <v>1907974</v>
      </c>
      <c r="AB470" s="186">
        <v>262766.96999999997</v>
      </c>
      <c r="AC470" s="176">
        <v>0</v>
      </c>
      <c r="AD470" s="176">
        <v>0</v>
      </c>
      <c r="AE470" s="186">
        <v>1645207.03</v>
      </c>
      <c r="AF470" s="35">
        <v>1645207.03</v>
      </c>
      <c r="AG470" s="212">
        <v>0</v>
      </c>
      <c r="AH470" s="212">
        <f t="shared" si="71"/>
        <v>1560233.5</v>
      </c>
      <c r="AI470" s="212" t="s">
        <v>633</v>
      </c>
      <c r="AJ470" s="212">
        <v>1907974</v>
      </c>
      <c r="AK470" s="212">
        <v>276740.03999999998</v>
      </c>
      <c r="AL470" s="212">
        <v>0</v>
      </c>
      <c r="AM470" s="212">
        <v>0</v>
      </c>
      <c r="AN470" s="212">
        <v>1631233.96</v>
      </c>
      <c r="AO470" s="176">
        <v>13070.97</v>
      </c>
      <c r="AP470" s="176">
        <v>0</v>
      </c>
      <c r="AQ470" s="176">
        <v>0</v>
      </c>
      <c r="AR470" s="212">
        <f t="shared" si="72"/>
        <v>71902.560000000027</v>
      </c>
      <c r="AS470" s="212">
        <f t="shared" si="73"/>
        <v>775837.94</v>
      </c>
      <c r="AT470" s="473">
        <f t="shared" si="74"/>
        <v>717908.45</v>
      </c>
      <c r="AU470" s="478"/>
    </row>
    <row r="471" spans="1:47" s="35" customFormat="1" ht="29" hidden="1" x14ac:dyDescent="0.35">
      <c r="A471" s="35" t="s">
        <v>1201</v>
      </c>
      <c r="B471" s="224" t="s">
        <v>956</v>
      </c>
      <c r="C471" s="222" t="s">
        <v>19</v>
      </c>
      <c r="D471" s="136">
        <v>8471305</v>
      </c>
      <c r="E471" s="137" t="s">
        <v>616</v>
      </c>
      <c r="F471" s="138">
        <v>425763</v>
      </c>
      <c r="G471" s="137" t="s">
        <v>59</v>
      </c>
      <c r="H471" s="137" t="s">
        <v>634</v>
      </c>
      <c r="I471" s="137">
        <v>200000</v>
      </c>
      <c r="J471" s="140">
        <v>200000</v>
      </c>
      <c r="K471" s="141">
        <v>2940</v>
      </c>
      <c r="L471" s="142"/>
      <c r="M471" s="143"/>
      <c r="N471" s="144">
        <f t="shared" si="76"/>
        <v>197060</v>
      </c>
      <c r="O471" s="145">
        <v>75000</v>
      </c>
      <c r="P471" s="145">
        <v>75000</v>
      </c>
      <c r="Q471" s="149">
        <v>47060</v>
      </c>
      <c r="R471" s="146" t="s">
        <v>754</v>
      </c>
      <c r="S471" s="254">
        <f t="shared" si="77"/>
        <v>0</v>
      </c>
      <c r="T471" s="175" t="s">
        <v>766</v>
      </c>
      <c r="U471" s="137" t="s">
        <v>634</v>
      </c>
      <c r="V471" s="261">
        <f t="shared" si="78"/>
        <v>0</v>
      </c>
      <c r="W471" s="261">
        <f t="shared" si="75"/>
        <v>0</v>
      </c>
      <c r="X471" s="261"/>
      <c r="Y471" s="176" t="s">
        <v>722</v>
      </c>
      <c r="Z471" s="176"/>
      <c r="AA471" s="186">
        <v>200000</v>
      </c>
      <c r="AB471" s="186">
        <v>2940</v>
      </c>
      <c r="AC471" s="176">
        <v>0</v>
      </c>
      <c r="AD471" s="176">
        <v>0</v>
      </c>
      <c r="AE471" s="186">
        <v>197060</v>
      </c>
      <c r="AF471" s="35">
        <v>197060</v>
      </c>
      <c r="AG471" s="212">
        <v>0</v>
      </c>
      <c r="AH471" s="212">
        <f t="shared" si="71"/>
        <v>197060</v>
      </c>
      <c r="AI471" s="212" t="s">
        <v>634</v>
      </c>
      <c r="AJ471" s="212">
        <v>200000</v>
      </c>
      <c r="AK471" s="212">
        <v>2940</v>
      </c>
      <c r="AL471" s="212">
        <v>0</v>
      </c>
      <c r="AM471" s="212">
        <v>0</v>
      </c>
      <c r="AN471" s="212">
        <v>197060</v>
      </c>
      <c r="AO471" s="176">
        <v>0</v>
      </c>
      <c r="AP471" s="176">
        <v>0</v>
      </c>
      <c r="AQ471" s="176">
        <v>0</v>
      </c>
      <c r="AR471" s="212">
        <f t="shared" si="72"/>
        <v>0</v>
      </c>
      <c r="AS471" s="212">
        <f t="shared" si="73"/>
        <v>50000</v>
      </c>
      <c r="AT471" s="473">
        <f t="shared" si="74"/>
        <v>50000</v>
      </c>
      <c r="AU471" s="478"/>
    </row>
    <row r="472" spans="1:47" s="35" customFormat="1" ht="29" hidden="1" x14ac:dyDescent="0.35">
      <c r="A472" s="35" t="s">
        <v>1201</v>
      </c>
      <c r="B472" s="224" t="s">
        <v>956</v>
      </c>
      <c r="C472" s="222" t="s">
        <v>19</v>
      </c>
      <c r="D472" s="136">
        <v>8471305</v>
      </c>
      <c r="E472" s="137" t="s">
        <v>616</v>
      </c>
      <c r="F472" s="138">
        <v>425900</v>
      </c>
      <c r="G472" s="137" t="s">
        <v>35</v>
      </c>
      <c r="H472" s="137" t="s">
        <v>635</v>
      </c>
      <c r="I472" s="137">
        <v>185000</v>
      </c>
      <c r="J472" s="140">
        <v>185000</v>
      </c>
      <c r="K472" s="141">
        <v>25446.28</v>
      </c>
      <c r="L472" s="148">
        <v>0</v>
      </c>
      <c r="M472" s="140">
        <v>0</v>
      </c>
      <c r="N472" s="144">
        <f t="shared" si="76"/>
        <v>159553.72</v>
      </c>
      <c r="O472" s="145">
        <v>60407</v>
      </c>
      <c r="P472" s="145">
        <v>50000</v>
      </c>
      <c r="Q472" s="149">
        <v>50000</v>
      </c>
      <c r="R472" s="146" t="s">
        <v>755</v>
      </c>
      <c r="S472" s="254">
        <f t="shared" si="77"/>
        <v>-853.27999999999884</v>
      </c>
      <c r="T472" s="175" t="s">
        <v>766</v>
      </c>
      <c r="U472" s="137" t="s">
        <v>635</v>
      </c>
      <c r="V472" s="261">
        <f t="shared" si="78"/>
        <v>-853.27999999999884</v>
      </c>
      <c r="W472" s="261">
        <f t="shared" si="75"/>
        <v>-2554.2799999999988</v>
      </c>
      <c r="X472" s="261"/>
      <c r="Y472" s="176" t="s">
        <v>722</v>
      </c>
      <c r="Z472" s="176"/>
      <c r="AA472" s="186">
        <v>185000</v>
      </c>
      <c r="AB472" s="186">
        <v>54415.58</v>
      </c>
      <c r="AC472" s="176">
        <v>0</v>
      </c>
      <c r="AD472" s="176">
        <v>0</v>
      </c>
      <c r="AE472" s="186">
        <v>130584.42</v>
      </c>
      <c r="AF472" s="35">
        <v>130584.42</v>
      </c>
      <c r="AG472" s="212">
        <v>0</v>
      </c>
      <c r="AH472" s="212">
        <f t="shared" si="71"/>
        <v>131437.70000000001</v>
      </c>
      <c r="AI472" s="212" t="s">
        <v>635</v>
      </c>
      <c r="AJ472" s="212">
        <v>185000</v>
      </c>
      <c r="AK472" s="212">
        <v>57008.33</v>
      </c>
      <c r="AL472" s="212">
        <v>0</v>
      </c>
      <c r="AM472" s="212">
        <v>0</v>
      </c>
      <c r="AN472" s="212">
        <v>122237.67</v>
      </c>
      <c r="AO472" s="176">
        <v>1701</v>
      </c>
      <c r="AP472" s="176">
        <v>0</v>
      </c>
      <c r="AQ472" s="176">
        <v>0</v>
      </c>
      <c r="AR472" s="212">
        <f t="shared" si="72"/>
        <v>-2554.2799999999988</v>
      </c>
      <c r="AS472" s="212">
        <f t="shared" si="73"/>
        <v>106116.58</v>
      </c>
      <c r="AT472" s="473">
        <f t="shared" si="74"/>
        <v>111263.61</v>
      </c>
      <c r="AU472" s="478"/>
    </row>
    <row r="473" spans="1:47" s="35" customFormat="1" ht="29" hidden="1" x14ac:dyDescent="0.35">
      <c r="A473" s="35" t="s">
        <v>1201</v>
      </c>
      <c r="B473" s="224" t="s">
        <v>956</v>
      </c>
      <c r="C473" s="222" t="s">
        <v>19</v>
      </c>
      <c r="D473" s="136">
        <v>8471305</v>
      </c>
      <c r="E473" s="137" t="s">
        <v>616</v>
      </c>
      <c r="F473" s="138">
        <v>426100</v>
      </c>
      <c r="G473" s="137" t="s">
        <v>354</v>
      </c>
      <c r="H473" s="137" t="s">
        <v>636</v>
      </c>
      <c r="I473" s="137">
        <v>90000</v>
      </c>
      <c r="J473" s="140">
        <v>90000</v>
      </c>
      <c r="K473" s="147"/>
      <c r="L473" s="142"/>
      <c r="M473" s="143"/>
      <c r="N473" s="144">
        <f t="shared" si="76"/>
        <v>90000</v>
      </c>
      <c r="O473" s="145">
        <v>50000</v>
      </c>
      <c r="P473" s="145">
        <v>30000</v>
      </c>
      <c r="Q473" s="149">
        <v>10000</v>
      </c>
      <c r="R473" s="146" t="s">
        <v>756</v>
      </c>
      <c r="S473" s="254">
        <f t="shared" si="77"/>
        <v>0</v>
      </c>
      <c r="T473" s="175" t="s">
        <v>766</v>
      </c>
      <c r="U473" s="137" t="s">
        <v>636</v>
      </c>
      <c r="V473" s="261">
        <f t="shared" si="78"/>
        <v>0</v>
      </c>
      <c r="W473" s="261">
        <f t="shared" si="75"/>
        <v>0</v>
      </c>
      <c r="X473" s="261"/>
      <c r="Y473" s="176" t="s">
        <v>722</v>
      </c>
      <c r="Z473" s="176"/>
      <c r="AA473" s="186">
        <v>90000</v>
      </c>
      <c r="AB473" s="186">
        <v>0</v>
      </c>
      <c r="AC473" s="176">
        <v>0</v>
      </c>
      <c r="AD473" s="176">
        <v>0</v>
      </c>
      <c r="AE473" s="186">
        <v>90000</v>
      </c>
      <c r="AF473" s="35">
        <v>90000</v>
      </c>
      <c r="AG473" s="212">
        <v>0</v>
      </c>
      <c r="AH473" s="212">
        <f t="shared" si="71"/>
        <v>90000</v>
      </c>
      <c r="AI473" s="212" t="s">
        <v>636</v>
      </c>
      <c r="AJ473" s="212">
        <v>90000</v>
      </c>
      <c r="AK473" s="212">
        <v>0</v>
      </c>
      <c r="AL473" s="212">
        <v>0</v>
      </c>
      <c r="AM473" s="212">
        <v>0</v>
      </c>
      <c r="AN473" s="212">
        <v>90000</v>
      </c>
      <c r="AO473" s="176">
        <v>0</v>
      </c>
      <c r="AP473" s="176">
        <v>0</v>
      </c>
      <c r="AQ473" s="176">
        <v>0</v>
      </c>
      <c r="AR473" s="212">
        <f t="shared" si="72"/>
        <v>0</v>
      </c>
      <c r="AS473" s="212">
        <f t="shared" si="73"/>
        <v>10000</v>
      </c>
      <c r="AT473" s="473">
        <f t="shared" si="74"/>
        <v>10000</v>
      </c>
      <c r="AU473" s="478"/>
    </row>
    <row r="474" spans="1:47" s="35" customFormat="1" ht="29" hidden="1" x14ac:dyDescent="0.35">
      <c r="A474" s="35" t="s">
        <v>1201</v>
      </c>
      <c r="B474" s="224" t="s">
        <v>956</v>
      </c>
      <c r="C474" s="222" t="s">
        <v>19</v>
      </c>
      <c r="D474" s="136">
        <v>8471305</v>
      </c>
      <c r="E474" s="137" t="s">
        <v>616</v>
      </c>
      <c r="F474" s="138">
        <v>426610</v>
      </c>
      <c r="G474" s="137" t="s">
        <v>37</v>
      </c>
      <c r="H474" s="137" t="s">
        <v>637</v>
      </c>
      <c r="I474" s="137">
        <v>777363</v>
      </c>
      <c r="J474" s="140">
        <v>977363</v>
      </c>
      <c r="K474" s="141">
        <v>855977.21</v>
      </c>
      <c r="L474" s="148">
        <v>-7.2759576141834308E-12</v>
      </c>
      <c r="M474" s="140">
        <v>10916.08</v>
      </c>
      <c r="N474" s="144">
        <f t="shared" si="76"/>
        <v>110469.71000000004</v>
      </c>
      <c r="O474" s="145">
        <v>80000</v>
      </c>
      <c r="P474" s="145">
        <v>15000</v>
      </c>
      <c r="Q474" s="149">
        <v>15470</v>
      </c>
      <c r="R474" s="146" t="s">
        <v>757</v>
      </c>
      <c r="S474" s="254">
        <f t="shared" si="77"/>
        <v>-0.28999999996449333</v>
      </c>
      <c r="T474" s="175" t="s">
        <v>779</v>
      </c>
      <c r="U474" s="137" t="s">
        <v>637</v>
      </c>
      <c r="V474" s="261">
        <f t="shared" si="78"/>
        <v>-0.28999999996449333</v>
      </c>
      <c r="W474" s="261">
        <f t="shared" si="75"/>
        <v>-0.28999999996449333</v>
      </c>
      <c r="X474" s="261"/>
      <c r="Y474" s="176" t="s">
        <v>722</v>
      </c>
      <c r="Z474" s="176"/>
      <c r="AA474" s="186">
        <v>977363</v>
      </c>
      <c r="AB474" s="186">
        <v>851613.69</v>
      </c>
      <c r="AC474" s="176">
        <v>0</v>
      </c>
      <c r="AD474" s="176">
        <v>10916.08</v>
      </c>
      <c r="AE474" s="186">
        <v>114833.23000000005</v>
      </c>
      <c r="AF474" s="35">
        <v>114833.23</v>
      </c>
      <c r="AG474" s="212">
        <v>0</v>
      </c>
      <c r="AH474" s="212">
        <f t="shared" si="71"/>
        <v>114833.52000000002</v>
      </c>
      <c r="AI474" s="212" t="s">
        <v>637</v>
      </c>
      <c r="AJ474" s="212">
        <v>977363</v>
      </c>
      <c r="AK474" s="212">
        <v>855139.77</v>
      </c>
      <c r="AL474" s="212">
        <v>0</v>
      </c>
      <c r="AM474" s="212">
        <v>7390</v>
      </c>
      <c r="AN474" s="212">
        <v>114833.23</v>
      </c>
      <c r="AO474" s="176">
        <v>0</v>
      </c>
      <c r="AP474" s="176">
        <v>0</v>
      </c>
      <c r="AQ474" s="176">
        <v>0</v>
      </c>
      <c r="AR474" s="212">
        <f t="shared" si="72"/>
        <v>-0.28999999996449333</v>
      </c>
      <c r="AS474" s="212">
        <f t="shared" si="73"/>
        <v>877999.7699999999</v>
      </c>
      <c r="AT474" s="473">
        <f t="shared" si="74"/>
        <v>878000.05999999994</v>
      </c>
      <c r="AU474" s="478"/>
    </row>
    <row r="475" spans="1:47" s="35" customFormat="1" ht="29" hidden="1" x14ac:dyDescent="0.35">
      <c r="A475" s="35" t="s">
        <v>1201</v>
      </c>
      <c r="B475" s="224" t="s">
        <v>956</v>
      </c>
      <c r="C475" s="222" t="s">
        <v>19</v>
      </c>
      <c r="D475" s="136">
        <v>8471305</v>
      </c>
      <c r="E475" s="137" t="s">
        <v>616</v>
      </c>
      <c r="F475" s="138">
        <v>426900</v>
      </c>
      <c r="G475" s="137" t="s">
        <v>400</v>
      </c>
      <c r="H475" s="137" t="s">
        <v>638</v>
      </c>
      <c r="I475" s="137">
        <v>21000</v>
      </c>
      <c r="J475" s="140">
        <v>21000</v>
      </c>
      <c r="K475" s="141">
        <v>235</v>
      </c>
      <c r="L475" s="142"/>
      <c r="M475" s="143"/>
      <c r="N475" s="144">
        <f t="shared" si="76"/>
        <v>20765</v>
      </c>
      <c r="O475" s="145">
        <v>5000</v>
      </c>
      <c r="P475" s="145">
        <v>8000</v>
      </c>
      <c r="Q475" s="149">
        <v>7000</v>
      </c>
      <c r="R475" s="146" t="s">
        <v>758</v>
      </c>
      <c r="S475" s="254">
        <f t="shared" si="77"/>
        <v>765</v>
      </c>
      <c r="T475" s="175" t="s">
        <v>780</v>
      </c>
      <c r="U475" s="137" t="s">
        <v>638</v>
      </c>
      <c r="V475" s="261">
        <f t="shared" si="78"/>
        <v>765</v>
      </c>
      <c r="W475" s="261">
        <f t="shared" si="75"/>
        <v>765</v>
      </c>
      <c r="X475" s="261"/>
      <c r="Y475" s="176" t="s">
        <v>722</v>
      </c>
      <c r="Z475" s="176"/>
      <c r="AA475" s="186">
        <v>21000</v>
      </c>
      <c r="AB475" s="186">
        <v>235</v>
      </c>
      <c r="AC475" s="176">
        <v>0</v>
      </c>
      <c r="AD475" s="176">
        <v>0</v>
      </c>
      <c r="AE475" s="186">
        <v>20765</v>
      </c>
      <c r="AF475" s="35">
        <v>20765</v>
      </c>
      <c r="AG475" s="212">
        <v>0</v>
      </c>
      <c r="AH475" s="212">
        <f t="shared" si="71"/>
        <v>20000</v>
      </c>
      <c r="AI475" s="212" t="s">
        <v>638</v>
      </c>
      <c r="AJ475" s="212">
        <v>21000</v>
      </c>
      <c r="AK475" s="212">
        <v>235</v>
      </c>
      <c r="AL475" s="212">
        <v>0</v>
      </c>
      <c r="AM475" s="212">
        <v>0</v>
      </c>
      <c r="AN475" s="212">
        <v>20765</v>
      </c>
      <c r="AO475" s="176">
        <v>0</v>
      </c>
      <c r="AP475" s="176">
        <v>0</v>
      </c>
      <c r="AQ475" s="176">
        <v>0</v>
      </c>
      <c r="AR475" s="212">
        <f t="shared" si="72"/>
        <v>765</v>
      </c>
      <c r="AS475" s="212">
        <f t="shared" si="73"/>
        <v>7235</v>
      </c>
      <c r="AT475" s="473">
        <f t="shared" si="74"/>
        <v>6470</v>
      </c>
      <c r="AU475" s="478"/>
    </row>
    <row r="476" spans="1:47" s="35" customFormat="1" ht="29" hidden="1" x14ac:dyDescent="0.35">
      <c r="A476" s="35" t="s">
        <v>1201</v>
      </c>
      <c r="B476" s="224" t="s">
        <v>956</v>
      </c>
      <c r="C476" s="222" t="s">
        <v>19</v>
      </c>
      <c r="D476" s="136">
        <v>8471305</v>
      </c>
      <c r="E476" s="137" t="s">
        <v>616</v>
      </c>
      <c r="F476" s="138">
        <v>427200</v>
      </c>
      <c r="G476" s="137" t="s">
        <v>63</v>
      </c>
      <c r="H476" s="137" t="s">
        <v>639</v>
      </c>
      <c r="I476" s="137">
        <v>903674</v>
      </c>
      <c r="J476" s="140">
        <v>81210</v>
      </c>
      <c r="K476" s="147"/>
      <c r="L476" s="142"/>
      <c r="M476" s="143"/>
      <c r="N476" s="144">
        <f t="shared" si="76"/>
        <v>81210</v>
      </c>
      <c r="O476" s="145">
        <v>40000</v>
      </c>
      <c r="P476" s="145">
        <v>20000</v>
      </c>
      <c r="Q476" s="149">
        <v>20000</v>
      </c>
      <c r="R476" s="146" t="s">
        <v>759</v>
      </c>
      <c r="S476" s="254">
        <f t="shared" si="77"/>
        <v>1210</v>
      </c>
      <c r="T476" s="175" t="s">
        <v>780</v>
      </c>
      <c r="U476" s="137" t="s">
        <v>639</v>
      </c>
      <c r="V476" s="261">
        <f t="shared" si="78"/>
        <v>1210</v>
      </c>
      <c r="W476" s="261">
        <f t="shared" si="75"/>
        <v>1210</v>
      </c>
      <c r="X476" s="261"/>
      <c r="Y476" s="176" t="s">
        <v>722</v>
      </c>
      <c r="Z476" s="176"/>
      <c r="AA476" s="186">
        <v>81210</v>
      </c>
      <c r="AB476" s="186">
        <v>0</v>
      </c>
      <c r="AC476" s="176">
        <v>0</v>
      </c>
      <c r="AD476" s="176">
        <v>0</v>
      </c>
      <c r="AE476" s="186">
        <v>81210</v>
      </c>
      <c r="AF476" s="35">
        <v>81210</v>
      </c>
      <c r="AG476" s="212">
        <v>0</v>
      </c>
      <c r="AH476" s="212">
        <f t="shared" si="71"/>
        <v>80000</v>
      </c>
      <c r="AI476" s="212" t="s">
        <v>639</v>
      </c>
      <c r="AJ476" s="212">
        <v>81210</v>
      </c>
      <c r="AK476" s="212">
        <v>0</v>
      </c>
      <c r="AL476" s="212">
        <v>0</v>
      </c>
      <c r="AM476" s="212">
        <v>0</v>
      </c>
      <c r="AN476" s="212">
        <v>81210</v>
      </c>
      <c r="AO476" s="176">
        <v>0</v>
      </c>
      <c r="AP476" s="176">
        <v>0</v>
      </c>
      <c r="AQ476" s="176">
        <v>0</v>
      </c>
      <c r="AR476" s="212">
        <f t="shared" si="72"/>
        <v>1210</v>
      </c>
      <c r="AS476" s="212">
        <f t="shared" si="73"/>
        <v>20000</v>
      </c>
      <c r="AT476" s="473">
        <f t="shared" si="74"/>
        <v>18790</v>
      </c>
      <c r="AU476" s="478"/>
    </row>
    <row r="477" spans="1:47" s="35" customFormat="1" ht="29" hidden="1" x14ac:dyDescent="0.35">
      <c r="A477" s="35" t="s">
        <v>1201</v>
      </c>
      <c r="B477" s="224" t="s">
        <v>956</v>
      </c>
      <c r="C477" s="222" t="s">
        <v>19</v>
      </c>
      <c r="D477" s="136">
        <v>8471305</v>
      </c>
      <c r="E477" s="137" t="s">
        <v>616</v>
      </c>
      <c r="F477" s="138">
        <v>427710</v>
      </c>
      <c r="G477" s="137" t="s">
        <v>51</v>
      </c>
      <c r="H477" s="137" t="s">
        <v>640</v>
      </c>
      <c r="I477" s="137">
        <v>153178</v>
      </c>
      <c r="J477" s="140">
        <v>153178</v>
      </c>
      <c r="K477" s="141">
        <v>24512.25</v>
      </c>
      <c r="L477" s="148">
        <v>0</v>
      </c>
      <c r="M477" s="140">
        <v>25711</v>
      </c>
      <c r="N477" s="144">
        <f t="shared" si="76"/>
        <v>102954.75</v>
      </c>
      <c r="O477" s="145">
        <v>30000</v>
      </c>
      <c r="P477" s="145">
        <v>50000</v>
      </c>
      <c r="Q477" s="149">
        <v>15000</v>
      </c>
      <c r="R477" s="146" t="s">
        <v>760</v>
      </c>
      <c r="S477" s="254">
        <f t="shared" si="77"/>
        <v>7954.75</v>
      </c>
      <c r="T477" s="175" t="s">
        <v>780</v>
      </c>
      <c r="U477" s="137" t="s">
        <v>640</v>
      </c>
      <c r="V477" s="261">
        <f t="shared" si="78"/>
        <v>7954.75</v>
      </c>
      <c r="W477" s="261">
        <f t="shared" si="75"/>
        <v>7954.75</v>
      </c>
      <c r="X477" s="261"/>
      <c r="Y477" s="176" t="s">
        <v>722</v>
      </c>
      <c r="Z477" s="176"/>
      <c r="AA477" s="186">
        <v>153178</v>
      </c>
      <c r="AB477" s="186">
        <v>50517.43</v>
      </c>
      <c r="AC477" s="176">
        <v>0</v>
      </c>
      <c r="AD477" s="176">
        <v>0</v>
      </c>
      <c r="AE477" s="186">
        <v>102660.57</v>
      </c>
      <c r="AF477" s="35">
        <v>102660.57</v>
      </c>
      <c r="AG477" s="212">
        <v>0</v>
      </c>
      <c r="AH477" s="212">
        <f t="shared" si="71"/>
        <v>94705.82</v>
      </c>
      <c r="AI477" s="212" t="s">
        <v>640</v>
      </c>
      <c r="AJ477" s="212">
        <v>153178</v>
      </c>
      <c r="AK477" s="212">
        <v>50517.43</v>
      </c>
      <c r="AL477" s="212">
        <v>0</v>
      </c>
      <c r="AM477" s="212">
        <v>0</v>
      </c>
      <c r="AN477" s="212">
        <v>102660.57</v>
      </c>
      <c r="AO477" s="176">
        <v>0</v>
      </c>
      <c r="AP477" s="176">
        <v>0</v>
      </c>
      <c r="AQ477" s="176">
        <v>0</v>
      </c>
      <c r="AR477" s="212">
        <f t="shared" si="72"/>
        <v>7954.75</v>
      </c>
      <c r="AS477" s="212">
        <f t="shared" si="73"/>
        <v>65517.43</v>
      </c>
      <c r="AT477" s="473">
        <f t="shared" si="74"/>
        <v>57562.68</v>
      </c>
      <c r="AU477" s="478"/>
    </row>
    <row r="478" spans="1:47" s="35" customFormat="1" ht="29" hidden="1" x14ac:dyDescent="0.35">
      <c r="A478" s="35" t="s">
        <v>1201</v>
      </c>
      <c r="B478" s="224" t="s">
        <v>956</v>
      </c>
      <c r="C478" s="222" t="s">
        <v>19</v>
      </c>
      <c r="D478" s="136">
        <v>8471305</v>
      </c>
      <c r="E478" s="137" t="s">
        <v>616</v>
      </c>
      <c r="F478" s="138">
        <v>427810</v>
      </c>
      <c r="G478" s="137" t="s">
        <v>473</v>
      </c>
      <c r="H478" s="137" t="s">
        <v>641</v>
      </c>
      <c r="I478" s="137">
        <v>10000</v>
      </c>
      <c r="J478" s="140">
        <v>10000</v>
      </c>
      <c r="K478" s="147"/>
      <c r="L478" s="142"/>
      <c r="M478" s="143"/>
      <c r="N478" s="144">
        <f t="shared" si="76"/>
        <v>10000</v>
      </c>
      <c r="O478" s="145">
        <v>3000</v>
      </c>
      <c r="P478" s="145">
        <v>3000</v>
      </c>
      <c r="Q478" s="149">
        <v>3000</v>
      </c>
      <c r="R478" s="146" t="s">
        <v>761</v>
      </c>
      <c r="S478" s="254">
        <f t="shared" si="77"/>
        <v>1000</v>
      </c>
      <c r="T478" s="175" t="s">
        <v>780</v>
      </c>
      <c r="U478" s="137" t="s">
        <v>641</v>
      </c>
      <c r="V478" s="261">
        <f t="shared" si="78"/>
        <v>1000</v>
      </c>
      <c r="W478" s="261">
        <f t="shared" si="75"/>
        <v>1000</v>
      </c>
      <c r="X478" s="261"/>
      <c r="Y478" s="176" t="s">
        <v>722</v>
      </c>
      <c r="Z478" s="176"/>
      <c r="AA478" s="186">
        <v>10000</v>
      </c>
      <c r="AB478" s="186">
        <v>0</v>
      </c>
      <c r="AC478" s="176">
        <v>0</v>
      </c>
      <c r="AD478" s="176">
        <v>0</v>
      </c>
      <c r="AE478" s="186">
        <v>10000</v>
      </c>
      <c r="AF478" s="35">
        <v>10000</v>
      </c>
      <c r="AG478" s="212">
        <v>0</v>
      </c>
      <c r="AH478" s="212">
        <f t="shared" si="71"/>
        <v>9000</v>
      </c>
      <c r="AI478" s="212" t="s">
        <v>641</v>
      </c>
      <c r="AJ478" s="212">
        <v>10000</v>
      </c>
      <c r="AK478" s="212">
        <v>0</v>
      </c>
      <c r="AL478" s="212">
        <v>0</v>
      </c>
      <c r="AM478" s="212">
        <v>0</v>
      </c>
      <c r="AN478" s="212">
        <v>10000</v>
      </c>
      <c r="AO478" s="176">
        <v>0</v>
      </c>
      <c r="AP478" s="176">
        <v>0</v>
      </c>
      <c r="AQ478" s="176">
        <v>0</v>
      </c>
      <c r="AR478" s="212">
        <f t="shared" si="72"/>
        <v>1000</v>
      </c>
      <c r="AS478" s="212">
        <f t="shared" si="73"/>
        <v>3000</v>
      </c>
      <c r="AT478" s="473">
        <f t="shared" si="74"/>
        <v>2000</v>
      </c>
      <c r="AU478" s="478"/>
    </row>
    <row r="479" spans="1:47" s="35" customFormat="1" ht="29" hidden="1" x14ac:dyDescent="0.35">
      <c r="A479" s="35" t="s">
        <v>1201</v>
      </c>
      <c r="B479" s="224" t="s">
        <v>956</v>
      </c>
      <c r="C479" s="222" t="s">
        <v>19</v>
      </c>
      <c r="D479" s="136">
        <v>8471305</v>
      </c>
      <c r="E479" s="137" t="s">
        <v>616</v>
      </c>
      <c r="F479" s="138">
        <v>428090</v>
      </c>
      <c r="G479" s="137" t="s">
        <v>39</v>
      </c>
      <c r="H479" s="137" t="s">
        <v>642</v>
      </c>
      <c r="I479" s="137">
        <v>419000</v>
      </c>
      <c r="J479" s="140">
        <v>69339</v>
      </c>
      <c r="K479" s="141">
        <v>523.75</v>
      </c>
      <c r="L479" s="142"/>
      <c r="M479" s="143"/>
      <c r="N479" s="144">
        <f t="shared" si="76"/>
        <v>68815.25</v>
      </c>
      <c r="O479" s="145">
        <v>20000</v>
      </c>
      <c r="P479" s="145">
        <v>20000</v>
      </c>
      <c r="Q479" s="149">
        <v>20000</v>
      </c>
      <c r="R479" s="146" t="s">
        <v>746</v>
      </c>
      <c r="S479" s="254">
        <f t="shared" si="77"/>
        <v>8815.25</v>
      </c>
      <c r="T479" s="175" t="s">
        <v>780</v>
      </c>
      <c r="U479" s="137" t="s">
        <v>642</v>
      </c>
      <c r="V479" s="261">
        <f t="shared" si="78"/>
        <v>8815.25</v>
      </c>
      <c r="W479" s="261">
        <f t="shared" si="75"/>
        <v>8815.25</v>
      </c>
      <c r="X479" s="261"/>
      <c r="Y479" s="176" t="s">
        <v>722</v>
      </c>
      <c r="Z479" s="176"/>
      <c r="AA479" s="186">
        <v>69339</v>
      </c>
      <c r="AB479" s="186">
        <v>523.75</v>
      </c>
      <c r="AC479" s="176">
        <v>0</v>
      </c>
      <c r="AD479" s="176">
        <v>0</v>
      </c>
      <c r="AE479" s="186">
        <v>68815.25</v>
      </c>
      <c r="AF479" s="35">
        <v>68815.25</v>
      </c>
      <c r="AG479" s="212">
        <v>0</v>
      </c>
      <c r="AH479" s="212">
        <f t="shared" si="71"/>
        <v>60000</v>
      </c>
      <c r="AI479" s="212" t="s">
        <v>642</v>
      </c>
      <c r="AJ479" s="212">
        <v>69339</v>
      </c>
      <c r="AK479" s="212">
        <v>43037.5</v>
      </c>
      <c r="AL479" s="212">
        <v>0</v>
      </c>
      <c r="AM479" s="212">
        <v>0</v>
      </c>
      <c r="AN479" s="212">
        <v>26301.5</v>
      </c>
      <c r="AO479" s="176">
        <v>0</v>
      </c>
      <c r="AP479" s="176">
        <v>0</v>
      </c>
      <c r="AQ479" s="176">
        <v>0</v>
      </c>
      <c r="AR479" s="212">
        <f t="shared" si="72"/>
        <v>8815.25</v>
      </c>
      <c r="AS479" s="212">
        <f t="shared" si="73"/>
        <v>20523.75</v>
      </c>
      <c r="AT479" s="473">
        <f t="shared" si="74"/>
        <v>54222.25</v>
      </c>
      <c r="AU479" s="478"/>
    </row>
    <row r="480" spans="1:47" s="35" customFormat="1" hidden="1" x14ac:dyDescent="0.35">
      <c r="A480" s="35" t="s">
        <v>1201</v>
      </c>
      <c r="B480" s="224" t="s">
        <v>956</v>
      </c>
      <c r="C480" s="222" t="s">
        <v>19</v>
      </c>
      <c r="D480" s="136">
        <v>8471305</v>
      </c>
      <c r="E480" s="137" t="s">
        <v>616</v>
      </c>
      <c r="F480" s="138">
        <v>428640</v>
      </c>
      <c r="G480" s="137" t="s">
        <v>43</v>
      </c>
      <c r="H480" s="137" t="s">
        <v>643</v>
      </c>
      <c r="I480" s="137">
        <v>5000</v>
      </c>
      <c r="J480" s="140">
        <v>2887</v>
      </c>
      <c r="K480" s="141">
        <v>2819.61</v>
      </c>
      <c r="L480" s="142"/>
      <c r="M480" s="143"/>
      <c r="N480" s="144">
        <f t="shared" si="76"/>
        <v>67.389999999999873</v>
      </c>
      <c r="O480" s="145"/>
      <c r="P480" s="145"/>
      <c r="Q480" s="149">
        <v>67.389999999999901</v>
      </c>
      <c r="R480" s="146"/>
      <c r="S480" s="254">
        <f t="shared" si="77"/>
        <v>0</v>
      </c>
      <c r="T480" s="175" t="s">
        <v>781</v>
      </c>
      <c r="U480" s="137" t="s">
        <v>643</v>
      </c>
      <c r="V480" s="261">
        <f t="shared" si="78"/>
        <v>0</v>
      </c>
      <c r="W480" s="261">
        <f t="shared" si="75"/>
        <v>0</v>
      </c>
      <c r="X480" s="261"/>
      <c r="Y480" s="176" t="s">
        <v>722</v>
      </c>
      <c r="Z480" s="176"/>
      <c r="AA480" s="186">
        <v>2887</v>
      </c>
      <c r="AB480" s="186">
        <v>2819.61</v>
      </c>
      <c r="AC480" s="176">
        <v>0</v>
      </c>
      <c r="AD480" s="176">
        <v>0</v>
      </c>
      <c r="AE480" s="186">
        <v>67.389999999999873</v>
      </c>
      <c r="AF480" s="35">
        <v>67.389999999999901</v>
      </c>
      <c r="AG480" s="212">
        <v>0</v>
      </c>
      <c r="AH480" s="212">
        <f t="shared" si="71"/>
        <v>67.389999999999873</v>
      </c>
      <c r="AI480" s="212" t="s">
        <v>643</v>
      </c>
      <c r="AJ480" s="212">
        <v>2887</v>
      </c>
      <c r="AK480" s="212">
        <v>2819.61</v>
      </c>
      <c r="AL480" s="212">
        <v>0</v>
      </c>
      <c r="AM480" s="212">
        <v>0</v>
      </c>
      <c r="AN480" s="212">
        <v>67.389999999999901</v>
      </c>
      <c r="AO480" s="176">
        <v>0</v>
      </c>
      <c r="AP480" s="176">
        <v>0</v>
      </c>
      <c r="AQ480" s="176">
        <v>0</v>
      </c>
      <c r="AR480" s="212">
        <f t="shared" si="72"/>
        <v>0</v>
      </c>
      <c r="AS480" s="212">
        <f t="shared" si="73"/>
        <v>2887</v>
      </c>
      <c r="AT480" s="473">
        <f t="shared" si="74"/>
        <v>2887</v>
      </c>
      <c r="AU480" s="478"/>
    </row>
    <row r="481" spans="1:47" s="35" customFormat="1" ht="29" hidden="1" x14ac:dyDescent="0.35">
      <c r="A481" s="35" t="s">
        <v>1201</v>
      </c>
      <c r="B481" s="224" t="s">
        <v>956</v>
      </c>
      <c r="C481" s="222" t="s">
        <v>19</v>
      </c>
      <c r="D481" s="136">
        <v>8471305</v>
      </c>
      <c r="E481" s="137" t="s">
        <v>616</v>
      </c>
      <c r="F481" s="138">
        <v>432205</v>
      </c>
      <c r="G481" s="137" t="s">
        <v>95</v>
      </c>
      <c r="H481" s="137" t="s">
        <v>644</v>
      </c>
      <c r="I481" s="137">
        <v>26000</v>
      </c>
      <c r="J481" s="140">
        <v>565385</v>
      </c>
      <c r="K481" s="141">
        <v>522981</v>
      </c>
      <c r="L481" s="148">
        <v>0</v>
      </c>
      <c r="M481" s="140">
        <v>0</v>
      </c>
      <c r="N481" s="144">
        <f t="shared" si="76"/>
        <v>42404</v>
      </c>
      <c r="O481" s="145">
        <v>0</v>
      </c>
      <c r="P481" s="145">
        <v>20000</v>
      </c>
      <c r="Q481" s="149">
        <v>0</v>
      </c>
      <c r="R481" s="146" t="s">
        <v>762</v>
      </c>
      <c r="S481" s="254">
        <f t="shared" si="77"/>
        <v>22404</v>
      </c>
      <c r="T481" s="175" t="s">
        <v>780</v>
      </c>
      <c r="U481" s="137" t="s">
        <v>644</v>
      </c>
      <c r="V481" s="261">
        <f t="shared" si="78"/>
        <v>22404</v>
      </c>
      <c r="W481" s="261">
        <f t="shared" si="75"/>
        <v>22404</v>
      </c>
      <c r="X481" s="261"/>
      <c r="Y481" s="176" t="s">
        <v>722</v>
      </c>
      <c r="Z481" s="176"/>
      <c r="AA481" s="186">
        <v>565385</v>
      </c>
      <c r="AB481" s="186">
        <v>522981</v>
      </c>
      <c r="AC481" s="176">
        <v>0</v>
      </c>
      <c r="AD481" s="176">
        <v>0</v>
      </c>
      <c r="AE481" s="186">
        <v>42404</v>
      </c>
      <c r="AF481" s="35">
        <v>42404</v>
      </c>
      <c r="AG481" s="212">
        <v>0</v>
      </c>
      <c r="AH481" s="212">
        <f t="shared" si="71"/>
        <v>20000</v>
      </c>
      <c r="AI481" s="212" t="s">
        <v>644</v>
      </c>
      <c r="AJ481" s="212">
        <v>565385</v>
      </c>
      <c r="AK481" s="212">
        <v>522981</v>
      </c>
      <c r="AL481" s="212">
        <v>0</v>
      </c>
      <c r="AM481" s="212">
        <v>0</v>
      </c>
      <c r="AN481" s="212">
        <v>42404</v>
      </c>
      <c r="AO481" s="176">
        <v>0</v>
      </c>
      <c r="AP481" s="176">
        <v>0</v>
      </c>
      <c r="AQ481" s="176">
        <v>0</v>
      </c>
      <c r="AR481" s="212">
        <f t="shared" si="72"/>
        <v>22404</v>
      </c>
      <c r="AS481" s="212">
        <f t="shared" si="73"/>
        <v>522981</v>
      </c>
      <c r="AT481" s="473">
        <f t="shared" si="74"/>
        <v>500577</v>
      </c>
      <c r="AU481" s="478"/>
    </row>
    <row r="482" spans="1:47" s="35" customFormat="1" ht="29" hidden="1" x14ac:dyDescent="0.35">
      <c r="A482" s="35" t="s">
        <v>1201</v>
      </c>
      <c r="B482" s="224" t="s">
        <v>956</v>
      </c>
      <c r="C482" s="222" t="s">
        <v>19</v>
      </c>
      <c r="D482" s="136">
        <v>8471305</v>
      </c>
      <c r="E482" s="137" t="s">
        <v>616</v>
      </c>
      <c r="F482" s="138">
        <v>432209</v>
      </c>
      <c r="G482" s="137" t="s">
        <v>132</v>
      </c>
      <c r="H482" s="137" t="s">
        <v>645</v>
      </c>
      <c r="I482" s="137">
        <v>516900</v>
      </c>
      <c r="J482" s="140">
        <v>586900</v>
      </c>
      <c r="K482" s="141">
        <v>332442.61</v>
      </c>
      <c r="L482" s="148">
        <v>0</v>
      </c>
      <c r="M482" s="140">
        <v>242373.5</v>
      </c>
      <c r="N482" s="144">
        <f t="shared" si="76"/>
        <v>12083.890000000014</v>
      </c>
      <c r="O482" s="145"/>
      <c r="P482" s="145">
        <v>12083.89</v>
      </c>
      <c r="Q482" s="149"/>
      <c r="R482" s="146" t="s">
        <v>763</v>
      </c>
      <c r="S482" s="254">
        <f t="shared" si="77"/>
        <v>1.4551915228366852E-11</v>
      </c>
      <c r="T482" s="175" t="s">
        <v>782</v>
      </c>
      <c r="U482" s="137" t="s">
        <v>645</v>
      </c>
      <c r="V482" s="261">
        <f t="shared" si="78"/>
        <v>1.4551915228366852E-11</v>
      </c>
      <c r="W482" s="261">
        <f t="shared" si="75"/>
        <v>1.4551915228366852E-11</v>
      </c>
      <c r="X482" s="261"/>
      <c r="Y482" s="176" t="s">
        <v>722</v>
      </c>
      <c r="Z482" s="176"/>
      <c r="AA482" s="186">
        <v>586900</v>
      </c>
      <c r="AB482" s="186">
        <v>347838.11</v>
      </c>
      <c r="AC482" s="176">
        <v>0</v>
      </c>
      <c r="AD482" s="176">
        <v>226978</v>
      </c>
      <c r="AE482" s="186">
        <v>12083.890000000014</v>
      </c>
      <c r="AF482" s="35">
        <v>12083.89</v>
      </c>
      <c r="AG482" s="212">
        <v>1.4551915228366852E-11</v>
      </c>
      <c r="AH482" s="212">
        <f t="shared" si="71"/>
        <v>12083.89</v>
      </c>
      <c r="AI482" s="212" t="s">
        <v>645</v>
      </c>
      <c r="AJ482" s="212">
        <v>586900</v>
      </c>
      <c r="AK482" s="212">
        <v>570068.61</v>
      </c>
      <c r="AL482" s="212">
        <v>0</v>
      </c>
      <c r="AM482" s="212">
        <v>4161</v>
      </c>
      <c r="AN482" s="212">
        <v>12670.39</v>
      </c>
      <c r="AO482" s="176">
        <v>0</v>
      </c>
      <c r="AP482" s="176">
        <v>0</v>
      </c>
      <c r="AQ482" s="176">
        <v>0</v>
      </c>
      <c r="AR482" s="212">
        <f t="shared" si="72"/>
        <v>1.4551915228366852E-11</v>
      </c>
      <c r="AS482" s="212">
        <f t="shared" si="73"/>
        <v>574816.11</v>
      </c>
      <c r="AT482" s="473">
        <f t="shared" si="74"/>
        <v>574229.61</v>
      </c>
      <c r="AU482" s="478"/>
    </row>
    <row r="483" spans="1:47" s="35" customFormat="1" ht="43.5" hidden="1" x14ac:dyDescent="0.35">
      <c r="A483" s="35" t="s">
        <v>1201</v>
      </c>
      <c r="B483" s="224" t="s">
        <v>956</v>
      </c>
      <c r="C483" s="222" t="s">
        <v>19</v>
      </c>
      <c r="D483" s="136">
        <v>8471305</v>
      </c>
      <c r="E483" s="137" t="s">
        <v>616</v>
      </c>
      <c r="F483" s="138">
        <v>432210</v>
      </c>
      <c r="G483" s="137" t="s">
        <v>646</v>
      </c>
      <c r="H483" s="137" t="s">
        <v>647</v>
      </c>
      <c r="I483" s="137">
        <v>35000</v>
      </c>
      <c r="J483" s="140">
        <v>35000</v>
      </c>
      <c r="K483" s="147"/>
      <c r="L483" s="142"/>
      <c r="M483" s="143"/>
      <c r="N483" s="144">
        <f t="shared" si="76"/>
        <v>35000</v>
      </c>
      <c r="O483" s="145"/>
      <c r="P483" s="145"/>
      <c r="Q483" s="149">
        <v>10000</v>
      </c>
      <c r="R483" s="146" t="s">
        <v>764</v>
      </c>
      <c r="S483" s="254">
        <f t="shared" si="77"/>
        <v>25000</v>
      </c>
      <c r="T483" s="175" t="s">
        <v>783</v>
      </c>
      <c r="U483" s="137" t="s">
        <v>647</v>
      </c>
      <c r="V483" s="261">
        <f t="shared" si="78"/>
        <v>25000</v>
      </c>
      <c r="W483" s="261">
        <f t="shared" si="75"/>
        <v>25000</v>
      </c>
      <c r="X483" s="261"/>
      <c r="Y483" s="176" t="s">
        <v>722</v>
      </c>
      <c r="Z483" s="176"/>
      <c r="AA483" s="186">
        <v>35000</v>
      </c>
      <c r="AB483" s="186">
        <v>0</v>
      </c>
      <c r="AC483" s="176">
        <v>0</v>
      </c>
      <c r="AD483" s="176">
        <v>0</v>
      </c>
      <c r="AE483" s="186">
        <v>35000</v>
      </c>
      <c r="AF483" s="35">
        <v>35000</v>
      </c>
      <c r="AG483" s="212">
        <v>0</v>
      </c>
      <c r="AH483" s="212">
        <f t="shared" si="71"/>
        <v>10000</v>
      </c>
      <c r="AI483" s="212" t="s">
        <v>647</v>
      </c>
      <c r="AJ483" s="212">
        <v>35000</v>
      </c>
      <c r="AK483" s="212">
        <v>0</v>
      </c>
      <c r="AL483" s="212">
        <v>0</v>
      </c>
      <c r="AM483" s="212">
        <v>0</v>
      </c>
      <c r="AN483" s="212">
        <v>35000</v>
      </c>
      <c r="AO483" s="176">
        <v>0</v>
      </c>
      <c r="AP483" s="176">
        <v>0</v>
      </c>
      <c r="AQ483" s="176">
        <v>0</v>
      </c>
      <c r="AR483" s="212">
        <f t="shared" si="72"/>
        <v>25000</v>
      </c>
      <c r="AS483" s="212">
        <f t="shared" si="73"/>
        <v>10000</v>
      </c>
      <c r="AT483" s="473">
        <f t="shared" si="74"/>
        <v>-15000</v>
      </c>
      <c r="AU483" s="478"/>
    </row>
    <row r="484" spans="1:47" s="35" customFormat="1" ht="43.5" hidden="1" x14ac:dyDescent="0.35">
      <c r="A484" s="35" t="s">
        <v>1201</v>
      </c>
      <c r="B484" s="224" t="s">
        <v>956</v>
      </c>
      <c r="C484" s="222" t="s">
        <v>19</v>
      </c>
      <c r="D484" s="136">
        <v>8471305</v>
      </c>
      <c r="E484" s="137" t="s">
        <v>616</v>
      </c>
      <c r="F484" s="138">
        <v>435330</v>
      </c>
      <c r="G484" s="137" t="s">
        <v>573</v>
      </c>
      <c r="H484" s="137" t="s">
        <v>648</v>
      </c>
      <c r="I484" s="137">
        <v>72000</v>
      </c>
      <c r="J484" s="140">
        <v>1312390</v>
      </c>
      <c r="K484" s="147"/>
      <c r="L484" s="148">
        <v>1054944.71</v>
      </c>
      <c r="M484" s="143"/>
      <c r="N484" s="144">
        <f t="shared" si="76"/>
        <v>257445.29000000004</v>
      </c>
      <c r="O484" s="145">
        <v>257445</v>
      </c>
      <c r="P484" s="145"/>
      <c r="Q484" s="149"/>
      <c r="R484" s="146" t="s">
        <v>765</v>
      </c>
      <c r="S484" s="254">
        <f t="shared" si="77"/>
        <v>0.2900000000372529</v>
      </c>
      <c r="T484" s="175" t="s">
        <v>784</v>
      </c>
      <c r="U484" s="137" t="s">
        <v>648</v>
      </c>
      <c r="V484" s="261">
        <f t="shared" si="78"/>
        <v>0.2900000000372529</v>
      </c>
      <c r="W484" s="261">
        <f t="shared" si="75"/>
        <v>0.2900000000372529</v>
      </c>
      <c r="X484" s="261"/>
      <c r="Y484" s="176" t="s">
        <v>722</v>
      </c>
      <c r="Z484" s="176"/>
      <c r="AA484" s="186">
        <v>1312390</v>
      </c>
      <c r="AB484" s="186">
        <v>105637.37</v>
      </c>
      <c r="AC484" s="176">
        <v>148095.35999999999</v>
      </c>
      <c r="AD484" s="176">
        <v>783022.16</v>
      </c>
      <c r="AE484" s="186">
        <v>275635.11</v>
      </c>
      <c r="AF484" s="35">
        <v>275635.11</v>
      </c>
      <c r="AG484" s="212">
        <v>0</v>
      </c>
      <c r="AH484" s="212">
        <f t="shared" si="71"/>
        <v>275634.81999999995</v>
      </c>
      <c r="AI484" s="212" t="s">
        <v>648</v>
      </c>
      <c r="AJ484" s="212">
        <v>1312390</v>
      </c>
      <c r="AK484" s="212">
        <v>257634.35</v>
      </c>
      <c r="AL484" s="212">
        <v>148095.35999999999</v>
      </c>
      <c r="AM484" s="212">
        <v>631025.18000000005</v>
      </c>
      <c r="AN484" s="212">
        <v>275635.11</v>
      </c>
      <c r="AO484" s="176">
        <v>0</v>
      </c>
      <c r="AP484" s="176">
        <v>0</v>
      </c>
      <c r="AQ484" s="176">
        <v>0</v>
      </c>
      <c r="AR484" s="212">
        <f t="shared" si="72"/>
        <v>0.2900000000372529</v>
      </c>
      <c r="AS484" s="212">
        <f t="shared" si="73"/>
        <v>1036754.89</v>
      </c>
      <c r="AT484" s="473">
        <f t="shared" si="74"/>
        <v>1036754.6</v>
      </c>
      <c r="AU484" s="478"/>
    </row>
    <row r="485" spans="1:47" s="35" customFormat="1" ht="29" hidden="1" x14ac:dyDescent="0.35">
      <c r="A485" s="35" t="s">
        <v>1201</v>
      </c>
      <c r="B485" s="224" t="s">
        <v>956</v>
      </c>
      <c r="C485" s="222" t="s">
        <v>19</v>
      </c>
      <c r="D485" s="136">
        <v>8471305</v>
      </c>
      <c r="E485" s="137" t="s">
        <v>616</v>
      </c>
      <c r="F485" s="138">
        <v>435340</v>
      </c>
      <c r="G485" s="137" t="s">
        <v>202</v>
      </c>
      <c r="H485" s="137" t="s">
        <v>649</v>
      </c>
      <c r="I485" s="137">
        <v>591905</v>
      </c>
      <c r="J485" s="140">
        <v>6515</v>
      </c>
      <c r="K485" s="141">
        <v>305.68</v>
      </c>
      <c r="L485" s="142"/>
      <c r="M485" s="143"/>
      <c r="N485" s="144">
        <f t="shared" si="76"/>
        <v>6209.32</v>
      </c>
      <c r="O485" s="145"/>
      <c r="P485" s="145"/>
      <c r="Q485" s="149">
        <v>6209.32</v>
      </c>
      <c r="R485" s="146" t="s">
        <v>766</v>
      </c>
      <c r="S485" s="254">
        <f t="shared" si="77"/>
        <v>0</v>
      </c>
      <c r="T485" s="175" t="s">
        <v>766</v>
      </c>
      <c r="U485" s="137" t="s">
        <v>649</v>
      </c>
      <c r="V485" s="261">
        <f t="shared" si="78"/>
        <v>0</v>
      </c>
      <c r="W485" s="261">
        <f t="shared" si="75"/>
        <v>0</v>
      </c>
      <c r="X485" s="261"/>
      <c r="Y485" s="176" t="s">
        <v>722</v>
      </c>
      <c r="Z485" s="176"/>
      <c r="AA485" s="186">
        <v>6515</v>
      </c>
      <c r="AB485" s="186">
        <v>305.68</v>
      </c>
      <c r="AC485" s="176">
        <v>0</v>
      </c>
      <c r="AD485" s="176">
        <v>0</v>
      </c>
      <c r="AE485" s="186">
        <v>6209.32</v>
      </c>
      <c r="AF485" s="35">
        <v>6209.32</v>
      </c>
      <c r="AG485" s="212">
        <v>0</v>
      </c>
      <c r="AH485" s="212">
        <f t="shared" si="71"/>
        <v>6209.32</v>
      </c>
      <c r="AI485" s="212" t="s">
        <v>649</v>
      </c>
      <c r="AJ485" s="212">
        <v>6515</v>
      </c>
      <c r="AK485" s="212">
        <v>305.68</v>
      </c>
      <c r="AL485" s="212">
        <v>0</v>
      </c>
      <c r="AM485" s="212">
        <v>0</v>
      </c>
      <c r="AN485" s="212">
        <v>6209.32</v>
      </c>
      <c r="AO485" s="176">
        <v>0</v>
      </c>
      <c r="AP485" s="176">
        <v>0</v>
      </c>
      <c r="AQ485" s="176">
        <v>0</v>
      </c>
      <c r="AR485" s="212">
        <f t="shared" si="72"/>
        <v>0</v>
      </c>
      <c r="AS485" s="212">
        <f t="shared" si="73"/>
        <v>6515</v>
      </c>
      <c r="AT485" s="473">
        <f t="shared" si="74"/>
        <v>6515</v>
      </c>
      <c r="AU485" s="478"/>
    </row>
    <row r="486" spans="1:47" s="35" customFormat="1" ht="43.5" hidden="1" x14ac:dyDescent="0.35">
      <c r="A486" s="35" t="s">
        <v>1201</v>
      </c>
      <c r="B486" s="224" t="s">
        <v>956</v>
      </c>
      <c r="C486" s="222" t="s">
        <v>19</v>
      </c>
      <c r="D486" s="136">
        <v>8471305</v>
      </c>
      <c r="E486" s="137" t="s">
        <v>616</v>
      </c>
      <c r="F486" s="138">
        <v>435350</v>
      </c>
      <c r="G486" s="137" t="s">
        <v>79</v>
      </c>
      <c r="H486" s="137" t="s">
        <v>650</v>
      </c>
      <c r="I486" s="137">
        <v>120000</v>
      </c>
      <c r="J486" s="140">
        <v>345499</v>
      </c>
      <c r="K486" s="141">
        <v>273623.65999999997</v>
      </c>
      <c r="L486" s="142"/>
      <c r="M486" s="143"/>
      <c r="N486" s="144">
        <f t="shared" si="76"/>
        <v>71875.340000000026</v>
      </c>
      <c r="O486" s="145">
        <v>20000</v>
      </c>
      <c r="P486" s="145">
        <v>30000</v>
      </c>
      <c r="Q486" s="149">
        <v>20000</v>
      </c>
      <c r="R486" s="146" t="s">
        <v>759</v>
      </c>
      <c r="S486" s="254">
        <f t="shared" si="77"/>
        <v>1875.3400000000256</v>
      </c>
      <c r="T486" s="550" t="s">
        <v>769</v>
      </c>
      <c r="U486" s="137" t="s">
        <v>650</v>
      </c>
      <c r="V486" s="261">
        <f t="shared" si="78"/>
        <v>1875.3400000000256</v>
      </c>
      <c r="W486" s="261">
        <f t="shared" si="75"/>
        <v>-11934.079999999974</v>
      </c>
      <c r="X486" s="261"/>
      <c r="Y486" s="176" t="s">
        <v>722</v>
      </c>
      <c r="Z486" s="176"/>
      <c r="AA486" s="186">
        <v>520499</v>
      </c>
      <c r="AB486" s="186">
        <v>341222.34</v>
      </c>
      <c r="AC486" s="176">
        <v>0</v>
      </c>
      <c r="AD486" s="176">
        <v>0</v>
      </c>
      <c r="AE486" s="186">
        <v>179276.65999999997</v>
      </c>
      <c r="AF486" s="35">
        <v>179276.66</v>
      </c>
      <c r="AG486" s="212">
        <v>0</v>
      </c>
      <c r="AH486" s="212">
        <f t="shared" si="71"/>
        <v>177401.31999999995</v>
      </c>
      <c r="AI486" s="212" t="s">
        <v>650</v>
      </c>
      <c r="AJ486" s="212">
        <v>520499</v>
      </c>
      <c r="AK486" s="212">
        <v>341492.34</v>
      </c>
      <c r="AL486" s="212">
        <v>0</v>
      </c>
      <c r="AM486" s="212">
        <v>0</v>
      </c>
      <c r="AN486" s="212">
        <v>179006.66</v>
      </c>
      <c r="AO486" s="176">
        <v>13809.42</v>
      </c>
      <c r="AP486" s="176">
        <v>0</v>
      </c>
      <c r="AQ486" s="176">
        <v>0</v>
      </c>
      <c r="AR486" s="212">
        <f t="shared" si="72"/>
        <v>-11934.079999999974</v>
      </c>
      <c r="AS486" s="212">
        <f t="shared" si="73"/>
        <v>375031.76</v>
      </c>
      <c r="AT486" s="473">
        <f t="shared" si="74"/>
        <v>387235.83999999997</v>
      </c>
      <c r="AU486" s="478"/>
    </row>
    <row r="487" spans="1:47" s="35" customFormat="1" ht="43.5" hidden="1" x14ac:dyDescent="0.35">
      <c r="A487" s="35" t="s">
        <v>1201</v>
      </c>
      <c r="B487" s="224" t="s">
        <v>956</v>
      </c>
      <c r="C487" s="222" t="s">
        <v>19</v>
      </c>
      <c r="D487" s="136">
        <v>8471305</v>
      </c>
      <c r="E487" s="137" t="s">
        <v>616</v>
      </c>
      <c r="F487" s="138">
        <v>435508</v>
      </c>
      <c r="G487" s="137" t="s">
        <v>135</v>
      </c>
      <c r="H487" s="137" t="s">
        <v>651</v>
      </c>
      <c r="I487" s="137">
        <v>1592072</v>
      </c>
      <c r="J487" s="140">
        <v>1892072</v>
      </c>
      <c r="K487" s="141">
        <v>994657.7</v>
      </c>
      <c r="L487" s="148">
        <v>5630.0000000002301</v>
      </c>
      <c r="M487" s="140">
        <v>672718.88</v>
      </c>
      <c r="N487" s="144">
        <f t="shared" si="76"/>
        <v>219065.41999999981</v>
      </c>
      <c r="O487" s="145">
        <v>100000</v>
      </c>
      <c r="P487" s="145">
        <v>119065</v>
      </c>
      <c r="Q487" s="149"/>
      <c r="R487" s="146" t="s">
        <v>765</v>
      </c>
      <c r="S487" s="254">
        <f t="shared" si="77"/>
        <v>0.41999999980907887</v>
      </c>
      <c r="T487" s="175" t="s">
        <v>769</v>
      </c>
      <c r="U487" s="137" t="s">
        <v>651</v>
      </c>
      <c r="V487" s="261">
        <f t="shared" si="78"/>
        <v>0.41999999980907887</v>
      </c>
      <c r="W487" s="261">
        <f t="shared" si="75"/>
        <v>0.41999999980907887</v>
      </c>
      <c r="X487" s="261"/>
      <c r="Y487" s="176" t="s">
        <v>722</v>
      </c>
      <c r="Z487" s="176"/>
      <c r="AA487" s="186">
        <v>1892072</v>
      </c>
      <c r="AB487" s="186">
        <v>1099743.8500000001</v>
      </c>
      <c r="AC487" s="176">
        <v>5630</v>
      </c>
      <c r="AD487" s="176">
        <v>570158.88</v>
      </c>
      <c r="AE487" s="186">
        <v>216539.2699999999</v>
      </c>
      <c r="AF487" s="35">
        <v>216539.27</v>
      </c>
      <c r="AG487" s="212">
        <v>0</v>
      </c>
      <c r="AH487" s="212">
        <f t="shared" si="71"/>
        <v>216538.85000000009</v>
      </c>
      <c r="AI487" s="212" t="s">
        <v>651</v>
      </c>
      <c r="AJ487" s="212">
        <v>1892072</v>
      </c>
      <c r="AK487" s="212">
        <v>1141371.99</v>
      </c>
      <c r="AL487" s="212">
        <v>106452.52</v>
      </c>
      <c r="AM487" s="212">
        <v>524687</v>
      </c>
      <c r="AN487" s="212">
        <v>119560.49</v>
      </c>
      <c r="AO487" s="176">
        <v>0</v>
      </c>
      <c r="AP487" s="176">
        <v>0</v>
      </c>
      <c r="AQ487" s="176">
        <v>0</v>
      </c>
      <c r="AR487" s="212">
        <f t="shared" si="72"/>
        <v>0.41999999980907887</v>
      </c>
      <c r="AS487" s="212">
        <f t="shared" si="73"/>
        <v>1675532.73</v>
      </c>
      <c r="AT487" s="473">
        <f t="shared" si="74"/>
        <v>1772511.0900000003</v>
      </c>
      <c r="AU487" s="478"/>
    </row>
    <row r="488" spans="1:47" s="35" customFormat="1" ht="43.5" hidden="1" x14ac:dyDescent="0.35">
      <c r="A488" s="35" t="s">
        <v>1201</v>
      </c>
      <c r="B488" s="224" t="s">
        <v>956</v>
      </c>
      <c r="C488" s="222" t="s">
        <v>19</v>
      </c>
      <c r="D488" s="136">
        <v>8471305</v>
      </c>
      <c r="E488" s="137" t="s">
        <v>616</v>
      </c>
      <c r="F488" s="138">
        <v>435530</v>
      </c>
      <c r="G488" s="137" t="s">
        <v>547</v>
      </c>
      <c r="H488" s="137" t="s">
        <v>652</v>
      </c>
      <c r="I488" s="137">
        <v>10000</v>
      </c>
      <c r="J488" s="140">
        <v>10000</v>
      </c>
      <c r="K488" s="141">
        <v>80</v>
      </c>
      <c r="L488" s="142"/>
      <c r="M488" s="143"/>
      <c r="N488" s="144">
        <f t="shared" si="76"/>
        <v>9920</v>
      </c>
      <c r="O488" s="169">
        <v>4000</v>
      </c>
      <c r="P488" s="169">
        <v>4000</v>
      </c>
      <c r="Q488" s="149">
        <v>0</v>
      </c>
      <c r="R488" s="170" t="s">
        <v>767</v>
      </c>
      <c r="S488" s="254">
        <f t="shared" si="77"/>
        <v>1920</v>
      </c>
      <c r="T488" s="175" t="s">
        <v>769</v>
      </c>
      <c r="U488" s="137" t="s">
        <v>652</v>
      </c>
      <c r="V488" s="261">
        <f t="shared" si="78"/>
        <v>1920</v>
      </c>
      <c r="W488" s="261">
        <f t="shared" si="75"/>
        <v>1920</v>
      </c>
      <c r="X488" s="261"/>
      <c r="Y488" s="176" t="s">
        <v>722</v>
      </c>
      <c r="Z488" s="176"/>
      <c r="AA488" s="186">
        <v>10000</v>
      </c>
      <c r="AB488" s="186">
        <v>80</v>
      </c>
      <c r="AC488" s="176">
        <v>0</v>
      </c>
      <c r="AD488" s="176">
        <v>0</v>
      </c>
      <c r="AE488" s="186">
        <v>9920</v>
      </c>
      <c r="AF488" s="35">
        <v>9920</v>
      </c>
      <c r="AG488" s="212">
        <v>0</v>
      </c>
      <c r="AH488" s="212">
        <f t="shared" si="71"/>
        <v>8000</v>
      </c>
      <c r="AI488" s="212" t="s">
        <v>652</v>
      </c>
      <c r="AJ488" s="212">
        <v>10000</v>
      </c>
      <c r="AK488" s="212">
        <v>80</v>
      </c>
      <c r="AL488" s="212">
        <v>0</v>
      </c>
      <c r="AM488" s="212">
        <v>0</v>
      </c>
      <c r="AN488" s="212">
        <v>9920</v>
      </c>
      <c r="AO488" s="176">
        <v>0</v>
      </c>
      <c r="AP488" s="176">
        <v>0</v>
      </c>
      <c r="AQ488" s="176">
        <v>0</v>
      </c>
      <c r="AR488" s="212">
        <f t="shared" si="72"/>
        <v>1920</v>
      </c>
      <c r="AS488" s="212">
        <f t="shared" si="73"/>
        <v>80</v>
      </c>
      <c r="AT488" s="473">
        <f t="shared" si="74"/>
        <v>-1840</v>
      </c>
      <c r="AU488" s="478"/>
    </row>
    <row r="489" spans="1:47" s="35" customFormat="1" ht="43.5" hidden="1" x14ac:dyDescent="0.35">
      <c r="A489" s="35" t="s">
        <v>1201</v>
      </c>
      <c r="B489" s="224" t="s">
        <v>956</v>
      </c>
      <c r="C489" s="222" t="s">
        <v>19</v>
      </c>
      <c r="D489" s="136">
        <v>8471305</v>
      </c>
      <c r="E489" s="137" t="s">
        <v>616</v>
      </c>
      <c r="F489" s="138">
        <v>436120</v>
      </c>
      <c r="G489" s="137" t="s">
        <v>443</v>
      </c>
      <c r="H489" s="137" t="s">
        <v>654</v>
      </c>
      <c r="I489" s="137">
        <v>112000</v>
      </c>
      <c r="J489" s="140">
        <v>112000</v>
      </c>
      <c r="K489" s="141">
        <v>1055.25</v>
      </c>
      <c r="L489" s="142"/>
      <c r="M489" s="143"/>
      <c r="N489" s="144">
        <f t="shared" si="76"/>
        <v>110944.75</v>
      </c>
      <c r="O489" s="145">
        <v>8000</v>
      </c>
      <c r="P489" s="145">
        <v>20000</v>
      </c>
      <c r="Q489" s="149">
        <v>60000</v>
      </c>
      <c r="R489" s="146" t="s">
        <v>768</v>
      </c>
      <c r="S489" s="254">
        <f t="shared" si="77"/>
        <v>22944.75</v>
      </c>
      <c r="T489" s="175" t="s">
        <v>769</v>
      </c>
      <c r="U489" s="137" t="s">
        <v>654</v>
      </c>
      <c r="V489" s="261">
        <f t="shared" si="78"/>
        <v>22944.75</v>
      </c>
      <c r="W489" s="261">
        <f t="shared" si="75"/>
        <v>22944.75</v>
      </c>
      <c r="X489" s="261"/>
      <c r="Y489" s="176" t="s">
        <v>722</v>
      </c>
      <c r="Z489" s="176"/>
      <c r="AA489" s="186">
        <v>112000</v>
      </c>
      <c r="AB489" s="186">
        <v>3165.75</v>
      </c>
      <c r="AC489" s="176">
        <v>0</v>
      </c>
      <c r="AD489" s="176">
        <v>0</v>
      </c>
      <c r="AE489" s="186">
        <v>108834.25</v>
      </c>
      <c r="AF489" s="35">
        <v>108834.25</v>
      </c>
      <c r="AG489" s="212">
        <v>0</v>
      </c>
      <c r="AH489" s="212">
        <f t="shared" si="71"/>
        <v>85889.5</v>
      </c>
      <c r="AI489" s="212" t="s">
        <v>654</v>
      </c>
      <c r="AJ489" s="212">
        <v>87000</v>
      </c>
      <c r="AK489" s="212">
        <v>3165.75</v>
      </c>
      <c r="AL489" s="212">
        <v>0</v>
      </c>
      <c r="AM489" s="212">
        <v>0</v>
      </c>
      <c r="AN489" s="212">
        <v>83834.25</v>
      </c>
      <c r="AO489" s="176">
        <v>0</v>
      </c>
      <c r="AP489" s="176">
        <v>0</v>
      </c>
      <c r="AQ489" s="176">
        <v>0</v>
      </c>
      <c r="AR489" s="212">
        <f t="shared" si="72"/>
        <v>22944.75</v>
      </c>
      <c r="AS489" s="212">
        <f t="shared" si="73"/>
        <v>63165.75</v>
      </c>
      <c r="AT489" s="473">
        <f t="shared" si="74"/>
        <v>40221</v>
      </c>
      <c r="AU489" s="478"/>
    </row>
    <row r="490" spans="1:47" s="35" customFormat="1" hidden="1" x14ac:dyDescent="0.35">
      <c r="A490" s="35" t="s">
        <v>1197</v>
      </c>
      <c r="B490" s="224" t="s">
        <v>953</v>
      </c>
      <c r="C490" s="222" t="s">
        <v>19</v>
      </c>
      <c r="D490" s="136">
        <v>8470810</v>
      </c>
      <c r="E490" s="137" t="s">
        <v>464</v>
      </c>
      <c r="F490" s="138" t="s">
        <v>465</v>
      </c>
      <c r="G490" s="137" t="s">
        <v>466</v>
      </c>
      <c r="H490" s="137" t="s">
        <v>467</v>
      </c>
      <c r="I490" s="137">
        <v>10351793</v>
      </c>
      <c r="J490" s="140"/>
      <c r="K490" s="141"/>
      <c r="L490" s="142"/>
      <c r="M490" s="143">
        <v>0</v>
      </c>
      <c r="N490" s="144"/>
      <c r="O490" s="145"/>
      <c r="P490" s="145"/>
      <c r="Q490" s="145"/>
      <c r="R490" s="146">
        <v>0</v>
      </c>
      <c r="S490" s="139"/>
      <c r="T490" s="175"/>
      <c r="U490" s="137" t="s">
        <v>467</v>
      </c>
      <c r="V490" s="261">
        <f t="shared" si="78"/>
        <v>0</v>
      </c>
      <c r="W490" s="261">
        <f t="shared" si="75"/>
        <v>0</v>
      </c>
      <c r="X490" s="261"/>
      <c r="Y490" s="176" t="s">
        <v>722</v>
      </c>
      <c r="Z490" s="176"/>
      <c r="AA490" s="186">
        <v>0</v>
      </c>
      <c r="AB490" s="186">
        <v>0</v>
      </c>
      <c r="AC490" s="176">
        <v>0</v>
      </c>
      <c r="AD490" s="176">
        <v>0</v>
      </c>
      <c r="AE490" s="186">
        <v>0</v>
      </c>
      <c r="AF490" s="35">
        <v>0</v>
      </c>
      <c r="AG490" s="212">
        <v>0</v>
      </c>
      <c r="AH490" s="212">
        <f t="shared" si="71"/>
        <v>0</v>
      </c>
      <c r="AI490" s="212" t="s">
        <v>467</v>
      </c>
      <c r="AJ490" s="212">
        <v>0</v>
      </c>
      <c r="AK490" s="212">
        <v>0</v>
      </c>
      <c r="AL490" s="212">
        <v>0</v>
      </c>
      <c r="AM490" s="212">
        <v>0</v>
      </c>
      <c r="AN490" s="212">
        <v>0</v>
      </c>
      <c r="AO490" s="176">
        <v>0</v>
      </c>
      <c r="AP490" s="176">
        <v>0</v>
      </c>
      <c r="AQ490" s="176">
        <v>0</v>
      </c>
      <c r="AR490" s="212">
        <f t="shared" si="72"/>
        <v>0</v>
      </c>
      <c r="AS490" s="212">
        <f t="shared" si="73"/>
        <v>0</v>
      </c>
      <c r="AT490" s="473">
        <f t="shared" si="74"/>
        <v>0</v>
      </c>
      <c r="AU490" s="478"/>
    </row>
    <row r="491" spans="1:47" s="35" customFormat="1" hidden="1" x14ac:dyDescent="0.35">
      <c r="A491" s="35" t="s">
        <v>1197</v>
      </c>
      <c r="B491" s="224" t="s">
        <v>953</v>
      </c>
      <c r="C491" s="222" t="s">
        <v>19</v>
      </c>
      <c r="D491" s="136">
        <v>8470810</v>
      </c>
      <c r="E491" s="137" t="s">
        <v>464</v>
      </c>
      <c r="F491" s="138" t="s">
        <v>415</v>
      </c>
      <c r="G491" s="137" t="s">
        <v>416</v>
      </c>
      <c r="H491" s="137" t="s">
        <v>478</v>
      </c>
      <c r="I491" s="137">
        <v>1021317</v>
      </c>
      <c r="J491" s="140"/>
      <c r="K491" s="141"/>
      <c r="L491" s="142"/>
      <c r="M491" s="143">
        <v>0</v>
      </c>
      <c r="N491" s="144"/>
      <c r="O491" s="145"/>
      <c r="P491" s="145"/>
      <c r="Q491" s="145"/>
      <c r="R491" s="146">
        <v>0</v>
      </c>
      <c r="S491" s="139"/>
      <c r="T491" s="175"/>
      <c r="U491" s="137" t="s">
        <v>478</v>
      </c>
      <c r="V491" s="261">
        <f t="shared" si="78"/>
        <v>0</v>
      </c>
      <c r="W491" s="261">
        <f t="shared" si="75"/>
        <v>0</v>
      </c>
      <c r="X491" s="261"/>
      <c r="Y491" s="176" t="s">
        <v>722</v>
      </c>
      <c r="Z491" s="176"/>
      <c r="AA491" s="186">
        <v>0</v>
      </c>
      <c r="AB491" s="186">
        <v>0</v>
      </c>
      <c r="AC491" s="176">
        <v>0</v>
      </c>
      <c r="AD491" s="176">
        <v>0</v>
      </c>
      <c r="AE491" s="186">
        <v>0</v>
      </c>
      <c r="AF491" s="35">
        <v>0</v>
      </c>
      <c r="AG491" s="212">
        <v>0</v>
      </c>
      <c r="AH491" s="212">
        <f t="shared" si="71"/>
        <v>0</v>
      </c>
      <c r="AI491" s="212" t="s">
        <v>478</v>
      </c>
      <c r="AJ491" s="212">
        <v>0</v>
      </c>
      <c r="AK491" s="212">
        <v>0</v>
      </c>
      <c r="AL491" s="212">
        <v>0</v>
      </c>
      <c r="AM491" s="212">
        <v>0</v>
      </c>
      <c r="AN491" s="212">
        <v>0</v>
      </c>
      <c r="AO491" s="176">
        <v>0</v>
      </c>
      <c r="AP491" s="176">
        <v>0</v>
      </c>
      <c r="AQ491" s="176">
        <v>0</v>
      </c>
      <c r="AR491" s="212">
        <f t="shared" si="72"/>
        <v>0</v>
      </c>
      <c r="AS491" s="212">
        <f t="shared" si="73"/>
        <v>0</v>
      </c>
      <c r="AT491" s="473">
        <f t="shared" si="74"/>
        <v>0</v>
      </c>
      <c r="AU491" s="478"/>
    </row>
    <row r="492" spans="1:47" s="35" customFormat="1" hidden="1" x14ac:dyDescent="0.35">
      <c r="A492" s="35" t="s">
        <v>1197</v>
      </c>
      <c r="B492" s="224" t="s">
        <v>953</v>
      </c>
      <c r="C492" s="222" t="s">
        <v>19</v>
      </c>
      <c r="D492" s="136">
        <v>8470810</v>
      </c>
      <c r="E492" s="137" t="s">
        <v>464</v>
      </c>
      <c r="F492" s="138" t="s">
        <v>118</v>
      </c>
      <c r="G492" s="137" t="s">
        <v>119</v>
      </c>
      <c r="H492" s="137" t="s">
        <v>484</v>
      </c>
      <c r="I492" s="137">
        <v>360000</v>
      </c>
      <c r="J492" s="140"/>
      <c r="K492" s="141"/>
      <c r="L492" s="142"/>
      <c r="M492" s="143">
        <v>0</v>
      </c>
      <c r="N492" s="144"/>
      <c r="O492" s="145"/>
      <c r="P492" s="145"/>
      <c r="Q492" s="145"/>
      <c r="R492" s="146">
        <v>0</v>
      </c>
      <c r="S492" s="139"/>
      <c r="T492" s="175"/>
      <c r="U492" s="137" t="s">
        <v>484</v>
      </c>
      <c r="V492" s="261">
        <f t="shared" si="78"/>
        <v>0</v>
      </c>
      <c r="W492" s="261">
        <f t="shared" si="75"/>
        <v>0</v>
      </c>
      <c r="X492" s="261"/>
      <c r="Y492" s="176" t="s">
        <v>722</v>
      </c>
      <c r="Z492" s="176"/>
      <c r="AA492" s="186">
        <v>0</v>
      </c>
      <c r="AB492" s="186">
        <v>0</v>
      </c>
      <c r="AC492" s="176">
        <v>0</v>
      </c>
      <c r="AD492" s="176">
        <v>0</v>
      </c>
      <c r="AE492" s="186">
        <v>0</v>
      </c>
      <c r="AF492" s="35">
        <v>0</v>
      </c>
      <c r="AG492" s="212">
        <v>0</v>
      </c>
      <c r="AH492" s="212">
        <f t="shared" si="71"/>
        <v>0</v>
      </c>
      <c r="AI492" s="212" t="s">
        <v>484</v>
      </c>
      <c r="AJ492" s="212">
        <v>0</v>
      </c>
      <c r="AK492" s="212">
        <v>0</v>
      </c>
      <c r="AL492" s="212">
        <v>0</v>
      </c>
      <c r="AM492" s="212">
        <v>0</v>
      </c>
      <c r="AN492" s="212">
        <v>0</v>
      </c>
      <c r="AO492" s="176">
        <v>0</v>
      </c>
      <c r="AP492" s="176">
        <v>0</v>
      </c>
      <c r="AQ492" s="176">
        <v>0</v>
      </c>
      <c r="AR492" s="212">
        <f t="shared" si="72"/>
        <v>0</v>
      </c>
      <c r="AS492" s="212">
        <f t="shared" si="73"/>
        <v>0</v>
      </c>
      <c r="AT492" s="473">
        <f t="shared" si="74"/>
        <v>0</v>
      </c>
      <c r="AU492" s="478"/>
    </row>
    <row r="493" spans="1:47" s="35" customFormat="1" ht="43.5" x14ac:dyDescent="0.35">
      <c r="A493" s="35" t="s">
        <v>1194</v>
      </c>
      <c r="B493" s="224" t="s">
        <v>946</v>
      </c>
      <c r="C493" s="222" t="s">
        <v>19</v>
      </c>
      <c r="D493" s="136">
        <v>8471210</v>
      </c>
      <c r="E493" s="137" t="s">
        <v>542</v>
      </c>
      <c r="F493" s="138" t="s">
        <v>546</v>
      </c>
      <c r="G493" s="137" t="s">
        <v>547</v>
      </c>
      <c r="H493" s="137" t="s">
        <v>548</v>
      </c>
      <c r="I493" s="137">
        <v>20000</v>
      </c>
      <c r="J493" s="140"/>
      <c r="K493" s="141"/>
      <c r="L493" s="142"/>
      <c r="M493" s="143">
        <v>0</v>
      </c>
      <c r="N493" s="144"/>
      <c r="O493" s="145"/>
      <c r="P493" s="145"/>
      <c r="Q493" s="145"/>
      <c r="R493" s="146">
        <v>0</v>
      </c>
      <c r="S493" s="139"/>
      <c r="T493" s="175"/>
      <c r="U493" s="137" t="s">
        <v>548</v>
      </c>
      <c r="V493" s="261">
        <f t="shared" si="78"/>
        <v>0</v>
      </c>
      <c r="W493" s="261">
        <f t="shared" si="75"/>
        <v>0</v>
      </c>
      <c r="X493" s="261"/>
      <c r="Y493" s="176" t="s">
        <v>722</v>
      </c>
      <c r="Z493" s="176"/>
      <c r="AA493" s="186">
        <v>0</v>
      </c>
      <c r="AB493" s="186">
        <v>0</v>
      </c>
      <c r="AC493" s="176">
        <v>0</v>
      </c>
      <c r="AD493" s="176">
        <v>0</v>
      </c>
      <c r="AE493" s="186">
        <v>0</v>
      </c>
      <c r="AF493" s="35">
        <v>0</v>
      </c>
      <c r="AG493" s="212">
        <v>0</v>
      </c>
      <c r="AH493" s="212">
        <f t="shared" si="71"/>
        <v>0</v>
      </c>
      <c r="AI493" s="212" t="s">
        <v>548</v>
      </c>
      <c r="AJ493" s="212">
        <v>0</v>
      </c>
      <c r="AK493" s="212">
        <v>0</v>
      </c>
      <c r="AL493" s="212">
        <v>0</v>
      </c>
      <c r="AM493" s="212">
        <v>0</v>
      </c>
      <c r="AN493" s="212">
        <v>0</v>
      </c>
      <c r="AO493" s="176">
        <v>0</v>
      </c>
      <c r="AP493" s="176">
        <v>0</v>
      </c>
      <c r="AQ493" s="176">
        <v>0</v>
      </c>
      <c r="AR493" s="212">
        <f t="shared" si="72"/>
        <v>0</v>
      </c>
      <c r="AS493" s="212">
        <f t="shared" si="73"/>
        <v>0</v>
      </c>
      <c r="AT493" s="473">
        <f t="shared" si="74"/>
        <v>0</v>
      </c>
      <c r="AU493" s="478"/>
    </row>
    <row r="494" spans="1:47" s="35" customFormat="1" ht="43.5" x14ac:dyDescent="0.35">
      <c r="A494" s="35" t="s">
        <v>1194</v>
      </c>
      <c r="B494" s="224" t="s">
        <v>946</v>
      </c>
      <c r="C494" s="222" t="s">
        <v>19</v>
      </c>
      <c r="D494" s="136">
        <v>8471250</v>
      </c>
      <c r="E494" s="137" t="s">
        <v>577</v>
      </c>
      <c r="F494" s="138" t="s">
        <v>223</v>
      </c>
      <c r="G494" s="137" t="s">
        <v>224</v>
      </c>
      <c r="H494" s="137" t="s">
        <v>579</v>
      </c>
      <c r="I494" s="137">
        <v>560000</v>
      </c>
      <c r="J494" s="140"/>
      <c r="K494" s="141"/>
      <c r="L494" s="142"/>
      <c r="M494" s="143">
        <v>0</v>
      </c>
      <c r="N494" s="144"/>
      <c r="O494" s="145"/>
      <c r="P494" s="145"/>
      <c r="Q494" s="145"/>
      <c r="R494" s="146">
        <v>0</v>
      </c>
      <c r="S494" s="139"/>
      <c r="T494" s="175"/>
      <c r="U494" s="137" t="s">
        <v>579</v>
      </c>
      <c r="V494" s="261">
        <f t="shared" si="78"/>
        <v>0</v>
      </c>
      <c r="W494" s="261">
        <f t="shared" si="75"/>
        <v>0</v>
      </c>
      <c r="X494" s="261"/>
      <c r="Y494" s="176" t="s">
        <v>722</v>
      </c>
      <c r="Z494" s="176"/>
      <c r="AA494" s="186">
        <v>0</v>
      </c>
      <c r="AB494" s="186">
        <v>0</v>
      </c>
      <c r="AC494" s="176">
        <v>0</v>
      </c>
      <c r="AD494" s="176">
        <v>0</v>
      </c>
      <c r="AE494" s="186">
        <v>0</v>
      </c>
      <c r="AF494" s="35">
        <v>0</v>
      </c>
      <c r="AG494" s="212">
        <v>0</v>
      </c>
      <c r="AH494" s="212">
        <f t="shared" si="71"/>
        <v>0</v>
      </c>
      <c r="AI494" s="212" t="s">
        <v>579</v>
      </c>
      <c r="AJ494" s="212">
        <v>0</v>
      </c>
      <c r="AK494" s="212">
        <v>0</v>
      </c>
      <c r="AL494" s="212">
        <v>0</v>
      </c>
      <c r="AM494" s="212">
        <v>0</v>
      </c>
      <c r="AN494" s="212">
        <v>0</v>
      </c>
      <c r="AO494" s="176">
        <v>0</v>
      </c>
      <c r="AP494" s="176">
        <v>0</v>
      </c>
      <c r="AQ494" s="176">
        <v>0</v>
      </c>
      <c r="AR494" s="212">
        <f t="shared" si="72"/>
        <v>0</v>
      </c>
      <c r="AS494" s="212">
        <f t="shared" si="73"/>
        <v>0</v>
      </c>
      <c r="AT494" s="473">
        <f t="shared" si="74"/>
        <v>0</v>
      </c>
      <c r="AU494" s="478"/>
    </row>
    <row r="495" spans="1:47" s="35" customFormat="1" hidden="1" x14ac:dyDescent="0.35">
      <c r="A495" s="35" t="s">
        <v>1201</v>
      </c>
      <c r="B495" s="224" t="s">
        <v>956</v>
      </c>
      <c r="C495" s="222" t="s">
        <v>19</v>
      </c>
      <c r="D495" s="136">
        <v>8471305</v>
      </c>
      <c r="E495" s="137" t="s">
        <v>616</v>
      </c>
      <c r="F495" s="138" t="s">
        <v>465</v>
      </c>
      <c r="G495" s="137" t="s">
        <v>466</v>
      </c>
      <c r="H495" s="137" t="s">
        <v>618</v>
      </c>
      <c r="I495" s="137">
        <v>263385</v>
      </c>
      <c r="J495" s="140"/>
      <c r="K495" s="141"/>
      <c r="L495" s="142"/>
      <c r="M495" s="143">
        <v>0</v>
      </c>
      <c r="N495" s="144"/>
      <c r="O495" s="145"/>
      <c r="P495" s="145"/>
      <c r="Q495" s="145"/>
      <c r="R495" s="146">
        <v>0</v>
      </c>
      <c r="S495" s="139"/>
      <c r="T495" s="175"/>
      <c r="U495" s="137" t="s">
        <v>618</v>
      </c>
      <c r="V495" s="261">
        <f t="shared" si="78"/>
        <v>0</v>
      </c>
      <c r="W495" s="261">
        <f t="shared" si="75"/>
        <v>0</v>
      </c>
      <c r="X495" s="261"/>
      <c r="Y495" s="176" t="s">
        <v>722</v>
      </c>
      <c r="Z495" s="176"/>
      <c r="AA495" s="186">
        <v>0</v>
      </c>
      <c r="AB495" s="186">
        <v>0</v>
      </c>
      <c r="AC495" s="176">
        <v>0</v>
      </c>
      <c r="AD495" s="176">
        <v>0</v>
      </c>
      <c r="AE495" s="186">
        <v>0</v>
      </c>
      <c r="AF495" s="35">
        <v>0</v>
      </c>
      <c r="AG495" s="212">
        <v>0</v>
      </c>
      <c r="AH495" s="212">
        <f t="shared" si="71"/>
        <v>0</v>
      </c>
      <c r="AI495" s="212" t="s">
        <v>618</v>
      </c>
      <c r="AJ495" s="212">
        <v>0</v>
      </c>
      <c r="AK495" s="212">
        <v>0</v>
      </c>
      <c r="AL495" s="212">
        <v>0</v>
      </c>
      <c r="AM495" s="212">
        <v>0</v>
      </c>
      <c r="AN495" s="212">
        <v>0</v>
      </c>
      <c r="AO495" s="176">
        <v>0</v>
      </c>
      <c r="AP495" s="176">
        <v>0</v>
      </c>
      <c r="AQ495" s="176">
        <v>0</v>
      </c>
      <c r="AR495" s="212">
        <f t="shared" si="72"/>
        <v>0</v>
      </c>
      <c r="AS495" s="212">
        <f t="shared" si="73"/>
        <v>0</v>
      </c>
      <c r="AT495" s="473">
        <f t="shared" si="74"/>
        <v>0</v>
      </c>
      <c r="AU495" s="478"/>
    </row>
    <row r="496" spans="1:47" s="35" customFormat="1" hidden="1" x14ac:dyDescent="0.35">
      <c r="A496" s="35" t="s">
        <v>1201</v>
      </c>
      <c r="B496" s="224" t="s">
        <v>956</v>
      </c>
      <c r="C496" s="222" t="s">
        <v>19</v>
      </c>
      <c r="D496" s="136">
        <v>8471305</v>
      </c>
      <c r="E496" s="137" t="s">
        <v>616</v>
      </c>
      <c r="F496" s="138" t="s">
        <v>468</v>
      </c>
      <c r="G496" s="137" t="s">
        <v>469</v>
      </c>
      <c r="H496" s="137" t="s">
        <v>619</v>
      </c>
      <c r="I496" s="137">
        <v>0</v>
      </c>
      <c r="J496" s="140"/>
      <c r="K496" s="141"/>
      <c r="L496" s="142"/>
      <c r="M496" s="143">
        <v>0</v>
      </c>
      <c r="N496" s="144"/>
      <c r="O496" s="145"/>
      <c r="P496" s="145"/>
      <c r="Q496" s="145"/>
      <c r="R496" s="146">
        <v>0</v>
      </c>
      <c r="S496" s="139"/>
      <c r="T496" s="175"/>
      <c r="U496" s="137" t="s">
        <v>619</v>
      </c>
      <c r="V496" s="261">
        <f t="shared" si="78"/>
        <v>0</v>
      </c>
      <c r="W496" s="261">
        <f t="shared" si="75"/>
        <v>0</v>
      </c>
      <c r="X496" s="261"/>
      <c r="Y496" s="176" t="s">
        <v>722</v>
      </c>
      <c r="Z496" s="176"/>
      <c r="AA496" s="186">
        <v>0</v>
      </c>
      <c r="AB496" s="186">
        <v>0</v>
      </c>
      <c r="AC496" s="176">
        <v>0</v>
      </c>
      <c r="AD496" s="176">
        <v>0</v>
      </c>
      <c r="AE496" s="186">
        <v>0</v>
      </c>
      <c r="AF496" s="35">
        <v>0</v>
      </c>
      <c r="AG496" s="212">
        <v>0</v>
      </c>
      <c r="AH496" s="212">
        <f t="shared" si="71"/>
        <v>0</v>
      </c>
      <c r="AI496" s="212" t="s">
        <v>619</v>
      </c>
      <c r="AJ496" s="212">
        <v>0</v>
      </c>
      <c r="AK496" s="212">
        <v>0</v>
      </c>
      <c r="AL496" s="212">
        <v>0</v>
      </c>
      <c r="AM496" s="212">
        <v>0</v>
      </c>
      <c r="AN496" s="212">
        <v>0</v>
      </c>
      <c r="AO496" s="176">
        <v>0</v>
      </c>
      <c r="AP496" s="176">
        <v>0</v>
      </c>
      <c r="AQ496" s="176">
        <v>0</v>
      </c>
      <c r="AR496" s="212">
        <f t="shared" si="72"/>
        <v>0</v>
      </c>
      <c r="AS496" s="212">
        <f t="shared" si="73"/>
        <v>0</v>
      </c>
      <c r="AT496" s="473">
        <f t="shared" si="74"/>
        <v>0</v>
      </c>
      <c r="AU496" s="478"/>
    </row>
    <row r="497" spans="1:47" s="35" customFormat="1" hidden="1" x14ac:dyDescent="0.35">
      <c r="A497" s="35" t="s">
        <v>1201</v>
      </c>
      <c r="B497" s="224" t="s">
        <v>956</v>
      </c>
      <c r="C497" s="222" t="s">
        <v>19</v>
      </c>
      <c r="D497" s="136">
        <v>8471305</v>
      </c>
      <c r="E497" s="137" t="s">
        <v>616</v>
      </c>
      <c r="F497" s="138" t="s">
        <v>118</v>
      </c>
      <c r="G497" s="137" t="s">
        <v>119</v>
      </c>
      <c r="H497" s="137" t="s">
        <v>653</v>
      </c>
      <c r="I497" s="137">
        <v>200000</v>
      </c>
      <c r="J497" s="140"/>
      <c r="K497" s="141"/>
      <c r="L497" s="142"/>
      <c r="M497" s="143">
        <v>0</v>
      </c>
      <c r="N497" s="144"/>
      <c r="O497" s="145"/>
      <c r="P497" s="145"/>
      <c r="Q497" s="145"/>
      <c r="R497" s="146">
        <v>0</v>
      </c>
      <c r="S497" s="139"/>
      <c r="T497" s="175"/>
      <c r="U497" s="137" t="s">
        <v>653</v>
      </c>
      <c r="V497" s="261">
        <f t="shared" si="78"/>
        <v>0</v>
      </c>
      <c r="W497" s="261">
        <f t="shared" si="75"/>
        <v>0</v>
      </c>
      <c r="X497" s="261"/>
      <c r="Y497" s="176" t="s">
        <v>722</v>
      </c>
      <c r="Z497" s="176"/>
      <c r="AA497" s="186">
        <v>0</v>
      </c>
      <c r="AB497" s="216">
        <v>0</v>
      </c>
      <c r="AC497" s="176">
        <v>0</v>
      </c>
      <c r="AD497" s="176">
        <v>0</v>
      </c>
      <c r="AE497" s="186">
        <v>0</v>
      </c>
      <c r="AF497" s="35">
        <v>0</v>
      </c>
      <c r="AG497" s="212">
        <v>0</v>
      </c>
      <c r="AH497" s="212">
        <f t="shared" si="71"/>
        <v>0</v>
      </c>
      <c r="AI497" s="212" t="s">
        <v>653</v>
      </c>
      <c r="AJ497" s="212">
        <v>0</v>
      </c>
      <c r="AK497" s="212">
        <v>0</v>
      </c>
      <c r="AL497" s="212">
        <v>0</v>
      </c>
      <c r="AM497" s="212">
        <v>0</v>
      </c>
      <c r="AN497" s="212">
        <v>0</v>
      </c>
      <c r="AO497" s="176">
        <v>0</v>
      </c>
      <c r="AP497" s="176">
        <v>0</v>
      </c>
      <c r="AQ497" s="176">
        <v>0</v>
      </c>
      <c r="AR497" s="212">
        <f t="shared" si="72"/>
        <v>0</v>
      </c>
      <c r="AS497" s="212">
        <f t="shared" si="73"/>
        <v>0</v>
      </c>
      <c r="AT497" s="473">
        <f t="shared" si="74"/>
        <v>0</v>
      </c>
      <c r="AU497" s="478"/>
    </row>
    <row r="498" spans="1:47" s="35" customFormat="1" ht="29" hidden="1" x14ac:dyDescent="0.35">
      <c r="A498" s="35" t="s">
        <v>1191</v>
      </c>
      <c r="B498" s="224" t="s">
        <v>942</v>
      </c>
      <c r="C498" s="222"/>
      <c r="D498" s="136">
        <v>8470160</v>
      </c>
      <c r="E498" s="137" t="s">
        <v>908</v>
      </c>
      <c r="F498" s="138" t="s">
        <v>909</v>
      </c>
      <c r="G498" s="137" t="s">
        <v>39</v>
      </c>
      <c r="H498" s="137" t="s">
        <v>910</v>
      </c>
      <c r="I498" s="137"/>
      <c r="J498" s="140"/>
      <c r="K498" s="141"/>
      <c r="L498" s="142"/>
      <c r="M498" s="143"/>
      <c r="N498" s="144"/>
      <c r="O498" s="145"/>
      <c r="P498" s="145"/>
      <c r="Q498" s="145"/>
      <c r="R498" s="146"/>
      <c r="S498" s="139"/>
      <c r="T498" s="175"/>
      <c r="U498" s="137" t="s">
        <v>910</v>
      </c>
      <c r="V498" s="261">
        <f t="shared" si="78"/>
        <v>0</v>
      </c>
      <c r="W498" s="261">
        <f t="shared" si="75"/>
        <v>0</v>
      </c>
      <c r="X498" s="261"/>
      <c r="Y498" s="176" t="s">
        <v>722</v>
      </c>
      <c r="Z498" s="176"/>
      <c r="AA498" s="186">
        <v>80000</v>
      </c>
      <c r="AB498" s="216">
        <v>33589.9</v>
      </c>
      <c r="AC498" s="176">
        <v>0</v>
      </c>
      <c r="AD498" s="176">
        <v>0</v>
      </c>
      <c r="AE498" s="186">
        <v>46410.1</v>
      </c>
      <c r="AF498" s="35">
        <v>46410.1</v>
      </c>
      <c r="AG498" s="212">
        <v>0</v>
      </c>
      <c r="AH498" s="212">
        <f t="shared" si="71"/>
        <v>46410.1</v>
      </c>
      <c r="AI498" s="212" t="s">
        <v>910</v>
      </c>
      <c r="AJ498" s="212">
        <v>80000</v>
      </c>
      <c r="AK498" s="212">
        <v>37589.800000000003</v>
      </c>
      <c r="AL498" s="212">
        <v>0</v>
      </c>
      <c r="AM498" s="212">
        <v>0</v>
      </c>
      <c r="AN498" s="212">
        <v>42410.2</v>
      </c>
      <c r="AO498" s="176">
        <v>0</v>
      </c>
      <c r="AP498" s="176">
        <v>0</v>
      </c>
      <c r="AQ498" s="176">
        <v>0</v>
      </c>
      <c r="AR498" s="212">
        <f t="shared" si="72"/>
        <v>0</v>
      </c>
      <c r="AS498" s="212">
        <f t="shared" si="73"/>
        <v>33589.9</v>
      </c>
      <c r="AT498" s="473">
        <f t="shared" si="74"/>
        <v>37589.800000000003</v>
      </c>
      <c r="AU498" s="478"/>
    </row>
    <row r="499" spans="1:47" s="35" customFormat="1" ht="29" hidden="1" x14ac:dyDescent="0.35">
      <c r="A499" s="35" t="s">
        <v>1195</v>
      </c>
      <c r="B499" s="224" t="s">
        <v>947</v>
      </c>
      <c r="C499" s="222"/>
      <c r="D499" s="136">
        <v>8470310</v>
      </c>
      <c r="E499" s="137" t="s">
        <v>139</v>
      </c>
      <c r="F499" s="138" t="s">
        <v>911</v>
      </c>
      <c r="G499" s="137" t="s">
        <v>202</v>
      </c>
      <c r="H499" s="137" t="s">
        <v>912</v>
      </c>
      <c r="I499" s="137"/>
      <c r="J499" s="140"/>
      <c r="K499" s="141"/>
      <c r="L499" s="142"/>
      <c r="M499" s="143"/>
      <c r="N499" s="144"/>
      <c r="O499" s="145"/>
      <c r="P499" s="145"/>
      <c r="Q499" s="145"/>
      <c r="R499" s="146"/>
      <c r="S499" s="139"/>
      <c r="T499" s="175"/>
      <c r="U499" s="137" t="s">
        <v>912</v>
      </c>
      <c r="V499" s="261">
        <f t="shared" si="78"/>
        <v>0</v>
      </c>
      <c r="W499" s="261">
        <f t="shared" si="75"/>
        <v>0</v>
      </c>
      <c r="X499" s="261"/>
      <c r="Y499" s="176" t="s">
        <v>722</v>
      </c>
      <c r="Z499" s="176"/>
      <c r="AA499" s="186">
        <v>60000</v>
      </c>
      <c r="AB499" s="216">
        <v>0</v>
      </c>
      <c r="AC499" s="176">
        <v>0</v>
      </c>
      <c r="AD499" s="176">
        <v>56343.82</v>
      </c>
      <c r="AE499" s="186">
        <v>3656.1800000000003</v>
      </c>
      <c r="AF499" s="35">
        <v>3656.18</v>
      </c>
      <c r="AG499" s="212">
        <v>0</v>
      </c>
      <c r="AH499" s="212">
        <f t="shared" si="71"/>
        <v>3656.1800000000003</v>
      </c>
      <c r="AI499" s="212" t="s">
        <v>912</v>
      </c>
      <c r="AJ499" s="212">
        <v>60000</v>
      </c>
      <c r="AK499" s="212">
        <v>0</v>
      </c>
      <c r="AL499" s="212">
        <v>0</v>
      </c>
      <c r="AM499" s="212">
        <v>56343.82</v>
      </c>
      <c r="AN499" s="212">
        <v>3656.18</v>
      </c>
      <c r="AO499" s="176">
        <v>0</v>
      </c>
      <c r="AP499" s="176">
        <v>0</v>
      </c>
      <c r="AQ499" s="176">
        <v>0</v>
      </c>
      <c r="AR499" s="212">
        <f t="shared" si="72"/>
        <v>0</v>
      </c>
      <c r="AS499" s="212">
        <f t="shared" si="73"/>
        <v>56343.82</v>
      </c>
      <c r="AT499" s="473">
        <f t="shared" si="74"/>
        <v>56343.82</v>
      </c>
      <c r="AU499" s="478"/>
    </row>
    <row r="500" spans="1:47" s="35" customFormat="1" ht="29" hidden="1" x14ac:dyDescent="0.35">
      <c r="A500" s="35" t="s">
        <v>1195</v>
      </c>
      <c r="B500" s="224" t="s">
        <v>947</v>
      </c>
      <c r="C500" s="222"/>
      <c r="D500" s="136">
        <v>8470330</v>
      </c>
      <c r="E500" s="137" t="s">
        <v>192</v>
      </c>
      <c r="F500" s="138" t="s">
        <v>913</v>
      </c>
      <c r="G500" s="137" t="s">
        <v>51</v>
      </c>
      <c r="H500" s="137" t="s">
        <v>914</v>
      </c>
      <c r="I500" s="137"/>
      <c r="J500" s="140"/>
      <c r="K500" s="141"/>
      <c r="L500" s="142"/>
      <c r="M500" s="143"/>
      <c r="N500" s="144"/>
      <c r="O500" s="145"/>
      <c r="P500" s="145"/>
      <c r="Q500" s="145"/>
      <c r="R500" s="146"/>
      <c r="S500" s="139"/>
      <c r="T500" s="175"/>
      <c r="U500" s="137" t="s">
        <v>914</v>
      </c>
      <c r="V500" s="261">
        <f t="shared" si="78"/>
        <v>0</v>
      </c>
      <c r="W500" s="261">
        <f t="shared" si="75"/>
        <v>0</v>
      </c>
      <c r="X500" s="261"/>
      <c r="Y500" s="176" t="s">
        <v>722</v>
      </c>
      <c r="Z500" s="176"/>
      <c r="AA500" s="186">
        <v>10000</v>
      </c>
      <c r="AB500" s="216">
        <v>0</v>
      </c>
      <c r="AC500" s="176">
        <v>0</v>
      </c>
      <c r="AD500" s="176">
        <v>0</v>
      </c>
      <c r="AE500" s="186">
        <v>10000</v>
      </c>
      <c r="AF500" s="35">
        <v>10000</v>
      </c>
      <c r="AG500" s="212">
        <v>0</v>
      </c>
      <c r="AH500" s="212">
        <f t="shared" si="71"/>
        <v>10000</v>
      </c>
      <c r="AI500" s="212" t="s">
        <v>914</v>
      </c>
      <c r="AJ500" s="212">
        <v>10000</v>
      </c>
      <c r="AK500" s="212">
        <v>0</v>
      </c>
      <c r="AL500" s="212">
        <v>0</v>
      </c>
      <c r="AM500" s="212">
        <v>0</v>
      </c>
      <c r="AN500" s="212">
        <v>10000</v>
      </c>
      <c r="AO500" s="176">
        <v>0</v>
      </c>
      <c r="AP500" s="176">
        <v>0</v>
      </c>
      <c r="AQ500" s="176">
        <v>0</v>
      </c>
      <c r="AR500" s="212">
        <f t="shared" si="72"/>
        <v>0</v>
      </c>
      <c r="AS500" s="212">
        <f t="shared" si="73"/>
        <v>0</v>
      </c>
      <c r="AT500" s="473">
        <f t="shared" si="74"/>
        <v>0</v>
      </c>
      <c r="AU500" s="478"/>
    </row>
    <row r="501" spans="1:47" s="35" customFormat="1" ht="29" hidden="1" x14ac:dyDescent="0.35">
      <c r="A501" s="35" t="s">
        <v>1196</v>
      </c>
      <c r="B501" s="224" t="s">
        <v>948</v>
      </c>
      <c r="C501" s="222"/>
      <c r="D501" s="136">
        <v>8470445</v>
      </c>
      <c r="E501" s="137" t="s">
        <v>325</v>
      </c>
      <c r="F501" s="138" t="s">
        <v>915</v>
      </c>
      <c r="G501" s="137" t="s">
        <v>31</v>
      </c>
      <c r="H501" s="137" t="s">
        <v>916</v>
      </c>
      <c r="I501" s="137"/>
      <c r="J501" s="140"/>
      <c r="K501" s="141"/>
      <c r="L501" s="142"/>
      <c r="M501" s="143"/>
      <c r="N501" s="144"/>
      <c r="O501" s="145"/>
      <c r="P501" s="145"/>
      <c r="Q501" s="145"/>
      <c r="R501" s="146"/>
      <c r="S501" s="139"/>
      <c r="T501" s="175"/>
      <c r="U501" s="137" t="s">
        <v>916</v>
      </c>
      <c r="V501" s="261">
        <f t="shared" si="78"/>
        <v>0</v>
      </c>
      <c r="W501" s="261">
        <f t="shared" si="75"/>
        <v>0</v>
      </c>
      <c r="X501" s="261"/>
      <c r="Y501" s="176" t="s">
        <v>722</v>
      </c>
      <c r="Z501" s="176"/>
      <c r="AA501" s="186">
        <v>10000</v>
      </c>
      <c r="AB501" s="216">
        <v>0</v>
      </c>
      <c r="AC501" s="176">
        <v>0</v>
      </c>
      <c r="AD501" s="176">
        <v>0</v>
      </c>
      <c r="AE501" s="186">
        <v>10000</v>
      </c>
      <c r="AF501" s="35">
        <v>10000</v>
      </c>
      <c r="AG501" s="212">
        <v>0</v>
      </c>
      <c r="AH501" s="212">
        <f t="shared" si="71"/>
        <v>10000</v>
      </c>
      <c r="AI501" s="212" t="s">
        <v>916</v>
      </c>
      <c r="AJ501" s="212">
        <v>10000</v>
      </c>
      <c r="AK501" s="212">
        <v>0</v>
      </c>
      <c r="AL501" s="212">
        <v>0</v>
      </c>
      <c r="AM501" s="212">
        <v>0</v>
      </c>
      <c r="AN501" s="212">
        <v>10000</v>
      </c>
      <c r="AO501" s="176">
        <v>0</v>
      </c>
      <c r="AP501" s="176">
        <v>0</v>
      </c>
      <c r="AQ501" s="176">
        <v>0</v>
      </c>
      <c r="AR501" s="212">
        <f t="shared" si="72"/>
        <v>0</v>
      </c>
      <c r="AS501" s="212">
        <f t="shared" si="73"/>
        <v>0</v>
      </c>
      <c r="AT501" s="473">
        <f t="shared" si="74"/>
        <v>0</v>
      </c>
      <c r="AU501" s="478"/>
    </row>
    <row r="502" spans="1:47" s="35" customFormat="1" ht="43.5" hidden="1" x14ac:dyDescent="0.35">
      <c r="A502" s="35" t="s">
        <v>1197</v>
      </c>
      <c r="B502" s="224" t="s">
        <v>949</v>
      </c>
      <c r="C502" s="222"/>
      <c r="D502" s="136">
        <v>8470530</v>
      </c>
      <c r="E502" s="137" t="s">
        <v>361</v>
      </c>
      <c r="F502" s="138" t="s">
        <v>917</v>
      </c>
      <c r="G502" s="137" t="s">
        <v>424</v>
      </c>
      <c r="H502" s="137" t="s">
        <v>918</v>
      </c>
      <c r="I502" s="137"/>
      <c r="J502" s="140"/>
      <c r="K502" s="141"/>
      <c r="L502" s="142"/>
      <c r="M502" s="143"/>
      <c r="N502" s="144"/>
      <c r="O502" s="145"/>
      <c r="P502" s="145"/>
      <c r="Q502" s="145"/>
      <c r="R502" s="146"/>
      <c r="S502" s="139"/>
      <c r="T502" s="175"/>
      <c r="U502" s="137" t="s">
        <v>918</v>
      </c>
      <c r="V502" s="261">
        <f t="shared" si="78"/>
        <v>0</v>
      </c>
      <c r="W502" s="261">
        <f t="shared" si="75"/>
        <v>0</v>
      </c>
      <c r="X502" s="261"/>
      <c r="Y502" s="176" t="s">
        <v>722</v>
      </c>
      <c r="Z502" s="176"/>
      <c r="AA502" s="186">
        <v>11750</v>
      </c>
      <c r="AB502" s="216">
        <v>0</v>
      </c>
      <c r="AC502" s="176">
        <v>0</v>
      </c>
      <c r="AD502" s="176">
        <v>0</v>
      </c>
      <c r="AE502" s="186">
        <v>11750</v>
      </c>
      <c r="AF502" s="35">
        <v>11750</v>
      </c>
      <c r="AG502" s="212">
        <v>0</v>
      </c>
      <c r="AH502" s="212">
        <f t="shared" si="71"/>
        <v>11750</v>
      </c>
      <c r="AI502" s="212" t="s">
        <v>918</v>
      </c>
      <c r="AJ502" s="212">
        <v>11750</v>
      </c>
      <c r="AK502" s="212">
        <v>0</v>
      </c>
      <c r="AL502" s="212">
        <v>0</v>
      </c>
      <c r="AM502" s="212">
        <v>0</v>
      </c>
      <c r="AN502" s="212">
        <v>11750</v>
      </c>
      <c r="AO502" s="176">
        <v>0</v>
      </c>
      <c r="AP502" s="176">
        <v>0</v>
      </c>
      <c r="AQ502" s="176">
        <v>0</v>
      </c>
      <c r="AR502" s="212">
        <f t="shared" si="72"/>
        <v>0</v>
      </c>
      <c r="AS502" s="212">
        <f t="shared" si="73"/>
        <v>0</v>
      </c>
      <c r="AT502" s="473">
        <f t="shared" si="74"/>
        <v>0</v>
      </c>
      <c r="AU502" s="478"/>
    </row>
    <row r="503" spans="1:47" s="35" customFormat="1" ht="43.5" hidden="1" x14ac:dyDescent="0.35">
      <c r="A503" s="35" t="s">
        <v>1200</v>
      </c>
      <c r="B503" s="224" t="s">
        <v>949</v>
      </c>
      <c r="C503" s="222"/>
      <c r="D503" s="136">
        <v>8471160</v>
      </c>
      <c r="E503" s="137" t="s">
        <v>529</v>
      </c>
      <c r="F503" s="138" t="s">
        <v>919</v>
      </c>
      <c r="G503" s="137" t="s">
        <v>622</v>
      </c>
      <c r="H503" s="137" t="s">
        <v>920</v>
      </c>
      <c r="I503" s="137"/>
      <c r="J503" s="140"/>
      <c r="K503" s="141"/>
      <c r="L503" s="142"/>
      <c r="M503" s="143"/>
      <c r="N503" s="144"/>
      <c r="O503" s="145"/>
      <c r="P503" s="145"/>
      <c r="Q503" s="145"/>
      <c r="R503" s="146"/>
      <c r="S503" s="139"/>
      <c r="T503" s="175"/>
      <c r="U503" s="137" t="s">
        <v>920</v>
      </c>
      <c r="V503" s="261">
        <f t="shared" si="78"/>
        <v>0</v>
      </c>
      <c r="W503" s="261">
        <f t="shared" si="75"/>
        <v>0</v>
      </c>
      <c r="X503" s="261"/>
      <c r="Y503" s="176" t="s">
        <v>722</v>
      </c>
      <c r="Z503" s="176"/>
      <c r="AA503" s="186">
        <v>160000</v>
      </c>
      <c r="AB503" s="216">
        <v>0</v>
      </c>
      <c r="AC503" s="176">
        <v>0</v>
      </c>
      <c r="AD503" s="176">
        <v>0</v>
      </c>
      <c r="AE503" s="186">
        <v>160000</v>
      </c>
      <c r="AF503" s="35">
        <v>160000</v>
      </c>
      <c r="AG503" s="212">
        <v>0</v>
      </c>
      <c r="AH503" s="212">
        <f t="shared" si="71"/>
        <v>160000</v>
      </c>
      <c r="AI503" s="212" t="s">
        <v>920</v>
      </c>
      <c r="AJ503" s="212">
        <v>160400</v>
      </c>
      <c r="AK503" s="212">
        <v>160400</v>
      </c>
      <c r="AL503" s="212">
        <v>0</v>
      </c>
      <c r="AM503" s="212">
        <v>0</v>
      </c>
      <c r="AN503" s="212">
        <v>0</v>
      </c>
      <c r="AO503" s="176">
        <v>0</v>
      </c>
      <c r="AP503" s="176">
        <v>0</v>
      </c>
      <c r="AQ503" s="176">
        <v>0</v>
      </c>
      <c r="AR503" s="212">
        <f t="shared" si="72"/>
        <v>0</v>
      </c>
      <c r="AS503" s="212">
        <f t="shared" si="73"/>
        <v>0</v>
      </c>
      <c r="AT503" s="473">
        <f t="shared" si="74"/>
        <v>160400</v>
      </c>
      <c r="AU503" s="478"/>
    </row>
    <row r="504" spans="1:47" s="35" customFormat="1" ht="43.5" x14ac:dyDescent="0.35">
      <c r="A504" s="35" t="s">
        <v>1194</v>
      </c>
      <c r="B504" s="224" t="s">
        <v>946</v>
      </c>
      <c r="C504" s="222"/>
      <c r="D504" s="136">
        <v>8471250</v>
      </c>
      <c r="E504" s="137" t="s">
        <v>577</v>
      </c>
      <c r="F504" s="138" t="s">
        <v>921</v>
      </c>
      <c r="G504" s="137" t="s">
        <v>110</v>
      </c>
      <c r="H504" s="137" t="s">
        <v>922</v>
      </c>
      <c r="I504" s="137"/>
      <c r="J504" s="140"/>
      <c r="K504" s="141"/>
      <c r="L504" s="142"/>
      <c r="M504" s="143"/>
      <c r="N504" s="144"/>
      <c r="O504" s="145"/>
      <c r="P504" s="145"/>
      <c r="Q504" s="145"/>
      <c r="R504" s="146"/>
      <c r="S504" s="139"/>
      <c r="T504" s="175"/>
      <c r="U504" s="137" t="s">
        <v>922</v>
      </c>
      <c r="V504" s="261">
        <f t="shared" si="78"/>
        <v>0</v>
      </c>
      <c r="W504" s="261">
        <f t="shared" si="75"/>
        <v>-8995</v>
      </c>
      <c r="X504" s="261"/>
      <c r="Y504" s="176" t="s">
        <v>722</v>
      </c>
      <c r="Z504" s="176"/>
      <c r="AA504" s="186">
        <v>165000</v>
      </c>
      <c r="AB504" s="216">
        <v>51645</v>
      </c>
      <c r="AC504" s="176">
        <v>0</v>
      </c>
      <c r="AD504" s="176">
        <v>0</v>
      </c>
      <c r="AE504" s="186">
        <v>113355</v>
      </c>
      <c r="AF504" s="35">
        <v>113355</v>
      </c>
      <c r="AG504" s="212">
        <v>0</v>
      </c>
      <c r="AH504" s="212">
        <f t="shared" si="71"/>
        <v>113355</v>
      </c>
      <c r="AI504" s="212" t="s">
        <v>922</v>
      </c>
      <c r="AJ504" s="212">
        <v>80600</v>
      </c>
      <c r="AK504" s="212">
        <v>60245</v>
      </c>
      <c r="AL504" s="212">
        <v>0</v>
      </c>
      <c r="AM504" s="212">
        <v>0</v>
      </c>
      <c r="AN504" s="212">
        <v>20355</v>
      </c>
      <c r="AO504" s="176">
        <v>0</v>
      </c>
      <c r="AP504" s="176">
        <v>0</v>
      </c>
      <c r="AQ504" s="176">
        <v>8995</v>
      </c>
      <c r="AR504" s="212">
        <f t="shared" si="72"/>
        <v>-8995</v>
      </c>
      <c r="AS504" s="212">
        <f t="shared" si="73"/>
        <v>60640</v>
      </c>
      <c r="AT504" s="473">
        <f t="shared" si="74"/>
        <v>78235</v>
      </c>
      <c r="AU504" s="478"/>
    </row>
    <row r="505" spans="1:47" s="35" customFormat="1" hidden="1" x14ac:dyDescent="0.35">
      <c r="A505" s="35" t="s">
        <v>1201</v>
      </c>
      <c r="B505" s="224" t="s">
        <v>956</v>
      </c>
      <c r="C505" s="222"/>
      <c r="D505" s="136">
        <v>8471305</v>
      </c>
      <c r="E505" s="137" t="s">
        <v>616</v>
      </c>
      <c r="F505" s="138" t="s">
        <v>923</v>
      </c>
      <c r="G505" s="137" t="s">
        <v>137</v>
      </c>
      <c r="H505" s="137" t="s">
        <v>924</v>
      </c>
      <c r="I505" s="137"/>
      <c r="J505" s="140"/>
      <c r="K505" s="141"/>
      <c r="L505" s="142"/>
      <c r="M505" s="143"/>
      <c r="N505" s="144"/>
      <c r="O505" s="145"/>
      <c r="P505" s="145"/>
      <c r="Q505" s="145"/>
      <c r="R505" s="146"/>
      <c r="S505" s="139"/>
      <c r="T505" s="175"/>
      <c r="U505" s="137" t="s">
        <v>924</v>
      </c>
      <c r="V505" s="261">
        <f t="shared" si="78"/>
        <v>0</v>
      </c>
      <c r="W505" s="261">
        <f t="shared" si="75"/>
        <v>-6000</v>
      </c>
      <c r="X505" s="261"/>
      <c r="Y505" s="176" t="s">
        <v>722</v>
      </c>
      <c r="Z505" s="176"/>
      <c r="AA505" s="186">
        <v>6000</v>
      </c>
      <c r="AB505" s="186">
        <v>0</v>
      </c>
      <c r="AC505" s="176">
        <v>0</v>
      </c>
      <c r="AD505" s="176">
        <v>0</v>
      </c>
      <c r="AE505" s="186">
        <v>6000</v>
      </c>
      <c r="AF505" s="35">
        <v>6000</v>
      </c>
      <c r="AG505" s="212">
        <v>0</v>
      </c>
      <c r="AH505" s="212">
        <f t="shared" si="71"/>
        <v>6000</v>
      </c>
      <c r="AI505" s="212" t="s">
        <v>924</v>
      </c>
      <c r="AJ505" s="212">
        <v>6000</v>
      </c>
      <c r="AK505" s="212">
        <v>0</v>
      </c>
      <c r="AL505" s="212">
        <v>0</v>
      </c>
      <c r="AM505" s="212">
        <v>0</v>
      </c>
      <c r="AN505" s="212">
        <v>6000</v>
      </c>
      <c r="AO505" s="176">
        <v>6000</v>
      </c>
      <c r="AP505" s="176">
        <v>0</v>
      </c>
      <c r="AQ505" s="176">
        <v>0</v>
      </c>
      <c r="AR505" s="212">
        <f t="shared" si="72"/>
        <v>-6000</v>
      </c>
      <c r="AS505" s="212">
        <f t="shared" si="73"/>
        <v>6000</v>
      </c>
      <c r="AT505" s="473">
        <f t="shared" si="74"/>
        <v>12000</v>
      </c>
      <c r="AU505" s="478"/>
    </row>
    <row r="506" spans="1:47" s="35" customFormat="1" hidden="1" x14ac:dyDescent="0.35">
      <c r="A506" s="35" t="s">
        <v>1196</v>
      </c>
      <c r="B506" s="224"/>
      <c r="C506" s="222"/>
      <c r="D506" s="136">
        <v>8470410</v>
      </c>
      <c r="E506" s="137" t="s">
        <v>268</v>
      </c>
      <c r="F506" s="138">
        <v>428090</v>
      </c>
      <c r="G506" s="137" t="s">
        <v>39</v>
      </c>
      <c r="H506" s="137" t="s">
        <v>1216</v>
      </c>
      <c r="I506" s="137"/>
      <c r="J506" s="140"/>
      <c r="K506" s="141"/>
      <c r="L506" s="142"/>
      <c r="M506" s="143"/>
      <c r="N506" s="144"/>
      <c r="O506" s="145"/>
      <c r="P506" s="145"/>
      <c r="Q506" s="145"/>
      <c r="R506" s="146"/>
      <c r="S506" s="139"/>
      <c r="T506" s="175"/>
      <c r="U506" s="137" t="s">
        <v>1216</v>
      </c>
      <c r="V506" s="261"/>
      <c r="W506" s="261">
        <f t="shared" si="75"/>
        <v>0</v>
      </c>
      <c r="X506" s="261"/>
      <c r="Y506" s="176"/>
      <c r="Z506" s="176"/>
      <c r="AA506" s="186"/>
      <c r="AB506" s="186"/>
      <c r="AC506" s="176"/>
      <c r="AD506" s="176"/>
      <c r="AE506" s="186"/>
      <c r="AG506" s="212"/>
      <c r="AH506" s="212"/>
      <c r="AI506" s="212" t="s">
        <v>1216</v>
      </c>
      <c r="AJ506" s="212">
        <v>4529</v>
      </c>
      <c r="AK506" s="212">
        <v>4529</v>
      </c>
      <c r="AL506" s="212">
        <v>0</v>
      </c>
      <c r="AM506" s="212">
        <v>0</v>
      </c>
      <c r="AN506" s="212">
        <v>0</v>
      </c>
      <c r="AO506" s="176"/>
      <c r="AP506" s="176"/>
      <c r="AQ506" s="176"/>
      <c r="AR506" s="212"/>
      <c r="AS506" s="212"/>
      <c r="AT506" s="473">
        <f t="shared" si="74"/>
        <v>4529</v>
      </c>
      <c r="AU506" s="477"/>
    </row>
    <row r="507" spans="1:47" s="35" customFormat="1" hidden="1" x14ac:dyDescent="0.35">
      <c r="A507" s="35" t="s">
        <v>1197</v>
      </c>
      <c r="B507" s="224"/>
      <c r="C507" s="222"/>
      <c r="D507" s="136">
        <v>8470520</v>
      </c>
      <c r="E507" s="137" t="s">
        <v>352</v>
      </c>
      <c r="F507" s="138">
        <v>428640</v>
      </c>
      <c r="G507" s="137" t="s">
        <v>43</v>
      </c>
      <c r="H507" s="137" t="s">
        <v>1217</v>
      </c>
      <c r="I507" s="137"/>
      <c r="J507" s="140"/>
      <c r="K507" s="141"/>
      <c r="L507" s="142"/>
      <c r="M507" s="143"/>
      <c r="N507" s="144"/>
      <c r="O507" s="145"/>
      <c r="P507" s="145"/>
      <c r="Q507" s="145"/>
      <c r="R507" s="146"/>
      <c r="S507" s="139"/>
      <c r="T507" s="175"/>
      <c r="U507" s="137" t="s">
        <v>1217</v>
      </c>
      <c r="V507" s="261"/>
      <c r="W507" s="261">
        <f t="shared" si="75"/>
        <v>0</v>
      </c>
      <c r="X507" s="261"/>
      <c r="Y507" s="176"/>
      <c r="Z507" s="176"/>
      <c r="AA507" s="186"/>
      <c r="AB507" s="186"/>
      <c r="AC507" s="176"/>
      <c r="AD507" s="176"/>
      <c r="AE507" s="186"/>
      <c r="AG507" s="212"/>
      <c r="AH507" s="212"/>
      <c r="AI507" s="212" t="s">
        <v>1217</v>
      </c>
      <c r="AJ507" s="212">
        <v>25000</v>
      </c>
      <c r="AK507" s="212">
        <v>0</v>
      </c>
      <c r="AL507" s="212">
        <v>0</v>
      </c>
      <c r="AM507" s="212">
        <v>0</v>
      </c>
      <c r="AN507" s="212">
        <v>25000</v>
      </c>
      <c r="AO507" s="176"/>
      <c r="AP507" s="176"/>
      <c r="AQ507" s="176"/>
      <c r="AR507" s="212"/>
      <c r="AS507" s="212"/>
      <c r="AT507" s="473">
        <f t="shared" si="74"/>
        <v>0</v>
      </c>
      <c r="AU507" s="477"/>
    </row>
    <row r="508" spans="1:47" s="35" customFormat="1" hidden="1" x14ac:dyDescent="0.35">
      <c r="A508" s="35" t="s">
        <v>1198</v>
      </c>
      <c r="B508" s="224"/>
      <c r="C508" s="222"/>
      <c r="D508" s="136">
        <v>8470620</v>
      </c>
      <c r="E508" s="137" t="s">
        <v>431</v>
      </c>
      <c r="F508" s="138">
        <v>425900</v>
      </c>
      <c r="G508" s="137" t="s">
        <v>35</v>
      </c>
      <c r="H508" s="137" t="s">
        <v>1218</v>
      </c>
      <c r="I508" s="137"/>
      <c r="J508" s="140"/>
      <c r="K508" s="141"/>
      <c r="L508" s="142"/>
      <c r="M508" s="143"/>
      <c r="N508" s="144"/>
      <c r="O508" s="145"/>
      <c r="P508" s="145"/>
      <c r="Q508" s="145"/>
      <c r="R508" s="146"/>
      <c r="S508" s="139"/>
      <c r="T508" s="175"/>
      <c r="U508" s="137" t="s">
        <v>1218</v>
      </c>
      <c r="V508" s="261"/>
      <c r="W508" s="261">
        <f t="shared" si="75"/>
        <v>0</v>
      </c>
      <c r="X508" s="261"/>
      <c r="Y508" s="176"/>
      <c r="Z508" s="176"/>
      <c r="AA508" s="186"/>
      <c r="AB508" s="186"/>
      <c r="AC508" s="176"/>
      <c r="AD508" s="176"/>
      <c r="AE508" s="186"/>
      <c r="AG508" s="212"/>
      <c r="AH508" s="212"/>
      <c r="AI508" s="212" t="s">
        <v>1218</v>
      </c>
      <c r="AJ508" s="212">
        <v>5000</v>
      </c>
      <c r="AK508" s="212">
        <v>1000</v>
      </c>
      <c r="AL508" s="212">
        <v>0</v>
      </c>
      <c r="AM508" s="212">
        <v>0</v>
      </c>
      <c r="AN508" s="212">
        <v>4000</v>
      </c>
      <c r="AO508" s="176"/>
      <c r="AP508" s="176"/>
      <c r="AQ508" s="176"/>
      <c r="AR508" s="212"/>
      <c r="AS508" s="212"/>
      <c r="AT508" s="473">
        <f t="shared" si="74"/>
        <v>1000</v>
      </c>
      <c r="AU508" s="477"/>
    </row>
    <row r="509" spans="1:47" s="35" customFormat="1" hidden="1" x14ac:dyDescent="0.35">
      <c r="A509" s="35" t="s">
        <v>1197</v>
      </c>
      <c r="B509" s="224"/>
      <c r="C509" s="222"/>
      <c r="D509" s="136">
        <v>8470720</v>
      </c>
      <c r="E509" s="137" t="s">
        <v>445</v>
      </c>
      <c r="F509" s="138">
        <v>421000</v>
      </c>
      <c r="G509" s="137" t="s">
        <v>27</v>
      </c>
      <c r="H509" s="137" t="s">
        <v>1219</v>
      </c>
      <c r="I509" s="137"/>
      <c r="J509" s="140"/>
      <c r="K509" s="141"/>
      <c r="L509" s="142"/>
      <c r="M509" s="143"/>
      <c r="N509" s="144"/>
      <c r="O509" s="145"/>
      <c r="P509" s="145"/>
      <c r="Q509" s="145"/>
      <c r="R509" s="146"/>
      <c r="S509" s="139"/>
      <c r="T509" s="175"/>
      <c r="U509" s="137" t="s">
        <v>1219</v>
      </c>
      <c r="V509" s="261"/>
      <c r="W509" s="261">
        <f t="shared" si="75"/>
        <v>0</v>
      </c>
      <c r="X509" s="261"/>
      <c r="Y509" s="176"/>
      <c r="Z509" s="176"/>
      <c r="AA509" s="186"/>
      <c r="AB509" s="186"/>
      <c r="AC509" s="176"/>
      <c r="AD509" s="176"/>
      <c r="AE509" s="186"/>
      <c r="AG509" s="212"/>
      <c r="AH509" s="212"/>
      <c r="AI509" s="212" t="s">
        <v>1219</v>
      </c>
      <c r="AJ509" s="212"/>
      <c r="AK509" s="212">
        <v>-177900.66</v>
      </c>
      <c r="AL509" s="212">
        <v>0</v>
      </c>
      <c r="AM509" s="212">
        <v>0</v>
      </c>
      <c r="AN509" s="212">
        <v>177900.66</v>
      </c>
      <c r="AO509" s="176"/>
      <c r="AP509" s="176"/>
      <c r="AQ509" s="176"/>
      <c r="AR509" s="212"/>
      <c r="AS509" s="212"/>
      <c r="AT509" s="473">
        <f t="shared" si="74"/>
        <v>-177900.66</v>
      </c>
      <c r="AU509" s="477"/>
    </row>
    <row r="510" spans="1:47" hidden="1" x14ac:dyDescent="0.35">
      <c r="B510" s="225"/>
      <c r="C510" s="22" t="s">
        <v>655</v>
      </c>
      <c r="D510" s="14"/>
      <c r="E510" s="15"/>
      <c r="F510" s="15"/>
      <c r="G510" s="15"/>
      <c r="H510" s="15"/>
      <c r="I510" s="181">
        <f t="shared" ref="I510:T510" si="79">SUM(I2:I497)</f>
        <v>592955000</v>
      </c>
      <c r="J510" s="181">
        <f t="shared" si="79"/>
        <v>579850000</v>
      </c>
      <c r="K510" s="181">
        <f t="shared" si="79"/>
        <v>321675274.61000025</v>
      </c>
      <c r="L510" s="181">
        <f t="shared" si="79"/>
        <v>27533031.460000005</v>
      </c>
      <c r="M510" s="181">
        <f t="shared" si="79"/>
        <v>39813473.489999995</v>
      </c>
      <c r="N510" s="181">
        <f t="shared" si="79"/>
        <v>190828220.43999988</v>
      </c>
      <c r="O510" s="181">
        <f t="shared" si="79"/>
        <v>57713984.046866626</v>
      </c>
      <c r="P510" s="181">
        <f t="shared" si="79"/>
        <v>45812497.107666627</v>
      </c>
      <c r="Q510" s="181">
        <f t="shared" si="79"/>
        <v>47727454.776000001</v>
      </c>
      <c r="R510" s="181">
        <f t="shared" si="79"/>
        <v>213125</v>
      </c>
      <c r="S510" s="181">
        <f t="shared" si="79"/>
        <v>24493426.576666649</v>
      </c>
      <c r="T510" s="182">
        <f t="shared" si="79"/>
        <v>0</v>
      </c>
      <c r="U510" s="552"/>
      <c r="V510" s="261">
        <f>SUM(V2:V505)</f>
        <v>34476347.390666656</v>
      </c>
      <c r="W510" s="261">
        <f>SUM(W2:W505)</f>
        <v>29224243.171466663</v>
      </c>
      <c r="X510" s="261">
        <f>SUM(X2:X505)</f>
        <v>26381942.930000003</v>
      </c>
      <c r="Y510" s="215">
        <f>SUM(Y2:Y497)</f>
        <v>0</v>
      </c>
      <c r="Z510" s="215"/>
      <c r="AA510" s="215">
        <f t="shared" ref="AA510:AH510" si="80">SUM(AA2:AA505)</f>
        <v>579850000</v>
      </c>
      <c r="AB510" s="215">
        <f t="shared" si="80"/>
        <v>397954838.32000029</v>
      </c>
      <c r="AC510" s="215">
        <f t="shared" si="80"/>
        <v>10457400.029999999</v>
      </c>
      <c r="AD510" s="215">
        <f t="shared" si="80"/>
        <v>47609641.630000003</v>
      </c>
      <c r="AE510" s="215">
        <f t="shared" si="80"/>
        <v>112371249.52999982</v>
      </c>
      <c r="AF510" s="215" t="e">
        <f t="shared" si="80"/>
        <v>#N/A</v>
      </c>
      <c r="AG510" s="215" t="e">
        <f t="shared" si="80"/>
        <v>#N/A</v>
      </c>
      <c r="AH510" s="215">
        <f t="shared" si="80"/>
        <v>77894902.139333203</v>
      </c>
      <c r="AI510" s="215"/>
      <c r="AJ510" s="472">
        <f>SUM(AJ2:AJ509)</f>
        <v>579850000</v>
      </c>
      <c r="AK510" s="472">
        <f t="shared" ref="AK510:AM510" si="81">SUM(AK2:AK509)</f>
        <v>453931899.87000024</v>
      </c>
      <c r="AL510" s="472">
        <f t="shared" si="81"/>
        <v>8850241.6999999993</v>
      </c>
      <c r="AM510" s="472">
        <f t="shared" si="81"/>
        <v>36418948.61999999</v>
      </c>
      <c r="AN510" s="472">
        <f t="shared" ref="AN510" si="82">SUM(AN2:AN509)</f>
        <v>80691645.019999623</v>
      </c>
      <c r="AO510" s="472">
        <f t="shared" ref="AO510" si="83">SUM(AO2:AO509)</f>
        <v>429816.93999999994</v>
      </c>
      <c r="AP510" s="472">
        <f>SUM(AP2:AP509)</f>
        <v>3444730.2691999995</v>
      </c>
      <c r="AQ510" s="472">
        <f>SUM(AQ2:AQ509)</f>
        <v>1377557.01</v>
      </c>
      <c r="AR510" s="472">
        <f>SUM(AR2:AR509)</f>
        <v>29224243.171466663</v>
      </c>
      <c r="AS510" s="472">
        <f>SUM(AS2:AS509)</f>
        <v>509001438.97520012</v>
      </c>
      <c r="AT510" s="473">
        <f t="shared" si="74"/>
        <v>549338348.94373357</v>
      </c>
      <c r="AU510" s="478">
        <f t="shared" ref="AU510" si="84">SUM(AU2:AU509)</f>
        <v>0</v>
      </c>
    </row>
    <row r="511" spans="1:47" hidden="1" x14ac:dyDescent="0.35">
      <c r="C511" s="24" t="s">
        <v>720</v>
      </c>
      <c r="D511" s="24"/>
      <c r="E511" s="24"/>
      <c r="F511" s="24"/>
      <c r="G511" s="24"/>
      <c r="H511" s="24"/>
      <c r="I511" s="137"/>
      <c r="J511" s="180"/>
      <c r="K511" s="24"/>
      <c r="L511" s="24"/>
      <c r="M511" s="24"/>
      <c r="N511" s="24"/>
      <c r="O511" s="24"/>
      <c r="P511" s="24"/>
      <c r="Q511" s="24"/>
      <c r="R511" s="24"/>
      <c r="S511" s="24"/>
      <c r="T511" s="24"/>
      <c r="U511" s="24"/>
      <c r="V511" s="24"/>
      <c r="W511" s="24"/>
      <c r="X511" s="24"/>
      <c r="AC511" s="1"/>
      <c r="AD511" s="1"/>
      <c r="AF511" s="1"/>
      <c r="AG511" s="1"/>
      <c r="AJ511" s="212"/>
      <c r="AN511" s="212">
        <f>IFERROR(VLOOKUP(AI511,[1]Sheet1!$F:$L,7,FALSE),0)</f>
        <v>0</v>
      </c>
      <c r="AO511" s="35">
        <v>435381.93999999994</v>
      </c>
      <c r="AP511" s="184">
        <v>3473566.6391999996</v>
      </c>
      <c r="AQ511" s="211">
        <v>1435934.8900000001</v>
      </c>
      <c r="AR511" s="212"/>
      <c r="AT511" s="473">
        <f>AJ510</f>
        <v>579850000</v>
      </c>
    </row>
    <row r="512" spans="1:47" hidden="1" x14ac:dyDescent="0.35">
      <c r="C512" s="25" t="s">
        <v>0</v>
      </c>
      <c r="I512" s="137"/>
      <c r="Q512" s="1"/>
      <c r="S512" s="1"/>
      <c r="AC512" s="1"/>
      <c r="AD512" s="1"/>
      <c r="AF512" s="1"/>
      <c r="AG512" s="1"/>
      <c r="AH512" s="397" t="s">
        <v>1186</v>
      </c>
      <c r="AI512" s="397"/>
      <c r="AJ512" s="212">
        <f>AA510</f>
        <v>579850000</v>
      </c>
      <c r="AK512" s="397">
        <v>453931899.87</v>
      </c>
      <c r="AL512" s="397">
        <v>8850241.6999999993</v>
      </c>
      <c r="AM512" s="397">
        <v>36418948.619999997</v>
      </c>
      <c r="AN512" s="212">
        <v>80691645.019999593</v>
      </c>
      <c r="AO512" s="396">
        <f>AO511-AO510</f>
        <v>5565</v>
      </c>
      <c r="AP512" s="396">
        <f>AP511-AP510</f>
        <v>28836.370000000112</v>
      </c>
      <c r="AQ512" s="396">
        <f>AQ511-AQ510</f>
        <v>58377.880000000121</v>
      </c>
      <c r="AR512" s="212"/>
      <c r="AT512" s="473">
        <f>AT510-AT511</f>
        <v>-30511651.056266427</v>
      </c>
    </row>
    <row r="513" spans="22:46" x14ac:dyDescent="0.35">
      <c r="V513" s="260"/>
      <c r="W513" s="445"/>
      <c r="X513" s="445"/>
      <c r="AK513" s="447">
        <f>AK510-AK512</f>
        <v>0</v>
      </c>
      <c r="AN513" s="212">
        <f>IFERROR(VLOOKUP(AI513,[1]Sheet1!$F:$L,7,FALSE),0)</f>
        <v>0</v>
      </c>
    </row>
    <row r="514" spans="22:46" x14ac:dyDescent="0.35">
      <c r="AA514" s="211">
        <v>579850000</v>
      </c>
      <c r="AB514" s="211">
        <v>397954838.32000029</v>
      </c>
      <c r="AC514" s="211">
        <v>10457400.029999999</v>
      </c>
      <c r="AD514" s="211">
        <v>47609641.629999995</v>
      </c>
      <c r="AE514" s="211">
        <v>123932899.72999965</v>
      </c>
      <c r="AJ514" s="447">
        <f>AJ510-AJ512</f>
        <v>0</v>
      </c>
      <c r="AK514" s="447">
        <f t="shared" ref="AK514:AQ514" si="85">AK510-AK512</f>
        <v>0</v>
      </c>
      <c r="AL514" s="447">
        <f t="shared" si="85"/>
        <v>0</v>
      </c>
      <c r="AM514" s="447">
        <f t="shared" si="85"/>
        <v>0</v>
      </c>
      <c r="AN514" s="212">
        <f>IFERROR(VLOOKUP(AI514,[1]Sheet1!$F:$L,7,FALSE),0)</f>
        <v>0</v>
      </c>
      <c r="AO514" s="447">
        <f t="shared" si="85"/>
        <v>424251.93999999994</v>
      </c>
      <c r="AP514" s="447">
        <f t="shared" si="85"/>
        <v>3415893.8991999994</v>
      </c>
      <c r="AQ514" s="447">
        <f t="shared" si="85"/>
        <v>1319179.1299999999</v>
      </c>
      <c r="AR514" s="478">
        <f>SUBTOTAL(9,AR1:AR513)</f>
        <v>4222125.3199166656</v>
      </c>
      <c r="AS514" s="478">
        <f t="shared" ref="AS514:AT514" si="86">SUBTOTAL(9,AS1:AS513)</f>
        <v>222730051.18608344</v>
      </c>
      <c r="AT514" s="478">
        <f t="shared" si="86"/>
        <v>246662223.26616657</v>
      </c>
    </row>
    <row r="515" spans="22:46" x14ac:dyDescent="0.35">
      <c r="AN515" s="448">
        <f>AN510-X510</f>
        <v>54309702.089999616</v>
      </c>
      <c r="AT515" s="447"/>
    </row>
    <row r="516" spans="22:46" x14ac:dyDescent="0.35">
      <c r="AA516" s="211">
        <f>AA514-AA510</f>
        <v>0</v>
      </c>
      <c r="AB516" s="211">
        <v>453931900</v>
      </c>
      <c r="AC516" s="211">
        <f t="shared" ref="AC516:AF516" si="87">AC514-AC510</f>
        <v>0</v>
      </c>
      <c r="AD516" s="211">
        <f t="shared" si="87"/>
        <v>0</v>
      </c>
      <c r="AE516" s="211">
        <f t="shared" si="87"/>
        <v>11561650.199999824</v>
      </c>
      <c r="AF516" s="211" t="e">
        <f t="shared" si="87"/>
        <v>#N/A</v>
      </c>
    </row>
    <row r="517" spans="22:46" x14ac:dyDescent="0.35">
      <c r="AB517" s="211">
        <f>AB516-AB514</f>
        <v>55977061.679999709</v>
      </c>
    </row>
    <row r="518" spans="22:46" x14ac:dyDescent="0.35">
      <c r="V518" s="447" t="e">
        <f>V510-#REF!</f>
        <v>#REF!</v>
      </c>
      <c r="W518" s="447"/>
    </row>
  </sheetData>
  <autoFilter ref="A1:AU512" xr:uid="{00000000-0009-0000-0000-000006000000}">
    <filterColumn colId="0">
      <filters>
        <filter val="Academic and Student Services Office"/>
      </filters>
    </filterColumn>
  </autoFilter>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sheetPr>
  <dimension ref="A3:F36"/>
  <sheetViews>
    <sheetView topLeftCell="A19" workbookViewId="0">
      <selection activeCell="D24" sqref="D24"/>
    </sheetView>
  </sheetViews>
  <sheetFormatPr defaultRowHeight="14.5" x14ac:dyDescent="0.35"/>
  <cols>
    <col min="1" max="1" width="56.7265625" customWidth="1"/>
    <col min="2" max="2" width="24.08984375" style="217" customWidth="1"/>
    <col min="3" max="3" width="25.36328125" style="217" customWidth="1"/>
    <col min="4" max="4" width="19" customWidth="1"/>
    <col min="5" max="5" width="20.26953125" bestFit="1" customWidth="1"/>
    <col min="6" max="6" width="13.54296875" bestFit="1" customWidth="1"/>
  </cols>
  <sheetData>
    <row r="3" spans="1:5" x14ac:dyDescent="0.35">
      <c r="A3" s="504" t="s">
        <v>1205</v>
      </c>
      <c r="B3" s="504" t="s">
        <v>1223</v>
      </c>
      <c r="C3" s="504" t="s">
        <v>1224</v>
      </c>
      <c r="D3" s="504" t="s">
        <v>1230</v>
      </c>
      <c r="E3" s="504" t="s">
        <v>1231</v>
      </c>
    </row>
    <row r="4" spans="1:5" x14ac:dyDescent="0.35">
      <c r="A4" s="490" t="s">
        <v>1194</v>
      </c>
      <c r="B4" s="491">
        <v>1387588</v>
      </c>
      <c r="C4" s="491">
        <v>1278932</v>
      </c>
      <c r="D4" s="491">
        <v>54328</v>
      </c>
      <c r="E4" s="491"/>
    </row>
    <row r="5" spans="1:5" x14ac:dyDescent="0.35">
      <c r="A5" s="490" t="s">
        <v>1196</v>
      </c>
      <c r="B5" s="491">
        <v>4463212</v>
      </c>
      <c r="C5" s="491">
        <v>3761196.66</v>
      </c>
      <c r="D5" s="491">
        <v>351007.67</v>
      </c>
      <c r="E5" s="491"/>
    </row>
    <row r="6" spans="1:5" x14ac:dyDescent="0.35">
      <c r="A6" s="490" t="s">
        <v>1195</v>
      </c>
      <c r="B6" s="491">
        <v>6549846</v>
      </c>
      <c r="C6" s="491">
        <v>5925066.1800000006</v>
      </c>
      <c r="D6" s="491">
        <v>312389.90999999992</v>
      </c>
      <c r="E6" s="491"/>
    </row>
    <row r="7" spans="1:5" x14ac:dyDescent="0.35">
      <c r="A7" s="490" t="s">
        <v>1201</v>
      </c>
      <c r="B7" s="491">
        <v>18048337</v>
      </c>
      <c r="C7" s="491">
        <v>17722615.499999996</v>
      </c>
      <c r="D7" s="491">
        <v>162860.75000000076</v>
      </c>
      <c r="E7" s="491"/>
    </row>
    <row r="8" spans="1:5" x14ac:dyDescent="0.35">
      <c r="A8" s="490" t="s">
        <v>1192</v>
      </c>
      <c r="B8" s="491">
        <v>27589</v>
      </c>
      <c r="C8" s="491">
        <v>-27589</v>
      </c>
      <c r="D8" s="491">
        <v>27589</v>
      </c>
      <c r="E8" s="491"/>
    </row>
    <row r="9" spans="1:5" x14ac:dyDescent="0.35">
      <c r="A9" s="490" t="s">
        <v>1191</v>
      </c>
      <c r="B9" s="491">
        <v>1276302</v>
      </c>
      <c r="C9" s="491">
        <v>1253004.5600000005</v>
      </c>
      <c r="D9" s="491">
        <v>11648.719999999834</v>
      </c>
      <c r="E9" s="491"/>
    </row>
    <row r="10" spans="1:5" x14ac:dyDescent="0.35">
      <c r="A10" s="490" t="s">
        <v>1200</v>
      </c>
      <c r="B10" s="491">
        <v>19855223</v>
      </c>
      <c r="C10" s="491">
        <v>6126402.379999999</v>
      </c>
      <c r="D10" s="491">
        <v>8264410.3099999996</v>
      </c>
      <c r="E10" s="491">
        <v>2800000</v>
      </c>
    </row>
    <row r="11" spans="1:5" x14ac:dyDescent="0.35">
      <c r="A11" s="507" t="s">
        <v>1197</v>
      </c>
      <c r="B11" s="506">
        <v>58692903</v>
      </c>
      <c r="C11" s="506">
        <v>60033770.289999992</v>
      </c>
      <c r="D11" s="506">
        <v>3823970.2200000035</v>
      </c>
      <c r="E11" s="506">
        <v>8988807.7300000004</v>
      </c>
    </row>
    <row r="12" spans="1:5" ht="15" thickBot="1" x14ac:dyDescent="0.4">
      <c r="A12" s="535" t="s">
        <v>719</v>
      </c>
      <c r="B12" s="534">
        <v>110301000</v>
      </c>
      <c r="C12" s="534">
        <v>96073398.569999993</v>
      </c>
      <c r="D12" s="534">
        <v>13008204.580000002</v>
      </c>
      <c r="E12" s="534">
        <v>11788807.73</v>
      </c>
    </row>
    <row r="13" spans="1:5" ht="15" thickTop="1" x14ac:dyDescent="0.35">
      <c r="B13"/>
      <c r="C13"/>
      <c r="E13" s="183">
        <f>GETPIVOTDATA("Sum of Capex Shortage",$A$3)-GETPIVOTDATA("Sum of Capex Surplus",$A$3)</f>
        <v>-1219396.8500000015</v>
      </c>
    </row>
    <row r="14" spans="1:5" x14ac:dyDescent="0.35">
      <c r="A14" s="264" t="s">
        <v>1232</v>
      </c>
      <c r="B14"/>
      <c r="C14" s="183">
        <f>GETPIVOTDATA("Sum of Budget 10-Dec-2022",$A$3)-GETPIVOTDATA("Sum of Forecast 10-Dec-2022",$A$3)</f>
        <v>14227601.430000007</v>
      </c>
      <c r="E14" s="183"/>
    </row>
    <row r="15" spans="1:5" x14ac:dyDescent="0.35">
      <c r="A15" s="264" t="s">
        <v>1234</v>
      </c>
    </row>
    <row r="16" spans="1:5" x14ac:dyDescent="0.35">
      <c r="A16" s="264"/>
    </row>
    <row r="17" spans="1:6" x14ac:dyDescent="0.35">
      <c r="A17" s="264"/>
    </row>
    <row r="18" spans="1:6" x14ac:dyDescent="0.35">
      <c r="A18" s="264"/>
    </row>
    <row r="19" spans="1:6" x14ac:dyDescent="0.35">
      <c r="A19" s="264"/>
    </row>
    <row r="21" spans="1:6" x14ac:dyDescent="0.35">
      <c r="A21" s="443" t="s">
        <v>1205</v>
      </c>
      <c r="B21" s="443" t="s">
        <v>1223</v>
      </c>
      <c r="C21" s="443" t="s">
        <v>1224</v>
      </c>
      <c r="D21" s="443" t="s">
        <v>1230</v>
      </c>
      <c r="E21" s="443" t="s">
        <v>1231</v>
      </c>
    </row>
    <row r="22" spans="1:6" x14ac:dyDescent="0.35">
      <c r="A22" s="490" t="s">
        <v>682</v>
      </c>
      <c r="B22" s="491">
        <v>49157133</v>
      </c>
      <c r="C22" s="491">
        <v>53121945.569999993</v>
      </c>
      <c r="D22" s="491">
        <v>2511997.5800000033</v>
      </c>
      <c r="E22" s="491">
        <v>8988807.7300000004</v>
      </c>
      <c r="F22" s="183"/>
    </row>
    <row r="23" spans="1:6" x14ac:dyDescent="0.35">
      <c r="A23" s="490" t="s">
        <v>693</v>
      </c>
      <c r="B23" s="491">
        <v>0</v>
      </c>
      <c r="C23" s="491">
        <v>0</v>
      </c>
      <c r="D23" s="491">
        <v>0</v>
      </c>
      <c r="E23" s="491"/>
    </row>
    <row r="24" spans="1:6" x14ac:dyDescent="0.35">
      <c r="A24" s="490" t="s">
        <v>658</v>
      </c>
      <c r="B24" s="491">
        <v>1368465</v>
      </c>
      <c r="C24" s="491">
        <v>-816242.38000000012</v>
      </c>
      <c r="D24" s="491">
        <v>1092353.69</v>
      </c>
      <c r="E24" s="491"/>
    </row>
    <row r="25" spans="1:6" x14ac:dyDescent="0.35">
      <c r="A25" s="490" t="s">
        <v>666</v>
      </c>
      <c r="B25" s="491">
        <v>46409</v>
      </c>
      <c r="C25" s="491">
        <v>14195.5</v>
      </c>
      <c r="D25" s="491">
        <v>16106.75</v>
      </c>
      <c r="E25" s="491"/>
    </row>
    <row r="26" spans="1:6" x14ac:dyDescent="0.35">
      <c r="A26" s="490" t="s">
        <v>687</v>
      </c>
      <c r="B26" s="491">
        <v>6515210</v>
      </c>
      <c r="C26" s="491">
        <v>6224545.3399999999</v>
      </c>
      <c r="D26" s="491">
        <v>145332.33000000002</v>
      </c>
      <c r="E26" s="491"/>
    </row>
    <row r="27" spans="1:6" x14ac:dyDescent="0.35">
      <c r="A27" s="490" t="s">
        <v>660</v>
      </c>
      <c r="B27" s="491">
        <v>2760648</v>
      </c>
      <c r="C27" s="491">
        <v>2147110</v>
      </c>
      <c r="D27" s="491">
        <v>306769.00000000012</v>
      </c>
      <c r="E27" s="491"/>
    </row>
    <row r="28" spans="1:6" x14ac:dyDescent="0.35">
      <c r="A28" s="490" t="s">
        <v>702</v>
      </c>
      <c r="B28" s="491">
        <v>650000</v>
      </c>
      <c r="C28" s="491">
        <v>483486</v>
      </c>
      <c r="D28" s="491">
        <v>83257</v>
      </c>
      <c r="E28" s="491"/>
    </row>
    <row r="29" spans="1:6" x14ac:dyDescent="0.35">
      <c r="A29" s="490" t="s">
        <v>698</v>
      </c>
      <c r="B29" s="491">
        <v>2016302</v>
      </c>
      <c r="C29" s="491">
        <v>1982443.2200000002</v>
      </c>
      <c r="D29" s="491">
        <v>16929.389999999992</v>
      </c>
      <c r="E29" s="491"/>
    </row>
    <row r="30" spans="1:6" x14ac:dyDescent="0.35">
      <c r="A30" s="490" t="s">
        <v>700</v>
      </c>
      <c r="B30" s="491">
        <v>321500</v>
      </c>
      <c r="C30" s="491">
        <v>321140</v>
      </c>
      <c r="D30" s="491">
        <v>180</v>
      </c>
      <c r="E30" s="491"/>
    </row>
    <row r="31" spans="1:6" x14ac:dyDescent="0.35">
      <c r="A31" s="490" t="s">
        <v>132</v>
      </c>
      <c r="B31" s="491">
        <v>47465333</v>
      </c>
      <c r="C31" s="491">
        <v>32594775.319999997</v>
      </c>
      <c r="D31" s="491">
        <v>8835278.8399999999</v>
      </c>
      <c r="E31" s="491">
        <v>2800000</v>
      </c>
      <c r="F31" s="183"/>
    </row>
    <row r="32" spans="1:6" ht="15" thickBot="1" x14ac:dyDescent="0.4">
      <c r="A32" s="511" t="s">
        <v>719</v>
      </c>
      <c r="B32" s="495">
        <v>110301000</v>
      </c>
      <c r="C32" s="495">
        <v>96073398.569999978</v>
      </c>
      <c r="D32" s="495">
        <v>13008204.580000004</v>
      </c>
      <c r="E32" s="495">
        <v>11788807.73</v>
      </c>
      <c r="F32" s="229"/>
    </row>
    <row r="33" spans="1:5" ht="15" thickTop="1" x14ac:dyDescent="0.35"/>
    <row r="34" spans="1:5" x14ac:dyDescent="0.35">
      <c r="A34" s="264" t="s">
        <v>1232</v>
      </c>
      <c r="B34"/>
      <c r="C34" s="183"/>
      <c r="E34" s="183">
        <f>GETPIVOTDATA("Sum of Capex Shortage",$A$21)-GETPIVOTDATA("Sum of Capex Surplus",$A$21)</f>
        <v>-1219396.8500000034</v>
      </c>
    </row>
    <row r="35" spans="1:5" x14ac:dyDescent="0.35">
      <c r="A35" s="264" t="s">
        <v>1234</v>
      </c>
    </row>
    <row r="36" spans="1:5" x14ac:dyDescent="0.35">
      <c r="A36" s="264"/>
    </row>
  </sheetData>
  <pageMargins left="0.7" right="0.7" top="0.75" bottom="0.75" header="0.3" footer="0.3"/>
  <pageSetup orientation="portrait"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AN62"/>
  <sheetViews>
    <sheetView showGridLines="0" zoomScaleNormal="100" workbookViewId="0">
      <pane ySplit="1" topLeftCell="A2" activePane="bottomLeft" state="frozen"/>
      <selection pane="bottomLeft"/>
    </sheetView>
  </sheetViews>
  <sheetFormatPr defaultColWidth="8.7265625" defaultRowHeight="14.5" x14ac:dyDescent="0.35"/>
  <cols>
    <col min="1" max="1" width="28.54296875" style="1" customWidth="1"/>
    <col min="2" max="2" width="17.453125" style="1" customWidth="1"/>
    <col min="3" max="3" width="15.81640625" style="1" customWidth="1"/>
    <col min="4" max="4" width="12.453125" style="1" bestFit="1" customWidth="1"/>
    <col min="5" max="5" width="35.81640625" style="1" customWidth="1"/>
    <col min="6" max="6" width="10.1796875" style="1" bestFit="1" customWidth="1"/>
    <col min="7" max="7" width="32.1796875" style="1" customWidth="1"/>
    <col min="8" max="8" width="33.54296875" style="1" customWidth="1"/>
    <col min="9" max="9" width="12.26953125" style="1" bestFit="1" customWidth="1"/>
    <col min="10" max="10" width="17.453125" style="1" bestFit="1" customWidth="1"/>
    <col min="11" max="11" width="17.1796875" style="1" bestFit="1" customWidth="1"/>
    <col min="12" max="12" width="11.453125" style="211" bestFit="1" customWidth="1"/>
    <col min="13" max="13" width="11.453125" style="1" bestFit="1" customWidth="1"/>
    <col min="14" max="14" width="16.81640625" style="1" bestFit="1" customWidth="1"/>
    <col min="15" max="15" width="16.1796875" style="1" bestFit="1" customWidth="1"/>
    <col min="16" max="16" width="16.54296875" style="1" bestFit="1" customWidth="1"/>
    <col min="17" max="17" width="16.26953125" style="1" bestFit="1" customWidth="1"/>
    <col min="18" max="18" width="26.7265625" style="1" bestFit="1" customWidth="1"/>
    <col min="19" max="19" width="14.453125" style="1" bestFit="1" customWidth="1"/>
    <col min="20" max="20" width="28.54296875" style="1" customWidth="1"/>
    <col min="21" max="21" width="7.26953125" style="1" customWidth="1"/>
    <col min="22" max="22" width="12.81640625" style="1" customWidth="1"/>
    <col min="23" max="26" width="28.1796875" style="1" customWidth="1"/>
    <col min="27" max="27" width="18.26953125" style="1" customWidth="1"/>
    <col min="28" max="28" width="20.81640625" style="1" customWidth="1"/>
    <col min="29" max="29" width="17.54296875" style="1" customWidth="1"/>
    <col min="30" max="30" width="20.81640625" style="1" customWidth="1"/>
    <col min="31" max="31" width="33.1796875" style="185" customWidth="1"/>
    <col min="32" max="32" width="20.81640625" style="1" customWidth="1"/>
    <col min="33" max="33" width="42.1796875" style="1" bestFit="1" customWidth="1"/>
    <col min="34" max="35" width="20.81640625" style="1" customWidth="1"/>
    <col min="36" max="36" width="12.54296875" style="211" bestFit="1" customWidth="1"/>
    <col min="37" max="37" width="20.54296875" style="211" customWidth="1"/>
    <col min="38" max="38" width="21.7265625" style="1" customWidth="1"/>
    <col min="39" max="39" width="19.54296875" style="1" customWidth="1"/>
    <col min="40" max="40" width="20.1796875" style="1" customWidth="1"/>
    <col min="41" max="16384" width="8.7265625" style="1"/>
  </cols>
  <sheetData>
    <row r="1" spans="1:40" s="210" customFormat="1" ht="19.5" customHeight="1" x14ac:dyDescent="0.3">
      <c r="A1" s="208" t="s">
        <v>1187</v>
      </c>
      <c r="B1" s="208" t="s">
        <v>960</v>
      </c>
      <c r="C1" s="202" t="s">
        <v>1</v>
      </c>
      <c r="D1" s="202" t="s">
        <v>2</v>
      </c>
      <c r="E1" s="203" t="s">
        <v>3</v>
      </c>
      <c r="F1" s="204" t="s">
        <v>4</v>
      </c>
      <c r="G1" s="205" t="s">
        <v>5</v>
      </c>
      <c r="H1" s="202" t="s">
        <v>6</v>
      </c>
      <c r="I1" s="202" t="s">
        <v>7</v>
      </c>
      <c r="J1" s="202" t="s">
        <v>903</v>
      </c>
      <c r="K1" s="202" t="s">
        <v>904</v>
      </c>
      <c r="L1" s="399" t="s">
        <v>905</v>
      </c>
      <c r="M1" s="202" t="s">
        <v>906</v>
      </c>
      <c r="N1" s="203" t="s">
        <v>907</v>
      </c>
      <c r="O1" s="204" t="s">
        <v>13</v>
      </c>
      <c r="P1" s="204" t="s">
        <v>14</v>
      </c>
      <c r="Q1" s="204" t="s">
        <v>15</v>
      </c>
      <c r="R1" s="206" t="s">
        <v>16</v>
      </c>
      <c r="S1" s="207" t="s">
        <v>17</v>
      </c>
      <c r="T1" s="206" t="s">
        <v>18</v>
      </c>
      <c r="U1" s="206" t="s">
        <v>721</v>
      </c>
      <c r="V1" s="415" t="s">
        <v>1248</v>
      </c>
      <c r="W1" s="415" t="s">
        <v>1233</v>
      </c>
      <c r="X1" s="415" t="s">
        <v>1229</v>
      </c>
      <c r="Y1" s="415" t="s">
        <v>1249</v>
      </c>
      <c r="Z1" s="415" t="s">
        <v>1207</v>
      </c>
      <c r="AA1" s="422" t="s">
        <v>1206</v>
      </c>
      <c r="AB1" s="208" t="s">
        <v>898</v>
      </c>
      <c r="AC1" s="208" t="s">
        <v>899</v>
      </c>
      <c r="AD1" s="208" t="s">
        <v>900</v>
      </c>
      <c r="AE1" s="209" t="s">
        <v>901</v>
      </c>
      <c r="AF1" s="208" t="s">
        <v>902</v>
      </c>
      <c r="AG1" s="485" t="s">
        <v>1228</v>
      </c>
      <c r="AH1" s="484" t="s">
        <v>1212</v>
      </c>
      <c r="AI1" s="484" t="s">
        <v>1213</v>
      </c>
      <c r="AJ1" s="486" t="s">
        <v>1221</v>
      </c>
      <c r="AK1" s="486" t="s">
        <v>1214</v>
      </c>
      <c r="AL1" s="484" t="s">
        <v>1220</v>
      </c>
      <c r="AM1" s="484" t="s">
        <v>1222</v>
      </c>
    </row>
    <row r="2" spans="1:40" s="35" customFormat="1" ht="29" x14ac:dyDescent="0.35">
      <c r="A2" s="176" t="s">
        <v>1191</v>
      </c>
      <c r="B2" s="224" t="s">
        <v>943</v>
      </c>
      <c r="C2" s="222" t="s">
        <v>656</v>
      </c>
      <c r="D2" s="136">
        <v>8470110</v>
      </c>
      <c r="E2" s="137" t="s">
        <v>20</v>
      </c>
      <c r="F2" s="138">
        <v>492316</v>
      </c>
      <c r="G2" s="137" t="s">
        <v>132</v>
      </c>
      <c r="H2" s="137" t="s">
        <v>657</v>
      </c>
      <c r="I2" s="139">
        <v>1220302</v>
      </c>
      <c r="J2" s="140">
        <v>1220302</v>
      </c>
      <c r="K2" s="141">
        <v>1220301.8</v>
      </c>
      <c r="L2" s="142"/>
      <c r="M2" s="140">
        <v>0</v>
      </c>
      <c r="N2" s="144">
        <v>0.19999999995343401</v>
      </c>
      <c r="O2" s="145"/>
      <c r="P2" s="145"/>
      <c r="Q2" s="145"/>
      <c r="R2" s="146"/>
      <c r="S2" s="121">
        <f t="shared" ref="S2:S27" si="0">N2-O2-P2-Q2</f>
        <v>0.19999999995343401</v>
      </c>
      <c r="T2" s="172"/>
      <c r="U2" s="176" t="s">
        <v>838</v>
      </c>
      <c r="V2" s="186">
        <v>0</v>
      </c>
      <c r="W2" s="440">
        <f>S2</f>
        <v>0.19999999995343401</v>
      </c>
      <c r="X2" s="440">
        <f>AL2</f>
        <v>0.19999999983701855</v>
      </c>
      <c r="Y2" s="440"/>
      <c r="Z2" s="416"/>
      <c r="AA2" s="440">
        <f t="shared" ref="AA2:AA32" si="1">W2+AF2</f>
        <v>0.39999999979045253</v>
      </c>
      <c r="AB2" s="186">
        <v>1220302</v>
      </c>
      <c r="AC2" s="186">
        <v>1220301.8</v>
      </c>
      <c r="AD2" s="186">
        <v>0</v>
      </c>
      <c r="AE2" s="186">
        <v>1.16415321826935E-10</v>
      </c>
      <c r="AF2" s="481">
        <v>0.19999999983701855</v>
      </c>
      <c r="AG2" s="481" t="s">
        <v>657</v>
      </c>
      <c r="AH2" s="186">
        <v>1220302</v>
      </c>
      <c r="AI2" s="176">
        <v>1220301.8</v>
      </c>
      <c r="AJ2" s="186">
        <v>0</v>
      </c>
      <c r="AK2" s="186">
        <v>1.16415321826935E-10</v>
      </c>
      <c r="AL2" s="472">
        <f>AH2-AI2-AJ2-AK2</f>
        <v>0.19999999983701855</v>
      </c>
      <c r="AM2" s="186">
        <f>Q2+Z2+AI2+AJ2+AK2-X2</f>
        <v>1220301.6000000006</v>
      </c>
      <c r="AN2" s="212"/>
    </row>
    <row r="3" spans="1:40" s="35" customFormat="1" ht="29" x14ac:dyDescent="0.35">
      <c r="A3" s="176" t="s">
        <v>1191</v>
      </c>
      <c r="B3" s="224" t="s">
        <v>943</v>
      </c>
      <c r="C3" s="222" t="s">
        <v>656</v>
      </c>
      <c r="D3" s="136">
        <v>8470120</v>
      </c>
      <c r="E3" s="137" t="s">
        <v>45</v>
      </c>
      <c r="F3" s="138">
        <v>495113</v>
      </c>
      <c r="G3" s="137" t="s">
        <v>658</v>
      </c>
      <c r="H3" s="137" t="s">
        <v>659</v>
      </c>
      <c r="I3" s="139">
        <v>0</v>
      </c>
      <c r="J3" s="140">
        <v>56000</v>
      </c>
      <c r="K3" s="147"/>
      <c r="L3" s="148">
        <v>0</v>
      </c>
      <c r="M3" s="140">
        <v>44351.48</v>
      </c>
      <c r="N3" s="144">
        <v>11648.52</v>
      </c>
      <c r="O3" s="145"/>
      <c r="P3" s="145"/>
      <c r="Q3" s="145"/>
      <c r="R3" s="146"/>
      <c r="S3" s="121">
        <f t="shared" si="0"/>
        <v>11648.52</v>
      </c>
      <c r="T3" s="172"/>
      <c r="U3" s="176" t="s">
        <v>838</v>
      </c>
      <c r="V3" s="508">
        <v>11245.5</v>
      </c>
      <c r="W3" s="487">
        <f>11245.5+S3</f>
        <v>22894.02</v>
      </c>
      <c r="X3" s="440">
        <f t="shared" ref="X3:X52" si="2">AL3</f>
        <v>11648.519999999997</v>
      </c>
      <c r="Y3" s="440"/>
      <c r="Z3" s="416"/>
      <c r="AA3" s="440">
        <f t="shared" si="1"/>
        <v>23297.039999999997</v>
      </c>
      <c r="AB3" s="186">
        <v>56000</v>
      </c>
      <c r="AC3" s="186">
        <v>0</v>
      </c>
      <c r="AD3" s="186">
        <v>11245.5</v>
      </c>
      <c r="AE3" s="186">
        <v>44351.48</v>
      </c>
      <c r="AF3" s="481">
        <v>403.0199999999968</v>
      </c>
      <c r="AG3" s="481" t="s">
        <v>659</v>
      </c>
      <c r="AH3" s="186">
        <v>56000</v>
      </c>
      <c r="AI3" s="176">
        <v>0</v>
      </c>
      <c r="AJ3" s="186">
        <v>0</v>
      </c>
      <c r="AK3" s="186">
        <v>44351.48</v>
      </c>
      <c r="AL3" s="472">
        <f t="shared" ref="AL3:AL52" si="3">AH3-AI3-AJ3-AK3</f>
        <v>11648.519999999997</v>
      </c>
      <c r="AM3" s="186">
        <f t="shared" ref="AM3:AM52" si="4">Q3+Z3+AI3+AJ3+AK3-X3</f>
        <v>32702.960000000006</v>
      </c>
      <c r="AN3" s="212"/>
    </row>
    <row r="4" spans="1:40" s="35" customFormat="1" x14ac:dyDescent="0.35">
      <c r="A4" s="176" t="s">
        <v>1192</v>
      </c>
      <c r="B4" s="224" t="s">
        <v>944</v>
      </c>
      <c r="C4" s="222" t="s">
        <v>656</v>
      </c>
      <c r="D4" s="136">
        <v>8470140</v>
      </c>
      <c r="E4" s="137" t="s">
        <v>54</v>
      </c>
      <c r="F4" s="138">
        <v>492310</v>
      </c>
      <c r="G4" s="137" t="s">
        <v>660</v>
      </c>
      <c r="H4" s="137" t="s">
        <v>661</v>
      </c>
      <c r="I4" s="139">
        <v>137589</v>
      </c>
      <c r="J4" s="140">
        <v>27589</v>
      </c>
      <c r="K4" s="147"/>
      <c r="L4" s="142"/>
      <c r="M4" s="143"/>
      <c r="N4" s="144">
        <v>27589</v>
      </c>
      <c r="O4" s="145"/>
      <c r="P4" s="145"/>
      <c r="Q4" s="145"/>
      <c r="R4" s="146"/>
      <c r="S4" s="121">
        <f t="shared" si="0"/>
        <v>27589</v>
      </c>
      <c r="T4" s="172"/>
      <c r="U4" s="176" t="s">
        <v>722</v>
      </c>
      <c r="V4" s="186">
        <v>0</v>
      </c>
      <c r="W4" s="440">
        <f>S4</f>
        <v>27589</v>
      </c>
      <c r="X4" s="440">
        <f t="shared" si="2"/>
        <v>27589</v>
      </c>
      <c r="Y4" s="440"/>
      <c r="Z4" s="416"/>
      <c r="AA4" s="441">
        <f t="shared" si="1"/>
        <v>55178</v>
      </c>
      <c r="AB4" s="186">
        <v>27589</v>
      </c>
      <c r="AC4" s="186">
        <v>0</v>
      </c>
      <c r="AD4" s="186">
        <v>0</v>
      </c>
      <c r="AE4" s="186">
        <v>0</v>
      </c>
      <c r="AF4" s="481">
        <v>27589</v>
      </c>
      <c r="AG4" s="481" t="s">
        <v>661</v>
      </c>
      <c r="AH4" s="186">
        <v>27589</v>
      </c>
      <c r="AI4" s="176">
        <v>0</v>
      </c>
      <c r="AJ4" s="186">
        <v>0</v>
      </c>
      <c r="AK4" s="186">
        <v>0</v>
      </c>
      <c r="AL4" s="472">
        <f t="shared" si="3"/>
        <v>27589</v>
      </c>
      <c r="AM4" s="186">
        <f t="shared" si="4"/>
        <v>-27589</v>
      </c>
      <c r="AN4" s="212"/>
    </row>
    <row r="5" spans="1:40" s="35" customFormat="1" ht="43.5" x14ac:dyDescent="0.35">
      <c r="A5" s="176" t="s">
        <v>1194</v>
      </c>
      <c r="B5" s="224" t="s">
        <v>946</v>
      </c>
      <c r="C5" s="222" t="s">
        <v>656</v>
      </c>
      <c r="D5" s="136">
        <v>8470230</v>
      </c>
      <c r="E5" s="137" t="s">
        <v>97</v>
      </c>
      <c r="F5" s="138">
        <v>492310</v>
      </c>
      <c r="G5" s="137" t="s">
        <v>660</v>
      </c>
      <c r="H5" s="137" t="s">
        <v>662</v>
      </c>
      <c r="I5" s="139">
        <v>1380709</v>
      </c>
      <c r="J5" s="140">
        <v>1380709</v>
      </c>
      <c r="K5" s="141">
        <v>1333260</v>
      </c>
      <c r="L5" s="148">
        <v>0</v>
      </c>
      <c r="M5" s="140">
        <v>0</v>
      </c>
      <c r="N5" s="144">
        <v>47449</v>
      </c>
      <c r="O5" s="145"/>
      <c r="P5" s="145"/>
      <c r="Q5" s="145"/>
      <c r="R5" s="146"/>
      <c r="S5" s="121">
        <f t="shared" si="0"/>
        <v>47449</v>
      </c>
      <c r="T5" s="172"/>
      <c r="U5" s="176" t="s">
        <v>838</v>
      </c>
      <c r="V5" s="186">
        <v>0</v>
      </c>
      <c r="W5" s="440">
        <f>S5</f>
        <v>47449</v>
      </c>
      <c r="X5" s="440">
        <f t="shared" si="2"/>
        <v>47449</v>
      </c>
      <c r="Y5" s="440"/>
      <c r="Z5" s="416"/>
      <c r="AA5" s="440">
        <f t="shared" si="1"/>
        <v>94898</v>
      </c>
      <c r="AB5" s="186">
        <v>1380709</v>
      </c>
      <c r="AC5" s="186">
        <v>1333260</v>
      </c>
      <c r="AD5" s="186">
        <v>0</v>
      </c>
      <c r="AE5" s="186">
        <v>0</v>
      </c>
      <c r="AF5" s="481">
        <v>47449</v>
      </c>
      <c r="AG5" s="481" t="s">
        <v>662</v>
      </c>
      <c r="AH5" s="186">
        <v>1380709</v>
      </c>
      <c r="AI5" s="176">
        <v>1333260</v>
      </c>
      <c r="AJ5" s="186">
        <v>0</v>
      </c>
      <c r="AK5" s="186">
        <v>0</v>
      </c>
      <c r="AL5" s="472">
        <f t="shared" si="3"/>
        <v>47449</v>
      </c>
      <c r="AM5" s="186">
        <f t="shared" si="4"/>
        <v>1285811</v>
      </c>
      <c r="AN5" s="212"/>
    </row>
    <row r="6" spans="1:40" s="35" customFormat="1" ht="29" x14ac:dyDescent="0.35">
      <c r="A6" s="176" t="s">
        <v>1195</v>
      </c>
      <c r="B6" s="224" t="s">
        <v>947</v>
      </c>
      <c r="C6" s="222" t="s">
        <v>656</v>
      </c>
      <c r="D6" s="136">
        <v>8470310</v>
      </c>
      <c r="E6" s="137" t="s">
        <v>139</v>
      </c>
      <c r="F6" s="138">
        <v>492316</v>
      </c>
      <c r="G6" s="137" t="s">
        <v>132</v>
      </c>
      <c r="H6" s="137" t="s">
        <v>663</v>
      </c>
      <c r="I6" s="139">
        <v>1174460</v>
      </c>
      <c r="J6" s="140">
        <v>1174460</v>
      </c>
      <c r="K6" s="141">
        <v>364703.32</v>
      </c>
      <c r="L6" s="148">
        <v>805100</v>
      </c>
      <c r="M6" s="140">
        <v>0</v>
      </c>
      <c r="N6" s="144">
        <v>4656.6799999999303</v>
      </c>
      <c r="O6" s="145"/>
      <c r="P6" s="145"/>
      <c r="Q6" s="145"/>
      <c r="R6" s="146"/>
      <c r="S6" s="121">
        <f t="shared" si="0"/>
        <v>4656.6799999999303</v>
      </c>
      <c r="T6" s="172"/>
      <c r="U6" s="176" t="s">
        <v>838</v>
      </c>
      <c r="V6" s="186">
        <v>0</v>
      </c>
      <c r="W6" s="440">
        <f>S6</f>
        <v>4656.6799999999303</v>
      </c>
      <c r="X6" s="440">
        <f t="shared" si="2"/>
        <v>4656.6799999999348</v>
      </c>
      <c r="Y6" s="440"/>
      <c r="Z6" s="416"/>
      <c r="AA6" s="440">
        <f t="shared" si="1"/>
        <v>9313.359999999866</v>
      </c>
      <c r="AB6" s="186">
        <v>1174460</v>
      </c>
      <c r="AC6" s="186">
        <v>364703.32</v>
      </c>
      <c r="AD6" s="186">
        <v>0</v>
      </c>
      <c r="AE6" s="186">
        <v>805100</v>
      </c>
      <c r="AF6" s="481">
        <v>4656.6799999999348</v>
      </c>
      <c r="AG6" s="481" t="s">
        <v>663</v>
      </c>
      <c r="AH6" s="186">
        <v>1174460</v>
      </c>
      <c r="AI6" s="176">
        <v>364703.32</v>
      </c>
      <c r="AJ6" s="186">
        <v>0</v>
      </c>
      <c r="AK6" s="186">
        <v>805100</v>
      </c>
      <c r="AL6" s="472">
        <f t="shared" si="3"/>
        <v>4656.6799999999348</v>
      </c>
      <c r="AM6" s="186">
        <f t="shared" si="4"/>
        <v>1165146.6400000001</v>
      </c>
      <c r="AN6" s="212"/>
    </row>
    <row r="7" spans="1:40" s="35" customFormat="1" ht="29" x14ac:dyDescent="0.35">
      <c r="A7" s="176" t="s">
        <v>1195</v>
      </c>
      <c r="B7" s="224" t="s">
        <v>947</v>
      </c>
      <c r="C7" s="222" t="s">
        <v>656</v>
      </c>
      <c r="D7" s="136">
        <v>8470315</v>
      </c>
      <c r="E7" s="137" t="s">
        <v>154</v>
      </c>
      <c r="F7" s="138">
        <v>492316</v>
      </c>
      <c r="G7" s="137" t="s">
        <v>132</v>
      </c>
      <c r="H7" s="137" t="s">
        <v>664</v>
      </c>
      <c r="I7" s="139">
        <v>700693</v>
      </c>
      <c r="J7" s="140">
        <v>700693</v>
      </c>
      <c r="K7" s="141">
        <v>657144.79</v>
      </c>
      <c r="L7" s="148">
        <v>-8.0035533756017698E-11</v>
      </c>
      <c r="M7" s="140">
        <v>-15631.86</v>
      </c>
      <c r="N7" s="144">
        <v>59180.070000000102</v>
      </c>
      <c r="O7" s="145"/>
      <c r="P7" s="145"/>
      <c r="Q7" s="145"/>
      <c r="R7" s="146"/>
      <c r="S7" s="121">
        <f t="shared" si="0"/>
        <v>59180.070000000102</v>
      </c>
      <c r="T7" s="172"/>
      <c r="U7" s="176" t="s">
        <v>838</v>
      </c>
      <c r="V7" s="186">
        <v>0</v>
      </c>
      <c r="W7" s="440">
        <f>S7</f>
        <v>59180.070000000102</v>
      </c>
      <c r="X7" s="440">
        <f t="shared" si="2"/>
        <v>59180.069999999963</v>
      </c>
      <c r="Y7" s="440"/>
      <c r="Z7" s="416"/>
      <c r="AA7" s="440">
        <f t="shared" si="1"/>
        <v>118360.14000000007</v>
      </c>
      <c r="AB7" s="186">
        <v>700693</v>
      </c>
      <c r="AC7" s="186">
        <v>657144.79</v>
      </c>
      <c r="AD7" s="186">
        <v>0</v>
      </c>
      <c r="AE7" s="186">
        <v>-15631.86</v>
      </c>
      <c r="AF7" s="481">
        <v>59180.069999999963</v>
      </c>
      <c r="AG7" s="481" t="s">
        <v>664</v>
      </c>
      <c r="AH7" s="186">
        <v>700693</v>
      </c>
      <c r="AI7" s="176">
        <v>657144.79</v>
      </c>
      <c r="AJ7" s="186">
        <v>0</v>
      </c>
      <c r="AK7" s="186">
        <v>-15631.86</v>
      </c>
      <c r="AL7" s="472">
        <f t="shared" si="3"/>
        <v>59180.069999999963</v>
      </c>
      <c r="AM7" s="186">
        <f t="shared" si="4"/>
        <v>582332.8600000001</v>
      </c>
      <c r="AN7" s="212"/>
    </row>
    <row r="8" spans="1:40" s="35" customFormat="1" ht="29" x14ac:dyDescent="0.35">
      <c r="A8" s="176" t="s">
        <v>1195</v>
      </c>
      <c r="B8" s="224" t="s">
        <v>947</v>
      </c>
      <c r="C8" s="222" t="s">
        <v>656</v>
      </c>
      <c r="D8" s="136">
        <v>8470320</v>
      </c>
      <c r="E8" s="137" t="s">
        <v>168</v>
      </c>
      <c r="F8" s="138">
        <v>492316</v>
      </c>
      <c r="G8" s="137" t="s">
        <v>132</v>
      </c>
      <c r="H8" s="137" t="s">
        <v>665</v>
      </c>
      <c r="I8" s="139">
        <v>1813427</v>
      </c>
      <c r="J8" s="140">
        <v>931427</v>
      </c>
      <c r="K8" s="141">
        <v>203900</v>
      </c>
      <c r="L8" s="148">
        <v>519300</v>
      </c>
      <c r="M8" s="140">
        <v>109938</v>
      </c>
      <c r="N8" s="144">
        <v>98289</v>
      </c>
      <c r="O8" s="145"/>
      <c r="P8" s="145"/>
      <c r="Q8" s="145"/>
      <c r="R8" s="146"/>
      <c r="S8" s="121">
        <f t="shared" si="0"/>
        <v>98289</v>
      </c>
      <c r="T8" s="172"/>
      <c r="U8" s="176" t="s">
        <v>838</v>
      </c>
      <c r="V8" s="508">
        <v>70800</v>
      </c>
      <c r="W8" s="417">
        <f>70800+S8</f>
        <v>169089</v>
      </c>
      <c r="X8" s="440">
        <f t="shared" si="2"/>
        <v>90836</v>
      </c>
      <c r="Y8" s="440"/>
      <c r="Z8" s="417"/>
      <c r="AA8" s="440">
        <f t="shared" si="1"/>
        <v>189125</v>
      </c>
      <c r="AB8" s="186">
        <v>834674</v>
      </c>
      <c r="AC8" s="186">
        <v>267018</v>
      </c>
      <c r="AD8" s="186">
        <v>70800</v>
      </c>
      <c r="AE8" s="186">
        <v>476820</v>
      </c>
      <c r="AF8" s="481">
        <v>20036</v>
      </c>
      <c r="AG8" s="481" t="s">
        <v>665</v>
      </c>
      <c r="AH8" s="186">
        <v>834674</v>
      </c>
      <c r="AI8" s="176">
        <v>267018</v>
      </c>
      <c r="AJ8" s="186">
        <v>0</v>
      </c>
      <c r="AK8" s="186">
        <v>476820</v>
      </c>
      <c r="AL8" s="472">
        <f t="shared" si="3"/>
        <v>90836</v>
      </c>
      <c r="AM8" s="186">
        <f t="shared" si="4"/>
        <v>653002</v>
      </c>
      <c r="AN8" s="212"/>
    </row>
    <row r="9" spans="1:40" s="35" customFormat="1" ht="29" x14ac:dyDescent="0.35">
      <c r="A9" s="176" t="s">
        <v>1195</v>
      </c>
      <c r="B9" s="224" t="s">
        <v>947</v>
      </c>
      <c r="C9" s="222" t="s">
        <v>656</v>
      </c>
      <c r="D9" s="136">
        <v>8470320</v>
      </c>
      <c r="E9" s="137" t="s">
        <v>168</v>
      </c>
      <c r="F9" s="138">
        <v>495140</v>
      </c>
      <c r="G9" s="137" t="s">
        <v>666</v>
      </c>
      <c r="H9" s="137" t="s">
        <v>667</v>
      </c>
      <c r="I9" s="139">
        <v>16097</v>
      </c>
      <c r="J9" s="140">
        <v>16097</v>
      </c>
      <c r="K9" s="147"/>
      <c r="L9" s="142"/>
      <c r="M9" s="143"/>
      <c r="N9" s="144">
        <v>16097</v>
      </c>
      <c r="O9" s="145"/>
      <c r="P9" s="145"/>
      <c r="Q9" s="145"/>
      <c r="R9" s="146"/>
      <c r="S9" s="121">
        <f t="shared" si="0"/>
        <v>16097</v>
      </c>
      <c r="T9" s="172"/>
      <c r="U9" s="176" t="s">
        <v>838</v>
      </c>
      <c r="V9" s="186">
        <v>0</v>
      </c>
      <c r="W9" s="440">
        <f t="shared" ref="W9:W18" si="5">S9</f>
        <v>16097</v>
      </c>
      <c r="X9" s="440">
        <f t="shared" si="2"/>
        <v>16097</v>
      </c>
      <c r="Y9" s="440"/>
      <c r="Z9" s="416"/>
      <c r="AA9" s="440">
        <f t="shared" si="1"/>
        <v>32194</v>
      </c>
      <c r="AB9" s="186">
        <v>16097</v>
      </c>
      <c r="AC9" s="186">
        <v>0</v>
      </c>
      <c r="AD9" s="186">
        <v>0</v>
      </c>
      <c r="AE9" s="186">
        <v>0</v>
      </c>
      <c r="AF9" s="481">
        <v>16097</v>
      </c>
      <c r="AG9" s="481" t="s">
        <v>667</v>
      </c>
      <c r="AH9" s="186">
        <v>16097</v>
      </c>
      <c r="AI9" s="176">
        <v>0</v>
      </c>
      <c r="AJ9" s="186">
        <v>0</v>
      </c>
      <c r="AK9" s="186">
        <v>0</v>
      </c>
      <c r="AL9" s="472">
        <f t="shared" si="3"/>
        <v>16097</v>
      </c>
      <c r="AM9" s="186">
        <f t="shared" si="4"/>
        <v>-16097</v>
      </c>
      <c r="AN9" s="212"/>
    </row>
    <row r="10" spans="1:40" s="35" customFormat="1" ht="29" x14ac:dyDescent="0.35">
      <c r="A10" s="176" t="s">
        <v>1195</v>
      </c>
      <c r="B10" s="224" t="s">
        <v>947</v>
      </c>
      <c r="C10" s="222" t="s">
        <v>656</v>
      </c>
      <c r="D10" s="136">
        <v>8470325</v>
      </c>
      <c r="E10" s="137" t="s">
        <v>181</v>
      </c>
      <c r="F10" s="138">
        <v>492316</v>
      </c>
      <c r="G10" s="137" t="s">
        <v>132</v>
      </c>
      <c r="H10" s="137" t="s">
        <v>668</v>
      </c>
      <c r="I10" s="139">
        <v>611783</v>
      </c>
      <c r="J10" s="140">
        <v>611783</v>
      </c>
      <c r="K10" s="141">
        <v>487360</v>
      </c>
      <c r="L10" s="148">
        <v>0</v>
      </c>
      <c r="M10" s="140">
        <v>85460</v>
      </c>
      <c r="N10" s="144">
        <v>38963</v>
      </c>
      <c r="O10" s="145"/>
      <c r="P10" s="145"/>
      <c r="Q10" s="145"/>
      <c r="R10" s="146"/>
      <c r="S10" s="121">
        <f t="shared" si="0"/>
        <v>38963</v>
      </c>
      <c r="T10" s="172"/>
      <c r="U10" s="176" t="s">
        <v>838</v>
      </c>
      <c r="V10" s="186">
        <v>0</v>
      </c>
      <c r="W10" s="440">
        <f t="shared" si="5"/>
        <v>38963</v>
      </c>
      <c r="X10" s="440">
        <f t="shared" si="2"/>
        <v>38963</v>
      </c>
      <c r="Y10" s="440"/>
      <c r="Z10" s="416"/>
      <c r="AA10" s="440">
        <f t="shared" si="1"/>
        <v>77926</v>
      </c>
      <c r="AB10" s="186">
        <v>611783</v>
      </c>
      <c r="AC10" s="186">
        <v>536437</v>
      </c>
      <c r="AD10" s="186">
        <v>0</v>
      </c>
      <c r="AE10" s="186">
        <v>36383</v>
      </c>
      <c r="AF10" s="481">
        <v>38963</v>
      </c>
      <c r="AG10" s="481" t="s">
        <v>668</v>
      </c>
      <c r="AH10" s="186">
        <v>611783</v>
      </c>
      <c r="AI10" s="176">
        <v>559410</v>
      </c>
      <c r="AJ10" s="186">
        <v>0</v>
      </c>
      <c r="AK10" s="186">
        <v>13410</v>
      </c>
      <c r="AL10" s="472">
        <f t="shared" si="3"/>
        <v>38963</v>
      </c>
      <c r="AM10" s="186">
        <f t="shared" si="4"/>
        <v>533857</v>
      </c>
      <c r="AN10" s="212"/>
    </row>
    <row r="11" spans="1:40" s="35" customFormat="1" ht="29" x14ac:dyDescent="0.35">
      <c r="A11" s="176" t="s">
        <v>1195</v>
      </c>
      <c r="B11" s="224" t="s">
        <v>947</v>
      </c>
      <c r="C11" s="222" t="s">
        <v>656</v>
      </c>
      <c r="D11" s="136">
        <v>8470330</v>
      </c>
      <c r="E11" s="137" t="s">
        <v>192</v>
      </c>
      <c r="F11" s="138">
        <v>492316</v>
      </c>
      <c r="G11" s="137" t="s">
        <v>132</v>
      </c>
      <c r="H11" s="137" t="s">
        <v>669</v>
      </c>
      <c r="I11" s="139">
        <v>456796</v>
      </c>
      <c r="J11" s="140">
        <v>456796</v>
      </c>
      <c r="K11" s="141">
        <v>38500</v>
      </c>
      <c r="L11" s="148">
        <v>0</v>
      </c>
      <c r="M11" s="140">
        <v>355300</v>
      </c>
      <c r="N11" s="144">
        <v>62996</v>
      </c>
      <c r="O11" s="145"/>
      <c r="P11" s="145"/>
      <c r="Q11" s="145"/>
      <c r="R11" s="146"/>
      <c r="S11" s="121">
        <f t="shared" si="0"/>
        <v>62996</v>
      </c>
      <c r="T11" s="172"/>
      <c r="U11" s="176" t="s">
        <v>838</v>
      </c>
      <c r="V11" s="186">
        <v>0</v>
      </c>
      <c r="W11" s="440">
        <f t="shared" si="5"/>
        <v>62996</v>
      </c>
      <c r="X11" s="440">
        <f t="shared" si="2"/>
        <v>18336</v>
      </c>
      <c r="Y11" s="440"/>
      <c r="Z11" s="416"/>
      <c r="AA11" s="440">
        <f t="shared" si="1"/>
        <v>81332</v>
      </c>
      <c r="AB11" s="186">
        <v>456796</v>
      </c>
      <c r="AC11" s="186">
        <v>394225</v>
      </c>
      <c r="AD11" s="186">
        <v>0</v>
      </c>
      <c r="AE11" s="186">
        <v>44235</v>
      </c>
      <c r="AF11" s="481">
        <v>18336</v>
      </c>
      <c r="AG11" s="481" t="s">
        <v>669</v>
      </c>
      <c r="AH11" s="186">
        <v>456796</v>
      </c>
      <c r="AI11" s="176">
        <v>394225</v>
      </c>
      <c r="AJ11" s="186">
        <v>0</v>
      </c>
      <c r="AK11" s="186">
        <v>44235</v>
      </c>
      <c r="AL11" s="472">
        <f t="shared" si="3"/>
        <v>18336</v>
      </c>
      <c r="AM11" s="186">
        <f t="shared" si="4"/>
        <v>420124</v>
      </c>
      <c r="AN11" s="212"/>
    </row>
    <row r="12" spans="1:40" s="35" customFormat="1" ht="29" x14ac:dyDescent="0.35">
      <c r="A12" s="176" t="s">
        <v>1195</v>
      </c>
      <c r="B12" s="224" t="s">
        <v>947</v>
      </c>
      <c r="C12" s="222" t="s">
        <v>656</v>
      </c>
      <c r="D12" s="136">
        <v>8470335</v>
      </c>
      <c r="E12" s="137" t="s">
        <v>207</v>
      </c>
      <c r="F12" s="138">
        <v>492316</v>
      </c>
      <c r="G12" s="137" t="s">
        <v>132</v>
      </c>
      <c r="H12" s="137" t="s">
        <v>670</v>
      </c>
      <c r="I12" s="139">
        <v>234334</v>
      </c>
      <c r="J12" s="140">
        <v>234334</v>
      </c>
      <c r="K12" s="141">
        <v>11026.05</v>
      </c>
      <c r="L12" s="148">
        <v>0</v>
      </c>
      <c r="M12" s="140">
        <v>223066</v>
      </c>
      <c r="N12" s="144">
        <v>241.95000000001201</v>
      </c>
      <c r="O12" s="145"/>
      <c r="P12" s="145"/>
      <c r="Q12" s="145"/>
      <c r="R12" s="146"/>
      <c r="S12" s="121">
        <f t="shared" si="0"/>
        <v>241.95000000001201</v>
      </c>
      <c r="T12" s="172"/>
      <c r="U12" s="176" t="s">
        <v>838</v>
      </c>
      <c r="V12" s="186">
        <v>0</v>
      </c>
      <c r="W12" s="440">
        <f t="shared" si="5"/>
        <v>241.95000000001201</v>
      </c>
      <c r="X12" s="440">
        <f t="shared" si="2"/>
        <v>241.95000000001164</v>
      </c>
      <c r="Y12" s="440"/>
      <c r="Z12" s="416"/>
      <c r="AA12" s="440">
        <f t="shared" si="1"/>
        <v>483.90000000002362</v>
      </c>
      <c r="AB12" s="186">
        <v>234334</v>
      </c>
      <c r="AC12" s="186">
        <v>11026.05</v>
      </c>
      <c r="AD12" s="186">
        <v>0</v>
      </c>
      <c r="AE12" s="186">
        <v>223066</v>
      </c>
      <c r="AF12" s="481">
        <v>241.95000000001164</v>
      </c>
      <c r="AG12" s="481" t="s">
        <v>670</v>
      </c>
      <c r="AH12" s="186">
        <v>234334</v>
      </c>
      <c r="AI12" s="176">
        <v>11026.05</v>
      </c>
      <c r="AJ12" s="186">
        <v>0</v>
      </c>
      <c r="AK12" s="186">
        <v>223066</v>
      </c>
      <c r="AL12" s="472">
        <f t="shared" si="3"/>
        <v>241.95000000001164</v>
      </c>
      <c r="AM12" s="186">
        <f t="shared" si="4"/>
        <v>233850.09999999998</v>
      </c>
      <c r="AN12" s="212"/>
    </row>
    <row r="13" spans="1:40" s="35" customFormat="1" ht="29" x14ac:dyDescent="0.35">
      <c r="A13" s="176" t="s">
        <v>1195</v>
      </c>
      <c r="B13" s="224" t="s">
        <v>947</v>
      </c>
      <c r="C13" s="222" t="s">
        <v>656</v>
      </c>
      <c r="D13" s="136">
        <v>8470340</v>
      </c>
      <c r="E13" s="137" t="s">
        <v>220</v>
      </c>
      <c r="F13" s="138">
        <v>492316</v>
      </c>
      <c r="G13" s="137" t="s">
        <v>132</v>
      </c>
      <c r="H13" s="137" t="s">
        <v>671</v>
      </c>
      <c r="I13" s="139">
        <v>533159</v>
      </c>
      <c r="J13" s="140">
        <v>533159</v>
      </c>
      <c r="K13" s="147"/>
      <c r="L13" s="148">
        <v>0</v>
      </c>
      <c r="M13" s="140">
        <v>532460</v>
      </c>
      <c r="N13" s="144">
        <v>699</v>
      </c>
      <c r="O13" s="145"/>
      <c r="P13" s="145"/>
      <c r="Q13" s="145"/>
      <c r="R13" s="146"/>
      <c r="S13" s="121">
        <f t="shared" si="0"/>
        <v>699</v>
      </c>
      <c r="T13" s="172"/>
      <c r="U13" s="176" t="s">
        <v>838</v>
      </c>
      <c r="V13" s="186">
        <v>0</v>
      </c>
      <c r="W13" s="440">
        <f t="shared" si="5"/>
        <v>699</v>
      </c>
      <c r="X13" s="440">
        <f t="shared" si="2"/>
        <v>699</v>
      </c>
      <c r="Y13" s="440"/>
      <c r="Z13" s="416"/>
      <c r="AA13" s="440">
        <f t="shared" si="1"/>
        <v>1398</v>
      </c>
      <c r="AB13" s="186">
        <v>533159</v>
      </c>
      <c r="AC13" s="186">
        <v>0</v>
      </c>
      <c r="AD13" s="186">
        <v>0</v>
      </c>
      <c r="AE13" s="186">
        <v>532460</v>
      </c>
      <c r="AF13" s="481">
        <v>699</v>
      </c>
      <c r="AG13" s="481" t="s">
        <v>671</v>
      </c>
      <c r="AH13" s="186">
        <v>533159</v>
      </c>
      <c r="AI13" s="176">
        <v>532460</v>
      </c>
      <c r="AJ13" s="186">
        <v>0</v>
      </c>
      <c r="AK13" s="186">
        <v>0</v>
      </c>
      <c r="AL13" s="472">
        <f t="shared" si="3"/>
        <v>699</v>
      </c>
      <c r="AM13" s="186">
        <f t="shared" si="4"/>
        <v>531761</v>
      </c>
      <c r="AN13" s="212"/>
    </row>
    <row r="14" spans="1:40" s="35" customFormat="1" ht="29" x14ac:dyDescent="0.35">
      <c r="A14" s="176" t="s">
        <v>1195</v>
      </c>
      <c r="B14" s="224" t="s">
        <v>947</v>
      </c>
      <c r="C14" s="222" t="s">
        <v>656</v>
      </c>
      <c r="D14" s="136">
        <v>8470345</v>
      </c>
      <c r="E14" s="137" t="s">
        <v>234</v>
      </c>
      <c r="F14" s="138">
        <v>492316</v>
      </c>
      <c r="G14" s="137" t="s">
        <v>132</v>
      </c>
      <c r="H14" s="137" t="s">
        <v>672</v>
      </c>
      <c r="I14" s="139">
        <v>551330</v>
      </c>
      <c r="J14" s="140">
        <v>551330</v>
      </c>
      <c r="K14" s="141">
        <v>279820</v>
      </c>
      <c r="L14" s="148">
        <v>63000</v>
      </c>
      <c r="M14" s="140">
        <v>207881</v>
      </c>
      <c r="N14" s="144">
        <v>629</v>
      </c>
      <c r="O14" s="145"/>
      <c r="P14" s="145"/>
      <c r="Q14" s="145"/>
      <c r="R14" s="146"/>
      <c r="S14" s="121">
        <f t="shared" si="0"/>
        <v>629</v>
      </c>
      <c r="T14" s="172"/>
      <c r="U14" s="176" t="s">
        <v>838</v>
      </c>
      <c r="V14" s="186">
        <v>0</v>
      </c>
      <c r="W14" s="440">
        <f t="shared" si="5"/>
        <v>629</v>
      </c>
      <c r="X14" s="440">
        <f t="shared" si="2"/>
        <v>630.73000000001048</v>
      </c>
      <c r="Y14" s="440"/>
      <c r="Z14" s="416"/>
      <c r="AA14" s="440">
        <f t="shared" si="1"/>
        <v>1259.7299999999814</v>
      </c>
      <c r="AB14" s="186">
        <v>551330</v>
      </c>
      <c r="AC14" s="186">
        <v>279820</v>
      </c>
      <c r="AD14" s="186">
        <v>0</v>
      </c>
      <c r="AE14" s="186">
        <v>270879.27</v>
      </c>
      <c r="AF14" s="481">
        <v>630.72999999998137</v>
      </c>
      <c r="AG14" s="481" t="s">
        <v>672</v>
      </c>
      <c r="AH14" s="186">
        <v>551330</v>
      </c>
      <c r="AI14" s="176">
        <v>367320</v>
      </c>
      <c r="AJ14" s="186">
        <v>0</v>
      </c>
      <c r="AK14" s="186">
        <v>183379.27</v>
      </c>
      <c r="AL14" s="472">
        <f t="shared" si="3"/>
        <v>630.73000000001048</v>
      </c>
      <c r="AM14" s="186">
        <f t="shared" si="4"/>
        <v>550068.54</v>
      </c>
      <c r="AN14" s="212"/>
    </row>
    <row r="15" spans="1:40" s="35" customFormat="1" ht="29" x14ac:dyDescent="0.35">
      <c r="A15" s="176" t="s">
        <v>1195</v>
      </c>
      <c r="B15" s="224" t="s">
        <v>947</v>
      </c>
      <c r="C15" s="222" t="s">
        <v>656</v>
      </c>
      <c r="D15" s="136">
        <v>8470350</v>
      </c>
      <c r="E15" s="137" t="s">
        <v>246</v>
      </c>
      <c r="F15" s="138">
        <v>492316</v>
      </c>
      <c r="G15" s="137" t="s">
        <v>132</v>
      </c>
      <c r="H15" s="137" t="s">
        <v>673</v>
      </c>
      <c r="I15" s="139">
        <v>1446520</v>
      </c>
      <c r="J15" s="140">
        <v>1446520</v>
      </c>
      <c r="K15" s="141">
        <v>862373.2</v>
      </c>
      <c r="L15" s="148">
        <v>578702.18000000005</v>
      </c>
      <c r="M15" s="140">
        <v>0</v>
      </c>
      <c r="N15" s="144">
        <v>5444.62</v>
      </c>
      <c r="O15" s="145"/>
      <c r="P15" s="145"/>
      <c r="Q15" s="145"/>
      <c r="R15" s="146"/>
      <c r="S15" s="121">
        <f t="shared" si="0"/>
        <v>5444.62</v>
      </c>
      <c r="T15" s="172"/>
      <c r="U15" s="176" t="s">
        <v>838</v>
      </c>
      <c r="V15" s="186">
        <v>0</v>
      </c>
      <c r="W15" s="440">
        <f t="shared" si="5"/>
        <v>5444.62</v>
      </c>
      <c r="X15" s="440">
        <f t="shared" si="2"/>
        <v>82749.48000000004</v>
      </c>
      <c r="Y15" s="440"/>
      <c r="Z15" s="416"/>
      <c r="AA15" s="440">
        <f t="shared" si="1"/>
        <v>88194.100000000035</v>
      </c>
      <c r="AB15" s="186">
        <v>1436520</v>
      </c>
      <c r="AC15" s="186">
        <v>942948.2</v>
      </c>
      <c r="AD15" s="186">
        <v>440666.76</v>
      </c>
      <c r="AE15" s="186">
        <v>-29844.44</v>
      </c>
      <c r="AF15" s="481">
        <v>82749.48000000004</v>
      </c>
      <c r="AG15" s="481" t="s">
        <v>673</v>
      </c>
      <c r="AH15" s="186">
        <v>1436520</v>
      </c>
      <c r="AI15" s="176">
        <v>942948.2</v>
      </c>
      <c r="AJ15" s="186">
        <v>440666.76</v>
      </c>
      <c r="AK15" s="186">
        <v>-29844.44</v>
      </c>
      <c r="AL15" s="472">
        <f t="shared" si="3"/>
        <v>82749.48000000004</v>
      </c>
      <c r="AM15" s="186">
        <f t="shared" si="4"/>
        <v>1271021.04</v>
      </c>
      <c r="AN15" s="212"/>
    </row>
    <row r="16" spans="1:40" s="35" customFormat="1" ht="29" x14ac:dyDescent="0.35">
      <c r="A16" s="176" t="s">
        <v>1196</v>
      </c>
      <c r="B16" s="224" t="s">
        <v>948</v>
      </c>
      <c r="C16" s="222" t="s">
        <v>656</v>
      </c>
      <c r="D16" s="136">
        <v>8470415</v>
      </c>
      <c r="E16" s="137" t="s">
        <v>274</v>
      </c>
      <c r="F16" s="138">
        <v>492316</v>
      </c>
      <c r="G16" s="137" t="s">
        <v>132</v>
      </c>
      <c r="H16" s="137" t="s">
        <v>674</v>
      </c>
      <c r="I16" s="139">
        <v>1891417</v>
      </c>
      <c r="J16" s="140">
        <v>1891417</v>
      </c>
      <c r="K16" s="141">
        <v>71367</v>
      </c>
      <c r="L16" s="148">
        <v>50038.6</v>
      </c>
      <c r="M16" s="140">
        <v>1758059</v>
      </c>
      <c r="N16" s="144">
        <v>11952.3999999999</v>
      </c>
      <c r="O16" s="145"/>
      <c r="P16" s="145"/>
      <c r="Q16" s="145"/>
      <c r="R16" s="146"/>
      <c r="S16" s="121">
        <f t="shared" si="0"/>
        <v>11952.3999999999</v>
      </c>
      <c r="T16" s="172"/>
      <c r="U16" s="176" t="s">
        <v>838</v>
      </c>
      <c r="V16" s="186">
        <v>0</v>
      </c>
      <c r="W16" s="440">
        <f t="shared" si="5"/>
        <v>11952.3999999999</v>
      </c>
      <c r="X16" s="440">
        <f t="shared" si="2"/>
        <v>14335</v>
      </c>
      <c r="Y16" s="440"/>
      <c r="Z16" s="416"/>
      <c r="AA16" s="440">
        <f t="shared" si="1"/>
        <v>28729.3999999999</v>
      </c>
      <c r="AB16" s="186">
        <v>1891417</v>
      </c>
      <c r="AC16" s="186">
        <v>169546</v>
      </c>
      <c r="AD16" s="186">
        <v>0</v>
      </c>
      <c r="AE16" s="186">
        <v>1705094</v>
      </c>
      <c r="AF16" s="481">
        <v>16777</v>
      </c>
      <c r="AG16" s="481" t="s">
        <v>674</v>
      </c>
      <c r="AH16" s="186">
        <v>1891417</v>
      </c>
      <c r="AI16" s="176">
        <v>169546</v>
      </c>
      <c r="AJ16" s="186">
        <v>0</v>
      </c>
      <c r="AK16" s="186">
        <v>1707536</v>
      </c>
      <c r="AL16" s="472">
        <f t="shared" si="3"/>
        <v>14335</v>
      </c>
      <c r="AM16" s="186">
        <f t="shared" si="4"/>
        <v>1862747</v>
      </c>
      <c r="AN16" s="212"/>
    </row>
    <row r="17" spans="1:40" s="35" customFormat="1" ht="29" x14ac:dyDescent="0.35">
      <c r="A17" s="176" t="s">
        <v>1196</v>
      </c>
      <c r="B17" s="224" t="s">
        <v>948</v>
      </c>
      <c r="C17" s="222" t="s">
        <v>656</v>
      </c>
      <c r="D17" s="136">
        <v>8470425</v>
      </c>
      <c r="E17" s="137" t="s">
        <v>287</v>
      </c>
      <c r="F17" s="138">
        <v>492310</v>
      </c>
      <c r="G17" s="137" t="s">
        <v>660</v>
      </c>
      <c r="H17" s="137" t="s">
        <v>675</v>
      </c>
      <c r="I17" s="139">
        <v>151348</v>
      </c>
      <c r="J17" s="140">
        <v>127348</v>
      </c>
      <c r="K17" s="141">
        <v>35280</v>
      </c>
      <c r="L17" s="148">
        <v>0</v>
      </c>
      <c r="M17" s="140">
        <v>0</v>
      </c>
      <c r="N17" s="144">
        <v>92068</v>
      </c>
      <c r="O17" s="145"/>
      <c r="P17" s="145"/>
      <c r="Q17" s="145"/>
      <c r="R17" s="146"/>
      <c r="S17" s="121">
        <f t="shared" si="0"/>
        <v>92068</v>
      </c>
      <c r="T17" s="172"/>
      <c r="U17" s="176" t="s">
        <v>838</v>
      </c>
      <c r="V17" s="186">
        <v>0</v>
      </c>
      <c r="W17" s="440">
        <f t="shared" si="5"/>
        <v>92068</v>
      </c>
      <c r="X17" s="440">
        <f t="shared" si="2"/>
        <v>92068</v>
      </c>
      <c r="Y17" s="440"/>
      <c r="Z17" s="416"/>
      <c r="AA17" s="440">
        <f t="shared" si="1"/>
        <v>184136</v>
      </c>
      <c r="AB17" s="186">
        <v>127348</v>
      </c>
      <c r="AC17" s="186">
        <v>35280</v>
      </c>
      <c r="AD17" s="186">
        <v>0</v>
      </c>
      <c r="AE17" s="186">
        <v>0</v>
      </c>
      <c r="AF17" s="481">
        <v>92068</v>
      </c>
      <c r="AG17" s="481" t="s">
        <v>675</v>
      </c>
      <c r="AH17" s="186">
        <v>127348</v>
      </c>
      <c r="AI17" s="186">
        <v>35280</v>
      </c>
      <c r="AJ17" s="186">
        <v>0</v>
      </c>
      <c r="AK17" s="186">
        <v>0</v>
      </c>
      <c r="AL17" s="472">
        <f t="shared" si="3"/>
        <v>92068</v>
      </c>
      <c r="AM17" s="186">
        <f t="shared" si="4"/>
        <v>-56788</v>
      </c>
      <c r="AN17" s="212"/>
    </row>
    <row r="18" spans="1:40" s="35" customFormat="1" ht="29" x14ac:dyDescent="0.35">
      <c r="A18" s="176" t="s">
        <v>1196</v>
      </c>
      <c r="B18" s="224" t="s">
        <v>948</v>
      </c>
      <c r="C18" s="222" t="s">
        <v>656</v>
      </c>
      <c r="D18" s="136">
        <v>8470425</v>
      </c>
      <c r="E18" s="137" t="s">
        <v>287</v>
      </c>
      <c r="F18" s="138">
        <v>492316</v>
      </c>
      <c r="G18" s="137" t="s">
        <v>132</v>
      </c>
      <c r="H18" s="137" t="s">
        <v>676</v>
      </c>
      <c r="I18" s="139">
        <v>1551340</v>
      </c>
      <c r="J18" s="140">
        <v>732340</v>
      </c>
      <c r="K18" s="141">
        <v>286598.5</v>
      </c>
      <c r="L18" s="148">
        <v>243881.73</v>
      </c>
      <c r="M18" s="140">
        <v>119350.08</v>
      </c>
      <c r="N18" s="144">
        <v>82509.6899999999</v>
      </c>
      <c r="O18" s="145"/>
      <c r="P18" s="145"/>
      <c r="Q18" s="145"/>
      <c r="R18" s="146"/>
      <c r="S18" s="121">
        <f t="shared" si="0"/>
        <v>82509.6899999999</v>
      </c>
      <c r="T18" s="172"/>
      <c r="U18" s="176" t="s">
        <v>838</v>
      </c>
      <c r="V18" s="186">
        <v>0</v>
      </c>
      <c r="W18" s="440">
        <f t="shared" si="5"/>
        <v>82509.6899999999</v>
      </c>
      <c r="X18" s="440">
        <f t="shared" si="2"/>
        <v>48945.689999999973</v>
      </c>
      <c r="Y18" s="440"/>
      <c r="Z18" s="416"/>
      <c r="AA18" s="440">
        <f t="shared" si="1"/>
        <v>131455.37999999989</v>
      </c>
      <c r="AB18" s="186">
        <v>682340</v>
      </c>
      <c r="AC18" s="186">
        <v>408512.58</v>
      </c>
      <c r="AD18" s="186">
        <v>0</v>
      </c>
      <c r="AE18" s="186">
        <v>224881.73</v>
      </c>
      <c r="AF18" s="481">
        <v>48945.689999999973</v>
      </c>
      <c r="AG18" s="481" t="s">
        <v>676</v>
      </c>
      <c r="AH18" s="186">
        <v>682340</v>
      </c>
      <c r="AI18" s="186">
        <v>408512.58</v>
      </c>
      <c r="AJ18" s="186">
        <v>0</v>
      </c>
      <c r="AK18" s="186">
        <v>224881.73</v>
      </c>
      <c r="AL18" s="472">
        <f t="shared" si="3"/>
        <v>48945.689999999973</v>
      </c>
      <c r="AM18" s="186">
        <f t="shared" si="4"/>
        <v>584448.62000000011</v>
      </c>
      <c r="AN18" s="212"/>
    </row>
    <row r="19" spans="1:40" s="35" customFormat="1" ht="29" x14ac:dyDescent="0.35">
      <c r="A19" s="176" t="s">
        <v>1196</v>
      </c>
      <c r="B19" s="224" t="s">
        <v>948</v>
      </c>
      <c r="C19" s="222" t="s">
        <v>656</v>
      </c>
      <c r="D19" s="136">
        <v>8470450</v>
      </c>
      <c r="E19" s="137" t="s">
        <v>333</v>
      </c>
      <c r="F19" s="138">
        <v>492310</v>
      </c>
      <c r="G19" s="137" t="s">
        <v>660</v>
      </c>
      <c r="H19" s="137" t="s">
        <v>677</v>
      </c>
      <c r="I19" s="139">
        <v>126346</v>
      </c>
      <c r="J19" s="140">
        <v>126346</v>
      </c>
      <c r="K19" s="141">
        <v>80205</v>
      </c>
      <c r="L19" s="148">
        <v>0</v>
      </c>
      <c r="M19" s="140">
        <v>0</v>
      </c>
      <c r="N19" s="144">
        <v>46141</v>
      </c>
      <c r="O19" s="145"/>
      <c r="P19" s="145"/>
      <c r="Q19" s="145"/>
      <c r="R19" s="146"/>
      <c r="S19" s="121">
        <f t="shared" si="0"/>
        <v>46141</v>
      </c>
      <c r="T19" s="172"/>
      <c r="U19" s="176" t="s">
        <v>838</v>
      </c>
      <c r="V19" s="186">
        <v>0</v>
      </c>
      <c r="W19" s="418">
        <f>26600+S19</f>
        <v>72741</v>
      </c>
      <c r="X19" s="440">
        <f t="shared" si="2"/>
        <v>46141</v>
      </c>
      <c r="Y19" s="509"/>
      <c r="Z19" s="421"/>
      <c r="AA19" s="440">
        <f t="shared" si="1"/>
        <v>118882</v>
      </c>
      <c r="AB19" s="186">
        <v>126346</v>
      </c>
      <c r="AC19" s="186">
        <v>80205</v>
      </c>
      <c r="AD19" s="186">
        <v>0</v>
      </c>
      <c r="AE19" s="186">
        <v>0</v>
      </c>
      <c r="AF19" s="481">
        <v>46141</v>
      </c>
      <c r="AG19" s="481" t="s">
        <v>677</v>
      </c>
      <c r="AH19" s="186">
        <v>126346</v>
      </c>
      <c r="AI19" s="186">
        <v>80205</v>
      </c>
      <c r="AJ19" s="186">
        <v>0</v>
      </c>
      <c r="AK19" s="186">
        <v>0</v>
      </c>
      <c r="AL19" s="472">
        <f t="shared" si="3"/>
        <v>46141</v>
      </c>
      <c r="AM19" s="186">
        <f t="shared" si="4"/>
        <v>34064</v>
      </c>
      <c r="AN19" s="212"/>
    </row>
    <row r="20" spans="1:40" s="35" customFormat="1" ht="29" x14ac:dyDescent="0.35">
      <c r="A20" s="176" t="s">
        <v>1196</v>
      </c>
      <c r="B20" s="224" t="s">
        <v>948</v>
      </c>
      <c r="C20" s="222" t="s">
        <v>656</v>
      </c>
      <c r="D20" s="136">
        <v>8470450</v>
      </c>
      <c r="E20" s="137" t="s">
        <v>333</v>
      </c>
      <c r="F20" s="138">
        <v>492316</v>
      </c>
      <c r="G20" s="137" t="s">
        <v>132</v>
      </c>
      <c r="H20" s="137" t="s">
        <v>678</v>
      </c>
      <c r="I20" s="139">
        <v>146498</v>
      </c>
      <c r="J20" s="140">
        <v>146498</v>
      </c>
      <c r="K20" s="141">
        <v>309.52</v>
      </c>
      <c r="L20" s="148">
        <v>117930</v>
      </c>
      <c r="M20" s="143"/>
      <c r="N20" s="144">
        <v>28258.48</v>
      </c>
      <c r="O20" s="145"/>
      <c r="P20" s="145"/>
      <c r="Q20" s="145"/>
      <c r="R20" s="146"/>
      <c r="S20" s="121">
        <f t="shared" si="0"/>
        <v>28258.48</v>
      </c>
      <c r="T20" s="172"/>
      <c r="U20" s="176" t="s">
        <v>838</v>
      </c>
      <c r="V20" s="508">
        <v>26600</v>
      </c>
      <c r="W20" s="440">
        <f>S20</f>
        <v>28258.48</v>
      </c>
      <c r="X20" s="440">
        <f t="shared" si="2"/>
        <v>81323.48000000001</v>
      </c>
      <c r="Y20" s="440"/>
      <c r="Z20" s="416"/>
      <c r="AA20" s="440">
        <f t="shared" si="1"/>
        <v>82901.960000000006</v>
      </c>
      <c r="AB20" s="186">
        <v>146498</v>
      </c>
      <c r="AC20" s="186">
        <v>309.52</v>
      </c>
      <c r="AD20" s="186">
        <v>51780</v>
      </c>
      <c r="AE20" s="186">
        <v>39765</v>
      </c>
      <c r="AF20" s="481">
        <v>54643.48000000001</v>
      </c>
      <c r="AG20" s="481" t="s">
        <v>678</v>
      </c>
      <c r="AH20" s="186">
        <v>146498</v>
      </c>
      <c r="AI20" s="186">
        <v>309.52</v>
      </c>
      <c r="AJ20" s="186">
        <v>0</v>
      </c>
      <c r="AK20" s="186">
        <v>64865</v>
      </c>
      <c r="AL20" s="472">
        <f t="shared" si="3"/>
        <v>81323.48000000001</v>
      </c>
      <c r="AM20" s="186">
        <f t="shared" si="4"/>
        <v>-16148.960000000014</v>
      </c>
      <c r="AN20" s="212"/>
    </row>
    <row r="21" spans="1:40" s="35" customFormat="1" ht="29" x14ac:dyDescent="0.35">
      <c r="A21" s="176" t="s">
        <v>1196</v>
      </c>
      <c r="B21" s="224" t="s">
        <v>948</v>
      </c>
      <c r="C21" s="222" t="s">
        <v>656</v>
      </c>
      <c r="D21" s="136">
        <v>8470455</v>
      </c>
      <c r="E21" s="137" t="s">
        <v>341</v>
      </c>
      <c r="F21" s="138">
        <v>492316</v>
      </c>
      <c r="G21" s="137" t="s">
        <v>132</v>
      </c>
      <c r="H21" s="137" t="s">
        <v>679</v>
      </c>
      <c r="I21" s="139">
        <v>1754263</v>
      </c>
      <c r="J21" s="140">
        <v>1489263</v>
      </c>
      <c r="K21" s="141">
        <v>127095</v>
      </c>
      <c r="L21" s="148">
        <v>1</v>
      </c>
      <c r="M21" s="140">
        <v>1296072.5</v>
      </c>
      <c r="N21" s="144">
        <v>66094.5</v>
      </c>
      <c r="O21" s="145"/>
      <c r="P21" s="145"/>
      <c r="Q21" s="145"/>
      <c r="R21" s="146"/>
      <c r="S21" s="121">
        <f t="shared" si="0"/>
        <v>66094.5</v>
      </c>
      <c r="T21" s="172"/>
      <c r="U21" s="176" t="s">
        <v>838</v>
      </c>
      <c r="V21" s="186">
        <v>0</v>
      </c>
      <c r="W21" s="440">
        <f>S21</f>
        <v>66094.5</v>
      </c>
      <c r="X21" s="440">
        <f t="shared" si="2"/>
        <v>68194.5</v>
      </c>
      <c r="Y21" s="440"/>
      <c r="Z21" s="416"/>
      <c r="AA21" s="440">
        <f t="shared" si="1"/>
        <v>134289</v>
      </c>
      <c r="AB21" s="186">
        <v>1489263</v>
      </c>
      <c r="AC21" s="186">
        <v>1268115</v>
      </c>
      <c r="AD21" s="186">
        <v>1</v>
      </c>
      <c r="AE21" s="186">
        <v>152952.5</v>
      </c>
      <c r="AF21" s="481">
        <v>68194.5</v>
      </c>
      <c r="AG21" s="481" t="s">
        <v>679</v>
      </c>
      <c r="AH21" s="186">
        <v>1489263</v>
      </c>
      <c r="AI21" s="186">
        <v>1319960</v>
      </c>
      <c r="AJ21" s="186">
        <v>1</v>
      </c>
      <c r="AK21" s="186">
        <v>101107.5</v>
      </c>
      <c r="AL21" s="472">
        <f t="shared" si="3"/>
        <v>68194.5</v>
      </c>
      <c r="AM21" s="186">
        <f t="shared" si="4"/>
        <v>1352874</v>
      </c>
      <c r="AN21" s="212"/>
    </row>
    <row r="22" spans="1:40" s="35" customFormat="1" ht="43.5" x14ac:dyDescent="0.35">
      <c r="A22" s="176" t="s">
        <v>1197</v>
      </c>
      <c r="B22" s="224" t="s">
        <v>949</v>
      </c>
      <c r="C22" s="222" t="s">
        <v>656</v>
      </c>
      <c r="D22" s="136">
        <v>8470520</v>
      </c>
      <c r="E22" s="137" t="s">
        <v>352</v>
      </c>
      <c r="F22" s="138">
        <v>492316</v>
      </c>
      <c r="G22" s="137" t="s">
        <v>132</v>
      </c>
      <c r="H22" s="137" t="s">
        <v>680</v>
      </c>
      <c r="I22" s="139">
        <v>171987</v>
      </c>
      <c r="J22" s="140">
        <v>987</v>
      </c>
      <c r="K22" s="147"/>
      <c r="L22" s="400">
        <v>0</v>
      </c>
      <c r="M22" s="143"/>
      <c r="N22" s="144">
        <v>987</v>
      </c>
      <c r="O22" s="145"/>
      <c r="P22" s="145"/>
      <c r="Q22" s="145"/>
      <c r="R22" s="146"/>
      <c r="S22" s="121">
        <f t="shared" si="0"/>
        <v>987</v>
      </c>
      <c r="T22" s="172"/>
      <c r="U22" s="176" t="s">
        <v>722</v>
      </c>
      <c r="V22" s="186">
        <v>0</v>
      </c>
      <c r="W22" s="440">
        <f>S22</f>
        <v>987</v>
      </c>
      <c r="X22" s="440">
        <f t="shared" si="2"/>
        <v>987</v>
      </c>
      <c r="Y22" s="440"/>
      <c r="Z22" s="416"/>
      <c r="AA22" s="441">
        <f t="shared" si="1"/>
        <v>1974</v>
      </c>
      <c r="AB22" s="186">
        <v>987</v>
      </c>
      <c r="AC22" s="186">
        <v>0</v>
      </c>
      <c r="AD22" s="186">
        <v>0</v>
      </c>
      <c r="AE22" s="186">
        <v>0</v>
      </c>
      <c r="AF22" s="481">
        <v>987</v>
      </c>
      <c r="AG22" s="481" t="s">
        <v>680</v>
      </c>
      <c r="AH22" s="186">
        <v>987</v>
      </c>
      <c r="AI22" s="186">
        <v>0</v>
      </c>
      <c r="AJ22" s="186">
        <v>0</v>
      </c>
      <c r="AK22" s="186">
        <v>0</v>
      </c>
      <c r="AL22" s="472">
        <f t="shared" si="3"/>
        <v>987</v>
      </c>
      <c r="AM22" s="186">
        <f t="shared" si="4"/>
        <v>-987</v>
      </c>
      <c r="AN22" s="212"/>
    </row>
    <row r="23" spans="1:40" s="35" customFormat="1" ht="43.5" x14ac:dyDescent="0.35">
      <c r="A23" s="176" t="s">
        <v>1197</v>
      </c>
      <c r="B23" s="224" t="s">
        <v>949</v>
      </c>
      <c r="C23" s="222" t="s">
        <v>656</v>
      </c>
      <c r="D23" s="136">
        <v>8470530</v>
      </c>
      <c r="E23" s="137" t="s">
        <v>361</v>
      </c>
      <c r="F23" s="138">
        <v>492200</v>
      </c>
      <c r="G23" s="137" t="s">
        <v>682</v>
      </c>
      <c r="H23" s="137" t="s">
        <v>683</v>
      </c>
      <c r="I23" s="139">
        <v>2910350</v>
      </c>
      <c r="J23" s="140">
        <v>2724350</v>
      </c>
      <c r="K23" s="147"/>
      <c r="L23" s="400">
        <v>1100000</v>
      </c>
      <c r="M23" s="140">
        <v>1624208</v>
      </c>
      <c r="N23" s="144">
        <v>142</v>
      </c>
      <c r="O23" s="145"/>
      <c r="P23" s="145"/>
      <c r="Q23" s="145"/>
      <c r="R23" s="146"/>
      <c r="S23" s="121">
        <f t="shared" si="0"/>
        <v>142</v>
      </c>
      <c r="T23" s="197"/>
      <c r="U23" s="176" t="s">
        <v>722</v>
      </c>
      <c r="V23" s="508">
        <v>155700</v>
      </c>
      <c r="W23" s="440">
        <f>S23</f>
        <v>142</v>
      </c>
      <c r="X23" s="440">
        <f t="shared" si="2"/>
        <v>299441.99999999994</v>
      </c>
      <c r="Y23" s="440"/>
      <c r="Z23" s="416"/>
      <c r="AA23" s="441">
        <f t="shared" si="1"/>
        <v>143884</v>
      </c>
      <c r="AB23" s="186">
        <v>1923650</v>
      </c>
      <c r="AC23" s="186">
        <v>0</v>
      </c>
      <c r="AD23" s="186">
        <v>155700</v>
      </c>
      <c r="AE23" s="186">
        <v>1624208</v>
      </c>
      <c r="AF23" s="481">
        <v>143742</v>
      </c>
      <c r="AG23" s="481" t="s">
        <v>683</v>
      </c>
      <c r="AH23" s="186">
        <v>1923650</v>
      </c>
      <c r="AI23" s="186">
        <v>1431816.56</v>
      </c>
      <c r="AJ23" s="186">
        <v>0</v>
      </c>
      <c r="AK23" s="186">
        <v>192391.44</v>
      </c>
      <c r="AL23" s="472">
        <f t="shared" si="3"/>
        <v>299441.99999999994</v>
      </c>
      <c r="AM23" s="186">
        <f t="shared" si="4"/>
        <v>1324766</v>
      </c>
      <c r="AN23" s="212"/>
    </row>
    <row r="24" spans="1:40" s="35" customFormat="1" ht="43.5" x14ac:dyDescent="0.35">
      <c r="A24" s="176" t="s">
        <v>1197</v>
      </c>
      <c r="B24" s="224" t="s">
        <v>949</v>
      </c>
      <c r="C24" s="222" t="s">
        <v>656</v>
      </c>
      <c r="D24" s="136">
        <v>8470530</v>
      </c>
      <c r="E24" s="137" t="s">
        <v>361</v>
      </c>
      <c r="F24" s="138">
        <v>492200</v>
      </c>
      <c r="G24" s="137" t="s">
        <v>682</v>
      </c>
      <c r="H24" s="137" t="s">
        <v>684</v>
      </c>
      <c r="I24" s="139">
        <v>18425319</v>
      </c>
      <c r="J24" s="140">
        <v>25123643</v>
      </c>
      <c r="K24" s="141">
        <v>14827479.25</v>
      </c>
      <c r="L24" s="400">
        <v>3000000</v>
      </c>
      <c r="M24" s="140">
        <v>7249922.9299999997</v>
      </c>
      <c r="N24" s="144">
        <v>46240.820000000298</v>
      </c>
      <c r="O24" s="145"/>
      <c r="P24" s="145"/>
      <c r="Q24" s="145"/>
      <c r="R24" s="146"/>
      <c r="S24" s="122">
        <f t="shared" si="0"/>
        <v>46240.820000000298</v>
      </c>
      <c r="T24" s="176"/>
      <c r="U24" s="176" t="s">
        <v>722</v>
      </c>
      <c r="V24" s="186">
        <v>399000</v>
      </c>
      <c r="W24" s="440">
        <f>S24</f>
        <v>46240.820000000298</v>
      </c>
      <c r="X24" s="440">
        <f t="shared" si="2"/>
        <v>2134438.8200000017</v>
      </c>
      <c r="Y24" s="509"/>
      <c r="Z24" s="419">
        <v>8988807.7300000004</v>
      </c>
      <c r="AA24" s="441">
        <f t="shared" si="1"/>
        <v>362479.6400000006</v>
      </c>
      <c r="AB24" s="186">
        <v>22363643</v>
      </c>
      <c r="AC24" s="186">
        <v>17687599.25</v>
      </c>
      <c r="AD24" s="186">
        <v>-3426</v>
      </c>
      <c r="AE24" s="186">
        <v>4363230.93</v>
      </c>
      <c r="AF24" s="481">
        <v>316238.8200000003</v>
      </c>
      <c r="AG24" s="481" t="s">
        <v>684</v>
      </c>
      <c r="AH24" s="186">
        <v>22363643</v>
      </c>
      <c r="AI24" s="186">
        <v>19474858.579999998</v>
      </c>
      <c r="AJ24" s="186">
        <v>-153426</v>
      </c>
      <c r="AK24" s="186">
        <v>907771.6</v>
      </c>
      <c r="AL24" s="472">
        <f t="shared" si="3"/>
        <v>2134438.8200000017</v>
      </c>
      <c r="AM24" s="186">
        <f t="shared" si="4"/>
        <v>27083573.09</v>
      </c>
      <c r="AN24" s="212"/>
    </row>
    <row r="25" spans="1:40" s="35" customFormat="1" ht="43.5" x14ac:dyDescent="0.35">
      <c r="A25" s="176" t="s">
        <v>1197</v>
      </c>
      <c r="B25" s="224" t="s">
        <v>949</v>
      </c>
      <c r="C25" s="222" t="s">
        <v>656</v>
      </c>
      <c r="D25" s="136">
        <v>8470530</v>
      </c>
      <c r="E25" s="137" t="s">
        <v>361</v>
      </c>
      <c r="F25" s="138">
        <v>492200</v>
      </c>
      <c r="G25" s="137" t="s">
        <v>682</v>
      </c>
      <c r="H25" s="137" t="s">
        <v>686</v>
      </c>
      <c r="I25" s="139">
        <v>19458929</v>
      </c>
      <c r="J25" s="140">
        <v>20771949</v>
      </c>
      <c r="K25" s="141">
        <v>8794789.4000000004</v>
      </c>
      <c r="L25" s="400">
        <v>2966819.5</v>
      </c>
      <c r="M25" s="140">
        <v>8974286.5999999996</v>
      </c>
      <c r="N25" s="144">
        <v>36053.5</v>
      </c>
      <c r="O25" s="145"/>
      <c r="P25" s="145"/>
      <c r="Q25" s="145"/>
      <c r="R25" s="146"/>
      <c r="S25" s="121">
        <f t="shared" si="0"/>
        <v>36053.5</v>
      </c>
      <c r="T25" s="172"/>
      <c r="U25" s="176" t="s">
        <v>722</v>
      </c>
      <c r="V25" s="186">
        <v>0</v>
      </c>
      <c r="W25" s="417">
        <f>554700+S25</f>
        <v>590753.5</v>
      </c>
      <c r="X25" s="440">
        <f t="shared" si="2"/>
        <v>77616.260000001639</v>
      </c>
      <c r="Y25" s="440"/>
      <c r="Z25" s="417"/>
      <c r="AA25" s="441">
        <f t="shared" si="1"/>
        <v>4936291.5</v>
      </c>
      <c r="AB25" s="186">
        <v>23531949</v>
      </c>
      <c r="AC25" s="186">
        <v>14420589.4</v>
      </c>
      <c r="AD25" s="186">
        <v>1320000</v>
      </c>
      <c r="AE25" s="186">
        <v>3445821.6</v>
      </c>
      <c r="AF25" s="481">
        <v>4345538</v>
      </c>
      <c r="AG25" s="481" t="s">
        <v>686</v>
      </c>
      <c r="AH25" s="186">
        <v>23531949</v>
      </c>
      <c r="AI25" s="186">
        <v>20990255.739999998</v>
      </c>
      <c r="AJ25" s="186">
        <v>1470000</v>
      </c>
      <c r="AK25" s="186">
        <v>994077</v>
      </c>
      <c r="AL25" s="472">
        <f t="shared" si="3"/>
        <v>77616.260000001639</v>
      </c>
      <c r="AM25" s="186">
        <f t="shared" si="4"/>
        <v>23376716.479999997</v>
      </c>
      <c r="AN25" s="212"/>
    </row>
    <row r="26" spans="1:40" s="35" customFormat="1" ht="43.5" x14ac:dyDescent="0.35">
      <c r="A26" s="423" t="s">
        <v>1197</v>
      </c>
      <c r="B26" s="424" t="s">
        <v>949</v>
      </c>
      <c r="C26" s="425" t="s">
        <v>656</v>
      </c>
      <c r="D26" s="426">
        <v>8470530</v>
      </c>
      <c r="E26" s="427" t="s">
        <v>361</v>
      </c>
      <c r="F26" s="428">
        <v>492610</v>
      </c>
      <c r="G26" s="427" t="s">
        <v>687</v>
      </c>
      <c r="H26" s="427" t="s">
        <v>688</v>
      </c>
      <c r="I26" s="429">
        <v>1136050</v>
      </c>
      <c r="J26" s="430">
        <v>3102209</v>
      </c>
      <c r="K26" s="431">
        <v>92200</v>
      </c>
      <c r="L26" s="432">
        <v>0</v>
      </c>
      <c r="M26" s="430">
        <v>223994</v>
      </c>
      <c r="N26" s="433">
        <v>2786015</v>
      </c>
      <c r="O26" s="434"/>
      <c r="P26" s="434"/>
      <c r="Q26" s="434"/>
      <c r="R26" s="435" t="s">
        <v>795</v>
      </c>
      <c r="S26" s="429">
        <f t="shared" si="0"/>
        <v>2786015</v>
      </c>
      <c r="T26" s="436"/>
      <c r="U26" s="423" t="s">
        <v>722</v>
      </c>
      <c r="V26" s="186">
        <v>0</v>
      </c>
      <c r="W26" s="437">
        <f>135000+S26</f>
        <v>2921015</v>
      </c>
      <c r="X26" s="440">
        <f t="shared" si="2"/>
        <v>83391</v>
      </c>
      <c r="Y26" s="509"/>
      <c r="Z26" s="438"/>
      <c r="AA26" s="441">
        <f t="shared" si="1"/>
        <v>3010006</v>
      </c>
      <c r="AB26" s="439">
        <v>6379911</v>
      </c>
      <c r="AC26" s="439">
        <v>4600200</v>
      </c>
      <c r="AD26" s="439">
        <v>0</v>
      </c>
      <c r="AE26" s="439">
        <v>1690720</v>
      </c>
      <c r="AF26" s="482">
        <v>88991</v>
      </c>
      <c r="AG26" s="481" t="s">
        <v>688</v>
      </c>
      <c r="AH26" s="186">
        <v>6379911</v>
      </c>
      <c r="AI26" s="186">
        <v>6077200</v>
      </c>
      <c r="AJ26" s="186">
        <v>6600</v>
      </c>
      <c r="AK26" s="186">
        <v>212720</v>
      </c>
      <c r="AL26" s="472">
        <f t="shared" si="3"/>
        <v>83391</v>
      </c>
      <c r="AM26" s="186">
        <f t="shared" si="4"/>
        <v>6213129</v>
      </c>
      <c r="AN26" s="212"/>
    </row>
    <row r="27" spans="1:40" s="35" customFormat="1" ht="43.5" x14ac:dyDescent="0.35">
      <c r="A27" s="176" t="s">
        <v>1197</v>
      </c>
      <c r="B27" s="224" t="s">
        <v>949</v>
      </c>
      <c r="C27" s="222" t="s">
        <v>656</v>
      </c>
      <c r="D27" s="136">
        <v>8470530</v>
      </c>
      <c r="E27" s="137" t="s">
        <v>361</v>
      </c>
      <c r="F27" s="138">
        <v>492610</v>
      </c>
      <c r="G27" s="137" t="s">
        <v>687</v>
      </c>
      <c r="H27" s="137" t="s">
        <v>689</v>
      </c>
      <c r="I27" s="139">
        <v>32800</v>
      </c>
      <c r="J27" s="140">
        <v>32800</v>
      </c>
      <c r="K27" s="141">
        <v>31488</v>
      </c>
      <c r="L27" s="401"/>
      <c r="M27" s="140">
        <v>0</v>
      </c>
      <c r="N27" s="144">
        <v>1312</v>
      </c>
      <c r="O27" s="145"/>
      <c r="P27" s="145"/>
      <c r="Q27" s="145"/>
      <c r="R27" s="146"/>
      <c r="S27" s="121">
        <f t="shared" si="0"/>
        <v>1312</v>
      </c>
      <c r="T27" s="172"/>
      <c r="U27" s="176" t="s">
        <v>722</v>
      </c>
      <c r="V27" s="186">
        <v>0</v>
      </c>
      <c r="W27" s="440">
        <f>S27</f>
        <v>1312</v>
      </c>
      <c r="X27" s="440">
        <f t="shared" si="2"/>
        <v>1312</v>
      </c>
      <c r="Y27" s="440"/>
      <c r="Z27" s="416"/>
      <c r="AA27" s="441">
        <f t="shared" si="1"/>
        <v>2624</v>
      </c>
      <c r="AB27" s="186">
        <v>32800</v>
      </c>
      <c r="AC27" s="186">
        <v>31488</v>
      </c>
      <c r="AD27" s="186">
        <v>0</v>
      </c>
      <c r="AE27" s="186">
        <v>0</v>
      </c>
      <c r="AF27" s="481">
        <v>1312</v>
      </c>
      <c r="AG27" s="481" t="s">
        <v>689</v>
      </c>
      <c r="AH27" s="186">
        <v>32800</v>
      </c>
      <c r="AI27" s="186">
        <v>31488</v>
      </c>
      <c r="AJ27" s="186">
        <v>0</v>
      </c>
      <c r="AK27" s="186">
        <v>0</v>
      </c>
      <c r="AL27" s="472">
        <f t="shared" si="3"/>
        <v>1312</v>
      </c>
      <c r="AM27" s="186">
        <f t="shared" si="4"/>
        <v>30176</v>
      </c>
      <c r="AN27" s="212"/>
    </row>
    <row r="28" spans="1:40" s="35" customFormat="1" ht="43.5" x14ac:dyDescent="0.35">
      <c r="A28" s="176" t="s">
        <v>1197</v>
      </c>
      <c r="B28" s="224" t="s">
        <v>949</v>
      </c>
      <c r="C28" s="222" t="s">
        <v>656</v>
      </c>
      <c r="D28" s="136">
        <v>8470530</v>
      </c>
      <c r="E28" s="137" t="s">
        <v>361</v>
      </c>
      <c r="F28" s="138">
        <v>492610</v>
      </c>
      <c r="G28" s="137" t="s">
        <v>687</v>
      </c>
      <c r="H28" s="137" t="s">
        <v>690</v>
      </c>
      <c r="I28" s="139">
        <v>1375893</v>
      </c>
      <c r="J28" s="140">
        <v>82893</v>
      </c>
      <c r="K28" s="141">
        <v>41141</v>
      </c>
      <c r="L28" s="400">
        <v>0</v>
      </c>
      <c r="M28" s="140">
        <v>41141</v>
      </c>
      <c r="N28" s="144">
        <v>611</v>
      </c>
      <c r="O28" s="145"/>
      <c r="P28" s="145"/>
      <c r="Q28" s="145"/>
      <c r="R28" s="146"/>
      <c r="S28" s="121">
        <f t="shared" ref="S28:S52" si="6">N28-O28-P28-Q28</f>
        <v>611</v>
      </c>
      <c r="T28" s="172"/>
      <c r="U28" s="176" t="s">
        <v>722</v>
      </c>
      <c r="V28" s="186">
        <v>0</v>
      </c>
      <c r="W28" s="440">
        <f>S28</f>
        <v>611</v>
      </c>
      <c r="X28" s="440">
        <f t="shared" si="2"/>
        <v>41752</v>
      </c>
      <c r="Y28" s="440"/>
      <c r="Z28" s="416"/>
      <c r="AA28" s="441">
        <f t="shared" si="1"/>
        <v>42363</v>
      </c>
      <c r="AB28" s="186">
        <v>82893</v>
      </c>
      <c r="AC28" s="186">
        <v>41141</v>
      </c>
      <c r="AD28" s="186">
        <v>0</v>
      </c>
      <c r="AE28" s="186">
        <v>0</v>
      </c>
      <c r="AF28" s="481">
        <v>41752</v>
      </c>
      <c r="AG28" s="481" t="s">
        <v>690</v>
      </c>
      <c r="AH28" s="186">
        <v>82893</v>
      </c>
      <c r="AI28" s="186">
        <v>41141</v>
      </c>
      <c r="AJ28" s="186">
        <v>0</v>
      </c>
      <c r="AK28" s="186">
        <v>0</v>
      </c>
      <c r="AL28" s="472">
        <f t="shared" si="3"/>
        <v>41752</v>
      </c>
      <c r="AM28" s="186">
        <f t="shared" si="4"/>
        <v>-611</v>
      </c>
      <c r="AN28" s="212"/>
    </row>
    <row r="29" spans="1:40" s="35" customFormat="1" ht="43.5" x14ac:dyDescent="0.35">
      <c r="A29" s="176" t="s">
        <v>1197</v>
      </c>
      <c r="B29" s="224" t="s">
        <v>949</v>
      </c>
      <c r="C29" s="222" t="s">
        <v>656</v>
      </c>
      <c r="D29" s="136">
        <v>8470530</v>
      </c>
      <c r="E29" s="137" t="s">
        <v>361</v>
      </c>
      <c r="F29" s="138">
        <v>495113</v>
      </c>
      <c r="G29" s="137" t="s">
        <v>658</v>
      </c>
      <c r="H29" s="137" t="s">
        <v>691</v>
      </c>
      <c r="I29" s="139">
        <v>0</v>
      </c>
      <c r="J29" s="140">
        <v>1000000</v>
      </c>
      <c r="K29" s="147"/>
      <c r="L29" s="400">
        <v>1000000</v>
      </c>
      <c r="M29" s="143"/>
      <c r="N29" s="144">
        <v>0</v>
      </c>
      <c r="O29" s="145"/>
      <c r="P29" s="145"/>
      <c r="Q29" s="145"/>
      <c r="R29" s="146"/>
      <c r="S29" s="121">
        <f t="shared" si="6"/>
        <v>0</v>
      </c>
      <c r="T29" s="172"/>
      <c r="U29" s="176" t="s">
        <v>722</v>
      </c>
      <c r="V29" s="508">
        <v>1000000</v>
      </c>
      <c r="W29" s="417">
        <v>1000000</v>
      </c>
      <c r="X29" s="440">
        <f t="shared" si="2"/>
        <v>1000000</v>
      </c>
      <c r="Y29" s="440"/>
      <c r="Z29" s="417"/>
      <c r="AA29" s="441">
        <f t="shared" si="1"/>
        <v>1000000</v>
      </c>
      <c r="AB29" s="186">
        <v>1000000</v>
      </c>
      <c r="AC29" s="186">
        <v>0</v>
      </c>
      <c r="AD29" s="186">
        <v>1000000</v>
      </c>
      <c r="AE29" s="186">
        <v>0</v>
      </c>
      <c r="AF29" s="481">
        <v>0</v>
      </c>
      <c r="AG29" s="481" t="s">
        <v>691</v>
      </c>
      <c r="AH29" s="186">
        <v>1000000</v>
      </c>
      <c r="AI29" s="186">
        <v>0</v>
      </c>
      <c r="AJ29" s="186">
        <v>0</v>
      </c>
      <c r="AK29" s="186">
        <v>0</v>
      </c>
      <c r="AL29" s="472">
        <f t="shared" si="3"/>
        <v>1000000</v>
      </c>
      <c r="AM29" s="186">
        <f t="shared" si="4"/>
        <v>-1000000</v>
      </c>
      <c r="AN29" s="212"/>
    </row>
    <row r="30" spans="1:40" s="35" customFormat="1" ht="43.5" x14ac:dyDescent="0.35">
      <c r="A30" s="176" t="s">
        <v>1197</v>
      </c>
      <c r="B30" s="224" t="s">
        <v>949</v>
      </c>
      <c r="C30" s="222" t="s">
        <v>656</v>
      </c>
      <c r="D30" s="136">
        <v>8470530</v>
      </c>
      <c r="E30" s="137" t="s">
        <v>361</v>
      </c>
      <c r="F30" s="138">
        <v>495140</v>
      </c>
      <c r="G30" s="137" t="s">
        <v>666</v>
      </c>
      <c r="H30" s="137" t="s">
        <v>692</v>
      </c>
      <c r="I30" s="139">
        <v>30302</v>
      </c>
      <c r="J30" s="140">
        <v>30312</v>
      </c>
      <c r="K30" s="147"/>
      <c r="L30" s="401"/>
      <c r="M30" s="140">
        <v>30302.25</v>
      </c>
      <c r="N30" s="144">
        <v>9.75</v>
      </c>
      <c r="O30" s="145"/>
      <c r="P30" s="145"/>
      <c r="Q30" s="145"/>
      <c r="R30" s="146"/>
      <c r="S30" s="121">
        <f t="shared" si="6"/>
        <v>9.75</v>
      </c>
      <c r="T30" s="172"/>
      <c r="U30" s="176" t="s">
        <v>722</v>
      </c>
      <c r="V30" s="186">
        <v>0</v>
      </c>
      <c r="W30" s="440">
        <f>S30</f>
        <v>9.75</v>
      </c>
      <c r="X30" s="440">
        <f t="shared" si="2"/>
        <v>9.75</v>
      </c>
      <c r="Y30" s="440"/>
      <c r="Z30" s="416"/>
      <c r="AA30" s="441">
        <f t="shared" si="1"/>
        <v>19.5</v>
      </c>
      <c r="AB30" s="186">
        <v>30312</v>
      </c>
      <c r="AC30" s="186">
        <v>0</v>
      </c>
      <c r="AD30" s="186">
        <v>0</v>
      </c>
      <c r="AE30" s="186">
        <v>30302.25</v>
      </c>
      <c r="AF30" s="481">
        <v>9.75</v>
      </c>
      <c r="AG30" s="481" t="s">
        <v>692</v>
      </c>
      <c r="AH30" s="186">
        <v>30312</v>
      </c>
      <c r="AI30" s="186">
        <v>0</v>
      </c>
      <c r="AJ30" s="186">
        <v>30302.25</v>
      </c>
      <c r="AK30" s="186">
        <v>0</v>
      </c>
      <c r="AL30" s="472">
        <f t="shared" si="3"/>
        <v>9.75</v>
      </c>
      <c r="AM30" s="186">
        <f t="shared" si="4"/>
        <v>30292.5</v>
      </c>
      <c r="AN30" s="212"/>
    </row>
    <row r="31" spans="1:40" s="35" customFormat="1" x14ac:dyDescent="0.35">
      <c r="A31" s="176" t="s">
        <v>1197</v>
      </c>
      <c r="B31" s="224" t="s">
        <v>951</v>
      </c>
      <c r="C31" s="222" t="s">
        <v>656</v>
      </c>
      <c r="D31" s="136">
        <v>8470720</v>
      </c>
      <c r="E31" s="137" t="s">
        <v>445</v>
      </c>
      <c r="F31" s="138">
        <v>495110</v>
      </c>
      <c r="G31" s="137" t="s">
        <v>693</v>
      </c>
      <c r="H31" s="137" t="s">
        <v>694</v>
      </c>
      <c r="I31" s="139">
        <v>69286</v>
      </c>
      <c r="J31" s="140">
        <v>0</v>
      </c>
      <c r="K31" s="147"/>
      <c r="L31" s="142"/>
      <c r="M31" s="143"/>
      <c r="N31" s="144">
        <v>0</v>
      </c>
      <c r="O31" s="145"/>
      <c r="P31" s="145"/>
      <c r="Q31" s="145"/>
      <c r="R31" s="146"/>
      <c r="S31" s="121">
        <f t="shared" si="6"/>
        <v>0</v>
      </c>
      <c r="T31" s="172"/>
      <c r="U31" s="176" t="s">
        <v>838</v>
      </c>
      <c r="V31" s="186">
        <v>0</v>
      </c>
      <c r="W31" s="416"/>
      <c r="X31" s="440">
        <f t="shared" si="2"/>
        <v>0</v>
      </c>
      <c r="Y31" s="440"/>
      <c r="Z31" s="416"/>
      <c r="AA31" s="440">
        <f t="shared" si="1"/>
        <v>0</v>
      </c>
      <c r="AB31" s="186">
        <v>0</v>
      </c>
      <c r="AC31" s="186">
        <v>0</v>
      </c>
      <c r="AD31" s="186">
        <v>0</v>
      </c>
      <c r="AE31" s="186">
        <v>0</v>
      </c>
      <c r="AF31" s="481">
        <v>0</v>
      </c>
      <c r="AG31" s="481" t="s">
        <v>694</v>
      </c>
      <c r="AH31" s="186">
        <v>0</v>
      </c>
      <c r="AI31" s="186">
        <v>0</v>
      </c>
      <c r="AJ31" s="186">
        <v>0</v>
      </c>
      <c r="AK31" s="186">
        <v>0</v>
      </c>
      <c r="AL31" s="472">
        <f t="shared" si="3"/>
        <v>0</v>
      </c>
      <c r="AM31" s="186">
        <f t="shared" si="4"/>
        <v>0</v>
      </c>
      <c r="AN31" s="212"/>
    </row>
    <row r="32" spans="1:40" s="35" customFormat="1" x14ac:dyDescent="0.35">
      <c r="A32" s="176" t="s">
        <v>1197</v>
      </c>
      <c r="B32" s="224" t="s">
        <v>951</v>
      </c>
      <c r="C32" s="222" t="s">
        <v>656</v>
      </c>
      <c r="D32" s="136">
        <v>8470720</v>
      </c>
      <c r="E32" s="137" t="s">
        <v>445</v>
      </c>
      <c r="F32" s="138">
        <v>495113</v>
      </c>
      <c r="G32" s="137" t="s">
        <v>658</v>
      </c>
      <c r="H32" s="137" t="s">
        <v>695</v>
      </c>
      <c r="I32" s="139">
        <v>0</v>
      </c>
      <c r="J32" s="140">
        <v>69286</v>
      </c>
      <c r="K32" s="141">
        <v>69286</v>
      </c>
      <c r="L32" s="148">
        <v>0</v>
      </c>
      <c r="M32" s="140">
        <v>0</v>
      </c>
      <c r="N32" s="144">
        <v>0</v>
      </c>
      <c r="O32" s="145"/>
      <c r="P32" s="145"/>
      <c r="Q32" s="145"/>
      <c r="R32" s="146"/>
      <c r="S32" s="121">
        <f t="shared" si="6"/>
        <v>0</v>
      </c>
      <c r="T32" s="172"/>
      <c r="U32" s="176" t="s">
        <v>838</v>
      </c>
      <c r="V32" s="186">
        <v>0</v>
      </c>
      <c r="W32" s="416"/>
      <c r="X32" s="440">
        <f t="shared" si="2"/>
        <v>0</v>
      </c>
      <c r="Y32" s="440"/>
      <c r="Z32" s="416"/>
      <c r="AA32" s="440">
        <f t="shared" si="1"/>
        <v>0</v>
      </c>
      <c r="AB32" s="186">
        <v>69286</v>
      </c>
      <c r="AC32" s="186">
        <v>69286</v>
      </c>
      <c r="AD32" s="186">
        <v>0</v>
      </c>
      <c r="AE32" s="186">
        <v>0</v>
      </c>
      <c r="AF32" s="481">
        <v>0</v>
      </c>
      <c r="AG32" s="481" t="s">
        <v>695</v>
      </c>
      <c r="AH32" s="186">
        <v>69286</v>
      </c>
      <c r="AI32" s="186">
        <v>69286</v>
      </c>
      <c r="AJ32" s="186">
        <v>0</v>
      </c>
      <c r="AK32" s="186">
        <v>0</v>
      </c>
      <c r="AL32" s="472">
        <f t="shared" si="3"/>
        <v>0</v>
      </c>
      <c r="AM32" s="186">
        <f t="shared" si="4"/>
        <v>69286</v>
      </c>
      <c r="AN32" s="212"/>
    </row>
    <row r="33" spans="1:40" s="35" customFormat="1" x14ac:dyDescent="0.35">
      <c r="A33" s="176" t="s">
        <v>1197</v>
      </c>
      <c r="B33" s="224" t="s">
        <v>952</v>
      </c>
      <c r="C33" s="222" t="s">
        <v>656</v>
      </c>
      <c r="D33" s="136">
        <v>8470730</v>
      </c>
      <c r="E33" s="137" t="s">
        <v>454</v>
      </c>
      <c r="F33" s="138">
        <v>492610</v>
      </c>
      <c r="G33" s="137" t="s">
        <v>687</v>
      </c>
      <c r="H33" s="137" t="s">
        <v>696</v>
      </c>
      <c r="I33" s="139">
        <v>1135112</v>
      </c>
      <c r="J33" s="140">
        <v>0</v>
      </c>
      <c r="K33" s="147"/>
      <c r="L33" s="142"/>
      <c r="M33" s="143"/>
      <c r="N33" s="144">
        <v>0</v>
      </c>
      <c r="O33" s="145"/>
      <c r="P33" s="145"/>
      <c r="Q33" s="145"/>
      <c r="R33" s="146"/>
      <c r="S33" s="121">
        <f t="shared" si="6"/>
        <v>0</v>
      </c>
      <c r="T33" s="172"/>
      <c r="U33" s="176" t="s">
        <v>838</v>
      </c>
      <c r="V33" s="186">
        <v>0</v>
      </c>
      <c r="W33" s="416"/>
      <c r="X33" s="440">
        <f t="shared" si="2"/>
        <v>0</v>
      </c>
      <c r="Y33" s="440"/>
      <c r="Z33" s="416"/>
      <c r="AA33" s="440">
        <f>S33+W33</f>
        <v>0</v>
      </c>
      <c r="AB33" s="186">
        <v>0</v>
      </c>
      <c r="AC33" s="186">
        <v>0</v>
      </c>
      <c r="AD33" s="186">
        <v>0</v>
      </c>
      <c r="AE33" s="186">
        <v>0</v>
      </c>
      <c r="AF33" s="481">
        <v>0</v>
      </c>
      <c r="AG33" s="481" t="s">
        <v>696</v>
      </c>
      <c r="AH33" s="186">
        <v>0</v>
      </c>
      <c r="AI33" s="186">
        <v>0</v>
      </c>
      <c r="AJ33" s="186">
        <v>0</v>
      </c>
      <c r="AK33" s="186">
        <v>0</v>
      </c>
      <c r="AL33" s="472">
        <f t="shared" si="3"/>
        <v>0</v>
      </c>
      <c r="AM33" s="186">
        <f t="shared" si="4"/>
        <v>0</v>
      </c>
      <c r="AN33" s="212"/>
    </row>
    <row r="34" spans="1:40" s="35" customFormat="1" x14ac:dyDescent="0.35">
      <c r="A34" s="176" t="s">
        <v>1197</v>
      </c>
      <c r="B34" s="224" t="s">
        <v>953</v>
      </c>
      <c r="C34" s="222" t="s">
        <v>656</v>
      </c>
      <c r="D34" s="136">
        <v>8470810</v>
      </c>
      <c r="E34" s="137" t="s">
        <v>464</v>
      </c>
      <c r="F34" s="138">
        <v>492310</v>
      </c>
      <c r="G34" s="137" t="s">
        <v>660</v>
      </c>
      <c r="H34" s="137" t="s">
        <v>697</v>
      </c>
      <c r="I34" s="139">
        <v>2800802</v>
      </c>
      <c r="J34" s="140">
        <v>175000</v>
      </c>
      <c r="K34" s="166">
        <v>162000</v>
      </c>
      <c r="L34" s="148">
        <v>10335</v>
      </c>
      <c r="M34" s="140">
        <v>0</v>
      </c>
      <c r="N34" s="144">
        <v>2665</v>
      </c>
      <c r="O34" s="145"/>
      <c r="P34" s="145"/>
      <c r="Q34" s="145"/>
      <c r="R34" s="146"/>
      <c r="S34" s="121">
        <f t="shared" si="6"/>
        <v>2665</v>
      </c>
      <c r="T34" s="172" t="s">
        <v>802</v>
      </c>
      <c r="U34" s="176" t="s">
        <v>722</v>
      </c>
      <c r="V34" s="186">
        <v>0</v>
      </c>
      <c r="W34" s="440">
        <f>S34</f>
        <v>2665</v>
      </c>
      <c r="X34" s="440">
        <f t="shared" si="2"/>
        <v>3950</v>
      </c>
      <c r="Y34" s="440"/>
      <c r="Z34" s="416"/>
      <c r="AA34" s="441">
        <f t="shared" ref="AA34:AA52" si="7">W34+AF34</f>
        <v>6151.17</v>
      </c>
      <c r="AB34" s="186">
        <v>185000</v>
      </c>
      <c r="AC34" s="186">
        <v>172335</v>
      </c>
      <c r="AD34" s="186">
        <v>9178.83</v>
      </c>
      <c r="AE34" s="186">
        <v>0</v>
      </c>
      <c r="AF34" s="481">
        <v>3486.17</v>
      </c>
      <c r="AG34" s="481" t="s">
        <v>697</v>
      </c>
      <c r="AH34" s="186">
        <v>185000</v>
      </c>
      <c r="AI34" s="186">
        <v>181050</v>
      </c>
      <c r="AJ34" s="186">
        <v>0</v>
      </c>
      <c r="AK34" s="186">
        <v>0</v>
      </c>
      <c r="AL34" s="472">
        <f t="shared" si="3"/>
        <v>3950</v>
      </c>
      <c r="AM34" s="186">
        <f t="shared" si="4"/>
        <v>177100</v>
      </c>
      <c r="AN34" s="212"/>
    </row>
    <row r="35" spans="1:40" s="35" customFormat="1" x14ac:dyDescent="0.35">
      <c r="A35" s="176" t="s">
        <v>1197</v>
      </c>
      <c r="B35" s="224" t="s">
        <v>953</v>
      </c>
      <c r="C35" s="222" t="s">
        <v>656</v>
      </c>
      <c r="D35" s="136">
        <v>8470810</v>
      </c>
      <c r="E35" s="137" t="s">
        <v>464</v>
      </c>
      <c r="F35" s="138">
        <v>492352</v>
      </c>
      <c r="G35" s="137" t="s">
        <v>698</v>
      </c>
      <c r="H35" s="137" t="s">
        <v>699</v>
      </c>
      <c r="I35" s="139">
        <v>0</v>
      </c>
      <c r="J35" s="140">
        <v>2016302</v>
      </c>
      <c r="K35" s="171"/>
      <c r="L35" s="148">
        <v>9.4587448984384498E-11</v>
      </c>
      <c r="M35" s="140">
        <v>1999372.61</v>
      </c>
      <c r="N35" s="144">
        <v>16929.389999999901</v>
      </c>
      <c r="O35" s="145"/>
      <c r="P35" s="145"/>
      <c r="Q35" s="145"/>
      <c r="R35" s="146"/>
      <c r="S35" s="121">
        <f t="shared" si="6"/>
        <v>16929.389999999901</v>
      </c>
      <c r="T35" s="172" t="s">
        <v>802</v>
      </c>
      <c r="U35" s="176" t="s">
        <v>722</v>
      </c>
      <c r="V35" s="186">
        <v>0</v>
      </c>
      <c r="W35" s="440">
        <f>S35</f>
        <v>16929.389999999901</v>
      </c>
      <c r="X35" s="440">
        <f t="shared" si="2"/>
        <v>16929.389999999992</v>
      </c>
      <c r="Y35" s="440"/>
      <c r="Z35" s="416"/>
      <c r="AA35" s="441">
        <f t="shared" si="7"/>
        <v>33858.779999999897</v>
      </c>
      <c r="AB35" s="186">
        <v>2016302</v>
      </c>
      <c r="AC35" s="186">
        <v>1935144.01</v>
      </c>
      <c r="AD35" s="186">
        <v>0</v>
      </c>
      <c r="AE35" s="186">
        <v>64228.6</v>
      </c>
      <c r="AF35" s="481">
        <v>16929.389999999992</v>
      </c>
      <c r="AG35" s="481" t="s">
        <v>699</v>
      </c>
      <c r="AH35" s="186">
        <v>2016302</v>
      </c>
      <c r="AI35" s="186">
        <v>1935144.01</v>
      </c>
      <c r="AJ35" s="186">
        <v>0</v>
      </c>
      <c r="AK35" s="186">
        <v>64228.6</v>
      </c>
      <c r="AL35" s="472">
        <f t="shared" si="3"/>
        <v>16929.389999999992</v>
      </c>
      <c r="AM35" s="186">
        <f t="shared" si="4"/>
        <v>1982443.2200000002</v>
      </c>
      <c r="AN35" s="212"/>
    </row>
    <row r="36" spans="1:40" s="35" customFormat="1" x14ac:dyDescent="0.35">
      <c r="A36" s="176" t="s">
        <v>1197</v>
      </c>
      <c r="B36" s="224" t="s">
        <v>953</v>
      </c>
      <c r="C36" s="222" t="s">
        <v>656</v>
      </c>
      <c r="D36" s="136">
        <v>8470810</v>
      </c>
      <c r="E36" s="137" t="s">
        <v>464</v>
      </c>
      <c r="F36" s="138">
        <v>492354</v>
      </c>
      <c r="G36" s="137" t="s">
        <v>700</v>
      </c>
      <c r="H36" s="137" t="s">
        <v>701</v>
      </c>
      <c r="I36" s="139">
        <v>0</v>
      </c>
      <c r="J36" s="140">
        <v>321500</v>
      </c>
      <c r="K36" s="171"/>
      <c r="L36" s="148">
        <v>0</v>
      </c>
      <c r="M36" s="140">
        <v>321320</v>
      </c>
      <c r="N36" s="144">
        <v>180</v>
      </c>
      <c r="O36" s="145"/>
      <c r="P36" s="145"/>
      <c r="Q36" s="145"/>
      <c r="R36" s="146"/>
      <c r="S36" s="121">
        <f t="shared" si="6"/>
        <v>180</v>
      </c>
      <c r="T36" s="172" t="s">
        <v>802</v>
      </c>
      <c r="U36" s="176" t="s">
        <v>722</v>
      </c>
      <c r="V36" s="186">
        <v>0</v>
      </c>
      <c r="W36" s="440">
        <f>S36</f>
        <v>180</v>
      </c>
      <c r="X36" s="440">
        <f t="shared" si="2"/>
        <v>180</v>
      </c>
      <c r="Y36" s="440"/>
      <c r="Z36" s="416"/>
      <c r="AA36" s="441">
        <f t="shared" si="7"/>
        <v>360</v>
      </c>
      <c r="AB36" s="186">
        <v>321500</v>
      </c>
      <c r="AC36" s="186">
        <v>321320</v>
      </c>
      <c r="AD36" s="186">
        <v>0</v>
      </c>
      <c r="AE36" s="186">
        <v>0</v>
      </c>
      <c r="AF36" s="481">
        <v>180</v>
      </c>
      <c r="AG36" s="481" t="s">
        <v>701</v>
      </c>
      <c r="AH36" s="186">
        <v>321500</v>
      </c>
      <c r="AI36" s="186">
        <v>321320</v>
      </c>
      <c r="AJ36" s="186">
        <v>0</v>
      </c>
      <c r="AK36" s="186">
        <v>0</v>
      </c>
      <c r="AL36" s="472">
        <f t="shared" si="3"/>
        <v>180</v>
      </c>
      <c r="AM36" s="186">
        <f t="shared" si="4"/>
        <v>321140</v>
      </c>
      <c r="AN36" s="212"/>
    </row>
    <row r="37" spans="1:40" s="35" customFormat="1" ht="29" x14ac:dyDescent="0.35">
      <c r="A37" s="176" t="s">
        <v>1197</v>
      </c>
      <c r="B37" s="224" t="s">
        <v>953</v>
      </c>
      <c r="C37" s="222" t="s">
        <v>656</v>
      </c>
      <c r="D37" s="136">
        <v>8470810</v>
      </c>
      <c r="E37" s="137" t="s">
        <v>464</v>
      </c>
      <c r="F37" s="138">
        <v>492356</v>
      </c>
      <c r="G37" s="137" t="s">
        <v>702</v>
      </c>
      <c r="H37" s="137" t="s">
        <v>703</v>
      </c>
      <c r="I37" s="139">
        <v>0</v>
      </c>
      <c r="J37" s="140">
        <v>650000</v>
      </c>
      <c r="K37" s="166">
        <v>84728</v>
      </c>
      <c r="L37" s="148">
        <v>0</v>
      </c>
      <c r="M37" s="140">
        <v>499108</v>
      </c>
      <c r="N37" s="144">
        <v>66164</v>
      </c>
      <c r="O37" s="145"/>
      <c r="P37" s="145"/>
      <c r="Q37" s="145"/>
      <c r="R37" s="146"/>
      <c r="S37" s="121">
        <f t="shared" si="6"/>
        <v>66164</v>
      </c>
      <c r="T37" s="175" t="s">
        <v>806</v>
      </c>
      <c r="U37" s="176" t="s">
        <v>722</v>
      </c>
      <c r="V37" s="186">
        <v>0</v>
      </c>
      <c r="W37" s="440">
        <f>S37</f>
        <v>66164</v>
      </c>
      <c r="X37" s="440">
        <f t="shared" si="2"/>
        <v>83257</v>
      </c>
      <c r="Y37" s="440"/>
      <c r="Z37" s="416"/>
      <c r="AA37" s="441">
        <f t="shared" si="7"/>
        <v>149421</v>
      </c>
      <c r="AB37" s="186">
        <v>650000</v>
      </c>
      <c r="AC37" s="186">
        <v>566741</v>
      </c>
      <c r="AD37" s="186">
        <v>0</v>
      </c>
      <c r="AE37" s="186">
        <v>2</v>
      </c>
      <c r="AF37" s="481">
        <v>83257</v>
      </c>
      <c r="AG37" s="481" t="s">
        <v>703</v>
      </c>
      <c r="AH37" s="186">
        <v>650000</v>
      </c>
      <c r="AI37" s="186">
        <v>566741</v>
      </c>
      <c r="AJ37" s="186">
        <v>0</v>
      </c>
      <c r="AK37" s="186">
        <v>2</v>
      </c>
      <c r="AL37" s="472">
        <f t="shared" si="3"/>
        <v>83257</v>
      </c>
      <c r="AM37" s="186">
        <f t="shared" si="4"/>
        <v>483486</v>
      </c>
      <c r="AN37" s="212"/>
    </row>
    <row r="38" spans="1:40" s="35" customFormat="1" x14ac:dyDescent="0.35">
      <c r="A38" s="176" t="s">
        <v>1197</v>
      </c>
      <c r="B38" s="224" t="s">
        <v>953</v>
      </c>
      <c r="C38" s="222" t="s">
        <v>656</v>
      </c>
      <c r="D38" s="136">
        <v>8470810</v>
      </c>
      <c r="E38" s="137" t="s">
        <v>464</v>
      </c>
      <c r="F38" s="138">
        <v>495110</v>
      </c>
      <c r="G38" s="137" t="s">
        <v>693</v>
      </c>
      <c r="H38" s="137" t="s">
        <v>704</v>
      </c>
      <c r="I38" s="139">
        <v>646670</v>
      </c>
      <c r="J38" s="140">
        <v>0</v>
      </c>
      <c r="K38" s="171"/>
      <c r="L38" s="142"/>
      <c r="M38" s="143"/>
      <c r="N38" s="144">
        <v>0</v>
      </c>
      <c r="O38" s="145"/>
      <c r="P38" s="145"/>
      <c r="Q38" s="145"/>
      <c r="R38" s="146"/>
      <c r="S38" s="121">
        <f t="shared" si="6"/>
        <v>0</v>
      </c>
      <c r="T38" s="172"/>
      <c r="U38" s="176" t="s">
        <v>722</v>
      </c>
      <c r="V38" s="186">
        <v>0</v>
      </c>
      <c r="W38" s="416"/>
      <c r="X38" s="440">
        <f t="shared" si="2"/>
        <v>0</v>
      </c>
      <c r="Y38" s="440"/>
      <c r="Z38" s="416"/>
      <c r="AA38" s="441">
        <f t="shared" si="7"/>
        <v>0</v>
      </c>
      <c r="AB38" s="186">
        <v>0</v>
      </c>
      <c r="AC38" s="186">
        <v>0</v>
      </c>
      <c r="AD38" s="186">
        <v>0</v>
      </c>
      <c r="AE38" s="186">
        <v>0</v>
      </c>
      <c r="AF38" s="481">
        <v>0</v>
      </c>
      <c r="AG38" s="481" t="s">
        <v>704</v>
      </c>
      <c r="AH38" s="186">
        <v>0</v>
      </c>
      <c r="AI38" s="186">
        <v>0</v>
      </c>
      <c r="AJ38" s="186">
        <v>0</v>
      </c>
      <c r="AK38" s="186">
        <v>0</v>
      </c>
      <c r="AL38" s="472">
        <f t="shared" si="3"/>
        <v>0</v>
      </c>
      <c r="AM38" s="186">
        <f t="shared" si="4"/>
        <v>0</v>
      </c>
      <c r="AN38" s="212"/>
    </row>
    <row r="39" spans="1:40" s="35" customFormat="1" x14ac:dyDescent="0.35">
      <c r="A39" s="176" t="s">
        <v>1197</v>
      </c>
      <c r="B39" s="224" t="s">
        <v>953</v>
      </c>
      <c r="C39" s="222" t="s">
        <v>656</v>
      </c>
      <c r="D39" s="136">
        <v>8470810</v>
      </c>
      <c r="E39" s="137" t="s">
        <v>464</v>
      </c>
      <c r="F39" s="138">
        <v>495113</v>
      </c>
      <c r="G39" s="137" t="s">
        <v>658</v>
      </c>
      <c r="H39" s="137" t="s">
        <v>705</v>
      </c>
      <c r="I39" s="139">
        <v>0</v>
      </c>
      <c r="J39" s="140">
        <v>104670</v>
      </c>
      <c r="K39" s="171"/>
      <c r="L39" s="148">
        <v>97737.21</v>
      </c>
      <c r="M39" s="143"/>
      <c r="N39" s="144">
        <v>6932.78999999999</v>
      </c>
      <c r="O39" s="145"/>
      <c r="P39" s="145"/>
      <c r="Q39" s="145"/>
      <c r="R39" s="146"/>
      <c r="S39" s="121">
        <f t="shared" si="6"/>
        <v>6932.78999999999</v>
      </c>
      <c r="T39" s="172" t="s">
        <v>802</v>
      </c>
      <c r="U39" s="176" t="s">
        <v>722</v>
      </c>
      <c r="V39" s="508">
        <v>73772.210000000006</v>
      </c>
      <c r="W39" s="417">
        <f>73772.21+S39</f>
        <v>80705</v>
      </c>
      <c r="X39" s="440">
        <f t="shared" si="2"/>
        <v>80705</v>
      </c>
      <c r="Y39" s="440"/>
      <c r="Z39" s="416"/>
      <c r="AA39" s="441">
        <f t="shared" si="7"/>
        <v>87637.79</v>
      </c>
      <c r="AB39" s="186">
        <v>104670</v>
      </c>
      <c r="AC39" s="186">
        <v>0</v>
      </c>
      <c r="AD39" s="186">
        <v>73772.210000000006</v>
      </c>
      <c r="AE39" s="186">
        <v>23965</v>
      </c>
      <c r="AF39" s="481">
        <v>6932.7899999999936</v>
      </c>
      <c r="AG39" s="481" t="s">
        <v>705</v>
      </c>
      <c r="AH39" s="186">
        <v>104670</v>
      </c>
      <c r="AI39" s="186">
        <v>23965</v>
      </c>
      <c r="AJ39" s="186">
        <v>0</v>
      </c>
      <c r="AK39" s="186">
        <v>0</v>
      </c>
      <c r="AL39" s="472">
        <f t="shared" si="3"/>
        <v>80705</v>
      </c>
      <c r="AM39" s="186">
        <f t="shared" si="4"/>
        <v>-56740</v>
      </c>
      <c r="AN39" s="212"/>
    </row>
    <row r="40" spans="1:40" s="35" customFormat="1" ht="29" x14ac:dyDescent="0.35">
      <c r="A40" s="176" t="s">
        <v>1200</v>
      </c>
      <c r="B40" s="224" t="s">
        <v>955</v>
      </c>
      <c r="C40" s="222" t="s">
        <v>656</v>
      </c>
      <c r="D40" s="136">
        <v>8471110</v>
      </c>
      <c r="E40" s="137" t="s">
        <v>493</v>
      </c>
      <c r="F40" s="138">
        <v>492316</v>
      </c>
      <c r="G40" s="137" t="s">
        <v>132</v>
      </c>
      <c r="H40" s="137" t="s">
        <v>706</v>
      </c>
      <c r="I40" s="139">
        <v>2998678</v>
      </c>
      <c r="J40" s="140">
        <v>2998678</v>
      </c>
      <c r="K40" s="141">
        <v>2998678.09</v>
      </c>
      <c r="L40" s="401"/>
      <c r="M40" s="488">
        <v>-3750</v>
      </c>
      <c r="N40" s="144">
        <v>3749.9100000001499</v>
      </c>
      <c r="O40" s="145"/>
      <c r="P40" s="145"/>
      <c r="Q40" s="145"/>
      <c r="R40" s="146"/>
      <c r="S40" s="121">
        <f t="shared" si="6"/>
        <v>3749.9100000001499</v>
      </c>
      <c r="T40" s="175" t="s">
        <v>835</v>
      </c>
      <c r="U40" s="176" t="s">
        <v>722</v>
      </c>
      <c r="V40" s="186">
        <v>0</v>
      </c>
      <c r="W40" s="440">
        <f t="shared" ref="W40:W52" si="8">S40</f>
        <v>3749.9100000001499</v>
      </c>
      <c r="X40" s="440">
        <f t="shared" si="2"/>
        <v>3749.9099999999189</v>
      </c>
      <c r="Y40" s="440"/>
      <c r="Z40" s="416"/>
      <c r="AA40" s="441">
        <f t="shared" si="7"/>
        <v>7499.8200000000688</v>
      </c>
      <c r="AB40" s="186">
        <v>2998678</v>
      </c>
      <c r="AC40" s="186">
        <v>2998678.09</v>
      </c>
      <c r="AD40" s="186">
        <v>0</v>
      </c>
      <c r="AE40" s="186">
        <v>-3749.9999999997699</v>
      </c>
      <c r="AF40" s="481">
        <v>3749.9099999999189</v>
      </c>
      <c r="AG40" s="481" t="s">
        <v>706</v>
      </c>
      <c r="AH40" s="186">
        <v>2998678</v>
      </c>
      <c r="AI40" s="186">
        <v>2998678.09</v>
      </c>
      <c r="AJ40" s="186">
        <v>0</v>
      </c>
      <c r="AK40" s="186">
        <v>-3749.9999999997699</v>
      </c>
      <c r="AL40" s="472">
        <f t="shared" si="3"/>
        <v>3749.9099999999189</v>
      </c>
      <c r="AM40" s="186">
        <f t="shared" si="4"/>
        <v>2991178.1799999997</v>
      </c>
      <c r="AN40" s="212"/>
    </row>
    <row r="41" spans="1:40" s="35" customFormat="1" ht="29" x14ac:dyDescent="0.35">
      <c r="A41" s="176" t="s">
        <v>1200</v>
      </c>
      <c r="B41" s="224" t="s">
        <v>955</v>
      </c>
      <c r="C41" s="222" t="s">
        <v>656</v>
      </c>
      <c r="D41" s="136">
        <v>8471140</v>
      </c>
      <c r="E41" s="137" t="s">
        <v>518</v>
      </c>
      <c r="F41" s="138">
        <v>492316</v>
      </c>
      <c r="G41" s="137" t="s">
        <v>132</v>
      </c>
      <c r="H41" s="137" t="s">
        <v>707</v>
      </c>
      <c r="I41" s="139">
        <v>358538</v>
      </c>
      <c r="J41" s="140">
        <v>358538</v>
      </c>
      <c r="K41" s="141">
        <v>353642.9</v>
      </c>
      <c r="L41" s="400">
        <v>0</v>
      </c>
      <c r="M41" s="488">
        <v>-1.45519152283669E-11</v>
      </c>
      <c r="N41" s="144">
        <v>4895.0999999999804</v>
      </c>
      <c r="O41" s="145"/>
      <c r="P41" s="145"/>
      <c r="Q41" s="145"/>
      <c r="R41" s="146"/>
      <c r="S41" s="121">
        <f t="shared" si="6"/>
        <v>4895.0999999999804</v>
      </c>
      <c r="T41" s="175"/>
      <c r="U41" s="176" t="s">
        <v>722</v>
      </c>
      <c r="V41" s="186">
        <v>0</v>
      </c>
      <c r="W41" s="440">
        <f t="shared" si="8"/>
        <v>4895.0999999999804</v>
      </c>
      <c r="X41" s="440">
        <f t="shared" si="2"/>
        <v>4895.0999999999804</v>
      </c>
      <c r="Y41" s="440"/>
      <c r="Z41" s="416"/>
      <c r="AA41" s="441">
        <f t="shared" si="7"/>
        <v>9790.1999999999607</v>
      </c>
      <c r="AB41" s="186">
        <v>358538</v>
      </c>
      <c r="AC41" s="186">
        <v>353642.9</v>
      </c>
      <c r="AD41" s="186">
        <v>0</v>
      </c>
      <c r="AE41" s="186">
        <v>-3.6379788070917101E-12</v>
      </c>
      <c r="AF41" s="481">
        <v>4895.0999999999804</v>
      </c>
      <c r="AG41" s="481" t="s">
        <v>707</v>
      </c>
      <c r="AH41" s="186">
        <v>358538</v>
      </c>
      <c r="AI41" s="186">
        <v>353642.9</v>
      </c>
      <c r="AJ41" s="186">
        <v>0</v>
      </c>
      <c r="AK41" s="186">
        <v>-3.6379788070917101E-12</v>
      </c>
      <c r="AL41" s="472">
        <f t="shared" si="3"/>
        <v>4895.0999999999804</v>
      </c>
      <c r="AM41" s="186">
        <f t="shared" si="4"/>
        <v>348747.80000000005</v>
      </c>
      <c r="AN41" s="212"/>
    </row>
    <row r="42" spans="1:40" s="35" customFormat="1" ht="29" x14ac:dyDescent="0.35">
      <c r="A42" s="176" t="s">
        <v>1200</v>
      </c>
      <c r="B42" s="224" t="s">
        <v>955</v>
      </c>
      <c r="C42" s="222" t="s">
        <v>656</v>
      </c>
      <c r="D42" s="136">
        <v>8471160</v>
      </c>
      <c r="E42" s="137" t="s">
        <v>529</v>
      </c>
      <c r="F42" s="138">
        <v>492200</v>
      </c>
      <c r="G42" s="137" t="s">
        <v>682</v>
      </c>
      <c r="H42" s="137" t="s">
        <v>708</v>
      </c>
      <c r="I42" s="139">
        <v>1304891</v>
      </c>
      <c r="J42" s="140">
        <v>1304891</v>
      </c>
      <c r="K42" s="141">
        <v>1176684.6299999999</v>
      </c>
      <c r="L42" s="401"/>
      <c r="M42" s="488">
        <v>128205.87</v>
      </c>
      <c r="N42" s="144">
        <v>0.50000000011641499</v>
      </c>
      <c r="O42" s="145"/>
      <c r="P42" s="145"/>
      <c r="Q42" s="145"/>
      <c r="R42" s="146"/>
      <c r="S42" s="121">
        <f t="shared" si="6"/>
        <v>0.50000000011641499</v>
      </c>
      <c r="T42" s="175"/>
      <c r="U42" s="176" t="s">
        <v>722</v>
      </c>
      <c r="V42" s="186">
        <v>0</v>
      </c>
      <c r="W42" s="440">
        <f t="shared" si="8"/>
        <v>0.50000000011641499</v>
      </c>
      <c r="X42" s="440">
        <f t="shared" si="2"/>
        <v>500.5</v>
      </c>
      <c r="Y42" s="440"/>
      <c r="Z42" s="416"/>
      <c r="AA42" s="441">
        <f t="shared" si="7"/>
        <v>501.00000000023283</v>
      </c>
      <c r="AB42" s="186">
        <v>1337891</v>
      </c>
      <c r="AC42" s="186">
        <v>1176684.6299999999</v>
      </c>
      <c r="AD42" s="186">
        <v>0</v>
      </c>
      <c r="AE42" s="186">
        <v>160705.87</v>
      </c>
      <c r="AF42" s="481">
        <v>500.50000000011642</v>
      </c>
      <c r="AG42" s="481" t="s">
        <v>708</v>
      </c>
      <c r="AH42" s="186">
        <v>1337891</v>
      </c>
      <c r="AI42" s="186">
        <v>1304890.5</v>
      </c>
      <c r="AJ42" s="186">
        <v>0</v>
      </c>
      <c r="AK42" s="186">
        <v>32500</v>
      </c>
      <c r="AL42" s="472">
        <f t="shared" si="3"/>
        <v>500.5</v>
      </c>
      <c r="AM42" s="186">
        <f t="shared" si="4"/>
        <v>1336890</v>
      </c>
      <c r="AN42" s="212"/>
    </row>
    <row r="43" spans="1:40" s="35" customFormat="1" ht="30.65" customHeight="1" x14ac:dyDescent="0.35">
      <c r="A43" s="176" t="s">
        <v>1200</v>
      </c>
      <c r="B43" s="224" t="s">
        <v>955</v>
      </c>
      <c r="C43" s="222" t="s">
        <v>656</v>
      </c>
      <c r="D43" s="136">
        <v>8471160</v>
      </c>
      <c r="E43" s="137" t="s">
        <v>529</v>
      </c>
      <c r="F43" s="138">
        <v>492316</v>
      </c>
      <c r="G43" s="137" t="s">
        <v>132</v>
      </c>
      <c r="H43" s="137" t="s">
        <v>709</v>
      </c>
      <c r="I43" s="139">
        <v>15928069</v>
      </c>
      <c r="J43" s="140">
        <v>16096069</v>
      </c>
      <c r="K43" s="141">
        <v>3807722.48</v>
      </c>
      <c r="L43" s="400">
        <v>10861838.17</v>
      </c>
      <c r="M43" s="488">
        <v>1359075.17</v>
      </c>
      <c r="N43" s="144">
        <v>67433.179999999702</v>
      </c>
      <c r="O43" s="145">
        <v>60000</v>
      </c>
      <c r="P43" s="145">
        <v>0</v>
      </c>
      <c r="Q43" s="145">
        <v>0</v>
      </c>
      <c r="R43" s="150" t="s">
        <v>834</v>
      </c>
      <c r="S43" s="121">
        <f t="shared" si="6"/>
        <v>7433.179999999702</v>
      </c>
      <c r="T43" s="175" t="s">
        <v>836</v>
      </c>
      <c r="U43" s="176" t="s">
        <v>722</v>
      </c>
      <c r="V43" s="186">
        <v>0</v>
      </c>
      <c r="W43" s="440">
        <f t="shared" si="8"/>
        <v>7433.179999999702</v>
      </c>
      <c r="X43" s="440">
        <f t="shared" si="2"/>
        <v>8222322.6299999999</v>
      </c>
      <c r="Y43" s="440"/>
      <c r="Z43" s="417">
        <v>4700000</v>
      </c>
      <c r="AA43" s="441">
        <f t="shared" si="7"/>
        <v>8211390.8099999996</v>
      </c>
      <c r="AB43" s="186">
        <v>14988665</v>
      </c>
      <c r="AC43" s="186">
        <v>5495960.2400000002</v>
      </c>
      <c r="AD43" s="186">
        <v>22062.52</v>
      </c>
      <c r="AE43" s="186">
        <v>1266684.6100000001</v>
      </c>
      <c r="AF43" s="481">
        <v>8203957.6299999999</v>
      </c>
      <c r="AG43" s="481" t="s">
        <v>709</v>
      </c>
      <c r="AH43" s="186">
        <v>14988665</v>
      </c>
      <c r="AI43" s="186">
        <v>5567595.2400000002</v>
      </c>
      <c r="AJ43" s="186">
        <v>22062.52</v>
      </c>
      <c r="AK43" s="186">
        <v>1176684.6100000001</v>
      </c>
      <c r="AL43" s="472">
        <f t="shared" si="3"/>
        <v>8222322.6299999999</v>
      </c>
      <c r="AM43" s="186">
        <f t="shared" si="4"/>
        <v>3244019.7399999993</v>
      </c>
      <c r="AN43" s="212"/>
    </row>
    <row r="44" spans="1:40" s="35" customFormat="1" ht="43.5" x14ac:dyDescent="0.35">
      <c r="A44" s="176" t="s">
        <v>1200</v>
      </c>
      <c r="B44" s="224" t="s">
        <v>955</v>
      </c>
      <c r="C44" s="222" t="s">
        <v>656</v>
      </c>
      <c r="D44" s="136">
        <v>8471170</v>
      </c>
      <c r="E44" s="137" t="s">
        <v>536</v>
      </c>
      <c r="F44" s="138">
        <v>492316</v>
      </c>
      <c r="G44" s="137" t="s">
        <v>132</v>
      </c>
      <c r="H44" s="137" t="s">
        <v>710</v>
      </c>
      <c r="I44" s="139">
        <v>2751786</v>
      </c>
      <c r="J44" s="140">
        <v>1118618</v>
      </c>
      <c r="K44" s="147"/>
      <c r="L44" s="401"/>
      <c r="M44" s="489"/>
      <c r="N44" s="144">
        <v>1118618</v>
      </c>
      <c r="O44" s="145"/>
      <c r="P44" s="145"/>
      <c r="Q44" s="145"/>
      <c r="R44" s="146"/>
      <c r="S44" s="121">
        <f t="shared" si="6"/>
        <v>1118618</v>
      </c>
      <c r="T44" s="175" t="s">
        <v>837</v>
      </c>
      <c r="U44" s="176" t="s">
        <v>722</v>
      </c>
      <c r="V44" s="186">
        <v>0</v>
      </c>
      <c r="W44" s="440">
        <f t="shared" si="8"/>
        <v>1118618</v>
      </c>
      <c r="X44" s="440">
        <f t="shared" si="2"/>
        <v>32942</v>
      </c>
      <c r="Y44" s="440"/>
      <c r="Z44" s="416"/>
      <c r="AA44" s="441">
        <f t="shared" si="7"/>
        <v>1151560</v>
      </c>
      <c r="AB44" s="186">
        <v>32942</v>
      </c>
      <c r="AC44" s="186">
        <v>0</v>
      </c>
      <c r="AD44" s="186">
        <v>0</v>
      </c>
      <c r="AE44" s="186">
        <v>0</v>
      </c>
      <c r="AF44" s="481">
        <v>32942</v>
      </c>
      <c r="AG44" s="481" t="s">
        <v>710</v>
      </c>
      <c r="AH44" s="186">
        <v>32942</v>
      </c>
      <c r="AI44" s="186">
        <v>0</v>
      </c>
      <c r="AJ44" s="186">
        <v>0</v>
      </c>
      <c r="AK44" s="186">
        <v>0</v>
      </c>
      <c r="AL44" s="472">
        <f t="shared" si="3"/>
        <v>32942</v>
      </c>
      <c r="AM44" s="186">
        <f t="shared" si="4"/>
        <v>-32942</v>
      </c>
      <c r="AN44" s="212"/>
    </row>
    <row r="45" spans="1:40" s="35" customFormat="1" ht="29" x14ac:dyDescent="0.35">
      <c r="A45" s="176" t="s">
        <v>1200</v>
      </c>
      <c r="B45" s="224" t="s">
        <v>955</v>
      </c>
      <c r="C45" s="222" t="s">
        <v>656</v>
      </c>
      <c r="D45" s="136">
        <v>8471170</v>
      </c>
      <c r="E45" s="137" t="s">
        <v>536</v>
      </c>
      <c r="F45" s="138">
        <v>495110</v>
      </c>
      <c r="G45" s="137" t="s">
        <v>693</v>
      </c>
      <c r="H45" s="137" t="s">
        <v>711</v>
      </c>
      <c r="I45" s="139">
        <v>833665</v>
      </c>
      <c r="J45" s="140">
        <v>0</v>
      </c>
      <c r="K45" s="141">
        <v>0</v>
      </c>
      <c r="L45" s="401"/>
      <c r="M45" s="488">
        <v>0</v>
      </c>
      <c r="N45" s="144">
        <v>0</v>
      </c>
      <c r="O45" s="145"/>
      <c r="P45" s="145"/>
      <c r="Q45" s="145"/>
      <c r="R45" s="146"/>
      <c r="S45" s="121">
        <f t="shared" si="6"/>
        <v>0</v>
      </c>
      <c r="T45" s="172"/>
      <c r="U45" s="176" t="s">
        <v>722</v>
      </c>
      <c r="V45" s="186">
        <v>0</v>
      </c>
      <c r="W45" s="440">
        <f t="shared" si="8"/>
        <v>0</v>
      </c>
      <c r="X45" s="440">
        <f t="shared" si="2"/>
        <v>0</v>
      </c>
      <c r="Y45" s="440"/>
      <c r="Z45" s="416"/>
      <c r="AA45" s="441">
        <f t="shared" si="7"/>
        <v>0</v>
      </c>
      <c r="AB45" s="186">
        <v>0</v>
      </c>
      <c r="AC45" s="186">
        <v>0</v>
      </c>
      <c r="AD45" s="186">
        <v>0</v>
      </c>
      <c r="AE45" s="186">
        <v>0</v>
      </c>
      <c r="AF45" s="481">
        <v>0</v>
      </c>
      <c r="AG45" s="481" t="s">
        <v>711</v>
      </c>
      <c r="AH45" s="186">
        <v>0</v>
      </c>
      <c r="AI45" s="186">
        <v>0</v>
      </c>
      <c r="AJ45" s="186">
        <v>0</v>
      </c>
      <c r="AK45" s="186">
        <v>0</v>
      </c>
      <c r="AL45" s="472">
        <f t="shared" si="3"/>
        <v>0</v>
      </c>
      <c r="AM45" s="186">
        <f t="shared" si="4"/>
        <v>0</v>
      </c>
      <c r="AN45" s="212"/>
    </row>
    <row r="46" spans="1:40" s="35" customFormat="1" ht="29" x14ac:dyDescent="0.35">
      <c r="A46" s="176" t="s">
        <v>1200</v>
      </c>
      <c r="B46" s="224" t="s">
        <v>955</v>
      </c>
      <c r="C46" s="222" t="s">
        <v>656</v>
      </c>
      <c r="D46" s="136">
        <v>8471170</v>
      </c>
      <c r="E46" s="137" t="s">
        <v>536</v>
      </c>
      <c r="F46" s="138">
        <v>495113</v>
      </c>
      <c r="G46" s="137" t="s">
        <v>658</v>
      </c>
      <c r="H46" s="137" t="s">
        <v>712</v>
      </c>
      <c r="I46" s="139">
        <v>0</v>
      </c>
      <c r="J46" s="140">
        <v>138509</v>
      </c>
      <c r="K46" s="141">
        <v>138508.82999999999</v>
      </c>
      <c r="L46" s="401"/>
      <c r="M46" s="489"/>
      <c r="N46" s="144">
        <v>0.16999999998370199</v>
      </c>
      <c r="O46" s="145"/>
      <c r="P46" s="145"/>
      <c r="Q46" s="145"/>
      <c r="R46" s="146"/>
      <c r="S46" s="121">
        <f t="shared" si="6"/>
        <v>0.16999999998370199</v>
      </c>
      <c r="T46" s="172"/>
      <c r="U46" s="176" t="s">
        <v>722</v>
      </c>
      <c r="V46" s="186">
        <v>0</v>
      </c>
      <c r="W46" s="440">
        <f t="shared" si="8"/>
        <v>0.16999999998370199</v>
      </c>
      <c r="X46" s="440">
        <f t="shared" si="2"/>
        <v>0.17000000001280569</v>
      </c>
      <c r="Y46" s="440"/>
      <c r="Z46" s="416"/>
      <c r="AA46" s="441">
        <f t="shared" si="7"/>
        <v>0.33999999999650765</v>
      </c>
      <c r="AB46" s="186">
        <v>138509</v>
      </c>
      <c r="AC46" s="186">
        <v>138508.82999999999</v>
      </c>
      <c r="AD46" s="186">
        <v>0</v>
      </c>
      <c r="AE46" s="186">
        <v>0</v>
      </c>
      <c r="AF46" s="481">
        <v>0.17000000001280569</v>
      </c>
      <c r="AG46" s="481" t="s">
        <v>712</v>
      </c>
      <c r="AH46" s="186">
        <v>138509</v>
      </c>
      <c r="AI46" s="186">
        <v>138508.82999999999</v>
      </c>
      <c r="AJ46" s="186">
        <v>0</v>
      </c>
      <c r="AK46" s="186">
        <v>0</v>
      </c>
      <c r="AL46" s="472">
        <f t="shared" si="3"/>
        <v>0.17000000001280569</v>
      </c>
      <c r="AM46" s="186">
        <f t="shared" si="4"/>
        <v>138508.65999999997</v>
      </c>
      <c r="AN46" s="212"/>
    </row>
    <row r="47" spans="1:40" s="35" customFormat="1" ht="43.5" x14ac:dyDescent="0.35">
      <c r="A47" s="176" t="s">
        <v>1194</v>
      </c>
      <c r="B47" s="224" t="s">
        <v>946</v>
      </c>
      <c r="C47" s="222" t="s">
        <v>656</v>
      </c>
      <c r="D47" s="136">
        <v>8471280</v>
      </c>
      <c r="E47" s="137" t="s">
        <v>603</v>
      </c>
      <c r="F47" s="138">
        <v>492316</v>
      </c>
      <c r="G47" s="137" t="s">
        <v>132</v>
      </c>
      <c r="H47" s="137" t="s">
        <v>713</v>
      </c>
      <c r="I47" s="139">
        <v>6879</v>
      </c>
      <c r="J47" s="140">
        <v>6879</v>
      </c>
      <c r="K47" s="147"/>
      <c r="L47" s="142"/>
      <c r="M47" s="143"/>
      <c r="N47" s="144">
        <v>6879</v>
      </c>
      <c r="O47" s="145"/>
      <c r="P47" s="145"/>
      <c r="Q47" s="145"/>
      <c r="R47" s="146"/>
      <c r="S47" s="121">
        <f t="shared" si="6"/>
        <v>6879</v>
      </c>
      <c r="T47" s="172"/>
      <c r="U47" s="176" t="s">
        <v>722</v>
      </c>
      <c r="V47" s="186">
        <v>0</v>
      </c>
      <c r="W47" s="440">
        <f t="shared" si="8"/>
        <v>6879</v>
      </c>
      <c r="X47" s="440">
        <f t="shared" si="2"/>
        <v>6879</v>
      </c>
      <c r="Y47" s="440"/>
      <c r="Z47" s="416"/>
      <c r="AA47" s="441">
        <f t="shared" si="7"/>
        <v>13758</v>
      </c>
      <c r="AB47" s="186">
        <v>6879</v>
      </c>
      <c r="AC47" s="186">
        <v>0</v>
      </c>
      <c r="AD47" s="186">
        <v>0</v>
      </c>
      <c r="AE47" s="186">
        <v>0</v>
      </c>
      <c r="AF47" s="481">
        <v>6879</v>
      </c>
      <c r="AG47" s="481" t="s">
        <v>713</v>
      </c>
      <c r="AH47" s="186">
        <v>6879</v>
      </c>
      <c r="AI47" s="186">
        <v>0</v>
      </c>
      <c r="AJ47" s="186">
        <v>0</v>
      </c>
      <c r="AK47" s="186">
        <v>0</v>
      </c>
      <c r="AL47" s="472">
        <f t="shared" si="3"/>
        <v>6879</v>
      </c>
      <c r="AM47" s="186">
        <f t="shared" si="4"/>
        <v>-6879</v>
      </c>
      <c r="AN47" s="212"/>
    </row>
    <row r="48" spans="1:40" s="35" customFormat="1" ht="29" x14ac:dyDescent="0.35">
      <c r="A48" s="176" t="s">
        <v>1201</v>
      </c>
      <c r="B48" s="224" t="s">
        <v>956</v>
      </c>
      <c r="C48" s="222" t="s">
        <v>656</v>
      </c>
      <c r="D48" s="136">
        <v>8471305</v>
      </c>
      <c r="E48" s="137" t="s">
        <v>616</v>
      </c>
      <c r="F48" s="138">
        <v>492310</v>
      </c>
      <c r="G48" s="137" t="s">
        <v>660</v>
      </c>
      <c r="H48" s="137" t="s">
        <v>714</v>
      </c>
      <c r="I48" s="139">
        <v>466679</v>
      </c>
      <c r="J48" s="140">
        <v>913656</v>
      </c>
      <c r="K48" s="141">
        <v>810672</v>
      </c>
      <c r="L48" s="148">
        <v>0</v>
      </c>
      <c r="M48" s="140">
        <v>13412</v>
      </c>
      <c r="N48" s="144">
        <v>89572</v>
      </c>
      <c r="O48" s="145"/>
      <c r="P48" s="145"/>
      <c r="Q48" s="145"/>
      <c r="R48" s="146"/>
      <c r="S48" s="121">
        <f t="shared" si="6"/>
        <v>89572</v>
      </c>
      <c r="T48" s="175" t="s">
        <v>785</v>
      </c>
      <c r="U48" s="176" t="s">
        <v>722</v>
      </c>
      <c r="V48" s="186">
        <v>0</v>
      </c>
      <c r="W48" s="440">
        <f t="shared" si="8"/>
        <v>89572</v>
      </c>
      <c r="X48" s="440">
        <f t="shared" si="2"/>
        <v>89572.000000000102</v>
      </c>
      <c r="Y48" s="440"/>
      <c r="Z48" s="416"/>
      <c r="AA48" s="441">
        <f t="shared" si="7"/>
        <v>179144.00000000012</v>
      </c>
      <c r="AB48" s="186">
        <v>913656</v>
      </c>
      <c r="AC48" s="186">
        <v>810672</v>
      </c>
      <c r="AD48" s="186">
        <v>0</v>
      </c>
      <c r="AE48" s="186">
        <v>13411.9999999999</v>
      </c>
      <c r="AF48" s="481">
        <v>89572.000000000102</v>
      </c>
      <c r="AG48" s="481" t="s">
        <v>714</v>
      </c>
      <c r="AH48" s="186">
        <v>913656</v>
      </c>
      <c r="AI48" s="186">
        <v>810672</v>
      </c>
      <c r="AJ48" s="186">
        <v>0</v>
      </c>
      <c r="AK48" s="186">
        <v>13411.9999999999</v>
      </c>
      <c r="AL48" s="472">
        <f t="shared" si="3"/>
        <v>89572.000000000102</v>
      </c>
      <c r="AM48" s="186">
        <f t="shared" si="4"/>
        <v>734511.99999999977</v>
      </c>
      <c r="AN48" s="212"/>
    </row>
    <row r="49" spans="1:40" s="35" customFormat="1" ht="29" x14ac:dyDescent="0.35">
      <c r="A49" s="176" t="s">
        <v>1201</v>
      </c>
      <c r="B49" s="224" t="s">
        <v>956</v>
      </c>
      <c r="C49" s="222" t="s">
        <v>656</v>
      </c>
      <c r="D49" s="136">
        <v>8471305</v>
      </c>
      <c r="E49" s="137" t="s">
        <v>616</v>
      </c>
      <c r="F49" s="138">
        <v>492316</v>
      </c>
      <c r="G49" s="137" t="s">
        <v>132</v>
      </c>
      <c r="H49" s="137" t="s">
        <v>715</v>
      </c>
      <c r="I49" s="139">
        <v>17788291</v>
      </c>
      <c r="J49" s="140">
        <v>17285244</v>
      </c>
      <c r="K49" s="141">
        <v>10910225.220000001</v>
      </c>
      <c r="L49" s="148">
        <v>414200</v>
      </c>
      <c r="M49" s="140">
        <v>5948511.2199999997</v>
      </c>
      <c r="N49" s="144">
        <v>12307.560000002401</v>
      </c>
      <c r="O49" s="145"/>
      <c r="P49" s="145"/>
      <c r="Q49" s="145"/>
      <c r="R49" s="146"/>
      <c r="S49" s="121">
        <f t="shared" si="6"/>
        <v>12307.560000002401</v>
      </c>
      <c r="T49" s="175" t="s">
        <v>785</v>
      </c>
      <c r="U49" s="176" t="s">
        <v>722</v>
      </c>
      <c r="V49" s="186">
        <v>0</v>
      </c>
      <c r="W49" s="440">
        <f t="shared" si="8"/>
        <v>12307.560000002401</v>
      </c>
      <c r="X49" s="440">
        <f t="shared" si="2"/>
        <v>54411.420000000624</v>
      </c>
      <c r="Y49" s="440"/>
      <c r="Z49" s="416"/>
      <c r="AA49" s="441">
        <f t="shared" si="7"/>
        <v>50468.980000003256</v>
      </c>
      <c r="AB49" s="186">
        <v>17115075</v>
      </c>
      <c r="AC49" s="186">
        <v>11607341.359999999</v>
      </c>
      <c r="AD49" s="186">
        <v>0</v>
      </c>
      <c r="AE49" s="186">
        <v>5469572.2199999997</v>
      </c>
      <c r="AF49" s="481">
        <v>38161.420000000857</v>
      </c>
      <c r="AG49" s="481" t="s">
        <v>715</v>
      </c>
      <c r="AH49" s="186">
        <v>17115075</v>
      </c>
      <c r="AI49" s="186">
        <v>15233341.359999999</v>
      </c>
      <c r="AJ49" s="186">
        <v>0</v>
      </c>
      <c r="AK49" s="186">
        <v>1827322.22</v>
      </c>
      <c r="AL49" s="472">
        <f t="shared" si="3"/>
        <v>54411.420000000624</v>
      </c>
      <c r="AM49" s="186">
        <f t="shared" si="4"/>
        <v>17006252.159999996</v>
      </c>
      <c r="AN49" s="212"/>
    </row>
    <row r="50" spans="1:40" s="35" customFormat="1" ht="43.5" x14ac:dyDescent="0.35">
      <c r="A50" s="176" t="s">
        <v>1197</v>
      </c>
      <c r="B50" s="224" t="s">
        <v>949</v>
      </c>
      <c r="C50" s="222" t="s">
        <v>656</v>
      </c>
      <c r="D50" s="136">
        <v>8470530</v>
      </c>
      <c r="E50" s="137" t="s">
        <v>361</v>
      </c>
      <c r="F50" s="138" t="s">
        <v>681</v>
      </c>
      <c r="G50" s="137" t="s">
        <v>682</v>
      </c>
      <c r="H50" s="137" t="s">
        <v>685</v>
      </c>
      <c r="I50" s="139">
        <v>3580020</v>
      </c>
      <c r="J50" s="140">
        <v>0</v>
      </c>
      <c r="K50" s="141"/>
      <c r="L50" s="400"/>
      <c r="M50" s="140"/>
      <c r="N50" s="144">
        <v>0</v>
      </c>
      <c r="O50" s="145"/>
      <c r="P50" s="145"/>
      <c r="Q50" s="145"/>
      <c r="R50" s="146"/>
      <c r="S50" s="121">
        <v>0</v>
      </c>
      <c r="T50" s="175"/>
      <c r="U50" s="176" t="s">
        <v>722</v>
      </c>
      <c r="V50" s="186">
        <v>0</v>
      </c>
      <c r="W50" s="440">
        <f t="shared" si="8"/>
        <v>0</v>
      </c>
      <c r="X50" s="440">
        <f t="shared" si="2"/>
        <v>0</v>
      </c>
      <c r="Y50" s="440"/>
      <c r="Z50" s="416"/>
      <c r="AA50" s="441">
        <f t="shared" si="7"/>
        <v>0</v>
      </c>
      <c r="AB50" s="186">
        <v>0</v>
      </c>
      <c r="AC50" s="186">
        <v>0</v>
      </c>
      <c r="AD50" s="186">
        <v>0</v>
      </c>
      <c r="AE50" s="186">
        <v>0</v>
      </c>
      <c r="AF50" s="481">
        <v>0</v>
      </c>
      <c r="AG50" s="481" t="s">
        <v>685</v>
      </c>
      <c r="AH50" s="186">
        <v>0</v>
      </c>
      <c r="AI50" s="186">
        <v>0</v>
      </c>
      <c r="AJ50" s="186">
        <v>0</v>
      </c>
      <c r="AK50" s="186">
        <v>0</v>
      </c>
      <c r="AL50" s="472">
        <f t="shared" si="3"/>
        <v>0</v>
      </c>
      <c r="AM50" s="186">
        <f t="shared" si="4"/>
        <v>0</v>
      </c>
      <c r="AN50" s="212"/>
    </row>
    <row r="51" spans="1:40" s="35" customFormat="1" ht="29" x14ac:dyDescent="0.35">
      <c r="A51" s="176" t="s">
        <v>1201</v>
      </c>
      <c r="B51" s="224" t="s">
        <v>956</v>
      </c>
      <c r="C51" s="222" t="s">
        <v>656</v>
      </c>
      <c r="D51" s="136">
        <v>8471305</v>
      </c>
      <c r="E51" s="137" t="s">
        <v>616</v>
      </c>
      <c r="F51" s="138">
        <v>492610</v>
      </c>
      <c r="G51" s="137" t="s">
        <v>687</v>
      </c>
      <c r="H51" s="137" t="s">
        <v>716</v>
      </c>
      <c r="I51" s="139">
        <v>19606</v>
      </c>
      <c r="J51" s="140">
        <v>19606</v>
      </c>
      <c r="K51" s="141">
        <v>728.67</v>
      </c>
      <c r="L51" s="142"/>
      <c r="M51" s="143"/>
      <c r="N51" s="144">
        <v>18877.330000000002</v>
      </c>
      <c r="O51" s="145"/>
      <c r="P51" s="145"/>
      <c r="Q51" s="145"/>
      <c r="R51" s="146"/>
      <c r="S51" s="121">
        <f t="shared" si="6"/>
        <v>18877.330000000002</v>
      </c>
      <c r="T51" s="175" t="s">
        <v>785</v>
      </c>
      <c r="U51" s="176" t="s">
        <v>722</v>
      </c>
      <c r="V51" s="186">
        <v>0</v>
      </c>
      <c r="W51" s="440">
        <f t="shared" si="8"/>
        <v>18877.330000000002</v>
      </c>
      <c r="X51" s="440">
        <f t="shared" si="2"/>
        <v>18877.330000000002</v>
      </c>
      <c r="Y51" s="440"/>
      <c r="Z51" s="416"/>
      <c r="AA51" s="441">
        <f t="shared" si="7"/>
        <v>37754.660000000003</v>
      </c>
      <c r="AB51" s="186">
        <v>19606</v>
      </c>
      <c r="AC51" s="186">
        <v>728.67</v>
      </c>
      <c r="AD51" s="186">
        <v>0</v>
      </c>
      <c r="AE51" s="186">
        <v>0</v>
      </c>
      <c r="AF51" s="481">
        <v>18877.330000000002</v>
      </c>
      <c r="AG51" s="481" t="s">
        <v>716</v>
      </c>
      <c r="AH51" s="186">
        <v>19606</v>
      </c>
      <c r="AI51" s="186">
        <v>728.67</v>
      </c>
      <c r="AJ51" s="186">
        <v>0</v>
      </c>
      <c r="AK51" s="186">
        <v>0</v>
      </c>
      <c r="AL51" s="472">
        <f t="shared" si="3"/>
        <v>18877.330000000002</v>
      </c>
      <c r="AM51" s="186">
        <f t="shared" si="4"/>
        <v>-18148.660000000003</v>
      </c>
      <c r="AN51" s="212"/>
    </row>
    <row r="52" spans="1:40" s="35" customFormat="1" x14ac:dyDescent="0.35">
      <c r="A52" s="176" t="s">
        <v>1201</v>
      </c>
      <c r="B52" s="224" t="s">
        <v>956</v>
      </c>
      <c r="C52" s="227" t="s">
        <v>656</v>
      </c>
      <c r="D52" s="187">
        <v>8471305</v>
      </c>
      <c r="E52" s="188" t="s">
        <v>616</v>
      </c>
      <c r="F52" s="189">
        <v>495140</v>
      </c>
      <c r="G52" s="188" t="s">
        <v>666</v>
      </c>
      <c r="H52" s="188" t="s">
        <v>717</v>
      </c>
      <c r="I52" s="190">
        <v>171987</v>
      </c>
      <c r="J52" s="191">
        <v>0</v>
      </c>
      <c r="K52" s="192"/>
      <c r="L52" s="193"/>
      <c r="M52" s="152"/>
      <c r="N52" s="194">
        <v>0</v>
      </c>
      <c r="O52" s="195"/>
      <c r="P52" s="195"/>
      <c r="Q52" s="195"/>
      <c r="R52" s="196"/>
      <c r="S52" s="201">
        <f t="shared" si="6"/>
        <v>0</v>
      </c>
      <c r="T52" s="197"/>
      <c r="U52" s="198" t="s">
        <v>722</v>
      </c>
      <c r="V52" s="176">
        <v>0</v>
      </c>
      <c r="W52" s="440">
        <f t="shared" si="8"/>
        <v>0</v>
      </c>
      <c r="X52" s="440">
        <f t="shared" si="2"/>
        <v>0</v>
      </c>
      <c r="Y52" s="510"/>
      <c r="Z52" s="420"/>
      <c r="AA52" s="441">
        <f t="shared" si="7"/>
        <v>0</v>
      </c>
      <c r="AB52" s="199">
        <v>0</v>
      </c>
      <c r="AC52" s="199">
        <v>0</v>
      </c>
      <c r="AD52" s="199">
        <v>0</v>
      </c>
      <c r="AE52" s="199">
        <v>0</v>
      </c>
      <c r="AF52" s="483">
        <v>0</v>
      </c>
      <c r="AG52" s="481" t="s">
        <v>717</v>
      </c>
      <c r="AH52" s="186">
        <v>0</v>
      </c>
      <c r="AI52" s="186">
        <v>0</v>
      </c>
      <c r="AJ52" s="186">
        <v>0</v>
      </c>
      <c r="AK52" s="186">
        <v>0</v>
      </c>
      <c r="AL52" s="472">
        <f t="shared" si="3"/>
        <v>0</v>
      </c>
      <c r="AM52" s="186">
        <f t="shared" si="4"/>
        <v>0</v>
      </c>
      <c r="AN52" s="212"/>
    </row>
    <row r="53" spans="1:40" ht="15" thickBot="1" x14ac:dyDescent="0.4">
      <c r="B53" s="228"/>
      <c r="C53" s="228" t="s">
        <v>718</v>
      </c>
      <c r="D53" s="200"/>
      <c r="E53" s="200"/>
      <c r="F53" s="200"/>
      <c r="G53" s="200"/>
      <c r="H53" s="200"/>
      <c r="I53" s="200">
        <f t="shared" ref="I53:N53" si="9">SUM(I2:I52)</f>
        <v>110301000</v>
      </c>
      <c r="J53" s="200">
        <f t="shared" si="9"/>
        <v>110301000</v>
      </c>
      <c r="K53" s="200">
        <f t="shared" si="9"/>
        <v>50359218.649999991</v>
      </c>
      <c r="L53" s="200">
        <f t="shared" si="9"/>
        <v>21828883.390000001</v>
      </c>
      <c r="M53" s="200">
        <f t="shared" si="9"/>
        <v>33125415.849999994</v>
      </c>
      <c r="N53" s="200">
        <f t="shared" si="9"/>
        <v>4987482.1100000031</v>
      </c>
      <c r="O53" s="200"/>
      <c r="P53" s="200"/>
      <c r="Q53" s="200"/>
      <c r="R53" s="200"/>
      <c r="S53" s="200">
        <f>SUM(S2:S52)</f>
        <v>4927482.1100000031</v>
      </c>
      <c r="T53" s="200"/>
      <c r="U53" s="200"/>
      <c r="V53" s="200">
        <f t="shared" ref="V53:AE53" si="10">SUM(V2:V52)</f>
        <v>1737117.71</v>
      </c>
      <c r="W53" s="200">
        <f t="shared" si="10"/>
        <v>6799599.8200000012</v>
      </c>
      <c r="X53" s="200">
        <f t="shared" si="10"/>
        <v>13008204.580000002</v>
      </c>
      <c r="Y53" s="200"/>
      <c r="Z53" s="200">
        <f t="shared" si="10"/>
        <v>13688807.73</v>
      </c>
      <c r="AA53" s="200">
        <f t="shared" si="10"/>
        <v>20892291.600000001</v>
      </c>
      <c r="AB53" s="200">
        <f t="shared" si="10"/>
        <v>110301000</v>
      </c>
      <c r="AC53" s="200">
        <f t="shared" si="10"/>
        <v>70396912.640000001</v>
      </c>
      <c r="AD53" s="200">
        <f t="shared" si="10"/>
        <v>3151780.82</v>
      </c>
      <c r="AE53" s="200">
        <f t="shared" si="10"/>
        <v>22659614.759999998</v>
      </c>
      <c r="AF53" s="200">
        <f t="shared" ref="AF53:AM53" si="11">SUM(AF2:AF52)</f>
        <v>14092691.779999999</v>
      </c>
      <c r="AG53" s="200"/>
      <c r="AH53" s="200">
        <f t="shared" si="11"/>
        <v>110301000</v>
      </c>
      <c r="AI53" s="200">
        <f t="shared" si="11"/>
        <v>86215953.739999995</v>
      </c>
      <c r="AJ53" s="200">
        <f t="shared" si="11"/>
        <v>1816206.53</v>
      </c>
      <c r="AK53" s="200">
        <f t="shared" si="11"/>
        <v>9260635.1500000004</v>
      </c>
      <c r="AL53" s="200">
        <f t="shared" si="11"/>
        <v>13008204.580000002</v>
      </c>
      <c r="AM53" s="200">
        <f t="shared" si="11"/>
        <v>97973398.569999993</v>
      </c>
    </row>
    <row r="54" spans="1:40" ht="15" thickTop="1" x14ac:dyDescent="0.35">
      <c r="C54" s="24" t="s">
        <v>720</v>
      </c>
      <c r="D54" s="24"/>
      <c r="E54" s="24"/>
      <c r="F54" s="24"/>
      <c r="G54" s="24"/>
      <c r="H54" s="24"/>
      <c r="I54" s="24"/>
      <c r="J54" s="24"/>
      <c r="K54" s="24"/>
      <c r="L54" s="24"/>
      <c r="M54" s="24"/>
      <c r="N54" s="24"/>
      <c r="O54" s="24"/>
      <c r="P54" s="24"/>
      <c r="Q54" s="24"/>
      <c r="R54" s="24"/>
      <c r="S54" s="24"/>
      <c r="T54" s="24"/>
      <c r="V54" s="176"/>
      <c r="W54" s="447">
        <f>W53-S53</f>
        <v>1872117.7099999981</v>
      </c>
      <c r="AB54" s="35"/>
      <c r="AC54" s="35"/>
    </row>
    <row r="55" spans="1:40" x14ac:dyDescent="0.35">
      <c r="C55" s="25" t="s">
        <v>0</v>
      </c>
      <c r="L55" s="1"/>
      <c r="V55" s="176"/>
      <c r="AB55" s="35"/>
      <c r="AC55" s="35"/>
      <c r="AM55" s="447">
        <f>AH53-AM53</f>
        <v>12327601.430000007</v>
      </c>
    </row>
    <row r="62" spans="1:40" x14ac:dyDescent="0.35">
      <c r="X62" s="557">
        <f>X43-4700000</f>
        <v>3522322.63</v>
      </c>
    </row>
  </sheetData>
  <autoFilter ref="A1:AF55" xr:uid="{00000000-0009-0000-0000-000008000000}"/>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218"/>
  <sheetViews>
    <sheetView showGridLines="0" zoomScale="120" zoomScaleNormal="120" workbookViewId="0">
      <pane ySplit="1" topLeftCell="A2" activePane="bottomLeft" state="frozen"/>
      <selection pane="bottomLeft" activeCell="B1" sqref="B1"/>
    </sheetView>
  </sheetViews>
  <sheetFormatPr defaultColWidth="8.81640625" defaultRowHeight="14.5" x14ac:dyDescent="0.35"/>
  <cols>
    <col min="1" max="1" width="11.81640625" style="286" customWidth="1"/>
    <col min="2" max="2" width="71.1796875" style="285" customWidth="1"/>
    <col min="3" max="3" width="12.54296875" style="336" customWidth="1"/>
    <col min="4" max="4" width="30.453125" style="342" customWidth="1"/>
    <col min="5" max="5" width="17.54296875" style="284" bestFit="1" customWidth="1"/>
    <col min="6" max="6" width="13.54296875" style="284" bestFit="1" customWidth="1"/>
    <col min="7" max="7" width="16.1796875" style="284" bestFit="1" customWidth="1"/>
    <col min="8" max="16384" width="8.81640625" style="285"/>
  </cols>
  <sheetData>
    <row r="1" spans="1:7" x14ac:dyDescent="0.35">
      <c r="A1" s="280" t="s">
        <v>1025</v>
      </c>
      <c r="B1" s="281" t="s">
        <v>1026</v>
      </c>
      <c r="C1" s="282" t="s">
        <v>1027</v>
      </c>
      <c r="D1" s="283" t="s">
        <v>1028</v>
      </c>
    </row>
    <row r="2" spans="1:7" x14ac:dyDescent="0.35">
      <c r="C2" s="287"/>
      <c r="D2" s="288"/>
      <c r="E2" s="285"/>
      <c r="F2" s="285"/>
      <c r="G2" s="285"/>
    </row>
    <row r="3" spans="1:7" s="290" customFormat="1" x14ac:dyDescent="0.35">
      <c r="A3" s="289" t="s">
        <v>1029</v>
      </c>
      <c r="C3" s="291"/>
      <c r="D3" s="292"/>
    </row>
    <row r="4" spans="1:7" s="290" customFormat="1" x14ac:dyDescent="0.35">
      <c r="A4" s="289"/>
      <c r="B4" s="293" t="s">
        <v>1030</v>
      </c>
      <c r="C4" s="294">
        <f>C52</f>
        <v>25555000</v>
      </c>
      <c r="D4" s="295" t="s">
        <v>1031</v>
      </c>
    </row>
    <row r="5" spans="1:7" s="290" customFormat="1" x14ac:dyDescent="0.35">
      <c r="A5" s="289"/>
      <c r="B5" s="296" t="s">
        <v>1032</v>
      </c>
      <c r="C5" s="294">
        <f>C59</f>
        <v>30374769</v>
      </c>
      <c r="D5" s="295" t="s">
        <v>1031</v>
      </c>
    </row>
    <row r="6" spans="1:7" s="301" customFormat="1" x14ac:dyDescent="0.35">
      <c r="A6" s="297"/>
      <c r="B6" s="298" t="s">
        <v>1033</v>
      </c>
      <c r="C6" s="299">
        <f>C65</f>
        <v>10642625</v>
      </c>
      <c r="D6" s="300" t="s">
        <v>1034</v>
      </c>
    </row>
    <row r="7" spans="1:7" s="290" customFormat="1" x14ac:dyDescent="0.35">
      <c r="A7" s="289"/>
      <c r="B7" s="296" t="s">
        <v>1035</v>
      </c>
      <c r="C7" s="294">
        <f>C72</f>
        <v>15506150</v>
      </c>
      <c r="D7" s="295" t="s">
        <v>1036</v>
      </c>
    </row>
    <row r="8" spans="1:7" s="301" customFormat="1" x14ac:dyDescent="0.35">
      <c r="A8" s="297"/>
      <c r="B8" s="298" t="s">
        <v>1037</v>
      </c>
      <c r="C8" s="299">
        <f>C77</f>
        <v>8994846</v>
      </c>
      <c r="D8" s="300" t="s">
        <v>1038</v>
      </c>
    </row>
    <row r="9" spans="1:7" s="290" customFormat="1" x14ac:dyDescent="0.35">
      <c r="A9" s="289"/>
      <c r="B9" s="302" t="s">
        <v>983</v>
      </c>
      <c r="C9" s="303">
        <f>SUM(C4:C8)</f>
        <v>91073390</v>
      </c>
      <c r="D9" s="304"/>
    </row>
    <row r="10" spans="1:7" s="290" customFormat="1" x14ac:dyDescent="0.35">
      <c r="A10" s="289"/>
      <c r="B10" s="305"/>
      <c r="C10" s="306"/>
      <c r="D10" s="292"/>
      <c r="E10" s="307"/>
      <c r="F10" s="307"/>
      <c r="G10" s="307"/>
    </row>
    <row r="11" spans="1:7" s="290" customFormat="1" x14ac:dyDescent="0.35">
      <c r="A11" s="289"/>
      <c r="B11" s="305"/>
      <c r="C11" s="305"/>
      <c r="D11" s="304"/>
      <c r="F11" s="307"/>
      <c r="G11" s="307"/>
    </row>
    <row r="12" spans="1:7" s="290" customFormat="1" x14ac:dyDescent="0.35">
      <c r="A12" s="308" t="s">
        <v>1039</v>
      </c>
      <c r="C12" s="305"/>
      <c r="D12" s="295"/>
      <c r="F12" s="307"/>
      <c r="G12" s="307"/>
    </row>
    <row r="13" spans="1:7" s="290" customFormat="1" x14ac:dyDescent="0.35">
      <c r="A13" s="308"/>
      <c r="B13" s="293" t="s">
        <v>1040</v>
      </c>
      <c r="C13" s="309">
        <v>10000000</v>
      </c>
      <c r="D13" s="295" t="s">
        <v>1031</v>
      </c>
      <c r="F13" s="307"/>
      <c r="G13" s="307"/>
    </row>
    <row r="14" spans="1:7" s="290" customFormat="1" x14ac:dyDescent="0.35">
      <c r="A14" s="289"/>
      <c r="B14" s="296" t="s">
        <v>1041</v>
      </c>
      <c r="C14" s="309">
        <v>28000000</v>
      </c>
      <c r="D14" s="295" t="s">
        <v>1031</v>
      </c>
      <c r="F14" s="307"/>
      <c r="G14" s="307"/>
    </row>
    <row r="15" spans="1:7" s="301" customFormat="1" x14ac:dyDescent="0.35">
      <c r="A15" s="297"/>
      <c r="B15" s="298" t="s">
        <v>1042</v>
      </c>
      <c r="C15" s="310">
        <f>C6</f>
        <v>10642625</v>
      </c>
      <c r="D15" s="300" t="s">
        <v>1043</v>
      </c>
      <c r="F15" s="311"/>
      <c r="G15" s="311"/>
    </row>
    <row r="16" spans="1:7" s="290" customFormat="1" x14ac:dyDescent="0.35">
      <c r="A16" s="289"/>
      <c r="B16" s="296" t="s">
        <v>1044</v>
      </c>
      <c r="C16" s="309">
        <v>20000000</v>
      </c>
      <c r="D16" s="295" t="s">
        <v>1036</v>
      </c>
      <c r="F16" s="307"/>
      <c r="G16" s="307"/>
    </row>
    <row r="17" spans="1:7" s="290" customFormat="1" x14ac:dyDescent="0.35">
      <c r="A17" s="289"/>
      <c r="B17" s="312" t="s">
        <v>1045</v>
      </c>
      <c r="C17" s="313">
        <v>24506150</v>
      </c>
      <c r="D17" s="304" t="s">
        <v>1046</v>
      </c>
      <c r="F17" s="307"/>
      <c r="G17" s="307"/>
    </row>
    <row r="18" spans="1:7" s="301" customFormat="1" x14ac:dyDescent="0.35">
      <c r="A18" s="297"/>
      <c r="B18" s="314" t="s">
        <v>1047</v>
      </c>
      <c r="C18" s="315">
        <f>C8</f>
        <v>8994846</v>
      </c>
      <c r="D18" s="316" t="s">
        <v>1048</v>
      </c>
      <c r="F18" s="311"/>
      <c r="G18" s="311"/>
    </row>
    <row r="19" spans="1:7" s="290" customFormat="1" x14ac:dyDescent="0.35">
      <c r="A19" s="289"/>
      <c r="B19" s="302" t="s">
        <v>983</v>
      </c>
      <c r="C19" s="317">
        <f>SUM(C13:C17)</f>
        <v>93148775</v>
      </c>
      <c r="D19" s="318" t="s">
        <v>1049</v>
      </c>
      <c r="F19" s="307"/>
      <c r="G19" s="307"/>
    </row>
    <row r="20" spans="1:7" s="321" customFormat="1" x14ac:dyDescent="0.35">
      <c r="A20" s="319"/>
      <c r="B20" s="318" t="s">
        <v>1049</v>
      </c>
      <c r="C20" s="320"/>
      <c r="D20" s="304"/>
      <c r="F20" s="322"/>
      <c r="G20" s="322"/>
    </row>
    <row r="21" spans="1:7" s="321" customFormat="1" x14ac:dyDescent="0.35">
      <c r="A21" s="319"/>
      <c r="B21" s="318"/>
      <c r="C21" s="320"/>
      <c r="D21" s="304"/>
      <c r="F21" s="322"/>
      <c r="G21" s="322"/>
    </row>
    <row r="22" spans="1:7" s="321" customFormat="1" x14ac:dyDescent="0.35">
      <c r="A22" s="319" t="s">
        <v>1050</v>
      </c>
      <c r="B22" s="318"/>
      <c r="C22" s="320"/>
      <c r="D22" s="304"/>
      <c r="F22" s="322"/>
      <c r="G22" s="322"/>
    </row>
    <row r="23" spans="1:7" s="321" customFormat="1" x14ac:dyDescent="0.35">
      <c r="A23" s="319"/>
      <c r="B23" s="323" t="s">
        <v>1051</v>
      </c>
      <c r="C23" s="324">
        <f>C52+C59</f>
        <v>55929769</v>
      </c>
      <c r="D23" s="304"/>
      <c r="F23" s="322"/>
      <c r="G23" s="322"/>
    </row>
    <row r="24" spans="1:7" s="321" customFormat="1" x14ac:dyDescent="0.35">
      <c r="A24" s="319"/>
      <c r="B24" s="323" t="s">
        <v>1052</v>
      </c>
      <c r="C24" s="325"/>
      <c r="D24" s="304"/>
      <c r="F24" s="322"/>
      <c r="G24" s="322"/>
    </row>
    <row r="25" spans="1:7" s="321" customFormat="1" x14ac:dyDescent="0.35">
      <c r="A25" s="319"/>
      <c r="B25" s="326" t="s">
        <v>1053</v>
      </c>
      <c r="C25" s="325">
        <f>-C13</f>
        <v>-10000000</v>
      </c>
      <c r="D25" s="304"/>
      <c r="F25" s="322"/>
      <c r="G25" s="322"/>
    </row>
    <row r="26" spans="1:7" s="321" customFormat="1" x14ac:dyDescent="0.35">
      <c r="A26" s="319"/>
      <c r="B26" s="326" t="s">
        <v>1054</v>
      </c>
      <c r="C26" s="325">
        <f>-C14</f>
        <v>-28000000</v>
      </c>
      <c r="D26" s="304"/>
      <c r="F26" s="322"/>
      <c r="G26" s="322"/>
    </row>
    <row r="27" spans="1:7" s="321" customFormat="1" ht="24" x14ac:dyDescent="0.35">
      <c r="A27" s="319"/>
      <c r="B27" s="326" t="s">
        <v>1055</v>
      </c>
      <c r="C27" s="325">
        <f>-C64</f>
        <v>-9000000</v>
      </c>
      <c r="D27" s="304"/>
      <c r="F27" s="322"/>
      <c r="G27" s="322"/>
    </row>
    <row r="28" spans="1:7" s="321" customFormat="1" ht="24" x14ac:dyDescent="0.35">
      <c r="A28" s="319"/>
      <c r="B28" s="326" t="s">
        <v>1056</v>
      </c>
      <c r="C28" s="325">
        <v>-8929769</v>
      </c>
      <c r="D28" s="304"/>
      <c r="F28" s="322"/>
      <c r="G28" s="322"/>
    </row>
    <row r="29" spans="1:7" s="331" customFormat="1" x14ac:dyDescent="0.35">
      <c r="A29" s="327"/>
      <c r="B29" s="328" t="s">
        <v>1049</v>
      </c>
      <c r="C29" s="329" t="s">
        <v>1049</v>
      </c>
      <c r="D29" s="330"/>
      <c r="F29" s="332"/>
      <c r="G29" s="332"/>
    </row>
    <row r="30" spans="1:7" x14ac:dyDescent="0.35">
      <c r="A30" s="333"/>
      <c r="B30" s="333"/>
      <c r="C30" s="334"/>
      <c r="D30" s="334"/>
    </row>
    <row r="31" spans="1:7" x14ac:dyDescent="0.35">
      <c r="A31" s="335" t="s">
        <v>1057</v>
      </c>
      <c r="B31" s="333"/>
      <c r="C31" s="334"/>
      <c r="D31" s="334"/>
    </row>
    <row r="32" spans="1:7" x14ac:dyDescent="0.35">
      <c r="D32" s="336"/>
    </row>
    <row r="33" spans="1:7" s="286" customFormat="1" x14ac:dyDescent="0.35">
      <c r="A33" s="286" t="s">
        <v>1058</v>
      </c>
      <c r="C33" s="337"/>
      <c r="D33" s="338"/>
      <c r="E33" s="339"/>
      <c r="F33" s="339"/>
      <c r="G33" s="339"/>
    </row>
    <row r="34" spans="1:7" x14ac:dyDescent="0.35">
      <c r="B34" s="340" t="s">
        <v>1059</v>
      </c>
      <c r="C34" s="341">
        <v>24175627</v>
      </c>
    </row>
    <row r="35" spans="1:7" x14ac:dyDescent="0.35">
      <c r="B35" s="343" t="s">
        <v>1060</v>
      </c>
      <c r="C35" s="341">
        <v>86125373</v>
      </c>
      <c r="D35" s="288"/>
      <c r="E35" s="285"/>
      <c r="F35" s="285"/>
      <c r="G35" s="285"/>
    </row>
    <row r="36" spans="1:7" x14ac:dyDescent="0.35">
      <c r="B36" s="344" t="s">
        <v>1061</v>
      </c>
      <c r="C36" s="345">
        <v>110301000</v>
      </c>
      <c r="D36" s="288"/>
      <c r="E36" s="285"/>
      <c r="F36" s="285"/>
      <c r="G36" s="285"/>
    </row>
    <row r="37" spans="1:7" x14ac:dyDescent="0.35">
      <c r="B37" s="346"/>
      <c r="C37" s="347"/>
      <c r="D37" s="288"/>
      <c r="E37" s="285"/>
      <c r="F37" s="285"/>
      <c r="G37" s="285"/>
    </row>
    <row r="38" spans="1:7" x14ac:dyDescent="0.35">
      <c r="B38" s="348" t="s">
        <v>1062</v>
      </c>
      <c r="C38" s="345">
        <v>10000000</v>
      </c>
      <c r="D38" s="288" t="s">
        <v>1063</v>
      </c>
      <c r="E38" s="285"/>
      <c r="F38" s="285"/>
      <c r="G38" s="285"/>
    </row>
    <row r="39" spans="1:7" x14ac:dyDescent="0.35">
      <c r="B39" s="346"/>
      <c r="C39" s="285"/>
      <c r="D39" s="288"/>
      <c r="E39" s="285"/>
      <c r="F39" s="285"/>
      <c r="G39" s="285"/>
    </row>
    <row r="40" spans="1:7" x14ac:dyDescent="0.35">
      <c r="C40" s="285" t="s">
        <v>1049</v>
      </c>
      <c r="D40" s="288"/>
      <c r="E40" s="285" t="s">
        <v>1049</v>
      </c>
      <c r="F40" s="285"/>
      <c r="G40" s="285"/>
    </row>
    <row r="41" spans="1:7" x14ac:dyDescent="0.35">
      <c r="A41" s="286" t="s">
        <v>1064</v>
      </c>
      <c r="C41" s="285" t="s">
        <v>1049</v>
      </c>
      <c r="D41" s="288" t="s">
        <v>1049</v>
      </c>
      <c r="F41" s="285"/>
      <c r="G41" s="285"/>
    </row>
    <row r="42" spans="1:7" x14ac:dyDescent="0.35">
      <c r="A42" s="349" t="s">
        <v>1065</v>
      </c>
      <c r="C42" s="285"/>
      <c r="D42" s="288"/>
      <c r="F42" s="285"/>
      <c r="G42" s="285"/>
    </row>
    <row r="43" spans="1:7" x14ac:dyDescent="0.35">
      <c r="B43" s="350" t="s">
        <v>1066</v>
      </c>
      <c r="C43" s="351">
        <v>4500000</v>
      </c>
      <c r="D43" s="288" t="s">
        <v>1067</v>
      </c>
      <c r="E43" s="284" t="s">
        <v>1049</v>
      </c>
      <c r="G43" s="285"/>
    </row>
    <row r="44" spans="1:7" x14ac:dyDescent="0.35">
      <c r="B44" s="384" t="s">
        <v>1068</v>
      </c>
      <c r="C44" s="351">
        <v>7920000</v>
      </c>
      <c r="D44" s="288" t="s">
        <v>1069</v>
      </c>
      <c r="E44" s="284" t="s">
        <v>1049</v>
      </c>
      <c r="G44" s="285"/>
    </row>
    <row r="45" spans="1:7" x14ac:dyDescent="0.35">
      <c r="B45" s="352" t="s">
        <v>1070</v>
      </c>
      <c r="C45" s="351">
        <v>5985000</v>
      </c>
      <c r="D45" s="288" t="s">
        <v>1071</v>
      </c>
      <c r="E45" s="284" t="s">
        <v>1049</v>
      </c>
      <c r="G45" s="285"/>
    </row>
    <row r="46" spans="1:7" x14ac:dyDescent="0.35">
      <c r="B46" s="350" t="s">
        <v>1072</v>
      </c>
      <c r="C46" s="353">
        <v>0</v>
      </c>
      <c r="D46" s="288" t="s">
        <v>1073</v>
      </c>
      <c r="G46" s="285"/>
    </row>
    <row r="47" spans="1:7" x14ac:dyDescent="0.35">
      <c r="B47" s="350" t="s">
        <v>1074</v>
      </c>
      <c r="C47" s="353">
        <v>4000000</v>
      </c>
      <c r="D47" s="288" t="s">
        <v>1075</v>
      </c>
      <c r="G47" s="285"/>
    </row>
    <row r="48" spans="1:7" x14ac:dyDescent="0.35">
      <c r="B48" s="350" t="s">
        <v>1076</v>
      </c>
      <c r="C48" s="353">
        <v>300000</v>
      </c>
      <c r="D48" s="288" t="s">
        <v>1075</v>
      </c>
      <c r="G48" s="285"/>
    </row>
    <row r="49" spans="1:7" x14ac:dyDescent="0.35">
      <c r="B49" s="350" t="s">
        <v>1077</v>
      </c>
      <c r="C49" s="353">
        <v>1200000</v>
      </c>
      <c r="D49" s="288" t="s">
        <v>1078</v>
      </c>
      <c r="G49" s="285"/>
    </row>
    <row r="50" spans="1:7" x14ac:dyDescent="0.35">
      <c r="B50" s="350" t="s">
        <v>1079</v>
      </c>
      <c r="C50" s="353">
        <v>1300000</v>
      </c>
      <c r="D50" s="288" t="s">
        <v>1080</v>
      </c>
      <c r="G50" s="285"/>
    </row>
    <row r="51" spans="1:7" x14ac:dyDescent="0.35">
      <c r="B51" s="350" t="s">
        <v>1081</v>
      </c>
      <c r="C51" s="353">
        <v>350000</v>
      </c>
      <c r="D51" s="288" t="s">
        <v>1080</v>
      </c>
      <c r="G51" s="285"/>
    </row>
    <row r="52" spans="1:7" s="357" customFormat="1" x14ac:dyDescent="0.35">
      <c r="A52" s="354"/>
      <c r="B52" s="355" t="s">
        <v>983</v>
      </c>
      <c r="C52" s="356">
        <f>SUM(C43:C51)</f>
        <v>25555000</v>
      </c>
      <c r="D52" s="330"/>
    </row>
    <row r="53" spans="1:7" s="357" customFormat="1" x14ac:dyDescent="0.35">
      <c r="A53" s="354"/>
      <c r="B53" s="358"/>
      <c r="C53" s="359"/>
      <c r="D53" s="330"/>
    </row>
    <row r="54" spans="1:7" s="357" customFormat="1" x14ac:dyDescent="0.35">
      <c r="A54" s="354"/>
      <c r="B54" s="360"/>
      <c r="C54" s="361"/>
      <c r="D54" s="362">
        <f>C52+C59</f>
        <v>55929769</v>
      </c>
    </row>
    <row r="55" spans="1:7" x14ac:dyDescent="0.35">
      <c r="A55" s="349" t="s">
        <v>1082</v>
      </c>
      <c r="C55" s="363"/>
      <c r="D55" s="364" t="s">
        <v>1049</v>
      </c>
      <c r="E55" s="285"/>
      <c r="F55" s="285"/>
      <c r="G55" s="285"/>
    </row>
    <row r="56" spans="1:7" x14ac:dyDescent="0.35">
      <c r="B56" s="350" t="s">
        <v>1083</v>
      </c>
      <c r="C56" s="365">
        <v>1874769</v>
      </c>
      <c r="D56" s="288" t="s">
        <v>1084</v>
      </c>
      <c r="E56" s="284" t="s">
        <v>1049</v>
      </c>
      <c r="F56" s="285"/>
      <c r="G56" s="285"/>
    </row>
    <row r="57" spans="1:7" x14ac:dyDescent="0.35">
      <c r="B57" s="350" t="s">
        <v>1085</v>
      </c>
      <c r="C57" s="351">
        <v>26000000</v>
      </c>
      <c r="D57" s="288"/>
      <c r="F57" s="285"/>
      <c r="G57" s="285"/>
    </row>
    <row r="58" spans="1:7" x14ac:dyDescent="0.35">
      <c r="B58" s="350" t="s">
        <v>1086</v>
      </c>
      <c r="C58" s="351">
        <v>2500000</v>
      </c>
      <c r="D58" s="288"/>
      <c r="F58" s="285"/>
      <c r="G58" s="285"/>
    </row>
    <row r="59" spans="1:7" s="357" customFormat="1" x14ac:dyDescent="0.35">
      <c r="A59" s="354"/>
      <c r="B59" s="355" t="s">
        <v>983</v>
      </c>
      <c r="C59" s="356">
        <f>SUM(C56:C58)</f>
        <v>30374769</v>
      </c>
      <c r="D59" s="330"/>
    </row>
    <row r="60" spans="1:7" s="357" customFormat="1" x14ac:dyDescent="0.35">
      <c r="A60" s="354"/>
      <c r="B60" s="358"/>
      <c r="C60" s="359"/>
      <c r="D60" s="330"/>
    </row>
    <row r="61" spans="1:7" s="357" customFormat="1" x14ac:dyDescent="0.35">
      <c r="A61" s="366" t="s">
        <v>1087</v>
      </c>
      <c r="B61" s="301"/>
      <c r="C61" s="367"/>
      <c r="D61" s="368" t="s">
        <v>1049</v>
      </c>
    </row>
    <row r="62" spans="1:7" s="357" customFormat="1" x14ac:dyDescent="0.35">
      <c r="A62" s="297"/>
      <c r="B62" s="314" t="s">
        <v>1088</v>
      </c>
      <c r="C62" s="369">
        <v>642625</v>
      </c>
      <c r="D62" s="316" t="s">
        <v>1089</v>
      </c>
    </row>
    <row r="63" spans="1:7" s="357" customFormat="1" x14ac:dyDescent="0.35">
      <c r="A63" s="297"/>
      <c r="B63" s="314" t="s">
        <v>1090</v>
      </c>
      <c r="C63" s="369">
        <v>1000000</v>
      </c>
      <c r="D63" s="316" t="s">
        <v>1089</v>
      </c>
    </row>
    <row r="64" spans="1:7" s="357" customFormat="1" x14ac:dyDescent="0.35">
      <c r="A64" s="297"/>
      <c r="B64" s="314" t="s">
        <v>1091</v>
      </c>
      <c r="C64" s="369">
        <v>9000000</v>
      </c>
      <c r="D64" s="316" t="s">
        <v>1092</v>
      </c>
    </row>
    <row r="65" spans="1:7" s="357" customFormat="1" x14ac:dyDescent="0.35">
      <c r="A65" s="297"/>
      <c r="B65" s="370" t="s">
        <v>983</v>
      </c>
      <c r="C65" s="371">
        <f>SUM(C62:C64)</f>
        <v>10642625</v>
      </c>
      <c r="D65" s="316"/>
    </row>
    <row r="66" spans="1:7" s="357" customFormat="1" x14ac:dyDescent="0.35">
      <c r="A66" s="354"/>
      <c r="B66" s="358"/>
      <c r="C66" s="359"/>
      <c r="D66" s="330"/>
    </row>
    <row r="67" spans="1:7" s="357" customFormat="1" x14ac:dyDescent="0.35">
      <c r="A67" s="354"/>
      <c r="C67" s="372"/>
      <c r="D67" s="330"/>
    </row>
    <row r="68" spans="1:7" x14ac:dyDescent="0.35">
      <c r="C68" s="285"/>
      <c r="D68" s="288"/>
      <c r="E68" s="285"/>
      <c r="F68" s="285"/>
      <c r="G68" s="285"/>
    </row>
    <row r="69" spans="1:7" x14ac:dyDescent="0.35">
      <c r="A69" s="349" t="s">
        <v>1093</v>
      </c>
      <c r="C69" s="285"/>
      <c r="D69" s="288"/>
      <c r="E69" s="285"/>
      <c r="F69" s="285"/>
      <c r="G69" s="285"/>
    </row>
    <row r="70" spans="1:7" x14ac:dyDescent="0.35">
      <c r="B70" s="373" t="s">
        <v>1094</v>
      </c>
      <c r="C70" s="351">
        <v>2816150</v>
      </c>
      <c r="D70" s="288" t="s">
        <v>1095</v>
      </c>
      <c r="E70" s="285"/>
      <c r="F70" s="285"/>
      <c r="G70" s="285"/>
    </row>
    <row r="71" spans="1:7" x14ac:dyDescent="0.35">
      <c r="B71" s="373" t="s">
        <v>1096</v>
      </c>
      <c r="C71" s="351">
        <v>12690000</v>
      </c>
      <c r="D71" s="288" t="s">
        <v>1095</v>
      </c>
      <c r="E71" s="285"/>
      <c r="F71" s="285"/>
      <c r="G71" s="285"/>
    </row>
    <row r="72" spans="1:7" x14ac:dyDescent="0.35">
      <c r="B72" s="374" t="s">
        <v>983</v>
      </c>
      <c r="C72" s="375">
        <f>SUM(C70:C71)</f>
        <v>15506150</v>
      </c>
      <c r="D72" s="288"/>
      <c r="E72" s="285"/>
      <c r="F72" s="285"/>
      <c r="G72" s="285"/>
    </row>
    <row r="73" spans="1:7" x14ac:dyDescent="0.35">
      <c r="B73" s="335"/>
      <c r="C73" s="376"/>
      <c r="D73" s="288"/>
      <c r="E73" s="285"/>
      <c r="F73" s="285"/>
      <c r="G73" s="285"/>
    </row>
    <row r="74" spans="1:7" x14ac:dyDescent="0.35">
      <c r="B74" s="335"/>
      <c r="C74" s="376"/>
      <c r="D74" s="288"/>
      <c r="E74" s="285"/>
      <c r="F74" s="285"/>
      <c r="G74" s="285"/>
    </row>
    <row r="75" spans="1:7" s="301" customFormat="1" x14ac:dyDescent="0.35">
      <c r="A75" s="366" t="s">
        <v>1097</v>
      </c>
      <c r="D75" s="316"/>
    </row>
    <row r="76" spans="1:7" s="301" customFormat="1" x14ac:dyDescent="0.35">
      <c r="A76" s="297"/>
      <c r="B76" s="377" t="s">
        <v>1098</v>
      </c>
      <c r="C76" s="369">
        <v>8994846</v>
      </c>
      <c r="D76" s="316" t="s">
        <v>1099</v>
      </c>
    </row>
    <row r="77" spans="1:7" s="301" customFormat="1" x14ac:dyDescent="0.35">
      <c r="A77" s="297"/>
      <c r="B77" s="370" t="s">
        <v>983</v>
      </c>
      <c r="C77" s="378">
        <f>SUM(C76:C76)</f>
        <v>8994846</v>
      </c>
      <c r="D77" s="316"/>
    </row>
    <row r="78" spans="1:7" x14ac:dyDescent="0.35">
      <c r="B78" s="335"/>
      <c r="C78" s="376"/>
      <c r="D78" s="288"/>
      <c r="E78" s="285"/>
      <c r="F78" s="285"/>
      <c r="G78" s="285"/>
    </row>
    <row r="79" spans="1:7" x14ac:dyDescent="0.35">
      <c r="B79" s="335"/>
      <c r="C79" s="376"/>
      <c r="D79" s="288"/>
      <c r="E79" s="285"/>
      <c r="F79" s="285"/>
      <c r="G79" s="285"/>
    </row>
    <row r="80" spans="1:7" x14ac:dyDescent="0.35">
      <c r="B80" s="379"/>
      <c r="C80" s="380"/>
      <c r="D80" s="288"/>
      <c r="E80" s="285"/>
    </row>
    <row r="81" spans="1:5" x14ac:dyDescent="0.35">
      <c r="A81" s="286" t="s">
        <v>1100</v>
      </c>
      <c r="B81" s="379"/>
      <c r="C81" s="380"/>
      <c r="D81" s="288"/>
      <c r="E81" s="285"/>
    </row>
    <row r="82" spans="1:5" x14ac:dyDescent="0.35">
      <c r="A82" s="285"/>
      <c r="B82" s="381" t="s">
        <v>1101</v>
      </c>
      <c r="C82" s="351">
        <v>12700000</v>
      </c>
      <c r="D82" s="288"/>
      <c r="E82" s="285"/>
    </row>
    <row r="83" spans="1:5" x14ac:dyDescent="0.35">
      <c r="B83" s="373" t="s">
        <v>1102</v>
      </c>
      <c r="C83" s="351">
        <v>7900000</v>
      </c>
      <c r="D83" s="288"/>
      <c r="E83" s="285"/>
    </row>
    <row r="84" spans="1:5" x14ac:dyDescent="0.35">
      <c r="B84" s="381" t="s">
        <v>1103</v>
      </c>
      <c r="C84" s="351">
        <v>12500000</v>
      </c>
      <c r="D84" s="288" t="s">
        <v>1104</v>
      </c>
      <c r="E84" s="285"/>
    </row>
    <row r="85" spans="1:5" x14ac:dyDescent="0.35">
      <c r="B85" s="381" t="s">
        <v>1105</v>
      </c>
      <c r="C85" s="351">
        <v>2000000</v>
      </c>
      <c r="D85" s="288" t="s">
        <v>1106</v>
      </c>
      <c r="E85" s="285"/>
    </row>
    <row r="86" spans="1:5" x14ac:dyDescent="0.35">
      <c r="B86" s="374" t="s">
        <v>983</v>
      </c>
      <c r="C86" s="382">
        <f>SUM(C82:C85)</f>
        <v>35100000</v>
      </c>
      <c r="D86" s="288"/>
      <c r="E86" s="285"/>
    </row>
    <row r="87" spans="1:5" x14ac:dyDescent="0.35">
      <c r="B87" s="335"/>
      <c r="C87" s="383"/>
      <c r="D87" s="288"/>
      <c r="E87" s="285"/>
    </row>
    <row r="88" spans="1:5" x14ac:dyDescent="0.35">
      <c r="C88" s="285"/>
      <c r="D88" s="288"/>
      <c r="E88" s="285"/>
    </row>
    <row r="89" spans="1:5" x14ac:dyDescent="0.35">
      <c r="C89" s="285"/>
      <c r="D89" s="288"/>
      <c r="E89" s="285"/>
    </row>
    <row r="90" spans="1:5" x14ac:dyDescent="0.35">
      <c r="C90" s="285"/>
      <c r="D90" s="288"/>
      <c r="E90" s="285"/>
    </row>
    <row r="91" spans="1:5" x14ac:dyDescent="0.35">
      <c r="C91" s="285"/>
      <c r="D91" s="288"/>
      <c r="E91" s="285"/>
    </row>
    <row r="92" spans="1:5" x14ac:dyDescent="0.35">
      <c r="C92" s="285"/>
      <c r="D92" s="288"/>
      <c r="E92" s="285"/>
    </row>
    <row r="93" spans="1:5" x14ac:dyDescent="0.35">
      <c r="C93" s="285"/>
      <c r="D93" s="288"/>
      <c r="E93" s="285"/>
    </row>
    <row r="94" spans="1:5" x14ac:dyDescent="0.35">
      <c r="C94" s="285"/>
      <c r="D94" s="288"/>
      <c r="E94" s="285"/>
    </row>
    <row r="95" spans="1:5" x14ac:dyDescent="0.35">
      <c r="C95" s="285"/>
      <c r="D95" s="288"/>
      <c r="E95" s="285"/>
    </row>
    <row r="96" spans="1:5" x14ac:dyDescent="0.35">
      <c r="C96" s="285"/>
      <c r="D96" s="288"/>
      <c r="E96" s="285"/>
    </row>
    <row r="97" spans="3:5" x14ac:dyDescent="0.35">
      <c r="C97" s="285"/>
      <c r="D97" s="288"/>
      <c r="E97" s="285"/>
    </row>
    <row r="98" spans="3:5" x14ac:dyDescent="0.35">
      <c r="C98" s="285"/>
      <c r="D98" s="288"/>
      <c r="E98" s="285"/>
    </row>
    <row r="99" spans="3:5" x14ac:dyDescent="0.35">
      <c r="C99" s="285"/>
      <c r="D99" s="288"/>
      <c r="E99" s="285"/>
    </row>
    <row r="100" spans="3:5" x14ac:dyDescent="0.35">
      <c r="C100" s="285"/>
      <c r="D100" s="288"/>
      <c r="E100" s="285"/>
    </row>
    <row r="101" spans="3:5" x14ac:dyDescent="0.35">
      <c r="C101" s="285"/>
      <c r="D101" s="288"/>
      <c r="E101" s="285"/>
    </row>
    <row r="102" spans="3:5" x14ac:dyDescent="0.35">
      <c r="C102" s="285"/>
      <c r="D102" s="288"/>
      <c r="E102" s="285"/>
    </row>
    <row r="103" spans="3:5" x14ac:dyDescent="0.35">
      <c r="C103" s="285"/>
      <c r="D103" s="288"/>
      <c r="E103" s="285"/>
    </row>
    <row r="104" spans="3:5" x14ac:dyDescent="0.35">
      <c r="C104" s="285"/>
      <c r="D104" s="288"/>
      <c r="E104" s="285"/>
    </row>
    <row r="105" spans="3:5" x14ac:dyDescent="0.35">
      <c r="C105" s="285"/>
      <c r="D105" s="288"/>
      <c r="E105" s="285"/>
    </row>
    <row r="106" spans="3:5" x14ac:dyDescent="0.35">
      <c r="C106" s="285"/>
      <c r="D106" s="288"/>
      <c r="E106" s="285"/>
    </row>
    <row r="107" spans="3:5" x14ac:dyDescent="0.35">
      <c r="C107" s="285"/>
      <c r="D107" s="288"/>
      <c r="E107" s="285"/>
    </row>
    <row r="108" spans="3:5" x14ac:dyDescent="0.35">
      <c r="C108" s="285"/>
      <c r="D108" s="288"/>
      <c r="E108" s="285"/>
    </row>
    <row r="109" spans="3:5" x14ac:dyDescent="0.35">
      <c r="C109" s="285"/>
      <c r="D109" s="288"/>
      <c r="E109" s="285"/>
    </row>
    <row r="110" spans="3:5" x14ac:dyDescent="0.35">
      <c r="C110" s="285"/>
      <c r="D110" s="288"/>
      <c r="E110" s="285"/>
    </row>
    <row r="111" spans="3:5" x14ac:dyDescent="0.35">
      <c r="C111" s="285"/>
      <c r="D111" s="288"/>
      <c r="E111" s="285"/>
    </row>
    <row r="112" spans="3:5" x14ac:dyDescent="0.35">
      <c r="C112" s="285"/>
      <c r="D112" s="288"/>
      <c r="E112" s="285"/>
    </row>
    <row r="113" spans="3:5" x14ac:dyDescent="0.35">
      <c r="C113" s="285"/>
      <c r="D113" s="288"/>
      <c r="E113" s="285"/>
    </row>
    <row r="114" spans="3:5" x14ac:dyDescent="0.35">
      <c r="C114" s="285"/>
      <c r="D114" s="288"/>
      <c r="E114" s="285"/>
    </row>
    <row r="115" spans="3:5" x14ac:dyDescent="0.35">
      <c r="C115" s="285"/>
      <c r="D115" s="288"/>
      <c r="E115" s="285"/>
    </row>
    <row r="116" spans="3:5" x14ac:dyDescent="0.35">
      <c r="C116" s="285"/>
      <c r="D116" s="288"/>
      <c r="E116" s="285"/>
    </row>
    <row r="117" spans="3:5" x14ac:dyDescent="0.35">
      <c r="C117" s="285"/>
      <c r="D117" s="288"/>
      <c r="E117" s="285"/>
    </row>
    <row r="118" spans="3:5" x14ac:dyDescent="0.35">
      <c r="C118" s="285"/>
      <c r="D118" s="288"/>
      <c r="E118" s="285"/>
    </row>
    <row r="119" spans="3:5" x14ac:dyDescent="0.35">
      <c r="C119" s="285"/>
      <c r="D119" s="288"/>
      <c r="E119" s="285"/>
    </row>
    <row r="120" spans="3:5" x14ac:dyDescent="0.35">
      <c r="C120" s="285"/>
      <c r="D120" s="288"/>
      <c r="E120" s="285"/>
    </row>
    <row r="121" spans="3:5" x14ac:dyDescent="0.35">
      <c r="C121" s="285"/>
      <c r="D121" s="288"/>
      <c r="E121" s="285"/>
    </row>
    <row r="122" spans="3:5" x14ac:dyDescent="0.35">
      <c r="C122" s="285"/>
      <c r="D122" s="288"/>
      <c r="E122" s="285"/>
    </row>
    <row r="123" spans="3:5" x14ac:dyDescent="0.35">
      <c r="C123" s="285"/>
      <c r="D123" s="288"/>
      <c r="E123" s="285"/>
    </row>
    <row r="124" spans="3:5" x14ac:dyDescent="0.35">
      <c r="C124" s="285"/>
      <c r="D124" s="288"/>
      <c r="E124" s="285"/>
    </row>
    <row r="125" spans="3:5" x14ac:dyDescent="0.35">
      <c r="C125" s="285"/>
      <c r="D125" s="288"/>
      <c r="E125" s="285"/>
    </row>
    <row r="126" spans="3:5" x14ac:dyDescent="0.35">
      <c r="C126" s="285"/>
      <c r="D126" s="288"/>
      <c r="E126" s="285"/>
    </row>
    <row r="127" spans="3:5" x14ac:dyDescent="0.35">
      <c r="C127" s="285"/>
      <c r="D127" s="288"/>
      <c r="E127" s="285"/>
    </row>
    <row r="128" spans="3:5" x14ac:dyDescent="0.35">
      <c r="C128" s="285"/>
      <c r="D128" s="288"/>
      <c r="E128" s="285"/>
    </row>
    <row r="129" spans="3:5" x14ac:dyDescent="0.35">
      <c r="C129" s="285"/>
      <c r="D129" s="288"/>
      <c r="E129" s="285"/>
    </row>
    <row r="130" spans="3:5" x14ac:dyDescent="0.35">
      <c r="C130" s="285"/>
      <c r="D130" s="288"/>
      <c r="E130" s="285"/>
    </row>
    <row r="131" spans="3:5" x14ac:dyDescent="0.35">
      <c r="C131" s="285"/>
      <c r="D131" s="288"/>
      <c r="E131" s="285"/>
    </row>
    <row r="132" spans="3:5" x14ac:dyDescent="0.35">
      <c r="C132" s="285"/>
      <c r="D132" s="288"/>
      <c r="E132" s="285"/>
    </row>
    <row r="133" spans="3:5" x14ac:dyDescent="0.35">
      <c r="C133" s="285"/>
      <c r="D133" s="288"/>
      <c r="E133" s="285"/>
    </row>
    <row r="134" spans="3:5" x14ac:dyDescent="0.35">
      <c r="C134" s="285"/>
      <c r="D134" s="288"/>
      <c r="E134" s="285"/>
    </row>
    <row r="135" spans="3:5" x14ac:dyDescent="0.35">
      <c r="C135" s="285"/>
      <c r="D135" s="288"/>
      <c r="E135" s="285"/>
    </row>
    <row r="136" spans="3:5" x14ac:dyDescent="0.35">
      <c r="C136" s="285"/>
      <c r="D136" s="288"/>
      <c r="E136" s="285"/>
    </row>
    <row r="137" spans="3:5" x14ac:dyDescent="0.35">
      <c r="C137" s="285"/>
      <c r="D137" s="288"/>
      <c r="E137" s="285"/>
    </row>
    <row r="138" spans="3:5" x14ac:dyDescent="0.35">
      <c r="C138" s="285"/>
      <c r="D138" s="288"/>
      <c r="E138" s="285"/>
    </row>
    <row r="139" spans="3:5" x14ac:dyDescent="0.35">
      <c r="C139" s="285"/>
      <c r="D139" s="288"/>
      <c r="E139" s="285"/>
    </row>
    <row r="140" spans="3:5" x14ac:dyDescent="0.35">
      <c r="C140" s="285"/>
      <c r="D140" s="288"/>
      <c r="E140" s="285"/>
    </row>
    <row r="141" spans="3:5" x14ac:dyDescent="0.35">
      <c r="C141" s="285"/>
      <c r="D141" s="288"/>
      <c r="E141" s="285"/>
    </row>
    <row r="142" spans="3:5" x14ac:dyDescent="0.35">
      <c r="C142" s="285"/>
      <c r="D142" s="288"/>
      <c r="E142" s="285"/>
    </row>
    <row r="143" spans="3:5" x14ac:dyDescent="0.35">
      <c r="C143" s="285"/>
      <c r="D143" s="288"/>
      <c r="E143" s="285"/>
    </row>
    <row r="144" spans="3:5" x14ac:dyDescent="0.35">
      <c r="C144" s="285"/>
      <c r="D144" s="288"/>
      <c r="E144" s="285"/>
    </row>
    <row r="145" spans="3:5" x14ac:dyDescent="0.35">
      <c r="C145" s="285"/>
      <c r="D145" s="288"/>
      <c r="E145" s="285"/>
    </row>
    <row r="146" spans="3:5" x14ac:dyDescent="0.35">
      <c r="C146" s="285"/>
      <c r="D146" s="288"/>
      <c r="E146" s="285"/>
    </row>
    <row r="147" spans="3:5" x14ac:dyDescent="0.35">
      <c r="C147" s="285"/>
      <c r="D147" s="288"/>
      <c r="E147" s="285"/>
    </row>
    <row r="148" spans="3:5" x14ac:dyDescent="0.35">
      <c r="C148" s="285"/>
      <c r="D148" s="288"/>
      <c r="E148" s="285"/>
    </row>
    <row r="149" spans="3:5" x14ac:dyDescent="0.35">
      <c r="C149" s="285"/>
      <c r="D149" s="288"/>
      <c r="E149" s="285"/>
    </row>
    <row r="150" spans="3:5" x14ac:dyDescent="0.35">
      <c r="C150" s="285"/>
      <c r="D150" s="288"/>
      <c r="E150" s="285"/>
    </row>
    <row r="151" spans="3:5" x14ac:dyDescent="0.35">
      <c r="C151" s="285"/>
      <c r="D151" s="288"/>
      <c r="E151" s="285"/>
    </row>
    <row r="152" spans="3:5" x14ac:dyDescent="0.35">
      <c r="C152" s="285"/>
      <c r="D152" s="288"/>
      <c r="E152" s="285"/>
    </row>
    <row r="153" spans="3:5" x14ac:dyDescent="0.35">
      <c r="C153" s="285"/>
      <c r="D153" s="288"/>
      <c r="E153" s="285"/>
    </row>
    <row r="154" spans="3:5" x14ac:dyDescent="0.35">
      <c r="C154" s="285"/>
      <c r="D154" s="288"/>
      <c r="E154" s="285"/>
    </row>
    <row r="155" spans="3:5" x14ac:dyDescent="0.35">
      <c r="C155" s="285"/>
      <c r="D155" s="288"/>
      <c r="E155" s="285"/>
    </row>
    <row r="156" spans="3:5" x14ac:dyDescent="0.35">
      <c r="C156" s="285"/>
      <c r="D156" s="288"/>
      <c r="E156" s="285"/>
    </row>
    <row r="157" spans="3:5" x14ac:dyDescent="0.35">
      <c r="C157" s="285"/>
      <c r="D157" s="288"/>
      <c r="E157" s="285"/>
    </row>
    <row r="158" spans="3:5" x14ac:dyDescent="0.35">
      <c r="C158" s="285"/>
      <c r="D158" s="288"/>
      <c r="E158" s="285"/>
    </row>
    <row r="159" spans="3:5" x14ac:dyDescent="0.35">
      <c r="C159" s="285"/>
      <c r="D159" s="288"/>
      <c r="E159" s="285"/>
    </row>
    <row r="160" spans="3:5" x14ac:dyDescent="0.35">
      <c r="C160" s="285"/>
      <c r="D160" s="288"/>
      <c r="E160" s="285"/>
    </row>
    <row r="161" spans="3:5" x14ac:dyDescent="0.35">
      <c r="C161" s="285"/>
      <c r="D161" s="288"/>
      <c r="E161" s="285"/>
    </row>
    <row r="162" spans="3:5" x14ac:dyDescent="0.35">
      <c r="C162" s="285"/>
      <c r="D162" s="288"/>
      <c r="E162" s="285"/>
    </row>
    <row r="163" spans="3:5" x14ac:dyDescent="0.35">
      <c r="C163" s="285"/>
      <c r="D163" s="288"/>
      <c r="E163" s="285"/>
    </row>
    <row r="164" spans="3:5" x14ac:dyDescent="0.35">
      <c r="C164" s="285"/>
      <c r="D164" s="288"/>
      <c r="E164" s="285"/>
    </row>
    <row r="165" spans="3:5" x14ac:dyDescent="0.35">
      <c r="C165" s="285"/>
      <c r="D165" s="288"/>
      <c r="E165" s="285"/>
    </row>
    <row r="166" spans="3:5" x14ac:dyDescent="0.35">
      <c r="C166" s="285"/>
      <c r="D166" s="288"/>
      <c r="E166" s="285"/>
    </row>
    <row r="167" spans="3:5" x14ac:dyDescent="0.35">
      <c r="C167" s="285"/>
      <c r="D167" s="288"/>
      <c r="E167" s="285"/>
    </row>
    <row r="168" spans="3:5" x14ac:dyDescent="0.35">
      <c r="C168" s="285"/>
      <c r="D168" s="288"/>
      <c r="E168" s="285"/>
    </row>
    <row r="169" spans="3:5" x14ac:dyDescent="0.35">
      <c r="C169" s="285"/>
      <c r="D169" s="288"/>
      <c r="E169" s="285"/>
    </row>
    <row r="170" spans="3:5" x14ac:dyDescent="0.35">
      <c r="C170" s="285"/>
      <c r="D170" s="288"/>
      <c r="E170" s="285"/>
    </row>
    <row r="171" spans="3:5" x14ac:dyDescent="0.35">
      <c r="C171" s="285"/>
      <c r="D171" s="288"/>
      <c r="E171" s="285"/>
    </row>
    <row r="172" spans="3:5" x14ac:dyDescent="0.35">
      <c r="C172" s="285"/>
      <c r="D172" s="288"/>
      <c r="E172" s="285"/>
    </row>
    <row r="173" spans="3:5" x14ac:dyDescent="0.35">
      <c r="C173" s="285"/>
      <c r="D173" s="288"/>
      <c r="E173" s="285"/>
    </row>
    <row r="174" spans="3:5" x14ac:dyDescent="0.35">
      <c r="C174" s="285"/>
      <c r="D174" s="288"/>
      <c r="E174" s="285"/>
    </row>
    <row r="175" spans="3:5" x14ac:dyDescent="0.35">
      <c r="C175" s="285"/>
      <c r="D175" s="288"/>
      <c r="E175" s="285"/>
    </row>
    <row r="176" spans="3:5" x14ac:dyDescent="0.35">
      <c r="C176" s="285"/>
      <c r="D176" s="288"/>
      <c r="E176" s="285"/>
    </row>
    <row r="177" spans="3:5" x14ac:dyDescent="0.35">
      <c r="C177" s="285"/>
      <c r="D177" s="288"/>
      <c r="E177" s="285"/>
    </row>
    <row r="178" spans="3:5" x14ac:dyDescent="0.35">
      <c r="C178" s="285"/>
      <c r="D178" s="288"/>
      <c r="E178" s="285"/>
    </row>
    <row r="179" spans="3:5" x14ac:dyDescent="0.35">
      <c r="C179" s="285"/>
      <c r="D179" s="288"/>
      <c r="E179" s="285"/>
    </row>
    <row r="180" spans="3:5" x14ac:dyDescent="0.35">
      <c r="C180" s="285"/>
      <c r="D180" s="288"/>
      <c r="E180" s="285"/>
    </row>
    <row r="181" spans="3:5" x14ac:dyDescent="0.35">
      <c r="C181" s="285"/>
      <c r="D181" s="288"/>
      <c r="E181" s="285"/>
    </row>
    <row r="182" spans="3:5" x14ac:dyDescent="0.35">
      <c r="C182" s="285"/>
      <c r="D182" s="288"/>
      <c r="E182" s="285"/>
    </row>
    <row r="183" spans="3:5" x14ac:dyDescent="0.35">
      <c r="C183" s="285"/>
      <c r="D183" s="288"/>
      <c r="E183" s="285"/>
    </row>
    <row r="184" spans="3:5" x14ac:dyDescent="0.35">
      <c r="C184" s="285"/>
      <c r="D184" s="288"/>
      <c r="E184" s="285"/>
    </row>
    <row r="185" spans="3:5" x14ac:dyDescent="0.35">
      <c r="C185" s="285"/>
      <c r="D185" s="288"/>
      <c r="E185" s="285"/>
    </row>
    <row r="186" spans="3:5" x14ac:dyDescent="0.35">
      <c r="C186" s="285"/>
      <c r="D186" s="288"/>
      <c r="E186" s="285"/>
    </row>
    <row r="187" spans="3:5" x14ac:dyDescent="0.35">
      <c r="C187" s="285"/>
      <c r="D187" s="288"/>
      <c r="E187" s="285"/>
    </row>
    <row r="188" spans="3:5" x14ac:dyDescent="0.35">
      <c r="C188" s="285"/>
      <c r="D188" s="288"/>
      <c r="E188" s="285"/>
    </row>
    <row r="189" spans="3:5" x14ac:dyDescent="0.35">
      <c r="C189" s="285"/>
      <c r="D189" s="288"/>
      <c r="E189" s="285"/>
    </row>
    <row r="190" spans="3:5" x14ac:dyDescent="0.35">
      <c r="C190" s="285"/>
      <c r="D190" s="288"/>
      <c r="E190" s="285"/>
    </row>
    <row r="191" spans="3:5" x14ac:dyDescent="0.35">
      <c r="C191" s="285"/>
      <c r="D191" s="288"/>
      <c r="E191" s="285"/>
    </row>
    <row r="192" spans="3:5" x14ac:dyDescent="0.35">
      <c r="C192" s="285"/>
      <c r="D192" s="288"/>
      <c r="E192" s="285"/>
    </row>
    <row r="193" spans="3:5" x14ac:dyDescent="0.35">
      <c r="C193" s="285"/>
      <c r="D193" s="288"/>
      <c r="E193" s="285"/>
    </row>
    <row r="194" spans="3:5" x14ac:dyDescent="0.35">
      <c r="C194" s="285"/>
      <c r="D194" s="288"/>
      <c r="E194" s="285"/>
    </row>
    <row r="195" spans="3:5" x14ac:dyDescent="0.35">
      <c r="C195" s="285"/>
      <c r="D195" s="288"/>
      <c r="E195" s="285"/>
    </row>
    <row r="196" spans="3:5" x14ac:dyDescent="0.35">
      <c r="C196" s="285"/>
      <c r="D196" s="288"/>
      <c r="E196" s="285"/>
    </row>
    <row r="197" spans="3:5" x14ac:dyDescent="0.35">
      <c r="C197" s="285"/>
      <c r="D197" s="288"/>
      <c r="E197" s="285"/>
    </row>
    <row r="198" spans="3:5" x14ac:dyDescent="0.35">
      <c r="C198" s="285"/>
      <c r="D198" s="288"/>
      <c r="E198" s="285"/>
    </row>
    <row r="199" spans="3:5" x14ac:dyDescent="0.35">
      <c r="C199" s="285"/>
      <c r="D199" s="288"/>
      <c r="E199" s="285"/>
    </row>
    <row r="200" spans="3:5" x14ac:dyDescent="0.35">
      <c r="C200" s="285"/>
      <c r="D200" s="288"/>
      <c r="E200" s="285"/>
    </row>
    <row r="201" spans="3:5" x14ac:dyDescent="0.35">
      <c r="C201" s="285"/>
      <c r="D201" s="288"/>
      <c r="E201" s="285"/>
    </row>
    <row r="202" spans="3:5" x14ac:dyDescent="0.35">
      <c r="C202" s="285"/>
      <c r="D202" s="288"/>
      <c r="E202" s="285"/>
    </row>
    <row r="203" spans="3:5" x14ac:dyDescent="0.35">
      <c r="C203" s="285"/>
      <c r="D203" s="288"/>
      <c r="E203" s="285"/>
    </row>
    <row r="204" spans="3:5" x14ac:dyDescent="0.35">
      <c r="C204" s="285"/>
      <c r="D204" s="288"/>
      <c r="E204" s="285"/>
    </row>
    <row r="205" spans="3:5" x14ac:dyDescent="0.35">
      <c r="C205" s="285"/>
      <c r="D205" s="288"/>
      <c r="E205" s="285"/>
    </row>
    <row r="206" spans="3:5" x14ac:dyDescent="0.35">
      <c r="C206" s="285"/>
      <c r="D206" s="288"/>
      <c r="E206" s="285"/>
    </row>
    <row r="207" spans="3:5" x14ac:dyDescent="0.35">
      <c r="C207" s="285"/>
      <c r="D207" s="288"/>
      <c r="E207" s="285"/>
    </row>
    <row r="208" spans="3:5" x14ac:dyDescent="0.35">
      <c r="C208" s="285"/>
      <c r="D208" s="288"/>
      <c r="E208" s="285"/>
    </row>
    <row r="209" spans="3:5" x14ac:dyDescent="0.35">
      <c r="C209" s="285"/>
      <c r="D209" s="288"/>
      <c r="E209" s="285"/>
    </row>
    <row r="210" spans="3:5" x14ac:dyDescent="0.35">
      <c r="C210" s="285"/>
      <c r="D210" s="288"/>
      <c r="E210" s="285"/>
    </row>
    <row r="211" spans="3:5" x14ac:dyDescent="0.35">
      <c r="C211" s="285"/>
      <c r="D211" s="288"/>
      <c r="E211" s="285"/>
    </row>
    <row r="212" spans="3:5" x14ac:dyDescent="0.35">
      <c r="C212" s="285"/>
      <c r="D212" s="288"/>
      <c r="E212" s="285"/>
    </row>
    <row r="213" spans="3:5" x14ac:dyDescent="0.35">
      <c r="C213" s="285"/>
      <c r="D213" s="288"/>
      <c r="E213" s="285"/>
    </row>
    <row r="214" spans="3:5" x14ac:dyDescent="0.35">
      <c r="C214" s="285"/>
      <c r="D214" s="288"/>
      <c r="E214" s="285"/>
    </row>
    <row r="215" spans="3:5" x14ac:dyDescent="0.35">
      <c r="C215" s="285"/>
      <c r="D215" s="288"/>
      <c r="E215" s="285"/>
    </row>
    <row r="216" spans="3:5" x14ac:dyDescent="0.35">
      <c r="C216" s="285"/>
      <c r="D216" s="288"/>
      <c r="E216" s="285"/>
    </row>
    <row r="217" spans="3:5" x14ac:dyDescent="0.35">
      <c r="C217" s="285"/>
      <c r="D217" s="288"/>
      <c r="E217" s="285"/>
    </row>
    <row r="218" spans="3:5" x14ac:dyDescent="0.35">
      <c r="C218" s="285"/>
      <c r="D218" s="288"/>
      <c r="E218" s="285"/>
    </row>
    <row r="219" spans="3:5" x14ac:dyDescent="0.35">
      <c r="C219" s="285"/>
      <c r="D219" s="288"/>
      <c r="E219" s="285"/>
    </row>
    <row r="220" spans="3:5" x14ac:dyDescent="0.35">
      <c r="C220" s="285"/>
      <c r="D220" s="288"/>
      <c r="E220" s="285"/>
    </row>
    <row r="221" spans="3:5" x14ac:dyDescent="0.35">
      <c r="C221" s="285"/>
      <c r="D221" s="288"/>
      <c r="E221" s="285"/>
    </row>
    <row r="222" spans="3:5" x14ac:dyDescent="0.35">
      <c r="C222" s="285"/>
      <c r="D222" s="288"/>
      <c r="E222" s="285"/>
    </row>
    <row r="223" spans="3:5" x14ac:dyDescent="0.35">
      <c r="C223" s="285"/>
      <c r="D223" s="288"/>
      <c r="E223" s="285"/>
    </row>
    <row r="224" spans="3:5" x14ac:dyDescent="0.35">
      <c r="C224" s="285"/>
      <c r="D224" s="288"/>
      <c r="E224" s="285"/>
    </row>
    <row r="225" spans="3:5" x14ac:dyDescent="0.35">
      <c r="C225" s="285"/>
      <c r="D225" s="288"/>
      <c r="E225" s="285"/>
    </row>
    <row r="226" spans="3:5" x14ac:dyDescent="0.35">
      <c r="C226" s="285"/>
      <c r="D226" s="288"/>
      <c r="E226" s="285"/>
    </row>
    <row r="227" spans="3:5" x14ac:dyDescent="0.35">
      <c r="C227" s="285"/>
      <c r="D227" s="288"/>
      <c r="E227" s="285"/>
    </row>
    <row r="228" spans="3:5" x14ac:dyDescent="0.35">
      <c r="C228" s="285"/>
      <c r="D228" s="288"/>
      <c r="E228" s="285"/>
    </row>
    <row r="229" spans="3:5" x14ac:dyDescent="0.35">
      <c r="C229" s="285"/>
      <c r="D229" s="288"/>
      <c r="E229" s="285"/>
    </row>
    <row r="230" spans="3:5" x14ac:dyDescent="0.35">
      <c r="C230" s="285"/>
      <c r="D230" s="288"/>
      <c r="E230" s="285"/>
    </row>
    <row r="231" spans="3:5" x14ac:dyDescent="0.35">
      <c r="C231" s="285"/>
      <c r="D231" s="288"/>
      <c r="E231" s="285"/>
    </row>
    <row r="232" spans="3:5" x14ac:dyDescent="0.35">
      <c r="C232" s="285"/>
      <c r="D232" s="288"/>
      <c r="E232" s="285"/>
    </row>
    <row r="233" spans="3:5" x14ac:dyDescent="0.35">
      <c r="C233" s="285"/>
      <c r="D233" s="288"/>
      <c r="E233" s="285"/>
    </row>
    <row r="234" spans="3:5" x14ac:dyDescent="0.35">
      <c r="C234" s="285"/>
      <c r="D234" s="288"/>
      <c r="E234" s="285"/>
    </row>
    <row r="235" spans="3:5" x14ac:dyDescent="0.35">
      <c r="C235" s="285"/>
      <c r="D235" s="288"/>
      <c r="E235" s="285"/>
    </row>
    <row r="236" spans="3:5" x14ac:dyDescent="0.35">
      <c r="C236" s="285"/>
      <c r="D236" s="288"/>
      <c r="E236" s="285"/>
    </row>
    <row r="237" spans="3:5" x14ac:dyDescent="0.35">
      <c r="C237" s="285"/>
      <c r="D237" s="288"/>
      <c r="E237" s="285"/>
    </row>
    <row r="238" spans="3:5" x14ac:dyDescent="0.35">
      <c r="C238" s="285"/>
      <c r="D238" s="288"/>
      <c r="E238" s="285"/>
    </row>
    <row r="239" spans="3:5" x14ac:dyDescent="0.35">
      <c r="C239" s="285"/>
      <c r="D239" s="288"/>
      <c r="E239" s="285"/>
    </row>
    <row r="240" spans="3:5" x14ac:dyDescent="0.35">
      <c r="C240" s="285"/>
      <c r="D240" s="288"/>
      <c r="E240" s="285"/>
    </row>
    <row r="241" spans="3:5" x14ac:dyDescent="0.35">
      <c r="C241" s="285"/>
      <c r="D241" s="288"/>
      <c r="E241" s="285"/>
    </row>
    <row r="242" spans="3:5" x14ac:dyDescent="0.35">
      <c r="C242" s="285"/>
      <c r="D242" s="288"/>
      <c r="E242" s="285"/>
    </row>
    <row r="243" spans="3:5" x14ac:dyDescent="0.35">
      <c r="C243" s="285"/>
      <c r="D243" s="288"/>
      <c r="E243" s="285"/>
    </row>
    <row r="244" spans="3:5" x14ac:dyDescent="0.35">
      <c r="C244" s="285"/>
      <c r="D244" s="288"/>
      <c r="E244" s="285"/>
    </row>
    <row r="245" spans="3:5" x14ac:dyDescent="0.35">
      <c r="C245" s="285"/>
      <c r="D245" s="288"/>
      <c r="E245" s="285"/>
    </row>
    <row r="246" spans="3:5" x14ac:dyDescent="0.35">
      <c r="C246" s="285"/>
      <c r="D246" s="288"/>
      <c r="E246" s="285"/>
    </row>
    <row r="247" spans="3:5" x14ac:dyDescent="0.35">
      <c r="C247" s="285"/>
      <c r="D247" s="288"/>
      <c r="E247" s="285"/>
    </row>
    <row r="248" spans="3:5" x14ac:dyDescent="0.35">
      <c r="C248" s="285"/>
      <c r="D248" s="288"/>
      <c r="E248" s="285"/>
    </row>
    <row r="249" spans="3:5" x14ac:dyDescent="0.35">
      <c r="C249" s="285"/>
      <c r="D249" s="288"/>
      <c r="E249" s="285"/>
    </row>
    <row r="250" spans="3:5" x14ac:dyDescent="0.35">
      <c r="C250" s="285"/>
      <c r="D250" s="288"/>
      <c r="E250" s="285"/>
    </row>
    <row r="251" spans="3:5" x14ac:dyDescent="0.35">
      <c r="C251" s="285"/>
      <c r="D251" s="288"/>
      <c r="E251" s="285"/>
    </row>
    <row r="252" spans="3:5" x14ac:dyDescent="0.35">
      <c r="C252" s="285"/>
      <c r="D252" s="288"/>
      <c r="E252" s="285"/>
    </row>
    <row r="253" spans="3:5" x14ac:dyDescent="0.35">
      <c r="C253" s="285"/>
      <c r="D253" s="288"/>
      <c r="E253" s="285"/>
    </row>
    <row r="254" spans="3:5" x14ac:dyDescent="0.35">
      <c r="C254" s="285"/>
      <c r="D254" s="288"/>
      <c r="E254" s="285"/>
    </row>
    <row r="255" spans="3:5" x14ac:dyDescent="0.35">
      <c r="C255" s="285"/>
      <c r="D255" s="288"/>
      <c r="E255" s="285"/>
    </row>
    <row r="256" spans="3:5" x14ac:dyDescent="0.35">
      <c r="C256" s="285"/>
      <c r="D256" s="288"/>
      <c r="E256" s="285"/>
    </row>
    <row r="257" spans="3:5" x14ac:dyDescent="0.35">
      <c r="C257" s="285"/>
      <c r="D257" s="288"/>
      <c r="E257" s="285"/>
    </row>
    <row r="258" spans="3:5" x14ac:dyDescent="0.35">
      <c r="C258" s="285"/>
      <c r="D258" s="288"/>
      <c r="E258" s="285"/>
    </row>
    <row r="259" spans="3:5" x14ac:dyDescent="0.35">
      <c r="C259" s="285"/>
      <c r="D259" s="288"/>
      <c r="E259" s="285"/>
    </row>
    <row r="260" spans="3:5" x14ac:dyDescent="0.35">
      <c r="C260" s="285"/>
      <c r="D260" s="288"/>
      <c r="E260" s="285"/>
    </row>
    <row r="261" spans="3:5" x14ac:dyDescent="0.35">
      <c r="C261" s="285"/>
      <c r="D261" s="288"/>
      <c r="E261" s="285"/>
    </row>
    <row r="262" spans="3:5" x14ac:dyDescent="0.35">
      <c r="C262" s="285"/>
      <c r="D262" s="288"/>
      <c r="E262" s="285"/>
    </row>
    <row r="263" spans="3:5" x14ac:dyDescent="0.35">
      <c r="C263" s="285"/>
      <c r="D263" s="288"/>
      <c r="E263" s="285"/>
    </row>
    <row r="264" spans="3:5" x14ac:dyDescent="0.35">
      <c r="C264" s="285"/>
      <c r="D264" s="288"/>
      <c r="E264" s="285"/>
    </row>
    <row r="265" spans="3:5" x14ac:dyDescent="0.35">
      <c r="C265" s="285"/>
      <c r="D265" s="288"/>
      <c r="E265" s="285"/>
    </row>
    <row r="266" spans="3:5" x14ac:dyDescent="0.35">
      <c r="C266" s="285"/>
      <c r="D266" s="288"/>
      <c r="E266" s="285"/>
    </row>
    <row r="267" spans="3:5" x14ac:dyDescent="0.35">
      <c r="C267" s="285"/>
      <c r="D267" s="288"/>
      <c r="E267" s="285"/>
    </row>
    <row r="268" spans="3:5" x14ac:dyDescent="0.35">
      <c r="C268" s="285"/>
      <c r="D268" s="288"/>
      <c r="E268" s="285"/>
    </row>
    <row r="269" spans="3:5" x14ac:dyDescent="0.35">
      <c r="C269" s="285"/>
      <c r="D269" s="288"/>
      <c r="E269" s="285"/>
    </row>
    <row r="270" spans="3:5" x14ac:dyDescent="0.35">
      <c r="C270" s="285"/>
      <c r="D270" s="288"/>
      <c r="E270" s="285"/>
    </row>
    <row r="271" spans="3:5" x14ac:dyDescent="0.35">
      <c r="C271" s="285"/>
      <c r="D271" s="288"/>
      <c r="E271" s="285"/>
    </row>
    <row r="272" spans="3:5" x14ac:dyDescent="0.35">
      <c r="C272" s="285"/>
      <c r="D272" s="288"/>
      <c r="E272" s="285"/>
    </row>
    <row r="273" spans="3:5" x14ac:dyDescent="0.35">
      <c r="C273" s="285"/>
      <c r="D273" s="288"/>
      <c r="E273" s="285"/>
    </row>
    <row r="274" spans="3:5" x14ac:dyDescent="0.35">
      <c r="C274" s="285"/>
      <c r="D274" s="288"/>
      <c r="E274" s="285"/>
    </row>
    <row r="275" spans="3:5" x14ac:dyDescent="0.35">
      <c r="C275" s="285"/>
      <c r="D275" s="288"/>
      <c r="E275" s="285"/>
    </row>
    <row r="276" spans="3:5" x14ac:dyDescent="0.35">
      <c r="C276" s="285"/>
      <c r="D276" s="288"/>
      <c r="E276" s="285"/>
    </row>
    <row r="277" spans="3:5" x14ac:dyDescent="0.35">
      <c r="C277" s="285"/>
      <c r="D277" s="288"/>
      <c r="E277" s="285"/>
    </row>
    <row r="278" spans="3:5" x14ac:dyDescent="0.35">
      <c r="C278" s="285"/>
      <c r="D278" s="288"/>
      <c r="E278" s="285"/>
    </row>
    <row r="279" spans="3:5" x14ac:dyDescent="0.35">
      <c r="C279" s="285"/>
      <c r="D279" s="288"/>
      <c r="E279" s="285"/>
    </row>
    <row r="280" spans="3:5" x14ac:dyDescent="0.35">
      <c r="C280" s="285"/>
      <c r="D280" s="288"/>
      <c r="E280" s="285"/>
    </row>
    <row r="281" spans="3:5" x14ac:dyDescent="0.35">
      <c r="C281" s="285"/>
      <c r="D281" s="288"/>
      <c r="E281" s="285"/>
    </row>
    <row r="282" spans="3:5" x14ac:dyDescent="0.35">
      <c r="C282" s="285"/>
      <c r="D282" s="288"/>
      <c r="E282" s="285"/>
    </row>
    <row r="283" spans="3:5" x14ac:dyDescent="0.35">
      <c r="C283" s="285"/>
      <c r="D283" s="288"/>
      <c r="E283" s="285"/>
    </row>
    <row r="284" spans="3:5" x14ac:dyDescent="0.35">
      <c r="C284" s="285"/>
      <c r="D284" s="288"/>
      <c r="E284" s="285"/>
    </row>
    <row r="285" spans="3:5" x14ac:dyDescent="0.35">
      <c r="C285" s="285"/>
      <c r="D285" s="288"/>
      <c r="E285" s="285"/>
    </row>
    <row r="286" spans="3:5" x14ac:dyDescent="0.35">
      <c r="C286" s="285"/>
      <c r="D286" s="288"/>
      <c r="E286" s="285"/>
    </row>
    <row r="287" spans="3:5" x14ac:dyDescent="0.35">
      <c r="C287" s="285"/>
      <c r="D287" s="288"/>
      <c r="E287" s="285"/>
    </row>
    <row r="288" spans="3:5" x14ac:dyDescent="0.35">
      <c r="C288" s="285"/>
      <c r="D288" s="288"/>
      <c r="E288" s="285"/>
    </row>
    <row r="289" spans="3:5" x14ac:dyDescent="0.35">
      <c r="C289" s="285"/>
      <c r="D289" s="288"/>
      <c r="E289" s="285"/>
    </row>
    <row r="290" spans="3:5" x14ac:dyDescent="0.35">
      <c r="C290" s="285"/>
      <c r="D290" s="288"/>
      <c r="E290" s="285"/>
    </row>
    <row r="291" spans="3:5" x14ac:dyDescent="0.35">
      <c r="C291" s="285"/>
      <c r="D291" s="288"/>
      <c r="E291" s="285"/>
    </row>
    <row r="292" spans="3:5" x14ac:dyDescent="0.35">
      <c r="C292" s="285"/>
      <c r="D292" s="288"/>
      <c r="E292" s="285"/>
    </row>
    <row r="293" spans="3:5" x14ac:dyDescent="0.35">
      <c r="C293" s="285"/>
      <c r="D293" s="288"/>
      <c r="E293" s="285"/>
    </row>
    <row r="294" spans="3:5" x14ac:dyDescent="0.35">
      <c r="C294" s="285"/>
      <c r="D294" s="288"/>
      <c r="E294" s="285"/>
    </row>
    <row r="295" spans="3:5" x14ac:dyDescent="0.35">
      <c r="C295" s="285"/>
      <c r="D295" s="288"/>
      <c r="E295" s="285"/>
    </row>
    <row r="296" spans="3:5" x14ac:dyDescent="0.35">
      <c r="C296" s="285"/>
      <c r="D296" s="288"/>
      <c r="E296" s="285"/>
    </row>
    <row r="297" spans="3:5" x14ac:dyDescent="0.35">
      <c r="C297" s="285"/>
      <c r="D297" s="288"/>
      <c r="E297" s="285"/>
    </row>
    <row r="298" spans="3:5" x14ac:dyDescent="0.35">
      <c r="C298" s="285"/>
      <c r="D298" s="288"/>
      <c r="E298" s="285"/>
    </row>
    <row r="299" spans="3:5" x14ac:dyDescent="0.35">
      <c r="C299" s="285"/>
      <c r="D299" s="288"/>
      <c r="E299" s="285"/>
    </row>
    <row r="300" spans="3:5" x14ac:dyDescent="0.35">
      <c r="C300" s="285"/>
      <c r="D300" s="288"/>
      <c r="E300" s="285"/>
    </row>
    <row r="301" spans="3:5" x14ac:dyDescent="0.35">
      <c r="C301" s="285"/>
      <c r="D301" s="288"/>
      <c r="E301" s="285"/>
    </row>
    <row r="302" spans="3:5" x14ac:dyDescent="0.35">
      <c r="C302" s="285"/>
      <c r="D302" s="288"/>
      <c r="E302" s="285"/>
    </row>
    <row r="303" spans="3:5" x14ac:dyDescent="0.35">
      <c r="C303" s="285"/>
      <c r="D303" s="288"/>
      <c r="E303" s="285"/>
    </row>
    <row r="304" spans="3:5" x14ac:dyDescent="0.35">
      <c r="C304" s="285"/>
      <c r="D304" s="288"/>
      <c r="E304" s="285"/>
    </row>
    <row r="305" spans="3:5" x14ac:dyDescent="0.35">
      <c r="C305" s="285"/>
      <c r="D305" s="288"/>
      <c r="E305" s="285"/>
    </row>
    <row r="306" spans="3:5" x14ac:dyDescent="0.35">
      <c r="C306" s="285"/>
      <c r="D306" s="288"/>
      <c r="E306" s="285"/>
    </row>
    <row r="307" spans="3:5" x14ac:dyDescent="0.35">
      <c r="C307" s="285"/>
      <c r="D307" s="288"/>
      <c r="E307" s="285"/>
    </row>
    <row r="308" spans="3:5" x14ac:dyDescent="0.35">
      <c r="C308" s="285"/>
      <c r="D308" s="288"/>
      <c r="E308" s="285"/>
    </row>
    <row r="309" spans="3:5" x14ac:dyDescent="0.35">
      <c r="C309" s="285"/>
      <c r="D309" s="288"/>
      <c r="E309" s="285"/>
    </row>
    <row r="310" spans="3:5" x14ac:dyDescent="0.35">
      <c r="C310" s="285"/>
      <c r="D310" s="288"/>
      <c r="E310" s="285"/>
    </row>
    <row r="311" spans="3:5" x14ac:dyDescent="0.35">
      <c r="C311" s="285"/>
      <c r="D311" s="288"/>
      <c r="E311" s="285"/>
    </row>
    <row r="312" spans="3:5" x14ac:dyDescent="0.35">
      <c r="C312" s="285"/>
      <c r="D312" s="288"/>
      <c r="E312" s="285"/>
    </row>
    <row r="313" spans="3:5" x14ac:dyDescent="0.35">
      <c r="C313" s="285"/>
      <c r="D313" s="288"/>
      <c r="E313" s="285"/>
    </row>
    <row r="314" spans="3:5" x14ac:dyDescent="0.35">
      <c r="C314" s="285"/>
      <c r="D314" s="288"/>
      <c r="E314" s="285"/>
    </row>
    <row r="315" spans="3:5" x14ac:dyDescent="0.35">
      <c r="C315" s="285"/>
      <c r="D315" s="288"/>
      <c r="E315" s="285"/>
    </row>
    <row r="316" spans="3:5" x14ac:dyDescent="0.35">
      <c r="C316" s="285"/>
      <c r="D316" s="288"/>
      <c r="E316" s="285"/>
    </row>
    <row r="317" spans="3:5" x14ac:dyDescent="0.35">
      <c r="C317" s="285"/>
      <c r="D317" s="288"/>
      <c r="E317" s="285"/>
    </row>
    <row r="318" spans="3:5" x14ac:dyDescent="0.35">
      <c r="C318" s="285"/>
      <c r="D318" s="288"/>
      <c r="E318" s="285"/>
    </row>
    <row r="319" spans="3:5" x14ac:dyDescent="0.35">
      <c r="C319" s="285"/>
      <c r="D319" s="288"/>
      <c r="E319" s="285"/>
    </row>
    <row r="320" spans="3:5" x14ac:dyDescent="0.35">
      <c r="C320" s="285"/>
      <c r="D320" s="288"/>
      <c r="E320" s="285"/>
    </row>
    <row r="321" spans="3:5" x14ac:dyDescent="0.35">
      <c r="C321" s="285"/>
      <c r="D321" s="288"/>
      <c r="E321" s="285"/>
    </row>
    <row r="322" spans="3:5" x14ac:dyDescent="0.35">
      <c r="C322" s="285"/>
      <c r="D322" s="288"/>
      <c r="E322" s="285"/>
    </row>
    <row r="323" spans="3:5" x14ac:dyDescent="0.35">
      <c r="C323" s="285"/>
      <c r="D323" s="288"/>
      <c r="E323" s="285"/>
    </row>
    <row r="324" spans="3:5" x14ac:dyDescent="0.35">
      <c r="C324" s="285"/>
      <c r="D324" s="288"/>
      <c r="E324" s="285"/>
    </row>
    <row r="325" spans="3:5" x14ac:dyDescent="0.35">
      <c r="C325" s="285"/>
      <c r="D325" s="288"/>
      <c r="E325" s="285"/>
    </row>
    <row r="326" spans="3:5" x14ac:dyDescent="0.35">
      <c r="C326" s="285"/>
      <c r="D326" s="288"/>
      <c r="E326" s="285"/>
    </row>
    <row r="327" spans="3:5" x14ac:dyDescent="0.35">
      <c r="C327" s="285"/>
      <c r="D327" s="288"/>
      <c r="E327" s="285"/>
    </row>
    <row r="328" spans="3:5" x14ac:dyDescent="0.35">
      <c r="C328" s="285"/>
      <c r="D328" s="288"/>
      <c r="E328" s="285"/>
    </row>
    <row r="329" spans="3:5" x14ac:dyDescent="0.35">
      <c r="C329" s="285"/>
      <c r="D329" s="288"/>
      <c r="E329" s="285"/>
    </row>
    <row r="330" spans="3:5" x14ac:dyDescent="0.35">
      <c r="C330" s="285"/>
      <c r="D330" s="288"/>
      <c r="E330" s="285"/>
    </row>
    <row r="331" spans="3:5" x14ac:dyDescent="0.35">
      <c r="C331" s="285"/>
      <c r="D331" s="288"/>
      <c r="E331" s="285"/>
    </row>
    <row r="332" spans="3:5" x14ac:dyDescent="0.35">
      <c r="C332" s="285"/>
      <c r="D332" s="288"/>
      <c r="E332" s="285"/>
    </row>
    <row r="333" spans="3:5" x14ac:dyDescent="0.35">
      <c r="C333" s="285"/>
      <c r="D333" s="288"/>
      <c r="E333" s="285"/>
    </row>
    <row r="334" spans="3:5" x14ac:dyDescent="0.35">
      <c r="C334" s="285"/>
      <c r="D334" s="288"/>
      <c r="E334" s="285"/>
    </row>
    <row r="335" spans="3:5" x14ac:dyDescent="0.35">
      <c r="C335" s="285"/>
      <c r="D335" s="288"/>
      <c r="E335" s="285"/>
    </row>
    <row r="336" spans="3:5" x14ac:dyDescent="0.35">
      <c r="C336" s="285"/>
      <c r="D336" s="288"/>
      <c r="E336" s="285"/>
    </row>
    <row r="337" spans="3:5" x14ac:dyDescent="0.35">
      <c r="C337" s="285"/>
      <c r="D337" s="288"/>
      <c r="E337" s="285"/>
    </row>
    <row r="338" spans="3:5" x14ac:dyDescent="0.35">
      <c r="C338" s="285"/>
      <c r="D338" s="288"/>
      <c r="E338" s="285"/>
    </row>
    <row r="339" spans="3:5" x14ac:dyDescent="0.35">
      <c r="C339" s="285"/>
      <c r="D339" s="288"/>
      <c r="E339" s="285"/>
    </row>
    <row r="340" spans="3:5" x14ac:dyDescent="0.35">
      <c r="C340" s="285"/>
      <c r="D340" s="288"/>
      <c r="E340" s="285"/>
    </row>
    <row r="341" spans="3:5" x14ac:dyDescent="0.35">
      <c r="C341" s="285"/>
      <c r="D341" s="288"/>
      <c r="E341" s="285"/>
    </row>
    <row r="342" spans="3:5" x14ac:dyDescent="0.35">
      <c r="C342" s="285"/>
      <c r="D342" s="288"/>
      <c r="E342" s="285"/>
    </row>
    <row r="343" spans="3:5" x14ac:dyDescent="0.35">
      <c r="C343" s="285"/>
      <c r="D343" s="288"/>
      <c r="E343" s="285"/>
    </row>
    <row r="344" spans="3:5" x14ac:dyDescent="0.35">
      <c r="C344" s="285"/>
      <c r="D344" s="288"/>
      <c r="E344" s="285"/>
    </row>
    <row r="345" spans="3:5" x14ac:dyDescent="0.35">
      <c r="C345" s="285"/>
      <c r="D345" s="288"/>
      <c r="E345" s="285"/>
    </row>
    <row r="346" spans="3:5" x14ac:dyDescent="0.35">
      <c r="C346" s="285"/>
      <c r="D346" s="288"/>
      <c r="E346" s="285"/>
    </row>
    <row r="347" spans="3:5" x14ac:dyDescent="0.35">
      <c r="C347" s="285"/>
      <c r="D347" s="288"/>
      <c r="E347" s="285"/>
    </row>
    <row r="348" spans="3:5" x14ac:dyDescent="0.35">
      <c r="C348" s="285"/>
      <c r="D348" s="288"/>
      <c r="E348" s="285"/>
    </row>
    <row r="349" spans="3:5" x14ac:dyDescent="0.35">
      <c r="C349" s="285"/>
      <c r="D349" s="288"/>
      <c r="E349" s="285"/>
    </row>
    <row r="350" spans="3:5" x14ac:dyDescent="0.35">
      <c r="C350" s="285"/>
      <c r="D350" s="288"/>
      <c r="E350" s="285"/>
    </row>
    <row r="351" spans="3:5" x14ac:dyDescent="0.35">
      <c r="C351" s="285"/>
      <c r="D351" s="288"/>
      <c r="E351" s="285"/>
    </row>
    <row r="352" spans="3:5" x14ac:dyDescent="0.35">
      <c r="C352" s="285"/>
      <c r="D352" s="288"/>
      <c r="E352" s="285"/>
    </row>
    <row r="353" spans="3:5" x14ac:dyDescent="0.35">
      <c r="C353" s="285"/>
      <c r="D353" s="288"/>
      <c r="E353" s="285"/>
    </row>
    <row r="354" spans="3:5" x14ac:dyDescent="0.35">
      <c r="C354" s="285"/>
      <c r="D354" s="288"/>
      <c r="E354" s="285"/>
    </row>
    <row r="355" spans="3:5" x14ac:dyDescent="0.35">
      <c r="C355" s="285"/>
      <c r="D355" s="288"/>
      <c r="E355" s="285"/>
    </row>
    <row r="356" spans="3:5" x14ac:dyDescent="0.35">
      <c r="C356" s="285"/>
      <c r="D356" s="288"/>
      <c r="E356" s="285"/>
    </row>
    <row r="357" spans="3:5" x14ac:dyDescent="0.35">
      <c r="C357" s="285"/>
      <c r="D357" s="288"/>
      <c r="E357" s="285"/>
    </row>
    <row r="358" spans="3:5" x14ac:dyDescent="0.35">
      <c r="C358" s="285"/>
      <c r="D358" s="288"/>
      <c r="E358" s="285"/>
    </row>
    <row r="359" spans="3:5" x14ac:dyDescent="0.35">
      <c r="C359" s="285"/>
      <c r="D359" s="288"/>
      <c r="E359" s="285"/>
    </row>
    <row r="360" spans="3:5" x14ac:dyDescent="0.35">
      <c r="C360" s="285"/>
      <c r="D360" s="288"/>
      <c r="E360" s="285"/>
    </row>
    <row r="361" spans="3:5" x14ac:dyDescent="0.35">
      <c r="C361" s="285"/>
      <c r="D361" s="288"/>
      <c r="E361" s="285"/>
    </row>
    <row r="362" spans="3:5" x14ac:dyDescent="0.35">
      <c r="C362" s="285"/>
      <c r="D362" s="288"/>
      <c r="E362" s="285"/>
    </row>
    <row r="363" spans="3:5" x14ac:dyDescent="0.35">
      <c r="C363" s="285"/>
      <c r="D363" s="288"/>
      <c r="E363" s="285"/>
    </row>
    <row r="364" spans="3:5" x14ac:dyDescent="0.35">
      <c r="C364" s="285"/>
      <c r="D364" s="288"/>
      <c r="E364" s="285"/>
    </row>
    <row r="365" spans="3:5" x14ac:dyDescent="0.35">
      <c r="C365" s="285"/>
      <c r="D365" s="288"/>
      <c r="E365" s="285"/>
    </row>
    <row r="366" spans="3:5" x14ac:dyDescent="0.35">
      <c r="C366" s="285"/>
      <c r="D366" s="288"/>
      <c r="E366" s="285"/>
    </row>
    <row r="367" spans="3:5" x14ac:dyDescent="0.35">
      <c r="C367" s="285"/>
      <c r="D367" s="288"/>
      <c r="E367" s="285"/>
    </row>
    <row r="368" spans="3:5" x14ac:dyDescent="0.35">
      <c r="C368" s="285"/>
      <c r="D368" s="288"/>
      <c r="E368" s="285"/>
    </row>
    <row r="369" spans="3:5" x14ac:dyDescent="0.35">
      <c r="C369" s="285"/>
      <c r="D369" s="288"/>
      <c r="E369" s="285"/>
    </row>
    <row r="370" spans="3:5" x14ac:dyDescent="0.35">
      <c r="C370" s="285"/>
      <c r="D370" s="288"/>
      <c r="E370" s="285"/>
    </row>
    <row r="371" spans="3:5" x14ac:dyDescent="0.35">
      <c r="C371" s="285"/>
      <c r="D371" s="288"/>
      <c r="E371" s="285"/>
    </row>
    <row r="372" spans="3:5" x14ac:dyDescent="0.35">
      <c r="C372" s="285"/>
      <c r="D372" s="288"/>
      <c r="E372" s="285"/>
    </row>
    <row r="373" spans="3:5" x14ac:dyDescent="0.35">
      <c r="C373" s="285"/>
      <c r="D373" s="288"/>
      <c r="E373" s="285"/>
    </row>
    <row r="374" spans="3:5" x14ac:dyDescent="0.35">
      <c r="C374" s="285"/>
      <c r="D374" s="288"/>
      <c r="E374" s="285"/>
    </row>
    <row r="375" spans="3:5" x14ac:dyDescent="0.35">
      <c r="C375" s="285"/>
      <c r="D375" s="288"/>
      <c r="E375" s="285"/>
    </row>
    <row r="376" spans="3:5" x14ac:dyDescent="0.35">
      <c r="C376" s="285"/>
      <c r="D376" s="288"/>
      <c r="E376" s="285"/>
    </row>
    <row r="377" spans="3:5" x14ac:dyDescent="0.35">
      <c r="C377" s="285"/>
      <c r="D377" s="288"/>
      <c r="E377" s="285"/>
    </row>
    <row r="378" spans="3:5" x14ac:dyDescent="0.35">
      <c r="C378" s="285"/>
      <c r="D378" s="288"/>
      <c r="E378" s="285"/>
    </row>
    <row r="379" spans="3:5" x14ac:dyDescent="0.35">
      <c r="C379" s="285"/>
      <c r="D379" s="288"/>
      <c r="E379" s="285"/>
    </row>
    <row r="380" spans="3:5" x14ac:dyDescent="0.35">
      <c r="C380" s="285"/>
      <c r="D380" s="288"/>
      <c r="E380" s="285"/>
    </row>
    <row r="381" spans="3:5" x14ac:dyDescent="0.35">
      <c r="C381" s="285"/>
      <c r="D381" s="288"/>
      <c r="E381" s="285"/>
    </row>
    <row r="382" spans="3:5" x14ac:dyDescent="0.35">
      <c r="C382" s="285"/>
      <c r="D382" s="288"/>
      <c r="E382" s="285"/>
    </row>
    <row r="383" spans="3:5" x14ac:dyDescent="0.35">
      <c r="C383" s="285"/>
      <c r="D383" s="288"/>
      <c r="E383" s="285"/>
    </row>
    <row r="384" spans="3:5" x14ac:dyDescent="0.35">
      <c r="C384" s="285"/>
      <c r="D384" s="288"/>
      <c r="E384" s="285"/>
    </row>
    <row r="385" spans="3:5" x14ac:dyDescent="0.35">
      <c r="C385" s="285"/>
      <c r="D385" s="288"/>
      <c r="E385" s="285"/>
    </row>
    <row r="386" spans="3:5" x14ac:dyDescent="0.35">
      <c r="C386" s="285"/>
      <c r="D386" s="288"/>
      <c r="E386" s="285"/>
    </row>
    <row r="387" spans="3:5" x14ac:dyDescent="0.35">
      <c r="C387" s="285"/>
      <c r="D387" s="288"/>
      <c r="E387" s="285"/>
    </row>
    <row r="388" spans="3:5" x14ac:dyDescent="0.35">
      <c r="C388" s="285"/>
      <c r="D388" s="288"/>
      <c r="E388" s="285"/>
    </row>
    <row r="389" spans="3:5" x14ac:dyDescent="0.35">
      <c r="C389" s="285"/>
      <c r="D389" s="288"/>
      <c r="E389" s="285"/>
    </row>
    <row r="390" spans="3:5" x14ac:dyDescent="0.35">
      <c r="C390" s="285"/>
      <c r="D390" s="288"/>
      <c r="E390" s="285"/>
    </row>
    <row r="391" spans="3:5" x14ac:dyDescent="0.35">
      <c r="C391" s="285"/>
      <c r="D391" s="288"/>
      <c r="E391" s="285"/>
    </row>
    <row r="392" spans="3:5" x14ac:dyDescent="0.35">
      <c r="C392" s="285"/>
      <c r="D392" s="288"/>
      <c r="E392" s="285"/>
    </row>
    <row r="393" spans="3:5" x14ac:dyDescent="0.35">
      <c r="C393" s="285"/>
      <c r="D393" s="288"/>
      <c r="E393" s="285"/>
    </row>
    <row r="394" spans="3:5" x14ac:dyDescent="0.35">
      <c r="C394" s="285"/>
      <c r="D394" s="288"/>
      <c r="E394" s="285"/>
    </row>
    <row r="395" spans="3:5" x14ac:dyDescent="0.35">
      <c r="C395" s="285"/>
      <c r="D395" s="288"/>
      <c r="E395" s="285"/>
    </row>
    <row r="396" spans="3:5" x14ac:dyDescent="0.35">
      <c r="C396" s="285"/>
      <c r="D396" s="288"/>
      <c r="E396" s="285"/>
    </row>
    <row r="397" spans="3:5" x14ac:dyDescent="0.35">
      <c r="C397" s="285"/>
      <c r="D397" s="288"/>
      <c r="E397" s="285"/>
    </row>
    <row r="398" spans="3:5" x14ac:dyDescent="0.35">
      <c r="C398" s="285"/>
      <c r="D398" s="288"/>
      <c r="E398" s="285"/>
    </row>
    <row r="399" spans="3:5" x14ac:dyDescent="0.35">
      <c r="C399" s="285"/>
      <c r="D399" s="288"/>
      <c r="E399" s="285"/>
    </row>
    <row r="400" spans="3:5" x14ac:dyDescent="0.35">
      <c r="C400" s="285"/>
      <c r="D400" s="288"/>
      <c r="E400" s="285"/>
    </row>
    <row r="401" spans="3:5" x14ac:dyDescent="0.35">
      <c r="C401" s="285"/>
      <c r="D401" s="288"/>
      <c r="E401" s="285"/>
    </row>
    <row r="402" spans="3:5" x14ac:dyDescent="0.35">
      <c r="C402" s="285"/>
      <c r="D402" s="288"/>
      <c r="E402" s="285"/>
    </row>
    <row r="403" spans="3:5" x14ac:dyDescent="0.35">
      <c r="C403" s="285"/>
      <c r="D403" s="288"/>
      <c r="E403" s="285"/>
    </row>
    <row r="404" spans="3:5" x14ac:dyDescent="0.35">
      <c r="C404" s="285"/>
      <c r="D404" s="288"/>
      <c r="E404" s="285"/>
    </row>
    <row r="405" spans="3:5" x14ac:dyDescent="0.35">
      <c r="C405" s="285"/>
      <c r="D405" s="288"/>
      <c r="E405" s="285"/>
    </row>
    <row r="406" spans="3:5" x14ac:dyDescent="0.35">
      <c r="C406" s="285"/>
      <c r="D406" s="288"/>
      <c r="E406" s="285"/>
    </row>
    <row r="407" spans="3:5" x14ac:dyDescent="0.35">
      <c r="C407" s="285"/>
      <c r="D407" s="288"/>
      <c r="E407" s="285"/>
    </row>
    <row r="408" spans="3:5" x14ac:dyDescent="0.35">
      <c r="C408" s="285"/>
      <c r="D408" s="288"/>
      <c r="E408" s="285"/>
    </row>
    <row r="409" spans="3:5" x14ac:dyDescent="0.35">
      <c r="C409" s="285"/>
      <c r="D409" s="288"/>
      <c r="E409" s="285"/>
    </row>
    <row r="410" spans="3:5" x14ac:dyDescent="0.35">
      <c r="C410" s="285"/>
      <c r="D410" s="288"/>
      <c r="E410" s="285"/>
    </row>
    <row r="411" spans="3:5" x14ac:dyDescent="0.35">
      <c r="C411" s="285"/>
      <c r="D411" s="288"/>
      <c r="E411" s="285"/>
    </row>
    <row r="412" spans="3:5" x14ac:dyDescent="0.35">
      <c r="C412" s="285"/>
      <c r="D412" s="288"/>
      <c r="E412" s="285"/>
    </row>
    <row r="413" spans="3:5" x14ac:dyDescent="0.35">
      <c r="C413" s="285"/>
      <c r="D413" s="288"/>
      <c r="E413" s="285"/>
    </row>
    <row r="414" spans="3:5" x14ac:dyDescent="0.35">
      <c r="C414" s="285"/>
      <c r="D414" s="288"/>
      <c r="E414" s="285"/>
    </row>
    <row r="415" spans="3:5" x14ac:dyDescent="0.35">
      <c r="C415" s="285"/>
      <c r="D415" s="288"/>
      <c r="E415" s="285"/>
    </row>
    <row r="416" spans="3:5" x14ac:dyDescent="0.35">
      <c r="C416" s="285"/>
      <c r="D416" s="288"/>
      <c r="E416" s="285"/>
    </row>
    <row r="417" spans="3:5" x14ac:dyDescent="0.35">
      <c r="C417" s="285"/>
      <c r="D417" s="288"/>
      <c r="E417" s="285"/>
    </row>
    <row r="418" spans="3:5" x14ac:dyDescent="0.35">
      <c r="C418" s="285"/>
      <c r="D418" s="288"/>
      <c r="E418" s="285"/>
    </row>
    <row r="419" spans="3:5" x14ac:dyDescent="0.35">
      <c r="C419" s="285"/>
      <c r="D419" s="288"/>
      <c r="E419" s="285"/>
    </row>
    <row r="420" spans="3:5" x14ac:dyDescent="0.35">
      <c r="C420" s="285"/>
      <c r="D420" s="288"/>
      <c r="E420" s="285"/>
    </row>
    <row r="421" spans="3:5" x14ac:dyDescent="0.35">
      <c r="C421" s="285"/>
      <c r="D421" s="288"/>
      <c r="E421" s="285"/>
    </row>
    <row r="422" spans="3:5" x14ac:dyDescent="0.35">
      <c r="C422" s="285"/>
      <c r="D422" s="288"/>
      <c r="E422" s="285"/>
    </row>
    <row r="423" spans="3:5" x14ac:dyDescent="0.35">
      <c r="C423" s="285"/>
      <c r="D423" s="288"/>
      <c r="E423" s="285"/>
    </row>
    <row r="424" spans="3:5" x14ac:dyDescent="0.35">
      <c r="C424" s="285"/>
      <c r="D424" s="288"/>
      <c r="E424" s="285"/>
    </row>
    <row r="425" spans="3:5" x14ac:dyDescent="0.35">
      <c r="C425" s="285"/>
      <c r="D425" s="288"/>
      <c r="E425" s="285"/>
    </row>
    <row r="426" spans="3:5" x14ac:dyDescent="0.35">
      <c r="C426" s="285"/>
      <c r="D426" s="288"/>
      <c r="E426" s="285"/>
    </row>
    <row r="427" spans="3:5" x14ac:dyDescent="0.35">
      <c r="C427" s="285"/>
      <c r="D427" s="288"/>
      <c r="E427" s="285"/>
    </row>
    <row r="428" spans="3:5" x14ac:dyDescent="0.35">
      <c r="C428" s="285"/>
      <c r="D428" s="288"/>
      <c r="E428" s="285"/>
    </row>
    <row r="429" spans="3:5" x14ac:dyDescent="0.35">
      <c r="C429" s="285"/>
      <c r="D429" s="288"/>
      <c r="E429" s="285"/>
    </row>
    <row r="430" spans="3:5" x14ac:dyDescent="0.35">
      <c r="C430" s="285"/>
      <c r="D430" s="288"/>
      <c r="E430" s="285"/>
    </row>
    <row r="431" spans="3:5" x14ac:dyDescent="0.35">
      <c r="C431" s="285"/>
      <c r="D431" s="288"/>
      <c r="E431" s="285"/>
    </row>
    <row r="432" spans="3:5" x14ac:dyDescent="0.35">
      <c r="C432" s="285"/>
      <c r="D432" s="288"/>
      <c r="E432" s="285"/>
    </row>
    <row r="433" spans="3:5" x14ac:dyDescent="0.35">
      <c r="C433" s="285"/>
      <c r="D433" s="288"/>
      <c r="E433" s="285"/>
    </row>
    <row r="434" spans="3:5" x14ac:dyDescent="0.35">
      <c r="C434" s="285"/>
      <c r="D434" s="288"/>
      <c r="E434" s="285"/>
    </row>
    <row r="435" spans="3:5" x14ac:dyDescent="0.35">
      <c r="C435" s="285"/>
      <c r="D435" s="288"/>
      <c r="E435" s="285"/>
    </row>
    <row r="436" spans="3:5" x14ac:dyDescent="0.35">
      <c r="C436" s="285"/>
      <c r="D436" s="288"/>
      <c r="E436" s="285"/>
    </row>
    <row r="437" spans="3:5" x14ac:dyDescent="0.35">
      <c r="C437" s="285"/>
      <c r="D437" s="288"/>
      <c r="E437" s="285"/>
    </row>
    <row r="438" spans="3:5" x14ac:dyDescent="0.35">
      <c r="C438" s="285"/>
      <c r="D438" s="288"/>
      <c r="E438" s="285"/>
    </row>
    <row r="439" spans="3:5" x14ac:dyDescent="0.35">
      <c r="C439" s="285"/>
      <c r="D439" s="288"/>
      <c r="E439" s="285"/>
    </row>
    <row r="440" spans="3:5" x14ac:dyDescent="0.35">
      <c r="C440" s="285"/>
      <c r="D440" s="288"/>
      <c r="E440" s="285"/>
    </row>
    <row r="441" spans="3:5" x14ac:dyDescent="0.35">
      <c r="C441" s="285"/>
      <c r="D441" s="288"/>
      <c r="E441" s="285"/>
    </row>
    <row r="442" spans="3:5" x14ac:dyDescent="0.35">
      <c r="C442" s="285"/>
      <c r="D442" s="288"/>
      <c r="E442" s="285"/>
    </row>
    <row r="443" spans="3:5" x14ac:dyDescent="0.35">
      <c r="C443" s="285"/>
      <c r="D443" s="288"/>
      <c r="E443" s="285"/>
    </row>
    <row r="444" spans="3:5" x14ac:dyDescent="0.35">
      <c r="C444" s="285"/>
      <c r="D444" s="288"/>
      <c r="E444" s="285"/>
    </row>
    <row r="445" spans="3:5" x14ac:dyDescent="0.35">
      <c r="C445" s="285"/>
      <c r="D445" s="288"/>
      <c r="E445" s="285"/>
    </row>
    <row r="446" spans="3:5" x14ac:dyDescent="0.35">
      <c r="C446" s="285"/>
      <c r="D446" s="288"/>
      <c r="E446" s="285"/>
    </row>
    <row r="447" spans="3:5" x14ac:dyDescent="0.35">
      <c r="C447" s="285"/>
      <c r="D447" s="288"/>
      <c r="E447" s="285"/>
    </row>
    <row r="448" spans="3:5" x14ac:dyDescent="0.35">
      <c r="C448" s="285"/>
      <c r="D448" s="288"/>
      <c r="E448" s="285"/>
    </row>
    <row r="449" spans="3:5" x14ac:dyDescent="0.35">
      <c r="C449" s="285"/>
      <c r="D449" s="288"/>
      <c r="E449" s="285"/>
    </row>
    <row r="450" spans="3:5" x14ac:dyDescent="0.35">
      <c r="C450" s="285"/>
      <c r="D450" s="288"/>
      <c r="E450" s="285"/>
    </row>
    <row r="451" spans="3:5" x14ac:dyDescent="0.35">
      <c r="C451" s="285"/>
      <c r="D451" s="288"/>
      <c r="E451" s="285"/>
    </row>
    <row r="452" spans="3:5" x14ac:dyDescent="0.35">
      <c r="C452" s="285"/>
      <c r="D452" s="288"/>
      <c r="E452" s="285"/>
    </row>
    <row r="453" spans="3:5" x14ac:dyDescent="0.35">
      <c r="C453" s="285"/>
      <c r="D453" s="288"/>
      <c r="E453" s="285"/>
    </row>
    <row r="454" spans="3:5" x14ac:dyDescent="0.35">
      <c r="C454" s="285"/>
      <c r="D454" s="288"/>
      <c r="E454" s="285"/>
    </row>
    <row r="455" spans="3:5" x14ac:dyDescent="0.35">
      <c r="C455" s="285"/>
      <c r="D455" s="288"/>
      <c r="E455" s="285"/>
    </row>
    <row r="456" spans="3:5" x14ac:dyDescent="0.35">
      <c r="C456" s="285"/>
      <c r="D456" s="288"/>
      <c r="E456" s="285"/>
    </row>
    <row r="457" spans="3:5" x14ac:dyDescent="0.35">
      <c r="C457" s="285"/>
      <c r="D457" s="288"/>
      <c r="E457" s="285"/>
    </row>
    <row r="458" spans="3:5" x14ac:dyDescent="0.35">
      <c r="C458" s="285"/>
      <c r="D458" s="288"/>
      <c r="E458" s="285"/>
    </row>
    <row r="459" spans="3:5" x14ac:dyDescent="0.35">
      <c r="C459" s="285"/>
      <c r="D459" s="288"/>
      <c r="E459" s="285"/>
    </row>
    <row r="460" spans="3:5" x14ac:dyDescent="0.35">
      <c r="C460" s="285"/>
      <c r="D460" s="288"/>
      <c r="E460" s="285"/>
    </row>
    <row r="461" spans="3:5" x14ac:dyDescent="0.35">
      <c r="C461" s="285"/>
      <c r="D461" s="288"/>
      <c r="E461" s="285"/>
    </row>
    <row r="462" spans="3:5" x14ac:dyDescent="0.35">
      <c r="C462" s="285"/>
      <c r="D462" s="288"/>
      <c r="E462" s="285"/>
    </row>
    <row r="463" spans="3:5" x14ac:dyDescent="0.35">
      <c r="C463" s="285"/>
      <c r="D463" s="288"/>
      <c r="E463" s="285"/>
    </row>
    <row r="464" spans="3:5" x14ac:dyDescent="0.35">
      <c r="C464" s="285"/>
      <c r="D464" s="288"/>
      <c r="E464" s="285"/>
    </row>
    <row r="465" spans="3:4" x14ac:dyDescent="0.35">
      <c r="C465" s="285"/>
      <c r="D465" s="288"/>
    </row>
    <row r="466" spans="3:4" x14ac:dyDescent="0.35">
      <c r="C466" s="285"/>
      <c r="D466" s="288"/>
    </row>
    <row r="467" spans="3:4" x14ac:dyDescent="0.35">
      <c r="C467" s="285"/>
      <c r="D467" s="288"/>
    </row>
    <row r="468" spans="3:4" x14ac:dyDescent="0.35">
      <c r="C468" s="285"/>
      <c r="D468" s="288"/>
    </row>
    <row r="469" spans="3:4" x14ac:dyDescent="0.35">
      <c r="C469" s="285"/>
      <c r="D469" s="288"/>
    </row>
    <row r="470" spans="3:4" x14ac:dyDescent="0.35">
      <c r="C470" s="285"/>
      <c r="D470" s="288"/>
    </row>
    <row r="471" spans="3:4" x14ac:dyDescent="0.35">
      <c r="C471" s="285"/>
      <c r="D471" s="288"/>
    </row>
    <row r="472" spans="3:4" x14ac:dyDescent="0.35">
      <c r="C472" s="285"/>
      <c r="D472" s="288"/>
    </row>
    <row r="473" spans="3:4" x14ac:dyDescent="0.35">
      <c r="C473" s="285"/>
      <c r="D473" s="288"/>
    </row>
    <row r="474" spans="3:4" x14ac:dyDescent="0.35">
      <c r="C474" s="285"/>
      <c r="D474" s="288"/>
    </row>
    <row r="475" spans="3:4" x14ac:dyDescent="0.35">
      <c r="C475" s="285"/>
      <c r="D475" s="288"/>
    </row>
    <row r="476" spans="3:4" x14ac:dyDescent="0.35">
      <c r="C476" s="285"/>
      <c r="D476" s="288"/>
    </row>
    <row r="477" spans="3:4" x14ac:dyDescent="0.35">
      <c r="C477" s="285"/>
      <c r="D477" s="288"/>
    </row>
    <row r="478" spans="3:4" x14ac:dyDescent="0.35">
      <c r="C478" s="285"/>
      <c r="D478" s="288"/>
    </row>
    <row r="479" spans="3:4" x14ac:dyDescent="0.35">
      <c r="C479" s="285"/>
      <c r="D479" s="288"/>
    </row>
    <row r="480" spans="3:4" x14ac:dyDescent="0.35">
      <c r="C480" s="285"/>
      <c r="D480" s="288"/>
    </row>
    <row r="481" spans="3:4" x14ac:dyDescent="0.35">
      <c r="C481" s="285"/>
      <c r="D481" s="288"/>
    </row>
    <row r="482" spans="3:4" x14ac:dyDescent="0.35">
      <c r="C482" s="285"/>
      <c r="D482" s="288"/>
    </row>
    <row r="483" spans="3:4" x14ac:dyDescent="0.35">
      <c r="C483" s="285"/>
      <c r="D483" s="288"/>
    </row>
    <row r="484" spans="3:4" x14ac:dyDescent="0.35">
      <c r="C484" s="285"/>
      <c r="D484" s="288"/>
    </row>
    <row r="485" spans="3:4" x14ac:dyDescent="0.35">
      <c r="C485" s="285"/>
      <c r="D485" s="288"/>
    </row>
    <row r="486" spans="3:4" x14ac:dyDescent="0.35">
      <c r="C486" s="285"/>
      <c r="D486" s="288"/>
    </row>
    <row r="487" spans="3:4" x14ac:dyDescent="0.35">
      <c r="C487" s="285"/>
      <c r="D487" s="288"/>
    </row>
    <row r="488" spans="3:4" x14ac:dyDescent="0.35">
      <c r="C488" s="285"/>
      <c r="D488" s="288"/>
    </row>
    <row r="489" spans="3:4" x14ac:dyDescent="0.35">
      <c r="C489" s="285"/>
      <c r="D489" s="288"/>
    </row>
    <row r="490" spans="3:4" x14ac:dyDescent="0.35">
      <c r="C490" s="285"/>
      <c r="D490" s="288"/>
    </row>
    <row r="491" spans="3:4" x14ac:dyDescent="0.35">
      <c r="C491" s="285"/>
      <c r="D491" s="288"/>
    </row>
    <row r="492" spans="3:4" x14ac:dyDescent="0.35">
      <c r="C492" s="285"/>
      <c r="D492" s="288"/>
    </row>
    <row r="493" spans="3:4" x14ac:dyDescent="0.35">
      <c r="C493" s="285"/>
      <c r="D493" s="288"/>
    </row>
    <row r="494" spans="3:4" x14ac:dyDescent="0.35">
      <c r="C494" s="285"/>
      <c r="D494" s="288"/>
    </row>
    <row r="495" spans="3:4" x14ac:dyDescent="0.35">
      <c r="C495" s="285"/>
      <c r="D495" s="288"/>
    </row>
    <row r="496" spans="3:4" x14ac:dyDescent="0.35">
      <c r="C496" s="285"/>
      <c r="D496" s="288"/>
    </row>
    <row r="497" spans="3:4" x14ac:dyDescent="0.35">
      <c r="C497" s="285"/>
      <c r="D497" s="288"/>
    </row>
    <row r="498" spans="3:4" x14ac:dyDescent="0.35">
      <c r="C498" s="285"/>
      <c r="D498" s="288"/>
    </row>
    <row r="499" spans="3:4" x14ac:dyDescent="0.35">
      <c r="C499" s="285"/>
      <c r="D499" s="288"/>
    </row>
    <row r="500" spans="3:4" x14ac:dyDescent="0.35">
      <c r="C500" s="285"/>
      <c r="D500" s="288"/>
    </row>
    <row r="501" spans="3:4" x14ac:dyDescent="0.35">
      <c r="C501" s="285"/>
      <c r="D501" s="288"/>
    </row>
    <row r="502" spans="3:4" x14ac:dyDescent="0.35">
      <c r="C502" s="285"/>
      <c r="D502" s="288"/>
    </row>
    <row r="503" spans="3:4" x14ac:dyDescent="0.35">
      <c r="C503" s="285"/>
      <c r="D503" s="288"/>
    </row>
    <row r="504" spans="3:4" x14ac:dyDescent="0.35">
      <c r="C504" s="285"/>
      <c r="D504" s="288"/>
    </row>
    <row r="505" spans="3:4" x14ac:dyDescent="0.35">
      <c r="C505" s="285"/>
      <c r="D505" s="288"/>
    </row>
    <row r="506" spans="3:4" x14ac:dyDescent="0.35">
      <c r="C506" s="285"/>
      <c r="D506" s="288"/>
    </row>
    <row r="507" spans="3:4" x14ac:dyDescent="0.35">
      <c r="C507" s="285"/>
      <c r="D507" s="288"/>
    </row>
    <row r="508" spans="3:4" x14ac:dyDescent="0.35">
      <c r="C508" s="285"/>
      <c r="D508" s="288"/>
    </row>
    <row r="509" spans="3:4" x14ac:dyDescent="0.35">
      <c r="C509" s="285"/>
      <c r="D509" s="288"/>
    </row>
    <row r="510" spans="3:4" x14ac:dyDescent="0.35">
      <c r="C510" s="285"/>
      <c r="D510" s="288"/>
    </row>
    <row r="511" spans="3:4" x14ac:dyDescent="0.35">
      <c r="C511" s="285"/>
      <c r="D511" s="288"/>
    </row>
    <row r="512" spans="3:4" x14ac:dyDescent="0.35">
      <c r="C512" s="285"/>
      <c r="D512" s="288"/>
    </row>
    <row r="513" spans="3:4" x14ac:dyDescent="0.35">
      <c r="C513" s="285"/>
      <c r="D513" s="288"/>
    </row>
    <row r="514" spans="3:4" x14ac:dyDescent="0.35">
      <c r="C514" s="285"/>
      <c r="D514" s="288"/>
    </row>
    <row r="515" spans="3:4" x14ac:dyDescent="0.35">
      <c r="C515" s="285"/>
      <c r="D515" s="288"/>
    </row>
    <row r="516" spans="3:4" x14ac:dyDescent="0.35">
      <c r="C516" s="285"/>
      <c r="D516" s="288"/>
    </row>
    <row r="517" spans="3:4" x14ac:dyDescent="0.35">
      <c r="C517" s="285"/>
      <c r="D517" s="288"/>
    </row>
    <row r="518" spans="3:4" x14ac:dyDescent="0.35">
      <c r="C518" s="285"/>
      <c r="D518" s="288"/>
    </row>
    <row r="519" spans="3:4" x14ac:dyDescent="0.35">
      <c r="C519" s="285"/>
      <c r="D519" s="288"/>
    </row>
    <row r="520" spans="3:4" x14ac:dyDescent="0.35">
      <c r="C520" s="285"/>
      <c r="D520" s="288"/>
    </row>
    <row r="521" spans="3:4" x14ac:dyDescent="0.35">
      <c r="C521" s="285"/>
      <c r="D521" s="288"/>
    </row>
    <row r="522" spans="3:4" x14ac:dyDescent="0.35">
      <c r="C522" s="285"/>
      <c r="D522" s="288"/>
    </row>
    <row r="523" spans="3:4" x14ac:dyDescent="0.35">
      <c r="C523" s="285"/>
      <c r="D523" s="288"/>
    </row>
    <row r="524" spans="3:4" x14ac:dyDescent="0.35">
      <c r="C524" s="285"/>
      <c r="D524" s="288"/>
    </row>
    <row r="525" spans="3:4" x14ac:dyDescent="0.35">
      <c r="C525" s="285"/>
      <c r="D525" s="288"/>
    </row>
    <row r="526" spans="3:4" x14ac:dyDescent="0.35">
      <c r="C526" s="285"/>
      <c r="D526" s="288"/>
    </row>
    <row r="527" spans="3:4" x14ac:dyDescent="0.35">
      <c r="C527" s="285"/>
      <c r="D527" s="288"/>
    </row>
    <row r="528" spans="3:4" x14ac:dyDescent="0.35">
      <c r="C528" s="285"/>
      <c r="D528" s="288"/>
    </row>
    <row r="529" spans="3:4" x14ac:dyDescent="0.35">
      <c r="C529" s="285"/>
      <c r="D529" s="288"/>
    </row>
    <row r="530" spans="3:4" x14ac:dyDescent="0.35">
      <c r="C530" s="285"/>
      <c r="D530" s="288"/>
    </row>
    <row r="531" spans="3:4" x14ac:dyDescent="0.35">
      <c r="C531" s="285"/>
      <c r="D531" s="288"/>
    </row>
    <row r="532" spans="3:4" x14ac:dyDescent="0.35">
      <c r="C532" s="285"/>
      <c r="D532" s="288"/>
    </row>
    <row r="533" spans="3:4" x14ac:dyDescent="0.35">
      <c r="C533" s="285"/>
      <c r="D533" s="288"/>
    </row>
    <row r="534" spans="3:4" x14ac:dyDescent="0.35">
      <c r="C534" s="285"/>
      <c r="D534" s="288"/>
    </row>
    <row r="535" spans="3:4" x14ac:dyDescent="0.35">
      <c r="C535" s="285"/>
      <c r="D535" s="288"/>
    </row>
    <row r="536" spans="3:4" x14ac:dyDescent="0.35">
      <c r="C536" s="285"/>
      <c r="D536" s="288"/>
    </row>
    <row r="537" spans="3:4" x14ac:dyDescent="0.35">
      <c r="C537" s="285"/>
      <c r="D537" s="288"/>
    </row>
    <row r="538" spans="3:4" x14ac:dyDescent="0.35">
      <c r="C538" s="285"/>
      <c r="D538" s="288"/>
    </row>
    <row r="539" spans="3:4" x14ac:dyDescent="0.35">
      <c r="C539" s="285"/>
      <c r="D539" s="288"/>
    </row>
    <row r="540" spans="3:4" x14ac:dyDescent="0.35">
      <c r="C540" s="285"/>
      <c r="D540" s="288"/>
    </row>
    <row r="541" spans="3:4" x14ac:dyDescent="0.35">
      <c r="C541" s="285"/>
      <c r="D541" s="288"/>
    </row>
    <row r="542" spans="3:4" x14ac:dyDescent="0.35">
      <c r="C542" s="285"/>
      <c r="D542" s="288"/>
    </row>
    <row r="543" spans="3:4" x14ac:dyDescent="0.35">
      <c r="C543" s="285"/>
      <c r="D543" s="288"/>
    </row>
    <row r="544" spans="3:4" x14ac:dyDescent="0.35">
      <c r="C544" s="285"/>
      <c r="D544" s="288"/>
    </row>
    <row r="545" spans="3:4" x14ac:dyDescent="0.35">
      <c r="C545" s="285"/>
      <c r="D545" s="288"/>
    </row>
    <row r="546" spans="3:4" x14ac:dyDescent="0.35">
      <c r="C546" s="285"/>
      <c r="D546" s="288"/>
    </row>
    <row r="547" spans="3:4" x14ac:dyDescent="0.35">
      <c r="C547" s="285"/>
      <c r="D547" s="288"/>
    </row>
    <row r="548" spans="3:4" x14ac:dyDescent="0.35">
      <c r="C548" s="285"/>
      <c r="D548" s="288"/>
    </row>
    <row r="549" spans="3:4" x14ac:dyDescent="0.35">
      <c r="C549" s="285"/>
      <c r="D549" s="288"/>
    </row>
    <row r="550" spans="3:4" x14ac:dyDescent="0.35">
      <c r="C550" s="285"/>
      <c r="D550" s="288"/>
    </row>
    <row r="551" spans="3:4" x14ac:dyDescent="0.35">
      <c r="C551" s="285"/>
      <c r="D551" s="288"/>
    </row>
    <row r="552" spans="3:4" x14ac:dyDescent="0.35">
      <c r="C552" s="285"/>
      <c r="D552" s="288"/>
    </row>
    <row r="553" spans="3:4" x14ac:dyDescent="0.35">
      <c r="C553" s="285"/>
      <c r="D553" s="288"/>
    </row>
    <row r="554" spans="3:4" x14ac:dyDescent="0.35">
      <c r="C554" s="285"/>
      <c r="D554" s="288"/>
    </row>
    <row r="555" spans="3:4" x14ac:dyDescent="0.35">
      <c r="C555" s="285"/>
      <c r="D555" s="288"/>
    </row>
    <row r="556" spans="3:4" x14ac:dyDescent="0.35">
      <c r="C556" s="285"/>
      <c r="D556" s="288"/>
    </row>
    <row r="557" spans="3:4" x14ac:dyDescent="0.35">
      <c r="C557" s="285"/>
      <c r="D557" s="288"/>
    </row>
    <row r="558" spans="3:4" x14ac:dyDescent="0.35">
      <c r="C558" s="285"/>
      <c r="D558" s="288"/>
    </row>
    <row r="559" spans="3:4" x14ac:dyDescent="0.35">
      <c r="C559" s="285"/>
      <c r="D559" s="288"/>
    </row>
    <row r="560" spans="3:4" x14ac:dyDescent="0.35">
      <c r="C560" s="285"/>
      <c r="D560" s="288"/>
    </row>
    <row r="561" spans="3:4" x14ac:dyDescent="0.35">
      <c r="C561" s="285"/>
      <c r="D561" s="288"/>
    </row>
    <row r="562" spans="3:4" x14ac:dyDescent="0.35">
      <c r="C562" s="285"/>
      <c r="D562" s="288"/>
    </row>
    <row r="563" spans="3:4" x14ac:dyDescent="0.35">
      <c r="C563" s="285"/>
      <c r="D563" s="288"/>
    </row>
    <row r="564" spans="3:4" x14ac:dyDescent="0.35">
      <c r="C564" s="285"/>
      <c r="D564" s="288"/>
    </row>
    <row r="565" spans="3:4" x14ac:dyDescent="0.35">
      <c r="C565" s="285"/>
      <c r="D565" s="288"/>
    </row>
    <row r="566" spans="3:4" x14ac:dyDescent="0.35">
      <c r="C566" s="285"/>
      <c r="D566" s="288"/>
    </row>
    <row r="567" spans="3:4" x14ac:dyDescent="0.35">
      <c r="C567" s="285"/>
      <c r="D567" s="288"/>
    </row>
    <row r="568" spans="3:4" x14ac:dyDescent="0.35">
      <c r="C568" s="285"/>
      <c r="D568" s="288"/>
    </row>
    <row r="569" spans="3:4" x14ac:dyDescent="0.35">
      <c r="C569" s="285"/>
      <c r="D569" s="288"/>
    </row>
    <row r="570" spans="3:4" x14ac:dyDescent="0.35">
      <c r="C570" s="285"/>
      <c r="D570" s="288"/>
    </row>
    <row r="571" spans="3:4" x14ac:dyDescent="0.35">
      <c r="C571" s="285"/>
      <c r="D571" s="288"/>
    </row>
    <row r="572" spans="3:4" x14ac:dyDescent="0.35">
      <c r="C572" s="285"/>
      <c r="D572" s="288"/>
    </row>
    <row r="573" spans="3:4" x14ac:dyDescent="0.35">
      <c r="C573" s="285"/>
      <c r="D573" s="288"/>
    </row>
    <row r="574" spans="3:4" x14ac:dyDescent="0.35">
      <c r="C574" s="285"/>
      <c r="D574" s="288"/>
    </row>
    <row r="575" spans="3:4" x14ac:dyDescent="0.35">
      <c r="C575" s="285"/>
      <c r="D575" s="288"/>
    </row>
    <row r="576" spans="3:4" x14ac:dyDescent="0.35">
      <c r="C576" s="285"/>
      <c r="D576" s="288"/>
    </row>
    <row r="577" spans="3:4" x14ac:dyDescent="0.35">
      <c r="C577" s="285"/>
      <c r="D577" s="288"/>
    </row>
    <row r="578" spans="3:4" x14ac:dyDescent="0.35">
      <c r="C578" s="285"/>
      <c r="D578" s="288"/>
    </row>
    <row r="579" spans="3:4" x14ac:dyDescent="0.35">
      <c r="C579" s="285"/>
      <c r="D579" s="288"/>
    </row>
    <row r="580" spans="3:4" x14ac:dyDescent="0.35">
      <c r="C580" s="285"/>
      <c r="D580" s="288"/>
    </row>
    <row r="581" spans="3:4" x14ac:dyDescent="0.35">
      <c r="C581" s="285"/>
      <c r="D581" s="288"/>
    </row>
    <row r="582" spans="3:4" x14ac:dyDescent="0.35">
      <c r="C582" s="285"/>
      <c r="D582" s="288"/>
    </row>
    <row r="583" spans="3:4" x14ac:dyDescent="0.35">
      <c r="C583" s="285"/>
      <c r="D583" s="288"/>
    </row>
    <row r="584" spans="3:4" x14ac:dyDescent="0.35">
      <c r="C584" s="285"/>
      <c r="D584" s="288"/>
    </row>
    <row r="585" spans="3:4" x14ac:dyDescent="0.35">
      <c r="C585" s="285"/>
      <c r="D585" s="288"/>
    </row>
    <row r="586" spans="3:4" x14ac:dyDescent="0.35">
      <c r="C586" s="285"/>
      <c r="D586" s="288"/>
    </row>
    <row r="587" spans="3:4" x14ac:dyDescent="0.35">
      <c r="C587" s="285"/>
      <c r="D587" s="288"/>
    </row>
    <row r="588" spans="3:4" x14ac:dyDescent="0.35">
      <c r="C588" s="285"/>
      <c r="D588" s="288"/>
    </row>
    <row r="589" spans="3:4" x14ac:dyDescent="0.35">
      <c r="C589" s="285"/>
      <c r="D589" s="288"/>
    </row>
    <row r="590" spans="3:4" x14ac:dyDescent="0.35">
      <c r="C590" s="285"/>
      <c r="D590" s="288"/>
    </row>
    <row r="591" spans="3:4" x14ac:dyDescent="0.35">
      <c r="C591" s="285"/>
      <c r="D591" s="288"/>
    </row>
    <row r="592" spans="3:4" x14ac:dyDescent="0.35">
      <c r="C592" s="285"/>
      <c r="D592" s="288"/>
    </row>
    <row r="593" spans="3:4" x14ac:dyDescent="0.35">
      <c r="C593" s="285"/>
      <c r="D593" s="288"/>
    </row>
    <row r="594" spans="3:4" x14ac:dyDescent="0.35">
      <c r="C594" s="285"/>
      <c r="D594" s="288"/>
    </row>
    <row r="595" spans="3:4" x14ac:dyDescent="0.35">
      <c r="C595" s="285"/>
      <c r="D595" s="288"/>
    </row>
    <row r="596" spans="3:4" x14ac:dyDescent="0.35">
      <c r="C596" s="285"/>
      <c r="D596" s="288"/>
    </row>
    <row r="597" spans="3:4" x14ac:dyDescent="0.35">
      <c r="C597" s="285"/>
      <c r="D597" s="288"/>
    </row>
    <row r="598" spans="3:4" x14ac:dyDescent="0.35">
      <c r="C598" s="285"/>
      <c r="D598" s="288"/>
    </row>
    <row r="599" spans="3:4" x14ac:dyDescent="0.35">
      <c r="C599" s="285"/>
      <c r="D599" s="288"/>
    </row>
    <row r="600" spans="3:4" x14ac:dyDescent="0.35">
      <c r="C600" s="285"/>
      <c r="D600" s="288"/>
    </row>
    <row r="601" spans="3:4" x14ac:dyDescent="0.35">
      <c r="C601" s="285"/>
      <c r="D601" s="288"/>
    </row>
    <row r="602" spans="3:4" x14ac:dyDescent="0.35">
      <c r="C602" s="285"/>
      <c r="D602" s="288"/>
    </row>
    <row r="603" spans="3:4" x14ac:dyDescent="0.35">
      <c r="C603" s="285"/>
      <c r="D603" s="288"/>
    </row>
    <row r="604" spans="3:4" x14ac:dyDescent="0.35">
      <c r="C604" s="285"/>
      <c r="D604" s="288"/>
    </row>
    <row r="605" spans="3:4" x14ac:dyDescent="0.35">
      <c r="C605" s="285"/>
      <c r="D605" s="288"/>
    </row>
    <row r="606" spans="3:4" x14ac:dyDescent="0.35">
      <c r="C606" s="285"/>
      <c r="D606" s="288"/>
    </row>
    <row r="607" spans="3:4" x14ac:dyDescent="0.35">
      <c r="C607" s="285"/>
      <c r="D607" s="288"/>
    </row>
    <row r="608" spans="3:4" x14ac:dyDescent="0.35">
      <c r="C608" s="285"/>
      <c r="D608" s="288"/>
    </row>
    <row r="609" spans="3:4" x14ac:dyDescent="0.35">
      <c r="C609" s="285"/>
      <c r="D609" s="288"/>
    </row>
    <row r="610" spans="3:4" x14ac:dyDescent="0.35">
      <c r="C610" s="285"/>
      <c r="D610" s="288"/>
    </row>
    <row r="611" spans="3:4" x14ac:dyDescent="0.35">
      <c r="C611" s="285"/>
      <c r="D611" s="288"/>
    </row>
    <row r="612" spans="3:4" x14ac:dyDescent="0.35">
      <c r="C612" s="285"/>
      <c r="D612" s="288"/>
    </row>
    <row r="613" spans="3:4" x14ac:dyDescent="0.35">
      <c r="C613" s="285"/>
      <c r="D613" s="288"/>
    </row>
    <row r="614" spans="3:4" x14ac:dyDescent="0.35">
      <c r="C614" s="285"/>
      <c r="D614" s="288"/>
    </row>
    <row r="615" spans="3:4" x14ac:dyDescent="0.35">
      <c r="C615" s="285"/>
      <c r="D615" s="288"/>
    </row>
    <row r="616" spans="3:4" x14ac:dyDescent="0.35">
      <c r="C616" s="285"/>
      <c r="D616" s="288"/>
    </row>
    <row r="617" spans="3:4" x14ac:dyDescent="0.35">
      <c r="C617" s="285"/>
      <c r="D617" s="288"/>
    </row>
    <row r="618" spans="3:4" x14ac:dyDescent="0.35">
      <c r="C618" s="285"/>
      <c r="D618" s="288"/>
    </row>
    <row r="619" spans="3:4" x14ac:dyDescent="0.35">
      <c r="C619" s="285"/>
      <c r="D619" s="288"/>
    </row>
    <row r="620" spans="3:4" x14ac:dyDescent="0.35">
      <c r="C620" s="285"/>
      <c r="D620" s="288"/>
    </row>
    <row r="621" spans="3:4" x14ac:dyDescent="0.35">
      <c r="C621" s="285"/>
      <c r="D621" s="288"/>
    </row>
    <row r="622" spans="3:4" x14ac:dyDescent="0.35">
      <c r="C622" s="285"/>
      <c r="D622" s="288"/>
    </row>
    <row r="623" spans="3:4" x14ac:dyDescent="0.35">
      <c r="C623" s="285"/>
      <c r="D623" s="288"/>
    </row>
    <row r="624" spans="3:4" x14ac:dyDescent="0.35">
      <c r="C624" s="285"/>
      <c r="D624" s="288"/>
    </row>
    <row r="625" spans="3:4" x14ac:dyDescent="0.35">
      <c r="C625" s="285"/>
      <c r="D625" s="288"/>
    </row>
    <row r="626" spans="3:4" x14ac:dyDescent="0.35">
      <c r="C626" s="285"/>
      <c r="D626" s="288"/>
    </row>
    <row r="627" spans="3:4" x14ac:dyDescent="0.35">
      <c r="C627" s="285"/>
      <c r="D627" s="288"/>
    </row>
    <row r="628" spans="3:4" x14ac:dyDescent="0.35">
      <c r="C628" s="285"/>
      <c r="D628" s="288"/>
    </row>
    <row r="629" spans="3:4" x14ac:dyDescent="0.35">
      <c r="C629" s="285"/>
      <c r="D629" s="288"/>
    </row>
    <row r="630" spans="3:4" x14ac:dyDescent="0.35">
      <c r="C630" s="285"/>
      <c r="D630" s="288"/>
    </row>
    <row r="631" spans="3:4" x14ac:dyDescent="0.35">
      <c r="C631" s="285"/>
      <c r="D631" s="288"/>
    </row>
    <row r="632" spans="3:4" x14ac:dyDescent="0.35">
      <c r="C632" s="285"/>
      <c r="D632" s="288"/>
    </row>
    <row r="633" spans="3:4" x14ac:dyDescent="0.35">
      <c r="C633" s="285"/>
      <c r="D633" s="288"/>
    </row>
    <row r="634" spans="3:4" x14ac:dyDescent="0.35">
      <c r="C634" s="285"/>
      <c r="D634" s="288"/>
    </row>
    <row r="635" spans="3:4" x14ac:dyDescent="0.35">
      <c r="C635" s="285"/>
      <c r="D635" s="288"/>
    </row>
    <row r="636" spans="3:4" x14ac:dyDescent="0.35">
      <c r="C636" s="285"/>
      <c r="D636" s="288"/>
    </row>
    <row r="637" spans="3:4" x14ac:dyDescent="0.35">
      <c r="C637" s="285"/>
      <c r="D637" s="288"/>
    </row>
    <row r="638" spans="3:4" x14ac:dyDescent="0.35">
      <c r="C638" s="285"/>
      <c r="D638" s="288"/>
    </row>
    <row r="639" spans="3:4" x14ac:dyDescent="0.35">
      <c r="C639" s="285"/>
      <c r="D639" s="288"/>
    </row>
    <row r="640" spans="3:4" x14ac:dyDescent="0.35">
      <c r="C640" s="285"/>
      <c r="D640" s="288"/>
    </row>
    <row r="641" spans="3:4" x14ac:dyDescent="0.35">
      <c r="C641" s="285"/>
      <c r="D641" s="288"/>
    </row>
    <row r="642" spans="3:4" x14ac:dyDescent="0.35">
      <c r="C642" s="285"/>
      <c r="D642" s="288"/>
    </row>
    <row r="643" spans="3:4" x14ac:dyDescent="0.35">
      <c r="C643" s="285"/>
      <c r="D643" s="288"/>
    </row>
    <row r="644" spans="3:4" x14ac:dyDescent="0.35">
      <c r="C644" s="285"/>
      <c r="D644" s="288"/>
    </row>
    <row r="645" spans="3:4" x14ac:dyDescent="0.35">
      <c r="C645" s="285"/>
      <c r="D645" s="288"/>
    </row>
    <row r="646" spans="3:4" x14ac:dyDescent="0.35">
      <c r="C646" s="285"/>
      <c r="D646" s="288"/>
    </row>
    <row r="647" spans="3:4" x14ac:dyDescent="0.35">
      <c r="C647" s="285"/>
      <c r="D647" s="288"/>
    </row>
    <row r="648" spans="3:4" x14ac:dyDescent="0.35">
      <c r="C648" s="285"/>
      <c r="D648" s="288"/>
    </row>
    <row r="649" spans="3:4" x14ac:dyDescent="0.35">
      <c r="C649" s="285"/>
      <c r="D649" s="288"/>
    </row>
    <row r="650" spans="3:4" x14ac:dyDescent="0.35">
      <c r="C650" s="285"/>
      <c r="D650" s="288"/>
    </row>
    <row r="651" spans="3:4" x14ac:dyDescent="0.35">
      <c r="C651" s="285"/>
      <c r="D651" s="288"/>
    </row>
    <row r="652" spans="3:4" x14ac:dyDescent="0.35">
      <c r="C652" s="285"/>
      <c r="D652" s="288"/>
    </row>
    <row r="653" spans="3:4" x14ac:dyDescent="0.35">
      <c r="C653" s="285"/>
      <c r="D653" s="288"/>
    </row>
    <row r="654" spans="3:4" x14ac:dyDescent="0.35">
      <c r="C654" s="285"/>
      <c r="D654" s="288"/>
    </row>
    <row r="655" spans="3:4" x14ac:dyDescent="0.35">
      <c r="C655" s="285"/>
      <c r="D655" s="288"/>
    </row>
    <row r="656" spans="3:4" x14ac:dyDescent="0.35">
      <c r="C656" s="285"/>
      <c r="D656" s="288"/>
    </row>
    <row r="657" spans="3:4" x14ac:dyDescent="0.35">
      <c r="C657" s="285"/>
      <c r="D657" s="288"/>
    </row>
    <row r="658" spans="3:4" x14ac:dyDescent="0.35">
      <c r="C658" s="285"/>
      <c r="D658" s="288"/>
    </row>
    <row r="659" spans="3:4" x14ac:dyDescent="0.35">
      <c r="C659" s="285"/>
      <c r="D659" s="288"/>
    </row>
    <row r="660" spans="3:4" x14ac:dyDescent="0.35">
      <c r="C660" s="285"/>
      <c r="D660" s="288"/>
    </row>
    <row r="661" spans="3:4" x14ac:dyDescent="0.35">
      <c r="C661" s="285"/>
      <c r="D661" s="288"/>
    </row>
    <row r="662" spans="3:4" x14ac:dyDescent="0.35">
      <c r="C662" s="285"/>
      <c r="D662" s="288"/>
    </row>
    <row r="663" spans="3:4" x14ac:dyDescent="0.35">
      <c r="C663" s="285"/>
      <c r="D663" s="288"/>
    </row>
    <row r="664" spans="3:4" x14ac:dyDescent="0.35">
      <c r="C664" s="285"/>
      <c r="D664" s="288"/>
    </row>
    <row r="665" spans="3:4" x14ac:dyDescent="0.35">
      <c r="C665" s="285"/>
      <c r="D665" s="288"/>
    </row>
    <row r="666" spans="3:4" x14ac:dyDescent="0.35">
      <c r="C666" s="285"/>
      <c r="D666" s="288"/>
    </row>
    <row r="667" spans="3:4" x14ac:dyDescent="0.35">
      <c r="C667" s="285"/>
      <c r="D667" s="288"/>
    </row>
    <row r="668" spans="3:4" x14ac:dyDescent="0.35">
      <c r="C668" s="285"/>
      <c r="D668" s="288"/>
    </row>
    <row r="669" spans="3:4" x14ac:dyDescent="0.35">
      <c r="C669" s="285"/>
      <c r="D669" s="288"/>
    </row>
    <row r="670" spans="3:4" x14ac:dyDescent="0.35">
      <c r="C670" s="285"/>
      <c r="D670" s="288"/>
    </row>
    <row r="671" spans="3:4" x14ac:dyDescent="0.35">
      <c r="C671" s="285"/>
      <c r="D671" s="288"/>
    </row>
    <row r="672" spans="3:4" x14ac:dyDescent="0.35">
      <c r="C672" s="285"/>
      <c r="D672" s="288"/>
    </row>
    <row r="673" spans="3:4" x14ac:dyDescent="0.35">
      <c r="C673" s="285"/>
      <c r="D673" s="288"/>
    </row>
    <row r="674" spans="3:4" x14ac:dyDescent="0.35">
      <c r="C674" s="285"/>
      <c r="D674" s="288"/>
    </row>
    <row r="675" spans="3:4" x14ac:dyDescent="0.35">
      <c r="C675" s="285"/>
      <c r="D675" s="288"/>
    </row>
    <row r="676" spans="3:4" x14ac:dyDescent="0.35">
      <c r="C676" s="285"/>
      <c r="D676" s="288"/>
    </row>
    <row r="677" spans="3:4" x14ac:dyDescent="0.35">
      <c r="C677" s="285"/>
      <c r="D677" s="288"/>
    </row>
    <row r="678" spans="3:4" x14ac:dyDescent="0.35">
      <c r="C678" s="285"/>
      <c r="D678" s="288"/>
    </row>
    <row r="679" spans="3:4" x14ac:dyDescent="0.35">
      <c r="C679" s="285"/>
      <c r="D679" s="288"/>
    </row>
    <row r="680" spans="3:4" x14ac:dyDescent="0.35">
      <c r="C680" s="285"/>
      <c r="D680" s="288"/>
    </row>
    <row r="681" spans="3:4" x14ac:dyDescent="0.35">
      <c r="C681" s="285"/>
      <c r="D681" s="288"/>
    </row>
    <row r="682" spans="3:4" x14ac:dyDescent="0.35">
      <c r="C682" s="285"/>
      <c r="D682" s="288"/>
    </row>
    <row r="683" spans="3:4" x14ac:dyDescent="0.35">
      <c r="C683" s="285"/>
      <c r="D683" s="288"/>
    </row>
    <row r="684" spans="3:4" x14ac:dyDescent="0.35">
      <c r="C684" s="285"/>
      <c r="D684" s="288"/>
    </row>
    <row r="685" spans="3:4" x14ac:dyDescent="0.35">
      <c r="C685" s="285"/>
      <c r="D685" s="288"/>
    </row>
    <row r="686" spans="3:4" x14ac:dyDescent="0.35">
      <c r="C686" s="285"/>
      <c r="D686" s="288"/>
    </row>
    <row r="687" spans="3:4" x14ac:dyDescent="0.35">
      <c r="C687" s="285"/>
      <c r="D687" s="288"/>
    </row>
    <row r="688" spans="3:4" x14ac:dyDescent="0.35">
      <c r="C688" s="285"/>
      <c r="D688" s="288"/>
    </row>
    <row r="689" spans="3:4" x14ac:dyDescent="0.35">
      <c r="C689" s="285"/>
      <c r="D689" s="288"/>
    </row>
    <row r="690" spans="3:4" x14ac:dyDescent="0.35">
      <c r="C690" s="285"/>
      <c r="D690" s="288"/>
    </row>
    <row r="691" spans="3:4" x14ac:dyDescent="0.35">
      <c r="C691" s="285"/>
      <c r="D691" s="288"/>
    </row>
    <row r="692" spans="3:4" x14ac:dyDescent="0.35">
      <c r="C692" s="285"/>
      <c r="D692" s="288"/>
    </row>
    <row r="693" spans="3:4" x14ac:dyDescent="0.35">
      <c r="C693" s="285"/>
      <c r="D693" s="288"/>
    </row>
    <row r="694" spans="3:4" x14ac:dyDescent="0.35">
      <c r="C694" s="285"/>
      <c r="D694" s="288"/>
    </row>
    <row r="695" spans="3:4" x14ac:dyDescent="0.35">
      <c r="C695" s="285"/>
      <c r="D695" s="288"/>
    </row>
    <row r="696" spans="3:4" x14ac:dyDescent="0.35">
      <c r="C696" s="285"/>
      <c r="D696" s="288"/>
    </row>
    <row r="697" spans="3:4" x14ac:dyDescent="0.35">
      <c r="C697" s="285"/>
      <c r="D697" s="288"/>
    </row>
    <row r="698" spans="3:4" x14ac:dyDescent="0.35">
      <c r="C698" s="285"/>
      <c r="D698" s="288"/>
    </row>
    <row r="699" spans="3:4" x14ac:dyDescent="0.35">
      <c r="C699" s="285"/>
      <c r="D699" s="288"/>
    </row>
    <row r="700" spans="3:4" x14ac:dyDescent="0.35">
      <c r="C700" s="285"/>
      <c r="D700" s="288"/>
    </row>
    <row r="701" spans="3:4" x14ac:dyDescent="0.35">
      <c r="C701" s="285"/>
      <c r="D701" s="288"/>
    </row>
    <row r="702" spans="3:4" x14ac:dyDescent="0.35">
      <c r="C702" s="285"/>
      <c r="D702" s="288"/>
    </row>
    <row r="703" spans="3:4" x14ac:dyDescent="0.35">
      <c r="C703" s="285"/>
      <c r="D703" s="288"/>
    </row>
    <row r="704" spans="3:4" x14ac:dyDescent="0.35">
      <c r="C704" s="285"/>
      <c r="D704" s="288"/>
    </row>
    <row r="705" spans="3:4" x14ac:dyDescent="0.35">
      <c r="C705" s="285"/>
      <c r="D705" s="288"/>
    </row>
    <row r="706" spans="3:4" x14ac:dyDescent="0.35">
      <c r="C706" s="285"/>
      <c r="D706" s="288"/>
    </row>
    <row r="707" spans="3:4" x14ac:dyDescent="0.35">
      <c r="C707" s="285"/>
      <c r="D707" s="288"/>
    </row>
    <row r="708" spans="3:4" x14ac:dyDescent="0.35">
      <c r="C708" s="285"/>
      <c r="D708" s="288"/>
    </row>
    <row r="709" spans="3:4" x14ac:dyDescent="0.35">
      <c r="C709" s="285"/>
      <c r="D709" s="288"/>
    </row>
    <row r="710" spans="3:4" x14ac:dyDescent="0.35">
      <c r="C710" s="285"/>
      <c r="D710" s="288"/>
    </row>
    <row r="711" spans="3:4" x14ac:dyDescent="0.35">
      <c r="C711" s="285"/>
      <c r="D711" s="288"/>
    </row>
    <row r="712" spans="3:4" x14ac:dyDescent="0.35">
      <c r="C712" s="285"/>
      <c r="D712" s="288"/>
    </row>
    <row r="713" spans="3:4" x14ac:dyDescent="0.35">
      <c r="C713" s="285"/>
      <c r="D713" s="288"/>
    </row>
    <row r="714" spans="3:4" x14ac:dyDescent="0.35">
      <c r="C714" s="285"/>
      <c r="D714" s="288"/>
    </row>
    <row r="715" spans="3:4" x14ac:dyDescent="0.35">
      <c r="C715" s="285"/>
      <c r="D715" s="288"/>
    </row>
    <row r="716" spans="3:4" x14ac:dyDescent="0.35">
      <c r="C716" s="285"/>
      <c r="D716" s="288"/>
    </row>
    <row r="717" spans="3:4" x14ac:dyDescent="0.35">
      <c r="C717" s="285"/>
      <c r="D717" s="288"/>
    </row>
    <row r="718" spans="3:4" x14ac:dyDescent="0.35">
      <c r="C718" s="285"/>
      <c r="D718" s="288"/>
    </row>
    <row r="719" spans="3:4" x14ac:dyDescent="0.35">
      <c r="C719" s="285"/>
      <c r="D719" s="288"/>
    </row>
    <row r="720" spans="3:4" x14ac:dyDescent="0.35">
      <c r="C720" s="285"/>
      <c r="D720" s="288"/>
    </row>
    <row r="721" spans="3:4" x14ac:dyDescent="0.35">
      <c r="C721" s="285"/>
      <c r="D721" s="288"/>
    </row>
    <row r="722" spans="3:4" x14ac:dyDescent="0.35">
      <c r="C722" s="285"/>
      <c r="D722" s="288"/>
    </row>
    <row r="723" spans="3:4" x14ac:dyDescent="0.35">
      <c r="C723" s="285"/>
      <c r="D723" s="288"/>
    </row>
    <row r="724" spans="3:4" x14ac:dyDescent="0.35">
      <c r="C724" s="285"/>
      <c r="D724" s="288"/>
    </row>
    <row r="725" spans="3:4" x14ac:dyDescent="0.35">
      <c r="C725" s="285"/>
      <c r="D725" s="288"/>
    </row>
    <row r="726" spans="3:4" x14ac:dyDescent="0.35">
      <c r="C726" s="285"/>
      <c r="D726" s="288"/>
    </row>
    <row r="727" spans="3:4" x14ac:dyDescent="0.35">
      <c r="C727" s="285"/>
      <c r="D727" s="288"/>
    </row>
    <row r="728" spans="3:4" x14ac:dyDescent="0.35">
      <c r="C728" s="285"/>
      <c r="D728" s="288"/>
    </row>
    <row r="729" spans="3:4" x14ac:dyDescent="0.35">
      <c r="C729" s="285"/>
      <c r="D729" s="288"/>
    </row>
    <row r="730" spans="3:4" x14ac:dyDescent="0.35">
      <c r="C730" s="285"/>
      <c r="D730" s="288"/>
    </row>
    <row r="731" spans="3:4" x14ac:dyDescent="0.35">
      <c r="C731" s="285"/>
      <c r="D731" s="288"/>
    </row>
    <row r="732" spans="3:4" x14ac:dyDescent="0.35">
      <c r="C732" s="285"/>
      <c r="D732" s="288"/>
    </row>
    <row r="733" spans="3:4" x14ac:dyDescent="0.35">
      <c r="C733" s="285"/>
      <c r="D733" s="288"/>
    </row>
    <row r="734" spans="3:4" x14ac:dyDescent="0.35">
      <c r="C734" s="285"/>
      <c r="D734" s="288"/>
    </row>
    <row r="735" spans="3:4" x14ac:dyDescent="0.35">
      <c r="C735" s="285"/>
      <c r="D735" s="288"/>
    </row>
    <row r="736" spans="3:4" x14ac:dyDescent="0.35">
      <c r="C736" s="285"/>
      <c r="D736" s="288"/>
    </row>
    <row r="737" spans="3:4" x14ac:dyDescent="0.35">
      <c r="C737" s="285"/>
      <c r="D737" s="288"/>
    </row>
    <row r="738" spans="3:4" x14ac:dyDescent="0.35">
      <c r="C738" s="285"/>
      <c r="D738" s="288"/>
    </row>
    <row r="739" spans="3:4" x14ac:dyDescent="0.35">
      <c r="C739" s="285"/>
      <c r="D739" s="288"/>
    </row>
    <row r="740" spans="3:4" x14ac:dyDescent="0.35">
      <c r="C740" s="285"/>
      <c r="D740" s="288"/>
    </row>
    <row r="741" spans="3:4" x14ac:dyDescent="0.35">
      <c r="C741" s="285"/>
      <c r="D741" s="288"/>
    </row>
    <row r="742" spans="3:4" x14ac:dyDescent="0.35">
      <c r="C742" s="285"/>
      <c r="D742" s="288"/>
    </row>
    <row r="743" spans="3:4" x14ac:dyDescent="0.35">
      <c r="C743" s="285"/>
      <c r="D743" s="288"/>
    </row>
    <row r="744" spans="3:4" x14ac:dyDescent="0.35">
      <c r="C744" s="285"/>
      <c r="D744" s="288"/>
    </row>
    <row r="745" spans="3:4" x14ac:dyDescent="0.35">
      <c r="C745" s="285"/>
      <c r="D745" s="288"/>
    </row>
    <row r="746" spans="3:4" x14ac:dyDescent="0.35">
      <c r="C746" s="285"/>
      <c r="D746" s="288"/>
    </row>
    <row r="747" spans="3:4" x14ac:dyDescent="0.35">
      <c r="C747" s="285"/>
      <c r="D747" s="288"/>
    </row>
    <row r="748" spans="3:4" x14ac:dyDescent="0.35">
      <c r="C748" s="285"/>
      <c r="D748" s="288"/>
    </row>
    <row r="749" spans="3:4" x14ac:dyDescent="0.35">
      <c r="C749" s="285"/>
      <c r="D749" s="288"/>
    </row>
    <row r="750" spans="3:4" x14ac:dyDescent="0.35">
      <c r="C750" s="285"/>
      <c r="D750" s="288"/>
    </row>
    <row r="751" spans="3:4" x14ac:dyDescent="0.35">
      <c r="C751" s="285"/>
      <c r="D751" s="288"/>
    </row>
    <row r="752" spans="3:4" x14ac:dyDescent="0.35">
      <c r="C752" s="285"/>
      <c r="D752" s="288"/>
    </row>
    <row r="753" spans="3:4" x14ac:dyDescent="0.35">
      <c r="C753" s="285"/>
      <c r="D753" s="288"/>
    </row>
    <row r="754" spans="3:4" x14ac:dyDescent="0.35">
      <c r="C754" s="285"/>
      <c r="D754" s="288"/>
    </row>
    <row r="755" spans="3:4" x14ac:dyDescent="0.35">
      <c r="C755" s="285"/>
      <c r="D755" s="288"/>
    </row>
    <row r="756" spans="3:4" x14ac:dyDescent="0.35">
      <c r="C756" s="285"/>
      <c r="D756" s="288"/>
    </row>
    <row r="757" spans="3:4" x14ac:dyDescent="0.35">
      <c r="C757" s="285"/>
      <c r="D757" s="288"/>
    </row>
    <row r="758" spans="3:4" x14ac:dyDescent="0.35">
      <c r="C758" s="285"/>
      <c r="D758" s="288"/>
    </row>
    <row r="759" spans="3:4" x14ac:dyDescent="0.35">
      <c r="C759" s="285"/>
      <c r="D759" s="288"/>
    </row>
    <row r="760" spans="3:4" x14ac:dyDescent="0.35">
      <c r="C760" s="285"/>
      <c r="D760" s="288"/>
    </row>
    <row r="761" spans="3:4" x14ac:dyDescent="0.35">
      <c r="C761" s="285"/>
      <c r="D761" s="288"/>
    </row>
    <row r="762" spans="3:4" x14ac:dyDescent="0.35">
      <c r="C762" s="285"/>
      <c r="D762" s="288"/>
    </row>
    <row r="763" spans="3:4" x14ac:dyDescent="0.35">
      <c r="C763" s="285"/>
      <c r="D763" s="288"/>
    </row>
    <row r="764" spans="3:4" x14ac:dyDescent="0.35">
      <c r="C764" s="285"/>
      <c r="D764" s="288"/>
    </row>
    <row r="765" spans="3:4" x14ac:dyDescent="0.35">
      <c r="C765" s="285"/>
      <c r="D765" s="288"/>
    </row>
    <row r="766" spans="3:4" x14ac:dyDescent="0.35">
      <c r="C766" s="285"/>
      <c r="D766" s="288"/>
    </row>
    <row r="767" spans="3:4" x14ac:dyDescent="0.35">
      <c r="C767" s="285"/>
      <c r="D767" s="288"/>
    </row>
    <row r="768" spans="3:4" x14ac:dyDescent="0.35">
      <c r="C768" s="285"/>
      <c r="D768" s="288"/>
    </row>
    <row r="769" spans="3:4" x14ac:dyDescent="0.35">
      <c r="C769" s="285"/>
      <c r="D769" s="288"/>
    </row>
    <row r="770" spans="3:4" x14ac:dyDescent="0.35">
      <c r="C770" s="285"/>
      <c r="D770" s="288"/>
    </row>
    <row r="771" spans="3:4" x14ac:dyDescent="0.35">
      <c r="C771" s="285"/>
      <c r="D771" s="288"/>
    </row>
    <row r="772" spans="3:4" x14ac:dyDescent="0.35">
      <c r="C772" s="285"/>
      <c r="D772" s="288"/>
    </row>
    <row r="773" spans="3:4" x14ac:dyDescent="0.35">
      <c r="C773" s="285"/>
      <c r="D773" s="288"/>
    </row>
    <row r="774" spans="3:4" x14ac:dyDescent="0.35">
      <c r="C774" s="285"/>
      <c r="D774" s="288"/>
    </row>
    <row r="775" spans="3:4" x14ac:dyDescent="0.35">
      <c r="C775" s="285"/>
      <c r="D775" s="288"/>
    </row>
    <row r="776" spans="3:4" x14ac:dyDescent="0.35">
      <c r="C776" s="285"/>
      <c r="D776" s="288"/>
    </row>
    <row r="777" spans="3:4" x14ac:dyDescent="0.35">
      <c r="C777" s="285"/>
      <c r="D777" s="288"/>
    </row>
    <row r="778" spans="3:4" x14ac:dyDescent="0.35">
      <c r="C778" s="285"/>
      <c r="D778" s="288"/>
    </row>
    <row r="779" spans="3:4" x14ac:dyDescent="0.35">
      <c r="C779" s="285"/>
      <c r="D779" s="288"/>
    </row>
    <row r="780" spans="3:4" x14ac:dyDescent="0.35">
      <c r="C780" s="285"/>
      <c r="D780" s="288"/>
    </row>
    <row r="781" spans="3:4" x14ac:dyDescent="0.35">
      <c r="C781" s="285"/>
      <c r="D781" s="288"/>
    </row>
    <row r="782" spans="3:4" x14ac:dyDescent="0.35">
      <c r="C782" s="285"/>
      <c r="D782" s="288"/>
    </row>
    <row r="783" spans="3:4" x14ac:dyDescent="0.35">
      <c r="C783" s="285"/>
      <c r="D783" s="288"/>
    </row>
    <row r="784" spans="3:4" x14ac:dyDescent="0.35">
      <c r="C784" s="285"/>
      <c r="D784" s="288"/>
    </row>
    <row r="785" spans="3:4" x14ac:dyDescent="0.35">
      <c r="C785" s="285"/>
      <c r="D785" s="288"/>
    </row>
    <row r="786" spans="3:4" x14ac:dyDescent="0.35">
      <c r="C786" s="285"/>
      <c r="D786" s="288"/>
    </row>
    <row r="787" spans="3:4" x14ac:dyDescent="0.35">
      <c r="C787" s="285"/>
      <c r="D787" s="288"/>
    </row>
    <row r="788" spans="3:4" x14ac:dyDescent="0.35">
      <c r="C788" s="285"/>
      <c r="D788" s="288"/>
    </row>
    <row r="789" spans="3:4" x14ac:dyDescent="0.35">
      <c r="C789" s="285"/>
      <c r="D789" s="288"/>
    </row>
    <row r="790" spans="3:4" x14ac:dyDescent="0.35">
      <c r="C790" s="285"/>
      <c r="D790" s="288"/>
    </row>
    <row r="791" spans="3:4" x14ac:dyDescent="0.35">
      <c r="C791" s="285"/>
      <c r="D791" s="288"/>
    </row>
    <row r="792" spans="3:4" x14ac:dyDescent="0.35">
      <c r="C792" s="285"/>
      <c r="D792" s="288"/>
    </row>
    <row r="793" spans="3:4" x14ac:dyDescent="0.35">
      <c r="C793" s="285"/>
      <c r="D793" s="288"/>
    </row>
    <row r="794" spans="3:4" x14ac:dyDescent="0.35">
      <c r="C794" s="285"/>
      <c r="D794" s="288"/>
    </row>
    <row r="795" spans="3:4" x14ac:dyDescent="0.35">
      <c r="C795" s="285"/>
      <c r="D795" s="288"/>
    </row>
    <row r="796" spans="3:4" x14ac:dyDescent="0.35">
      <c r="C796" s="285"/>
      <c r="D796" s="288"/>
    </row>
    <row r="797" spans="3:4" x14ac:dyDescent="0.35">
      <c r="C797" s="285"/>
      <c r="D797" s="288"/>
    </row>
    <row r="798" spans="3:4" x14ac:dyDescent="0.35">
      <c r="C798" s="285"/>
      <c r="D798" s="288"/>
    </row>
    <row r="799" spans="3:4" x14ac:dyDescent="0.35">
      <c r="C799" s="285"/>
      <c r="D799" s="288"/>
    </row>
    <row r="800" spans="3:4" x14ac:dyDescent="0.35">
      <c r="C800" s="285"/>
      <c r="D800" s="288"/>
    </row>
    <row r="801" spans="3:4" x14ac:dyDescent="0.35">
      <c r="C801" s="285"/>
      <c r="D801" s="288"/>
    </row>
    <row r="802" spans="3:4" x14ac:dyDescent="0.35">
      <c r="C802" s="285"/>
      <c r="D802" s="288"/>
    </row>
    <row r="803" spans="3:4" x14ac:dyDescent="0.35">
      <c r="C803" s="285"/>
      <c r="D803" s="288"/>
    </row>
    <row r="804" spans="3:4" x14ac:dyDescent="0.35">
      <c r="C804" s="285"/>
      <c r="D804" s="288"/>
    </row>
    <row r="805" spans="3:4" x14ac:dyDescent="0.35">
      <c r="C805" s="285"/>
      <c r="D805" s="288"/>
    </row>
    <row r="806" spans="3:4" x14ac:dyDescent="0.35">
      <c r="C806" s="285"/>
      <c r="D806" s="288"/>
    </row>
    <row r="807" spans="3:4" x14ac:dyDescent="0.35">
      <c r="C807" s="285"/>
      <c r="D807" s="288"/>
    </row>
    <row r="808" spans="3:4" x14ac:dyDescent="0.35">
      <c r="C808" s="285"/>
      <c r="D808" s="288"/>
    </row>
    <row r="809" spans="3:4" x14ac:dyDescent="0.35">
      <c r="C809" s="285"/>
      <c r="D809" s="288"/>
    </row>
    <row r="810" spans="3:4" x14ac:dyDescent="0.35">
      <c r="C810" s="285"/>
      <c r="D810" s="288"/>
    </row>
    <row r="811" spans="3:4" x14ac:dyDescent="0.35">
      <c r="C811" s="285"/>
      <c r="D811" s="288"/>
    </row>
    <row r="812" spans="3:4" x14ac:dyDescent="0.35">
      <c r="C812" s="285"/>
      <c r="D812" s="288"/>
    </row>
    <row r="813" spans="3:4" x14ac:dyDescent="0.35">
      <c r="C813" s="285"/>
      <c r="D813" s="288"/>
    </row>
    <row r="814" spans="3:4" x14ac:dyDescent="0.35">
      <c r="C814" s="285"/>
      <c r="D814" s="288"/>
    </row>
    <row r="815" spans="3:4" x14ac:dyDescent="0.35">
      <c r="C815" s="285"/>
      <c r="D815" s="288"/>
    </row>
    <row r="816" spans="3:4" x14ac:dyDescent="0.35">
      <c r="C816" s="285"/>
      <c r="D816" s="288"/>
    </row>
    <row r="817" spans="3:4" x14ac:dyDescent="0.35">
      <c r="C817" s="285"/>
      <c r="D817" s="288"/>
    </row>
    <row r="818" spans="3:4" x14ac:dyDescent="0.35">
      <c r="C818" s="285"/>
      <c r="D818" s="288"/>
    </row>
    <row r="819" spans="3:4" x14ac:dyDescent="0.35">
      <c r="C819" s="285"/>
      <c r="D819" s="288"/>
    </row>
    <row r="820" spans="3:4" x14ac:dyDescent="0.35">
      <c r="C820" s="285"/>
      <c r="D820" s="288"/>
    </row>
    <row r="821" spans="3:4" x14ac:dyDescent="0.35">
      <c r="C821" s="285"/>
      <c r="D821" s="288"/>
    </row>
    <row r="822" spans="3:4" x14ac:dyDescent="0.35">
      <c r="C822" s="285"/>
      <c r="D822" s="288"/>
    </row>
    <row r="823" spans="3:4" x14ac:dyDescent="0.35">
      <c r="C823" s="285"/>
      <c r="D823" s="288"/>
    </row>
    <row r="824" spans="3:4" x14ac:dyDescent="0.35">
      <c r="C824" s="285"/>
      <c r="D824" s="288"/>
    </row>
    <row r="825" spans="3:4" x14ac:dyDescent="0.35">
      <c r="C825" s="285"/>
      <c r="D825" s="288"/>
    </row>
    <row r="826" spans="3:4" x14ac:dyDescent="0.35">
      <c r="C826" s="285"/>
      <c r="D826" s="288"/>
    </row>
    <row r="827" spans="3:4" x14ac:dyDescent="0.35">
      <c r="C827" s="285"/>
      <c r="D827" s="288"/>
    </row>
    <row r="828" spans="3:4" x14ac:dyDescent="0.35">
      <c r="C828" s="285"/>
      <c r="D828" s="288"/>
    </row>
    <row r="829" spans="3:4" x14ac:dyDescent="0.35">
      <c r="C829" s="285"/>
      <c r="D829" s="288"/>
    </row>
    <row r="830" spans="3:4" x14ac:dyDescent="0.35">
      <c r="C830" s="285"/>
      <c r="D830" s="288"/>
    </row>
    <row r="831" spans="3:4" x14ac:dyDescent="0.35">
      <c r="C831" s="285"/>
      <c r="D831" s="288"/>
    </row>
    <row r="832" spans="3:4" x14ac:dyDescent="0.35">
      <c r="C832" s="285"/>
      <c r="D832" s="288"/>
    </row>
    <row r="833" spans="3:4" x14ac:dyDescent="0.35">
      <c r="C833" s="285"/>
      <c r="D833" s="288"/>
    </row>
    <row r="834" spans="3:4" x14ac:dyDescent="0.35">
      <c r="C834" s="285"/>
      <c r="D834" s="288"/>
    </row>
    <row r="835" spans="3:4" x14ac:dyDescent="0.35">
      <c r="C835" s="285"/>
      <c r="D835" s="288"/>
    </row>
    <row r="836" spans="3:4" x14ac:dyDescent="0.35">
      <c r="C836" s="285"/>
      <c r="D836" s="288"/>
    </row>
    <row r="837" spans="3:4" x14ac:dyDescent="0.35">
      <c r="C837" s="285"/>
      <c r="D837" s="288"/>
    </row>
    <row r="838" spans="3:4" x14ac:dyDescent="0.35">
      <c r="C838" s="285"/>
      <c r="D838" s="288"/>
    </row>
    <row r="839" spans="3:4" x14ac:dyDescent="0.35">
      <c r="C839" s="285"/>
      <c r="D839" s="288"/>
    </row>
    <row r="840" spans="3:4" x14ac:dyDescent="0.35">
      <c r="C840" s="285"/>
      <c r="D840" s="288"/>
    </row>
    <row r="841" spans="3:4" x14ac:dyDescent="0.35">
      <c r="C841" s="285"/>
      <c r="D841" s="288"/>
    </row>
    <row r="842" spans="3:4" x14ac:dyDescent="0.35">
      <c r="C842" s="285"/>
      <c r="D842" s="288"/>
    </row>
    <row r="843" spans="3:4" x14ac:dyDescent="0.35">
      <c r="C843" s="285"/>
      <c r="D843" s="288"/>
    </row>
    <row r="844" spans="3:4" x14ac:dyDescent="0.35">
      <c r="C844" s="285"/>
      <c r="D844" s="288"/>
    </row>
    <row r="845" spans="3:4" x14ac:dyDescent="0.35">
      <c r="C845" s="285"/>
      <c r="D845" s="288"/>
    </row>
    <row r="846" spans="3:4" x14ac:dyDescent="0.35">
      <c r="C846" s="285"/>
      <c r="D846" s="288"/>
    </row>
    <row r="847" spans="3:4" x14ac:dyDescent="0.35">
      <c r="C847" s="285"/>
      <c r="D847" s="288"/>
    </row>
    <row r="848" spans="3:4" x14ac:dyDescent="0.35">
      <c r="C848" s="285"/>
      <c r="D848" s="288"/>
    </row>
    <row r="849" spans="3:4" x14ac:dyDescent="0.35">
      <c r="C849" s="285"/>
      <c r="D849" s="288"/>
    </row>
    <row r="850" spans="3:4" x14ac:dyDescent="0.35">
      <c r="C850" s="285"/>
      <c r="D850" s="288"/>
    </row>
    <row r="851" spans="3:4" x14ac:dyDescent="0.35">
      <c r="C851" s="285"/>
      <c r="D851" s="288"/>
    </row>
    <row r="852" spans="3:4" x14ac:dyDescent="0.35">
      <c r="C852" s="285"/>
      <c r="D852" s="288"/>
    </row>
    <row r="853" spans="3:4" x14ac:dyDescent="0.35">
      <c r="C853" s="285"/>
      <c r="D853" s="288"/>
    </row>
    <row r="854" spans="3:4" x14ac:dyDescent="0.35">
      <c r="C854" s="285"/>
      <c r="D854" s="288"/>
    </row>
    <row r="855" spans="3:4" x14ac:dyDescent="0.35">
      <c r="C855" s="285"/>
      <c r="D855" s="288"/>
    </row>
    <row r="856" spans="3:4" x14ac:dyDescent="0.35">
      <c r="C856" s="285"/>
      <c r="D856" s="288"/>
    </row>
    <row r="857" spans="3:4" x14ac:dyDescent="0.35">
      <c r="C857" s="285"/>
      <c r="D857" s="288"/>
    </row>
    <row r="858" spans="3:4" x14ac:dyDescent="0.35">
      <c r="C858" s="285"/>
      <c r="D858" s="288"/>
    </row>
    <row r="859" spans="3:4" x14ac:dyDescent="0.35">
      <c r="C859" s="285"/>
      <c r="D859" s="288"/>
    </row>
    <row r="860" spans="3:4" x14ac:dyDescent="0.35">
      <c r="C860" s="285"/>
      <c r="D860" s="288"/>
    </row>
    <row r="861" spans="3:4" x14ac:dyDescent="0.35">
      <c r="C861" s="285"/>
      <c r="D861" s="288"/>
    </row>
    <row r="862" spans="3:4" x14ac:dyDescent="0.35">
      <c r="C862" s="285"/>
      <c r="D862" s="288"/>
    </row>
    <row r="863" spans="3:4" x14ac:dyDescent="0.35">
      <c r="C863" s="285"/>
      <c r="D863" s="288"/>
    </row>
    <row r="864" spans="3:4" x14ac:dyDescent="0.35">
      <c r="C864" s="285"/>
      <c r="D864" s="288"/>
    </row>
    <row r="865" spans="3:4" x14ac:dyDescent="0.35">
      <c r="C865" s="285"/>
      <c r="D865" s="288"/>
    </row>
    <row r="866" spans="3:4" x14ac:dyDescent="0.35">
      <c r="C866" s="285"/>
      <c r="D866" s="288"/>
    </row>
    <row r="867" spans="3:4" x14ac:dyDescent="0.35">
      <c r="C867" s="285"/>
      <c r="D867" s="288"/>
    </row>
    <row r="868" spans="3:4" x14ac:dyDescent="0.35">
      <c r="C868" s="285"/>
      <c r="D868" s="288"/>
    </row>
    <row r="869" spans="3:4" x14ac:dyDescent="0.35">
      <c r="C869" s="285"/>
      <c r="D869" s="288"/>
    </row>
    <row r="870" spans="3:4" x14ac:dyDescent="0.35">
      <c r="C870" s="285"/>
      <c r="D870" s="288"/>
    </row>
    <row r="871" spans="3:4" x14ac:dyDescent="0.35">
      <c r="C871" s="285"/>
      <c r="D871" s="288"/>
    </row>
    <row r="872" spans="3:4" x14ac:dyDescent="0.35">
      <c r="C872" s="285"/>
      <c r="D872" s="288"/>
    </row>
    <row r="873" spans="3:4" x14ac:dyDescent="0.35">
      <c r="C873" s="285"/>
      <c r="D873" s="288"/>
    </row>
    <row r="874" spans="3:4" x14ac:dyDescent="0.35">
      <c r="C874" s="285"/>
      <c r="D874" s="288"/>
    </row>
    <row r="875" spans="3:4" x14ac:dyDescent="0.35">
      <c r="C875" s="285"/>
      <c r="D875" s="288"/>
    </row>
    <row r="876" spans="3:4" x14ac:dyDescent="0.35">
      <c r="C876" s="285"/>
      <c r="D876" s="288"/>
    </row>
    <row r="877" spans="3:4" x14ac:dyDescent="0.35">
      <c r="C877" s="285"/>
      <c r="D877" s="288"/>
    </row>
    <row r="878" spans="3:4" x14ac:dyDescent="0.35">
      <c r="C878" s="285"/>
      <c r="D878" s="288"/>
    </row>
    <row r="879" spans="3:4" x14ac:dyDescent="0.35">
      <c r="C879" s="285"/>
      <c r="D879" s="288"/>
    </row>
    <row r="880" spans="3:4" x14ac:dyDescent="0.35">
      <c r="C880" s="285"/>
      <c r="D880" s="288"/>
    </row>
    <row r="881" spans="3:4" x14ac:dyDescent="0.35">
      <c r="C881" s="285"/>
      <c r="D881" s="288"/>
    </row>
    <row r="882" spans="3:4" x14ac:dyDescent="0.35">
      <c r="C882" s="285"/>
      <c r="D882" s="288"/>
    </row>
    <row r="883" spans="3:4" x14ac:dyDescent="0.35">
      <c r="C883" s="285"/>
      <c r="D883" s="288"/>
    </row>
    <row r="884" spans="3:4" x14ac:dyDescent="0.35">
      <c r="C884" s="285"/>
      <c r="D884" s="288"/>
    </row>
    <row r="885" spans="3:4" x14ac:dyDescent="0.35">
      <c r="C885" s="285"/>
      <c r="D885" s="288"/>
    </row>
    <row r="886" spans="3:4" x14ac:dyDescent="0.35">
      <c r="C886" s="285"/>
      <c r="D886" s="288"/>
    </row>
    <row r="887" spans="3:4" x14ac:dyDescent="0.35">
      <c r="C887" s="285"/>
      <c r="D887" s="288"/>
    </row>
    <row r="888" spans="3:4" x14ac:dyDescent="0.35">
      <c r="C888" s="285"/>
      <c r="D888" s="288"/>
    </row>
    <row r="889" spans="3:4" x14ac:dyDescent="0.35">
      <c r="C889" s="285"/>
      <c r="D889" s="288"/>
    </row>
    <row r="890" spans="3:4" x14ac:dyDescent="0.35">
      <c r="C890" s="285"/>
      <c r="D890" s="288"/>
    </row>
    <row r="891" spans="3:4" x14ac:dyDescent="0.35">
      <c r="C891" s="285"/>
      <c r="D891" s="288"/>
    </row>
    <row r="892" spans="3:4" x14ac:dyDescent="0.35">
      <c r="C892" s="285"/>
      <c r="D892" s="288"/>
    </row>
    <row r="893" spans="3:4" x14ac:dyDescent="0.35">
      <c r="C893" s="285"/>
      <c r="D893" s="288"/>
    </row>
    <row r="894" spans="3:4" x14ac:dyDescent="0.35">
      <c r="C894" s="285"/>
      <c r="D894" s="288"/>
    </row>
    <row r="895" spans="3:4" x14ac:dyDescent="0.35">
      <c r="C895" s="285"/>
      <c r="D895" s="288"/>
    </row>
    <row r="896" spans="3:4" x14ac:dyDescent="0.35">
      <c r="C896" s="285"/>
      <c r="D896" s="288"/>
    </row>
    <row r="897" spans="3:4" x14ac:dyDescent="0.35">
      <c r="C897" s="285"/>
      <c r="D897" s="288"/>
    </row>
    <row r="898" spans="3:4" x14ac:dyDescent="0.35">
      <c r="C898" s="285"/>
      <c r="D898" s="288"/>
    </row>
    <row r="899" spans="3:4" x14ac:dyDescent="0.35">
      <c r="C899" s="285"/>
      <c r="D899" s="288"/>
    </row>
    <row r="900" spans="3:4" x14ac:dyDescent="0.35">
      <c r="C900" s="285"/>
      <c r="D900" s="288"/>
    </row>
    <row r="901" spans="3:4" x14ac:dyDescent="0.35">
      <c r="C901" s="285"/>
      <c r="D901" s="288"/>
    </row>
    <row r="902" spans="3:4" x14ac:dyDescent="0.35">
      <c r="C902" s="285"/>
      <c r="D902" s="288"/>
    </row>
    <row r="903" spans="3:4" x14ac:dyDescent="0.35">
      <c r="C903" s="285"/>
      <c r="D903" s="288"/>
    </row>
    <row r="904" spans="3:4" x14ac:dyDescent="0.35">
      <c r="C904" s="285"/>
      <c r="D904" s="288"/>
    </row>
    <row r="905" spans="3:4" x14ac:dyDescent="0.35">
      <c r="C905" s="285"/>
      <c r="D905" s="288"/>
    </row>
    <row r="906" spans="3:4" x14ac:dyDescent="0.35">
      <c r="C906" s="285"/>
      <c r="D906" s="288"/>
    </row>
    <row r="907" spans="3:4" x14ac:dyDescent="0.35">
      <c r="C907" s="285"/>
      <c r="D907" s="288"/>
    </row>
    <row r="908" spans="3:4" x14ac:dyDescent="0.35">
      <c r="C908" s="285"/>
      <c r="D908" s="288"/>
    </row>
    <row r="909" spans="3:4" x14ac:dyDescent="0.35">
      <c r="C909" s="285"/>
      <c r="D909" s="288"/>
    </row>
    <row r="910" spans="3:4" x14ac:dyDescent="0.35">
      <c r="C910" s="285"/>
      <c r="D910" s="288"/>
    </row>
    <row r="911" spans="3:4" x14ac:dyDescent="0.35">
      <c r="C911" s="285"/>
      <c r="D911" s="288"/>
    </row>
    <row r="912" spans="3:4" x14ac:dyDescent="0.35">
      <c r="C912" s="285"/>
      <c r="D912" s="288"/>
    </row>
    <row r="913" spans="3:4" x14ac:dyDescent="0.35">
      <c r="C913" s="285"/>
      <c r="D913" s="288"/>
    </row>
    <row r="914" spans="3:4" x14ac:dyDescent="0.35">
      <c r="C914" s="285"/>
      <c r="D914" s="288"/>
    </row>
    <row r="915" spans="3:4" x14ac:dyDescent="0.35">
      <c r="C915" s="285"/>
      <c r="D915" s="288"/>
    </row>
    <row r="916" spans="3:4" x14ac:dyDescent="0.35">
      <c r="C916" s="285"/>
      <c r="D916" s="288"/>
    </row>
    <row r="917" spans="3:4" x14ac:dyDescent="0.35">
      <c r="C917" s="285"/>
      <c r="D917" s="288"/>
    </row>
    <row r="918" spans="3:4" x14ac:dyDescent="0.35">
      <c r="C918" s="285"/>
      <c r="D918" s="288"/>
    </row>
    <row r="919" spans="3:4" x14ac:dyDescent="0.35">
      <c r="C919" s="285"/>
      <c r="D919" s="288"/>
    </row>
    <row r="920" spans="3:4" x14ac:dyDescent="0.35">
      <c r="C920" s="285"/>
      <c r="D920" s="288"/>
    </row>
    <row r="921" spans="3:4" x14ac:dyDescent="0.35">
      <c r="C921" s="285"/>
      <c r="D921" s="288"/>
    </row>
    <row r="922" spans="3:4" x14ac:dyDescent="0.35">
      <c r="C922" s="285"/>
      <c r="D922" s="288"/>
    </row>
    <row r="923" spans="3:4" x14ac:dyDescent="0.35">
      <c r="C923" s="285"/>
      <c r="D923" s="288"/>
    </row>
    <row r="924" spans="3:4" x14ac:dyDescent="0.35">
      <c r="C924" s="285"/>
      <c r="D924" s="288"/>
    </row>
    <row r="925" spans="3:4" x14ac:dyDescent="0.35">
      <c r="C925" s="285"/>
      <c r="D925" s="288"/>
    </row>
    <row r="926" spans="3:4" x14ac:dyDescent="0.35">
      <c r="C926" s="285"/>
      <c r="D926" s="288"/>
    </row>
    <row r="927" spans="3:4" x14ac:dyDescent="0.35">
      <c r="C927" s="285"/>
      <c r="D927" s="288"/>
    </row>
    <row r="928" spans="3:4" x14ac:dyDescent="0.35">
      <c r="C928" s="285"/>
      <c r="D928" s="288"/>
    </row>
    <row r="929" spans="3:4" x14ac:dyDescent="0.35">
      <c r="C929" s="285"/>
      <c r="D929" s="288"/>
    </row>
    <row r="930" spans="3:4" x14ac:dyDescent="0.35">
      <c r="C930" s="285"/>
      <c r="D930" s="288"/>
    </row>
    <row r="931" spans="3:4" x14ac:dyDescent="0.35">
      <c r="C931" s="285"/>
      <c r="D931" s="288"/>
    </row>
    <row r="932" spans="3:4" x14ac:dyDescent="0.35">
      <c r="C932" s="285"/>
      <c r="D932" s="288"/>
    </row>
    <row r="933" spans="3:4" x14ac:dyDescent="0.35">
      <c r="C933" s="285"/>
      <c r="D933" s="288"/>
    </row>
    <row r="934" spans="3:4" x14ac:dyDescent="0.35">
      <c r="C934" s="285"/>
      <c r="D934" s="288"/>
    </row>
    <row r="935" spans="3:4" x14ac:dyDescent="0.35">
      <c r="C935" s="285"/>
      <c r="D935" s="288"/>
    </row>
    <row r="936" spans="3:4" x14ac:dyDescent="0.35">
      <c r="C936" s="285"/>
      <c r="D936" s="288"/>
    </row>
    <row r="937" spans="3:4" x14ac:dyDescent="0.35">
      <c r="C937" s="285"/>
      <c r="D937" s="288"/>
    </row>
    <row r="938" spans="3:4" x14ac:dyDescent="0.35">
      <c r="C938" s="285"/>
      <c r="D938" s="288"/>
    </row>
    <row r="939" spans="3:4" x14ac:dyDescent="0.35">
      <c r="C939" s="285"/>
      <c r="D939" s="288"/>
    </row>
    <row r="940" spans="3:4" x14ac:dyDescent="0.35">
      <c r="C940" s="285"/>
      <c r="D940" s="288"/>
    </row>
    <row r="941" spans="3:4" x14ac:dyDescent="0.35">
      <c r="C941" s="285"/>
      <c r="D941" s="288"/>
    </row>
    <row r="942" spans="3:4" x14ac:dyDescent="0.35">
      <c r="C942" s="285"/>
      <c r="D942" s="288"/>
    </row>
    <row r="943" spans="3:4" x14ac:dyDescent="0.35">
      <c r="C943" s="285"/>
      <c r="D943" s="288"/>
    </row>
    <row r="944" spans="3:4" x14ac:dyDescent="0.35">
      <c r="C944" s="285"/>
      <c r="D944" s="288"/>
    </row>
    <row r="945" spans="3:4" x14ac:dyDescent="0.35">
      <c r="C945" s="285"/>
      <c r="D945" s="288"/>
    </row>
    <row r="946" spans="3:4" x14ac:dyDescent="0.35">
      <c r="C946" s="285"/>
      <c r="D946" s="288"/>
    </row>
    <row r="947" spans="3:4" x14ac:dyDescent="0.35">
      <c r="C947" s="285"/>
      <c r="D947" s="288"/>
    </row>
    <row r="948" spans="3:4" x14ac:dyDescent="0.35">
      <c r="C948" s="285"/>
      <c r="D948" s="288"/>
    </row>
    <row r="949" spans="3:4" x14ac:dyDescent="0.35">
      <c r="C949" s="285"/>
      <c r="D949" s="288"/>
    </row>
    <row r="950" spans="3:4" x14ac:dyDescent="0.35">
      <c r="C950" s="285"/>
      <c r="D950" s="288"/>
    </row>
    <row r="951" spans="3:4" x14ac:dyDescent="0.35">
      <c r="C951" s="285"/>
      <c r="D951" s="288"/>
    </row>
    <row r="952" spans="3:4" x14ac:dyDescent="0.35">
      <c r="C952" s="285"/>
      <c r="D952" s="288"/>
    </row>
    <row r="953" spans="3:4" x14ac:dyDescent="0.35">
      <c r="C953" s="285"/>
      <c r="D953" s="288"/>
    </row>
    <row r="954" spans="3:4" x14ac:dyDescent="0.35">
      <c r="C954" s="285"/>
      <c r="D954" s="288"/>
    </row>
    <row r="955" spans="3:4" x14ac:dyDescent="0.35">
      <c r="C955" s="285"/>
      <c r="D955" s="288"/>
    </row>
    <row r="956" spans="3:4" x14ac:dyDescent="0.35">
      <c r="C956" s="285"/>
      <c r="D956" s="288"/>
    </row>
    <row r="957" spans="3:4" x14ac:dyDescent="0.35">
      <c r="C957" s="285"/>
      <c r="D957" s="288"/>
    </row>
    <row r="958" spans="3:4" x14ac:dyDescent="0.35">
      <c r="C958" s="285"/>
      <c r="D958" s="288"/>
    </row>
    <row r="959" spans="3:4" x14ac:dyDescent="0.35">
      <c r="C959" s="285"/>
      <c r="D959" s="288"/>
    </row>
    <row r="960" spans="3:4" x14ac:dyDescent="0.35">
      <c r="C960" s="285"/>
      <c r="D960" s="288"/>
    </row>
    <row r="961" spans="3:4" x14ac:dyDescent="0.35">
      <c r="C961" s="285"/>
      <c r="D961" s="288"/>
    </row>
    <row r="962" spans="3:4" x14ac:dyDescent="0.35">
      <c r="C962" s="285"/>
      <c r="D962" s="288"/>
    </row>
    <row r="963" spans="3:4" x14ac:dyDescent="0.35">
      <c r="C963" s="285"/>
      <c r="D963" s="288"/>
    </row>
    <row r="964" spans="3:4" x14ac:dyDescent="0.35">
      <c r="C964" s="285"/>
      <c r="D964" s="288"/>
    </row>
    <row r="965" spans="3:4" x14ac:dyDescent="0.35">
      <c r="C965" s="285"/>
      <c r="D965" s="288"/>
    </row>
    <row r="966" spans="3:4" x14ac:dyDescent="0.35">
      <c r="C966" s="285"/>
      <c r="D966" s="288"/>
    </row>
    <row r="967" spans="3:4" x14ac:dyDescent="0.35">
      <c r="C967" s="285"/>
      <c r="D967" s="288"/>
    </row>
    <row r="968" spans="3:4" x14ac:dyDescent="0.35">
      <c r="C968" s="285"/>
      <c r="D968" s="288"/>
    </row>
    <row r="969" spans="3:4" x14ac:dyDescent="0.35">
      <c r="C969" s="285"/>
      <c r="D969" s="288"/>
    </row>
    <row r="970" spans="3:4" x14ac:dyDescent="0.35">
      <c r="C970" s="285"/>
      <c r="D970" s="288"/>
    </row>
    <row r="971" spans="3:4" x14ac:dyDescent="0.35">
      <c r="C971" s="285"/>
      <c r="D971" s="288"/>
    </row>
    <row r="972" spans="3:4" x14ac:dyDescent="0.35">
      <c r="C972" s="285"/>
      <c r="D972" s="288"/>
    </row>
    <row r="973" spans="3:4" x14ac:dyDescent="0.35">
      <c r="C973" s="285"/>
      <c r="D973" s="288"/>
    </row>
    <row r="974" spans="3:4" x14ac:dyDescent="0.35">
      <c r="C974" s="285"/>
      <c r="D974" s="288"/>
    </row>
    <row r="975" spans="3:4" x14ac:dyDescent="0.35">
      <c r="C975" s="285"/>
      <c r="D975" s="288"/>
    </row>
    <row r="976" spans="3:4" x14ac:dyDescent="0.35">
      <c r="C976" s="285"/>
      <c r="D976" s="288"/>
    </row>
    <row r="977" spans="3:4" x14ac:dyDescent="0.35">
      <c r="C977" s="285"/>
      <c r="D977" s="288"/>
    </row>
    <row r="978" spans="3:4" x14ac:dyDescent="0.35">
      <c r="C978" s="285"/>
      <c r="D978" s="288"/>
    </row>
    <row r="979" spans="3:4" x14ac:dyDescent="0.35">
      <c r="C979" s="285"/>
      <c r="D979" s="288"/>
    </row>
    <row r="980" spans="3:4" x14ac:dyDescent="0.35">
      <c r="C980" s="285"/>
      <c r="D980" s="288"/>
    </row>
    <row r="981" spans="3:4" x14ac:dyDescent="0.35">
      <c r="C981" s="285"/>
      <c r="D981" s="288"/>
    </row>
    <row r="982" spans="3:4" x14ac:dyDescent="0.35">
      <c r="C982" s="285"/>
      <c r="D982" s="288"/>
    </row>
    <row r="983" spans="3:4" x14ac:dyDescent="0.35">
      <c r="C983" s="285"/>
      <c r="D983" s="288"/>
    </row>
    <row r="984" spans="3:4" x14ac:dyDescent="0.35">
      <c r="C984" s="285"/>
      <c r="D984" s="288"/>
    </row>
    <row r="985" spans="3:4" x14ac:dyDescent="0.35">
      <c r="C985" s="285"/>
      <c r="D985" s="288"/>
    </row>
    <row r="986" spans="3:4" x14ac:dyDescent="0.35">
      <c r="C986" s="285"/>
      <c r="D986" s="288"/>
    </row>
    <row r="987" spans="3:4" x14ac:dyDescent="0.35">
      <c r="C987" s="285"/>
      <c r="D987" s="288"/>
    </row>
    <row r="988" spans="3:4" x14ac:dyDescent="0.35">
      <c r="C988" s="285"/>
      <c r="D988" s="288"/>
    </row>
    <row r="989" spans="3:4" x14ac:dyDescent="0.35">
      <c r="C989" s="285"/>
      <c r="D989" s="288"/>
    </row>
    <row r="990" spans="3:4" x14ac:dyDescent="0.35">
      <c r="C990" s="285"/>
      <c r="D990" s="288"/>
    </row>
    <row r="991" spans="3:4" x14ac:dyDescent="0.35">
      <c r="C991" s="285"/>
      <c r="D991" s="288"/>
    </row>
    <row r="992" spans="3:4" x14ac:dyDescent="0.35">
      <c r="C992" s="285"/>
      <c r="D992" s="288"/>
    </row>
    <row r="993" spans="3:4" x14ac:dyDescent="0.35">
      <c r="C993" s="285"/>
      <c r="D993" s="288"/>
    </row>
    <row r="994" spans="3:4" x14ac:dyDescent="0.35">
      <c r="C994" s="285"/>
      <c r="D994" s="288"/>
    </row>
    <row r="995" spans="3:4" x14ac:dyDescent="0.35">
      <c r="C995" s="285"/>
      <c r="D995" s="288"/>
    </row>
    <row r="996" spans="3:4" x14ac:dyDescent="0.35">
      <c r="C996" s="285"/>
      <c r="D996" s="288"/>
    </row>
    <row r="997" spans="3:4" x14ac:dyDescent="0.35">
      <c r="C997" s="285"/>
      <c r="D997" s="288"/>
    </row>
    <row r="998" spans="3:4" x14ac:dyDescent="0.35">
      <c r="C998" s="285"/>
      <c r="D998" s="288"/>
    </row>
    <row r="999" spans="3:4" x14ac:dyDescent="0.35">
      <c r="C999" s="285"/>
      <c r="D999" s="288"/>
    </row>
    <row r="1000" spans="3:4" x14ac:dyDescent="0.35">
      <c r="C1000" s="285"/>
      <c r="D1000" s="288"/>
    </row>
    <row r="1001" spans="3:4" x14ac:dyDescent="0.35">
      <c r="C1001" s="285"/>
      <c r="D1001" s="288"/>
    </row>
    <row r="1002" spans="3:4" x14ac:dyDescent="0.35">
      <c r="C1002" s="285"/>
      <c r="D1002" s="288"/>
    </row>
    <row r="1003" spans="3:4" x14ac:dyDescent="0.35">
      <c r="C1003" s="285"/>
      <c r="D1003" s="288"/>
    </row>
    <row r="1004" spans="3:4" x14ac:dyDescent="0.35">
      <c r="C1004" s="285"/>
      <c r="D1004" s="288"/>
    </row>
    <row r="1005" spans="3:4" x14ac:dyDescent="0.35">
      <c r="C1005" s="285"/>
      <c r="D1005" s="288"/>
    </row>
    <row r="1006" spans="3:4" x14ac:dyDescent="0.35">
      <c r="C1006" s="285"/>
      <c r="D1006" s="288"/>
    </row>
    <row r="1007" spans="3:4" x14ac:dyDescent="0.35">
      <c r="C1007" s="285"/>
      <c r="D1007" s="288"/>
    </row>
    <row r="1008" spans="3:4" x14ac:dyDescent="0.35">
      <c r="C1008" s="285"/>
      <c r="D1008" s="288"/>
    </row>
    <row r="1009" spans="3:4" x14ac:dyDescent="0.35">
      <c r="C1009" s="285"/>
      <c r="D1009" s="288"/>
    </row>
    <row r="1010" spans="3:4" x14ac:dyDescent="0.35">
      <c r="C1010" s="285"/>
      <c r="D1010" s="288"/>
    </row>
    <row r="1011" spans="3:4" x14ac:dyDescent="0.35">
      <c r="C1011" s="285"/>
      <c r="D1011" s="288"/>
    </row>
    <row r="1012" spans="3:4" x14ac:dyDescent="0.35">
      <c r="C1012" s="285"/>
      <c r="D1012" s="288"/>
    </row>
    <row r="1013" spans="3:4" x14ac:dyDescent="0.35">
      <c r="C1013" s="285"/>
      <c r="D1013" s="288"/>
    </row>
    <row r="1014" spans="3:4" x14ac:dyDescent="0.35">
      <c r="C1014" s="285"/>
      <c r="D1014" s="288"/>
    </row>
    <row r="1015" spans="3:4" x14ac:dyDescent="0.35">
      <c r="C1015" s="285"/>
      <c r="D1015" s="288"/>
    </row>
    <row r="1016" spans="3:4" x14ac:dyDescent="0.35">
      <c r="C1016" s="285"/>
      <c r="D1016" s="288"/>
    </row>
    <row r="1017" spans="3:4" x14ac:dyDescent="0.35">
      <c r="C1017" s="285"/>
      <c r="D1017" s="288"/>
    </row>
    <row r="1018" spans="3:4" x14ac:dyDescent="0.35">
      <c r="C1018" s="285"/>
      <c r="D1018" s="288"/>
    </row>
    <row r="1019" spans="3:4" x14ac:dyDescent="0.35">
      <c r="C1019" s="285"/>
      <c r="D1019" s="288"/>
    </row>
    <row r="1020" spans="3:4" x14ac:dyDescent="0.35">
      <c r="C1020" s="285"/>
      <c r="D1020" s="288"/>
    </row>
    <row r="1021" spans="3:4" x14ac:dyDescent="0.35">
      <c r="C1021" s="285"/>
      <c r="D1021" s="288"/>
    </row>
    <row r="1022" spans="3:4" x14ac:dyDescent="0.35">
      <c r="C1022" s="285"/>
      <c r="D1022" s="288"/>
    </row>
    <row r="1023" spans="3:4" x14ac:dyDescent="0.35">
      <c r="C1023" s="285"/>
      <c r="D1023" s="288"/>
    </row>
    <row r="1024" spans="3:4" x14ac:dyDescent="0.35">
      <c r="C1024" s="285"/>
      <c r="D1024" s="288"/>
    </row>
    <row r="1025" spans="3:4" x14ac:dyDescent="0.35">
      <c r="C1025" s="285"/>
      <c r="D1025" s="288"/>
    </row>
    <row r="1026" spans="3:4" x14ac:dyDescent="0.35">
      <c r="C1026" s="285"/>
      <c r="D1026" s="288"/>
    </row>
    <row r="1027" spans="3:4" x14ac:dyDescent="0.35">
      <c r="C1027" s="285"/>
      <c r="D1027" s="288"/>
    </row>
    <row r="1028" spans="3:4" x14ac:dyDescent="0.35">
      <c r="C1028" s="285"/>
      <c r="D1028" s="288"/>
    </row>
    <row r="1029" spans="3:4" x14ac:dyDescent="0.35">
      <c r="C1029" s="285"/>
      <c r="D1029" s="288"/>
    </row>
    <row r="1030" spans="3:4" x14ac:dyDescent="0.35">
      <c r="C1030" s="285"/>
      <c r="D1030" s="288"/>
    </row>
    <row r="1031" spans="3:4" x14ac:dyDescent="0.35">
      <c r="C1031" s="285"/>
      <c r="D1031" s="288"/>
    </row>
    <row r="1032" spans="3:4" x14ac:dyDescent="0.35">
      <c r="C1032" s="285"/>
      <c r="D1032" s="288"/>
    </row>
    <row r="1033" spans="3:4" x14ac:dyDescent="0.35">
      <c r="C1033" s="285"/>
      <c r="D1033" s="288"/>
    </row>
    <row r="1034" spans="3:4" x14ac:dyDescent="0.35">
      <c r="C1034" s="285"/>
      <c r="D1034" s="288"/>
    </row>
    <row r="1035" spans="3:4" x14ac:dyDescent="0.35">
      <c r="C1035" s="285"/>
      <c r="D1035" s="288"/>
    </row>
    <row r="1036" spans="3:4" x14ac:dyDescent="0.35">
      <c r="C1036" s="285"/>
      <c r="D1036" s="288"/>
    </row>
    <row r="1037" spans="3:4" x14ac:dyDescent="0.35">
      <c r="C1037" s="285"/>
      <c r="D1037" s="288"/>
    </row>
    <row r="1038" spans="3:4" x14ac:dyDescent="0.35">
      <c r="C1038" s="285"/>
      <c r="D1038" s="288"/>
    </row>
    <row r="1039" spans="3:4" x14ac:dyDescent="0.35">
      <c r="C1039" s="285"/>
      <c r="D1039" s="288"/>
    </row>
    <row r="1040" spans="3:4" x14ac:dyDescent="0.35">
      <c r="C1040" s="285"/>
      <c r="D1040" s="288"/>
    </row>
    <row r="1041" spans="3:4" x14ac:dyDescent="0.35">
      <c r="C1041" s="285"/>
      <c r="D1041" s="288"/>
    </row>
    <row r="1042" spans="3:4" x14ac:dyDescent="0.35">
      <c r="C1042" s="285"/>
      <c r="D1042" s="288"/>
    </row>
    <row r="1043" spans="3:4" x14ac:dyDescent="0.35">
      <c r="C1043" s="285"/>
      <c r="D1043" s="288"/>
    </row>
    <row r="1044" spans="3:4" x14ac:dyDescent="0.35">
      <c r="C1044" s="285"/>
      <c r="D1044" s="288"/>
    </row>
    <row r="1045" spans="3:4" x14ac:dyDescent="0.35">
      <c r="C1045" s="285"/>
      <c r="D1045" s="288"/>
    </row>
    <row r="1046" spans="3:4" x14ac:dyDescent="0.35">
      <c r="C1046" s="285"/>
      <c r="D1046" s="288"/>
    </row>
    <row r="1047" spans="3:4" x14ac:dyDescent="0.35">
      <c r="C1047" s="285"/>
      <c r="D1047" s="288"/>
    </row>
    <row r="1048" spans="3:4" x14ac:dyDescent="0.35">
      <c r="C1048" s="285"/>
      <c r="D1048" s="288"/>
    </row>
    <row r="1049" spans="3:4" x14ac:dyDescent="0.35">
      <c r="C1049" s="285"/>
      <c r="D1049" s="288"/>
    </row>
    <row r="1050" spans="3:4" x14ac:dyDescent="0.35">
      <c r="C1050" s="285"/>
      <c r="D1050" s="288"/>
    </row>
    <row r="1051" spans="3:4" x14ac:dyDescent="0.35">
      <c r="C1051" s="285"/>
      <c r="D1051" s="288"/>
    </row>
    <row r="1052" spans="3:4" x14ac:dyDescent="0.35">
      <c r="C1052" s="285"/>
      <c r="D1052" s="288"/>
    </row>
    <row r="1053" spans="3:4" x14ac:dyDescent="0.35">
      <c r="C1053" s="285"/>
      <c r="D1053" s="288"/>
    </row>
    <row r="1054" spans="3:4" x14ac:dyDescent="0.35">
      <c r="C1054" s="285"/>
      <c r="D1054" s="288"/>
    </row>
    <row r="1055" spans="3:4" x14ac:dyDescent="0.35">
      <c r="C1055" s="285"/>
      <c r="D1055" s="288"/>
    </row>
    <row r="1056" spans="3:4" x14ac:dyDescent="0.35">
      <c r="C1056" s="285"/>
      <c r="D1056" s="288"/>
    </row>
    <row r="1057" spans="3:4" x14ac:dyDescent="0.35">
      <c r="C1057" s="285"/>
      <c r="D1057" s="288"/>
    </row>
    <row r="1058" spans="3:4" x14ac:dyDescent="0.35">
      <c r="C1058" s="285"/>
      <c r="D1058" s="288"/>
    </row>
    <row r="1059" spans="3:4" x14ac:dyDescent="0.35">
      <c r="C1059" s="285"/>
      <c r="D1059" s="288"/>
    </row>
    <row r="1060" spans="3:4" x14ac:dyDescent="0.35">
      <c r="C1060" s="285"/>
      <c r="D1060" s="288"/>
    </row>
    <row r="1061" spans="3:4" x14ac:dyDescent="0.35">
      <c r="C1061" s="285"/>
      <c r="D1061" s="288"/>
    </row>
    <row r="1062" spans="3:4" x14ac:dyDescent="0.35">
      <c r="C1062" s="285"/>
      <c r="D1062" s="288"/>
    </row>
    <row r="1063" spans="3:4" x14ac:dyDescent="0.35">
      <c r="C1063" s="285"/>
      <c r="D1063" s="288"/>
    </row>
    <row r="1064" spans="3:4" x14ac:dyDescent="0.35">
      <c r="C1064" s="285"/>
      <c r="D1064" s="288"/>
    </row>
    <row r="1065" spans="3:4" x14ac:dyDescent="0.35">
      <c r="C1065" s="285"/>
      <c r="D1065" s="288"/>
    </row>
    <row r="1066" spans="3:4" x14ac:dyDescent="0.35">
      <c r="C1066" s="285"/>
      <c r="D1066" s="288"/>
    </row>
    <row r="1067" spans="3:4" x14ac:dyDescent="0.35">
      <c r="C1067" s="285"/>
      <c r="D1067" s="288"/>
    </row>
    <row r="1068" spans="3:4" x14ac:dyDescent="0.35">
      <c r="C1068" s="285"/>
      <c r="D1068" s="288"/>
    </row>
    <row r="1069" spans="3:4" x14ac:dyDescent="0.35">
      <c r="C1069" s="285"/>
      <c r="D1069" s="288"/>
    </row>
    <row r="1070" spans="3:4" x14ac:dyDescent="0.35">
      <c r="C1070" s="285"/>
      <c r="D1070" s="288"/>
    </row>
    <row r="1071" spans="3:4" x14ac:dyDescent="0.35">
      <c r="C1071" s="285"/>
      <c r="D1071" s="288"/>
    </row>
    <row r="1072" spans="3:4" x14ac:dyDescent="0.35">
      <c r="C1072" s="285"/>
      <c r="D1072" s="288"/>
    </row>
    <row r="1073" spans="3:4" x14ac:dyDescent="0.35">
      <c r="C1073" s="285"/>
      <c r="D1073" s="288"/>
    </row>
    <row r="1074" spans="3:4" x14ac:dyDescent="0.35">
      <c r="C1074" s="285"/>
      <c r="D1074" s="288"/>
    </row>
    <row r="1075" spans="3:4" x14ac:dyDescent="0.35">
      <c r="C1075" s="285"/>
      <c r="D1075" s="288"/>
    </row>
    <row r="1076" spans="3:4" x14ac:dyDescent="0.35">
      <c r="C1076" s="285"/>
      <c r="D1076" s="288"/>
    </row>
    <row r="1077" spans="3:4" x14ac:dyDescent="0.35">
      <c r="C1077" s="285"/>
      <c r="D1077" s="288"/>
    </row>
    <row r="1078" spans="3:4" x14ac:dyDescent="0.35">
      <c r="C1078" s="285"/>
      <c r="D1078" s="288"/>
    </row>
    <row r="1079" spans="3:4" x14ac:dyDescent="0.35">
      <c r="C1079" s="285"/>
      <c r="D1079" s="288"/>
    </row>
    <row r="1080" spans="3:4" x14ac:dyDescent="0.35">
      <c r="C1080" s="285"/>
      <c r="D1080" s="288"/>
    </row>
    <row r="1081" spans="3:4" x14ac:dyDescent="0.35">
      <c r="C1081" s="285"/>
      <c r="D1081" s="288"/>
    </row>
    <row r="1082" spans="3:4" x14ac:dyDescent="0.35">
      <c r="C1082" s="285"/>
      <c r="D1082" s="288"/>
    </row>
    <row r="1083" spans="3:4" x14ac:dyDescent="0.35">
      <c r="C1083" s="285"/>
      <c r="D1083" s="288"/>
    </row>
    <row r="1084" spans="3:4" x14ac:dyDescent="0.35">
      <c r="C1084" s="285"/>
      <c r="D1084" s="288"/>
    </row>
    <row r="1085" spans="3:4" x14ac:dyDescent="0.35">
      <c r="C1085" s="285"/>
      <c r="D1085" s="288"/>
    </row>
    <row r="1086" spans="3:4" x14ac:dyDescent="0.35">
      <c r="C1086" s="285"/>
      <c r="D1086" s="288"/>
    </row>
    <row r="1087" spans="3:4" x14ac:dyDescent="0.35">
      <c r="C1087" s="285"/>
      <c r="D1087" s="288"/>
    </row>
    <row r="1088" spans="3:4" x14ac:dyDescent="0.35">
      <c r="C1088" s="285"/>
      <c r="D1088" s="288"/>
    </row>
    <row r="1089" spans="3:4" x14ac:dyDescent="0.35">
      <c r="C1089" s="285"/>
      <c r="D1089" s="288"/>
    </row>
    <row r="1090" spans="3:4" x14ac:dyDescent="0.35">
      <c r="C1090" s="285"/>
      <c r="D1090" s="288"/>
    </row>
    <row r="1091" spans="3:4" x14ac:dyDescent="0.35">
      <c r="C1091" s="285"/>
      <c r="D1091" s="288"/>
    </row>
    <row r="1092" spans="3:4" x14ac:dyDescent="0.35">
      <c r="C1092" s="285"/>
      <c r="D1092" s="288"/>
    </row>
    <row r="1093" spans="3:4" x14ac:dyDescent="0.35">
      <c r="C1093" s="285"/>
      <c r="D1093" s="288"/>
    </row>
    <row r="1094" spans="3:4" x14ac:dyDescent="0.35">
      <c r="C1094" s="285"/>
      <c r="D1094" s="288"/>
    </row>
    <row r="1095" spans="3:4" x14ac:dyDescent="0.35">
      <c r="C1095" s="285"/>
      <c r="D1095" s="288"/>
    </row>
    <row r="1096" spans="3:4" x14ac:dyDescent="0.35">
      <c r="C1096" s="285"/>
      <c r="D1096" s="288"/>
    </row>
    <row r="1097" spans="3:4" x14ac:dyDescent="0.35">
      <c r="C1097" s="285"/>
      <c r="D1097" s="288"/>
    </row>
    <row r="1098" spans="3:4" x14ac:dyDescent="0.35">
      <c r="C1098" s="285"/>
      <c r="D1098" s="288"/>
    </row>
    <row r="1099" spans="3:4" x14ac:dyDescent="0.35">
      <c r="C1099" s="285"/>
      <c r="D1099" s="288"/>
    </row>
    <row r="1100" spans="3:4" x14ac:dyDescent="0.35">
      <c r="C1100" s="285"/>
      <c r="D1100" s="288"/>
    </row>
    <row r="1101" spans="3:4" x14ac:dyDescent="0.35">
      <c r="C1101" s="285"/>
      <c r="D1101" s="288"/>
    </row>
    <row r="1102" spans="3:4" x14ac:dyDescent="0.35">
      <c r="C1102" s="285"/>
      <c r="D1102" s="288"/>
    </row>
    <row r="1103" spans="3:4" x14ac:dyDescent="0.35">
      <c r="C1103" s="285"/>
      <c r="D1103" s="288"/>
    </row>
    <row r="1104" spans="3:4" x14ac:dyDescent="0.35">
      <c r="C1104" s="285"/>
      <c r="D1104" s="288"/>
    </row>
    <row r="1105" spans="3:4" x14ac:dyDescent="0.35">
      <c r="C1105" s="285"/>
      <c r="D1105" s="288"/>
    </row>
    <row r="1106" spans="3:4" x14ac:dyDescent="0.35">
      <c r="C1106" s="285"/>
      <c r="D1106" s="288"/>
    </row>
    <row r="1107" spans="3:4" x14ac:dyDescent="0.35">
      <c r="C1107" s="285"/>
      <c r="D1107" s="288"/>
    </row>
    <row r="1108" spans="3:4" x14ac:dyDescent="0.35">
      <c r="C1108" s="285"/>
      <c r="D1108" s="288"/>
    </row>
    <row r="1109" spans="3:4" x14ac:dyDescent="0.35">
      <c r="C1109" s="285"/>
      <c r="D1109" s="288"/>
    </row>
    <row r="1110" spans="3:4" x14ac:dyDescent="0.35">
      <c r="C1110" s="285"/>
      <c r="D1110" s="288"/>
    </row>
    <row r="1111" spans="3:4" x14ac:dyDescent="0.35">
      <c r="C1111" s="285"/>
      <c r="D1111" s="288"/>
    </row>
    <row r="1112" spans="3:4" x14ac:dyDescent="0.35">
      <c r="C1112" s="285"/>
      <c r="D1112" s="288"/>
    </row>
    <row r="1113" spans="3:4" x14ac:dyDescent="0.35">
      <c r="C1113" s="285"/>
      <c r="D1113" s="288"/>
    </row>
    <row r="1114" spans="3:4" x14ac:dyDescent="0.35">
      <c r="C1114" s="285"/>
      <c r="D1114" s="288"/>
    </row>
    <row r="1115" spans="3:4" x14ac:dyDescent="0.35">
      <c r="C1115" s="285"/>
      <c r="D1115" s="288"/>
    </row>
    <row r="1116" spans="3:4" x14ac:dyDescent="0.35">
      <c r="C1116" s="285"/>
      <c r="D1116" s="288"/>
    </row>
    <row r="1117" spans="3:4" x14ac:dyDescent="0.35">
      <c r="C1117" s="285"/>
      <c r="D1117" s="288"/>
    </row>
    <row r="1118" spans="3:4" x14ac:dyDescent="0.35">
      <c r="C1118" s="285"/>
      <c r="D1118" s="288"/>
    </row>
    <row r="1119" spans="3:4" x14ac:dyDescent="0.35">
      <c r="C1119" s="285"/>
      <c r="D1119" s="288"/>
    </row>
    <row r="1120" spans="3:4" x14ac:dyDescent="0.35">
      <c r="C1120" s="285"/>
      <c r="D1120" s="288"/>
    </row>
    <row r="1121" spans="3:4" x14ac:dyDescent="0.35">
      <c r="C1121" s="285"/>
      <c r="D1121" s="288"/>
    </row>
    <row r="1122" spans="3:4" x14ac:dyDescent="0.35">
      <c r="C1122" s="285"/>
      <c r="D1122" s="288"/>
    </row>
    <row r="1123" spans="3:4" x14ac:dyDescent="0.35">
      <c r="C1123" s="285"/>
      <c r="D1123" s="288"/>
    </row>
    <row r="1124" spans="3:4" x14ac:dyDescent="0.35">
      <c r="C1124" s="285"/>
      <c r="D1124" s="288"/>
    </row>
    <row r="1125" spans="3:4" x14ac:dyDescent="0.35">
      <c r="C1125" s="285"/>
      <c r="D1125" s="288"/>
    </row>
    <row r="1126" spans="3:4" x14ac:dyDescent="0.35">
      <c r="C1126" s="285"/>
      <c r="D1126" s="288"/>
    </row>
    <row r="1127" spans="3:4" x14ac:dyDescent="0.35">
      <c r="C1127" s="285"/>
      <c r="D1127" s="288"/>
    </row>
    <row r="1128" spans="3:4" x14ac:dyDescent="0.35">
      <c r="C1128" s="285"/>
      <c r="D1128" s="288"/>
    </row>
    <row r="1129" spans="3:4" x14ac:dyDescent="0.35">
      <c r="C1129" s="285"/>
      <c r="D1129" s="288"/>
    </row>
    <row r="1130" spans="3:4" x14ac:dyDescent="0.35">
      <c r="C1130" s="285"/>
      <c r="D1130" s="288"/>
    </row>
    <row r="1131" spans="3:4" x14ac:dyDescent="0.35">
      <c r="C1131" s="285"/>
      <c r="D1131" s="288"/>
    </row>
    <row r="1132" spans="3:4" x14ac:dyDescent="0.35">
      <c r="C1132" s="285"/>
      <c r="D1132" s="288"/>
    </row>
    <row r="1133" spans="3:4" x14ac:dyDescent="0.35">
      <c r="C1133" s="285"/>
      <c r="D1133" s="288"/>
    </row>
    <row r="1134" spans="3:4" x14ac:dyDescent="0.35">
      <c r="C1134" s="285"/>
      <c r="D1134" s="288"/>
    </row>
    <row r="1135" spans="3:4" x14ac:dyDescent="0.35">
      <c r="C1135" s="285"/>
      <c r="D1135" s="288"/>
    </row>
    <row r="1136" spans="3:4" x14ac:dyDescent="0.35">
      <c r="C1136" s="285"/>
      <c r="D1136" s="288"/>
    </row>
    <row r="1137" spans="3:4" x14ac:dyDescent="0.35">
      <c r="C1137" s="285"/>
      <c r="D1137" s="288"/>
    </row>
    <row r="1138" spans="3:4" x14ac:dyDescent="0.35">
      <c r="C1138" s="285"/>
      <c r="D1138" s="288"/>
    </row>
    <row r="1139" spans="3:4" x14ac:dyDescent="0.35">
      <c r="C1139" s="285"/>
      <c r="D1139" s="288"/>
    </row>
    <row r="1140" spans="3:4" x14ac:dyDescent="0.35">
      <c r="C1140" s="285"/>
      <c r="D1140" s="288"/>
    </row>
    <row r="1141" spans="3:4" x14ac:dyDescent="0.35">
      <c r="C1141" s="285"/>
      <c r="D1141" s="288"/>
    </row>
    <row r="1142" spans="3:4" x14ac:dyDescent="0.35">
      <c r="C1142" s="285"/>
      <c r="D1142" s="288"/>
    </row>
    <row r="1143" spans="3:4" x14ac:dyDescent="0.35">
      <c r="C1143" s="285"/>
      <c r="D1143" s="288"/>
    </row>
    <row r="1144" spans="3:4" x14ac:dyDescent="0.35">
      <c r="C1144" s="285"/>
      <c r="D1144" s="288"/>
    </row>
    <row r="1145" spans="3:4" x14ac:dyDescent="0.35">
      <c r="C1145" s="285"/>
      <c r="D1145" s="288"/>
    </row>
    <row r="1146" spans="3:4" x14ac:dyDescent="0.35">
      <c r="C1146" s="285"/>
      <c r="D1146" s="288"/>
    </row>
    <row r="1147" spans="3:4" x14ac:dyDescent="0.35">
      <c r="C1147" s="285"/>
      <c r="D1147" s="288"/>
    </row>
    <row r="1148" spans="3:4" x14ac:dyDescent="0.35">
      <c r="C1148" s="285"/>
      <c r="D1148" s="288"/>
    </row>
    <row r="1149" spans="3:4" x14ac:dyDescent="0.35">
      <c r="C1149" s="285"/>
      <c r="D1149" s="288"/>
    </row>
    <row r="1150" spans="3:4" x14ac:dyDescent="0.35">
      <c r="C1150" s="285"/>
      <c r="D1150" s="288"/>
    </row>
    <row r="1151" spans="3:4" x14ac:dyDescent="0.35">
      <c r="C1151" s="285"/>
      <c r="D1151" s="288"/>
    </row>
    <row r="1152" spans="3:4" x14ac:dyDescent="0.35">
      <c r="C1152" s="285"/>
      <c r="D1152" s="288"/>
    </row>
    <row r="1153" spans="3:4" x14ac:dyDescent="0.35">
      <c r="C1153" s="285"/>
      <c r="D1153" s="288"/>
    </row>
    <row r="1154" spans="3:4" x14ac:dyDescent="0.35">
      <c r="C1154" s="285"/>
      <c r="D1154" s="288"/>
    </row>
    <row r="1155" spans="3:4" x14ac:dyDescent="0.35">
      <c r="C1155" s="285"/>
      <c r="D1155" s="288"/>
    </row>
    <row r="1156" spans="3:4" x14ac:dyDescent="0.35">
      <c r="C1156" s="285"/>
      <c r="D1156" s="288"/>
    </row>
    <row r="1157" spans="3:4" x14ac:dyDescent="0.35">
      <c r="C1157" s="285"/>
      <c r="D1157" s="288"/>
    </row>
    <row r="1158" spans="3:4" x14ac:dyDescent="0.35">
      <c r="C1158" s="285"/>
      <c r="D1158" s="288"/>
    </row>
    <row r="1159" spans="3:4" x14ac:dyDescent="0.35">
      <c r="C1159" s="285"/>
      <c r="D1159" s="288"/>
    </row>
    <row r="1160" spans="3:4" x14ac:dyDescent="0.35">
      <c r="C1160" s="285"/>
      <c r="D1160" s="288"/>
    </row>
    <row r="1161" spans="3:4" x14ac:dyDescent="0.35">
      <c r="C1161" s="285"/>
      <c r="D1161" s="288"/>
    </row>
    <row r="1162" spans="3:4" x14ac:dyDescent="0.35">
      <c r="C1162" s="285"/>
      <c r="D1162" s="288"/>
    </row>
    <row r="1163" spans="3:4" x14ac:dyDescent="0.35">
      <c r="C1163" s="285"/>
      <c r="D1163" s="288"/>
    </row>
    <row r="1164" spans="3:4" x14ac:dyDescent="0.35">
      <c r="C1164" s="285"/>
      <c r="D1164" s="288"/>
    </row>
    <row r="1165" spans="3:4" x14ac:dyDescent="0.35">
      <c r="C1165" s="285"/>
      <c r="D1165" s="288"/>
    </row>
    <row r="1166" spans="3:4" x14ac:dyDescent="0.35">
      <c r="C1166" s="285"/>
      <c r="D1166" s="288"/>
    </row>
    <row r="1167" spans="3:4" x14ac:dyDescent="0.35">
      <c r="C1167" s="285"/>
      <c r="D1167" s="288"/>
    </row>
    <row r="1168" spans="3:4" x14ac:dyDescent="0.35">
      <c r="C1168" s="285"/>
      <c r="D1168" s="288"/>
    </row>
    <row r="1169" spans="3:4" x14ac:dyDescent="0.35">
      <c r="C1169" s="285"/>
      <c r="D1169" s="288"/>
    </row>
    <row r="1170" spans="3:4" x14ac:dyDescent="0.35">
      <c r="C1170" s="285"/>
      <c r="D1170" s="288"/>
    </row>
    <row r="1171" spans="3:4" x14ac:dyDescent="0.35">
      <c r="C1171" s="285"/>
      <c r="D1171" s="288"/>
    </row>
    <row r="1172" spans="3:4" x14ac:dyDescent="0.35">
      <c r="C1172" s="285"/>
      <c r="D1172" s="288"/>
    </row>
    <row r="1173" spans="3:4" x14ac:dyDescent="0.35">
      <c r="C1173" s="285"/>
      <c r="D1173" s="288"/>
    </row>
    <row r="1174" spans="3:4" x14ac:dyDescent="0.35">
      <c r="C1174" s="285"/>
      <c r="D1174" s="288"/>
    </row>
    <row r="1175" spans="3:4" x14ac:dyDescent="0.35">
      <c r="C1175" s="285"/>
      <c r="D1175" s="288"/>
    </row>
    <row r="1176" spans="3:4" x14ac:dyDescent="0.35">
      <c r="C1176" s="285"/>
      <c r="D1176" s="288"/>
    </row>
    <row r="1177" spans="3:4" x14ac:dyDescent="0.35">
      <c r="C1177" s="285"/>
      <c r="D1177" s="288"/>
    </row>
    <row r="1178" spans="3:4" x14ac:dyDescent="0.35">
      <c r="C1178" s="285"/>
      <c r="D1178" s="288"/>
    </row>
    <row r="1179" spans="3:4" x14ac:dyDescent="0.35">
      <c r="C1179" s="285"/>
      <c r="D1179" s="288"/>
    </row>
    <row r="1180" spans="3:4" x14ac:dyDescent="0.35">
      <c r="C1180" s="285"/>
      <c r="D1180" s="288"/>
    </row>
    <row r="1181" spans="3:4" x14ac:dyDescent="0.35">
      <c r="C1181" s="285"/>
      <c r="D1181" s="288"/>
    </row>
    <row r="1182" spans="3:4" x14ac:dyDescent="0.35">
      <c r="C1182" s="285"/>
      <c r="D1182" s="288"/>
    </row>
    <row r="1183" spans="3:4" x14ac:dyDescent="0.35">
      <c r="C1183" s="285"/>
      <c r="D1183" s="288"/>
    </row>
    <row r="1184" spans="3:4" x14ac:dyDescent="0.35">
      <c r="C1184" s="285"/>
      <c r="D1184" s="288"/>
    </row>
    <row r="1185" spans="3:4" x14ac:dyDescent="0.35">
      <c r="C1185" s="285"/>
      <c r="D1185" s="288"/>
    </row>
    <row r="1186" spans="3:4" x14ac:dyDescent="0.35">
      <c r="C1186" s="285"/>
      <c r="D1186" s="288"/>
    </row>
    <row r="1187" spans="3:4" x14ac:dyDescent="0.35">
      <c r="C1187" s="285"/>
      <c r="D1187" s="288"/>
    </row>
    <row r="1188" spans="3:4" x14ac:dyDescent="0.35">
      <c r="C1188" s="285"/>
      <c r="D1188" s="288"/>
    </row>
    <row r="1189" spans="3:4" x14ac:dyDescent="0.35">
      <c r="C1189" s="285"/>
      <c r="D1189" s="288"/>
    </row>
    <row r="1190" spans="3:4" x14ac:dyDescent="0.35">
      <c r="C1190" s="285"/>
      <c r="D1190" s="288"/>
    </row>
    <row r="1191" spans="3:4" x14ac:dyDescent="0.35">
      <c r="C1191" s="285"/>
      <c r="D1191" s="288"/>
    </row>
    <row r="1192" spans="3:4" x14ac:dyDescent="0.35">
      <c r="C1192" s="285"/>
      <c r="D1192" s="288"/>
    </row>
    <row r="1193" spans="3:4" x14ac:dyDescent="0.35">
      <c r="C1193" s="285"/>
      <c r="D1193" s="288"/>
    </row>
    <row r="1194" spans="3:4" x14ac:dyDescent="0.35">
      <c r="C1194" s="285"/>
      <c r="D1194" s="288"/>
    </row>
    <row r="1195" spans="3:4" x14ac:dyDescent="0.35">
      <c r="C1195" s="285"/>
      <c r="D1195" s="288"/>
    </row>
    <row r="1196" spans="3:4" x14ac:dyDescent="0.35">
      <c r="C1196" s="285"/>
      <c r="D1196" s="288"/>
    </row>
    <row r="1197" spans="3:4" x14ac:dyDescent="0.35">
      <c r="C1197" s="285"/>
      <c r="D1197" s="288"/>
    </row>
    <row r="1198" spans="3:4" x14ac:dyDescent="0.35">
      <c r="C1198" s="285"/>
      <c r="D1198" s="288"/>
    </row>
    <row r="1199" spans="3:4" x14ac:dyDescent="0.35">
      <c r="C1199" s="285"/>
      <c r="D1199" s="288"/>
    </row>
    <row r="1200" spans="3:4" x14ac:dyDescent="0.35">
      <c r="C1200" s="285"/>
      <c r="D1200" s="288"/>
    </row>
    <row r="1201" spans="3:4" x14ac:dyDescent="0.35">
      <c r="C1201" s="285"/>
      <c r="D1201" s="288"/>
    </row>
    <row r="1202" spans="3:4" x14ac:dyDescent="0.35">
      <c r="C1202" s="285"/>
      <c r="D1202" s="288"/>
    </row>
    <row r="1203" spans="3:4" x14ac:dyDescent="0.35">
      <c r="C1203" s="285"/>
      <c r="D1203" s="288"/>
    </row>
    <row r="1204" spans="3:4" x14ac:dyDescent="0.35">
      <c r="C1204" s="285"/>
      <c r="D1204" s="288"/>
    </row>
    <row r="1205" spans="3:4" x14ac:dyDescent="0.35">
      <c r="C1205" s="285"/>
      <c r="D1205" s="288"/>
    </row>
    <row r="1206" spans="3:4" x14ac:dyDescent="0.35">
      <c r="C1206" s="285"/>
      <c r="D1206" s="288"/>
    </row>
    <row r="1207" spans="3:4" x14ac:dyDescent="0.35">
      <c r="C1207" s="285"/>
      <c r="D1207" s="288"/>
    </row>
    <row r="1208" spans="3:4" x14ac:dyDescent="0.35">
      <c r="C1208" s="285"/>
      <c r="D1208" s="288"/>
    </row>
    <row r="1209" spans="3:4" x14ac:dyDescent="0.35">
      <c r="C1209" s="285"/>
      <c r="D1209" s="288"/>
    </row>
    <row r="1210" spans="3:4" x14ac:dyDescent="0.35">
      <c r="C1210" s="285"/>
      <c r="D1210" s="288"/>
    </row>
    <row r="1211" spans="3:4" x14ac:dyDescent="0.35">
      <c r="C1211" s="285"/>
      <c r="D1211" s="288"/>
    </row>
    <row r="1212" spans="3:4" x14ac:dyDescent="0.35">
      <c r="C1212" s="285"/>
      <c r="D1212" s="288"/>
    </row>
    <row r="1213" spans="3:4" x14ac:dyDescent="0.35">
      <c r="C1213" s="285"/>
      <c r="D1213" s="288"/>
    </row>
    <row r="1214" spans="3:4" x14ac:dyDescent="0.35">
      <c r="C1214" s="285"/>
      <c r="D1214" s="288"/>
    </row>
    <row r="1215" spans="3:4" x14ac:dyDescent="0.35">
      <c r="C1215" s="285"/>
      <c r="D1215" s="288"/>
    </row>
    <row r="1216" spans="3:4" x14ac:dyDescent="0.35">
      <c r="C1216" s="285"/>
      <c r="D1216" s="288"/>
    </row>
    <row r="1217" spans="3:4" x14ac:dyDescent="0.35">
      <c r="C1217" s="285"/>
      <c r="D1217" s="288"/>
    </row>
    <row r="1218" spans="3:4" x14ac:dyDescent="0.35">
      <c r="C1218" s="285"/>
      <c r="D1218" s="288"/>
    </row>
  </sheetData>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4"/>
  <sheetViews>
    <sheetView workbookViewId="0">
      <selection activeCell="C1" sqref="C1"/>
    </sheetView>
  </sheetViews>
  <sheetFormatPr defaultRowHeight="14.5" x14ac:dyDescent="0.35"/>
  <cols>
    <col min="1" max="1" width="26.7265625" bestFit="1" customWidth="1"/>
    <col min="2" max="2" width="18.54296875" bestFit="1" customWidth="1"/>
    <col min="3" max="3" width="19.453125" bestFit="1" customWidth="1"/>
    <col min="4" max="4" width="14.26953125" bestFit="1" customWidth="1"/>
    <col min="5" max="5" width="13.26953125" bestFit="1" customWidth="1"/>
    <col min="6" max="6" width="14" bestFit="1" customWidth="1"/>
    <col min="7" max="7" width="23.26953125" bestFit="1" customWidth="1"/>
  </cols>
  <sheetData>
    <row r="1" spans="1:7" ht="15" thickBot="1" x14ac:dyDescent="0.4">
      <c r="A1" s="385"/>
      <c r="B1" s="386" t="s">
        <v>1107</v>
      </c>
      <c r="C1" s="386" t="s">
        <v>1108</v>
      </c>
      <c r="D1" s="386" t="s">
        <v>1109</v>
      </c>
      <c r="E1" s="387"/>
      <c r="F1" s="387"/>
      <c r="G1" s="387"/>
    </row>
    <row r="2" spans="1:7" ht="15" thickBot="1" x14ac:dyDescent="0.4">
      <c r="A2" s="388" t="s">
        <v>1110</v>
      </c>
      <c r="B2" s="389" t="s">
        <v>1111</v>
      </c>
      <c r="C2" s="389" t="s">
        <v>1112</v>
      </c>
      <c r="D2" s="389" t="s">
        <v>1113</v>
      </c>
      <c r="E2" s="387"/>
      <c r="F2" s="387"/>
      <c r="G2" s="387"/>
    </row>
    <row r="3" spans="1:7" ht="15" thickBot="1" x14ac:dyDescent="0.4">
      <c r="A3" s="388" t="s">
        <v>1114</v>
      </c>
      <c r="B3" s="389" t="s">
        <v>1115</v>
      </c>
      <c r="C3" s="389" t="s">
        <v>1116</v>
      </c>
      <c r="D3" s="389" t="s">
        <v>1117</v>
      </c>
      <c r="E3" s="387"/>
      <c r="F3" s="387"/>
      <c r="G3" s="387"/>
    </row>
    <row r="4" spans="1:7" ht="15" thickBot="1" x14ac:dyDescent="0.4">
      <c r="A4" s="388"/>
      <c r="B4" s="390" t="s">
        <v>1118</v>
      </c>
      <c r="C4" s="390" t="s">
        <v>1119</v>
      </c>
      <c r="D4" s="390" t="s">
        <v>1120</v>
      </c>
      <c r="E4" s="387"/>
      <c r="F4" s="387"/>
      <c r="G4" s="387"/>
    </row>
    <row r="5" spans="1:7" ht="15" thickBot="1" x14ac:dyDescent="0.4">
      <c r="A5" s="388"/>
      <c r="B5" s="389"/>
      <c r="C5" s="389"/>
      <c r="D5" s="389"/>
      <c r="E5" s="387"/>
      <c r="F5" s="387"/>
      <c r="G5" s="387"/>
    </row>
    <row r="6" spans="1:7" ht="15" thickBot="1" x14ac:dyDescent="0.4">
      <c r="A6" s="388" t="s">
        <v>1121</v>
      </c>
      <c r="B6" s="389" t="s">
        <v>1122</v>
      </c>
      <c r="C6" s="389" t="s">
        <v>1123</v>
      </c>
      <c r="D6" s="389" t="s">
        <v>1124</v>
      </c>
      <c r="E6" s="387"/>
      <c r="F6" s="387"/>
      <c r="G6" s="387"/>
    </row>
    <row r="7" spans="1:7" x14ac:dyDescent="0.35">
      <c r="A7" s="387"/>
      <c r="B7" s="387"/>
      <c r="C7" s="387"/>
      <c r="D7" s="387"/>
      <c r="E7" s="387"/>
      <c r="F7" s="387"/>
      <c r="G7" s="387"/>
    </row>
    <row r="8" spans="1:7" ht="15" thickBot="1" x14ac:dyDescent="0.4">
      <c r="A8" s="387"/>
      <c r="B8" s="387"/>
      <c r="C8" s="387"/>
      <c r="D8" s="387"/>
      <c r="E8" s="387"/>
      <c r="F8" s="387"/>
      <c r="G8" s="387"/>
    </row>
    <row r="9" spans="1:7" ht="29.5" thickBot="1" x14ac:dyDescent="0.4">
      <c r="A9" s="385"/>
      <c r="B9" s="386" t="s">
        <v>1125</v>
      </c>
      <c r="C9" s="391" t="s">
        <v>1126</v>
      </c>
      <c r="D9" s="386" t="s">
        <v>1127</v>
      </c>
      <c r="E9" s="386" t="s">
        <v>1128</v>
      </c>
      <c r="F9" s="386" t="s">
        <v>983</v>
      </c>
      <c r="G9" s="386" t="s">
        <v>1129</v>
      </c>
    </row>
    <row r="10" spans="1:7" ht="15" thickBot="1" x14ac:dyDescent="0.4">
      <c r="A10" s="388" t="s">
        <v>1130</v>
      </c>
      <c r="B10" s="389" t="s">
        <v>1131</v>
      </c>
      <c r="C10" s="389" t="s">
        <v>1132</v>
      </c>
      <c r="D10" s="389" t="s">
        <v>1133</v>
      </c>
      <c r="E10" s="389" t="s">
        <v>1134</v>
      </c>
      <c r="F10" s="389" t="s">
        <v>1135</v>
      </c>
      <c r="G10" s="389" t="s">
        <v>1136</v>
      </c>
    </row>
    <row r="11" spans="1:7" ht="15" thickBot="1" x14ac:dyDescent="0.4">
      <c r="A11" s="388"/>
      <c r="B11" s="389"/>
      <c r="C11" s="389"/>
      <c r="D11" s="389"/>
      <c r="E11" s="389"/>
      <c r="F11" s="389"/>
      <c r="G11" s="389"/>
    </row>
    <row r="12" spans="1:7" ht="15" thickBot="1" x14ac:dyDescent="0.4">
      <c r="A12" s="388" t="s">
        <v>1137</v>
      </c>
      <c r="B12" s="389" t="s">
        <v>1138</v>
      </c>
      <c r="C12" s="389" t="s">
        <v>1139</v>
      </c>
      <c r="D12" s="389" t="s">
        <v>1140</v>
      </c>
      <c r="E12" s="389" t="s">
        <v>1141</v>
      </c>
      <c r="F12" s="389" t="s">
        <v>1142</v>
      </c>
      <c r="G12" s="389" t="s">
        <v>1136</v>
      </c>
    </row>
    <row r="13" spans="1:7" ht="15" thickBot="1" x14ac:dyDescent="0.4">
      <c r="A13" s="388"/>
      <c r="B13" s="389"/>
      <c r="C13" s="389"/>
      <c r="D13" s="389"/>
      <c r="E13" s="389"/>
      <c r="F13" s="389"/>
      <c r="G13" s="389"/>
    </row>
    <row r="14" spans="1:7" ht="15" thickBot="1" x14ac:dyDescent="0.4">
      <c r="A14" s="388" t="s">
        <v>1143</v>
      </c>
      <c r="B14" s="389" t="s">
        <v>1144</v>
      </c>
      <c r="C14" s="389" t="s">
        <v>1145</v>
      </c>
      <c r="D14" s="389" t="s">
        <v>1146</v>
      </c>
      <c r="E14" s="389" t="s">
        <v>1147</v>
      </c>
      <c r="F14" s="389" t="s">
        <v>1148</v>
      </c>
      <c r="G14" s="389" t="s">
        <v>1136</v>
      </c>
    </row>
    <row r="15" spans="1:7" ht="15" thickBot="1" x14ac:dyDescent="0.4">
      <c r="A15" s="388"/>
      <c r="B15" s="389"/>
      <c r="C15" s="389"/>
      <c r="D15" s="389"/>
      <c r="E15" s="389"/>
      <c r="F15" s="389"/>
      <c r="G15" s="389"/>
    </row>
    <row r="16" spans="1:7" ht="15" thickBot="1" x14ac:dyDescent="0.4">
      <c r="A16" s="388" t="s">
        <v>1149</v>
      </c>
      <c r="B16" s="389" t="s">
        <v>1150</v>
      </c>
      <c r="C16" s="389" t="s">
        <v>1151</v>
      </c>
      <c r="D16" s="389" t="s">
        <v>1152</v>
      </c>
      <c r="E16" s="389" t="s">
        <v>1153</v>
      </c>
      <c r="F16" s="389" t="s">
        <v>1154</v>
      </c>
      <c r="G16" s="389" t="s">
        <v>1136</v>
      </c>
    </row>
    <row r="17" spans="1:7" ht="15" thickBot="1" x14ac:dyDescent="0.4">
      <c r="A17" s="388"/>
      <c r="B17" s="389"/>
      <c r="C17" s="389"/>
      <c r="D17" s="389"/>
      <c r="E17" s="389"/>
      <c r="F17" s="389"/>
      <c r="G17" s="389"/>
    </row>
    <row r="18" spans="1:7" ht="15" thickBot="1" x14ac:dyDescent="0.4">
      <c r="A18" s="388" t="s">
        <v>1155</v>
      </c>
      <c r="B18" s="389" t="s">
        <v>1156</v>
      </c>
      <c r="C18" s="389" t="s">
        <v>1157</v>
      </c>
      <c r="D18" s="389" t="s">
        <v>1158</v>
      </c>
      <c r="E18" s="389" t="s">
        <v>1159</v>
      </c>
      <c r="F18" s="389" t="s">
        <v>1160</v>
      </c>
      <c r="G18" s="389" t="s">
        <v>1136</v>
      </c>
    </row>
    <row r="19" spans="1:7" ht="15" thickBot="1" x14ac:dyDescent="0.4">
      <c r="A19" s="388"/>
      <c r="B19" s="389"/>
      <c r="C19" s="389"/>
      <c r="D19" s="389"/>
      <c r="E19" s="389"/>
      <c r="F19" s="389"/>
      <c r="G19" s="389"/>
    </row>
    <row r="20" spans="1:7" ht="15" thickBot="1" x14ac:dyDescent="0.4">
      <c r="A20" s="388" t="s">
        <v>1161</v>
      </c>
      <c r="B20" s="389" t="s">
        <v>1162</v>
      </c>
      <c r="C20" s="389" t="s">
        <v>1163</v>
      </c>
      <c r="D20" s="389" t="s">
        <v>1164</v>
      </c>
      <c r="E20" s="389" t="s">
        <v>1165</v>
      </c>
      <c r="F20" s="389" t="s">
        <v>1166</v>
      </c>
      <c r="G20" s="389" t="s">
        <v>1136</v>
      </c>
    </row>
    <row r="21" spans="1:7" ht="15" thickBot="1" x14ac:dyDescent="0.4">
      <c r="A21" s="388"/>
      <c r="B21" s="389"/>
      <c r="C21" s="389"/>
      <c r="D21" s="389"/>
      <c r="E21" s="389"/>
      <c r="F21" s="389"/>
      <c r="G21" s="389"/>
    </row>
    <row r="22" spans="1:7" ht="15" thickBot="1" x14ac:dyDescent="0.4">
      <c r="A22" s="388" t="s">
        <v>1167</v>
      </c>
      <c r="B22" s="392">
        <v>2888600.09</v>
      </c>
      <c r="C22" s="392">
        <v>-1499792.36</v>
      </c>
      <c r="D22" s="389" t="s">
        <v>1168</v>
      </c>
      <c r="E22" s="389" t="s">
        <v>1169</v>
      </c>
      <c r="F22" s="389" t="s">
        <v>1170</v>
      </c>
      <c r="G22" s="389" t="s">
        <v>1171</v>
      </c>
    </row>
    <row r="23" spans="1:7" ht="15" thickBot="1" x14ac:dyDescent="0.4">
      <c r="A23" s="388"/>
      <c r="B23" s="389"/>
      <c r="C23" s="389"/>
      <c r="D23" s="389"/>
      <c r="E23" s="389"/>
      <c r="F23" s="389"/>
      <c r="G23" s="389"/>
    </row>
    <row r="24" spans="1:7" ht="15" thickBot="1" x14ac:dyDescent="0.4">
      <c r="A24" s="388" t="s">
        <v>1172</v>
      </c>
      <c r="B24" s="390" t="s">
        <v>1173</v>
      </c>
      <c r="C24" s="390" t="s">
        <v>1174</v>
      </c>
      <c r="D24" s="390" t="s">
        <v>1175</v>
      </c>
      <c r="E24" s="390" t="s">
        <v>1176</v>
      </c>
      <c r="F24" s="390" t="s">
        <v>1177</v>
      </c>
      <c r="G24" s="389"/>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O573"/>
  <sheetViews>
    <sheetView workbookViewId="0">
      <pane ySplit="3" topLeftCell="A9" activePane="bottomLeft" state="frozen"/>
      <selection pane="bottomLeft" activeCell="A24" sqref="A24"/>
    </sheetView>
  </sheetViews>
  <sheetFormatPr defaultColWidth="8.7265625" defaultRowHeight="14.5" x14ac:dyDescent="0.35"/>
  <cols>
    <col min="1" max="1" width="93.54296875" style="217" customWidth="1"/>
    <col min="2" max="2" width="22.81640625" style="219" hidden="1" customWidth="1"/>
    <col min="3" max="3" width="22.26953125" style="219" hidden="1" customWidth="1"/>
    <col min="4" max="4" width="11" style="219" hidden="1" customWidth="1"/>
    <col min="5" max="5" width="11.26953125" style="219" hidden="1" customWidth="1"/>
    <col min="6" max="6" width="22.26953125" style="219" hidden="1" customWidth="1"/>
    <col min="7" max="7" width="21.54296875" style="219" hidden="1" customWidth="1"/>
    <col min="8" max="8" width="22.1796875" style="219" hidden="1" customWidth="1"/>
    <col min="9" max="9" width="20.26953125" style="219" customWidth="1"/>
    <col min="10" max="10" width="21.81640625" style="219" customWidth="1"/>
    <col min="11" max="11" width="9.453125" style="219" customWidth="1"/>
    <col min="12" max="12" width="27.26953125" style="217" customWidth="1"/>
    <col min="13" max="15" width="20.81640625" style="217" customWidth="1"/>
    <col min="16" max="16384" width="8.7265625" style="217"/>
  </cols>
  <sheetData>
    <row r="2" spans="1:15" s="220" customFormat="1" x14ac:dyDescent="0.35">
      <c r="A2" s="220">
        <f>A89</f>
        <v>0</v>
      </c>
      <c r="B2" s="221">
        <f>GETPIVOTDATA(" Revised Budget - Sep 22",$A$3)</f>
        <v>579850000</v>
      </c>
      <c r="C2" s="221">
        <f>GETPIVOTDATA(" Actual Amount - Sep 22",$A$3)</f>
        <v>321675274.61000013</v>
      </c>
      <c r="D2" s="221">
        <f>GETPIVOTDATA(" PR - Sep 22",$A$3)</f>
        <v>27533031.460000001</v>
      </c>
      <c r="E2" s="221">
        <f>GETPIVOTDATA(" PO - Sep 22",$A$3)</f>
        <v>39813473.489999995</v>
      </c>
      <c r="F2" s="221">
        <f>GETPIVOTDATA(" Fund Available - Sep 22",$A$3)</f>
        <v>190828220.43999994</v>
      </c>
      <c r="G2" s="221">
        <f>GETPIVOTDATA(" Oct-22 Utilization Plan",$A$3)</f>
        <v>57713984.046866626</v>
      </c>
      <c r="H2" s="221">
        <f>GETPIVOTDATA(" Nov-22 Utilization Plan",$A$3)</f>
        <v>45812497.107666634</v>
      </c>
      <c r="I2" s="221">
        <f>GETPIVOTDATA(" Dec-22 Utilization Plan",$A$3)</f>
        <v>47727454.776000015</v>
      </c>
      <c r="J2" s="221">
        <f>GETPIVOTDATA(" Budget Surplus Amount ",$A$3)</f>
        <v>24203426.576666646</v>
      </c>
      <c r="K2" s="221"/>
    </row>
    <row r="3" spans="1:15" x14ac:dyDescent="0.35">
      <c r="B3" s="217" t="s">
        <v>931</v>
      </c>
      <c r="C3" s="217" t="s">
        <v>932</v>
      </c>
      <c r="D3" s="217" t="s">
        <v>933</v>
      </c>
      <c r="E3" s="217" t="s">
        <v>934</v>
      </c>
      <c r="F3" s="217" t="s">
        <v>935</v>
      </c>
      <c r="G3" s="217" t="s">
        <v>895</v>
      </c>
      <c r="H3" s="217" t="s">
        <v>896</v>
      </c>
      <c r="I3" s="217" t="s">
        <v>897</v>
      </c>
      <c r="J3" s="217" t="s">
        <v>967</v>
      </c>
      <c r="K3" s="263" t="s">
        <v>979</v>
      </c>
      <c r="L3"/>
      <c r="M3"/>
      <c r="N3"/>
      <c r="O3"/>
    </row>
    <row r="4" spans="1:15" x14ac:dyDescent="0.35">
      <c r="A4" s="218" t="s">
        <v>21</v>
      </c>
      <c r="B4" s="217">
        <v>1914312</v>
      </c>
      <c r="C4" s="217">
        <v>198310.65</v>
      </c>
      <c r="D4" s="217"/>
      <c r="E4" s="217"/>
      <c r="F4" s="217">
        <v>1716001.3499999999</v>
      </c>
      <c r="G4" s="217">
        <v>197502</v>
      </c>
      <c r="H4" s="217">
        <v>296253</v>
      </c>
      <c r="I4" s="217">
        <v>493755</v>
      </c>
      <c r="J4" s="217">
        <v>728491.35</v>
      </c>
      <c r="K4" s="217">
        <v>595613.08000000007</v>
      </c>
      <c r="L4"/>
      <c r="M4"/>
      <c r="N4"/>
      <c r="O4"/>
    </row>
    <row r="5" spans="1:15" x14ac:dyDescent="0.35">
      <c r="A5" s="218" t="s">
        <v>23</v>
      </c>
      <c r="B5" s="217">
        <v>25249543</v>
      </c>
      <c r="C5" s="217">
        <v>6442139.5899999999</v>
      </c>
      <c r="D5" s="217">
        <v>0</v>
      </c>
      <c r="E5" s="217">
        <v>0</v>
      </c>
      <c r="F5" s="217">
        <v>18807403.41</v>
      </c>
      <c r="G5" s="217">
        <v>5202378</v>
      </c>
      <c r="H5" s="217">
        <v>5202378</v>
      </c>
      <c r="I5" s="217">
        <v>5202378</v>
      </c>
      <c r="J5" s="217">
        <v>-1799730.5899999999</v>
      </c>
      <c r="K5" s="442">
        <v>-3865982.27</v>
      </c>
      <c r="L5"/>
      <c r="M5"/>
      <c r="N5"/>
      <c r="O5"/>
    </row>
    <row r="6" spans="1:15" x14ac:dyDescent="0.35">
      <c r="A6" s="218" t="s">
        <v>74</v>
      </c>
      <c r="B6" s="217">
        <v>6323690</v>
      </c>
      <c r="C6" s="217">
        <v>1495567.91</v>
      </c>
      <c r="D6" s="217">
        <v>0</v>
      </c>
      <c r="E6" s="217">
        <v>0</v>
      </c>
      <c r="F6" s="217">
        <v>4828122.09</v>
      </c>
      <c r="G6" s="217"/>
      <c r="H6" s="217"/>
      <c r="I6" s="217"/>
      <c r="J6" s="217">
        <v>4828122.09</v>
      </c>
      <c r="K6" s="217">
        <v>1870816.3239999996</v>
      </c>
      <c r="L6"/>
      <c r="M6"/>
      <c r="N6"/>
      <c r="O6"/>
    </row>
    <row r="7" spans="1:15" x14ac:dyDescent="0.35">
      <c r="A7" s="218" t="s">
        <v>79</v>
      </c>
      <c r="B7" s="217">
        <v>2951296</v>
      </c>
      <c r="C7" s="217">
        <v>952283.87999999989</v>
      </c>
      <c r="D7" s="217"/>
      <c r="E7" s="217"/>
      <c r="F7" s="217">
        <v>1999012.1200000003</v>
      </c>
      <c r="G7" s="217">
        <v>20000</v>
      </c>
      <c r="H7" s="217">
        <v>30000</v>
      </c>
      <c r="I7" s="217">
        <v>20000</v>
      </c>
      <c r="J7" s="217">
        <v>1929012.1200000003</v>
      </c>
      <c r="K7" s="217">
        <v>1381629.2519999999</v>
      </c>
      <c r="L7"/>
      <c r="M7"/>
      <c r="N7"/>
      <c r="O7"/>
    </row>
    <row r="8" spans="1:15" x14ac:dyDescent="0.35">
      <c r="A8" s="218" t="s">
        <v>55</v>
      </c>
      <c r="B8" s="217">
        <v>5847464</v>
      </c>
      <c r="C8" s="217">
        <v>2057917.4399999999</v>
      </c>
      <c r="D8" s="217">
        <v>2056990</v>
      </c>
      <c r="E8" s="217">
        <v>727131.75</v>
      </c>
      <c r="F8" s="217">
        <v>1005424.81</v>
      </c>
      <c r="G8" s="217">
        <v>162500</v>
      </c>
      <c r="H8" s="217">
        <v>250000</v>
      </c>
      <c r="I8" s="217">
        <v>380425</v>
      </c>
      <c r="J8" s="217">
        <v>212499.81000000006</v>
      </c>
      <c r="K8" s="217">
        <v>170499.81000000006</v>
      </c>
      <c r="L8"/>
      <c r="M8"/>
      <c r="N8"/>
      <c r="O8"/>
    </row>
    <row r="9" spans="1:15" x14ac:dyDescent="0.35">
      <c r="A9" s="218" t="s">
        <v>437</v>
      </c>
      <c r="B9" s="217">
        <v>3600</v>
      </c>
      <c r="C9" s="217">
        <v>288.14</v>
      </c>
      <c r="D9" s="217"/>
      <c r="E9" s="217"/>
      <c r="F9" s="217">
        <v>3311.86</v>
      </c>
      <c r="G9" s="217">
        <v>100</v>
      </c>
      <c r="H9" s="217">
        <v>100</v>
      </c>
      <c r="I9" s="217">
        <v>100</v>
      </c>
      <c r="J9" s="217">
        <v>3011.86</v>
      </c>
      <c r="K9" s="217">
        <v>2523.4880000000003</v>
      </c>
      <c r="L9"/>
      <c r="M9"/>
      <c r="N9"/>
      <c r="O9"/>
    </row>
    <row r="10" spans="1:15" x14ac:dyDescent="0.35">
      <c r="A10" s="218" t="s">
        <v>390</v>
      </c>
      <c r="B10" s="217">
        <v>230000</v>
      </c>
      <c r="C10" s="217">
        <v>12166</v>
      </c>
      <c r="D10" s="217">
        <v>0</v>
      </c>
      <c r="E10" s="217">
        <v>0</v>
      </c>
      <c r="F10" s="217">
        <v>217834</v>
      </c>
      <c r="G10" s="217"/>
      <c r="H10" s="217"/>
      <c r="I10" s="217"/>
      <c r="J10" s="217">
        <v>217834</v>
      </c>
      <c r="K10" s="217">
        <v>217834</v>
      </c>
      <c r="L10"/>
      <c r="M10"/>
      <c r="N10"/>
      <c r="O10"/>
    </row>
    <row r="11" spans="1:15" x14ac:dyDescent="0.35">
      <c r="A11" s="218" t="s">
        <v>385</v>
      </c>
      <c r="B11" s="217">
        <v>22616578</v>
      </c>
      <c r="C11" s="217">
        <v>10698644.17</v>
      </c>
      <c r="D11" s="217">
        <v>234449.00000000049</v>
      </c>
      <c r="E11" s="217">
        <v>10773628.360000001</v>
      </c>
      <c r="F11" s="217">
        <v>909856.46999999927</v>
      </c>
      <c r="G11" s="217"/>
      <c r="H11" s="217"/>
      <c r="I11" s="217">
        <v>952441</v>
      </c>
      <c r="J11" s="217">
        <v>-42584.530000000756</v>
      </c>
      <c r="K11" s="217">
        <v>234750.21399999931</v>
      </c>
      <c r="L11"/>
      <c r="M11"/>
      <c r="N11"/>
      <c r="O11"/>
    </row>
    <row r="12" spans="1:15" x14ac:dyDescent="0.35">
      <c r="A12" s="218" t="s">
        <v>39</v>
      </c>
      <c r="B12" s="217">
        <v>3827059</v>
      </c>
      <c r="C12" s="217">
        <v>269549.76</v>
      </c>
      <c r="D12" s="217"/>
      <c r="E12" s="217"/>
      <c r="F12" s="217">
        <v>3557509.2399999998</v>
      </c>
      <c r="G12" s="217">
        <v>39625</v>
      </c>
      <c r="H12" s="217">
        <v>95766.2</v>
      </c>
      <c r="I12" s="217">
        <v>180811.8</v>
      </c>
      <c r="J12" s="217">
        <v>3241306.2399999998</v>
      </c>
      <c r="K12" s="217">
        <v>1069257.6640000001</v>
      </c>
      <c r="L12"/>
      <c r="M12"/>
      <c r="N12"/>
      <c r="O12"/>
    </row>
    <row r="13" spans="1:15" x14ac:dyDescent="0.35">
      <c r="A13" s="218" t="s">
        <v>424</v>
      </c>
      <c r="B13" s="217">
        <v>1277092</v>
      </c>
      <c r="C13" s="217">
        <v>851856.74</v>
      </c>
      <c r="D13" s="217">
        <v>2.0000000000363798</v>
      </c>
      <c r="E13" s="217">
        <v>449.99999999996362</v>
      </c>
      <c r="F13" s="217">
        <v>424783.26</v>
      </c>
      <c r="G13" s="217">
        <v>141421</v>
      </c>
      <c r="H13" s="217">
        <v>141421</v>
      </c>
      <c r="I13" s="217">
        <v>141422</v>
      </c>
      <c r="J13" s="217">
        <v>519.26000000000931</v>
      </c>
      <c r="K13" s="217">
        <v>415.33800000001213</v>
      </c>
      <c r="L13"/>
      <c r="M13"/>
      <c r="N13"/>
      <c r="O13"/>
    </row>
    <row r="14" spans="1:15" x14ac:dyDescent="0.35">
      <c r="A14" s="218" t="s">
        <v>362</v>
      </c>
      <c r="B14" s="217">
        <v>9167788</v>
      </c>
      <c r="C14" s="217">
        <v>5031417.7000000011</v>
      </c>
      <c r="D14" s="217">
        <v>0</v>
      </c>
      <c r="E14" s="217">
        <v>4094959.11</v>
      </c>
      <c r="F14" s="217">
        <v>41411.189999999711</v>
      </c>
      <c r="G14" s="217"/>
      <c r="H14" s="217"/>
      <c r="I14" s="217"/>
      <c r="J14" s="217">
        <v>41411.189999999711</v>
      </c>
      <c r="K14" s="217">
        <v>41411.189999999711</v>
      </c>
      <c r="L14"/>
      <c r="M14"/>
      <c r="N14"/>
      <c r="O14"/>
    </row>
    <row r="15" spans="1:15" x14ac:dyDescent="0.35">
      <c r="A15" s="218" t="s">
        <v>37</v>
      </c>
      <c r="B15" s="217">
        <v>16916819</v>
      </c>
      <c r="C15" s="217">
        <v>7482296.580000001</v>
      </c>
      <c r="D15" s="217">
        <v>1307824.1000000003</v>
      </c>
      <c r="E15" s="217">
        <v>4213764.4000000004</v>
      </c>
      <c r="F15" s="217">
        <v>3912933.92</v>
      </c>
      <c r="G15" s="217">
        <v>144312.5</v>
      </c>
      <c r="H15" s="217">
        <v>178175</v>
      </c>
      <c r="I15" s="217">
        <v>130991</v>
      </c>
      <c r="J15" s="217">
        <v>3459455.42</v>
      </c>
      <c r="K15" s="217">
        <v>2843351.7239999995</v>
      </c>
      <c r="L15"/>
      <c r="M15"/>
      <c r="N15"/>
      <c r="O15"/>
    </row>
    <row r="16" spans="1:15" x14ac:dyDescent="0.35">
      <c r="A16" s="218" t="s">
        <v>482</v>
      </c>
      <c r="B16" s="217">
        <v>360000</v>
      </c>
      <c r="C16" s="217">
        <v>266260.51</v>
      </c>
      <c r="D16" s="217"/>
      <c r="E16" s="217"/>
      <c r="F16" s="217">
        <v>93739.489999999991</v>
      </c>
      <c r="G16" s="217">
        <v>31739</v>
      </c>
      <c r="H16" s="217">
        <v>31000</v>
      </c>
      <c r="I16" s="217">
        <v>31000</v>
      </c>
      <c r="J16" s="217">
        <v>0.48999999999068677</v>
      </c>
      <c r="K16" s="217">
        <v>0.48999999999068677</v>
      </c>
      <c r="L16"/>
      <c r="M16"/>
      <c r="N16"/>
      <c r="O16"/>
    </row>
    <row r="17" spans="1:15" x14ac:dyDescent="0.35">
      <c r="A17" s="218" t="s">
        <v>31</v>
      </c>
      <c r="B17" s="217">
        <v>9245917</v>
      </c>
      <c r="C17" s="217">
        <v>3152783.93</v>
      </c>
      <c r="D17" s="217">
        <v>2941300</v>
      </c>
      <c r="E17" s="217">
        <v>1165369.49</v>
      </c>
      <c r="F17" s="217">
        <v>1986463.58</v>
      </c>
      <c r="G17" s="217">
        <v>308900.09999999998</v>
      </c>
      <c r="H17" s="217">
        <v>489689.1</v>
      </c>
      <c r="I17" s="217">
        <v>373089.8</v>
      </c>
      <c r="J17" s="217">
        <v>814784.58</v>
      </c>
      <c r="K17" s="217">
        <v>647855.15799999994</v>
      </c>
      <c r="L17"/>
      <c r="M17"/>
      <c r="N17"/>
      <c r="O17"/>
    </row>
    <row r="18" spans="1:15" x14ac:dyDescent="0.35">
      <c r="A18" s="218" t="s">
        <v>33</v>
      </c>
      <c r="B18" s="217">
        <v>1802957</v>
      </c>
      <c r="C18" s="217">
        <v>295971.43</v>
      </c>
      <c r="D18" s="217"/>
      <c r="E18" s="217"/>
      <c r="F18" s="217">
        <v>1506985.5699999998</v>
      </c>
      <c r="G18" s="217">
        <v>231557.74900000001</v>
      </c>
      <c r="H18" s="217">
        <v>276540.88899999997</v>
      </c>
      <c r="I18" s="217">
        <v>163067.33199999999</v>
      </c>
      <c r="J18" s="217">
        <v>835819.6</v>
      </c>
      <c r="K18" s="217">
        <v>644792.21400000004</v>
      </c>
      <c r="L18"/>
      <c r="M18"/>
      <c r="N18"/>
      <c r="O18"/>
    </row>
    <row r="19" spans="1:15" x14ac:dyDescent="0.35">
      <c r="A19" s="218" t="s">
        <v>475</v>
      </c>
      <c r="B19" s="217">
        <v>2213028</v>
      </c>
      <c r="C19" s="217">
        <v>1465268.54</v>
      </c>
      <c r="D19" s="217"/>
      <c r="E19" s="217"/>
      <c r="F19" s="217">
        <v>747759.46</v>
      </c>
      <c r="G19" s="217">
        <v>387759.45999999996</v>
      </c>
      <c r="H19" s="217">
        <v>180000</v>
      </c>
      <c r="I19" s="217">
        <v>180000</v>
      </c>
      <c r="J19" s="217">
        <v>0</v>
      </c>
      <c r="K19" s="217">
        <v>0</v>
      </c>
      <c r="L19"/>
      <c r="M19"/>
      <c r="N19"/>
      <c r="O19"/>
    </row>
    <row r="20" spans="1:15" x14ac:dyDescent="0.35">
      <c r="A20" s="218" t="s">
        <v>224</v>
      </c>
      <c r="B20" s="217">
        <v>2677815</v>
      </c>
      <c r="C20" s="217">
        <v>1457537.45</v>
      </c>
      <c r="D20" s="217">
        <v>0</v>
      </c>
      <c r="E20" s="217">
        <v>692500</v>
      </c>
      <c r="F20" s="217">
        <v>527777.55000000005</v>
      </c>
      <c r="G20" s="217">
        <v>138000</v>
      </c>
      <c r="H20" s="217">
        <v>100000</v>
      </c>
      <c r="I20" s="217"/>
      <c r="J20" s="217">
        <v>289777.55000000005</v>
      </c>
      <c r="K20" s="217">
        <v>256112.55000000005</v>
      </c>
      <c r="L20"/>
      <c r="M20"/>
      <c r="N20"/>
      <c r="O20"/>
    </row>
    <row r="21" spans="1:15" x14ac:dyDescent="0.35">
      <c r="A21" s="218" t="s">
        <v>403</v>
      </c>
      <c r="B21" s="217">
        <v>15465717</v>
      </c>
      <c r="C21" s="217">
        <v>11394691.539999999</v>
      </c>
      <c r="D21" s="217"/>
      <c r="E21" s="217"/>
      <c r="F21" s="217">
        <v>4071025.4599999995</v>
      </c>
      <c r="G21" s="217"/>
      <c r="H21" s="217"/>
      <c r="I21" s="217">
        <v>4071025</v>
      </c>
      <c r="J21" s="217">
        <v>0.45999999949708581</v>
      </c>
      <c r="K21" s="217">
        <v>0.45999999949708581</v>
      </c>
      <c r="L21"/>
      <c r="M21"/>
      <c r="N21"/>
      <c r="O21"/>
    </row>
    <row r="22" spans="1:15" x14ac:dyDescent="0.35">
      <c r="A22" s="218" t="s">
        <v>559</v>
      </c>
      <c r="B22" s="217">
        <v>1427000</v>
      </c>
      <c r="C22" s="217">
        <v>860076.15999999992</v>
      </c>
      <c r="D22" s="217">
        <v>92515.74</v>
      </c>
      <c r="E22" s="217">
        <v>161631.32999999999</v>
      </c>
      <c r="F22" s="217">
        <v>312776.77000000014</v>
      </c>
      <c r="G22" s="217">
        <v>0</v>
      </c>
      <c r="H22" s="217">
        <v>11010.41</v>
      </c>
      <c r="I22" s="217">
        <v>0</v>
      </c>
      <c r="J22" s="217">
        <v>301766.3600000001</v>
      </c>
      <c r="K22" s="217">
        <v>301766.3600000001</v>
      </c>
      <c r="L22"/>
      <c r="M22"/>
      <c r="N22"/>
      <c r="O22"/>
    </row>
    <row r="23" spans="1:15" x14ac:dyDescent="0.35">
      <c r="A23" s="218" t="s">
        <v>35</v>
      </c>
      <c r="B23" s="217">
        <v>1470964</v>
      </c>
      <c r="C23" s="217">
        <v>243081.59</v>
      </c>
      <c r="D23" s="217">
        <v>153400</v>
      </c>
      <c r="E23" s="217">
        <v>0</v>
      </c>
      <c r="F23" s="217">
        <v>1074482.4099999999</v>
      </c>
      <c r="G23" s="217">
        <v>75598.850000000006</v>
      </c>
      <c r="H23" s="217">
        <v>188285.52499999999</v>
      </c>
      <c r="I23" s="217">
        <v>146705.875</v>
      </c>
      <c r="J23" s="217">
        <v>663892.15999999992</v>
      </c>
      <c r="K23" s="217">
        <v>632152.21400000004</v>
      </c>
      <c r="L23"/>
      <c r="M23"/>
      <c r="N23"/>
      <c r="O23"/>
    </row>
    <row r="24" spans="1:15" x14ac:dyDescent="0.35">
      <c r="A24" s="218" t="s">
        <v>737</v>
      </c>
      <c r="B24" s="217"/>
      <c r="C24" s="217"/>
      <c r="D24" s="217"/>
      <c r="E24" s="217"/>
      <c r="F24" s="217">
        <v>0</v>
      </c>
      <c r="G24" s="217">
        <v>2000</v>
      </c>
      <c r="H24" s="217"/>
      <c r="I24" s="217"/>
      <c r="J24" s="217">
        <v>-2000</v>
      </c>
      <c r="K24" s="217">
        <v>-2000</v>
      </c>
      <c r="L24"/>
      <c r="M24"/>
      <c r="N24"/>
      <c r="O24"/>
    </row>
    <row r="25" spans="1:15" x14ac:dyDescent="0.35">
      <c r="A25" s="218" t="s">
        <v>43</v>
      </c>
      <c r="B25" s="217">
        <v>1671402</v>
      </c>
      <c r="C25" s="217">
        <v>130698.66</v>
      </c>
      <c r="D25" s="217">
        <v>0</v>
      </c>
      <c r="E25" s="217">
        <v>177011</v>
      </c>
      <c r="F25" s="217">
        <v>1363692.3399999999</v>
      </c>
      <c r="G25" s="217">
        <v>5000</v>
      </c>
      <c r="H25" s="217">
        <v>98888.4</v>
      </c>
      <c r="I25" s="217">
        <v>24424.989999999998</v>
      </c>
      <c r="J25" s="217">
        <v>1235378.95</v>
      </c>
      <c r="K25" s="217">
        <v>1146864.77</v>
      </c>
      <c r="L25"/>
      <c r="M25"/>
      <c r="N25"/>
      <c r="O25"/>
    </row>
    <row r="26" spans="1:15" x14ac:dyDescent="0.35">
      <c r="A26" s="218" t="s">
        <v>432</v>
      </c>
      <c r="B26" s="217">
        <v>295000</v>
      </c>
      <c r="C26" s="217">
        <v>171100</v>
      </c>
      <c r="D26" s="217"/>
      <c r="E26" s="217"/>
      <c r="F26" s="217">
        <v>123900</v>
      </c>
      <c r="G26" s="217">
        <v>75750</v>
      </c>
      <c r="H26" s="217">
        <v>136350</v>
      </c>
      <c r="I26" s="217"/>
      <c r="J26" s="217">
        <v>-88200</v>
      </c>
      <c r="K26" s="217">
        <v>-88200</v>
      </c>
      <c r="L26"/>
      <c r="M26"/>
      <c r="N26"/>
      <c r="O26"/>
    </row>
    <row r="27" spans="1:15" x14ac:dyDescent="0.35">
      <c r="A27" s="218" t="s">
        <v>439</v>
      </c>
      <c r="B27" s="217">
        <v>90000</v>
      </c>
      <c r="C27" s="217">
        <v>72397.169999999896</v>
      </c>
      <c r="D27" s="217"/>
      <c r="E27" s="217"/>
      <c r="F27" s="217">
        <v>17602.830000000104</v>
      </c>
      <c r="G27" s="217">
        <v>5867</v>
      </c>
      <c r="H27" s="217">
        <v>5867</v>
      </c>
      <c r="I27" s="217">
        <v>5869</v>
      </c>
      <c r="J27" s="217">
        <v>-0.16999999989639036</v>
      </c>
      <c r="K27" s="217">
        <v>-0.16999999989639036</v>
      </c>
      <c r="L27"/>
      <c r="M27"/>
      <c r="N27"/>
      <c r="O27"/>
    </row>
    <row r="28" spans="1:15" x14ac:dyDescent="0.35">
      <c r="A28" s="218" t="s">
        <v>354</v>
      </c>
      <c r="B28" s="217">
        <v>110000</v>
      </c>
      <c r="C28" s="217"/>
      <c r="D28" s="217"/>
      <c r="E28" s="217"/>
      <c r="F28" s="217">
        <v>110000</v>
      </c>
      <c r="G28" s="217">
        <v>50000</v>
      </c>
      <c r="H28" s="217">
        <v>30000</v>
      </c>
      <c r="I28" s="217">
        <v>10000</v>
      </c>
      <c r="J28" s="217">
        <v>20000</v>
      </c>
      <c r="K28" s="217">
        <v>20000</v>
      </c>
      <c r="L28"/>
      <c r="M28"/>
      <c r="N28"/>
      <c r="O28"/>
    </row>
    <row r="29" spans="1:15" x14ac:dyDescent="0.35">
      <c r="A29" s="218" t="s">
        <v>426</v>
      </c>
      <c r="B29" s="217">
        <v>336000</v>
      </c>
      <c r="C29" s="217">
        <v>266719.75</v>
      </c>
      <c r="D29" s="217"/>
      <c r="E29" s="217"/>
      <c r="F29" s="217">
        <v>69280.25</v>
      </c>
      <c r="G29" s="217">
        <v>20000</v>
      </c>
      <c r="H29" s="217">
        <v>20000</v>
      </c>
      <c r="I29" s="217">
        <v>20000</v>
      </c>
      <c r="J29" s="217">
        <v>9280.25</v>
      </c>
      <c r="K29" s="217">
        <v>9280.25</v>
      </c>
      <c r="L29"/>
      <c r="M29"/>
      <c r="N29"/>
      <c r="O29"/>
    </row>
    <row r="30" spans="1:15" x14ac:dyDescent="0.35">
      <c r="A30" s="218" t="s">
        <v>102</v>
      </c>
      <c r="B30" s="217">
        <v>240000</v>
      </c>
      <c r="C30" s="217">
        <v>240000</v>
      </c>
      <c r="D30" s="217"/>
      <c r="E30" s="217"/>
      <c r="F30" s="217">
        <v>0</v>
      </c>
      <c r="G30" s="217"/>
      <c r="H30" s="217"/>
      <c r="I30" s="217"/>
      <c r="J30" s="217">
        <v>0</v>
      </c>
      <c r="K30" s="217">
        <v>0</v>
      </c>
      <c r="L30"/>
      <c r="M30"/>
      <c r="N30"/>
      <c r="O30"/>
    </row>
    <row r="31" spans="1:15" x14ac:dyDescent="0.35">
      <c r="A31" s="218" t="s">
        <v>357</v>
      </c>
      <c r="B31" s="217">
        <v>990000</v>
      </c>
      <c r="C31" s="217">
        <v>557145.32000000007</v>
      </c>
      <c r="D31" s="217">
        <v>28304.499999999993</v>
      </c>
      <c r="E31" s="217">
        <v>268157.28000000003</v>
      </c>
      <c r="F31" s="217">
        <v>136392.9</v>
      </c>
      <c r="G31" s="217">
        <v>23000</v>
      </c>
      <c r="H31" s="217">
        <v>23000</v>
      </c>
      <c r="I31" s="217">
        <v>23000</v>
      </c>
      <c r="J31" s="217">
        <v>67392.899999999994</v>
      </c>
      <c r="K31" s="217">
        <v>-27032.902000000009</v>
      </c>
      <c r="L31"/>
      <c r="M31"/>
      <c r="N31"/>
      <c r="O31"/>
    </row>
    <row r="32" spans="1:15" x14ac:dyDescent="0.35">
      <c r="A32" s="218" t="s">
        <v>607</v>
      </c>
      <c r="B32" s="217">
        <v>300000</v>
      </c>
      <c r="C32" s="217"/>
      <c r="D32" s="217"/>
      <c r="E32" s="217"/>
      <c r="F32" s="217">
        <v>300000</v>
      </c>
      <c r="G32" s="217">
        <v>366666</v>
      </c>
      <c r="H32" s="217"/>
      <c r="I32" s="217"/>
      <c r="J32" s="217">
        <v>-66666</v>
      </c>
      <c r="K32" s="217">
        <v>-66666</v>
      </c>
      <c r="L32"/>
      <c r="M32"/>
      <c r="N32"/>
      <c r="O32"/>
    </row>
    <row r="33" spans="1:15" x14ac:dyDescent="0.35">
      <c r="A33" s="218" t="s">
        <v>377</v>
      </c>
      <c r="B33" s="217">
        <v>984151</v>
      </c>
      <c r="C33" s="217">
        <v>44981.51</v>
      </c>
      <c r="D33" s="217"/>
      <c r="E33" s="217"/>
      <c r="F33" s="217">
        <v>939169.49</v>
      </c>
      <c r="G33" s="217"/>
      <c r="H33" s="217"/>
      <c r="I33" s="217"/>
      <c r="J33" s="217">
        <v>939169.49</v>
      </c>
      <c r="K33" s="217">
        <v>939169.49</v>
      </c>
      <c r="L33"/>
      <c r="M33"/>
      <c r="N33"/>
      <c r="O33"/>
    </row>
    <row r="34" spans="1:15" x14ac:dyDescent="0.35">
      <c r="A34" s="218" t="s">
        <v>380</v>
      </c>
      <c r="B34" s="217">
        <v>50000</v>
      </c>
      <c r="C34" s="217">
        <v>14718</v>
      </c>
      <c r="D34" s="217"/>
      <c r="E34" s="217"/>
      <c r="F34" s="217">
        <v>35282</v>
      </c>
      <c r="G34" s="217"/>
      <c r="H34" s="217"/>
      <c r="I34" s="217"/>
      <c r="J34" s="217">
        <v>35282</v>
      </c>
      <c r="K34" s="217">
        <v>35282</v>
      </c>
      <c r="L34"/>
      <c r="M34"/>
      <c r="N34"/>
      <c r="O34"/>
    </row>
    <row r="35" spans="1:15" x14ac:dyDescent="0.35">
      <c r="A35" s="218" t="s">
        <v>46</v>
      </c>
      <c r="B35" s="217">
        <v>550028</v>
      </c>
      <c r="C35" s="217">
        <v>79851</v>
      </c>
      <c r="D35" s="217">
        <v>0</v>
      </c>
      <c r="E35" s="217">
        <v>470177</v>
      </c>
      <c r="F35" s="217">
        <v>0</v>
      </c>
      <c r="G35" s="217"/>
      <c r="H35" s="217"/>
      <c r="I35" s="217"/>
      <c r="J35" s="217">
        <v>0</v>
      </c>
      <c r="K35" s="217">
        <v>0</v>
      </c>
      <c r="L35"/>
      <c r="M35"/>
      <c r="N35"/>
      <c r="O35"/>
    </row>
    <row r="36" spans="1:15" x14ac:dyDescent="0.35">
      <c r="A36" s="218" t="s">
        <v>469</v>
      </c>
      <c r="B36" s="217">
        <v>12955785</v>
      </c>
      <c r="C36" s="217">
        <v>10221106</v>
      </c>
      <c r="D36" s="217">
        <v>1148877</v>
      </c>
      <c r="E36" s="217">
        <v>0</v>
      </c>
      <c r="F36" s="217">
        <v>1585802</v>
      </c>
      <c r="G36" s="217"/>
      <c r="H36" s="217"/>
      <c r="I36" s="217">
        <v>160127.79999999999</v>
      </c>
      <c r="J36" s="217">
        <v>-9901500</v>
      </c>
      <c r="K36" s="442">
        <v>-9901500</v>
      </c>
      <c r="L36"/>
      <c r="M36"/>
      <c r="N36"/>
      <c r="O36"/>
    </row>
    <row r="37" spans="1:15" x14ac:dyDescent="0.35">
      <c r="A37" s="218" t="s">
        <v>135</v>
      </c>
      <c r="B37" s="217">
        <v>9448317</v>
      </c>
      <c r="C37" s="217">
        <v>2903098.92</v>
      </c>
      <c r="D37" s="217">
        <v>1503933.8600000003</v>
      </c>
      <c r="E37" s="217">
        <v>2385574.35</v>
      </c>
      <c r="F37" s="217">
        <v>2655709.8699999996</v>
      </c>
      <c r="G37" s="217">
        <v>1000000</v>
      </c>
      <c r="H37" s="217">
        <v>159065</v>
      </c>
      <c r="I37" s="217">
        <v>5000</v>
      </c>
      <c r="J37" s="217">
        <v>1491644.8699999996</v>
      </c>
      <c r="K37" s="217">
        <v>1225840.8259999999</v>
      </c>
      <c r="L37"/>
      <c r="M37"/>
      <c r="N37"/>
      <c r="O37"/>
    </row>
    <row r="38" spans="1:15" x14ac:dyDescent="0.35">
      <c r="A38" s="218" t="s">
        <v>132</v>
      </c>
      <c r="B38" s="217">
        <v>15871427</v>
      </c>
      <c r="C38" s="217">
        <v>7175302.0600000005</v>
      </c>
      <c r="D38" s="217">
        <v>2951554.85</v>
      </c>
      <c r="E38" s="217">
        <v>4784434.51</v>
      </c>
      <c r="F38" s="217">
        <v>960135.57999999949</v>
      </c>
      <c r="G38" s="217">
        <v>35000</v>
      </c>
      <c r="H38" s="217">
        <v>19083.89</v>
      </c>
      <c r="I38" s="217">
        <v>1000</v>
      </c>
      <c r="J38" s="217">
        <v>905051.68999999948</v>
      </c>
      <c r="K38" s="217">
        <v>364314.56599999953</v>
      </c>
      <c r="L38"/>
      <c r="M38"/>
      <c r="N38"/>
      <c r="O38"/>
    </row>
    <row r="39" spans="1:15" x14ac:dyDescent="0.35">
      <c r="A39" s="218" t="s">
        <v>25</v>
      </c>
      <c r="B39" s="217">
        <v>3369944</v>
      </c>
      <c r="C39" s="217">
        <v>2033835.2</v>
      </c>
      <c r="D39" s="217">
        <v>1099372.21</v>
      </c>
      <c r="E39" s="217">
        <v>-1.01863406598568E-10</v>
      </c>
      <c r="F39" s="217">
        <v>236736.59000000026</v>
      </c>
      <c r="G39" s="217">
        <v>23779.41</v>
      </c>
      <c r="H39" s="217">
        <v>200000</v>
      </c>
      <c r="I39" s="217"/>
      <c r="J39" s="217">
        <v>12957.180000000262</v>
      </c>
      <c r="K39" s="217">
        <v>50365.744000000268</v>
      </c>
      <c r="L39"/>
      <c r="M39"/>
      <c r="N39"/>
      <c r="O39"/>
    </row>
    <row r="40" spans="1:15" x14ac:dyDescent="0.35">
      <c r="A40" s="218" t="s">
        <v>573</v>
      </c>
      <c r="B40" s="217">
        <v>16456570</v>
      </c>
      <c r="C40" s="217">
        <v>12767176.51</v>
      </c>
      <c r="D40" s="217">
        <v>2128507.6799999997</v>
      </c>
      <c r="E40" s="217">
        <v>1053366.4099999999</v>
      </c>
      <c r="F40" s="217">
        <v>507519.40000000037</v>
      </c>
      <c r="G40" s="217">
        <v>257445</v>
      </c>
      <c r="H40" s="217"/>
      <c r="I40" s="217">
        <v>245324</v>
      </c>
      <c r="J40" s="217">
        <v>4750.4000000003725</v>
      </c>
      <c r="K40" s="217">
        <v>4750.4000000003725</v>
      </c>
      <c r="L40"/>
      <c r="M40"/>
      <c r="N40"/>
      <c r="O40"/>
    </row>
    <row r="41" spans="1:15" x14ac:dyDescent="0.35">
      <c r="A41" s="218" t="s">
        <v>95</v>
      </c>
      <c r="B41" s="217">
        <v>2080385</v>
      </c>
      <c r="C41" s="217">
        <v>1123235.94</v>
      </c>
      <c r="D41" s="217">
        <v>-2.6193447411060302E-10</v>
      </c>
      <c r="E41" s="217">
        <v>841859.39999999898</v>
      </c>
      <c r="F41" s="217">
        <v>115289.66000000131</v>
      </c>
      <c r="G41" s="217">
        <v>64699</v>
      </c>
      <c r="H41" s="217">
        <v>20000</v>
      </c>
      <c r="I41" s="217">
        <v>0</v>
      </c>
      <c r="J41" s="217">
        <v>30590.660000001313</v>
      </c>
      <c r="K41" s="217">
        <v>28953.260000001312</v>
      </c>
      <c r="L41"/>
      <c r="M41"/>
      <c r="N41"/>
      <c r="O41"/>
    </row>
    <row r="42" spans="1:15" x14ac:dyDescent="0.35">
      <c r="A42" s="218" t="s">
        <v>466</v>
      </c>
      <c r="B42" s="217">
        <v>319000</v>
      </c>
      <c r="C42" s="217"/>
      <c r="D42" s="217"/>
      <c r="E42" s="217">
        <v>0</v>
      </c>
      <c r="F42" s="217">
        <v>319000</v>
      </c>
      <c r="G42" s="217"/>
      <c r="H42" s="217"/>
      <c r="I42" s="217"/>
      <c r="J42" s="217">
        <v>319000</v>
      </c>
      <c r="K42" s="217">
        <v>319000</v>
      </c>
      <c r="L42"/>
      <c r="M42"/>
      <c r="N42"/>
      <c r="O42"/>
    </row>
    <row r="43" spans="1:15" x14ac:dyDescent="0.35">
      <c r="A43" s="218" t="s">
        <v>392</v>
      </c>
      <c r="B43" s="217">
        <v>26000</v>
      </c>
      <c r="C43" s="217">
        <v>5024</v>
      </c>
      <c r="D43" s="217"/>
      <c r="E43" s="217"/>
      <c r="F43" s="217">
        <v>20976</v>
      </c>
      <c r="G43" s="217"/>
      <c r="H43" s="217"/>
      <c r="I43" s="217"/>
      <c r="J43" s="217">
        <v>20976</v>
      </c>
      <c r="K43" s="217">
        <v>20976</v>
      </c>
      <c r="L43"/>
      <c r="M43"/>
      <c r="N43"/>
      <c r="O43"/>
    </row>
    <row r="44" spans="1:15" x14ac:dyDescent="0.35">
      <c r="A44" s="218" t="s">
        <v>27</v>
      </c>
      <c r="B44" s="217">
        <v>2475872</v>
      </c>
      <c r="C44" s="217">
        <v>149834.06</v>
      </c>
      <c r="D44" s="217">
        <v>-2.91038304567337E-11</v>
      </c>
      <c r="E44" s="217">
        <v>1195051.8999999999</v>
      </c>
      <c r="F44" s="217">
        <v>1130986.04</v>
      </c>
      <c r="G44" s="217">
        <v>41056</v>
      </c>
      <c r="H44" s="217">
        <v>41055</v>
      </c>
      <c r="I44" s="217">
        <v>41055</v>
      </c>
      <c r="J44" s="217">
        <v>1007820.04</v>
      </c>
      <c r="K44" s="217">
        <v>756243.22</v>
      </c>
      <c r="L44"/>
      <c r="M44"/>
      <c r="N44"/>
      <c r="O44"/>
    </row>
    <row r="45" spans="1:15" x14ac:dyDescent="0.35">
      <c r="A45" s="218" t="s">
        <v>367</v>
      </c>
      <c r="B45" s="217">
        <v>1290448</v>
      </c>
      <c r="C45" s="217">
        <v>319821.12</v>
      </c>
      <c r="D45" s="217">
        <v>1</v>
      </c>
      <c r="E45" s="217">
        <v>816560.11</v>
      </c>
      <c r="F45" s="217">
        <v>154065.77000000008</v>
      </c>
      <c r="G45" s="217">
        <v>0</v>
      </c>
      <c r="H45" s="217">
        <v>0</v>
      </c>
      <c r="I45" s="217">
        <v>67597</v>
      </c>
      <c r="J45" s="217">
        <v>86468.770000000077</v>
      </c>
      <c r="K45" s="217">
        <v>76190.370000000083</v>
      </c>
      <c r="L45"/>
      <c r="M45"/>
      <c r="N45"/>
      <c r="O45"/>
    </row>
    <row r="46" spans="1:15" x14ac:dyDescent="0.35">
      <c r="A46" s="218" t="s">
        <v>646</v>
      </c>
      <c r="B46" s="217">
        <v>35000</v>
      </c>
      <c r="C46" s="217"/>
      <c r="D46" s="217"/>
      <c r="E46" s="217"/>
      <c r="F46" s="217">
        <v>35000</v>
      </c>
      <c r="G46" s="217"/>
      <c r="H46" s="217"/>
      <c r="I46" s="217">
        <v>10000</v>
      </c>
      <c r="J46" s="217">
        <v>25000</v>
      </c>
      <c r="K46" s="217">
        <v>25000</v>
      </c>
      <c r="L46"/>
      <c r="M46"/>
      <c r="N46"/>
      <c r="O46"/>
    </row>
    <row r="47" spans="1:15" x14ac:dyDescent="0.35">
      <c r="A47" s="218" t="s">
        <v>398</v>
      </c>
      <c r="B47" s="217">
        <v>10000</v>
      </c>
      <c r="C47" s="217">
        <v>848</v>
      </c>
      <c r="D47" s="217"/>
      <c r="E47" s="217"/>
      <c r="F47" s="217">
        <v>9152</v>
      </c>
      <c r="G47" s="217"/>
      <c r="H47" s="217"/>
      <c r="I47" s="217"/>
      <c r="J47" s="217">
        <v>9152</v>
      </c>
      <c r="K47" s="217">
        <v>9152</v>
      </c>
      <c r="L47"/>
      <c r="M47"/>
      <c r="N47"/>
      <c r="O47"/>
    </row>
    <row r="48" spans="1:15" x14ac:dyDescent="0.35">
      <c r="A48" s="218" t="s">
        <v>422</v>
      </c>
      <c r="B48" s="217">
        <v>140000</v>
      </c>
      <c r="C48" s="217">
        <v>23171.84</v>
      </c>
      <c r="D48" s="217">
        <v>0</v>
      </c>
      <c r="E48" s="217"/>
      <c r="F48" s="217">
        <v>116828.16</v>
      </c>
      <c r="G48" s="217">
        <v>30000</v>
      </c>
      <c r="H48" s="217">
        <v>30000</v>
      </c>
      <c r="I48" s="217">
        <v>30000</v>
      </c>
      <c r="J48" s="217">
        <v>26828.160000000003</v>
      </c>
      <c r="K48" s="217">
        <v>26828.160000000003</v>
      </c>
      <c r="L48"/>
      <c r="M48"/>
      <c r="N48"/>
      <c r="O48"/>
    </row>
    <row r="49" spans="1:15" x14ac:dyDescent="0.35">
      <c r="A49" s="218" t="s">
        <v>66</v>
      </c>
      <c r="B49" s="217">
        <v>95229</v>
      </c>
      <c r="C49" s="217">
        <v>12957.33</v>
      </c>
      <c r="D49" s="217">
        <v>0</v>
      </c>
      <c r="E49" s="217"/>
      <c r="F49" s="217">
        <v>82271.67</v>
      </c>
      <c r="G49" s="217"/>
      <c r="H49" s="217"/>
      <c r="I49" s="217"/>
      <c r="J49" s="217">
        <v>82271.67</v>
      </c>
      <c r="K49" s="217">
        <v>67817.33600000001</v>
      </c>
      <c r="L49"/>
      <c r="M49"/>
      <c r="N49"/>
      <c r="O49"/>
    </row>
    <row r="50" spans="1:15" x14ac:dyDescent="0.35">
      <c r="A50" s="218" t="s">
        <v>413</v>
      </c>
      <c r="B50" s="217">
        <v>99510</v>
      </c>
      <c r="C50" s="217">
        <v>41250</v>
      </c>
      <c r="D50" s="217"/>
      <c r="E50" s="217"/>
      <c r="F50" s="217">
        <v>58260</v>
      </c>
      <c r="G50" s="217">
        <v>10000</v>
      </c>
      <c r="H50" s="217">
        <v>22755</v>
      </c>
      <c r="I50" s="217">
        <v>22755</v>
      </c>
      <c r="J50" s="217">
        <v>2750</v>
      </c>
      <c r="K50" s="217">
        <v>2750</v>
      </c>
      <c r="L50"/>
      <c r="M50"/>
      <c r="N50"/>
      <c r="O50"/>
    </row>
    <row r="51" spans="1:15" x14ac:dyDescent="0.35">
      <c r="A51" s="218" t="s">
        <v>435</v>
      </c>
      <c r="B51" s="217">
        <v>426100</v>
      </c>
      <c r="C51" s="217">
        <v>322075</v>
      </c>
      <c r="D51" s="217">
        <v>0</v>
      </c>
      <c r="E51" s="217">
        <v>104025</v>
      </c>
      <c r="F51" s="217">
        <v>0</v>
      </c>
      <c r="G51" s="217">
        <v>91250</v>
      </c>
      <c r="H51" s="217">
        <v>2880</v>
      </c>
      <c r="I51" s="217">
        <v>0</v>
      </c>
      <c r="J51" s="217">
        <v>-384130</v>
      </c>
      <c r="K51" s="217">
        <v>-94130</v>
      </c>
      <c r="L51"/>
      <c r="M51"/>
      <c r="N51"/>
      <c r="O51"/>
    </row>
    <row r="52" spans="1:15" x14ac:dyDescent="0.35">
      <c r="A52" s="218" t="s">
        <v>68</v>
      </c>
      <c r="B52" s="217">
        <v>63812</v>
      </c>
      <c r="C52" s="217">
        <v>43812</v>
      </c>
      <c r="D52" s="217">
        <v>0</v>
      </c>
      <c r="E52" s="217">
        <v>0</v>
      </c>
      <c r="F52" s="217">
        <v>20000</v>
      </c>
      <c r="G52" s="217"/>
      <c r="H52" s="217"/>
      <c r="I52" s="217"/>
      <c r="J52" s="217">
        <v>20000</v>
      </c>
      <c r="K52" s="217">
        <v>16000</v>
      </c>
      <c r="L52"/>
      <c r="M52"/>
      <c r="N52"/>
      <c r="O52"/>
    </row>
    <row r="53" spans="1:15" x14ac:dyDescent="0.35">
      <c r="A53" s="218" t="s">
        <v>400</v>
      </c>
      <c r="B53" s="217">
        <v>77000</v>
      </c>
      <c r="C53" s="217">
        <v>12509.24</v>
      </c>
      <c r="D53" s="217"/>
      <c r="E53" s="217"/>
      <c r="F53" s="217">
        <v>64490.76</v>
      </c>
      <c r="G53" s="217">
        <v>5000</v>
      </c>
      <c r="H53" s="217">
        <v>8000</v>
      </c>
      <c r="I53" s="217">
        <v>7000</v>
      </c>
      <c r="J53" s="217">
        <v>44490.76</v>
      </c>
      <c r="K53" s="217">
        <v>43033.144</v>
      </c>
      <c r="L53"/>
      <c r="M53"/>
      <c r="N53"/>
      <c r="O53"/>
    </row>
    <row r="54" spans="1:15" x14ac:dyDescent="0.35">
      <c r="A54" s="218" t="s">
        <v>108</v>
      </c>
      <c r="B54" s="217">
        <v>135037862</v>
      </c>
      <c r="C54" s="217">
        <v>99035395.470000103</v>
      </c>
      <c r="D54" s="217"/>
      <c r="E54" s="217"/>
      <c r="F54" s="217">
        <v>36002466.529999897</v>
      </c>
      <c r="G54" s="217">
        <v>16057855.623199953</v>
      </c>
      <c r="H54" s="217">
        <v>13979521.423999961</v>
      </c>
      <c r="I54" s="217">
        <v>14224000</v>
      </c>
      <c r="J54" s="217">
        <v>-1320674.0300000012</v>
      </c>
      <c r="K54" s="442">
        <v>-1320674.0300000012</v>
      </c>
      <c r="L54"/>
      <c r="M54"/>
      <c r="N54"/>
      <c r="O54"/>
    </row>
    <row r="55" spans="1:15" x14ac:dyDescent="0.35">
      <c r="A55" s="218" t="s">
        <v>63</v>
      </c>
      <c r="B55" s="217">
        <v>877674</v>
      </c>
      <c r="C55" s="217">
        <v>20841.47</v>
      </c>
      <c r="D55" s="217"/>
      <c r="E55" s="217"/>
      <c r="F55" s="217">
        <v>856832.53</v>
      </c>
      <c r="G55" s="217">
        <v>40000</v>
      </c>
      <c r="H55" s="217">
        <v>20000</v>
      </c>
      <c r="I55" s="217">
        <v>20000</v>
      </c>
      <c r="J55" s="217">
        <v>776832.53</v>
      </c>
      <c r="K55" s="217">
        <v>776832.53</v>
      </c>
      <c r="L55"/>
      <c r="M55"/>
      <c r="N55"/>
      <c r="O55"/>
    </row>
    <row r="56" spans="1:15" x14ac:dyDescent="0.35">
      <c r="A56" s="218" t="s">
        <v>119</v>
      </c>
      <c r="B56" s="217">
        <v>815977</v>
      </c>
      <c r="C56" s="217">
        <v>261904.41</v>
      </c>
      <c r="D56" s="217">
        <v>0</v>
      </c>
      <c r="E56" s="217">
        <v>32500</v>
      </c>
      <c r="F56" s="217">
        <v>521572.59</v>
      </c>
      <c r="G56" s="217">
        <v>12800</v>
      </c>
      <c r="H56" s="217">
        <v>11580</v>
      </c>
      <c r="I56" s="217">
        <v>17500</v>
      </c>
      <c r="J56" s="217">
        <v>479692.59</v>
      </c>
      <c r="K56" s="217">
        <v>445629.08600000001</v>
      </c>
      <c r="L56"/>
      <c r="M56"/>
      <c r="N56"/>
      <c r="O56"/>
    </row>
    <row r="57" spans="1:15" x14ac:dyDescent="0.35">
      <c r="A57" s="218" t="s">
        <v>61</v>
      </c>
      <c r="B57" s="217">
        <v>1157850</v>
      </c>
      <c r="C57" s="217"/>
      <c r="D57" s="217">
        <v>909458.75</v>
      </c>
      <c r="E57" s="217"/>
      <c r="F57" s="217">
        <v>248391.25</v>
      </c>
      <c r="G57" s="217">
        <v>156000</v>
      </c>
      <c r="H57" s="217">
        <v>92391</v>
      </c>
      <c r="I57" s="217"/>
      <c r="J57" s="217">
        <v>0.25</v>
      </c>
      <c r="K57" s="217">
        <v>0.25</v>
      </c>
      <c r="L57"/>
      <c r="M57"/>
      <c r="N57"/>
      <c r="O57"/>
    </row>
    <row r="58" spans="1:15" x14ac:dyDescent="0.35">
      <c r="A58" s="218" t="s">
        <v>479</v>
      </c>
      <c r="B58" s="217">
        <v>1034317</v>
      </c>
      <c r="C58" s="217">
        <v>754866.67</v>
      </c>
      <c r="D58" s="217">
        <v>-8.7311491370201098E-11</v>
      </c>
      <c r="E58" s="217">
        <v>265899.09999999998</v>
      </c>
      <c r="F58" s="217">
        <v>13551.230000000098</v>
      </c>
      <c r="G58" s="217"/>
      <c r="H58" s="217"/>
      <c r="I58" s="217"/>
      <c r="J58" s="217">
        <v>13551.230000000098</v>
      </c>
      <c r="K58" s="217">
        <v>13551.230000000098</v>
      </c>
      <c r="L58"/>
      <c r="M58"/>
      <c r="N58"/>
      <c r="O58"/>
    </row>
    <row r="59" spans="1:15" x14ac:dyDescent="0.35">
      <c r="A59" s="218" t="s">
        <v>416</v>
      </c>
      <c r="B59" s="217">
        <v>100000</v>
      </c>
      <c r="C59" s="217">
        <v>24415</v>
      </c>
      <c r="D59" s="217">
        <v>0</v>
      </c>
      <c r="E59" s="217">
        <v>0</v>
      </c>
      <c r="F59" s="217">
        <v>75585</v>
      </c>
      <c r="G59" s="217"/>
      <c r="H59" s="217"/>
      <c r="I59" s="217"/>
      <c r="J59" s="217">
        <v>75585</v>
      </c>
      <c r="K59" s="217">
        <v>75585</v>
      </c>
      <c r="L59"/>
      <c r="M59"/>
      <c r="N59"/>
      <c r="O59"/>
    </row>
    <row r="60" spans="1:15" x14ac:dyDescent="0.35">
      <c r="A60" s="218" t="s">
        <v>383</v>
      </c>
      <c r="B60" s="217">
        <v>200211</v>
      </c>
      <c r="C60" s="217">
        <v>199212.79999999999</v>
      </c>
      <c r="D60" s="217"/>
      <c r="E60" s="217"/>
      <c r="F60" s="217">
        <v>998.20000000001164</v>
      </c>
      <c r="G60" s="217"/>
      <c r="H60" s="217"/>
      <c r="I60" s="217"/>
      <c r="J60" s="217">
        <v>998.20000000001164</v>
      </c>
      <c r="K60" s="217">
        <v>998.20000000001164</v>
      </c>
      <c r="L60"/>
      <c r="M60"/>
      <c r="N60"/>
      <c r="O60"/>
    </row>
    <row r="61" spans="1:15" x14ac:dyDescent="0.35">
      <c r="A61" s="218" t="s">
        <v>418</v>
      </c>
      <c r="B61" s="217">
        <v>967680</v>
      </c>
      <c r="C61" s="217">
        <v>14000</v>
      </c>
      <c r="D61" s="217">
        <v>901610</v>
      </c>
      <c r="E61" s="217">
        <v>7000</v>
      </c>
      <c r="F61" s="217">
        <v>45070</v>
      </c>
      <c r="G61" s="217"/>
      <c r="H61" s="217"/>
      <c r="I61" s="217"/>
      <c r="J61" s="217">
        <v>45070</v>
      </c>
      <c r="K61" s="217">
        <v>45070</v>
      </c>
      <c r="L61"/>
      <c r="M61"/>
      <c r="N61"/>
      <c r="O61"/>
    </row>
    <row r="62" spans="1:15" x14ac:dyDescent="0.35">
      <c r="A62" s="218" t="s">
        <v>89</v>
      </c>
      <c r="B62" s="217">
        <v>694710</v>
      </c>
      <c r="C62" s="217"/>
      <c r="D62" s="217"/>
      <c r="E62" s="217"/>
      <c r="F62" s="217">
        <v>694710</v>
      </c>
      <c r="G62" s="217"/>
      <c r="H62" s="217"/>
      <c r="I62" s="217"/>
      <c r="J62" s="217">
        <v>694710</v>
      </c>
      <c r="K62" s="217">
        <v>555768</v>
      </c>
      <c r="L62"/>
      <c r="M62"/>
      <c r="N62"/>
      <c r="O62"/>
    </row>
    <row r="63" spans="1:15" x14ac:dyDescent="0.35">
      <c r="A63" s="218" t="s">
        <v>547</v>
      </c>
      <c r="B63" s="217">
        <v>132000</v>
      </c>
      <c r="C63" s="217">
        <v>54626.5</v>
      </c>
      <c r="D63" s="217">
        <v>0</v>
      </c>
      <c r="E63" s="217">
        <v>48600</v>
      </c>
      <c r="F63" s="217">
        <v>28773.5</v>
      </c>
      <c r="G63" s="217">
        <v>13426.75</v>
      </c>
      <c r="H63" s="217">
        <v>13426.75</v>
      </c>
      <c r="I63" s="217">
        <v>0</v>
      </c>
      <c r="J63" s="217">
        <v>1920</v>
      </c>
      <c r="K63" s="217">
        <v>1920</v>
      </c>
      <c r="L63"/>
      <c r="M63"/>
      <c r="N63"/>
      <c r="O63"/>
    </row>
    <row r="64" spans="1:15" x14ac:dyDescent="0.35">
      <c r="A64" s="218" t="s">
        <v>81</v>
      </c>
      <c r="B64" s="217">
        <v>101153665</v>
      </c>
      <c r="C64" s="217">
        <v>59193796.590000004</v>
      </c>
      <c r="D64" s="217">
        <v>1302442.29</v>
      </c>
      <c r="E64" s="217">
        <v>2811802.1399999997</v>
      </c>
      <c r="F64" s="217">
        <v>37845623.979999997</v>
      </c>
      <c r="G64" s="217">
        <v>9006447.8666666672</v>
      </c>
      <c r="H64" s="217">
        <v>9006447.8666666672</v>
      </c>
      <c r="I64" s="217">
        <v>7006447.8666666709</v>
      </c>
      <c r="J64" s="217">
        <v>12826280.379999993</v>
      </c>
      <c r="K64" s="217">
        <v>7626166.3799999924</v>
      </c>
      <c r="L64"/>
      <c r="M64"/>
      <c r="N64"/>
      <c r="O64"/>
    </row>
    <row r="65" spans="1:15" x14ac:dyDescent="0.35">
      <c r="A65" s="218" t="s">
        <v>369</v>
      </c>
      <c r="B65" s="217">
        <v>8873620</v>
      </c>
      <c r="C65" s="217">
        <v>4330638.3899999997</v>
      </c>
      <c r="D65" s="217">
        <v>3020360</v>
      </c>
      <c r="E65" s="217">
        <v>1333687.3700000001</v>
      </c>
      <c r="F65" s="217">
        <v>188934.24000000002</v>
      </c>
      <c r="G65" s="217">
        <v>62977</v>
      </c>
      <c r="H65" s="217">
        <v>62977</v>
      </c>
      <c r="I65" s="217">
        <v>62977</v>
      </c>
      <c r="J65" s="217">
        <v>3.2400000000307045</v>
      </c>
      <c r="K65" s="217">
        <v>3.2400000000307045</v>
      </c>
      <c r="L65"/>
      <c r="M65"/>
      <c r="N65"/>
      <c r="O65"/>
    </row>
    <row r="66" spans="1:15" x14ac:dyDescent="0.35">
      <c r="A66" s="218" t="s">
        <v>565</v>
      </c>
      <c r="B66" s="217">
        <v>887069</v>
      </c>
      <c r="C66" s="217">
        <v>120718.5</v>
      </c>
      <c r="D66" s="217"/>
      <c r="E66" s="217"/>
      <c r="F66" s="217">
        <v>766350.5</v>
      </c>
      <c r="G66" s="217"/>
      <c r="H66" s="217"/>
      <c r="I66" s="217"/>
      <c r="J66" s="217">
        <v>766350.5</v>
      </c>
      <c r="K66" s="217">
        <v>766350.5</v>
      </c>
      <c r="L66"/>
      <c r="M66"/>
      <c r="N66"/>
      <c r="O66"/>
    </row>
    <row r="67" spans="1:15" x14ac:dyDescent="0.35">
      <c r="A67" s="218" t="s">
        <v>41</v>
      </c>
      <c r="B67" s="217">
        <v>50000</v>
      </c>
      <c r="C67" s="217"/>
      <c r="D67" s="217"/>
      <c r="E67" s="217"/>
      <c r="F67" s="217">
        <v>50000</v>
      </c>
      <c r="G67" s="217"/>
      <c r="H67" s="217"/>
      <c r="I67" s="217"/>
      <c r="J67" s="217">
        <v>50000</v>
      </c>
      <c r="K67" s="217">
        <v>40000</v>
      </c>
      <c r="L67"/>
      <c r="M67"/>
      <c r="N67"/>
      <c r="O67"/>
    </row>
    <row r="68" spans="1:15" x14ac:dyDescent="0.35">
      <c r="A68" s="218" t="s">
        <v>394</v>
      </c>
      <c r="B68" s="217">
        <v>20000</v>
      </c>
      <c r="C68" s="217"/>
      <c r="D68" s="217"/>
      <c r="E68" s="217"/>
      <c r="F68" s="217">
        <v>20000</v>
      </c>
      <c r="G68" s="217"/>
      <c r="H68" s="217"/>
      <c r="I68" s="217"/>
      <c r="J68" s="217">
        <v>20000</v>
      </c>
      <c r="K68" s="217">
        <v>20000</v>
      </c>
      <c r="L68"/>
      <c r="M68"/>
      <c r="N68"/>
      <c r="O68"/>
    </row>
    <row r="69" spans="1:15" x14ac:dyDescent="0.35">
      <c r="A69" s="218" t="s">
        <v>29</v>
      </c>
      <c r="B69" s="217">
        <v>2293312</v>
      </c>
      <c r="C69" s="217">
        <v>326901.28000000003</v>
      </c>
      <c r="D69" s="217">
        <v>20000</v>
      </c>
      <c r="E69" s="217">
        <v>181500</v>
      </c>
      <c r="F69" s="217">
        <v>1764910.72</v>
      </c>
      <c r="G69" s="217">
        <v>0</v>
      </c>
      <c r="H69" s="217">
        <v>48081</v>
      </c>
      <c r="I69" s="217">
        <v>48082</v>
      </c>
      <c r="J69" s="217">
        <v>1668747.72</v>
      </c>
      <c r="K69" s="217">
        <v>1304029.852</v>
      </c>
      <c r="L69"/>
      <c r="M69"/>
      <c r="N69"/>
      <c r="O69"/>
    </row>
    <row r="70" spans="1:15" x14ac:dyDescent="0.35">
      <c r="A70" s="218" t="s">
        <v>443</v>
      </c>
      <c r="B70" s="217">
        <v>342375</v>
      </c>
      <c r="C70" s="217">
        <v>164284.13</v>
      </c>
      <c r="D70" s="217">
        <v>53.010000000002002</v>
      </c>
      <c r="E70" s="217">
        <v>8021.99999999999</v>
      </c>
      <c r="F70" s="217">
        <v>170015.86</v>
      </c>
      <c r="G70" s="217">
        <v>14150</v>
      </c>
      <c r="H70" s="217">
        <v>24720</v>
      </c>
      <c r="I70" s="217">
        <v>60000</v>
      </c>
      <c r="J70" s="217">
        <v>71145.86</v>
      </c>
      <c r="K70" s="217">
        <v>69406.638000000006</v>
      </c>
      <c r="L70"/>
      <c r="M70"/>
      <c r="N70"/>
      <c r="O70"/>
    </row>
    <row r="71" spans="1:15" x14ac:dyDescent="0.35">
      <c r="A71" s="218" t="s">
        <v>591</v>
      </c>
      <c r="B71" s="217">
        <v>410000</v>
      </c>
      <c r="C71" s="217">
        <v>85680</v>
      </c>
      <c r="D71" s="217">
        <v>230400</v>
      </c>
      <c r="E71" s="217">
        <v>81632</v>
      </c>
      <c r="F71" s="217">
        <v>12288</v>
      </c>
      <c r="G71" s="217"/>
      <c r="H71" s="217">
        <v>12288</v>
      </c>
      <c r="I71" s="217"/>
      <c r="J71" s="217">
        <v>-3900000</v>
      </c>
      <c r="K71" s="442">
        <v>-3900000</v>
      </c>
      <c r="L71"/>
      <c r="M71"/>
      <c r="N71"/>
      <c r="O71"/>
    </row>
    <row r="72" spans="1:15" x14ac:dyDescent="0.35">
      <c r="A72" s="218" t="s">
        <v>142</v>
      </c>
      <c r="B72" s="217">
        <v>1223600</v>
      </c>
      <c r="C72" s="217">
        <v>281815.01999999996</v>
      </c>
      <c r="D72" s="217">
        <v>238050</v>
      </c>
      <c r="E72" s="217">
        <v>62469.05</v>
      </c>
      <c r="F72" s="217">
        <v>641265.92999999993</v>
      </c>
      <c r="G72" s="217">
        <v>76907</v>
      </c>
      <c r="H72" s="217">
        <v>71907</v>
      </c>
      <c r="I72" s="217">
        <v>5000</v>
      </c>
      <c r="J72" s="217">
        <v>487451.93</v>
      </c>
      <c r="K72" s="217">
        <v>219159.16200000001</v>
      </c>
      <c r="L72"/>
      <c r="M72"/>
      <c r="N72"/>
      <c r="O72"/>
    </row>
    <row r="73" spans="1:15" x14ac:dyDescent="0.35">
      <c r="A73" s="218" t="s">
        <v>110</v>
      </c>
      <c r="B73" s="217">
        <v>2370500</v>
      </c>
      <c r="C73" s="217">
        <v>544407.09</v>
      </c>
      <c r="D73" s="217"/>
      <c r="E73" s="217"/>
      <c r="F73" s="217">
        <v>1826092.9100000001</v>
      </c>
      <c r="G73" s="217">
        <v>30000</v>
      </c>
      <c r="H73" s="217">
        <v>45000</v>
      </c>
      <c r="I73" s="217">
        <v>549445</v>
      </c>
      <c r="J73" s="217">
        <v>1201647.9100000001</v>
      </c>
      <c r="K73" s="217">
        <v>871094.25800000003</v>
      </c>
      <c r="L73"/>
      <c r="M73"/>
      <c r="N73"/>
      <c r="O73"/>
    </row>
    <row r="74" spans="1:15" x14ac:dyDescent="0.35">
      <c r="A74" s="218" t="s">
        <v>112</v>
      </c>
      <c r="B74" s="217">
        <v>2758974</v>
      </c>
      <c r="C74" s="217">
        <v>459607.07999999996</v>
      </c>
      <c r="D74" s="217"/>
      <c r="E74" s="217"/>
      <c r="F74" s="217">
        <v>2299366.92</v>
      </c>
      <c r="G74" s="217">
        <v>546685.44999999995</v>
      </c>
      <c r="H74" s="217">
        <v>1155685.76</v>
      </c>
      <c r="I74" s="217">
        <v>518674.18</v>
      </c>
      <c r="J74" s="217">
        <v>78321.530000000013</v>
      </c>
      <c r="K74" s="217">
        <v>78321.530000000013</v>
      </c>
      <c r="L74"/>
      <c r="M74"/>
      <c r="N74"/>
      <c r="O74"/>
    </row>
    <row r="75" spans="1:15" x14ac:dyDescent="0.35">
      <c r="A75" s="218" t="s">
        <v>104</v>
      </c>
      <c r="B75" s="217">
        <v>4816800</v>
      </c>
      <c r="C75" s="217">
        <v>2999457.57</v>
      </c>
      <c r="D75" s="217"/>
      <c r="E75" s="217"/>
      <c r="F75" s="217">
        <v>1817342.4300000002</v>
      </c>
      <c r="G75" s="217">
        <v>363330.08600000001</v>
      </c>
      <c r="H75" s="217">
        <v>908325.21499999997</v>
      </c>
      <c r="I75" s="217">
        <v>545687.12899999996</v>
      </c>
      <c r="J75" s="217">
        <v>0</v>
      </c>
      <c r="K75" s="217">
        <v>0</v>
      </c>
      <c r="L75"/>
      <c r="M75"/>
      <c r="N75"/>
      <c r="O75"/>
    </row>
    <row r="76" spans="1:15" x14ac:dyDescent="0.35">
      <c r="A76" s="218" t="s">
        <v>59</v>
      </c>
      <c r="B76" s="217">
        <v>2855753</v>
      </c>
      <c r="C76" s="217">
        <v>1217983.8</v>
      </c>
      <c r="D76" s="217">
        <v>410760.3</v>
      </c>
      <c r="E76" s="217">
        <v>13656.5</v>
      </c>
      <c r="F76" s="217">
        <v>1213352.3999999999</v>
      </c>
      <c r="G76" s="217">
        <v>75000</v>
      </c>
      <c r="H76" s="217">
        <v>75000</v>
      </c>
      <c r="I76" s="217">
        <v>47060</v>
      </c>
      <c r="J76" s="217">
        <v>1016292.3999999999</v>
      </c>
      <c r="K76" s="217">
        <v>456658.92400000006</v>
      </c>
      <c r="L76"/>
      <c r="M76"/>
      <c r="N76"/>
      <c r="O76"/>
    </row>
    <row r="77" spans="1:15" x14ac:dyDescent="0.35">
      <c r="A77" s="218" t="s">
        <v>106</v>
      </c>
      <c r="B77" s="217">
        <v>2011663</v>
      </c>
      <c r="C77" s="217">
        <v>961278.05</v>
      </c>
      <c r="D77" s="217"/>
      <c r="E77" s="217"/>
      <c r="F77" s="217">
        <v>1050384.95</v>
      </c>
      <c r="G77" s="217">
        <v>226281.95200000002</v>
      </c>
      <c r="H77" s="217">
        <v>339422.92800000001</v>
      </c>
      <c r="I77" s="217">
        <v>473391</v>
      </c>
      <c r="J77" s="217">
        <v>11289.069999999896</v>
      </c>
      <c r="K77" s="217">
        <v>11289.069999999896</v>
      </c>
      <c r="L77"/>
      <c r="M77"/>
      <c r="N77"/>
      <c r="O77"/>
    </row>
    <row r="78" spans="1:15" x14ac:dyDescent="0.35">
      <c r="A78" s="218" t="s">
        <v>551</v>
      </c>
      <c r="B78" s="217">
        <v>80582600</v>
      </c>
      <c r="C78" s="217">
        <v>49281401.380000003</v>
      </c>
      <c r="D78" s="217"/>
      <c r="E78" s="217"/>
      <c r="F78" s="217">
        <v>31301198.619999997</v>
      </c>
      <c r="G78" s="217">
        <v>10243611</v>
      </c>
      <c r="H78" s="217">
        <v>10246984</v>
      </c>
      <c r="I78" s="217">
        <v>7514454.9333333336</v>
      </c>
      <c r="J78" s="217">
        <v>3296148.6866666637</v>
      </c>
      <c r="K78" s="217">
        <v>3296148.6866666637</v>
      </c>
      <c r="L78"/>
      <c r="M78"/>
      <c r="N78"/>
      <c r="O78"/>
    </row>
    <row r="79" spans="1:15" x14ac:dyDescent="0.35">
      <c r="A79" s="218" t="s">
        <v>589</v>
      </c>
      <c r="B79" s="217">
        <v>9641961</v>
      </c>
      <c r="C79" s="217">
        <v>-58814.48</v>
      </c>
      <c r="D79" s="217"/>
      <c r="E79" s="217">
        <v>662298.51</v>
      </c>
      <c r="F79" s="217">
        <v>9038476.9700000007</v>
      </c>
      <c r="G79" s="217">
        <v>10067605.25</v>
      </c>
      <c r="H79" s="217">
        <v>1243175.75</v>
      </c>
      <c r="I79" s="217">
        <v>1235775.75</v>
      </c>
      <c r="J79" s="217">
        <v>-5300000</v>
      </c>
      <c r="K79" s="442">
        <v>-5300000</v>
      </c>
      <c r="L79"/>
      <c r="M79"/>
      <c r="N79"/>
      <c r="O79"/>
    </row>
    <row r="80" spans="1:15" x14ac:dyDescent="0.35">
      <c r="A80" s="218" t="s">
        <v>51</v>
      </c>
      <c r="B80" s="217">
        <v>792324</v>
      </c>
      <c r="C80" s="217">
        <v>195258.41</v>
      </c>
      <c r="D80" s="217">
        <v>0</v>
      </c>
      <c r="E80" s="217">
        <v>335515.42</v>
      </c>
      <c r="F80" s="217">
        <v>261550.16999999998</v>
      </c>
      <c r="G80" s="217">
        <v>30000</v>
      </c>
      <c r="H80" s="217">
        <v>100000</v>
      </c>
      <c r="I80" s="217">
        <v>74368</v>
      </c>
      <c r="J80" s="217">
        <v>57182.169999999984</v>
      </c>
      <c r="K80" s="217">
        <v>54182.145999999986</v>
      </c>
      <c r="L80"/>
      <c r="M80"/>
      <c r="N80"/>
      <c r="O80"/>
    </row>
    <row r="81" spans="1:15" x14ac:dyDescent="0.35">
      <c r="A81" s="218" t="s">
        <v>473</v>
      </c>
      <c r="B81" s="217">
        <v>1215000</v>
      </c>
      <c r="C81" s="217">
        <v>946683.89</v>
      </c>
      <c r="D81" s="217"/>
      <c r="E81" s="217"/>
      <c r="F81" s="217">
        <v>268316.11</v>
      </c>
      <c r="G81" s="217">
        <v>1483000</v>
      </c>
      <c r="H81" s="217">
        <v>58000</v>
      </c>
      <c r="I81" s="217">
        <v>58000</v>
      </c>
      <c r="J81" s="217">
        <v>-1330683.8900000001</v>
      </c>
      <c r="K81" s="217">
        <v>1000</v>
      </c>
      <c r="L81"/>
      <c r="M81"/>
      <c r="N81"/>
      <c r="O81"/>
    </row>
    <row r="82" spans="1:15" x14ac:dyDescent="0.35">
      <c r="A82" s="218" t="s">
        <v>202</v>
      </c>
      <c r="B82" s="217">
        <v>9681515</v>
      </c>
      <c r="C82" s="217">
        <v>4280146.8599999994</v>
      </c>
      <c r="D82" s="217">
        <v>4852865.17</v>
      </c>
      <c r="E82" s="217">
        <v>0</v>
      </c>
      <c r="F82" s="217">
        <v>548502.97000000032</v>
      </c>
      <c r="G82" s="217"/>
      <c r="H82" s="217">
        <v>10000</v>
      </c>
      <c r="I82" s="217">
        <v>6209.32</v>
      </c>
      <c r="J82" s="217">
        <v>532293.65000000037</v>
      </c>
      <c r="K82" s="217">
        <v>486493.65000000037</v>
      </c>
      <c r="L82"/>
      <c r="M82"/>
      <c r="N82"/>
      <c r="O82"/>
    </row>
    <row r="83" spans="1:15" x14ac:dyDescent="0.35">
      <c r="A83" s="218" t="s">
        <v>137</v>
      </c>
      <c r="B83" s="217">
        <v>292140</v>
      </c>
      <c r="C83" s="217">
        <v>34780</v>
      </c>
      <c r="D83" s="217">
        <v>0</v>
      </c>
      <c r="E83" s="217">
        <v>43240</v>
      </c>
      <c r="F83" s="217">
        <v>214120</v>
      </c>
      <c r="G83" s="217">
        <v>20000</v>
      </c>
      <c r="H83" s="217">
        <v>0</v>
      </c>
      <c r="I83" s="217">
        <v>0</v>
      </c>
      <c r="J83" s="217">
        <v>194120</v>
      </c>
      <c r="K83" s="217">
        <v>135716</v>
      </c>
      <c r="L83"/>
      <c r="M83"/>
      <c r="N83"/>
      <c r="O83"/>
    </row>
    <row r="84" spans="1:15" x14ac:dyDescent="0.35">
      <c r="A84" s="218" t="s">
        <v>459</v>
      </c>
      <c r="B84" s="217">
        <v>10000</v>
      </c>
      <c r="C84" s="217"/>
      <c r="D84" s="217"/>
      <c r="E84" s="217"/>
      <c r="F84" s="217">
        <v>10000</v>
      </c>
      <c r="G84" s="217"/>
      <c r="H84" s="217"/>
      <c r="I84" s="217"/>
      <c r="J84" s="217">
        <v>10000</v>
      </c>
      <c r="K84" s="217">
        <v>8000</v>
      </c>
      <c r="L84"/>
      <c r="M84"/>
      <c r="N84"/>
      <c r="O84"/>
    </row>
    <row r="85" spans="1:15" x14ac:dyDescent="0.35">
      <c r="A85" s="218" t="s">
        <v>622</v>
      </c>
      <c r="B85" s="217">
        <v>12000</v>
      </c>
      <c r="C85" s="217"/>
      <c r="D85" s="217"/>
      <c r="E85" s="217"/>
      <c r="F85" s="217">
        <v>12000</v>
      </c>
      <c r="G85" s="217"/>
      <c r="H85" s="217"/>
      <c r="I85" s="217">
        <v>12000</v>
      </c>
      <c r="J85" s="217">
        <v>0</v>
      </c>
      <c r="K85" s="217">
        <v>0</v>
      </c>
      <c r="L85"/>
      <c r="M85"/>
      <c r="N85"/>
      <c r="O85"/>
    </row>
    <row r="86" spans="1:15" x14ac:dyDescent="0.35">
      <c r="A86" s="218" t="s">
        <v>408</v>
      </c>
      <c r="B86" s="217">
        <v>4691229</v>
      </c>
      <c r="C86" s="217">
        <v>2583210.39</v>
      </c>
      <c r="D86" s="217"/>
      <c r="E86" s="217"/>
      <c r="F86" s="217">
        <v>2108018.61</v>
      </c>
      <c r="G86" s="217"/>
      <c r="H86" s="217"/>
      <c r="I86" s="217">
        <v>2108018</v>
      </c>
      <c r="J86" s="217">
        <v>0.60999999986961484</v>
      </c>
      <c r="K86" s="217">
        <v>0.60999999986961484</v>
      </c>
      <c r="L86"/>
      <c r="M86"/>
      <c r="N86"/>
      <c r="O86"/>
    </row>
    <row r="87" spans="1:15" s="219" customFormat="1" x14ac:dyDescent="0.35">
      <c r="A87" s="218" t="s">
        <v>719</v>
      </c>
      <c r="B87" s="217">
        <v>579850000</v>
      </c>
      <c r="C87" s="217">
        <v>321675274.61000013</v>
      </c>
      <c r="D87" s="217">
        <v>27533031.460000001</v>
      </c>
      <c r="E87" s="217">
        <v>39813473.489999995</v>
      </c>
      <c r="F87" s="217">
        <v>190828220.43999994</v>
      </c>
      <c r="G87" s="217">
        <v>57713984.046866626</v>
      </c>
      <c r="H87" s="217">
        <v>45812497.107666634</v>
      </c>
      <c r="I87" s="217">
        <v>47727454.776000015</v>
      </c>
      <c r="J87" s="217">
        <v>24203426.576666646</v>
      </c>
      <c r="K87" s="217">
        <v>8891782.6366666537</v>
      </c>
      <c r="L87"/>
      <c r="M87"/>
      <c r="N87"/>
      <c r="O87"/>
    </row>
    <row r="88" spans="1:15" x14ac:dyDescent="0.35">
      <c r="A88"/>
      <c r="B88"/>
      <c r="C88"/>
      <c r="D88"/>
      <c r="E88"/>
      <c r="F88"/>
      <c r="G88"/>
      <c r="H88"/>
      <c r="I88"/>
      <c r="J88"/>
      <c r="K88"/>
      <c r="L88"/>
      <c r="M88"/>
      <c r="N88"/>
      <c r="O88"/>
    </row>
    <row r="89" spans="1:15" x14ac:dyDescent="0.35">
      <c r="A89"/>
      <c r="B89"/>
      <c r="C89"/>
      <c r="D89"/>
      <c r="E89"/>
      <c r="F89"/>
      <c r="G89"/>
      <c r="H89"/>
      <c r="I89"/>
      <c r="J89"/>
      <c r="K89"/>
      <c r="L89"/>
      <c r="M89"/>
      <c r="N89"/>
      <c r="O89"/>
    </row>
    <row r="90" spans="1:15" x14ac:dyDescent="0.35">
      <c r="A90"/>
      <c r="B90"/>
      <c r="C90"/>
      <c r="D90"/>
      <c r="E90"/>
      <c r="F90"/>
      <c r="G90"/>
      <c r="H90"/>
      <c r="I90"/>
      <c r="J90"/>
      <c r="K90"/>
      <c r="L90"/>
      <c r="M90"/>
      <c r="N90"/>
      <c r="O90"/>
    </row>
    <row r="91" spans="1:15" x14ac:dyDescent="0.35">
      <c r="A91"/>
      <c r="B91"/>
      <c r="C91"/>
      <c r="D91"/>
      <c r="E91"/>
      <c r="F91"/>
      <c r="G91"/>
      <c r="H91"/>
      <c r="I91"/>
      <c r="J91"/>
      <c r="K91"/>
      <c r="L91"/>
      <c r="M91"/>
      <c r="N91"/>
      <c r="O91"/>
    </row>
    <row r="92" spans="1:15" x14ac:dyDescent="0.35">
      <c r="A92"/>
      <c r="B92"/>
      <c r="C92"/>
      <c r="D92"/>
      <c r="E92"/>
      <c r="F92"/>
      <c r="G92"/>
      <c r="H92"/>
      <c r="I92"/>
      <c r="J92"/>
      <c r="K92"/>
      <c r="L92"/>
      <c r="M92"/>
      <c r="N92"/>
      <c r="O92"/>
    </row>
    <row r="93" spans="1:15" x14ac:dyDescent="0.35">
      <c r="A93"/>
      <c r="B93"/>
      <c r="C93"/>
      <c r="D93"/>
      <c r="E93"/>
      <c r="F93"/>
      <c r="G93"/>
      <c r="H93"/>
      <c r="I93"/>
      <c r="J93"/>
      <c r="K93"/>
      <c r="L93"/>
      <c r="M93"/>
      <c r="N93"/>
      <c r="O93"/>
    </row>
    <row r="94" spans="1:15" x14ac:dyDescent="0.35">
      <c r="A94"/>
      <c r="B94"/>
      <c r="C94"/>
      <c r="D94"/>
      <c r="E94"/>
      <c r="F94"/>
      <c r="G94"/>
      <c r="H94"/>
      <c r="I94"/>
      <c r="J94"/>
      <c r="K94"/>
      <c r="L94"/>
      <c r="M94"/>
      <c r="N94"/>
      <c r="O94"/>
    </row>
    <row r="95" spans="1:15" x14ac:dyDescent="0.35">
      <c r="A95"/>
      <c r="B95"/>
      <c r="C95"/>
      <c r="D95"/>
      <c r="E95"/>
      <c r="F95"/>
      <c r="G95"/>
      <c r="H95"/>
      <c r="I95"/>
      <c r="J95"/>
      <c r="K95"/>
      <c r="L95"/>
      <c r="M95"/>
      <c r="N95"/>
      <c r="O95"/>
    </row>
    <row r="96" spans="1:15" x14ac:dyDescent="0.35">
      <c r="A96"/>
      <c r="B96"/>
      <c r="C96"/>
      <c r="D96"/>
      <c r="E96"/>
      <c r="F96"/>
      <c r="G96"/>
      <c r="H96"/>
      <c r="I96"/>
      <c r="J96"/>
      <c r="K96"/>
      <c r="L96"/>
      <c r="M96"/>
      <c r="N96"/>
      <c r="O96"/>
    </row>
    <row r="97" spans="1:15" x14ac:dyDescent="0.35">
      <c r="A97"/>
      <c r="B97"/>
      <c r="C97"/>
      <c r="D97"/>
      <c r="E97"/>
      <c r="F97"/>
      <c r="G97"/>
      <c r="H97"/>
      <c r="I97"/>
      <c r="J97"/>
      <c r="K97"/>
      <c r="L97"/>
      <c r="M97"/>
      <c r="N97"/>
      <c r="O97"/>
    </row>
    <row r="98" spans="1:15" x14ac:dyDescent="0.35">
      <c r="A98"/>
      <c r="B98"/>
      <c r="C98"/>
      <c r="D98"/>
      <c r="E98"/>
      <c r="F98"/>
      <c r="G98"/>
      <c r="H98"/>
      <c r="I98"/>
      <c r="J98"/>
      <c r="K98"/>
      <c r="L98"/>
      <c r="M98"/>
      <c r="N98"/>
      <c r="O98"/>
    </row>
    <row r="99" spans="1:15" x14ac:dyDescent="0.35">
      <c r="A99"/>
      <c r="B99"/>
      <c r="C99"/>
      <c r="D99"/>
      <c r="E99"/>
      <c r="F99"/>
      <c r="G99"/>
      <c r="H99"/>
      <c r="I99"/>
      <c r="J99"/>
      <c r="K99"/>
      <c r="L99"/>
      <c r="M99"/>
      <c r="N99"/>
      <c r="O99"/>
    </row>
    <row r="100" spans="1:15" x14ac:dyDescent="0.35">
      <c r="A100"/>
      <c r="B100"/>
      <c r="C100"/>
      <c r="D100"/>
      <c r="E100"/>
      <c r="F100"/>
      <c r="G100"/>
      <c r="H100"/>
      <c r="I100"/>
      <c r="J100"/>
      <c r="K100"/>
      <c r="L100"/>
      <c r="M100"/>
      <c r="N100"/>
      <c r="O100"/>
    </row>
    <row r="101" spans="1:15" x14ac:dyDescent="0.35">
      <c r="A101"/>
      <c r="B101"/>
      <c r="C101"/>
      <c r="D101"/>
      <c r="E101"/>
      <c r="F101"/>
      <c r="G101"/>
      <c r="H101"/>
      <c r="I101"/>
      <c r="J101"/>
      <c r="K101"/>
      <c r="L101"/>
      <c r="M101"/>
      <c r="N101"/>
      <c r="O101"/>
    </row>
    <row r="102" spans="1:15" x14ac:dyDescent="0.35">
      <c r="A102"/>
      <c r="B102"/>
      <c r="C102"/>
      <c r="D102"/>
      <c r="E102"/>
      <c r="F102"/>
      <c r="G102"/>
      <c r="H102"/>
      <c r="I102"/>
      <c r="J102"/>
      <c r="K102"/>
      <c r="L102"/>
      <c r="M102"/>
      <c r="N102"/>
      <c r="O102"/>
    </row>
    <row r="103" spans="1:15" x14ac:dyDescent="0.35">
      <c r="A103"/>
      <c r="B103"/>
      <c r="C103"/>
      <c r="D103"/>
      <c r="E103"/>
      <c r="F103"/>
      <c r="G103"/>
      <c r="H103"/>
      <c r="I103"/>
      <c r="J103"/>
      <c r="K103"/>
      <c r="L103"/>
      <c r="M103"/>
      <c r="N103"/>
      <c r="O103"/>
    </row>
    <row r="104" spans="1:15" x14ac:dyDescent="0.35">
      <c r="A104"/>
      <c r="B104"/>
      <c r="C104"/>
      <c r="D104"/>
      <c r="E104"/>
      <c r="F104"/>
      <c r="G104"/>
      <c r="H104"/>
      <c r="I104"/>
      <c r="J104"/>
      <c r="K104"/>
      <c r="L104"/>
      <c r="M104"/>
      <c r="N104"/>
      <c r="O104"/>
    </row>
    <row r="105" spans="1:15" x14ac:dyDescent="0.35">
      <c r="A105"/>
      <c r="B105"/>
      <c r="C105"/>
      <c r="D105"/>
      <c r="E105"/>
      <c r="F105"/>
      <c r="G105"/>
      <c r="H105"/>
      <c r="I105"/>
      <c r="J105"/>
      <c r="K105"/>
      <c r="L105"/>
      <c r="M105"/>
      <c r="N105"/>
      <c r="O105"/>
    </row>
    <row r="106" spans="1:15" x14ac:dyDescent="0.35">
      <c r="A106"/>
      <c r="B106"/>
      <c r="C106"/>
      <c r="D106"/>
      <c r="E106"/>
      <c r="F106"/>
      <c r="G106"/>
      <c r="H106"/>
      <c r="I106"/>
      <c r="J106"/>
      <c r="K106"/>
      <c r="L106"/>
      <c r="M106"/>
      <c r="N106"/>
      <c r="O106"/>
    </row>
    <row r="107" spans="1:15" x14ac:dyDescent="0.35">
      <c r="A107"/>
      <c r="B107"/>
      <c r="C107"/>
      <c r="D107"/>
      <c r="E107"/>
      <c r="F107"/>
      <c r="G107"/>
      <c r="H107"/>
      <c r="I107"/>
      <c r="J107"/>
      <c r="K107"/>
      <c r="L107"/>
      <c r="M107"/>
      <c r="N107"/>
      <c r="O107"/>
    </row>
    <row r="108" spans="1:15" x14ac:dyDescent="0.35">
      <c r="A108"/>
      <c r="B108"/>
      <c r="C108"/>
      <c r="D108"/>
      <c r="E108"/>
      <c r="F108"/>
      <c r="G108"/>
      <c r="H108"/>
      <c r="I108"/>
      <c r="J108"/>
      <c r="K108"/>
      <c r="L108"/>
      <c r="M108"/>
      <c r="N108"/>
      <c r="O108"/>
    </row>
    <row r="109" spans="1:15" x14ac:dyDescent="0.35">
      <c r="A109"/>
      <c r="B109"/>
      <c r="C109"/>
      <c r="D109"/>
      <c r="E109"/>
      <c r="F109"/>
      <c r="G109"/>
      <c r="H109"/>
      <c r="I109"/>
      <c r="J109"/>
      <c r="K109"/>
      <c r="L109"/>
      <c r="M109"/>
      <c r="N109"/>
      <c r="O109"/>
    </row>
    <row r="110" spans="1:15" x14ac:dyDescent="0.35">
      <c r="A110"/>
      <c r="B110"/>
      <c r="C110"/>
      <c r="D110"/>
      <c r="E110"/>
      <c r="F110"/>
      <c r="G110"/>
      <c r="H110"/>
      <c r="I110"/>
      <c r="J110"/>
      <c r="K110"/>
      <c r="L110"/>
      <c r="M110"/>
      <c r="N110"/>
      <c r="O110"/>
    </row>
    <row r="111" spans="1:15" x14ac:dyDescent="0.35">
      <c r="A111"/>
      <c r="B111"/>
      <c r="C111"/>
      <c r="D111"/>
      <c r="E111"/>
      <c r="F111"/>
      <c r="G111"/>
      <c r="H111"/>
      <c r="I111"/>
      <c r="J111"/>
      <c r="K111"/>
      <c r="L111"/>
      <c r="M111"/>
      <c r="N111"/>
      <c r="O111"/>
    </row>
    <row r="112" spans="1:15" x14ac:dyDescent="0.35">
      <c r="A112"/>
      <c r="B112"/>
      <c r="C112"/>
      <c r="D112"/>
      <c r="E112"/>
      <c r="F112"/>
      <c r="G112"/>
      <c r="H112"/>
      <c r="I112"/>
      <c r="J112"/>
      <c r="K112"/>
      <c r="L112"/>
      <c r="M112"/>
      <c r="N112"/>
      <c r="O112"/>
    </row>
    <row r="113" spans="1:15" x14ac:dyDescent="0.35">
      <c r="A113"/>
      <c r="B113"/>
      <c r="C113"/>
      <c r="D113"/>
      <c r="E113"/>
      <c r="F113"/>
      <c r="G113"/>
      <c r="H113"/>
      <c r="I113"/>
      <c r="J113"/>
      <c r="K113"/>
      <c r="L113"/>
      <c r="M113"/>
      <c r="N113"/>
      <c r="O113"/>
    </row>
    <row r="114" spans="1:15" x14ac:dyDescent="0.35">
      <c r="A114"/>
      <c r="B114"/>
      <c r="C114"/>
      <c r="D114"/>
      <c r="E114"/>
      <c r="F114"/>
      <c r="G114"/>
      <c r="H114"/>
      <c r="I114"/>
      <c r="J114"/>
      <c r="K114"/>
      <c r="L114"/>
      <c r="M114"/>
      <c r="N114"/>
      <c r="O114"/>
    </row>
    <row r="115" spans="1:15" x14ac:dyDescent="0.35">
      <c r="A115"/>
      <c r="B115"/>
      <c r="C115"/>
      <c r="D115"/>
      <c r="E115"/>
      <c r="F115"/>
      <c r="G115"/>
      <c r="H115"/>
      <c r="I115"/>
      <c r="J115"/>
      <c r="K115"/>
      <c r="L115"/>
      <c r="M115"/>
      <c r="N115"/>
      <c r="O115"/>
    </row>
    <row r="116" spans="1:15" x14ac:dyDescent="0.35">
      <c r="A116"/>
      <c r="B116"/>
      <c r="C116"/>
      <c r="D116"/>
      <c r="E116"/>
      <c r="F116"/>
      <c r="G116"/>
      <c r="H116"/>
      <c r="I116"/>
      <c r="J116"/>
      <c r="K116"/>
      <c r="L116"/>
      <c r="M116"/>
      <c r="N116"/>
      <c r="O116"/>
    </row>
    <row r="117" spans="1:15" x14ac:dyDescent="0.35">
      <c r="A117"/>
      <c r="B117"/>
      <c r="C117"/>
      <c r="D117"/>
      <c r="E117"/>
      <c r="F117"/>
      <c r="G117"/>
      <c r="H117"/>
      <c r="I117"/>
      <c r="J117"/>
      <c r="K117"/>
      <c r="L117"/>
      <c r="M117"/>
      <c r="N117"/>
      <c r="O117"/>
    </row>
    <row r="118" spans="1:15" x14ac:dyDescent="0.35">
      <c r="A118"/>
      <c r="B118"/>
      <c r="C118"/>
      <c r="D118"/>
      <c r="E118"/>
      <c r="F118"/>
      <c r="G118"/>
      <c r="H118"/>
      <c r="I118"/>
      <c r="J118"/>
      <c r="K118"/>
      <c r="L118"/>
      <c r="M118"/>
      <c r="N118"/>
      <c r="O118"/>
    </row>
    <row r="119" spans="1:15" x14ac:dyDescent="0.35">
      <c r="A119"/>
      <c r="B119"/>
      <c r="C119"/>
      <c r="D119"/>
      <c r="E119"/>
      <c r="F119"/>
      <c r="G119"/>
      <c r="H119"/>
      <c r="I119"/>
      <c r="J119"/>
      <c r="K119"/>
      <c r="L119"/>
      <c r="M119"/>
      <c r="N119"/>
      <c r="O119"/>
    </row>
    <row r="120" spans="1:15" x14ac:dyDescent="0.35">
      <c r="A120"/>
      <c r="B120"/>
      <c r="C120"/>
      <c r="D120"/>
      <c r="E120"/>
      <c r="F120"/>
      <c r="G120"/>
      <c r="H120"/>
      <c r="I120"/>
      <c r="J120"/>
      <c r="K120"/>
      <c r="L120"/>
      <c r="M120"/>
      <c r="N120"/>
      <c r="O120"/>
    </row>
    <row r="121" spans="1:15" x14ac:dyDescent="0.35">
      <c r="A121"/>
      <c r="B121"/>
      <c r="C121"/>
      <c r="D121"/>
      <c r="E121"/>
      <c r="F121"/>
      <c r="G121"/>
      <c r="H121"/>
      <c r="I121"/>
      <c r="J121"/>
      <c r="K121"/>
      <c r="L121"/>
      <c r="M121"/>
      <c r="N121"/>
      <c r="O121"/>
    </row>
    <row r="122" spans="1:15" x14ac:dyDescent="0.35">
      <c r="A122"/>
      <c r="B122"/>
      <c r="C122"/>
      <c r="D122"/>
      <c r="E122"/>
      <c r="F122"/>
      <c r="G122"/>
      <c r="H122"/>
      <c r="I122"/>
      <c r="J122"/>
      <c r="K122"/>
      <c r="L122"/>
      <c r="M122"/>
      <c r="N122"/>
      <c r="O122"/>
    </row>
    <row r="123" spans="1:15" x14ac:dyDescent="0.35">
      <c r="A123"/>
      <c r="B123"/>
      <c r="C123"/>
      <c r="D123"/>
      <c r="E123"/>
      <c r="F123"/>
      <c r="G123"/>
      <c r="H123"/>
      <c r="I123"/>
      <c r="J123"/>
      <c r="K123"/>
      <c r="L123"/>
      <c r="M123"/>
      <c r="N123"/>
      <c r="O123"/>
    </row>
    <row r="124" spans="1:15" x14ac:dyDescent="0.35">
      <c r="A124"/>
      <c r="B124"/>
      <c r="C124"/>
      <c r="D124"/>
      <c r="E124"/>
      <c r="F124"/>
      <c r="G124"/>
      <c r="H124"/>
      <c r="I124"/>
      <c r="J124"/>
      <c r="K124"/>
      <c r="L124"/>
      <c r="M124"/>
      <c r="N124"/>
      <c r="O124"/>
    </row>
    <row r="125" spans="1:15" x14ac:dyDescent="0.35">
      <c r="A125"/>
      <c r="B125"/>
      <c r="C125"/>
      <c r="D125"/>
      <c r="E125"/>
      <c r="F125"/>
      <c r="G125"/>
      <c r="H125"/>
      <c r="I125"/>
      <c r="J125"/>
      <c r="K125"/>
      <c r="L125"/>
      <c r="M125"/>
      <c r="N125"/>
      <c r="O125"/>
    </row>
    <row r="126" spans="1:15" x14ac:dyDescent="0.35">
      <c r="A126"/>
      <c r="B126"/>
      <c r="C126"/>
      <c r="D126"/>
      <c r="E126"/>
      <c r="F126"/>
      <c r="G126"/>
      <c r="H126"/>
      <c r="I126"/>
      <c r="J126"/>
      <c r="K126"/>
      <c r="L126"/>
      <c r="M126"/>
      <c r="N126"/>
      <c r="O126"/>
    </row>
    <row r="127" spans="1:15" x14ac:dyDescent="0.35">
      <c r="A127"/>
      <c r="B127"/>
      <c r="C127"/>
      <c r="D127"/>
      <c r="E127"/>
      <c r="F127"/>
      <c r="G127"/>
      <c r="H127"/>
      <c r="I127"/>
      <c r="J127"/>
      <c r="K127"/>
      <c r="L127"/>
      <c r="M127"/>
      <c r="N127"/>
      <c r="O127"/>
    </row>
    <row r="128" spans="1:15" x14ac:dyDescent="0.35">
      <c r="A128"/>
      <c r="B128"/>
      <c r="C128"/>
      <c r="D128"/>
      <c r="E128"/>
      <c r="F128"/>
      <c r="G128"/>
      <c r="H128"/>
      <c r="I128"/>
      <c r="J128"/>
      <c r="K128"/>
      <c r="L128"/>
      <c r="M128"/>
      <c r="N128"/>
      <c r="O128"/>
    </row>
    <row r="129" spans="1:15" x14ac:dyDescent="0.35">
      <c r="A129"/>
      <c r="B129"/>
      <c r="C129"/>
      <c r="D129"/>
      <c r="E129"/>
      <c r="F129"/>
      <c r="G129"/>
      <c r="H129"/>
      <c r="I129"/>
      <c r="J129"/>
      <c r="K129"/>
      <c r="L129"/>
      <c r="M129"/>
      <c r="N129"/>
      <c r="O129"/>
    </row>
    <row r="130" spans="1:15" x14ac:dyDescent="0.35">
      <c r="A130"/>
      <c r="B130"/>
      <c r="C130"/>
      <c r="D130"/>
      <c r="E130"/>
      <c r="F130"/>
      <c r="G130"/>
      <c r="H130"/>
      <c r="I130"/>
      <c r="J130"/>
      <c r="K130"/>
      <c r="L130"/>
      <c r="M130"/>
      <c r="N130"/>
      <c r="O130"/>
    </row>
    <row r="131" spans="1:15" x14ac:dyDescent="0.35">
      <c r="A131"/>
      <c r="B131"/>
      <c r="C131"/>
      <c r="D131"/>
      <c r="E131"/>
      <c r="F131"/>
      <c r="G131"/>
      <c r="H131"/>
      <c r="I131"/>
      <c r="J131"/>
      <c r="K131"/>
      <c r="L131"/>
      <c r="M131"/>
      <c r="N131"/>
      <c r="O131"/>
    </row>
    <row r="132" spans="1:15" x14ac:dyDescent="0.35">
      <c r="A132"/>
      <c r="B132"/>
      <c r="C132"/>
      <c r="D132"/>
      <c r="E132"/>
      <c r="F132"/>
      <c r="G132"/>
      <c r="H132"/>
      <c r="I132"/>
      <c r="J132"/>
      <c r="K132"/>
      <c r="L132"/>
      <c r="M132"/>
      <c r="N132"/>
      <c r="O132"/>
    </row>
    <row r="133" spans="1:15" x14ac:dyDescent="0.35">
      <c r="A133"/>
      <c r="B133"/>
      <c r="C133"/>
      <c r="D133"/>
      <c r="E133"/>
      <c r="F133"/>
      <c r="G133"/>
      <c r="H133"/>
      <c r="I133"/>
      <c r="J133"/>
      <c r="K133"/>
      <c r="L133"/>
      <c r="M133"/>
      <c r="N133"/>
      <c r="O133"/>
    </row>
    <row r="134" spans="1:15" x14ac:dyDescent="0.35">
      <c r="A134"/>
      <c r="B134"/>
      <c r="C134"/>
      <c r="D134"/>
      <c r="E134"/>
      <c r="F134"/>
      <c r="G134"/>
      <c r="H134"/>
      <c r="I134"/>
      <c r="J134"/>
      <c r="K134"/>
      <c r="L134"/>
      <c r="M134"/>
      <c r="N134"/>
      <c r="O134"/>
    </row>
    <row r="135" spans="1:15" x14ac:dyDescent="0.35">
      <c r="A135"/>
      <c r="B135"/>
      <c r="C135"/>
      <c r="D135"/>
      <c r="E135"/>
      <c r="F135"/>
      <c r="G135"/>
      <c r="H135"/>
      <c r="I135"/>
      <c r="J135"/>
      <c r="K135"/>
      <c r="L135"/>
      <c r="M135"/>
      <c r="N135"/>
      <c r="O135"/>
    </row>
    <row r="136" spans="1:15" x14ac:dyDescent="0.35">
      <c r="A136"/>
      <c r="B136"/>
      <c r="C136"/>
      <c r="D136"/>
      <c r="E136"/>
      <c r="F136"/>
      <c r="G136"/>
      <c r="H136"/>
      <c r="I136"/>
      <c r="J136"/>
      <c r="K136"/>
      <c r="L136"/>
      <c r="M136"/>
      <c r="N136"/>
      <c r="O136"/>
    </row>
    <row r="137" spans="1:15" x14ac:dyDescent="0.35">
      <c r="A137"/>
      <c r="B137"/>
      <c r="C137"/>
      <c r="D137"/>
      <c r="E137"/>
      <c r="F137"/>
      <c r="G137"/>
      <c r="H137"/>
      <c r="I137"/>
      <c r="J137"/>
      <c r="K137"/>
      <c r="L137"/>
      <c r="M137"/>
      <c r="N137"/>
      <c r="O137"/>
    </row>
    <row r="138" spans="1:15" x14ac:dyDescent="0.35">
      <c r="A138"/>
      <c r="B138"/>
      <c r="C138"/>
      <c r="D138"/>
      <c r="E138"/>
      <c r="F138"/>
      <c r="G138"/>
      <c r="H138"/>
      <c r="I138"/>
      <c r="J138"/>
      <c r="K138"/>
      <c r="L138"/>
      <c r="M138"/>
      <c r="N138"/>
      <c r="O138"/>
    </row>
    <row r="139" spans="1:15" x14ac:dyDescent="0.35">
      <c r="A139"/>
      <c r="B139"/>
      <c r="C139"/>
      <c r="D139"/>
      <c r="E139"/>
      <c r="F139"/>
      <c r="G139"/>
      <c r="H139"/>
      <c r="I139"/>
      <c r="J139"/>
      <c r="K139"/>
      <c r="L139"/>
      <c r="M139"/>
      <c r="N139"/>
      <c r="O139"/>
    </row>
    <row r="140" spans="1:15" x14ac:dyDescent="0.35">
      <c r="A140"/>
      <c r="B140"/>
      <c r="C140"/>
      <c r="D140"/>
      <c r="E140"/>
      <c r="F140"/>
      <c r="G140"/>
      <c r="H140"/>
      <c r="I140"/>
      <c r="J140"/>
      <c r="K140"/>
      <c r="L140"/>
      <c r="M140"/>
      <c r="N140"/>
      <c r="O140"/>
    </row>
    <row r="141" spans="1:15" x14ac:dyDescent="0.35">
      <c r="A141"/>
      <c r="B141"/>
      <c r="C141"/>
      <c r="D141"/>
      <c r="E141"/>
      <c r="F141"/>
      <c r="G141"/>
      <c r="H141"/>
      <c r="I141"/>
      <c r="J141"/>
      <c r="K141"/>
      <c r="L141"/>
      <c r="M141"/>
      <c r="N141"/>
      <c r="O141"/>
    </row>
    <row r="142" spans="1:15" x14ac:dyDescent="0.35">
      <c r="A142"/>
      <c r="B142"/>
      <c r="C142"/>
      <c r="D142"/>
      <c r="E142"/>
      <c r="F142"/>
      <c r="G142"/>
      <c r="H142"/>
      <c r="I142"/>
      <c r="J142"/>
      <c r="K142"/>
      <c r="L142"/>
      <c r="M142"/>
      <c r="N142"/>
      <c r="O142"/>
    </row>
    <row r="143" spans="1:15" x14ac:dyDescent="0.35">
      <c r="A143"/>
      <c r="B143"/>
      <c r="C143"/>
      <c r="D143"/>
      <c r="E143"/>
      <c r="F143"/>
      <c r="G143"/>
      <c r="H143"/>
      <c r="I143"/>
      <c r="J143"/>
      <c r="K143"/>
      <c r="L143"/>
      <c r="M143"/>
      <c r="N143"/>
      <c r="O143"/>
    </row>
    <row r="144" spans="1:15" x14ac:dyDescent="0.35">
      <c r="A144"/>
      <c r="B144"/>
      <c r="C144"/>
      <c r="D144"/>
      <c r="E144"/>
      <c r="F144"/>
      <c r="G144"/>
      <c r="H144"/>
      <c r="I144"/>
      <c r="J144"/>
      <c r="K144"/>
      <c r="L144"/>
      <c r="M144"/>
      <c r="N144"/>
      <c r="O144"/>
    </row>
    <row r="145" spans="1:15" x14ac:dyDescent="0.35">
      <c r="A145"/>
      <c r="B145"/>
      <c r="C145"/>
      <c r="D145"/>
      <c r="E145"/>
      <c r="F145"/>
      <c r="G145"/>
      <c r="H145"/>
      <c r="I145"/>
      <c r="J145"/>
      <c r="K145"/>
      <c r="L145"/>
      <c r="M145"/>
      <c r="N145"/>
      <c r="O145"/>
    </row>
    <row r="146" spans="1:15" x14ac:dyDescent="0.35">
      <c r="A146"/>
      <c r="B146"/>
      <c r="C146"/>
      <c r="D146"/>
      <c r="E146"/>
      <c r="F146"/>
      <c r="G146"/>
      <c r="H146"/>
      <c r="I146"/>
      <c r="J146"/>
      <c r="K146"/>
      <c r="L146"/>
      <c r="M146"/>
      <c r="N146"/>
      <c r="O146"/>
    </row>
    <row r="147" spans="1:15" x14ac:dyDescent="0.35">
      <c r="A147"/>
      <c r="B147"/>
      <c r="C147"/>
      <c r="D147"/>
      <c r="E147"/>
      <c r="F147"/>
      <c r="G147"/>
      <c r="H147"/>
      <c r="I147"/>
      <c r="J147"/>
      <c r="K147"/>
      <c r="L147"/>
      <c r="M147"/>
      <c r="N147"/>
      <c r="O147"/>
    </row>
    <row r="148" spans="1:15" x14ac:dyDescent="0.35">
      <c r="A148"/>
      <c r="B148"/>
      <c r="C148"/>
      <c r="D148"/>
      <c r="E148"/>
      <c r="F148"/>
      <c r="G148"/>
      <c r="H148"/>
      <c r="I148"/>
      <c r="J148"/>
      <c r="K148"/>
      <c r="L148"/>
      <c r="M148"/>
      <c r="N148"/>
      <c r="O148"/>
    </row>
    <row r="149" spans="1:15" x14ac:dyDescent="0.35">
      <c r="A149"/>
      <c r="B149"/>
      <c r="C149"/>
      <c r="D149"/>
      <c r="E149"/>
      <c r="F149"/>
      <c r="G149"/>
      <c r="H149"/>
      <c r="I149"/>
      <c r="J149"/>
      <c r="K149"/>
      <c r="L149"/>
      <c r="M149"/>
      <c r="N149"/>
      <c r="O149"/>
    </row>
    <row r="150" spans="1:15" x14ac:dyDescent="0.35">
      <c r="A150"/>
      <c r="B150"/>
      <c r="C150"/>
      <c r="D150"/>
      <c r="E150"/>
      <c r="F150"/>
      <c r="G150"/>
      <c r="H150"/>
      <c r="I150"/>
      <c r="J150"/>
      <c r="K150"/>
      <c r="L150"/>
      <c r="M150"/>
      <c r="N150"/>
      <c r="O150"/>
    </row>
    <row r="151" spans="1:15" x14ac:dyDescent="0.35">
      <c r="A151"/>
      <c r="B151"/>
      <c r="C151"/>
      <c r="D151"/>
      <c r="E151"/>
      <c r="F151"/>
      <c r="G151"/>
      <c r="H151"/>
      <c r="I151"/>
      <c r="J151"/>
      <c r="K151"/>
      <c r="L151"/>
      <c r="M151"/>
      <c r="N151"/>
      <c r="O151"/>
    </row>
    <row r="152" spans="1:15" x14ac:dyDescent="0.35">
      <c r="A152"/>
      <c r="B152"/>
      <c r="C152"/>
      <c r="D152"/>
      <c r="E152"/>
      <c r="F152"/>
      <c r="G152"/>
      <c r="H152"/>
      <c r="I152"/>
      <c r="J152"/>
      <c r="K152"/>
      <c r="L152"/>
      <c r="M152"/>
      <c r="N152"/>
      <c r="O152"/>
    </row>
    <row r="153" spans="1:15" x14ac:dyDescent="0.35">
      <c r="A153"/>
      <c r="B153"/>
      <c r="C153"/>
      <c r="D153"/>
      <c r="E153"/>
      <c r="F153"/>
      <c r="G153"/>
      <c r="H153"/>
      <c r="I153"/>
      <c r="J153"/>
      <c r="K153"/>
      <c r="L153"/>
      <c r="M153"/>
      <c r="N153"/>
      <c r="O153"/>
    </row>
    <row r="154" spans="1:15" x14ac:dyDescent="0.35">
      <c r="A154"/>
      <c r="B154"/>
      <c r="C154"/>
      <c r="D154"/>
      <c r="E154"/>
      <c r="F154"/>
      <c r="G154"/>
      <c r="H154"/>
      <c r="I154"/>
      <c r="J154"/>
      <c r="K154"/>
      <c r="L154"/>
      <c r="M154"/>
      <c r="N154"/>
      <c r="O154"/>
    </row>
    <row r="155" spans="1:15" x14ac:dyDescent="0.35">
      <c r="A155"/>
      <c r="B155"/>
      <c r="C155"/>
      <c r="D155"/>
      <c r="E155"/>
      <c r="F155"/>
      <c r="G155"/>
      <c r="H155"/>
      <c r="I155"/>
      <c r="J155"/>
      <c r="K155"/>
      <c r="L155"/>
      <c r="M155"/>
      <c r="N155"/>
      <c r="O155"/>
    </row>
    <row r="156" spans="1:15" x14ac:dyDescent="0.35">
      <c r="A156"/>
      <c r="B156"/>
      <c r="C156"/>
      <c r="D156"/>
      <c r="E156"/>
      <c r="F156"/>
      <c r="G156"/>
      <c r="H156"/>
      <c r="I156"/>
      <c r="J156"/>
      <c r="K156"/>
      <c r="L156"/>
      <c r="M156"/>
      <c r="N156"/>
      <c r="O156"/>
    </row>
    <row r="157" spans="1:15" x14ac:dyDescent="0.35">
      <c r="A157"/>
      <c r="B157"/>
      <c r="C157"/>
      <c r="D157"/>
      <c r="E157"/>
      <c r="F157"/>
      <c r="G157"/>
      <c r="H157"/>
      <c r="I157"/>
      <c r="J157"/>
      <c r="K157"/>
      <c r="L157"/>
      <c r="M157"/>
      <c r="N157"/>
      <c r="O157"/>
    </row>
    <row r="158" spans="1:15" x14ac:dyDescent="0.35">
      <c r="A158"/>
      <c r="B158"/>
      <c r="C158"/>
      <c r="D158"/>
      <c r="E158"/>
      <c r="F158"/>
      <c r="G158"/>
      <c r="H158"/>
      <c r="I158"/>
      <c r="J158"/>
      <c r="K158"/>
      <c r="L158"/>
      <c r="M158"/>
      <c r="N158"/>
      <c r="O158"/>
    </row>
    <row r="159" spans="1:15" x14ac:dyDescent="0.35">
      <c r="A159"/>
      <c r="B159"/>
      <c r="C159"/>
      <c r="D159"/>
      <c r="E159"/>
      <c r="F159"/>
      <c r="G159"/>
      <c r="H159"/>
      <c r="I159"/>
      <c r="J159"/>
      <c r="K159"/>
      <c r="L159"/>
      <c r="M159"/>
      <c r="N159"/>
      <c r="O159"/>
    </row>
    <row r="160" spans="1:15" x14ac:dyDescent="0.35">
      <c r="A160"/>
      <c r="B160"/>
      <c r="C160"/>
      <c r="D160"/>
      <c r="E160"/>
      <c r="F160"/>
      <c r="G160"/>
      <c r="H160"/>
      <c r="I160"/>
      <c r="J160"/>
      <c r="K160"/>
      <c r="L160"/>
      <c r="M160"/>
      <c r="N160"/>
      <c r="O160"/>
    </row>
    <row r="161" spans="1:15" x14ac:dyDescent="0.35">
      <c r="A161"/>
      <c r="B161"/>
      <c r="C161"/>
      <c r="D161"/>
      <c r="E161"/>
      <c r="F161"/>
      <c r="G161"/>
      <c r="H161"/>
      <c r="I161"/>
      <c r="J161"/>
      <c r="K161"/>
      <c r="L161"/>
      <c r="M161"/>
      <c r="N161"/>
      <c r="O161"/>
    </row>
    <row r="162" spans="1:15" x14ac:dyDescent="0.35">
      <c r="A162"/>
      <c r="B162"/>
      <c r="C162"/>
      <c r="D162"/>
      <c r="E162"/>
      <c r="F162"/>
      <c r="G162"/>
      <c r="H162"/>
      <c r="I162"/>
      <c r="J162"/>
      <c r="K162"/>
      <c r="L162"/>
      <c r="M162"/>
      <c r="N162"/>
      <c r="O162"/>
    </row>
    <row r="163" spans="1:15" x14ac:dyDescent="0.35">
      <c r="A163"/>
      <c r="B163"/>
      <c r="C163"/>
      <c r="D163"/>
      <c r="E163"/>
      <c r="F163"/>
      <c r="G163"/>
      <c r="H163"/>
      <c r="I163"/>
      <c r="J163"/>
      <c r="K163"/>
      <c r="L163"/>
      <c r="M163"/>
      <c r="N163"/>
      <c r="O163"/>
    </row>
    <row r="164" spans="1:15" x14ac:dyDescent="0.35">
      <c r="A164"/>
      <c r="B164"/>
      <c r="C164"/>
      <c r="D164"/>
      <c r="E164"/>
      <c r="F164"/>
      <c r="G164"/>
      <c r="H164"/>
      <c r="I164"/>
      <c r="J164"/>
      <c r="K164"/>
      <c r="L164"/>
      <c r="M164"/>
      <c r="N164"/>
      <c r="O164"/>
    </row>
    <row r="165" spans="1:15" x14ac:dyDescent="0.35">
      <c r="A165"/>
      <c r="B165"/>
      <c r="C165"/>
      <c r="D165"/>
      <c r="E165"/>
      <c r="F165"/>
      <c r="G165"/>
      <c r="H165"/>
      <c r="I165"/>
      <c r="J165"/>
      <c r="K165"/>
      <c r="L165"/>
      <c r="M165"/>
      <c r="N165"/>
      <c r="O165"/>
    </row>
    <row r="166" spans="1:15" x14ac:dyDescent="0.35">
      <c r="A166"/>
      <c r="B166"/>
      <c r="C166"/>
      <c r="D166"/>
      <c r="E166"/>
      <c r="F166"/>
      <c r="G166"/>
      <c r="H166"/>
      <c r="I166"/>
      <c r="J166"/>
      <c r="K166"/>
      <c r="L166"/>
      <c r="M166"/>
      <c r="N166"/>
      <c r="O166"/>
    </row>
    <row r="167" spans="1:15" x14ac:dyDescent="0.35">
      <c r="A167"/>
      <c r="B167"/>
      <c r="C167"/>
      <c r="D167"/>
      <c r="E167"/>
      <c r="F167"/>
      <c r="G167"/>
      <c r="H167"/>
      <c r="I167"/>
      <c r="J167"/>
      <c r="K167"/>
      <c r="L167"/>
      <c r="M167"/>
      <c r="N167"/>
      <c r="O167"/>
    </row>
    <row r="168" spans="1:15" x14ac:dyDescent="0.35">
      <c r="A168"/>
      <c r="B168"/>
      <c r="C168"/>
      <c r="D168"/>
      <c r="E168"/>
      <c r="F168"/>
      <c r="G168"/>
      <c r="H168"/>
      <c r="I168"/>
      <c r="J168"/>
      <c r="K168"/>
      <c r="L168"/>
      <c r="M168"/>
      <c r="N168"/>
      <c r="O168"/>
    </row>
    <row r="169" spans="1:15" x14ac:dyDescent="0.35">
      <c r="A169"/>
      <c r="B169"/>
      <c r="C169"/>
      <c r="D169"/>
      <c r="E169"/>
      <c r="F169"/>
      <c r="G169"/>
      <c r="H169"/>
      <c r="I169"/>
      <c r="J169"/>
      <c r="K169"/>
      <c r="L169"/>
      <c r="M169"/>
      <c r="N169"/>
      <c r="O169"/>
    </row>
    <row r="170" spans="1:15" x14ac:dyDescent="0.35">
      <c r="A170"/>
      <c r="B170"/>
      <c r="C170"/>
      <c r="D170"/>
      <c r="E170"/>
      <c r="F170"/>
      <c r="G170"/>
      <c r="H170"/>
      <c r="I170"/>
      <c r="J170"/>
      <c r="K170"/>
      <c r="L170"/>
      <c r="M170"/>
      <c r="N170"/>
      <c r="O170"/>
    </row>
    <row r="171" spans="1:15" x14ac:dyDescent="0.35">
      <c r="A171"/>
      <c r="B171"/>
      <c r="C171"/>
      <c r="D171"/>
      <c r="E171"/>
      <c r="F171"/>
      <c r="G171"/>
      <c r="H171"/>
      <c r="I171"/>
      <c r="J171"/>
      <c r="K171"/>
      <c r="L171"/>
      <c r="M171"/>
      <c r="N171"/>
      <c r="O171"/>
    </row>
    <row r="172" spans="1:15" x14ac:dyDescent="0.35">
      <c r="A172"/>
      <c r="B172"/>
      <c r="C172"/>
      <c r="D172"/>
      <c r="E172"/>
      <c r="F172"/>
      <c r="G172"/>
      <c r="H172"/>
      <c r="I172"/>
      <c r="J172"/>
      <c r="K172"/>
      <c r="L172"/>
      <c r="M172"/>
      <c r="N172"/>
      <c r="O172"/>
    </row>
    <row r="173" spans="1:15" x14ac:dyDescent="0.35">
      <c r="A173"/>
      <c r="B173"/>
      <c r="C173"/>
      <c r="D173"/>
      <c r="E173"/>
      <c r="F173"/>
      <c r="G173"/>
      <c r="H173"/>
      <c r="I173"/>
      <c r="J173"/>
      <c r="K173"/>
      <c r="L173"/>
      <c r="M173"/>
      <c r="N173"/>
      <c r="O173"/>
    </row>
    <row r="174" spans="1:15" x14ac:dyDescent="0.35">
      <c r="A174"/>
      <c r="B174"/>
      <c r="C174"/>
      <c r="D174"/>
      <c r="E174"/>
      <c r="F174"/>
      <c r="G174"/>
      <c r="H174"/>
      <c r="I174"/>
      <c r="J174"/>
      <c r="K174"/>
      <c r="L174"/>
      <c r="M174"/>
      <c r="N174"/>
      <c r="O174"/>
    </row>
    <row r="175" spans="1:15" x14ac:dyDescent="0.35">
      <c r="A175"/>
      <c r="B175"/>
      <c r="C175"/>
      <c r="D175"/>
      <c r="E175"/>
      <c r="F175"/>
      <c r="G175"/>
      <c r="H175"/>
      <c r="I175"/>
      <c r="J175"/>
      <c r="K175"/>
      <c r="L175"/>
      <c r="M175"/>
      <c r="N175"/>
      <c r="O175"/>
    </row>
    <row r="176" spans="1:15" x14ac:dyDescent="0.35">
      <c r="A176"/>
      <c r="B176"/>
      <c r="C176"/>
      <c r="D176"/>
      <c r="E176"/>
      <c r="F176"/>
      <c r="G176"/>
      <c r="H176"/>
      <c r="I176"/>
      <c r="J176"/>
      <c r="K176"/>
      <c r="L176"/>
      <c r="M176"/>
      <c r="N176"/>
      <c r="O176"/>
    </row>
    <row r="177" spans="1:15" x14ac:dyDescent="0.35">
      <c r="A177"/>
      <c r="B177"/>
      <c r="C177"/>
      <c r="D177"/>
      <c r="E177"/>
      <c r="F177"/>
      <c r="G177"/>
      <c r="H177"/>
      <c r="I177"/>
      <c r="J177"/>
      <c r="K177"/>
      <c r="L177"/>
      <c r="M177"/>
      <c r="N177"/>
      <c r="O177"/>
    </row>
    <row r="178" spans="1:15" x14ac:dyDescent="0.35">
      <c r="A178"/>
      <c r="B178"/>
      <c r="C178"/>
      <c r="D178"/>
      <c r="E178"/>
      <c r="F178"/>
      <c r="G178"/>
      <c r="H178"/>
      <c r="I178"/>
      <c r="J178"/>
      <c r="K178"/>
      <c r="L178"/>
      <c r="M178"/>
      <c r="N178"/>
      <c r="O178"/>
    </row>
    <row r="179" spans="1:15" x14ac:dyDescent="0.35">
      <c r="A179"/>
      <c r="B179"/>
      <c r="C179"/>
      <c r="D179"/>
      <c r="E179"/>
      <c r="F179"/>
      <c r="G179"/>
      <c r="H179"/>
      <c r="I179"/>
      <c r="J179"/>
      <c r="K179"/>
      <c r="L179"/>
      <c r="M179"/>
      <c r="N179"/>
      <c r="O179"/>
    </row>
    <row r="180" spans="1:15" x14ac:dyDescent="0.35">
      <c r="A180"/>
      <c r="B180"/>
      <c r="C180"/>
      <c r="D180"/>
      <c r="E180"/>
      <c r="F180"/>
      <c r="G180"/>
      <c r="H180"/>
      <c r="I180"/>
      <c r="J180"/>
      <c r="K180"/>
      <c r="L180"/>
      <c r="M180"/>
      <c r="N180"/>
      <c r="O180"/>
    </row>
    <row r="181" spans="1:15" x14ac:dyDescent="0.35">
      <c r="A181"/>
      <c r="B181"/>
      <c r="C181"/>
      <c r="D181"/>
      <c r="E181"/>
      <c r="F181"/>
      <c r="G181"/>
      <c r="H181"/>
      <c r="I181"/>
      <c r="J181"/>
      <c r="K181"/>
      <c r="L181"/>
      <c r="M181"/>
      <c r="N181"/>
      <c r="O181"/>
    </row>
    <row r="182" spans="1:15" x14ac:dyDescent="0.35">
      <c r="A182"/>
      <c r="B182"/>
      <c r="C182"/>
      <c r="D182"/>
      <c r="E182"/>
      <c r="F182"/>
      <c r="G182"/>
      <c r="H182"/>
      <c r="I182"/>
      <c r="J182"/>
      <c r="K182"/>
      <c r="L182"/>
      <c r="M182"/>
      <c r="N182"/>
      <c r="O182"/>
    </row>
    <row r="183" spans="1:15" x14ac:dyDescent="0.35">
      <c r="A183"/>
      <c r="B183"/>
      <c r="C183"/>
      <c r="D183"/>
      <c r="E183"/>
      <c r="F183"/>
      <c r="G183"/>
      <c r="H183"/>
      <c r="I183"/>
      <c r="J183"/>
      <c r="K183"/>
      <c r="L183"/>
      <c r="M183"/>
      <c r="N183"/>
      <c r="O183"/>
    </row>
    <row r="184" spans="1:15" x14ac:dyDescent="0.35">
      <c r="A184"/>
      <c r="B184"/>
      <c r="C184"/>
      <c r="D184"/>
      <c r="E184"/>
      <c r="F184"/>
      <c r="G184"/>
      <c r="H184"/>
      <c r="I184"/>
      <c r="J184"/>
      <c r="K184"/>
      <c r="L184"/>
      <c r="M184"/>
      <c r="N184"/>
      <c r="O184"/>
    </row>
    <row r="185" spans="1:15" x14ac:dyDescent="0.35">
      <c r="A185"/>
      <c r="B185"/>
      <c r="C185"/>
      <c r="D185"/>
      <c r="E185"/>
      <c r="F185"/>
      <c r="G185"/>
      <c r="H185"/>
      <c r="I185"/>
      <c r="J185"/>
      <c r="K185"/>
      <c r="L185"/>
      <c r="M185"/>
      <c r="N185"/>
      <c r="O185"/>
    </row>
    <row r="186" spans="1:15" x14ac:dyDescent="0.35">
      <c r="A186"/>
      <c r="B186"/>
      <c r="C186"/>
      <c r="D186"/>
      <c r="E186"/>
      <c r="F186"/>
      <c r="G186"/>
      <c r="H186"/>
      <c r="I186"/>
      <c r="J186"/>
      <c r="K186"/>
      <c r="L186"/>
      <c r="M186"/>
      <c r="N186"/>
      <c r="O186"/>
    </row>
    <row r="187" spans="1:15" x14ac:dyDescent="0.35">
      <c r="A187"/>
      <c r="B187"/>
      <c r="C187"/>
      <c r="D187"/>
      <c r="E187"/>
      <c r="F187"/>
      <c r="G187"/>
      <c r="H187"/>
      <c r="I187"/>
      <c r="J187"/>
      <c r="K187"/>
      <c r="L187"/>
      <c r="M187"/>
      <c r="N187"/>
      <c r="O187"/>
    </row>
    <row r="188" spans="1:15" x14ac:dyDescent="0.35">
      <c r="A188"/>
      <c r="B188"/>
      <c r="C188"/>
      <c r="D188"/>
      <c r="E188"/>
      <c r="F188"/>
      <c r="G188"/>
      <c r="H188"/>
      <c r="I188"/>
      <c r="J188"/>
      <c r="K188"/>
      <c r="L188"/>
      <c r="M188"/>
      <c r="N188"/>
      <c r="O188"/>
    </row>
    <row r="189" spans="1:15" x14ac:dyDescent="0.35">
      <c r="A189"/>
      <c r="B189"/>
      <c r="C189"/>
      <c r="D189"/>
      <c r="E189"/>
      <c r="F189"/>
      <c r="G189"/>
      <c r="H189"/>
      <c r="I189"/>
      <c r="J189"/>
      <c r="K189"/>
      <c r="L189"/>
      <c r="M189"/>
      <c r="N189"/>
      <c r="O189"/>
    </row>
    <row r="190" spans="1:15" x14ac:dyDescent="0.35">
      <c r="A190"/>
      <c r="B190"/>
      <c r="C190"/>
      <c r="D190"/>
      <c r="E190"/>
      <c r="F190"/>
      <c r="G190"/>
      <c r="H190"/>
      <c r="I190"/>
      <c r="J190"/>
      <c r="K190"/>
      <c r="L190"/>
      <c r="M190"/>
      <c r="N190"/>
      <c r="O190"/>
    </row>
    <row r="191" spans="1:15" x14ac:dyDescent="0.35">
      <c r="A191"/>
      <c r="B191"/>
      <c r="C191"/>
      <c r="D191"/>
      <c r="E191"/>
      <c r="F191"/>
      <c r="G191"/>
      <c r="H191"/>
      <c r="I191"/>
      <c r="J191"/>
      <c r="K191"/>
      <c r="L191"/>
      <c r="M191"/>
      <c r="N191"/>
      <c r="O191"/>
    </row>
    <row r="192" spans="1:15" x14ac:dyDescent="0.35">
      <c r="A192"/>
      <c r="B192"/>
      <c r="C192"/>
      <c r="D192"/>
      <c r="E192"/>
      <c r="F192"/>
      <c r="G192"/>
      <c r="H192"/>
      <c r="I192"/>
      <c r="J192"/>
      <c r="K192"/>
      <c r="L192"/>
      <c r="M192"/>
      <c r="N192"/>
      <c r="O192"/>
    </row>
    <row r="193" spans="1:15" x14ac:dyDescent="0.35">
      <c r="A193"/>
      <c r="B193"/>
      <c r="C193"/>
      <c r="D193"/>
      <c r="E193"/>
      <c r="F193"/>
      <c r="G193"/>
      <c r="H193"/>
      <c r="I193"/>
      <c r="J193"/>
      <c r="K193"/>
      <c r="L193"/>
      <c r="M193"/>
      <c r="N193"/>
      <c r="O193"/>
    </row>
    <row r="194" spans="1:15" x14ac:dyDescent="0.35">
      <c r="A194"/>
      <c r="B194"/>
      <c r="C194"/>
      <c r="D194"/>
      <c r="E194"/>
      <c r="F194"/>
      <c r="G194"/>
      <c r="H194"/>
      <c r="I194"/>
      <c r="J194"/>
      <c r="K194"/>
      <c r="L194"/>
      <c r="M194"/>
      <c r="N194"/>
      <c r="O194"/>
    </row>
    <row r="195" spans="1:15" x14ac:dyDescent="0.35">
      <c r="A195"/>
      <c r="B195"/>
      <c r="C195"/>
      <c r="D195"/>
      <c r="E195"/>
      <c r="F195"/>
      <c r="G195"/>
      <c r="H195"/>
      <c r="I195"/>
      <c r="J195"/>
      <c r="K195"/>
      <c r="L195"/>
      <c r="M195"/>
      <c r="N195"/>
      <c r="O195"/>
    </row>
    <row r="196" spans="1:15" x14ac:dyDescent="0.35">
      <c r="A196"/>
      <c r="B196"/>
      <c r="C196"/>
      <c r="D196"/>
      <c r="E196"/>
      <c r="F196"/>
      <c r="G196"/>
      <c r="H196"/>
      <c r="I196"/>
      <c r="J196"/>
      <c r="K196"/>
      <c r="L196"/>
      <c r="M196"/>
      <c r="N196"/>
      <c r="O196"/>
    </row>
    <row r="197" spans="1:15" x14ac:dyDescent="0.35">
      <c r="A197"/>
      <c r="B197"/>
      <c r="C197"/>
      <c r="D197"/>
      <c r="E197"/>
      <c r="F197"/>
      <c r="G197"/>
      <c r="H197"/>
      <c r="I197"/>
      <c r="J197"/>
      <c r="K197"/>
      <c r="L197"/>
      <c r="M197"/>
      <c r="N197"/>
      <c r="O197"/>
    </row>
    <row r="198" spans="1:15" x14ac:dyDescent="0.35">
      <c r="A198"/>
      <c r="B198"/>
      <c r="C198"/>
      <c r="D198"/>
      <c r="E198"/>
      <c r="F198"/>
      <c r="G198"/>
      <c r="H198"/>
      <c r="I198"/>
      <c r="J198"/>
      <c r="K198"/>
      <c r="L198"/>
      <c r="M198"/>
      <c r="N198"/>
      <c r="O198"/>
    </row>
    <row r="199" spans="1:15" x14ac:dyDescent="0.35">
      <c r="A199"/>
      <c r="B199"/>
      <c r="C199"/>
      <c r="D199"/>
      <c r="E199"/>
      <c r="F199"/>
      <c r="G199"/>
      <c r="H199"/>
      <c r="I199"/>
      <c r="J199"/>
      <c r="K199"/>
      <c r="L199"/>
      <c r="M199"/>
      <c r="N199"/>
      <c r="O199"/>
    </row>
    <row r="200" spans="1:15" x14ac:dyDescent="0.35">
      <c r="A200"/>
      <c r="B200"/>
      <c r="C200"/>
      <c r="D200"/>
      <c r="E200"/>
      <c r="F200"/>
      <c r="G200"/>
      <c r="H200"/>
      <c r="I200"/>
      <c r="J200"/>
      <c r="K200"/>
      <c r="L200"/>
      <c r="M200"/>
      <c r="N200"/>
      <c r="O200"/>
    </row>
    <row r="201" spans="1:15" x14ac:dyDescent="0.35">
      <c r="A201"/>
      <c r="B201"/>
      <c r="C201"/>
      <c r="D201"/>
      <c r="E201"/>
      <c r="F201"/>
      <c r="G201"/>
      <c r="H201"/>
      <c r="I201"/>
      <c r="J201"/>
      <c r="K201"/>
      <c r="L201"/>
      <c r="M201"/>
      <c r="N201"/>
      <c r="O201"/>
    </row>
    <row r="202" spans="1:15" x14ac:dyDescent="0.35">
      <c r="A202"/>
      <c r="B202"/>
      <c r="C202"/>
      <c r="D202"/>
      <c r="E202"/>
      <c r="F202"/>
      <c r="G202"/>
      <c r="H202"/>
      <c r="I202"/>
      <c r="J202"/>
      <c r="K202"/>
      <c r="L202"/>
      <c r="M202"/>
      <c r="N202"/>
      <c r="O202"/>
    </row>
    <row r="203" spans="1:15" x14ac:dyDescent="0.35">
      <c r="A203"/>
      <c r="B203"/>
      <c r="C203"/>
      <c r="D203"/>
      <c r="E203"/>
      <c r="F203"/>
      <c r="G203"/>
      <c r="H203"/>
      <c r="I203"/>
      <c r="J203"/>
      <c r="K203"/>
      <c r="L203"/>
      <c r="M203"/>
      <c r="N203"/>
      <c r="O203"/>
    </row>
    <row r="204" spans="1:15" x14ac:dyDescent="0.35">
      <c r="A204"/>
      <c r="B204"/>
      <c r="C204"/>
      <c r="D204"/>
      <c r="E204"/>
      <c r="F204"/>
      <c r="G204"/>
      <c r="H204"/>
      <c r="I204"/>
      <c r="J204"/>
      <c r="K204"/>
      <c r="L204"/>
      <c r="M204"/>
      <c r="N204"/>
      <c r="O204"/>
    </row>
    <row r="205" spans="1:15" x14ac:dyDescent="0.35">
      <c r="A205"/>
      <c r="B205"/>
      <c r="C205"/>
      <c r="D205"/>
      <c r="E205"/>
      <c r="F205"/>
      <c r="G205"/>
      <c r="H205"/>
      <c r="I205"/>
      <c r="J205"/>
      <c r="K205"/>
      <c r="L205"/>
      <c r="M205"/>
      <c r="N205"/>
      <c r="O205"/>
    </row>
    <row r="206" spans="1:15" x14ac:dyDescent="0.35">
      <c r="A206"/>
      <c r="B206"/>
      <c r="C206"/>
      <c r="D206"/>
      <c r="E206"/>
      <c r="F206"/>
      <c r="G206"/>
      <c r="H206"/>
      <c r="I206"/>
      <c r="J206"/>
      <c r="K206"/>
      <c r="L206"/>
      <c r="M206"/>
      <c r="N206"/>
      <c r="O206"/>
    </row>
    <row r="207" spans="1:15" x14ac:dyDescent="0.35">
      <c r="A207"/>
      <c r="B207"/>
      <c r="C207"/>
      <c r="D207"/>
      <c r="E207"/>
      <c r="F207"/>
      <c r="G207"/>
      <c r="H207"/>
      <c r="I207"/>
      <c r="J207"/>
      <c r="K207"/>
      <c r="L207"/>
      <c r="M207"/>
      <c r="N207"/>
      <c r="O207"/>
    </row>
    <row r="208" spans="1:15" x14ac:dyDescent="0.35">
      <c r="A208"/>
      <c r="B208"/>
      <c r="C208"/>
      <c r="D208"/>
      <c r="E208"/>
      <c r="F208"/>
      <c r="G208"/>
      <c r="H208"/>
      <c r="I208"/>
      <c r="J208"/>
      <c r="K208"/>
      <c r="L208"/>
      <c r="M208"/>
      <c r="N208"/>
      <c r="O208"/>
    </row>
    <row r="209" spans="1:15" x14ac:dyDescent="0.35">
      <c r="A209"/>
      <c r="B209"/>
      <c r="C209"/>
      <c r="D209"/>
      <c r="E209"/>
      <c r="F209"/>
      <c r="G209"/>
      <c r="H209"/>
      <c r="I209"/>
      <c r="J209"/>
      <c r="K209"/>
      <c r="L209"/>
      <c r="M209"/>
      <c r="N209"/>
      <c r="O209"/>
    </row>
    <row r="210" spans="1:15" x14ac:dyDescent="0.35">
      <c r="A210"/>
      <c r="B210"/>
      <c r="C210"/>
      <c r="D210"/>
      <c r="E210"/>
      <c r="F210"/>
      <c r="G210"/>
      <c r="H210"/>
      <c r="I210"/>
      <c r="J210"/>
      <c r="K210"/>
      <c r="L210"/>
      <c r="M210"/>
      <c r="N210"/>
      <c r="O210"/>
    </row>
    <row r="211" spans="1:15" x14ac:dyDescent="0.35">
      <c r="A211"/>
      <c r="B211"/>
      <c r="C211"/>
      <c r="D211"/>
      <c r="E211"/>
      <c r="F211"/>
      <c r="G211"/>
      <c r="H211"/>
      <c r="I211"/>
      <c r="J211"/>
      <c r="K211"/>
      <c r="L211"/>
      <c r="M211"/>
      <c r="N211"/>
      <c r="O211"/>
    </row>
    <row r="212" spans="1:15" x14ac:dyDescent="0.35">
      <c r="A212"/>
      <c r="B212"/>
      <c r="C212"/>
      <c r="D212"/>
      <c r="E212"/>
      <c r="F212"/>
      <c r="G212"/>
      <c r="H212"/>
      <c r="I212"/>
      <c r="J212"/>
      <c r="K212"/>
      <c r="L212"/>
      <c r="M212"/>
      <c r="N212"/>
      <c r="O212"/>
    </row>
    <row r="213" spans="1:15" x14ac:dyDescent="0.35">
      <c r="A213"/>
      <c r="B213"/>
      <c r="C213"/>
      <c r="D213"/>
      <c r="E213"/>
      <c r="F213"/>
      <c r="G213"/>
      <c r="H213"/>
      <c r="I213"/>
      <c r="J213"/>
      <c r="K213"/>
      <c r="L213"/>
      <c r="M213"/>
      <c r="N213"/>
      <c r="O213"/>
    </row>
    <row r="214" spans="1:15" x14ac:dyDescent="0.35">
      <c r="A214"/>
      <c r="B214"/>
      <c r="C214"/>
      <c r="D214"/>
      <c r="E214"/>
      <c r="F214"/>
      <c r="G214"/>
      <c r="H214"/>
      <c r="I214"/>
      <c r="J214"/>
      <c r="K214"/>
      <c r="L214"/>
      <c r="M214"/>
      <c r="N214"/>
      <c r="O214"/>
    </row>
    <row r="215" spans="1:15" x14ac:dyDescent="0.35">
      <c r="A215"/>
      <c r="B215"/>
      <c r="C215"/>
      <c r="D215"/>
      <c r="E215"/>
      <c r="F215"/>
      <c r="G215"/>
      <c r="H215"/>
      <c r="I215"/>
      <c r="J215"/>
      <c r="K215"/>
      <c r="L215"/>
      <c r="M215"/>
      <c r="N215"/>
      <c r="O215"/>
    </row>
    <row r="216" spans="1:15" x14ac:dyDescent="0.35">
      <c r="A216"/>
      <c r="B216"/>
      <c r="C216"/>
      <c r="D216"/>
      <c r="E216"/>
      <c r="F216"/>
      <c r="G216"/>
      <c r="H216"/>
      <c r="I216"/>
      <c r="J216"/>
      <c r="K216"/>
      <c r="L216"/>
      <c r="M216"/>
      <c r="N216"/>
      <c r="O216"/>
    </row>
    <row r="217" spans="1:15" x14ac:dyDescent="0.35">
      <c r="A217"/>
      <c r="B217"/>
      <c r="C217"/>
      <c r="D217"/>
      <c r="E217"/>
      <c r="F217"/>
      <c r="G217"/>
      <c r="H217"/>
      <c r="I217"/>
      <c r="J217"/>
      <c r="K217"/>
      <c r="L217"/>
      <c r="M217"/>
      <c r="N217"/>
      <c r="O217"/>
    </row>
    <row r="218" spans="1:15" x14ac:dyDescent="0.35">
      <c r="A218"/>
      <c r="B218"/>
      <c r="C218"/>
      <c r="D218"/>
      <c r="E218"/>
      <c r="F218"/>
      <c r="G218"/>
      <c r="H218"/>
      <c r="I218"/>
      <c r="J218"/>
      <c r="K218"/>
      <c r="L218"/>
      <c r="M218"/>
      <c r="N218"/>
      <c r="O218"/>
    </row>
    <row r="219" spans="1:15" x14ac:dyDescent="0.35">
      <c r="A219"/>
      <c r="B219"/>
      <c r="C219"/>
      <c r="D219"/>
      <c r="E219"/>
      <c r="F219"/>
      <c r="G219"/>
      <c r="H219"/>
      <c r="I219"/>
      <c r="J219"/>
      <c r="K219"/>
      <c r="L219"/>
      <c r="M219"/>
      <c r="N219"/>
      <c r="O219"/>
    </row>
    <row r="220" spans="1:15" x14ac:dyDescent="0.35">
      <c r="A220"/>
      <c r="B220"/>
      <c r="C220"/>
      <c r="D220"/>
      <c r="E220"/>
      <c r="F220"/>
      <c r="G220"/>
      <c r="H220"/>
      <c r="I220"/>
      <c r="J220"/>
      <c r="K220"/>
      <c r="L220"/>
      <c r="M220"/>
      <c r="N220"/>
      <c r="O220"/>
    </row>
    <row r="221" spans="1:15" x14ac:dyDescent="0.35">
      <c r="A221"/>
      <c r="B221"/>
      <c r="C221"/>
      <c r="D221"/>
      <c r="E221"/>
      <c r="F221"/>
      <c r="G221"/>
      <c r="H221"/>
      <c r="I221"/>
      <c r="J221"/>
      <c r="K221"/>
      <c r="L221"/>
      <c r="M221"/>
      <c r="N221"/>
      <c r="O221"/>
    </row>
    <row r="222" spans="1:15" x14ac:dyDescent="0.35">
      <c r="A222"/>
      <c r="B222"/>
      <c r="C222"/>
      <c r="D222"/>
      <c r="E222"/>
      <c r="F222"/>
      <c r="G222"/>
      <c r="H222"/>
      <c r="I222"/>
      <c r="J222"/>
      <c r="K222"/>
      <c r="L222"/>
      <c r="M222"/>
      <c r="N222"/>
      <c r="O222"/>
    </row>
    <row r="223" spans="1:15" x14ac:dyDescent="0.35">
      <c r="A223"/>
      <c r="B223"/>
      <c r="C223"/>
      <c r="D223"/>
      <c r="E223"/>
      <c r="F223"/>
      <c r="G223"/>
      <c r="H223"/>
      <c r="I223"/>
      <c r="J223"/>
      <c r="K223"/>
      <c r="L223"/>
      <c r="M223"/>
      <c r="N223"/>
      <c r="O223"/>
    </row>
    <row r="224" spans="1:15" x14ac:dyDescent="0.35">
      <c r="A224"/>
      <c r="B224"/>
      <c r="C224"/>
      <c r="D224"/>
      <c r="E224"/>
      <c r="F224"/>
      <c r="G224"/>
      <c r="H224"/>
      <c r="I224"/>
      <c r="J224"/>
      <c r="K224"/>
      <c r="L224"/>
      <c r="M224"/>
      <c r="N224"/>
      <c r="O224"/>
    </row>
    <row r="225" spans="1:15" x14ac:dyDescent="0.35">
      <c r="A225"/>
      <c r="B225"/>
      <c r="C225"/>
      <c r="D225"/>
      <c r="E225"/>
      <c r="F225"/>
      <c r="G225"/>
      <c r="H225"/>
      <c r="I225"/>
      <c r="J225"/>
      <c r="K225"/>
      <c r="L225"/>
      <c r="M225"/>
      <c r="N225"/>
      <c r="O225"/>
    </row>
    <row r="226" spans="1:15" x14ac:dyDescent="0.35">
      <c r="A226"/>
      <c r="B226"/>
      <c r="C226"/>
      <c r="D226"/>
      <c r="E226"/>
      <c r="F226"/>
      <c r="G226"/>
      <c r="H226"/>
      <c r="I226"/>
      <c r="J226"/>
      <c r="K226"/>
      <c r="L226"/>
      <c r="M226"/>
      <c r="N226"/>
      <c r="O226"/>
    </row>
    <row r="227" spans="1:15" x14ac:dyDescent="0.35">
      <c r="A227"/>
      <c r="B227"/>
      <c r="C227"/>
      <c r="D227"/>
      <c r="E227"/>
      <c r="F227"/>
      <c r="G227"/>
      <c r="H227"/>
      <c r="I227"/>
      <c r="J227"/>
      <c r="K227"/>
      <c r="L227"/>
      <c r="M227"/>
      <c r="N227"/>
      <c r="O227"/>
    </row>
    <row r="228" spans="1:15" x14ac:dyDescent="0.35">
      <c r="A228"/>
      <c r="B228"/>
      <c r="C228"/>
      <c r="D228"/>
      <c r="E228"/>
      <c r="F228"/>
      <c r="G228"/>
      <c r="H228"/>
      <c r="I228"/>
      <c r="J228"/>
      <c r="K228"/>
      <c r="L228"/>
      <c r="M228"/>
      <c r="N228"/>
      <c r="O228"/>
    </row>
    <row r="229" spans="1:15" x14ac:dyDescent="0.35">
      <c r="A229"/>
      <c r="B229"/>
      <c r="C229"/>
      <c r="D229"/>
      <c r="E229"/>
      <c r="F229"/>
      <c r="G229"/>
      <c r="H229"/>
      <c r="I229"/>
      <c r="J229"/>
      <c r="K229"/>
      <c r="L229"/>
      <c r="M229"/>
      <c r="N229"/>
      <c r="O229"/>
    </row>
    <row r="230" spans="1:15" x14ac:dyDescent="0.35">
      <c r="A230"/>
      <c r="B230"/>
      <c r="C230"/>
      <c r="D230"/>
      <c r="E230"/>
      <c r="F230"/>
      <c r="G230"/>
      <c r="H230"/>
      <c r="I230"/>
      <c r="J230"/>
      <c r="K230"/>
      <c r="L230"/>
      <c r="M230"/>
      <c r="N230"/>
      <c r="O230"/>
    </row>
    <row r="231" spans="1:15" x14ac:dyDescent="0.35">
      <c r="A231"/>
      <c r="B231"/>
      <c r="C231"/>
      <c r="D231"/>
      <c r="E231"/>
      <c r="F231"/>
      <c r="G231"/>
      <c r="H231"/>
      <c r="I231"/>
      <c r="J231"/>
      <c r="K231"/>
      <c r="L231"/>
      <c r="M231"/>
      <c r="N231"/>
      <c r="O231"/>
    </row>
    <row r="232" spans="1:15" x14ac:dyDescent="0.35">
      <c r="A232"/>
      <c r="B232"/>
      <c r="C232"/>
      <c r="D232"/>
      <c r="E232"/>
      <c r="F232"/>
      <c r="G232"/>
      <c r="H232"/>
      <c r="I232"/>
      <c r="J232"/>
      <c r="K232"/>
      <c r="L232"/>
      <c r="M232"/>
      <c r="N232"/>
      <c r="O232"/>
    </row>
    <row r="233" spans="1:15" x14ac:dyDescent="0.35">
      <c r="A233"/>
      <c r="B233"/>
      <c r="C233"/>
      <c r="D233"/>
      <c r="E233"/>
      <c r="F233"/>
      <c r="G233"/>
      <c r="H233"/>
      <c r="I233"/>
      <c r="J233"/>
      <c r="K233"/>
      <c r="L233"/>
      <c r="M233"/>
      <c r="N233"/>
      <c r="O233"/>
    </row>
    <row r="234" spans="1:15" x14ac:dyDescent="0.35">
      <c r="A234"/>
      <c r="B234"/>
      <c r="C234"/>
      <c r="D234"/>
      <c r="E234"/>
      <c r="F234"/>
      <c r="G234"/>
      <c r="H234"/>
      <c r="I234"/>
      <c r="J234"/>
      <c r="K234"/>
      <c r="L234"/>
      <c r="M234"/>
      <c r="N234"/>
      <c r="O234"/>
    </row>
    <row r="235" spans="1:15" x14ac:dyDescent="0.35">
      <c r="A235"/>
      <c r="B235"/>
      <c r="C235"/>
      <c r="D235"/>
      <c r="E235"/>
      <c r="F235"/>
      <c r="G235"/>
      <c r="H235"/>
      <c r="I235"/>
      <c r="J235"/>
      <c r="K235"/>
      <c r="L235"/>
      <c r="M235"/>
      <c r="N235"/>
      <c r="O235"/>
    </row>
    <row r="236" spans="1:15" x14ac:dyDescent="0.35">
      <c r="A236"/>
      <c r="B236"/>
      <c r="C236"/>
      <c r="D236"/>
      <c r="E236"/>
      <c r="F236"/>
      <c r="G236"/>
      <c r="H236"/>
      <c r="I236"/>
      <c r="J236"/>
      <c r="K236"/>
      <c r="L236"/>
      <c r="M236"/>
      <c r="N236"/>
      <c r="O236"/>
    </row>
    <row r="237" spans="1:15" x14ac:dyDescent="0.35">
      <c r="A237"/>
      <c r="B237"/>
      <c r="C237"/>
      <c r="D237"/>
      <c r="E237"/>
      <c r="F237"/>
      <c r="G237"/>
      <c r="H237"/>
      <c r="I237"/>
      <c r="J237"/>
      <c r="K237"/>
      <c r="L237"/>
      <c r="M237"/>
      <c r="N237"/>
      <c r="O237"/>
    </row>
    <row r="238" spans="1:15" x14ac:dyDescent="0.35">
      <c r="A238"/>
      <c r="B238"/>
      <c r="C238"/>
      <c r="D238"/>
      <c r="E238"/>
      <c r="F238"/>
      <c r="G238"/>
      <c r="H238"/>
      <c r="I238"/>
      <c r="J238"/>
      <c r="K238"/>
      <c r="L238"/>
      <c r="M238"/>
      <c r="N238"/>
      <c r="O238"/>
    </row>
    <row r="239" spans="1:15" x14ac:dyDescent="0.35">
      <c r="A239"/>
      <c r="B239"/>
      <c r="C239"/>
      <c r="D239"/>
      <c r="E239"/>
      <c r="F239"/>
      <c r="G239"/>
      <c r="H239"/>
      <c r="I239"/>
      <c r="J239"/>
      <c r="K239"/>
      <c r="L239"/>
      <c r="M239"/>
      <c r="N239"/>
      <c r="O239"/>
    </row>
    <row r="240" spans="1:15" x14ac:dyDescent="0.35">
      <c r="A240"/>
      <c r="B240"/>
      <c r="C240"/>
      <c r="D240"/>
      <c r="E240"/>
      <c r="F240"/>
      <c r="G240"/>
      <c r="H240"/>
      <c r="I240"/>
      <c r="J240"/>
      <c r="K240"/>
      <c r="L240"/>
      <c r="M240"/>
      <c r="N240"/>
      <c r="O240"/>
    </row>
    <row r="241" spans="1:15" x14ac:dyDescent="0.35">
      <c r="A241"/>
      <c r="B241"/>
      <c r="C241"/>
      <c r="D241"/>
      <c r="E241"/>
      <c r="F241"/>
      <c r="G241"/>
      <c r="H241"/>
      <c r="I241"/>
      <c r="J241"/>
      <c r="K241"/>
      <c r="L241"/>
      <c r="M241"/>
      <c r="N241"/>
      <c r="O241"/>
    </row>
    <row r="242" spans="1:15" x14ac:dyDescent="0.35">
      <c r="A242"/>
      <c r="B242"/>
      <c r="C242"/>
      <c r="D242"/>
      <c r="E242"/>
      <c r="F242"/>
      <c r="G242"/>
      <c r="H242"/>
      <c r="I242"/>
      <c r="J242"/>
      <c r="K242"/>
      <c r="L242"/>
      <c r="M242"/>
      <c r="N242"/>
      <c r="O242"/>
    </row>
    <row r="243" spans="1:15" x14ac:dyDescent="0.35">
      <c r="A243"/>
      <c r="B243"/>
      <c r="C243"/>
      <c r="D243"/>
      <c r="E243"/>
      <c r="F243"/>
      <c r="G243"/>
      <c r="H243"/>
      <c r="I243"/>
      <c r="J243"/>
      <c r="K243"/>
      <c r="L243"/>
      <c r="M243"/>
      <c r="N243"/>
      <c r="O243"/>
    </row>
    <row r="244" spans="1:15" x14ac:dyDescent="0.35">
      <c r="A244"/>
      <c r="B244"/>
      <c r="C244"/>
      <c r="D244"/>
      <c r="E244"/>
      <c r="F244"/>
      <c r="G244"/>
      <c r="H244"/>
      <c r="I244"/>
      <c r="J244"/>
      <c r="K244"/>
      <c r="L244"/>
      <c r="M244"/>
      <c r="N244"/>
      <c r="O244"/>
    </row>
    <row r="245" spans="1:15" x14ac:dyDescent="0.35">
      <c r="A245"/>
      <c r="B245"/>
      <c r="C245"/>
      <c r="D245"/>
      <c r="E245"/>
      <c r="F245"/>
      <c r="G245"/>
      <c r="H245"/>
      <c r="I245"/>
      <c r="J245"/>
      <c r="K245"/>
      <c r="L245"/>
      <c r="M245"/>
      <c r="N245"/>
      <c r="O245"/>
    </row>
    <row r="246" spans="1:15" x14ac:dyDescent="0.35">
      <c r="A246"/>
      <c r="B246"/>
      <c r="C246"/>
      <c r="D246"/>
      <c r="E246"/>
      <c r="F246"/>
      <c r="G246"/>
      <c r="H246"/>
      <c r="I246"/>
      <c r="J246"/>
      <c r="K246"/>
      <c r="L246"/>
      <c r="M246"/>
      <c r="N246"/>
      <c r="O246"/>
    </row>
    <row r="247" spans="1:15" x14ac:dyDescent="0.35">
      <c r="A247"/>
      <c r="B247"/>
      <c r="C247"/>
      <c r="D247"/>
      <c r="E247"/>
      <c r="F247"/>
      <c r="G247"/>
      <c r="H247"/>
      <c r="I247"/>
      <c r="J247"/>
      <c r="K247"/>
      <c r="L247"/>
      <c r="M247"/>
      <c r="N247"/>
      <c r="O247"/>
    </row>
    <row r="248" spans="1:15" x14ac:dyDescent="0.35">
      <c r="A248"/>
      <c r="B248"/>
      <c r="C248"/>
      <c r="D248"/>
      <c r="E248"/>
      <c r="F248"/>
      <c r="G248"/>
      <c r="H248"/>
      <c r="I248"/>
      <c r="J248"/>
      <c r="K248"/>
      <c r="L248"/>
      <c r="M248"/>
      <c r="N248"/>
      <c r="O248"/>
    </row>
    <row r="249" spans="1:15" x14ac:dyDescent="0.35">
      <c r="A249"/>
      <c r="B249"/>
      <c r="C249"/>
      <c r="D249"/>
      <c r="E249"/>
      <c r="F249"/>
      <c r="G249"/>
      <c r="H249"/>
      <c r="I249"/>
      <c r="J249"/>
      <c r="K249"/>
      <c r="L249"/>
      <c r="M249"/>
      <c r="N249"/>
      <c r="O249"/>
    </row>
    <row r="250" spans="1:15" x14ac:dyDescent="0.35">
      <c r="A250"/>
      <c r="B250"/>
      <c r="C250"/>
      <c r="D250"/>
      <c r="E250"/>
      <c r="F250"/>
      <c r="G250"/>
      <c r="H250"/>
      <c r="I250"/>
      <c r="J250"/>
      <c r="K250"/>
      <c r="L250"/>
      <c r="M250"/>
      <c r="N250"/>
      <c r="O250"/>
    </row>
    <row r="251" spans="1:15" x14ac:dyDescent="0.35">
      <c r="A251"/>
      <c r="B251"/>
      <c r="C251"/>
      <c r="D251"/>
      <c r="E251"/>
      <c r="F251"/>
      <c r="G251"/>
      <c r="H251"/>
      <c r="I251"/>
      <c r="J251"/>
      <c r="K251"/>
      <c r="L251"/>
      <c r="M251"/>
      <c r="N251"/>
      <c r="O251"/>
    </row>
    <row r="252" spans="1:15" x14ac:dyDescent="0.35">
      <c r="A252"/>
      <c r="B252"/>
      <c r="C252"/>
      <c r="D252"/>
      <c r="E252"/>
      <c r="F252"/>
      <c r="G252"/>
      <c r="H252"/>
      <c r="I252"/>
      <c r="J252"/>
      <c r="K252"/>
      <c r="L252"/>
      <c r="M252"/>
      <c r="N252"/>
      <c r="O252"/>
    </row>
    <row r="253" spans="1:15" x14ac:dyDescent="0.35">
      <c r="A253"/>
      <c r="B253"/>
      <c r="C253"/>
      <c r="D253"/>
      <c r="E253"/>
      <c r="F253"/>
      <c r="G253"/>
      <c r="H253"/>
      <c r="I253"/>
      <c r="J253"/>
      <c r="K253"/>
      <c r="L253"/>
      <c r="M253"/>
      <c r="N253"/>
      <c r="O253"/>
    </row>
    <row r="254" spans="1:15" x14ac:dyDescent="0.35">
      <c r="A254"/>
      <c r="B254"/>
      <c r="C254"/>
      <c r="D254"/>
      <c r="E254"/>
      <c r="F254"/>
      <c r="G254"/>
      <c r="H254"/>
      <c r="I254"/>
      <c r="J254"/>
      <c r="K254"/>
      <c r="L254"/>
      <c r="M254"/>
      <c r="N254"/>
      <c r="O254"/>
    </row>
    <row r="255" spans="1:15" x14ac:dyDescent="0.35">
      <c r="A255"/>
      <c r="B255"/>
      <c r="C255"/>
      <c r="D255"/>
      <c r="E255"/>
      <c r="F255"/>
      <c r="G255"/>
      <c r="H255"/>
      <c r="I255"/>
      <c r="J255"/>
      <c r="K255"/>
      <c r="L255"/>
      <c r="M255"/>
      <c r="N255"/>
      <c r="O255"/>
    </row>
    <row r="256" spans="1:15" x14ac:dyDescent="0.35">
      <c r="A256"/>
      <c r="B256"/>
      <c r="C256"/>
      <c r="D256"/>
      <c r="E256"/>
      <c r="F256"/>
      <c r="G256"/>
      <c r="H256"/>
      <c r="I256"/>
      <c r="J256"/>
      <c r="K256"/>
      <c r="L256"/>
      <c r="M256"/>
      <c r="N256"/>
      <c r="O256"/>
    </row>
    <row r="257" spans="1:15" x14ac:dyDescent="0.35">
      <c r="A257"/>
      <c r="B257"/>
      <c r="C257"/>
      <c r="D257"/>
      <c r="E257"/>
      <c r="F257"/>
      <c r="G257"/>
      <c r="H257"/>
      <c r="I257"/>
      <c r="J257"/>
      <c r="K257"/>
      <c r="L257"/>
      <c r="M257"/>
      <c r="N257"/>
      <c r="O257"/>
    </row>
    <row r="258" spans="1:15" x14ac:dyDescent="0.35">
      <c r="A258"/>
      <c r="B258"/>
      <c r="C258"/>
      <c r="D258"/>
      <c r="E258"/>
      <c r="F258"/>
      <c r="G258"/>
      <c r="H258"/>
      <c r="I258"/>
      <c r="J258"/>
      <c r="K258"/>
      <c r="L258"/>
      <c r="M258"/>
      <c r="N258"/>
      <c r="O258"/>
    </row>
    <row r="259" spans="1:15" x14ac:dyDescent="0.35">
      <c r="A259"/>
      <c r="B259"/>
      <c r="C259"/>
      <c r="D259"/>
      <c r="E259"/>
      <c r="F259"/>
      <c r="G259"/>
      <c r="H259"/>
      <c r="I259"/>
      <c r="J259"/>
      <c r="K259"/>
      <c r="L259"/>
      <c r="M259"/>
      <c r="N259"/>
      <c r="O259"/>
    </row>
    <row r="260" spans="1:15" x14ac:dyDescent="0.35">
      <c r="A260"/>
      <c r="B260"/>
      <c r="C260"/>
      <c r="D260"/>
      <c r="E260"/>
      <c r="F260"/>
      <c r="G260"/>
      <c r="H260"/>
      <c r="I260"/>
      <c r="J260"/>
      <c r="K260"/>
      <c r="L260"/>
      <c r="M260"/>
      <c r="N260"/>
      <c r="O260"/>
    </row>
    <row r="261" spans="1:15" x14ac:dyDescent="0.35">
      <c r="A261"/>
      <c r="B261"/>
      <c r="C261"/>
      <c r="D261"/>
      <c r="E261"/>
      <c r="F261"/>
      <c r="G261"/>
      <c r="H261"/>
      <c r="I261"/>
      <c r="J261"/>
      <c r="K261"/>
      <c r="L261"/>
      <c r="M261"/>
      <c r="N261"/>
      <c r="O261"/>
    </row>
    <row r="262" spans="1:15" x14ac:dyDescent="0.35">
      <c r="A262"/>
      <c r="B262"/>
      <c r="C262"/>
      <c r="D262"/>
      <c r="E262"/>
      <c r="F262"/>
      <c r="G262"/>
      <c r="H262"/>
      <c r="I262"/>
      <c r="J262"/>
      <c r="K262"/>
      <c r="L262"/>
      <c r="M262"/>
      <c r="N262"/>
      <c r="O262"/>
    </row>
    <row r="263" spans="1:15" x14ac:dyDescent="0.35">
      <c r="A263"/>
      <c r="B263"/>
      <c r="C263"/>
      <c r="D263"/>
      <c r="E263"/>
      <c r="F263"/>
      <c r="G263"/>
      <c r="H263"/>
      <c r="I263"/>
      <c r="J263"/>
      <c r="K263"/>
      <c r="L263"/>
      <c r="M263"/>
      <c r="N263"/>
      <c r="O263"/>
    </row>
    <row r="264" spans="1:15" x14ac:dyDescent="0.35">
      <c r="A264"/>
      <c r="B264"/>
      <c r="C264"/>
      <c r="D264"/>
      <c r="E264"/>
      <c r="F264"/>
      <c r="G264"/>
      <c r="H264"/>
      <c r="I264"/>
      <c r="J264"/>
      <c r="K264"/>
      <c r="L264"/>
      <c r="M264"/>
      <c r="N264"/>
      <c r="O264"/>
    </row>
    <row r="265" spans="1:15" x14ac:dyDescent="0.35">
      <c r="A265"/>
      <c r="B265"/>
      <c r="C265"/>
      <c r="D265"/>
      <c r="E265"/>
      <c r="F265"/>
      <c r="G265"/>
      <c r="H265"/>
      <c r="I265"/>
      <c r="J265"/>
      <c r="K265"/>
      <c r="L265"/>
      <c r="M265"/>
      <c r="N265"/>
      <c r="O265"/>
    </row>
    <row r="266" spans="1:15" x14ac:dyDescent="0.35">
      <c r="A266"/>
      <c r="B266"/>
      <c r="C266"/>
      <c r="D266"/>
      <c r="E266"/>
      <c r="F266"/>
      <c r="G266"/>
      <c r="H266"/>
      <c r="I266"/>
      <c r="J266"/>
      <c r="K266"/>
      <c r="L266"/>
      <c r="M266"/>
      <c r="N266"/>
      <c r="O266"/>
    </row>
    <row r="267" spans="1:15" x14ac:dyDescent="0.35">
      <c r="A267"/>
      <c r="B267"/>
      <c r="C267"/>
      <c r="D267"/>
      <c r="E267"/>
      <c r="F267"/>
      <c r="G267"/>
      <c r="H267"/>
      <c r="I267"/>
      <c r="J267"/>
      <c r="K267"/>
      <c r="L267"/>
      <c r="M267"/>
      <c r="N267"/>
      <c r="O267"/>
    </row>
    <row r="268" spans="1:15" x14ac:dyDescent="0.35">
      <c r="A268"/>
      <c r="B268"/>
      <c r="C268"/>
      <c r="D268"/>
      <c r="E268"/>
      <c r="F268"/>
      <c r="G268"/>
      <c r="H268"/>
      <c r="I268"/>
      <c r="J268"/>
      <c r="K268"/>
      <c r="L268"/>
      <c r="M268"/>
      <c r="N268"/>
      <c r="O268"/>
    </row>
    <row r="269" spans="1:15" x14ac:dyDescent="0.35">
      <c r="A269"/>
      <c r="B269"/>
      <c r="C269"/>
      <c r="D269"/>
      <c r="E269"/>
      <c r="F269"/>
      <c r="G269"/>
      <c r="H269"/>
      <c r="I269"/>
      <c r="J269"/>
      <c r="K269"/>
      <c r="L269"/>
      <c r="M269"/>
      <c r="N269"/>
      <c r="O269"/>
    </row>
    <row r="270" spans="1:15" x14ac:dyDescent="0.35">
      <c r="A270"/>
      <c r="B270"/>
      <c r="C270"/>
      <c r="D270"/>
      <c r="E270"/>
      <c r="F270"/>
      <c r="G270"/>
      <c r="H270"/>
      <c r="I270"/>
      <c r="J270"/>
      <c r="K270"/>
      <c r="L270"/>
      <c r="M270"/>
      <c r="N270"/>
      <c r="O270"/>
    </row>
    <row r="271" spans="1:15" x14ac:dyDescent="0.35">
      <c r="A271"/>
      <c r="B271"/>
      <c r="C271"/>
      <c r="D271"/>
      <c r="E271"/>
      <c r="F271"/>
      <c r="G271"/>
      <c r="H271"/>
      <c r="I271"/>
      <c r="J271"/>
      <c r="K271"/>
      <c r="L271"/>
      <c r="M271"/>
      <c r="N271"/>
      <c r="O271"/>
    </row>
    <row r="272" spans="1:15" x14ac:dyDescent="0.35">
      <c r="A272"/>
      <c r="B272"/>
      <c r="C272"/>
      <c r="D272"/>
      <c r="E272"/>
      <c r="F272"/>
      <c r="G272"/>
      <c r="H272"/>
      <c r="I272"/>
      <c r="J272"/>
      <c r="K272"/>
      <c r="L272"/>
      <c r="M272"/>
      <c r="N272"/>
      <c r="O272"/>
    </row>
    <row r="273" spans="1:15" x14ac:dyDescent="0.35">
      <c r="A273"/>
      <c r="B273"/>
      <c r="C273"/>
      <c r="D273"/>
      <c r="E273"/>
      <c r="F273"/>
      <c r="G273"/>
      <c r="H273"/>
      <c r="I273"/>
      <c r="J273"/>
      <c r="K273"/>
      <c r="L273"/>
      <c r="M273"/>
      <c r="N273"/>
      <c r="O273"/>
    </row>
    <row r="274" spans="1:15" x14ac:dyDescent="0.35">
      <c r="A274"/>
      <c r="B274"/>
      <c r="C274"/>
      <c r="D274"/>
      <c r="E274"/>
      <c r="F274"/>
      <c r="G274"/>
      <c r="H274"/>
      <c r="I274"/>
      <c r="J274"/>
      <c r="K274"/>
    </row>
    <row r="275" spans="1:15" x14ac:dyDescent="0.35">
      <c r="A275"/>
      <c r="B275"/>
      <c r="C275"/>
      <c r="D275"/>
      <c r="E275"/>
      <c r="F275"/>
      <c r="G275"/>
      <c r="H275"/>
      <c r="I275"/>
      <c r="J275"/>
      <c r="K275"/>
    </row>
    <row r="276" spans="1:15" x14ac:dyDescent="0.35">
      <c r="A276"/>
      <c r="B276"/>
      <c r="C276"/>
      <c r="D276"/>
      <c r="E276"/>
      <c r="F276"/>
      <c r="G276"/>
      <c r="H276"/>
      <c r="I276"/>
      <c r="J276"/>
      <c r="K276"/>
    </row>
    <row r="277" spans="1:15" x14ac:dyDescent="0.35">
      <c r="A277"/>
      <c r="B277"/>
      <c r="C277"/>
      <c r="D277"/>
      <c r="E277"/>
      <c r="F277"/>
      <c r="G277"/>
      <c r="H277"/>
      <c r="I277"/>
      <c r="J277"/>
      <c r="K277"/>
    </row>
    <row r="278" spans="1:15" x14ac:dyDescent="0.35">
      <c r="A278"/>
      <c r="B278"/>
      <c r="C278"/>
      <c r="D278"/>
      <c r="E278"/>
      <c r="F278"/>
      <c r="G278"/>
      <c r="H278"/>
      <c r="I278"/>
      <c r="J278"/>
      <c r="K278"/>
    </row>
    <row r="279" spans="1:15" x14ac:dyDescent="0.35">
      <c r="A279"/>
      <c r="B279"/>
      <c r="C279"/>
      <c r="D279"/>
      <c r="E279"/>
      <c r="F279"/>
      <c r="G279"/>
      <c r="H279"/>
      <c r="I279"/>
      <c r="J279"/>
      <c r="K279"/>
    </row>
    <row r="280" spans="1:15" x14ac:dyDescent="0.35">
      <c r="A280"/>
      <c r="B280"/>
      <c r="C280"/>
      <c r="D280"/>
      <c r="E280"/>
      <c r="F280"/>
      <c r="G280"/>
      <c r="H280"/>
      <c r="I280"/>
      <c r="J280"/>
      <c r="K280"/>
    </row>
    <row r="281" spans="1:15" ht="29" x14ac:dyDescent="0.35">
      <c r="A281"/>
      <c r="B281"/>
      <c r="C281"/>
      <c r="D281"/>
      <c r="E281"/>
      <c r="F281"/>
      <c r="G281"/>
      <c r="H281"/>
      <c r="I281"/>
      <c r="J281"/>
      <c r="K281" s="247" t="s">
        <v>973</v>
      </c>
    </row>
    <row r="282" spans="1:15" x14ac:dyDescent="0.35">
      <c r="A282"/>
      <c r="B282"/>
      <c r="C282"/>
      <c r="D282"/>
      <c r="E282"/>
      <c r="F282"/>
      <c r="G282"/>
      <c r="H282"/>
      <c r="I282"/>
      <c r="J282"/>
      <c r="K282"/>
    </row>
    <row r="283" spans="1:15" x14ac:dyDescent="0.35">
      <c r="A283"/>
      <c r="B283"/>
      <c r="C283"/>
      <c r="D283"/>
      <c r="E283"/>
      <c r="F283"/>
      <c r="G283"/>
      <c r="H283"/>
      <c r="I283"/>
      <c r="J283"/>
      <c r="K283"/>
    </row>
    <row r="284" spans="1:15" x14ac:dyDescent="0.35">
      <c r="A284"/>
      <c r="B284"/>
      <c r="C284"/>
      <c r="D284"/>
      <c r="E284"/>
      <c r="F284"/>
      <c r="G284"/>
      <c r="H284"/>
      <c r="I284"/>
      <c r="J284"/>
      <c r="K284"/>
    </row>
    <row r="285" spans="1:15" x14ac:dyDescent="0.35">
      <c r="A285"/>
      <c r="B285"/>
      <c r="C285"/>
      <c r="D285"/>
      <c r="E285"/>
      <c r="F285"/>
      <c r="G285"/>
      <c r="H285"/>
      <c r="I285"/>
      <c r="J285"/>
      <c r="K285"/>
    </row>
    <row r="286" spans="1:15" x14ac:dyDescent="0.35">
      <c r="A286"/>
      <c r="B286"/>
      <c r="C286"/>
      <c r="D286"/>
      <c r="E286"/>
      <c r="F286"/>
      <c r="G286"/>
      <c r="H286"/>
      <c r="I286"/>
      <c r="J286"/>
      <c r="K286"/>
    </row>
    <row r="287" spans="1:15" x14ac:dyDescent="0.35">
      <c r="A287"/>
      <c r="B287"/>
      <c r="C287"/>
      <c r="D287"/>
      <c r="E287"/>
      <c r="F287"/>
      <c r="G287"/>
      <c r="H287"/>
      <c r="I287"/>
      <c r="J287"/>
      <c r="K287"/>
    </row>
    <row r="288" spans="1:15" x14ac:dyDescent="0.35">
      <c r="A288"/>
      <c r="B288"/>
      <c r="C288"/>
      <c r="D288"/>
      <c r="E288"/>
      <c r="F288"/>
      <c r="G288"/>
      <c r="H288"/>
      <c r="I288"/>
      <c r="J288"/>
      <c r="K288"/>
    </row>
    <row r="289" spans="1:11" x14ac:dyDescent="0.35">
      <c r="A289"/>
      <c r="B289"/>
      <c r="C289"/>
      <c r="D289"/>
      <c r="E289"/>
      <c r="F289"/>
      <c r="G289"/>
      <c r="H289"/>
      <c r="I289"/>
      <c r="J289"/>
      <c r="K289"/>
    </row>
    <row r="290" spans="1:11" x14ac:dyDescent="0.35">
      <c r="A290"/>
      <c r="B290"/>
      <c r="C290"/>
      <c r="D290"/>
      <c r="E290"/>
      <c r="F290"/>
      <c r="G290"/>
      <c r="H290"/>
      <c r="I290"/>
      <c r="J290"/>
      <c r="K290"/>
    </row>
    <row r="291" spans="1:11" x14ac:dyDescent="0.35">
      <c r="A291"/>
      <c r="B291"/>
      <c r="C291"/>
      <c r="D291"/>
      <c r="E291"/>
      <c r="F291"/>
      <c r="G291"/>
      <c r="H291"/>
      <c r="I291"/>
      <c r="J291"/>
      <c r="K291"/>
    </row>
    <row r="292" spans="1:11" x14ac:dyDescent="0.35">
      <c r="A292"/>
      <c r="B292"/>
      <c r="C292"/>
      <c r="D292"/>
      <c r="E292"/>
      <c r="F292"/>
      <c r="G292"/>
      <c r="H292"/>
      <c r="I292"/>
      <c r="J292"/>
      <c r="K292"/>
    </row>
    <row r="293" spans="1:11" x14ac:dyDescent="0.35">
      <c r="A293"/>
      <c r="B293"/>
      <c r="C293"/>
      <c r="D293"/>
      <c r="E293"/>
      <c r="F293"/>
      <c r="G293"/>
      <c r="H293"/>
      <c r="I293"/>
      <c r="J293"/>
      <c r="K293"/>
    </row>
    <row r="294" spans="1:11" x14ac:dyDescent="0.35">
      <c r="A294"/>
      <c r="B294"/>
      <c r="C294"/>
      <c r="D294"/>
      <c r="E294"/>
      <c r="F294"/>
      <c r="G294"/>
      <c r="H294"/>
      <c r="I294"/>
      <c r="J294"/>
      <c r="K294"/>
    </row>
    <row r="295" spans="1:11" x14ac:dyDescent="0.35">
      <c r="A295"/>
      <c r="B295"/>
      <c r="C295"/>
      <c r="D295"/>
      <c r="E295"/>
      <c r="F295"/>
      <c r="G295"/>
      <c r="H295"/>
      <c r="I295"/>
      <c r="J295"/>
      <c r="K295"/>
    </row>
    <row r="296" spans="1:11" x14ac:dyDescent="0.35">
      <c r="A296"/>
      <c r="B296"/>
      <c r="C296"/>
      <c r="D296"/>
      <c r="E296"/>
      <c r="F296"/>
      <c r="G296"/>
      <c r="H296"/>
      <c r="I296"/>
      <c r="J296"/>
      <c r="K296"/>
    </row>
    <row r="297" spans="1:11" x14ac:dyDescent="0.35">
      <c r="A297"/>
      <c r="B297"/>
      <c r="C297"/>
      <c r="D297"/>
      <c r="E297"/>
      <c r="F297"/>
      <c r="G297"/>
      <c r="H297"/>
      <c r="I297"/>
      <c r="J297"/>
      <c r="K297"/>
    </row>
    <row r="298" spans="1:11" x14ac:dyDescent="0.35">
      <c r="A298"/>
      <c r="B298"/>
      <c r="C298"/>
      <c r="D298"/>
      <c r="E298"/>
      <c r="F298"/>
      <c r="G298"/>
      <c r="H298"/>
      <c r="I298"/>
      <c r="J298"/>
      <c r="K298"/>
    </row>
    <row r="299" spans="1:11" x14ac:dyDescent="0.35">
      <c r="A299"/>
      <c r="B299"/>
      <c r="C299"/>
      <c r="D299"/>
      <c r="E299"/>
      <c r="F299"/>
      <c r="G299"/>
      <c r="H299"/>
      <c r="I299"/>
      <c r="J299"/>
      <c r="K299"/>
    </row>
    <row r="300" spans="1:11" x14ac:dyDescent="0.35">
      <c r="A300"/>
      <c r="B300"/>
      <c r="C300"/>
      <c r="D300"/>
      <c r="E300"/>
      <c r="F300"/>
      <c r="G300"/>
      <c r="H300"/>
      <c r="I300"/>
      <c r="J300"/>
      <c r="K300"/>
    </row>
    <row r="301" spans="1:11" x14ac:dyDescent="0.35">
      <c r="A301"/>
      <c r="B301"/>
      <c r="C301"/>
      <c r="D301"/>
      <c r="E301"/>
      <c r="F301"/>
      <c r="G301"/>
      <c r="H301"/>
      <c r="I301"/>
      <c r="J301"/>
      <c r="K301"/>
    </row>
    <row r="302" spans="1:11" x14ac:dyDescent="0.35">
      <c r="A302"/>
      <c r="B302"/>
      <c r="C302"/>
      <c r="D302"/>
      <c r="E302"/>
      <c r="F302"/>
      <c r="G302"/>
      <c r="H302"/>
      <c r="I302"/>
      <c r="J302"/>
      <c r="K302"/>
    </row>
    <row r="303" spans="1:11" x14ac:dyDescent="0.35">
      <c r="A303"/>
      <c r="B303"/>
      <c r="C303"/>
      <c r="D303"/>
      <c r="E303"/>
      <c r="F303"/>
      <c r="G303"/>
      <c r="H303"/>
      <c r="I303"/>
      <c r="J303"/>
      <c r="K303"/>
    </row>
    <row r="304" spans="1:11" x14ac:dyDescent="0.35">
      <c r="A304"/>
      <c r="B304"/>
      <c r="C304"/>
      <c r="D304"/>
      <c r="E304"/>
      <c r="F304"/>
      <c r="G304"/>
      <c r="H304"/>
      <c r="I304"/>
      <c r="J304"/>
      <c r="K304"/>
    </row>
    <row r="305" spans="1:11" x14ac:dyDescent="0.35">
      <c r="A305"/>
      <c r="B305"/>
      <c r="C305"/>
      <c r="D305"/>
      <c r="E305"/>
      <c r="F305"/>
      <c r="G305"/>
      <c r="H305"/>
      <c r="I305"/>
      <c r="J305"/>
      <c r="K305" s="246" t="s">
        <v>968</v>
      </c>
    </row>
    <row r="306" spans="1:11" x14ac:dyDescent="0.35">
      <c r="A306"/>
      <c r="B306"/>
      <c r="C306"/>
      <c r="D306"/>
      <c r="E306"/>
      <c r="F306"/>
      <c r="G306"/>
      <c r="H306"/>
      <c r="I306"/>
      <c r="J306"/>
      <c r="K306"/>
    </row>
    <row r="307" spans="1:11" x14ac:dyDescent="0.35">
      <c r="A307"/>
      <c r="B307"/>
      <c r="C307"/>
      <c r="D307"/>
      <c r="E307"/>
      <c r="F307"/>
      <c r="G307"/>
      <c r="H307"/>
      <c r="I307"/>
      <c r="J307"/>
      <c r="K307"/>
    </row>
    <row r="308" spans="1:11" x14ac:dyDescent="0.35">
      <c r="A308"/>
      <c r="B308"/>
      <c r="C308"/>
      <c r="D308"/>
      <c r="E308"/>
      <c r="F308"/>
      <c r="G308"/>
      <c r="H308"/>
      <c r="I308"/>
      <c r="J308"/>
      <c r="K308"/>
    </row>
    <row r="309" spans="1:11" x14ac:dyDescent="0.35">
      <c r="A309"/>
      <c r="B309"/>
      <c r="C309"/>
      <c r="D309"/>
      <c r="E309"/>
      <c r="F309"/>
      <c r="G309"/>
      <c r="H309"/>
      <c r="I309"/>
      <c r="J309"/>
      <c r="K309"/>
    </row>
    <row r="310" spans="1:11" x14ac:dyDescent="0.35">
      <c r="A310"/>
      <c r="B310"/>
      <c r="C310"/>
      <c r="D310"/>
      <c r="E310"/>
      <c r="F310"/>
      <c r="G310"/>
      <c r="H310"/>
      <c r="I310"/>
      <c r="J310"/>
      <c r="K310"/>
    </row>
    <row r="311" spans="1:11" x14ac:dyDescent="0.35">
      <c r="A311"/>
      <c r="B311"/>
      <c r="C311"/>
      <c r="D311"/>
      <c r="E311"/>
      <c r="F311"/>
      <c r="G311"/>
      <c r="H311"/>
      <c r="I311"/>
      <c r="J311"/>
      <c r="K311"/>
    </row>
    <row r="312" spans="1:11" x14ac:dyDescent="0.35">
      <c r="A312"/>
      <c r="B312"/>
      <c r="C312"/>
      <c r="D312"/>
      <c r="E312"/>
      <c r="F312"/>
      <c r="G312"/>
      <c r="H312"/>
      <c r="I312"/>
      <c r="J312"/>
      <c r="K312"/>
    </row>
    <row r="313" spans="1:11" x14ac:dyDescent="0.35">
      <c r="A313"/>
      <c r="B313"/>
      <c r="C313"/>
      <c r="D313"/>
      <c r="E313"/>
      <c r="F313"/>
      <c r="G313"/>
      <c r="H313"/>
      <c r="I313"/>
      <c r="J313"/>
      <c r="K313"/>
    </row>
    <row r="314" spans="1:11" x14ac:dyDescent="0.35">
      <c r="A314"/>
      <c r="B314"/>
      <c r="C314"/>
      <c r="D314"/>
      <c r="E314"/>
      <c r="F314"/>
      <c r="G314"/>
      <c r="H314"/>
      <c r="I314"/>
      <c r="J314"/>
      <c r="K314"/>
    </row>
    <row r="315" spans="1:11" x14ac:dyDescent="0.35">
      <c r="A315"/>
      <c r="B315"/>
      <c r="C315"/>
      <c r="D315"/>
      <c r="E315"/>
      <c r="F315"/>
      <c r="G315"/>
      <c r="H315"/>
      <c r="I315"/>
      <c r="J315"/>
      <c r="K315"/>
    </row>
    <row r="316" spans="1:11" x14ac:dyDescent="0.35">
      <c r="A316"/>
      <c r="B316"/>
      <c r="C316"/>
      <c r="D316"/>
      <c r="E316"/>
      <c r="F316"/>
      <c r="G316"/>
      <c r="H316"/>
      <c r="I316"/>
      <c r="J316"/>
      <c r="K316"/>
    </row>
    <row r="317" spans="1:11" x14ac:dyDescent="0.35">
      <c r="A317"/>
      <c r="B317"/>
      <c r="C317"/>
      <c r="D317"/>
      <c r="E317"/>
      <c r="F317"/>
      <c r="G317"/>
      <c r="H317"/>
      <c r="I317"/>
      <c r="J317"/>
      <c r="K317"/>
    </row>
    <row r="318" spans="1:11" x14ac:dyDescent="0.35">
      <c r="A318"/>
      <c r="B318"/>
      <c r="C318"/>
      <c r="D318"/>
      <c r="E318"/>
      <c r="F318"/>
      <c r="G318"/>
      <c r="H318"/>
      <c r="I318"/>
      <c r="J318"/>
      <c r="K318"/>
    </row>
    <row r="319" spans="1:11" x14ac:dyDescent="0.35">
      <c r="A319"/>
      <c r="B319"/>
      <c r="C319"/>
      <c r="D319"/>
      <c r="E319"/>
      <c r="F319"/>
      <c r="G319"/>
      <c r="H319"/>
      <c r="I319"/>
      <c r="J319"/>
      <c r="K319"/>
    </row>
    <row r="320" spans="1:11" x14ac:dyDescent="0.35">
      <c r="A320"/>
      <c r="B320"/>
      <c r="C320"/>
      <c r="D320"/>
      <c r="E320"/>
      <c r="F320"/>
      <c r="G320"/>
      <c r="H320"/>
      <c r="I320"/>
      <c r="J320"/>
      <c r="K320"/>
    </row>
    <row r="321" spans="1:11" x14ac:dyDescent="0.35">
      <c r="A321"/>
      <c r="B321"/>
      <c r="C321"/>
      <c r="D321"/>
      <c r="E321"/>
      <c r="F321"/>
      <c r="G321"/>
      <c r="H321"/>
      <c r="I321"/>
      <c r="J321"/>
      <c r="K321"/>
    </row>
    <row r="322" spans="1:11" x14ac:dyDescent="0.35">
      <c r="A322"/>
      <c r="B322"/>
      <c r="C322"/>
      <c r="D322"/>
      <c r="E322"/>
      <c r="F322"/>
      <c r="G322"/>
      <c r="H322"/>
      <c r="I322"/>
      <c r="J322"/>
      <c r="K322"/>
    </row>
    <row r="323" spans="1:11" x14ac:dyDescent="0.35">
      <c r="A323"/>
      <c r="B323"/>
      <c r="C323"/>
      <c r="D323"/>
      <c r="E323"/>
      <c r="F323"/>
      <c r="G323"/>
      <c r="H323"/>
      <c r="I323"/>
      <c r="J323"/>
      <c r="K323"/>
    </row>
    <row r="324" spans="1:11" x14ac:dyDescent="0.35">
      <c r="A324"/>
      <c r="B324"/>
      <c r="C324"/>
      <c r="D324"/>
      <c r="E324"/>
      <c r="F324"/>
      <c r="G324"/>
      <c r="H324"/>
      <c r="I324"/>
      <c r="J324"/>
      <c r="K324"/>
    </row>
    <row r="325" spans="1:11" x14ac:dyDescent="0.35">
      <c r="A325"/>
      <c r="B325"/>
      <c r="C325"/>
      <c r="D325"/>
      <c r="E325"/>
      <c r="F325"/>
      <c r="G325"/>
      <c r="H325"/>
      <c r="I325"/>
      <c r="J325"/>
      <c r="K325"/>
    </row>
    <row r="326" spans="1:11" x14ac:dyDescent="0.35">
      <c r="A326"/>
      <c r="B326"/>
      <c r="C326"/>
      <c r="D326"/>
      <c r="E326"/>
      <c r="F326"/>
      <c r="G326"/>
      <c r="H326"/>
      <c r="I326"/>
      <c r="J326"/>
      <c r="K326"/>
    </row>
    <row r="327" spans="1:11" x14ac:dyDescent="0.35">
      <c r="A327"/>
      <c r="B327"/>
      <c r="C327"/>
      <c r="D327"/>
      <c r="E327"/>
      <c r="F327"/>
      <c r="G327"/>
      <c r="H327"/>
      <c r="I327"/>
      <c r="J327"/>
      <c r="K327"/>
    </row>
    <row r="328" spans="1:11" x14ac:dyDescent="0.35">
      <c r="A328"/>
      <c r="B328"/>
      <c r="C328"/>
      <c r="D328"/>
      <c r="E328"/>
      <c r="F328"/>
      <c r="G328"/>
      <c r="H328"/>
      <c r="I328"/>
      <c r="J328"/>
      <c r="K328"/>
    </row>
    <row r="329" spans="1:11" x14ac:dyDescent="0.35">
      <c r="A329"/>
      <c r="B329"/>
      <c r="C329"/>
      <c r="D329"/>
      <c r="E329"/>
      <c r="F329"/>
      <c r="G329"/>
      <c r="H329"/>
      <c r="I329"/>
      <c r="J329"/>
      <c r="K329"/>
    </row>
    <row r="330" spans="1:11" x14ac:dyDescent="0.35">
      <c r="A330"/>
      <c r="B330"/>
      <c r="C330"/>
      <c r="D330"/>
      <c r="E330"/>
      <c r="F330"/>
      <c r="G330"/>
      <c r="H330"/>
      <c r="I330"/>
      <c r="J330"/>
      <c r="K330"/>
    </row>
    <row r="331" spans="1:11" x14ac:dyDescent="0.35">
      <c r="A331"/>
      <c r="B331"/>
      <c r="C331"/>
      <c r="D331"/>
      <c r="E331"/>
      <c r="F331"/>
      <c r="G331"/>
      <c r="H331"/>
      <c r="I331"/>
      <c r="J331"/>
      <c r="K331"/>
    </row>
    <row r="332" spans="1:11" x14ac:dyDescent="0.35">
      <c r="A332"/>
      <c r="B332"/>
      <c r="C332"/>
      <c r="D332"/>
      <c r="E332"/>
      <c r="F332"/>
      <c r="G332"/>
      <c r="H332"/>
      <c r="I332"/>
      <c r="J332"/>
      <c r="K332"/>
    </row>
    <row r="333" spans="1:11" x14ac:dyDescent="0.35">
      <c r="A333"/>
      <c r="B333"/>
      <c r="C333"/>
      <c r="D333"/>
      <c r="E333"/>
      <c r="F333"/>
      <c r="G333"/>
      <c r="H333"/>
      <c r="I333"/>
      <c r="J333"/>
      <c r="K333"/>
    </row>
    <row r="334" spans="1:11" x14ac:dyDescent="0.35">
      <c r="A334"/>
      <c r="B334"/>
      <c r="C334"/>
      <c r="D334"/>
      <c r="E334"/>
      <c r="F334"/>
      <c r="G334"/>
      <c r="H334"/>
      <c r="I334"/>
      <c r="J334"/>
      <c r="K334"/>
    </row>
    <row r="335" spans="1:11" x14ac:dyDescent="0.35">
      <c r="A335"/>
      <c r="B335"/>
      <c r="C335"/>
      <c r="D335"/>
      <c r="E335"/>
      <c r="F335"/>
      <c r="G335"/>
      <c r="H335"/>
      <c r="I335"/>
      <c r="J335"/>
      <c r="K335"/>
    </row>
    <row r="336" spans="1:11" x14ac:dyDescent="0.35">
      <c r="A336"/>
      <c r="B336"/>
      <c r="C336"/>
      <c r="D336"/>
      <c r="E336"/>
      <c r="F336"/>
      <c r="G336"/>
      <c r="H336"/>
      <c r="I336"/>
      <c r="J336"/>
      <c r="K336"/>
    </row>
    <row r="337" spans="1:11" x14ac:dyDescent="0.35">
      <c r="A337"/>
      <c r="B337"/>
      <c r="C337"/>
      <c r="D337"/>
      <c r="E337"/>
      <c r="F337"/>
      <c r="G337"/>
      <c r="H337"/>
      <c r="I337"/>
      <c r="J337"/>
      <c r="K337"/>
    </row>
    <row r="338" spans="1:11" x14ac:dyDescent="0.35">
      <c r="A338"/>
      <c r="B338"/>
      <c r="C338"/>
      <c r="D338"/>
      <c r="E338"/>
      <c r="F338"/>
      <c r="G338"/>
      <c r="H338"/>
      <c r="I338"/>
      <c r="J338"/>
      <c r="K338"/>
    </row>
    <row r="339" spans="1:11" x14ac:dyDescent="0.35">
      <c r="A339"/>
      <c r="B339"/>
      <c r="C339"/>
      <c r="D339"/>
      <c r="E339"/>
      <c r="F339"/>
      <c r="G339"/>
      <c r="H339"/>
      <c r="I339"/>
      <c r="J339"/>
      <c r="K339"/>
    </row>
    <row r="340" spans="1:11" x14ac:dyDescent="0.35">
      <c r="A340"/>
      <c r="B340"/>
      <c r="C340"/>
      <c r="D340"/>
      <c r="E340"/>
      <c r="F340"/>
      <c r="G340"/>
      <c r="H340"/>
      <c r="I340"/>
      <c r="J340"/>
      <c r="K340"/>
    </row>
    <row r="341" spans="1:11" x14ac:dyDescent="0.35">
      <c r="A341"/>
      <c r="B341"/>
      <c r="C341"/>
      <c r="D341"/>
      <c r="E341"/>
      <c r="F341"/>
      <c r="G341"/>
      <c r="H341"/>
      <c r="I341"/>
      <c r="J341"/>
      <c r="K341"/>
    </row>
    <row r="342" spans="1:11" x14ac:dyDescent="0.35">
      <c r="A342"/>
      <c r="B342"/>
      <c r="C342"/>
      <c r="D342"/>
      <c r="E342"/>
      <c r="F342"/>
      <c r="G342"/>
      <c r="H342"/>
      <c r="I342"/>
      <c r="J342"/>
      <c r="K342"/>
    </row>
    <row r="343" spans="1:11" x14ac:dyDescent="0.35">
      <c r="A343"/>
      <c r="B343"/>
      <c r="C343"/>
      <c r="D343"/>
      <c r="E343"/>
      <c r="F343"/>
      <c r="G343"/>
      <c r="H343"/>
      <c r="I343"/>
      <c r="J343"/>
      <c r="K343"/>
    </row>
    <row r="344" spans="1:11" x14ac:dyDescent="0.35">
      <c r="A344"/>
      <c r="B344"/>
      <c r="C344"/>
      <c r="D344"/>
      <c r="E344"/>
      <c r="F344"/>
      <c r="G344"/>
      <c r="H344"/>
      <c r="I344"/>
      <c r="J344"/>
      <c r="K344"/>
    </row>
    <row r="345" spans="1:11" x14ac:dyDescent="0.35">
      <c r="A345"/>
      <c r="B345"/>
      <c r="C345"/>
      <c r="D345"/>
      <c r="E345"/>
      <c r="F345"/>
      <c r="G345"/>
      <c r="H345"/>
      <c r="I345"/>
      <c r="J345"/>
      <c r="K345"/>
    </row>
    <row r="346" spans="1:11" x14ac:dyDescent="0.35">
      <c r="A346"/>
      <c r="B346"/>
      <c r="C346"/>
      <c r="D346"/>
      <c r="E346"/>
      <c r="F346"/>
      <c r="G346"/>
      <c r="H346"/>
      <c r="I346"/>
      <c r="J346"/>
      <c r="K346"/>
    </row>
    <row r="347" spans="1:11" x14ac:dyDescent="0.35">
      <c r="A347"/>
      <c r="B347"/>
      <c r="C347"/>
      <c r="D347"/>
      <c r="E347"/>
      <c r="F347"/>
      <c r="G347"/>
      <c r="H347"/>
      <c r="I347"/>
      <c r="J347"/>
      <c r="K347"/>
    </row>
    <row r="348" spans="1:11" x14ac:dyDescent="0.35">
      <c r="A348"/>
      <c r="B348"/>
      <c r="C348"/>
      <c r="D348"/>
      <c r="E348"/>
      <c r="F348"/>
      <c r="G348"/>
      <c r="H348"/>
      <c r="I348"/>
      <c r="J348"/>
      <c r="K348"/>
    </row>
    <row r="349" spans="1:11" x14ac:dyDescent="0.35">
      <c r="A349"/>
      <c r="B349"/>
      <c r="C349"/>
      <c r="D349"/>
      <c r="E349"/>
      <c r="F349"/>
      <c r="G349"/>
      <c r="H349"/>
      <c r="I349"/>
      <c r="J349"/>
      <c r="K349"/>
    </row>
    <row r="350" spans="1:11" x14ac:dyDescent="0.35">
      <c r="A350"/>
      <c r="B350"/>
      <c r="C350"/>
      <c r="D350"/>
      <c r="E350"/>
      <c r="F350"/>
      <c r="G350"/>
      <c r="H350"/>
      <c r="I350"/>
      <c r="J350"/>
      <c r="K350"/>
    </row>
    <row r="351" spans="1:11" x14ac:dyDescent="0.35">
      <c r="A351"/>
      <c r="B351"/>
      <c r="C351"/>
      <c r="D351"/>
      <c r="E351"/>
      <c r="F351"/>
      <c r="G351"/>
      <c r="H351"/>
      <c r="I351"/>
      <c r="J351"/>
      <c r="K351"/>
    </row>
    <row r="352" spans="1:11" x14ac:dyDescent="0.35">
      <c r="A352"/>
      <c r="B352"/>
      <c r="C352"/>
      <c r="D352"/>
      <c r="E352"/>
      <c r="F352"/>
      <c r="G352"/>
      <c r="H352"/>
      <c r="I352"/>
      <c r="J352"/>
      <c r="K352"/>
    </row>
    <row r="353" spans="1:11" x14ac:dyDescent="0.35">
      <c r="A353"/>
      <c r="B353"/>
      <c r="C353"/>
      <c r="D353"/>
      <c r="E353"/>
      <c r="F353"/>
      <c r="G353"/>
      <c r="H353"/>
      <c r="I353"/>
      <c r="J353"/>
      <c r="K353"/>
    </row>
    <row r="354" spans="1:11" x14ac:dyDescent="0.35">
      <c r="A354"/>
      <c r="B354"/>
      <c r="C354"/>
      <c r="D354"/>
      <c r="E354"/>
      <c r="F354"/>
      <c r="G354"/>
      <c r="H354"/>
      <c r="I354"/>
      <c r="J354"/>
      <c r="K354"/>
    </row>
    <row r="355" spans="1:11" x14ac:dyDescent="0.35">
      <c r="A355"/>
      <c r="B355"/>
      <c r="C355"/>
      <c r="D355"/>
      <c r="E355"/>
      <c r="F355"/>
      <c r="G355"/>
      <c r="H355"/>
      <c r="I355"/>
      <c r="J355"/>
      <c r="K355"/>
    </row>
    <row r="356" spans="1:11" x14ac:dyDescent="0.35">
      <c r="A356"/>
      <c r="B356"/>
      <c r="C356"/>
      <c r="D356"/>
      <c r="E356"/>
      <c r="F356"/>
      <c r="G356"/>
      <c r="H356"/>
      <c r="I356"/>
      <c r="J356"/>
      <c r="K356"/>
    </row>
    <row r="357" spans="1:11" x14ac:dyDescent="0.35">
      <c r="A357"/>
      <c r="B357"/>
      <c r="C357"/>
      <c r="D357"/>
      <c r="E357"/>
      <c r="F357"/>
      <c r="G357"/>
      <c r="H357"/>
      <c r="I357"/>
      <c r="J357"/>
      <c r="K357"/>
    </row>
    <row r="358" spans="1:11" x14ac:dyDescent="0.35">
      <c r="A358"/>
      <c r="B358"/>
      <c r="C358"/>
      <c r="D358"/>
      <c r="E358"/>
      <c r="F358"/>
      <c r="G358"/>
      <c r="H358"/>
      <c r="I358"/>
      <c r="J358"/>
      <c r="K358"/>
    </row>
    <row r="359" spans="1:11" x14ac:dyDescent="0.35">
      <c r="A359"/>
      <c r="B359"/>
      <c r="C359"/>
      <c r="D359"/>
      <c r="E359"/>
      <c r="F359"/>
      <c r="G359"/>
      <c r="H359"/>
      <c r="I359"/>
      <c r="J359"/>
      <c r="K359"/>
    </row>
    <row r="360" spans="1:11" x14ac:dyDescent="0.35">
      <c r="A360"/>
      <c r="B360"/>
      <c r="C360"/>
      <c r="D360"/>
      <c r="E360"/>
      <c r="F360"/>
      <c r="G360"/>
      <c r="H360"/>
      <c r="I360"/>
      <c r="J360"/>
      <c r="K360"/>
    </row>
    <row r="361" spans="1:11" x14ac:dyDescent="0.35">
      <c r="A361"/>
      <c r="B361"/>
      <c r="C361"/>
      <c r="D361"/>
      <c r="E361"/>
      <c r="F361"/>
      <c r="G361"/>
      <c r="H361"/>
      <c r="I361"/>
      <c r="J361"/>
      <c r="K361"/>
    </row>
    <row r="362" spans="1:11" x14ac:dyDescent="0.35">
      <c r="A362"/>
      <c r="B362"/>
      <c r="C362"/>
      <c r="D362"/>
      <c r="E362"/>
      <c r="F362"/>
      <c r="G362"/>
      <c r="H362"/>
      <c r="I362"/>
      <c r="J362"/>
      <c r="K362"/>
    </row>
    <row r="363" spans="1:11" x14ac:dyDescent="0.35">
      <c r="A363"/>
      <c r="B363"/>
      <c r="C363"/>
      <c r="D363"/>
      <c r="E363"/>
      <c r="F363"/>
      <c r="G363"/>
      <c r="H363"/>
      <c r="I363"/>
      <c r="J363"/>
      <c r="K363"/>
    </row>
    <row r="364" spans="1:11" x14ac:dyDescent="0.35">
      <c r="A364"/>
      <c r="B364"/>
      <c r="C364"/>
      <c r="D364"/>
      <c r="E364"/>
      <c r="F364"/>
      <c r="G364"/>
      <c r="H364"/>
      <c r="I364"/>
      <c r="J364"/>
      <c r="K364"/>
    </row>
    <row r="365" spans="1:11" x14ac:dyDescent="0.35">
      <c r="A365"/>
      <c r="B365"/>
      <c r="C365"/>
      <c r="D365"/>
      <c r="E365"/>
      <c r="F365"/>
      <c r="G365"/>
      <c r="H365"/>
      <c r="I365"/>
      <c r="J365"/>
      <c r="K365"/>
    </row>
    <row r="366" spans="1:11" x14ac:dyDescent="0.35">
      <c r="A366"/>
      <c r="B366"/>
      <c r="C366"/>
      <c r="D366"/>
      <c r="E366"/>
      <c r="F366"/>
      <c r="G366"/>
      <c r="H366"/>
      <c r="I366"/>
      <c r="J366"/>
      <c r="K366"/>
    </row>
    <row r="367" spans="1:11" x14ac:dyDescent="0.35">
      <c r="A367"/>
      <c r="B367"/>
      <c r="C367"/>
      <c r="D367"/>
      <c r="E367"/>
      <c r="F367"/>
      <c r="G367"/>
      <c r="H367"/>
      <c r="I367"/>
      <c r="J367"/>
      <c r="K367"/>
    </row>
    <row r="368" spans="1:11" x14ac:dyDescent="0.35">
      <c r="A368"/>
      <c r="B368"/>
      <c r="C368"/>
      <c r="D368"/>
      <c r="E368"/>
      <c r="F368"/>
      <c r="G368"/>
      <c r="H368"/>
      <c r="I368"/>
      <c r="J368"/>
      <c r="K368"/>
    </row>
    <row r="369" spans="1:11" x14ac:dyDescent="0.35">
      <c r="A369"/>
      <c r="B369"/>
      <c r="C369"/>
      <c r="D369"/>
      <c r="E369"/>
      <c r="F369"/>
      <c r="G369"/>
      <c r="H369"/>
      <c r="I369"/>
      <c r="J369"/>
      <c r="K369"/>
    </row>
    <row r="370" spans="1:11" x14ac:dyDescent="0.35">
      <c r="A370"/>
      <c r="B370"/>
      <c r="C370"/>
      <c r="D370"/>
      <c r="E370"/>
      <c r="F370"/>
      <c r="G370"/>
      <c r="H370"/>
      <c r="I370"/>
      <c r="J370"/>
      <c r="K370"/>
    </row>
    <row r="371" spans="1:11" x14ac:dyDescent="0.35">
      <c r="A371"/>
      <c r="B371"/>
      <c r="C371"/>
      <c r="D371"/>
      <c r="E371"/>
      <c r="F371"/>
      <c r="G371"/>
      <c r="H371"/>
      <c r="I371"/>
      <c r="J371"/>
      <c r="K371"/>
    </row>
    <row r="372" spans="1:11" x14ac:dyDescent="0.35">
      <c r="A372"/>
      <c r="B372"/>
      <c r="C372"/>
      <c r="D372"/>
      <c r="E372"/>
      <c r="F372"/>
      <c r="G372"/>
      <c r="H372"/>
      <c r="I372"/>
      <c r="J372"/>
      <c r="K372"/>
    </row>
    <row r="373" spans="1:11" x14ac:dyDescent="0.35">
      <c r="A373"/>
      <c r="B373"/>
      <c r="C373"/>
      <c r="D373"/>
      <c r="E373"/>
      <c r="F373"/>
      <c r="G373"/>
      <c r="H373"/>
      <c r="I373"/>
      <c r="J373"/>
      <c r="K373"/>
    </row>
    <row r="374" spans="1:11" x14ac:dyDescent="0.35">
      <c r="A374"/>
      <c r="B374"/>
      <c r="C374"/>
      <c r="D374"/>
      <c r="E374"/>
      <c r="F374"/>
      <c r="G374"/>
      <c r="H374"/>
      <c r="I374"/>
      <c r="J374"/>
      <c r="K374"/>
    </row>
    <row r="375" spans="1:11" x14ac:dyDescent="0.35">
      <c r="A375"/>
      <c r="B375"/>
      <c r="C375"/>
      <c r="D375"/>
      <c r="E375"/>
      <c r="F375"/>
      <c r="G375"/>
      <c r="H375"/>
      <c r="I375"/>
      <c r="J375"/>
      <c r="K375"/>
    </row>
    <row r="376" spans="1:11" x14ac:dyDescent="0.35">
      <c r="A376"/>
      <c r="B376"/>
      <c r="C376"/>
      <c r="D376"/>
      <c r="E376"/>
      <c r="F376"/>
      <c r="G376"/>
      <c r="H376"/>
      <c r="I376"/>
      <c r="J376"/>
      <c r="K376"/>
    </row>
    <row r="377" spans="1:11" x14ac:dyDescent="0.35">
      <c r="A377"/>
      <c r="B377"/>
      <c r="C377"/>
      <c r="D377"/>
      <c r="E377"/>
      <c r="F377"/>
      <c r="G377"/>
      <c r="H377"/>
      <c r="I377"/>
      <c r="J377"/>
      <c r="K377"/>
    </row>
    <row r="378" spans="1:11" x14ac:dyDescent="0.35">
      <c r="A378"/>
      <c r="B378"/>
      <c r="C378"/>
      <c r="D378"/>
      <c r="E378"/>
      <c r="F378"/>
      <c r="G378"/>
      <c r="H378"/>
      <c r="I378"/>
      <c r="J378"/>
      <c r="K378"/>
    </row>
    <row r="379" spans="1:11" x14ac:dyDescent="0.35">
      <c r="A379"/>
      <c r="B379"/>
      <c r="C379"/>
      <c r="D379"/>
      <c r="E379"/>
      <c r="F379"/>
      <c r="G379"/>
      <c r="H379"/>
      <c r="I379"/>
      <c r="J379"/>
      <c r="K379"/>
    </row>
    <row r="380" spans="1:11" x14ac:dyDescent="0.35">
      <c r="A380"/>
      <c r="B380"/>
      <c r="C380"/>
      <c r="D380"/>
      <c r="E380"/>
      <c r="F380"/>
      <c r="G380"/>
      <c r="H380"/>
      <c r="I380"/>
      <c r="J380"/>
      <c r="K380"/>
    </row>
    <row r="381" spans="1:11" x14ac:dyDescent="0.35">
      <c r="A381"/>
      <c r="B381"/>
      <c r="C381"/>
      <c r="D381"/>
      <c r="E381"/>
      <c r="F381"/>
      <c r="G381"/>
      <c r="H381"/>
      <c r="I381"/>
      <c r="J381"/>
      <c r="K381"/>
    </row>
    <row r="382" spans="1:11" x14ac:dyDescent="0.35">
      <c r="A382"/>
      <c r="B382"/>
      <c r="C382"/>
      <c r="D382"/>
      <c r="E382"/>
      <c r="F382"/>
      <c r="G382"/>
      <c r="H382"/>
      <c r="I382"/>
      <c r="J382"/>
      <c r="K382"/>
    </row>
    <row r="383" spans="1:11" x14ac:dyDescent="0.35">
      <c r="A383"/>
      <c r="B383"/>
      <c r="C383"/>
      <c r="D383"/>
      <c r="E383"/>
      <c r="F383"/>
      <c r="G383"/>
      <c r="H383"/>
      <c r="I383"/>
      <c r="J383"/>
      <c r="K383"/>
    </row>
    <row r="384" spans="1:11" x14ac:dyDescent="0.35">
      <c r="A384"/>
      <c r="B384"/>
      <c r="C384"/>
      <c r="D384"/>
      <c r="E384"/>
      <c r="F384"/>
      <c r="G384"/>
      <c r="H384"/>
      <c r="I384"/>
      <c r="J384"/>
      <c r="K384"/>
    </row>
    <row r="385" spans="1:11" x14ac:dyDescent="0.35">
      <c r="A385"/>
      <c r="B385"/>
      <c r="C385"/>
      <c r="D385"/>
      <c r="E385"/>
      <c r="F385"/>
      <c r="G385"/>
      <c r="H385"/>
      <c r="I385"/>
      <c r="J385"/>
      <c r="K385"/>
    </row>
    <row r="386" spans="1:11" ht="29" x14ac:dyDescent="0.35">
      <c r="A386"/>
      <c r="B386"/>
      <c r="C386"/>
      <c r="D386"/>
      <c r="E386"/>
      <c r="F386"/>
      <c r="G386"/>
      <c r="H386"/>
      <c r="I386"/>
      <c r="J386"/>
      <c r="K386" s="247" t="s">
        <v>973</v>
      </c>
    </row>
    <row r="387" spans="1:11" x14ac:dyDescent="0.35">
      <c r="A387"/>
      <c r="B387"/>
      <c r="C387"/>
      <c r="D387"/>
      <c r="E387"/>
      <c r="F387"/>
      <c r="G387"/>
      <c r="H387"/>
      <c r="I387"/>
      <c r="J387"/>
      <c r="K387"/>
    </row>
    <row r="388" spans="1:11" x14ac:dyDescent="0.35">
      <c r="A388"/>
      <c r="B388"/>
      <c r="C388"/>
      <c r="D388"/>
      <c r="E388"/>
      <c r="F388"/>
      <c r="G388"/>
      <c r="H388"/>
      <c r="I388"/>
      <c r="J388"/>
      <c r="K388"/>
    </row>
    <row r="389" spans="1:11" x14ac:dyDescent="0.35">
      <c r="A389"/>
      <c r="B389"/>
      <c r="C389"/>
      <c r="D389"/>
      <c r="E389"/>
      <c r="F389"/>
      <c r="G389"/>
      <c r="H389"/>
      <c r="I389"/>
      <c r="J389"/>
      <c r="K389"/>
    </row>
    <row r="390" spans="1:11" x14ac:dyDescent="0.35">
      <c r="A390"/>
      <c r="B390"/>
      <c r="C390"/>
      <c r="D390"/>
      <c r="E390"/>
      <c r="F390"/>
      <c r="G390"/>
      <c r="H390"/>
      <c r="I390"/>
      <c r="J390"/>
      <c r="K390"/>
    </row>
    <row r="391" spans="1:11" x14ac:dyDescent="0.35">
      <c r="A391"/>
      <c r="B391"/>
      <c r="C391"/>
      <c r="D391"/>
      <c r="E391"/>
      <c r="F391"/>
      <c r="G391"/>
      <c r="H391"/>
      <c r="I391"/>
      <c r="J391"/>
      <c r="K391"/>
    </row>
    <row r="392" spans="1:11" x14ac:dyDescent="0.35">
      <c r="A392"/>
      <c r="B392"/>
      <c r="C392"/>
      <c r="D392"/>
      <c r="E392"/>
      <c r="F392"/>
      <c r="G392"/>
      <c r="H392"/>
      <c r="I392"/>
      <c r="J392"/>
      <c r="K392"/>
    </row>
    <row r="393" spans="1:11" x14ac:dyDescent="0.35">
      <c r="A393"/>
      <c r="B393"/>
      <c r="C393"/>
      <c r="D393"/>
      <c r="E393"/>
      <c r="F393"/>
      <c r="G393"/>
      <c r="H393"/>
      <c r="I393"/>
      <c r="J393"/>
      <c r="K393"/>
    </row>
    <row r="394" spans="1:11" x14ac:dyDescent="0.35">
      <c r="A394"/>
      <c r="B394"/>
      <c r="C394"/>
      <c r="D394"/>
      <c r="E394"/>
      <c r="F394"/>
      <c r="G394"/>
      <c r="H394"/>
      <c r="I394"/>
      <c r="J394"/>
      <c r="K394"/>
    </row>
    <row r="395" spans="1:11" x14ac:dyDescent="0.35">
      <c r="A395"/>
      <c r="B395"/>
      <c r="C395"/>
      <c r="D395"/>
      <c r="E395"/>
      <c r="F395"/>
      <c r="G395"/>
      <c r="H395"/>
      <c r="I395"/>
      <c r="J395"/>
      <c r="K395"/>
    </row>
    <row r="396" spans="1:11" x14ac:dyDescent="0.35">
      <c r="A396"/>
      <c r="B396"/>
      <c r="C396"/>
      <c r="D396"/>
      <c r="E396"/>
      <c r="F396"/>
      <c r="G396"/>
      <c r="H396"/>
      <c r="I396"/>
      <c r="J396"/>
      <c r="K396"/>
    </row>
    <row r="397" spans="1:11" ht="72.5" x14ac:dyDescent="0.35">
      <c r="A397"/>
      <c r="B397"/>
      <c r="C397"/>
      <c r="D397"/>
      <c r="E397"/>
      <c r="F397"/>
      <c r="G397"/>
      <c r="H397"/>
      <c r="I397"/>
      <c r="J397"/>
      <c r="K397" s="247" t="s">
        <v>970</v>
      </c>
    </row>
    <row r="398" spans="1:11" x14ac:dyDescent="0.35">
      <c r="A398"/>
      <c r="B398"/>
      <c r="C398"/>
      <c r="D398"/>
      <c r="E398"/>
      <c r="F398"/>
      <c r="G398"/>
      <c r="H398"/>
      <c r="I398"/>
      <c r="J398"/>
      <c r="K398"/>
    </row>
    <row r="399" spans="1:11" x14ac:dyDescent="0.35">
      <c r="A399"/>
      <c r="B399"/>
      <c r="C399"/>
      <c r="D399"/>
      <c r="E399"/>
      <c r="F399"/>
      <c r="G399"/>
      <c r="H399"/>
      <c r="I399"/>
      <c r="J399"/>
      <c r="K399"/>
    </row>
    <row r="400" spans="1:11" x14ac:dyDescent="0.35">
      <c r="A400"/>
      <c r="B400"/>
      <c r="C400"/>
      <c r="D400"/>
      <c r="E400"/>
      <c r="F400"/>
      <c r="G400"/>
      <c r="H400"/>
      <c r="I400"/>
      <c r="J400"/>
      <c r="K400"/>
    </row>
    <row r="401" spans="1:11" x14ac:dyDescent="0.35">
      <c r="A401"/>
      <c r="B401"/>
      <c r="C401"/>
      <c r="D401"/>
      <c r="E401"/>
      <c r="F401"/>
      <c r="G401"/>
      <c r="H401"/>
      <c r="I401"/>
      <c r="J401"/>
      <c r="K401"/>
    </row>
    <row r="402" spans="1:11" x14ac:dyDescent="0.35">
      <c r="A402"/>
      <c r="B402"/>
      <c r="C402"/>
      <c r="D402"/>
      <c r="E402"/>
      <c r="F402"/>
      <c r="G402"/>
      <c r="H402"/>
      <c r="I402"/>
      <c r="J402"/>
      <c r="K402"/>
    </row>
    <row r="403" spans="1:11" x14ac:dyDescent="0.35">
      <c r="A403"/>
      <c r="B403"/>
      <c r="C403"/>
      <c r="D403"/>
      <c r="E403"/>
      <c r="F403"/>
      <c r="G403"/>
      <c r="H403"/>
      <c r="I403"/>
      <c r="J403"/>
      <c r="K403"/>
    </row>
    <row r="404" spans="1:11" x14ac:dyDescent="0.35">
      <c r="A404"/>
      <c r="B404"/>
      <c r="C404"/>
      <c r="D404"/>
      <c r="E404"/>
      <c r="F404"/>
      <c r="G404"/>
      <c r="H404"/>
      <c r="I404"/>
      <c r="J404"/>
      <c r="K404"/>
    </row>
    <row r="405" spans="1:11" x14ac:dyDescent="0.35">
      <c r="A405"/>
      <c r="B405"/>
      <c r="C405"/>
      <c r="D405"/>
      <c r="E405"/>
      <c r="F405"/>
      <c r="G405"/>
      <c r="H405"/>
      <c r="I405"/>
      <c r="J405"/>
      <c r="K405"/>
    </row>
    <row r="406" spans="1:11" x14ac:dyDescent="0.35">
      <c r="A406"/>
      <c r="B406"/>
      <c r="C406"/>
      <c r="D406"/>
      <c r="E406"/>
      <c r="F406"/>
      <c r="G406"/>
      <c r="H406"/>
      <c r="I406"/>
      <c r="J406"/>
      <c r="K406"/>
    </row>
    <row r="407" spans="1:11" x14ac:dyDescent="0.35">
      <c r="A407"/>
      <c r="B407"/>
      <c r="C407"/>
      <c r="D407"/>
      <c r="E407"/>
      <c r="F407"/>
      <c r="G407"/>
      <c r="H407"/>
      <c r="I407"/>
      <c r="J407"/>
      <c r="K407"/>
    </row>
    <row r="408" spans="1:11" x14ac:dyDescent="0.35">
      <c r="A408"/>
      <c r="B408"/>
      <c r="C408"/>
      <c r="D408"/>
      <c r="E408"/>
      <c r="F408"/>
      <c r="G408"/>
      <c r="H408"/>
      <c r="I408"/>
      <c r="J408"/>
      <c r="K408"/>
    </row>
    <row r="409" spans="1:11" x14ac:dyDescent="0.35">
      <c r="A409"/>
      <c r="B409"/>
      <c r="C409"/>
      <c r="D409"/>
      <c r="E409"/>
      <c r="F409"/>
      <c r="G409"/>
      <c r="H409"/>
      <c r="I409"/>
      <c r="J409"/>
      <c r="K409"/>
    </row>
    <row r="410" spans="1:11" x14ac:dyDescent="0.35">
      <c r="A410"/>
      <c r="B410"/>
      <c r="C410"/>
      <c r="D410"/>
      <c r="E410"/>
      <c r="F410"/>
      <c r="G410"/>
      <c r="H410"/>
      <c r="I410"/>
      <c r="J410"/>
      <c r="K410"/>
    </row>
    <row r="411" spans="1:11" x14ac:dyDescent="0.35">
      <c r="A411"/>
      <c r="B411"/>
      <c r="C411"/>
      <c r="D411"/>
      <c r="E411"/>
      <c r="F411"/>
      <c r="G411"/>
      <c r="H411"/>
      <c r="I411"/>
      <c r="J411"/>
      <c r="K411"/>
    </row>
    <row r="412" spans="1:11" x14ac:dyDescent="0.35">
      <c r="A412"/>
      <c r="B412"/>
      <c r="C412"/>
      <c r="D412"/>
      <c r="E412"/>
      <c r="F412"/>
      <c r="G412"/>
      <c r="H412"/>
      <c r="I412"/>
      <c r="J412"/>
      <c r="K412"/>
    </row>
    <row r="413" spans="1:11" x14ac:dyDescent="0.35">
      <c r="A413"/>
      <c r="B413"/>
      <c r="C413"/>
      <c r="D413"/>
      <c r="E413"/>
      <c r="F413"/>
      <c r="G413"/>
      <c r="H413"/>
      <c r="I413"/>
      <c r="J413"/>
      <c r="K413"/>
    </row>
    <row r="414" spans="1:11" x14ac:dyDescent="0.35">
      <c r="A414"/>
      <c r="B414"/>
      <c r="C414"/>
      <c r="D414"/>
      <c r="E414"/>
      <c r="F414"/>
      <c r="G414"/>
      <c r="H414"/>
      <c r="I414"/>
      <c r="J414"/>
      <c r="K414"/>
    </row>
    <row r="415" spans="1:11" x14ac:dyDescent="0.35">
      <c r="A415"/>
      <c r="B415"/>
      <c r="C415"/>
      <c r="D415"/>
      <c r="E415"/>
      <c r="F415"/>
      <c r="G415"/>
      <c r="H415"/>
      <c r="I415"/>
      <c r="J415"/>
      <c r="K415"/>
    </row>
    <row r="416" spans="1:11" x14ac:dyDescent="0.35">
      <c r="A416"/>
      <c r="B416"/>
      <c r="C416"/>
      <c r="D416"/>
      <c r="E416"/>
      <c r="F416"/>
      <c r="G416"/>
      <c r="H416"/>
      <c r="I416"/>
      <c r="J416"/>
      <c r="K416"/>
    </row>
    <row r="417" spans="1:11" x14ac:dyDescent="0.35">
      <c r="A417"/>
      <c r="B417"/>
      <c r="C417"/>
      <c r="D417"/>
      <c r="E417"/>
      <c r="F417"/>
      <c r="G417"/>
      <c r="H417"/>
      <c r="I417"/>
      <c r="J417"/>
      <c r="K417"/>
    </row>
    <row r="418" spans="1:11" x14ac:dyDescent="0.35">
      <c r="A418"/>
      <c r="B418"/>
      <c r="C418"/>
      <c r="D418"/>
      <c r="E418"/>
      <c r="F418"/>
      <c r="G418"/>
      <c r="H418"/>
      <c r="I418"/>
      <c r="J418"/>
      <c r="K418"/>
    </row>
    <row r="419" spans="1:11" x14ac:dyDescent="0.35">
      <c r="A419"/>
      <c r="B419"/>
      <c r="C419"/>
      <c r="D419"/>
      <c r="E419"/>
      <c r="F419"/>
      <c r="G419"/>
      <c r="H419"/>
      <c r="I419"/>
      <c r="J419"/>
      <c r="K419"/>
    </row>
    <row r="420" spans="1:11" x14ac:dyDescent="0.35">
      <c r="A420"/>
      <c r="B420"/>
      <c r="C420"/>
      <c r="D420"/>
      <c r="E420"/>
      <c r="F420"/>
      <c r="G420"/>
      <c r="H420"/>
      <c r="I420"/>
      <c r="J420"/>
      <c r="K420"/>
    </row>
    <row r="421" spans="1:11" x14ac:dyDescent="0.35">
      <c r="A421"/>
      <c r="B421"/>
      <c r="C421"/>
      <c r="D421"/>
      <c r="E421"/>
      <c r="F421"/>
      <c r="G421"/>
      <c r="H421"/>
      <c r="I421"/>
      <c r="J421"/>
      <c r="K421"/>
    </row>
    <row r="422" spans="1:11" x14ac:dyDescent="0.35">
      <c r="A422"/>
      <c r="B422"/>
      <c r="C422"/>
      <c r="D422"/>
      <c r="E422"/>
      <c r="F422"/>
      <c r="G422"/>
      <c r="H422"/>
      <c r="I422"/>
      <c r="J422"/>
      <c r="K422"/>
    </row>
    <row r="423" spans="1:11" x14ac:dyDescent="0.35">
      <c r="A423"/>
      <c r="B423"/>
      <c r="C423"/>
      <c r="D423"/>
      <c r="E423"/>
      <c r="F423"/>
      <c r="G423"/>
      <c r="H423"/>
      <c r="I423"/>
      <c r="J423"/>
      <c r="K423"/>
    </row>
    <row r="424" spans="1:11" x14ac:dyDescent="0.35">
      <c r="A424"/>
      <c r="B424"/>
      <c r="C424"/>
      <c r="D424"/>
      <c r="E424"/>
      <c r="F424"/>
      <c r="G424"/>
      <c r="H424"/>
      <c r="I424"/>
      <c r="J424"/>
      <c r="K424"/>
    </row>
    <row r="425" spans="1:11" x14ac:dyDescent="0.35">
      <c r="A425"/>
      <c r="B425"/>
      <c r="C425"/>
      <c r="D425"/>
      <c r="E425"/>
      <c r="F425"/>
      <c r="G425"/>
      <c r="H425"/>
      <c r="I425"/>
      <c r="J425"/>
      <c r="K425"/>
    </row>
    <row r="426" spans="1:11" x14ac:dyDescent="0.35">
      <c r="A426"/>
      <c r="B426"/>
      <c r="C426"/>
      <c r="D426"/>
      <c r="E426"/>
      <c r="F426"/>
      <c r="G426"/>
      <c r="H426"/>
      <c r="I426"/>
      <c r="J426"/>
      <c r="K426"/>
    </row>
    <row r="427" spans="1:11" x14ac:dyDescent="0.35">
      <c r="A427"/>
      <c r="B427"/>
      <c r="C427"/>
      <c r="D427"/>
      <c r="E427"/>
      <c r="F427"/>
      <c r="G427"/>
      <c r="H427"/>
      <c r="I427"/>
      <c r="J427"/>
      <c r="K427"/>
    </row>
    <row r="428" spans="1:11" x14ac:dyDescent="0.35">
      <c r="A428"/>
      <c r="B428"/>
      <c r="C428"/>
      <c r="D428"/>
      <c r="E428"/>
      <c r="F428"/>
      <c r="G428"/>
      <c r="H428"/>
      <c r="I428"/>
      <c r="J428"/>
      <c r="K428"/>
    </row>
    <row r="429" spans="1:11" x14ac:dyDescent="0.35">
      <c r="A429"/>
      <c r="B429"/>
      <c r="C429"/>
      <c r="D429"/>
      <c r="E429"/>
      <c r="F429"/>
      <c r="G429"/>
      <c r="H429"/>
      <c r="I429"/>
      <c r="J429"/>
      <c r="K429"/>
    </row>
    <row r="430" spans="1:11" x14ac:dyDescent="0.35">
      <c r="A430"/>
      <c r="B430"/>
      <c r="C430"/>
      <c r="D430"/>
      <c r="E430"/>
      <c r="F430"/>
      <c r="G430"/>
      <c r="H430"/>
      <c r="I430"/>
      <c r="J430"/>
      <c r="K430"/>
    </row>
    <row r="431" spans="1:11" x14ac:dyDescent="0.35">
      <c r="A431"/>
      <c r="B431"/>
      <c r="C431"/>
      <c r="D431"/>
      <c r="E431"/>
      <c r="F431"/>
      <c r="G431"/>
      <c r="H431"/>
      <c r="I431"/>
      <c r="J431"/>
      <c r="K431"/>
    </row>
    <row r="432" spans="1:11" x14ac:dyDescent="0.35">
      <c r="A432"/>
      <c r="B432"/>
      <c r="C432"/>
      <c r="D432"/>
      <c r="E432"/>
      <c r="F432"/>
      <c r="G432"/>
      <c r="H432"/>
      <c r="I432"/>
      <c r="J432"/>
      <c r="K432"/>
    </row>
    <row r="433" spans="1:11" x14ac:dyDescent="0.35">
      <c r="A433"/>
      <c r="B433"/>
      <c r="C433"/>
      <c r="D433"/>
      <c r="E433"/>
      <c r="F433"/>
      <c r="G433"/>
      <c r="H433"/>
      <c r="I433"/>
      <c r="J433"/>
      <c r="K433"/>
    </row>
    <row r="434" spans="1:11" x14ac:dyDescent="0.35">
      <c r="A434"/>
      <c r="B434"/>
      <c r="C434"/>
      <c r="D434"/>
      <c r="E434"/>
      <c r="F434"/>
      <c r="G434"/>
      <c r="H434"/>
      <c r="I434"/>
      <c r="J434"/>
      <c r="K434"/>
    </row>
    <row r="435" spans="1:11" x14ac:dyDescent="0.35">
      <c r="A435"/>
      <c r="B435"/>
      <c r="C435"/>
      <c r="D435"/>
      <c r="E435"/>
      <c r="F435"/>
      <c r="G435"/>
      <c r="H435"/>
      <c r="I435"/>
      <c r="J435"/>
      <c r="K435"/>
    </row>
    <row r="436" spans="1:11" x14ac:dyDescent="0.35">
      <c r="A436"/>
      <c r="B436"/>
      <c r="C436"/>
      <c r="D436"/>
      <c r="E436"/>
      <c r="F436"/>
      <c r="G436"/>
      <c r="H436"/>
      <c r="I436"/>
      <c r="J436"/>
      <c r="K436"/>
    </row>
    <row r="437" spans="1:11" x14ac:dyDescent="0.35">
      <c r="A437"/>
      <c r="B437"/>
      <c r="C437"/>
      <c r="D437"/>
      <c r="E437"/>
      <c r="F437"/>
      <c r="G437"/>
      <c r="H437"/>
      <c r="I437"/>
      <c r="J437"/>
      <c r="K437"/>
    </row>
    <row r="438" spans="1:11" x14ac:dyDescent="0.35">
      <c r="A438"/>
      <c r="B438"/>
      <c r="C438"/>
      <c r="D438"/>
      <c r="E438"/>
      <c r="F438"/>
      <c r="G438"/>
      <c r="H438"/>
      <c r="I438"/>
      <c r="J438"/>
      <c r="K438"/>
    </row>
    <row r="439" spans="1:11" x14ac:dyDescent="0.35">
      <c r="A439"/>
      <c r="B439"/>
      <c r="C439"/>
      <c r="D439"/>
      <c r="E439"/>
      <c r="F439"/>
      <c r="G439"/>
      <c r="H439"/>
      <c r="I439"/>
      <c r="J439"/>
      <c r="K439"/>
    </row>
    <row r="440" spans="1:11" x14ac:dyDescent="0.35">
      <c r="A440"/>
      <c r="B440"/>
      <c r="C440"/>
      <c r="D440"/>
      <c r="E440"/>
      <c r="F440"/>
      <c r="G440"/>
      <c r="H440"/>
      <c r="I440"/>
      <c r="J440"/>
      <c r="K440"/>
    </row>
    <row r="441" spans="1:11" x14ac:dyDescent="0.35">
      <c r="A441"/>
      <c r="B441"/>
      <c r="C441"/>
      <c r="D441"/>
      <c r="E441"/>
      <c r="F441"/>
      <c r="G441"/>
      <c r="H441"/>
      <c r="I441"/>
      <c r="J441"/>
      <c r="K441"/>
    </row>
    <row r="442" spans="1:11" x14ac:dyDescent="0.35">
      <c r="A442"/>
      <c r="B442"/>
      <c r="C442"/>
      <c r="D442"/>
      <c r="E442"/>
      <c r="F442"/>
      <c r="G442"/>
      <c r="H442"/>
      <c r="I442"/>
      <c r="J442"/>
      <c r="K442"/>
    </row>
    <row r="443" spans="1:11" x14ac:dyDescent="0.35">
      <c r="A443"/>
      <c r="B443"/>
      <c r="C443"/>
      <c r="D443"/>
      <c r="E443"/>
      <c r="F443"/>
      <c r="G443"/>
      <c r="H443"/>
      <c r="I443"/>
      <c r="J443"/>
      <c r="K443"/>
    </row>
    <row r="444" spans="1:11" x14ac:dyDescent="0.35">
      <c r="A444"/>
      <c r="B444"/>
      <c r="C444"/>
      <c r="D444"/>
      <c r="E444"/>
      <c r="F444"/>
      <c r="G444"/>
      <c r="H444"/>
      <c r="I444"/>
      <c r="J444"/>
      <c r="K444"/>
    </row>
    <row r="445" spans="1:11" x14ac:dyDescent="0.35">
      <c r="A445"/>
      <c r="B445"/>
      <c r="C445"/>
      <c r="D445"/>
      <c r="E445"/>
      <c r="F445"/>
      <c r="G445"/>
      <c r="H445"/>
      <c r="I445"/>
      <c r="J445"/>
      <c r="K445"/>
    </row>
    <row r="446" spans="1:11" x14ac:dyDescent="0.35">
      <c r="A446"/>
      <c r="B446"/>
      <c r="C446"/>
      <c r="D446"/>
      <c r="E446"/>
      <c r="F446"/>
      <c r="G446"/>
      <c r="H446"/>
      <c r="I446"/>
      <c r="J446"/>
      <c r="K446"/>
    </row>
    <row r="447" spans="1:11" x14ac:dyDescent="0.35">
      <c r="A447"/>
      <c r="B447"/>
      <c r="C447"/>
      <c r="D447"/>
      <c r="E447"/>
      <c r="F447"/>
      <c r="G447"/>
      <c r="H447"/>
      <c r="I447"/>
      <c r="J447"/>
      <c r="K447"/>
    </row>
    <row r="448" spans="1:11" x14ac:dyDescent="0.35">
      <c r="A448"/>
      <c r="B448"/>
      <c r="C448"/>
      <c r="D448"/>
      <c r="E448"/>
      <c r="F448"/>
      <c r="G448"/>
      <c r="H448"/>
      <c r="I448"/>
      <c r="J448"/>
      <c r="K448"/>
    </row>
    <row r="449" spans="1:11" x14ac:dyDescent="0.35">
      <c r="A449"/>
      <c r="B449"/>
      <c r="C449"/>
      <c r="D449"/>
      <c r="E449"/>
      <c r="F449"/>
      <c r="G449"/>
      <c r="H449"/>
      <c r="I449"/>
      <c r="J449"/>
      <c r="K449"/>
    </row>
    <row r="450" spans="1:11" x14ac:dyDescent="0.35">
      <c r="A450"/>
      <c r="B450"/>
      <c r="C450"/>
      <c r="D450"/>
      <c r="E450"/>
      <c r="F450"/>
      <c r="G450"/>
      <c r="H450"/>
      <c r="I450"/>
      <c r="J450"/>
      <c r="K450"/>
    </row>
    <row r="451" spans="1:11" x14ac:dyDescent="0.35">
      <c r="A451"/>
      <c r="B451"/>
      <c r="C451"/>
      <c r="D451"/>
      <c r="E451"/>
      <c r="F451"/>
      <c r="G451"/>
      <c r="H451"/>
      <c r="I451"/>
      <c r="J451"/>
      <c r="K451"/>
    </row>
    <row r="452" spans="1:11" x14ac:dyDescent="0.35">
      <c r="A452"/>
      <c r="B452"/>
      <c r="C452"/>
      <c r="D452"/>
      <c r="E452"/>
      <c r="F452"/>
      <c r="G452"/>
      <c r="H452"/>
      <c r="I452"/>
      <c r="J452"/>
      <c r="K452"/>
    </row>
    <row r="453" spans="1:11" x14ac:dyDescent="0.35">
      <c r="A453"/>
      <c r="B453"/>
      <c r="C453"/>
      <c r="D453"/>
      <c r="E453"/>
      <c r="F453"/>
      <c r="G453"/>
      <c r="H453"/>
      <c r="I453"/>
      <c r="J453"/>
      <c r="K453"/>
    </row>
    <row r="454" spans="1:11" x14ac:dyDescent="0.35">
      <c r="A454"/>
      <c r="B454"/>
      <c r="C454"/>
      <c r="D454"/>
      <c r="E454"/>
      <c r="F454"/>
      <c r="G454"/>
      <c r="H454"/>
      <c r="I454"/>
      <c r="J454"/>
      <c r="K454"/>
    </row>
    <row r="455" spans="1:11" x14ac:dyDescent="0.35">
      <c r="A455"/>
      <c r="B455"/>
      <c r="C455"/>
      <c r="D455"/>
      <c r="E455"/>
      <c r="F455"/>
      <c r="G455"/>
      <c r="H455"/>
      <c r="I455"/>
      <c r="J455"/>
      <c r="K455"/>
    </row>
    <row r="456" spans="1:11" x14ac:dyDescent="0.35">
      <c r="A456"/>
      <c r="B456"/>
      <c r="C456"/>
      <c r="D456"/>
      <c r="E456"/>
      <c r="F456"/>
      <c r="G456"/>
      <c r="H456"/>
      <c r="I456"/>
      <c r="J456"/>
      <c r="K456"/>
    </row>
    <row r="457" spans="1:11" x14ac:dyDescent="0.35">
      <c r="A457"/>
      <c r="B457"/>
      <c r="C457"/>
      <c r="D457"/>
      <c r="E457"/>
      <c r="F457"/>
      <c r="G457"/>
      <c r="H457"/>
      <c r="I457"/>
      <c r="J457"/>
      <c r="K457"/>
    </row>
    <row r="458" spans="1:11" x14ac:dyDescent="0.35">
      <c r="A458"/>
      <c r="B458"/>
      <c r="C458"/>
      <c r="D458"/>
      <c r="E458"/>
      <c r="F458"/>
      <c r="G458"/>
      <c r="H458"/>
      <c r="I458"/>
      <c r="J458"/>
      <c r="K458"/>
    </row>
    <row r="459" spans="1:11" x14ac:dyDescent="0.35">
      <c r="A459"/>
      <c r="B459"/>
      <c r="C459"/>
      <c r="D459"/>
      <c r="E459"/>
      <c r="F459"/>
      <c r="G459"/>
      <c r="H459"/>
      <c r="I459"/>
      <c r="J459"/>
      <c r="K459"/>
    </row>
    <row r="460" spans="1:11" x14ac:dyDescent="0.35">
      <c r="A460"/>
      <c r="B460"/>
      <c r="C460"/>
      <c r="D460"/>
      <c r="E460"/>
      <c r="F460"/>
      <c r="G460"/>
      <c r="H460"/>
      <c r="I460"/>
      <c r="J460"/>
      <c r="K460"/>
    </row>
    <row r="461" spans="1:11" x14ac:dyDescent="0.35">
      <c r="A461"/>
      <c r="B461"/>
      <c r="C461"/>
      <c r="D461"/>
      <c r="E461"/>
      <c r="F461"/>
      <c r="G461"/>
      <c r="H461"/>
      <c r="I461"/>
      <c r="J461"/>
      <c r="K461"/>
    </row>
    <row r="462" spans="1:11" x14ac:dyDescent="0.35">
      <c r="A462"/>
      <c r="B462"/>
      <c r="C462"/>
      <c r="D462"/>
      <c r="E462"/>
      <c r="F462"/>
      <c r="G462"/>
      <c r="H462"/>
      <c r="I462"/>
      <c r="J462"/>
      <c r="K462"/>
    </row>
    <row r="463" spans="1:11" x14ac:dyDescent="0.35">
      <c r="A463"/>
      <c r="B463"/>
      <c r="C463"/>
      <c r="D463"/>
      <c r="E463"/>
      <c r="F463"/>
      <c r="G463"/>
      <c r="H463"/>
      <c r="I463"/>
      <c r="J463"/>
      <c r="K463"/>
    </row>
    <row r="464" spans="1:11" x14ac:dyDescent="0.35">
      <c r="A464"/>
      <c r="B464"/>
      <c r="C464"/>
      <c r="D464"/>
      <c r="E464"/>
      <c r="F464"/>
      <c r="G464"/>
      <c r="H464"/>
      <c r="I464"/>
      <c r="J464"/>
      <c r="K464"/>
    </row>
    <row r="465" spans="1:11" x14ac:dyDescent="0.35">
      <c r="A465"/>
      <c r="B465"/>
      <c r="C465"/>
      <c r="D465"/>
      <c r="E465"/>
      <c r="F465"/>
      <c r="G465"/>
      <c r="H465"/>
      <c r="I465"/>
      <c r="J465"/>
      <c r="K465"/>
    </row>
    <row r="466" spans="1:11" x14ac:dyDescent="0.35">
      <c r="A466"/>
      <c r="B466"/>
      <c r="C466"/>
      <c r="D466"/>
      <c r="E466"/>
      <c r="F466"/>
      <c r="G466"/>
      <c r="H466"/>
      <c r="I466"/>
      <c r="J466"/>
      <c r="K466"/>
    </row>
    <row r="467" spans="1:11" x14ac:dyDescent="0.35">
      <c r="A467"/>
      <c r="B467"/>
      <c r="C467"/>
      <c r="D467"/>
      <c r="E467"/>
      <c r="F467"/>
      <c r="G467"/>
      <c r="H467"/>
      <c r="I467"/>
      <c r="J467"/>
      <c r="K467"/>
    </row>
    <row r="468" spans="1:11" x14ac:dyDescent="0.35">
      <c r="A468"/>
      <c r="B468"/>
      <c r="C468"/>
      <c r="D468"/>
      <c r="E468"/>
      <c r="F468"/>
      <c r="G468"/>
      <c r="H468"/>
      <c r="I468"/>
      <c r="J468"/>
      <c r="K468"/>
    </row>
    <row r="469" spans="1:11" x14ac:dyDescent="0.35">
      <c r="A469"/>
      <c r="B469"/>
      <c r="C469"/>
      <c r="D469"/>
      <c r="E469"/>
      <c r="F469"/>
      <c r="G469"/>
      <c r="H469"/>
      <c r="I469"/>
      <c r="J469"/>
      <c r="K469"/>
    </row>
    <row r="470" spans="1:11" x14ac:dyDescent="0.35">
      <c r="A470"/>
      <c r="B470"/>
      <c r="C470"/>
      <c r="D470"/>
      <c r="E470"/>
      <c r="F470"/>
      <c r="G470"/>
      <c r="H470"/>
      <c r="I470"/>
      <c r="J470"/>
      <c r="K470"/>
    </row>
    <row r="471" spans="1:11" x14ac:dyDescent="0.35">
      <c r="A471"/>
      <c r="B471"/>
      <c r="C471"/>
      <c r="D471"/>
      <c r="E471"/>
      <c r="F471"/>
      <c r="G471"/>
      <c r="H471"/>
      <c r="I471"/>
      <c r="J471"/>
      <c r="K471"/>
    </row>
    <row r="472" spans="1:11" x14ac:dyDescent="0.35">
      <c r="A472"/>
      <c r="B472"/>
      <c r="C472"/>
      <c r="D472"/>
      <c r="E472"/>
      <c r="F472"/>
      <c r="G472"/>
      <c r="H472"/>
      <c r="I472"/>
      <c r="J472"/>
      <c r="K472"/>
    </row>
    <row r="473" spans="1:11" x14ac:dyDescent="0.35">
      <c r="A473"/>
      <c r="B473"/>
      <c r="C473"/>
      <c r="D473"/>
      <c r="E473"/>
      <c r="F473"/>
      <c r="G473"/>
      <c r="H473"/>
      <c r="I473"/>
      <c r="J473"/>
      <c r="K473"/>
    </row>
    <row r="474" spans="1:11" x14ac:dyDescent="0.35">
      <c r="A474"/>
      <c r="B474"/>
      <c r="C474"/>
      <c r="D474"/>
      <c r="E474"/>
      <c r="F474"/>
      <c r="G474"/>
      <c r="H474"/>
      <c r="I474"/>
      <c r="J474"/>
      <c r="K474"/>
    </row>
    <row r="475" spans="1:11" x14ac:dyDescent="0.35">
      <c r="A475"/>
      <c r="B475"/>
      <c r="C475"/>
      <c r="D475"/>
      <c r="E475"/>
      <c r="F475"/>
      <c r="G475"/>
      <c r="H475"/>
      <c r="I475"/>
      <c r="J475"/>
      <c r="K475"/>
    </row>
    <row r="476" spans="1:11" x14ac:dyDescent="0.35">
      <c r="A476"/>
      <c r="B476"/>
      <c r="C476"/>
      <c r="D476"/>
      <c r="E476"/>
      <c r="F476"/>
      <c r="G476"/>
      <c r="H476"/>
      <c r="I476"/>
      <c r="J476"/>
      <c r="K476"/>
    </row>
    <row r="477" spans="1:11" x14ac:dyDescent="0.35">
      <c r="A477"/>
      <c r="B477"/>
      <c r="C477"/>
      <c r="D477"/>
      <c r="E477"/>
      <c r="F477"/>
      <c r="G477"/>
      <c r="H477"/>
      <c r="I477"/>
      <c r="J477"/>
      <c r="K477"/>
    </row>
    <row r="478" spans="1:11" x14ac:dyDescent="0.35">
      <c r="A478"/>
      <c r="B478"/>
      <c r="C478"/>
      <c r="D478"/>
      <c r="E478"/>
      <c r="F478"/>
      <c r="G478"/>
      <c r="H478"/>
      <c r="I478"/>
      <c r="J478"/>
      <c r="K478"/>
    </row>
    <row r="479" spans="1:11" x14ac:dyDescent="0.35">
      <c r="A479"/>
      <c r="B479"/>
      <c r="C479"/>
      <c r="D479"/>
      <c r="E479"/>
      <c r="F479"/>
      <c r="G479"/>
      <c r="H479"/>
      <c r="I479"/>
      <c r="J479"/>
      <c r="K479"/>
    </row>
    <row r="480" spans="1:11" x14ac:dyDescent="0.35">
      <c r="A480"/>
      <c r="B480"/>
      <c r="C480"/>
      <c r="D480"/>
      <c r="E480"/>
      <c r="F480"/>
      <c r="G480"/>
      <c r="H480"/>
      <c r="I480"/>
      <c r="J480"/>
      <c r="K480"/>
    </row>
    <row r="481" spans="1:11" x14ac:dyDescent="0.35">
      <c r="A481"/>
      <c r="B481"/>
      <c r="C481"/>
      <c r="D481"/>
      <c r="E481"/>
      <c r="F481"/>
      <c r="G481"/>
      <c r="H481"/>
      <c r="I481"/>
      <c r="J481"/>
      <c r="K481"/>
    </row>
    <row r="482" spans="1:11" x14ac:dyDescent="0.35">
      <c r="A482"/>
      <c r="B482"/>
      <c r="C482"/>
      <c r="D482"/>
      <c r="E482"/>
      <c r="F482"/>
      <c r="G482"/>
      <c r="H482"/>
      <c r="I482"/>
      <c r="J482"/>
      <c r="K482"/>
    </row>
    <row r="483" spans="1:11" x14ac:dyDescent="0.35">
      <c r="A483"/>
      <c r="B483"/>
      <c r="C483"/>
      <c r="D483"/>
      <c r="E483"/>
      <c r="F483"/>
      <c r="G483"/>
      <c r="H483"/>
      <c r="I483"/>
      <c r="J483"/>
      <c r="K483"/>
    </row>
    <row r="484" spans="1:11" x14ac:dyDescent="0.35">
      <c r="A484"/>
      <c r="B484"/>
      <c r="C484"/>
      <c r="D484"/>
      <c r="E484"/>
      <c r="F484"/>
      <c r="G484"/>
      <c r="H484"/>
      <c r="I484"/>
      <c r="J484"/>
      <c r="K484"/>
    </row>
    <row r="485" spans="1:11" x14ac:dyDescent="0.35">
      <c r="A485"/>
      <c r="B485"/>
      <c r="C485"/>
      <c r="D485"/>
      <c r="E485"/>
      <c r="F485"/>
      <c r="G485"/>
      <c r="H485"/>
      <c r="I485"/>
      <c r="J485"/>
      <c r="K485"/>
    </row>
    <row r="486" spans="1:11" x14ac:dyDescent="0.35">
      <c r="A486"/>
      <c r="B486"/>
      <c r="C486"/>
      <c r="D486"/>
      <c r="E486"/>
      <c r="F486"/>
      <c r="G486"/>
      <c r="H486"/>
      <c r="I486"/>
      <c r="J486"/>
      <c r="K486"/>
    </row>
    <row r="487" spans="1:11" x14ac:dyDescent="0.35">
      <c r="A487"/>
      <c r="B487"/>
      <c r="C487"/>
      <c r="D487"/>
      <c r="E487"/>
      <c r="F487"/>
      <c r="G487"/>
      <c r="H487"/>
      <c r="I487"/>
      <c r="J487"/>
      <c r="K487"/>
    </row>
    <row r="488" spans="1:11" x14ac:dyDescent="0.35">
      <c r="A488"/>
      <c r="B488"/>
      <c r="C488"/>
      <c r="D488"/>
      <c r="E488"/>
      <c r="F488"/>
      <c r="G488"/>
      <c r="H488"/>
      <c r="I488"/>
      <c r="J488"/>
      <c r="K488"/>
    </row>
    <row r="489" spans="1:11" x14ac:dyDescent="0.35">
      <c r="A489"/>
      <c r="B489"/>
      <c r="C489"/>
      <c r="D489"/>
      <c r="E489"/>
      <c r="F489"/>
      <c r="G489"/>
      <c r="H489"/>
      <c r="I489"/>
      <c r="J489"/>
      <c r="K489"/>
    </row>
    <row r="490" spans="1:11" x14ac:dyDescent="0.35">
      <c r="A490"/>
      <c r="B490"/>
      <c r="C490"/>
      <c r="D490"/>
      <c r="E490"/>
      <c r="F490"/>
      <c r="G490"/>
      <c r="H490"/>
      <c r="I490"/>
      <c r="J490"/>
      <c r="K490"/>
    </row>
    <row r="491" spans="1:11" x14ac:dyDescent="0.35">
      <c r="A491"/>
      <c r="B491"/>
      <c r="C491"/>
      <c r="D491"/>
      <c r="E491"/>
      <c r="F491"/>
      <c r="G491"/>
      <c r="H491"/>
      <c r="I491"/>
      <c r="J491"/>
      <c r="K491"/>
    </row>
    <row r="492" spans="1:11" x14ac:dyDescent="0.35">
      <c r="A492"/>
      <c r="B492"/>
      <c r="C492"/>
      <c r="D492"/>
      <c r="E492"/>
      <c r="F492"/>
      <c r="G492"/>
      <c r="H492"/>
      <c r="I492"/>
      <c r="J492"/>
      <c r="K492"/>
    </row>
    <row r="493" spans="1:11" x14ac:dyDescent="0.35">
      <c r="A493"/>
      <c r="B493"/>
      <c r="C493"/>
      <c r="D493"/>
      <c r="E493"/>
      <c r="F493"/>
      <c r="G493"/>
      <c r="H493"/>
      <c r="I493"/>
      <c r="J493"/>
      <c r="K493"/>
    </row>
    <row r="494" spans="1:11" x14ac:dyDescent="0.35">
      <c r="A494"/>
      <c r="B494"/>
      <c r="C494"/>
      <c r="D494"/>
      <c r="E494"/>
      <c r="F494"/>
      <c r="G494"/>
      <c r="H494"/>
      <c r="I494"/>
      <c r="J494"/>
      <c r="K494"/>
    </row>
    <row r="495" spans="1:11" x14ac:dyDescent="0.35">
      <c r="A495"/>
      <c r="B495"/>
      <c r="C495"/>
      <c r="D495"/>
      <c r="E495"/>
      <c r="F495"/>
      <c r="G495"/>
      <c r="H495"/>
      <c r="I495"/>
      <c r="J495"/>
      <c r="K495"/>
    </row>
    <row r="496" spans="1:11" x14ac:dyDescent="0.35">
      <c r="A496"/>
      <c r="B496"/>
      <c r="C496"/>
      <c r="D496"/>
      <c r="E496"/>
      <c r="F496"/>
      <c r="G496"/>
      <c r="H496"/>
      <c r="I496"/>
      <c r="J496"/>
      <c r="K496"/>
    </row>
    <row r="497" spans="1:11" x14ac:dyDescent="0.35">
      <c r="A497"/>
      <c r="B497"/>
      <c r="C497"/>
      <c r="D497"/>
      <c r="E497"/>
      <c r="F497"/>
      <c r="G497"/>
      <c r="H497"/>
      <c r="I497"/>
      <c r="J497"/>
      <c r="K497"/>
    </row>
    <row r="498" spans="1:11" x14ac:dyDescent="0.35">
      <c r="A498"/>
      <c r="B498"/>
      <c r="C498"/>
      <c r="D498"/>
      <c r="E498"/>
      <c r="F498"/>
      <c r="G498"/>
      <c r="H498"/>
      <c r="I498"/>
      <c r="J498"/>
      <c r="K498"/>
    </row>
    <row r="499" spans="1:11" x14ac:dyDescent="0.35">
      <c r="A499"/>
      <c r="B499"/>
      <c r="C499"/>
      <c r="D499"/>
      <c r="E499"/>
      <c r="F499"/>
      <c r="G499"/>
      <c r="H499"/>
      <c r="I499"/>
      <c r="J499"/>
      <c r="K499"/>
    </row>
    <row r="500" spans="1:11" x14ac:dyDescent="0.35">
      <c r="A500"/>
      <c r="B500"/>
      <c r="C500"/>
      <c r="D500"/>
      <c r="E500"/>
      <c r="F500"/>
      <c r="G500"/>
      <c r="H500"/>
      <c r="I500"/>
      <c r="J500"/>
      <c r="K500"/>
    </row>
    <row r="501" spans="1:11" x14ac:dyDescent="0.35">
      <c r="A501"/>
      <c r="B501"/>
      <c r="C501"/>
      <c r="D501"/>
      <c r="E501"/>
      <c r="F501"/>
      <c r="G501"/>
      <c r="H501"/>
      <c r="I501"/>
      <c r="J501"/>
      <c r="K501"/>
    </row>
    <row r="502" spans="1:11" x14ac:dyDescent="0.35">
      <c r="A502"/>
      <c r="B502"/>
      <c r="C502"/>
      <c r="D502"/>
      <c r="E502"/>
      <c r="F502"/>
      <c r="G502"/>
      <c r="H502"/>
      <c r="I502"/>
      <c r="J502"/>
      <c r="K502"/>
    </row>
    <row r="503" spans="1:11" x14ac:dyDescent="0.35">
      <c r="A503"/>
      <c r="B503"/>
      <c r="C503"/>
      <c r="D503"/>
      <c r="E503"/>
      <c r="F503"/>
      <c r="G503"/>
      <c r="H503"/>
      <c r="I503"/>
      <c r="J503"/>
      <c r="K503"/>
    </row>
    <row r="504" spans="1:11" x14ac:dyDescent="0.35">
      <c r="A504"/>
      <c r="B504"/>
      <c r="C504"/>
      <c r="D504"/>
      <c r="E504"/>
      <c r="F504"/>
      <c r="G504"/>
      <c r="H504"/>
      <c r="I504"/>
      <c r="J504"/>
      <c r="K504"/>
    </row>
    <row r="505" spans="1:11" x14ac:dyDescent="0.35">
      <c r="A505"/>
      <c r="B505"/>
      <c r="C505"/>
      <c r="D505"/>
      <c r="E505"/>
      <c r="F505"/>
      <c r="G505"/>
      <c r="H505"/>
      <c r="I505"/>
      <c r="J505"/>
      <c r="K505"/>
    </row>
    <row r="506" spans="1:11" x14ac:dyDescent="0.35">
      <c r="A506"/>
      <c r="B506"/>
      <c r="C506"/>
      <c r="D506"/>
      <c r="E506"/>
      <c r="F506"/>
      <c r="G506"/>
      <c r="H506"/>
      <c r="I506"/>
      <c r="J506"/>
      <c r="K506"/>
    </row>
    <row r="507" spans="1:11" x14ac:dyDescent="0.35">
      <c r="A507"/>
      <c r="B507"/>
      <c r="C507"/>
      <c r="D507"/>
      <c r="E507"/>
      <c r="F507"/>
      <c r="G507"/>
      <c r="H507"/>
      <c r="I507"/>
      <c r="J507"/>
      <c r="K507"/>
    </row>
    <row r="508" spans="1:11" x14ac:dyDescent="0.35">
      <c r="A508"/>
      <c r="B508"/>
      <c r="C508"/>
      <c r="D508"/>
      <c r="E508"/>
      <c r="F508"/>
      <c r="G508"/>
      <c r="H508"/>
      <c r="I508"/>
      <c r="J508"/>
      <c r="K508"/>
    </row>
    <row r="509" spans="1:11" x14ac:dyDescent="0.35">
      <c r="A509"/>
      <c r="B509"/>
      <c r="C509"/>
      <c r="D509"/>
      <c r="E509"/>
      <c r="F509"/>
      <c r="G509"/>
      <c r="H509"/>
      <c r="I509"/>
      <c r="J509"/>
      <c r="K509"/>
    </row>
    <row r="510" spans="1:11" x14ac:dyDescent="0.35">
      <c r="A510"/>
      <c r="B510"/>
      <c r="C510"/>
      <c r="D510"/>
      <c r="E510"/>
      <c r="F510"/>
      <c r="G510"/>
      <c r="H510"/>
      <c r="I510"/>
      <c r="J510"/>
      <c r="K510"/>
    </row>
    <row r="511" spans="1:11" x14ac:dyDescent="0.35">
      <c r="A511"/>
      <c r="B511"/>
      <c r="C511"/>
      <c r="D511"/>
      <c r="E511"/>
      <c r="F511"/>
      <c r="G511"/>
      <c r="H511"/>
      <c r="I511"/>
      <c r="J511"/>
      <c r="K511"/>
    </row>
    <row r="512" spans="1:11" x14ac:dyDescent="0.35">
      <c r="A512"/>
      <c r="B512"/>
      <c r="C512"/>
      <c r="D512"/>
      <c r="E512"/>
      <c r="F512"/>
      <c r="G512"/>
      <c r="H512"/>
      <c r="I512"/>
      <c r="J512"/>
      <c r="K512"/>
    </row>
    <row r="513" spans="1:11" x14ac:dyDescent="0.35">
      <c r="A513"/>
      <c r="B513"/>
      <c r="C513"/>
      <c r="D513"/>
      <c r="E513"/>
      <c r="F513"/>
      <c r="G513"/>
      <c r="H513"/>
      <c r="I513"/>
      <c r="J513"/>
      <c r="K513"/>
    </row>
    <row r="514" spans="1:11" x14ac:dyDescent="0.35">
      <c r="A514"/>
      <c r="B514"/>
      <c r="C514"/>
      <c r="D514"/>
      <c r="E514"/>
      <c r="F514"/>
      <c r="G514"/>
      <c r="H514"/>
      <c r="I514"/>
      <c r="J514"/>
      <c r="K514"/>
    </row>
    <row r="515" spans="1:11" x14ac:dyDescent="0.35">
      <c r="A515"/>
      <c r="B515"/>
      <c r="C515"/>
      <c r="D515"/>
      <c r="E515"/>
      <c r="F515"/>
      <c r="G515"/>
      <c r="H515"/>
      <c r="I515"/>
      <c r="J515"/>
      <c r="K515"/>
    </row>
    <row r="516" spans="1:11" x14ac:dyDescent="0.35">
      <c r="A516"/>
      <c r="B516"/>
      <c r="C516"/>
      <c r="D516"/>
      <c r="E516"/>
      <c r="F516"/>
      <c r="G516"/>
      <c r="H516"/>
      <c r="I516"/>
      <c r="J516"/>
      <c r="K516"/>
    </row>
    <row r="517" spans="1:11" x14ac:dyDescent="0.35">
      <c r="A517"/>
      <c r="B517"/>
      <c r="C517"/>
      <c r="D517"/>
      <c r="E517"/>
      <c r="F517"/>
      <c r="G517"/>
      <c r="H517"/>
      <c r="I517"/>
      <c r="J517"/>
      <c r="K517"/>
    </row>
    <row r="518" spans="1:11" x14ac:dyDescent="0.35">
      <c r="A518"/>
      <c r="B518"/>
      <c r="C518"/>
      <c r="D518"/>
      <c r="E518"/>
      <c r="F518"/>
      <c r="G518"/>
      <c r="H518"/>
      <c r="I518"/>
      <c r="J518"/>
      <c r="K518"/>
    </row>
    <row r="519" spans="1:11" x14ac:dyDescent="0.35">
      <c r="A519"/>
      <c r="B519"/>
      <c r="C519"/>
      <c r="D519"/>
      <c r="E519"/>
      <c r="F519"/>
      <c r="G519"/>
      <c r="H519"/>
      <c r="I519"/>
      <c r="J519"/>
      <c r="K519"/>
    </row>
    <row r="520" spans="1:11" x14ac:dyDescent="0.35">
      <c r="A520"/>
      <c r="B520"/>
      <c r="C520"/>
      <c r="D520"/>
      <c r="E520"/>
      <c r="F520"/>
      <c r="G520"/>
      <c r="H520"/>
      <c r="I520"/>
      <c r="J520"/>
      <c r="K520"/>
    </row>
    <row r="521" spans="1:11" x14ac:dyDescent="0.35">
      <c r="A521"/>
      <c r="B521"/>
      <c r="C521"/>
      <c r="D521"/>
      <c r="E521"/>
      <c r="F521"/>
      <c r="G521"/>
      <c r="H521"/>
      <c r="I521"/>
      <c r="J521"/>
      <c r="K521"/>
    </row>
    <row r="522" spans="1:11" x14ac:dyDescent="0.35">
      <c r="A522"/>
      <c r="B522"/>
      <c r="C522"/>
      <c r="D522"/>
      <c r="E522"/>
      <c r="F522"/>
      <c r="G522"/>
      <c r="H522"/>
      <c r="I522"/>
      <c r="J522"/>
      <c r="K522"/>
    </row>
    <row r="523" spans="1:11" x14ac:dyDescent="0.35">
      <c r="A523"/>
      <c r="B523"/>
      <c r="C523"/>
      <c r="D523"/>
      <c r="E523"/>
      <c r="F523"/>
      <c r="G523"/>
      <c r="H523"/>
      <c r="I523"/>
      <c r="J523"/>
      <c r="K523"/>
    </row>
    <row r="524" spans="1:11" x14ac:dyDescent="0.35">
      <c r="A524"/>
      <c r="B524"/>
      <c r="C524"/>
      <c r="D524"/>
      <c r="E524"/>
      <c r="F524"/>
      <c r="G524"/>
      <c r="H524"/>
      <c r="I524"/>
      <c r="J524"/>
      <c r="K524"/>
    </row>
    <row r="525" spans="1:11" x14ac:dyDescent="0.35">
      <c r="A525"/>
      <c r="B525"/>
      <c r="C525"/>
      <c r="D525"/>
      <c r="E525"/>
      <c r="F525"/>
      <c r="G525"/>
      <c r="H525"/>
      <c r="I525"/>
      <c r="J525"/>
      <c r="K525"/>
    </row>
    <row r="526" spans="1:11" x14ac:dyDescent="0.35">
      <c r="A526"/>
      <c r="B526"/>
      <c r="C526"/>
      <c r="D526"/>
      <c r="E526"/>
      <c r="F526"/>
      <c r="G526"/>
      <c r="H526"/>
      <c r="I526"/>
      <c r="J526"/>
      <c r="K526"/>
    </row>
    <row r="527" spans="1:11" x14ac:dyDescent="0.35">
      <c r="A527"/>
      <c r="B527"/>
      <c r="C527"/>
      <c r="D527"/>
      <c r="E527"/>
      <c r="F527"/>
      <c r="G527"/>
      <c r="H527"/>
      <c r="I527"/>
      <c r="J527"/>
      <c r="K527" s="246" t="s">
        <v>971</v>
      </c>
    </row>
    <row r="528" spans="1:11" x14ac:dyDescent="0.35">
      <c r="A528"/>
      <c r="B528"/>
      <c r="C528"/>
      <c r="D528"/>
      <c r="E528"/>
      <c r="F528"/>
      <c r="G528"/>
      <c r="H528"/>
      <c r="I528"/>
      <c r="J528"/>
      <c r="K528"/>
    </row>
    <row r="529" spans="1:11" x14ac:dyDescent="0.35">
      <c r="A529"/>
      <c r="B529"/>
      <c r="C529"/>
      <c r="D529"/>
      <c r="E529"/>
      <c r="F529"/>
      <c r="G529"/>
      <c r="H529"/>
      <c r="I529"/>
      <c r="J529"/>
      <c r="K529"/>
    </row>
    <row r="530" spans="1:11" x14ac:dyDescent="0.35">
      <c r="A530"/>
      <c r="B530"/>
      <c r="C530"/>
      <c r="D530"/>
      <c r="E530"/>
      <c r="F530"/>
      <c r="G530"/>
      <c r="H530"/>
      <c r="I530"/>
      <c r="J530"/>
      <c r="K530"/>
    </row>
    <row r="531" spans="1:11" x14ac:dyDescent="0.35">
      <c r="A531"/>
      <c r="B531"/>
      <c r="C531"/>
      <c r="D531"/>
      <c r="E531"/>
      <c r="F531"/>
      <c r="G531"/>
      <c r="H531"/>
      <c r="I531"/>
      <c r="J531"/>
      <c r="K531"/>
    </row>
    <row r="532" spans="1:11" x14ac:dyDescent="0.35">
      <c r="A532"/>
      <c r="B532"/>
      <c r="C532"/>
      <c r="D532"/>
      <c r="E532"/>
      <c r="F532"/>
      <c r="G532"/>
      <c r="H532"/>
      <c r="I532"/>
      <c r="J532"/>
      <c r="K532"/>
    </row>
    <row r="533" spans="1:11" x14ac:dyDescent="0.35">
      <c r="A533"/>
      <c r="B533"/>
      <c r="C533"/>
      <c r="D533"/>
      <c r="E533"/>
      <c r="F533"/>
      <c r="G533"/>
      <c r="H533"/>
      <c r="I533"/>
      <c r="J533"/>
      <c r="K533"/>
    </row>
    <row r="534" spans="1:11" x14ac:dyDescent="0.35">
      <c r="A534"/>
      <c r="B534"/>
      <c r="C534"/>
      <c r="D534"/>
      <c r="E534"/>
      <c r="F534"/>
      <c r="G534"/>
      <c r="H534"/>
      <c r="I534"/>
      <c r="J534"/>
      <c r="K534"/>
    </row>
    <row r="535" spans="1:11" x14ac:dyDescent="0.35">
      <c r="A535"/>
      <c r="B535"/>
      <c r="C535"/>
      <c r="D535"/>
      <c r="E535"/>
      <c r="F535"/>
      <c r="G535"/>
      <c r="H535"/>
      <c r="I535"/>
      <c r="J535"/>
      <c r="K535"/>
    </row>
    <row r="536" spans="1:11" x14ac:dyDescent="0.35">
      <c r="A536"/>
      <c r="B536"/>
      <c r="C536"/>
      <c r="D536"/>
      <c r="E536"/>
      <c r="F536"/>
      <c r="G536"/>
      <c r="H536"/>
      <c r="I536"/>
      <c r="J536"/>
      <c r="K536"/>
    </row>
    <row r="537" spans="1:11" x14ac:dyDescent="0.35">
      <c r="A537"/>
      <c r="B537"/>
      <c r="C537"/>
      <c r="D537"/>
      <c r="E537"/>
      <c r="F537"/>
      <c r="G537"/>
      <c r="H537"/>
      <c r="I537"/>
      <c r="J537"/>
      <c r="K537"/>
    </row>
    <row r="538" spans="1:11" x14ac:dyDescent="0.35">
      <c r="A538"/>
      <c r="B538"/>
      <c r="C538"/>
      <c r="D538"/>
      <c r="E538"/>
      <c r="F538"/>
      <c r="G538"/>
      <c r="H538"/>
      <c r="I538"/>
      <c r="J538"/>
      <c r="K538"/>
    </row>
    <row r="539" spans="1:11" x14ac:dyDescent="0.35">
      <c r="A539"/>
      <c r="B539"/>
      <c r="C539"/>
      <c r="D539"/>
      <c r="E539"/>
      <c r="F539"/>
      <c r="G539"/>
      <c r="H539"/>
      <c r="I539"/>
      <c r="J539"/>
      <c r="K539" s="246" t="s">
        <v>972</v>
      </c>
    </row>
    <row r="540" spans="1:11" x14ac:dyDescent="0.35">
      <c r="A540"/>
      <c r="B540"/>
      <c r="C540"/>
      <c r="D540"/>
      <c r="E540"/>
      <c r="F540"/>
      <c r="G540"/>
      <c r="H540"/>
      <c r="I540"/>
      <c r="J540"/>
      <c r="K540"/>
    </row>
    <row r="541" spans="1:11" x14ac:dyDescent="0.35">
      <c r="A541"/>
      <c r="B541"/>
      <c r="C541"/>
      <c r="D541"/>
      <c r="E541"/>
      <c r="F541"/>
      <c r="G541"/>
      <c r="H541"/>
      <c r="I541"/>
      <c r="J541"/>
      <c r="K541"/>
    </row>
    <row r="542" spans="1:11" x14ac:dyDescent="0.35">
      <c r="A542"/>
      <c r="B542"/>
      <c r="C542"/>
      <c r="D542"/>
      <c r="E542"/>
      <c r="F542"/>
      <c r="G542"/>
      <c r="H542"/>
      <c r="I542"/>
      <c r="J542"/>
      <c r="K542"/>
    </row>
    <row r="543" spans="1:11" x14ac:dyDescent="0.35">
      <c r="A543"/>
      <c r="B543"/>
      <c r="C543"/>
      <c r="D543"/>
      <c r="E543"/>
      <c r="F543"/>
      <c r="G543"/>
      <c r="H543"/>
      <c r="I543"/>
      <c r="J543"/>
      <c r="K543"/>
    </row>
    <row r="544" spans="1:11" x14ac:dyDescent="0.35">
      <c r="A544"/>
      <c r="B544"/>
      <c r="C544"/>
      <c r="D544"/>
      <c r="E544"/>
      <c r="F544"/>
      <c r="G544"/>
      <c r="H544"/>
      <c r="I544"/>
      <c r="J544"/>
      <c r="K544"/>
    </row>
    <row r="545" spans="1:11" x14ac:dyDescent="0.35">
      <c r="A545"/>
      <c r="B545"/>
      <c r="C545"/>
      <c r="D545"/>
      <c r="E545"/>
      <c r="F545"/>
      <c r="G545"/>
      <c r="H545"/>
      <c r="I545"/>
      <c r="J545"/>
      <c r="K545"/>
    </row>
    <row r="546" spans="1:11" x14ac:dyDescent="0.35">
      <c r="A546"/>
      <c r="B546"/>
      <c r="C546"/>
      <c r="D546"/>
      <c r="E546"/>
      <c r="F546"/>
      <c r="G546"/>
      <c r="H546"/>
      <c r="I546"/>
      <c r="J546"/>
      <c r="K546"/>
    </row>
    <row r="547" spans="1:11" x14ac:dyDescent="0.35">
      <c r="A547"/>
      <c r="B547"/>
      <c r="C547"/>
      <c r="D547"/>
      <c r="E547"/>
      <c r="F547"/>
      <c r="G547"/>
      <c r="H547"/>
      <c r="I547"/>
      <c r="J547"/>
      <c r="K547"/>
    </row>
    <row r="548" spans="1:11" x14ac:dyDescent="0.35">
      <c r="A548"/>
      <c r="B548"/>
      <c r="C548"/>
      <c r="D548"/>
      <c r="E548"/>
      <c r="F548"/>
      <c r="G548"/>
      <c r="H548"/>
      <c r="I548"/>
      <c r="J548"/>
      <c r="K548"/>
    </row>
    <row r="549" spans="1:11" x14ac:dyDescent="0.35">
      <c r="A549"/>
      <c r="B549"/>
      <c r="C549"/>
      <c r="D549"/>
      <c r="E549"/>
      <c r="F549"/>
      <c r="G549"/>
      <c r="H549"/>
      <c r="I549"/>
      <c r="J549"/>
      <c r="K549"/>
    </row>
    <row r="550" spans="1:11" x14ac:dyDescent="0.35">
      <c r="A550"/>
      <c r="B550"/>
      <c r="C550"/>
      <c r="D550"/>
      <c r="E550"/>
      <c r="F550"/>
      <c r="G550"/>
      <c r="H550"/>
      <c r="I550"/>
      <c r="J550"/>
      <c r="K550"/>
    </row>
    <row r="551" spans="1:11" x14ac:dyDescent="0.35">
      <c r="A551"/>
      <c r="B551"/>
      <c r="C551"/>
      <c r="D551"/>
      <c r="E551"/>
      <c r="F551"/>
      <c r="G551"/>
      <c r="H551"/>
      <c r="I551"/>
      <c r="J551"/>
      <c r="K551"/>
    </row>
    <row r="552" spans="1:11" x14ac:dyDescent="0.35">
      <c r="A552"/>
      <c r="B552"/>
      <c r="C552"/>
      <c r="D552"/>
      <c r="E552"/>
      <c r="F552"/>
      <c r="G552"/>
      <c r="H552"/>
      <c r="I552"/>
      <c r="J552"/>
      <c r="K552"/>
    </row>
    <row r="553" spans="1:11" x14ac:dyDescent="0.35">
      <c r="A553"/>
      <c r="B553"/>
      <c r="C553"/>
      <c r="D553"/>
      <c r="E553"/>
      <c r="F553"/>
      <c r="G553"/>
      <c r="H553"/>
      <c r="I553"/>
      <c r="J553"/>
      <c r="K553"/>
    </row>
    <row r="554" spans="1:11" x14ac:dyDescent="0.35">
      <c r="A554"/>
      <c r="B554"/>
      <c r="C554"/>
      <c r="D554"/>
      <c r="E554"/>
      <c r="F554"/>
      <c r="G554"/>
      <c r="H554"/>
      <c r="I554"/>
      <c r="J554"/>
      <c r="K554"/>
    </row>
    <row r="555" spans="1:11" x14ac:dyDescent="0.35">
      <c r="A555"/>
      <c r="B555"/>
      <c r="C555"/>
      <c r="D555"/>
      <c r="E555"/>
      <c r="F555"/>
      <c r="G555"/>
      <c r="H555"/>
      <c r="I555"/>
      <c r="J555"/>
      <c r="K555"/>
    </row>
    <row r="556" spans="1:11" x14ac:dyDescent="0.35">
      <c r="A556"/>
      <c r="B556"/>
      <c r="C556"/>
      <c r="D556"/>
      <c r="E556"/>
      <c r="F556"/>
      <c r="G556"/>
      <c r="H556"/>
      <c r="I556"/>
      <c r="J556"/>
      <c r="K556"/>
    </row>
    <row r="557" spans="1:11" x14ac:dyDescent="0.35">
      <c r="A557"/>
      <c r="B557"/>
      <c r="C557"/>
      <c r="D557"/>
      <c r="E557"/>
      <c r="F557"/>
      <c r="G557"/>
      <c r="H557"/>
      <c r="I557"/>
      <c r="J557"/>
      <c r="K557"/>
    </row>
    <row r="558" spans="1:11" x14ac:dyDescent="0.35">
      <c r="A558"/>
      <c r="B558"/>
      <c r="C558"/>
      <c r="D558"/>
      <c r="E558"/>
      <c r="F558"/>
      <c r="G558"/>
      <c r="H558"/>
      <c r="I558"/>
      <c r="J558"/>
      <c r="K558"/>
    </row>
    <row r="559" spans="1:11" x14ac:dyDescent="0.35">
      <c r="A559"/>
      <c r="B559"/>
      <c r="C559"/>
      <c r="D559"/>
      <c r="E559"/>
      <c r="F559"/>
      <c r="G559"/>
      <c r="H559"/>
      <c r="I559"/>
      <c r="J559"/>
      <c r="K559"/>
    </row>
    <row r="560" spans="1:11" x14ac:dyDescent="0.35">
      <c r="A560"/>
      <c r="B560"/>
      <c r="C560"/>
      <c r="D560"/>
      <c r="E560"/>
      <c r="F560"/>
      <c r="G560"/>
      <c r="H560"/>
      <c r="I560"/>
      <c r="J560"/>
      <c r="K560"/>
    </row>
    <row r="561" spans="1:11" x14ac:dyDescent="0.35">
      <c r="A561"/>
      <c r="B561"/>
      <c r="C561"/>
      <c r="D561"/>
      <c r="E561"/>
      <c r="F561"/>
      <c r="G561"/>
      <c r="H561"/>
      <c r="I561"/>
      <c r="J561"/>
      <c r="K561"/>
    </row>
    <row r="562" spans="1:11" x14ac:dyDescent="0.35">
      <c r="A562"/>
      <c r="B562"/>
      <c r="C562"/>
      <c r="D562"/>
      <c r="E562"/>
      <c r="F562"/>
      <c r="G562"/>
      <c r="H562"/>
      <c r="I562"/>
      <c r="J562"/>
      <c r="K562"/>
    </row>
    <row r="563" spans="1:11" x14ac:dyDescent="0.35">
      <c r="A563"/>
      <c r="B563"/>
      <c r="C563"/>
      <c r="D563"/>
      <c r="E563"/>
      <c r="F563"/>
      <c r="G563"/>
      <c r="H563"/>
      <c r="I563"/>
      <c r="J563"/>
      <c r="K563"/>
    </row>
    <row r="564" spans="1:11" x14ac:dyDescent="0.35">
      <c r="A564"/>
      <c r="B564"/>
      <c r="C564"/>
      <c r="D564"/>
      <c r="E564"/>
      <c r="F564"/>
      <c r="G564"/>
      <c r="H564"/>
      <c r="I564"/>
      <c r="J564"/>
      <c r="K564"/>
    </row>
    <row r="565" spans="1:11" x14ac:dyDescent="0.35">
      <c r="A565"/>
      <c r="B565"/>
      <c r="C565"/>
      <c r="D565"/>
      <c r="E565"/>
      <c r="F565"/>
      <c r="G565"/>
      <c r="H565"/>
      <c r="I565"/>
      <c r="J565"/>
      <c r="K565"/>
    </row>
    <row r="566" spans="1:11" x14ac:dyDescent="0.35">
      <c r="A566"/>
      <c r="B566"/>
      <c r="C566"/>
      <c r="D566"/>
      <c r="E566"/>
      <c r="F566"/>
      <c r="G566"/>
      <c r="H566"/>
      <c r="I566"/>
      <c r="J566"/>
      <c r="K566"/>
    </row>
    <row r="567" spans="1:11" x14ac:dyDescent="0.35">
      <c r="A567"/>
      <c r="B567"/>
      <c r="C567"/>
      <c r="D567"/>
      <c r="E567"/>
      <c r="F567"/>
      <c r="G567"/>
      <c r="H567"/>
      <c r="I567"/>
      <c r="J567"/>
      <c r="K567"/>
    </row>
    <row r="568" spans="1:11" x14ac:dyDescent="0.35">
      <c r="A568"/>
      <c r="B568"/>
      <c r="C568"/>
      <c r="D568"/>
      <c r="E568"/>
      <c r="F568"/>
      <c r="G568"/>
      <c r="H568"/>
      <c r="I568"/>
      <c r="J568"/>
      <c r="K568"/>
    </row>
    <row r="569" spans="1:11" x14ac:dyDescent="0.35">
      <c r="A569"/>
      <c r="B569"/>
      <c r="C569"/>
      <c r="D569"/>
      <c r="E569"/>
      <c r="F569"/>
      <c r="G569"/>
      <c r="H569"/>
      <c r="I569"/>
      <c r="J569"/>
      <c r="K569"/>
    </row>
    <row r="570" spans="1:11" x14ac:dyDescent="0.35">
      <c r="A570"/>
      <c r="B570"/>
      <c r="C570"/>
      <c r="D570"/>
      <c r="E570"/>
      <c r="F570"/>
      <c r="G570"/>
      <c r="H570"/>
      <c r="I570"/>
      <c r="J570"/>
      <c r="K570"/>
    </row>
    <row r="571" spans="1:11" x14ac:dyDescent="0.35">
      <c r="A571"/>
      <c r="B571"/>
      <c r="C571"/>
      <c r="D571"/>
      <c r="E571"/>
      <c r="F571"/>
      <c r="G571"/>
      <c r="H571"/>
      <c r="I571"/>
      <c r="J571"/>
      <c r="K571"/>
    </row>
    <row r="572" spans="1:11" x14ac:dyDescent="0.35">
      <c r="A572"/>
      <c r="B572"/>
      <c r="C572"/>
      <c r="D572"/>
      <c r="E572"/>
      <c r="F572"/>
      <c r="G572"/>
      <c r="H572"/>
      <c r="I572"/>
      <c r="J572"/>
      <c r="K572"/>
    </row>
    <row r="573" spans="1:11" x14ac:dyDescent="0.35">
      <c r="A573"/>
      <c r="B573"/>
      <c r="C573"/>
      <c r="D573"/>
      <c r="E573"/>
      <c r="F573"/>
      <c r="G573"/>
      <c r="H573"/>
      <c r="I573"/>
      <c r="J573"/>
      <c r="K573"/>
    </row>
  </sheetData>
  <autoFilter ref="A2:O573" xr:uid="{00000000-0009-0000-0000-00000B000000}"/>
  <pageMargins left="0.7" right="0.7" top="0.75" bottom="0.75" header="0.3" footer="0.3"/>
  <pageSetup orientation="portrait"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Q34"/>
  <sheetViews>
    <sheetView workbookViewId="0">
      <selection activeCell="A16" sqref="A16"/>
    </sheetView>
  </sheetViews>
  <sheetFormatPr defaultRowHeight="14.5" x14ac:dyDescent="0.35"/>
  <cols>
    <col min="1" max="1" width="56.7265625" customWidth="1"/>
    <col min="2" max="2" width="32.81640625" customWidth="1"/>
    <col min="3" max="3" width="21.26953125" customWidth="1"/>
    <col min="4" max="4" width="21.1796875" customWidth="1"/>
    <col min="5" max="6" width="11.81640625" customWidth="1"/>
    <col min="7" max="7" width="20.54296875" customWidth="1"/>
    <col min="8" max="8" width="20.1796875" customWidth="1"/>
    <col min="9" max="9" width="20.453125" customWidth="1"/>
    <col min="10" max="10" width="20.26953125" customWidth="1"/>
    <col min="11" max="11" width="21.453125" style="183" customWidth="1"/>
    <col min="12" max="12" width="21.453125" customWidth="1"/>
    <col min="13" max="13" width="21.54296875" customWidth="1"/>
    <col min="14" max="14" width="12.54296875" customWidth="1"/>
    <col min="15" max="15" width="13.54296875" customWidth="1"/>
    <col min="16" max="16" width="27.1796875" customWidth="1"/>
    <col min="17" max="17" width="27.1796875" bestFit="1" customWidth="1"/>
  </cols>
  <sheetData>
    <row r="2" spans="1:11" s="213" customFormat="1" x14ac:dyDescent="0.35">
      <c r="A2" s="213" t="str">
        <f>A24</f>
        <v>Hardware &amp; peripherals-Peripherals &amp; Infrastructure Components</v>
      </c>
      <c r="C2" s="213">
        <f>GETPIVOTDATA(" Revised Budget - Sep 22",$A$3)</f>
        <v>110301000</v>
      </c>
      <c r="D2" s="213">
        <f>GETPIVOTDATA(" Actual Amount - Sep 22",$A$3)</f>
        <v>50359218.649999991</v>
      </c>
      <c r="E2" s="213">
        <f>GETPIVOTDATA(" PR - Sep 22",$A$3)</f>
        <v>21828883.390000001</v>
      </c>
      <c r="F2" s="213">
        <f>GETPIVOTDATA(" PO - Sep 22",$A$3)</f>
        <v>33125415.850000001</v>
      </c>
      <c r="G2" s="213">
        <f>GETPIVOTDATA(" Fund Available - Sep 22",$A$3)</f>
        <v>4987482.1100000031</v>
      </c>
      <c r="H2" s="213">
        <f>GETPIVOTDATA(" Oct-22 Utilization Plan",$A$3)</f>
        <v>60000</v>
      </c>
      <c r="I2" s="213">
        <f>GETPIVOTDATA(" Nov-22 Utilization Plan",$A$3)</f>
        <v>0</v>
      </c>
      <c r="J2" s="213">
        <f>GETPIVOTDATA(" Dec-22 Utilization Plan",$A$3)</f>
        <v>0</v>
      </c>
      <c r="K2" s="213">
        <f>GETPIVOTDATA(" Budget Surplus Amount",$A$3)</f>
        <v>4927482.1100000031</v>
      </c>
    </row>
    <row r="3" spans="1:11" x14ac:dyDescent="0.35">
      <c r="A3" s="178" t="s">
        <v>5</v>
      </c>
      <c r="B3" s="178" t="s">
        <v>960</v>
      </c>
      <c r="C3" t="s">
        <v>931</v>
      </c>
      <c r="D3" t="s">
        <v>932</v>
      </c>
      <c r="E3" t="s">
        <v>933</v>
      </c>
      <c r="F3" t="s">
        <v>934</v>
      </c>
      <c r="G3" t="s">
        <v>935</v>
      </c>
      <c r="H3" t="s">
        <v>895</v>
      </c>
      <c r="I3" t="s">
        <v>896</v>
      </c>
      <c r="J3" t="s">
        <v>897</v>
      </c>
      <c r="K3" t="s">
        <v>961</v>
      </c>
    </row>
    <row r="4" spans="1:11" x14ac:dyDescent="0.35">
      <c r="A4" t="s">
        <v>682</v>
      </c>
      <c r="C4" s="252">
        <v>49924833</v>
      </c>
      <c r="D4" s="252">
        <v>24798953.279999997</v>
      </c>
      <c r="E4" s="252">
        <v>7066819.5</v>
      </c>
      <c r="F4" s="252">
        <v>17976623.400000002</v>
      </c>
      <c r="G4" s="252">
        <v>82436.820000000414</v>
      </c>
      <c r="H4" s="252"/>
      <c r="I4" s="252"/>
      <c r="J4" s="252"/>
      <c r="K4" s="252">
        <v>82436.820000000414</v>
      </c>
    </row>
    <row r="5" spans="1:11" x14ac:dyDescent="0.35">
      <c r="C5" s="179"/>
      <c r="D5" s="179"/>
      <c r="E5" s="179"/>
      <c r="F5" s="179"/>
      <c r="G5" s="179"/>
      <c r="H5" s="179"/>
      <c r="I5" s="179"/>
      <c r="J5" s="179"/>
      <c r="K5" s="179"/>
    </row>
    <row r="6" spans="1:11" x14ac:dyDescent="0.35">
      <c r="A6" t="s">
        <v>693</v>
      </c>
      <c r="C6" s="252">
        <v>0</v>
      </c>
      <c r="D6" s="252">
        <v>0</v>
      </c>
      <c r="E6" s="252"/>
      <c r="F6" s="252">
        <v>0</v>
      </c>
      <c r="G6" s="252">
        <v>0</v>
      </c>
      <c r="H6" s="252"/>
      <c r="I6" s="252"/>
      <c r="J6" s="252"/>
      <c r="K6" s="252">
        <v>0</v>
      </c>
    </row>
    <row r="7" spans="1:11" x14ac:dyDescent="0.35">
      <c r="C7" s="179"/>
      <c r="D7" s="179"/>
      <c r="E7" s="179"/>
      <c r="F7" s="179"/>
      <c r="G7" s="179"/>
      <c r="H7" s="179"/>
      <c r="I7" s="179"/>
      <c r="J7" s="179"/>
      <c r="K7" s="179"/>
    </row>
    <row r="8" spans="1:11" x14ac:dyDescent="0.35">
      <c r="A8" t="s">
        <v>658</v>
      </c>
      <c r="C8" s="252">
        <v>1368465</v>
      </c>
      <c r="D8" s="252">
        <v>207794.83</v>
      </c>
      <c r="E8" s="252">
        <v>1097737.21</v>
      </c>
      <c r="F8" s="252">
        <v>44351.48</v>
      </c>
      <c r="G8" s="252">
        <v>18581.479999999974</v>
      </c>
      <c r="H8" s="252"/>
      <c r="I8" s="252"/>
      <c r="J8" s="252"/>
      <c r="K8" s="252">
        <v>18581.479999999974</v>
      </c>
    </row>
    <row r="9" spans="1:11" x14ac:dyDescent="0.35">
      <c r="C9" s="179"/>
      <c r="D9" s="179"/>
      <c r="E9" s="179"/>
      <c r="F9" s="179"/>
      <c r="G9" s="179"/>
      <c r="H9" s="179"/>
      <c r="I9" s="179"/>
      <c r="J9" s="179"/>
      <c r="K9" s="179"/>
    </row>
    <row r="10" spans="1:11" x14ac:dyDescent="0.35">
      <c r="A10" t="s">
        <v>666</v>
      </c>
      <c r="C10" s="252">
        <v>46409</v>
      </c>
      <c r="D10" s="252"/>
      <c r="E10" s="252"/>
      <c r="F10" s="252">
        <v>30302.25</v>
      </c>
      <c r="G10" s="252">
        <v>16106.75</v>
      </c>
      <c r="H10" s="252"/>
      <c r="I10" s="252"/>
      <c r="J10" s="252"/>
      <c r="K10" s="252">
        <v>16106.75</v>
      </c>
    </row>
    <row r="11" spans="1:11" x14ac:dyDescent="0.35">
      <c r="C11" s="179"/>
      <c r="D11" s="179"/>
      <c r="E11" s="179"/>
      <c r="F11" s="179"/>
      <c r="G11" s="179"/>
      <c r="H11" s="179"/>
      <c r="I11" s="179"/>
      <c r="J11" s="179"/>
      <c r="K11" s="179"/>
    </row>
    <row r="12" spans="1:11" x14ac:dyDescent="0.35">
      <c r="A12" t="s">
        <v>687</v>
      </c>
      <c r="C12" s="252">
        <v>3237508</v>
      </c>
      <c r="D12" s="252">
        <v>165557.67000000001</v>
      </c>
      <c r="E12" s="252">
        <v>0</v>
      </c>
      <c r="F12" s="252">
        <v>265135</v>
      </c>
      <c r="G12" s="252">
        <v>2806815.33</v>
      </c>
      <c r="H12" s="252"/>
      <c r="I12" s="252"/>
      <c r="J12" s="252"/>
      <c r="K12" s="252">
        <v>2806815.33</v>
      </c>
    </row>
    <row r="13" spans="1:11" x14ac:dyDescent="0.35">
      <c r="C13" s="179"/>
      <c r="D13" s="179"/>
      <c r="E13" s="179"/>
      <c r="F13" s="179"/>
      <c r="G13" s="179"/>
      <c r="H13" s="179"/>
      <c r="I13" s="179"/>
      <c r="J13" s="179"/>
      <c r="K13" s="179"/>
    </row>
    <row r="14" spans="1:11" x14ac:dyDescent="0.35">
      <c r="A14" t="s">
        <v>660</v>
      </c>
      <c r="B14" t="s">
        <v>946</v>
      </c>
      <c r="C14" s="252">
        <v>1380709</v>
      </c>
      <c r="D14" s="252">
        <v>1333260</v>
      </c>
      <c r="E14" s="252">
        <v>0</v>
      </c>
      <c r="F14" s="252">
        <v>0</v>
      </c>
      <c r="G14" s="252">
        <v>47449</v>
      </c>
      <c r="H14" s="252"/>
      <c r="I14" s="252"/>
      <c r="J14" s="252"/>
      <c r="K14" s="252">
        <v>47449</v>
      </c>
    </row>
    <row r="15" spans="1:11" x14ac:dyDescent="0.35">
      <c r="A15" t="s">
        <v>660</v>
      </c>
      <c r="B15" t="s">
        <v>953</v>
      </c>
      <c r="C15" s="252">
        <v>175000</v>
      </c>
      <c r="D15" s="252">
        <v>162000</v>
      </c>
      <c r="E15" s="252">
        <v>10335</v>
      </c>
      <c r="F15" s="252">
        <v>0</v>
      </c>
      <c r="G15" s="252">
        <v>2665</v>
      </c>
      <c r="H15" s="252"/>
      <c r="I15" s="252"/>
      <c r="J15" s="252"/>
      <c r="K15" s="252">
        <v>2665</v>
      </c>
    </row>
    <row r="16" spans="1:11" x14ac:dyDescent="0.35">
      <c r="A16" t="s">
        <v>660</v>
      </c>
      <c r="B16" t="s">
        <v>948</v>
      </c>
      <c r="C16" s="252">
        <v>253694</v>
      </c>
      <c r="D16" s="252">
        <v>115485</v>
      </c>
      <c r="E16" s="252">
        <v>0</v>
      </c>
      <c r="F16" s="252">
        <v>0</v>
      </c>
      <c r="G16" s="252">
        <v>138209</v>
      </c>
      <c r="H16" s="252"/>
      <c r="I16" s="252"/>
      <c r="J16" s="252"/>
      <c r="K16" s="252">
        <v>138209</v>
      </c>
    </row>
    <row r="17" spans="1:17" x14ac:dyDescent="0.35">
      <c r="A17" t="s">
        <v>660</v>
      </c>
      <c r="B17" t="s">
        <v>956</v>
      </c>
      <c r="C17" s="252">
        <v>913656</v>
      </c>
      <c r="D17" s="252">
        <v>810672</v>
      </c>
      <c r="E17" s="252">
        <v>0</v>
      </c>
      <c r="F17" s="252">
        <v>13412</v>
      </c>
      <c r="G17" s="252">
        <v>89572</v>
      </c>
      <c r="H17" s="252"/>
      <c r="I17" s="252"/>
      <c r="J17" s="252"/>
      <c r="K17" s="252">
        <v>89572</v>
      </c>
    </row>
    <row r="18" spans="1:17" x14ac:dyDescent="0.35">
      <c r="A18" t="s">
        <v>660</v>
      </c>
      <c r="B18" t="s">
        <v>944</v>
      </c>
      <c r="C18" s="252">
        <v>27589</v>
      </c>
      <c r="D18" s="252"/>
      <c r="E18" s="252"/>
      <c r="F18" s="252"/>
      <c r="G18" s="252">
        <v>27589</v>
      </c>
      <c r="H18" s="252"/>
      <c r="I18" s="252"/>
      <c r="J18" s="252"/>
      <c r="K18" s="252">
        <v>27589</v>
      </c>
    </row>
    <row r="19" spans="1:17" x14ac:dyDescent="0.35">
      <c r="C19" s="179"/>
      <c r="D19" s="179"/>
      <c r="E19" s="179"/>
      <c r="F19" s="179"/>
      <c r="G19" s="179"/>
      <c r="H19" s="179"/>
      <c r="I19" s="179"/>
      <c r="J19" s="179"/>
      <c r="K19" s="179"/>
    </row>
    <row r="20" spans="1:17" x14ac:dyDescent="0.35">
      <c r="A20" t="s">
        <v>702</v>
      </c>
      <c r="B20" t="s">
        <v>953</v>
      </c>
      <c r="C20" s="252">
        <v>650000</v>
      </c>
      <c r="D20" s="252">
        <v>84728</v>
      </c>
      <c r="E20" s="252">
        <v>0</v>
      </c>
      <c r="F20" s="252">
        <v>499108</v>
      </c>
      <c r="G20" s="252">
        <v>66164</v>
      </c>
      <c r="H20" s="252"/>
      <c r="I20" s="252"/>
      <c r="J20" s="252"/>
      <c r="K20" s="252">
        <v>66164</v>
      </c>
    </row>
    <row r="21" spans="1:17" x14ac:dyDescent="0.35">
      <c r="C21" s="179"/>
      <c r="D21" s="179"/>
      <c r="E21" s="179"/>
      <c r="F21" s="179"/>
      <c r="G21" s="179"/>
      <c r="H21" s="179"/>
      <c r="I21" s="179"/>
      <c r="J21" s="179"/>
      <c r="K21" s="179"/>
    </row>
    <row r="22" spans="1:17" x14ac:dyDescent="0.35">
      <c r="A22" t="s">
        <v>698</v>
      </c>
      <c r="B22" t="s">
        <v>953</v>
      </c>
      <c r="C22" s="252">
        <v>2016302</v>
      </c>
      <c r="D22" s="252"/>
      <c r="E22" s="252">
        <v>9.4587448984384498E-11</v>
      </c>
      <c r="F22" s="252">
        <v>1999372.61</v>
      </c>
      <c r="G22" s="252">
        <v>16929.389999999901</v>
      </c>
      <c r="H22" s="252"/>
      <c r="I22" s="252"/>
      <c r="J22" s="252"/>
      <c r="K22" s="252">
        <v>16929.389999999901</v>
      </c>
    </row>
    <row r="23" spans="1:17" x14ac:dyDescent="0.35">
      <c r="C23" s="179"/>
      <c r="D23" s="179"/>
      <c r="E23" s="179"/>
      <c r="F23" s="179"/>
      <c r="G23" s="179"/>
      <c r="H23" s="179"/>
      <c r="I23" s="179"/>
      <c r="J23" s="179"/>
      <c r="K23" s="179"/>
    </row>
    <row r="24" spans="1:17" s="183" customFormat="1" x14ac:dyDescent="0.35">
      <c r="A24" t="s">
        <v>700</v>
      </c>
      <c r="B24" t="s">
        <v>953</v>
      </c>
      <c r="C24" s="252">
        <v>321500</v>
      </c>
      <c r="D24" s="252"/>
      <c r="E24" s="252">
        <v>0</v>
      </c>
      <c r="F24" s="252">
        <v>321320</v>
      </c>
      <c r="G24" s="252">
        <v>180</v>
      </c>
      <c r="H24" s="252"/>
      <c r="I24" s="252"/>
      <c r="J24" s="252"/>
      <c r="K24" s="252">
        <v>180</v>
      </c>
      <c r="L24"/>
      <c r="M24"/>
      <c r="N24"/>
      <c r="O24"/>
      <c r="P24"/>
      <c r="Q24"/>
    </row>
    <row r="25" spans="1:17" x14ac:dyDescent="0.35">
      <c r="C25" s="179"/>
      <c r="D25" s="179"/>
      <c r="E25" s="179"/>
      <c r="F25" s="179"/>
      <c r="G25" s="179"/>
      <c r="H25" s="179"/>
      <c r="I25" s="179"/>
      <c r="J25" s="179"/>
      <c r="K25" s="179"/>
    </row>
    <row r="26" spans="1:17" x14ac:dyDescent="0.35">
      <c r="A26" t="s">
        <v>132</v>
      </c>
      <c r="B26" t="s">
        <v>946</v>
      </c>
      <c r="C26" s="252">
        <v>6879</v>
      </c>
      <c r="D26" s="252"/>
      <c r="E26" s="252"/>
      <c r="F26" s="252"/>
      <c r="G26" s="252">
        <v>6879</v>
      </c>
      <c r="H26" s="252"/>
      <c r="I26" s="252"/>
      <c r="J26" s="252"/>
      <c r="K26" s="252">
        <v>6879</v>
      </c>
    </row>
    <row r="27" spans="1:17" x14ac:dyDescent="0.35">
      <c r="A27" t="s">
        <v>132</v>
      </c>
      <c r="B27" t="s">
        <v>949</v>
      </c>
      <c r="C27" s="252">
        <v>987</v>
      </c>
      <c r="D27" s="252"/>
      <c r="E27" s="252">
        <v>0</v>
      </c>
      <c r="F27" s="252"/>
      <c r="G27" s="252">
        <v>987</v>
      </c>
      <c r="H27" s="252"/>
      <c r="I27" s="252"/>
      <c r="J27" s="252"/>
      <c r="K27" s="252">
        <v>987</v>
      </c>
    </row>
    <row r="28" spans="1:17" x14ac:dyDescent="0.35">
      <c r="A28" t="s">
        <v>132</v>
      </c>
      <c r="B28" t="s">
        <v>948</v>
      </c>
      <c r="C28" s="252">
        <v>4259518</v>
      </c>
      <c r="D28" s="252">
        <v>485370.02</v>
      </c>
      <c r="E28" s="252">
        <v>411851.33</v>
      </c>
      <c r="F28" s="252">
        <v>3173481.58</v>
      </c>
      <c r="G28" s="252">
        <v>188815.06999999977</v>
      </c>
      <c r="H28" s="252"/>
      <c r="I28" s="252"/>
      <c r="J28" s="252"/>
      <c r="K28" s="252">
        <v>188815.06999999977</v>
      </c>
    </row>
    <row r="29" spans="1:17" x14ac:dyDescent="0.35">
      <c r="A29" t="s">
        <v>132</v>
      </c>
      <c r="B29" t="s">
        <v>947</v>
      </c>
      <c r="C29" s="252">
        <v>6640502</v>
      </c>
      <c r="D29" s="252">
        <v>2904827.3600000003</v>
      </c>
      <c r="E29" s="252">
        <v>1966102.1800000002</v>
      </c>
      <c r="F29" s="252">
        <v>1498473.1400000001</v>
      </c>
      <c r="G29" s="252">
        <v>271099.32</v>
      </c>
      <c r="H29" s="252"/>
      <c r="I29" s="252"/>
      <c r="J29" s="252"/>
      <c r="K29" s="252">
        <v>271099.32</v>
      </c>
    </row>
    <row r="30" spans="1:17" x14ac:dyDescent="0.35">
      <c r="A30" t="s">
        <v>132</v>
      </c>
      <c r="B30" t="s">
        <v>956</v>
      </c>
      <c r="C30" s="252">
        <v>17285244</v>
      </c>
      <c r="D30" s="252">
        <v>10910225.220000001</v>
      </c>
      <c r="E30" s="252">
        <v>414200</v>
      </c>
      <c r="F30" s="252">
        <v>5948511.2199999997</v>
      </c>
      <c r="G30" s="252">
        <v>12307.560000002401</v>
      </c>
      <c r="H30" s="252"/>
      <c r="I30" s="252"/>
      <c r="J30" s="252"/>
      <c r="K30" s="252">
        <v>12307.560000002401</v>
      </c>
    </row>
    <row r="31" spans="1:17" x14ac:dyDescent="0.35">
      <c r="A31" t="s">
        <v>132</v>
      </c>
      <c r="B31" t="s">
        <v>943</v>
      </c>
      <c r="C31" s="252">
        <v>1220302</v>
      </c>
      <c r="D31" s="252">
        <v>1220301.8</v>
      </c>
      <c r="E31" s="252"/>
      <c r="F31" s="252">
        <v>0</v>
      </c>
      <c r="G31" s="252">
        <v>0.19999999995343401</v>
      </c>
      <c r="H31" s="252"/>
      <c r="I31" s="252"/>
      <c r="J31" s="252"/>
      <c r="K31" s="252">
        <v>0.19999999995343401</v>
      </c>
    </row>
    <row r="32" spans="1:17" s="183" customFormat="1" x14ac:dyDescent="0.35">
      <c r="A32" t="s">
        <v>132</v>
      </c>
      <c r="B32" t="s">
        <v>955</v>
      </c>
      <c r="C32" s="252">
        <v>20571903</v>
      </c>
      <c r="D32" s="252">
        <v>7160043.4699999997</v>
      </c>
      <c r="E32" s="252">
        <v>10861838.17</v>
      </c>
      <c r="F32" s="252">
        <v>1355325.17</v>
      </c>
      <c r="G32" s="252">
        <v>1194696.19</v>
      </c>
      <c r="H32" s="252">
        <v>60000</v>
      </c>
      <c r="I32" s="252">
        <v>0</v>
      </c>
      <c r="J32" s="252">
        <v>0</v>
      </c>
      <c r="K32" s="252">
        <v>1134696.19</v>
      </c>
      <c r="L32"/>
      <c r="M32"/>
      <c r="N32"/>
      <c r="O32"/>
      <c r="P32"/>
    </row>
    <row r="33" spans="1:11" x14ac:dyDescent="0.35">
      <c r="C33" s="179"/>
      <c r="D33" s="179"/>
      <c r="E33" s="179"/>
      <c r="F33" s="179"/>
      <c r="G33" s="179"/>
      <c r="H33" s="179"/>
      <c r="I33" s="179"/>
      <c r="J33" s="179"/>
      <c r="K33" s="179"/>
    </row>
    <row r="34" spans="1:11" x14ac:dyDescent="0.35">
      <c r="A34" t="s">
        <v>719</v>
      </c>
      <c r="C34" s="179">
        <v>110301000</v>
      </c>
      <c r="D34" s="179">
        <v>50359218.649999991</v>
      </c>
      <c r="E34" s="179">
        <v>21828883.390000001</v>
      </c>
      <c r="F34" s="179">
        <v>33125415.850000001</v>
      </c>
      <c r="G34" s="179">
        <v>4987482.1100000031</v>
      </c>
      <c r="H34" s="179">
        <v>60000</v>
      </c>
      <c r="I34" s="179">
        <v>0</v>
      </c>
      <c r="J34" s="179">
        <v>0</v>
      </c>
      <c r="K34" s="179">
        <v>4927482.1100000031</v>
      </c>
    </row>
  </sheetData>
  <pageMargins left="0.7" right="0.7" top="0.75" bottom="0.75" header="0.3" footer="0.3"/>
  <pageSetup orientation="portrait"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O573"/>
  <sheetViews>
    <sheetView topLeftCell="D1" workbookViewId="0">
      <pane ySplit="3" topLeftCell="A28" activePane="bottomLeft" state="frozen"/>
      <selection pane="bottomLeft" activeCell="R40" sqref="R40"/>
    </sheetView>
  </sheetViews>
  <sheetFormatPr defaultColWidth="8.7265625" defaultRowHeight="14.5" x14ac:dyDescent="0.35"/>
  <cols>
    <col min="1" max="1" width="96" style="217" customWidth="1"/>
    <col min="2" max="2" width="21.26953125" style="219" customWidth="1"/>
    <col min="3" max="3" width="21.1796875" style="219" customWidth="1"/>
    <col min="4" max="4" width="10.453125" style="219" customWidth="1"/>
    <col min="5" max="5" width="10.7265625" style="219" customWidth="1"/>
    <col min="6" max="6" width="20.54296875" style="219" customWidth="1"/>
    <col min="7" max="7" width="20.1796875" style="219" customWidth="1"/>
    <col min="8" max="8" width="20.453125" style="219" customWidth="1"/>
    <col min="9" max="9" width="20.26953125" style="219" customWidth="1"/>
    <col min="10" max="10" width="21.81640625" style="219" customWidth="1"/>
    <col min="11" max="11" width="9.54296875" style="219" customWidth="1"/>
    <col min="12" max="15" width="20.81640625" style="217" customWidth="1"/>
    <col min="16" max="16384" width="8.7265625" style="217"/>
  </cols>
  <sheetData>
    <row r="2" spans="1:15" s="220" customFormat="1" x14ac:dyDescent="0.35">
      <c r="A2" s="220" t="str">
        <f>A89</f>
        <v>Translation and interpretation service</v>
      </c>
      <c r="B2" s="221">
        <f>GETPIVOTDATA(" Revised Budget - Sep 22",$A$3)</f>
        <v>579850000</v>
      </c>
      <c r="C2" s="221">
        <f>GETPIVOTDATA(" Actual Amount - Sep 22",$A$3)</f>
        <v>321675274.61000013</v>
      </c>
      <c r="D2" s="221">
        <f>GETPIVOTDATA(" PR - Sep 22",$A$3)</f>
        <v>27533031.460000001</v>
      </c>
      <c r="E2" s="221">
        <f>GETPIVOTDATA(" PO - Sep 22",$A$3)</f>
        <v>39813473.489999995</v>
      </c>
      <c r="F2" s="221">
        <f>GETPIVOTDATA(" Fund Available - Sep 22",$A$3)</f>
        <v>190828220.43999994</v>
      </c>
      <c r="G2" s="221">
        <f>GETPIVOTDATA(" Oct-22 Utilization Plan",$A$3)</f>
        <v>57713984.046866626</v>
      </c>
      <c r="H2" s="221">
        <f>GETPIVOTDATA(" Nov-22 Utilization Plan",$A$3)</f>
        <v>45812497.107666634</v>
      </c>
      <c r="I2" s="221">
        <f>GETPIVOTDATA(" Dec-22 Utilization Plan",$A$3)</f>
        <v>47727454.776000015</v>
      </c>
      <c r="J2" s="221">
        <f>GETPIVOTDATA(" Budget Surplus Amount ",$A$3)</f>
        <v>24203426.576666646</v>
      </c>
      <c r="K2" s="221"/>
    </row>
    <row r="3" spans="1:15" x14ac:dyDescent="0.35">
      <c r="B3" s="217" t="s">
        <v>931</v>
      </c>
      <c r="C3" s="217" t="s">
        <v>932</v>
      </c>
      <c r="D3" s="217" t="s">
        <v>933</v>
      </c>
      <c r="E3" s="217" t="s">
        <v>934</v>
      </c>
      <c r="F3" s="217" t="s">
        <v>935</v>
      </c>
      <c r="G3" s="217" t="s">
        <v>895</v>
      </c>
      <c r="H3" s="217" t="s">
        <v>896</v>
      </c>
      <c r="I3" s="217" t="s">
        <v>897</v>
      </c>
      <c r="J3" s="217" t="s">
        <v>967</v>
      </c>
      <c r="K3" s="263" t="s">
        <v>979</v>
      </c>
      <c r="L3"/>
      <c r="M3"/>
      <c r="N3"/>
      <c r="O3"/>
    </row>
    <row r="4" spans="1:15" x14ac:dyDescent="0.35">
      <c r="A4" s="218" t="s">
        <v>21</v>
      </c>
      <c r="B4" s="217">
        <v>1914312</v>
      </c>
      <c r="C4" s="217">
        <v>198310.65</v>
      </c>
      <c r="D4" s="217"/>
      <c r="E4" s="217"/>
      <c r="F4" s="217">
        <v>1716001.3499999999</v>
      </c>
      <c r="G4" s="217">
        <v>197502</v>
      </c>
      <c r="H4" s="217">
        <v>296253</v>
      </c>
      <c r="I4" s="217">
        <v>493755</v>
      </c>
      <c r="J4" s="217">
        <v>728491.35</v>
      </c>
      <c r="K4" s="217">
        <v>595613.08000000007</v>
      </c>
      <c r="L4"/>
      <c r="M4"/>
      <c r="N4"/>
      <c r="O4"/>
    </row>
    <row r="5" spans="1:15" x14ac:dyDescent="0.35">
      <c r="A5" s="218" t="s">
        <v>23</v>
      </c>
      <c r="B5" s="217">
        <v>25249543</v>
      </c>
      <c r="C5" s="217">
        <v>6442139.5899999999</v>
      </c>
      <c r="D5" s="217">
        <v>0</v>
      </c>
      <c r="E5" s="217">
        <v>0</v>
      </c>
      <c r="F5" s="217">
        <v>18807403.41</v>
      </c>
      <c r="G5" s="217">
        <v>5202378</v>
      </c>
      <c r="H5" s="217">
        <v>5202378</v>
      </c>
      <c r="I5" s="217">
        <v>5202378</v>
      </c>
      <c r="J5" s="217">
        <v>-1799730.5899999999</v>
      </c>
      <c r="K5" s="217">
        <v>-3865982.27</v>
      </c>
      <c r="L5"/>
      <c r="M5"/>
      <c r="N5"/>
      <c r="O5"/>
    </row>
    <row r="6" spans="1:15" x14ac:dyDescent="0.35">
      <c r="A6" s="218" t="s">
        <v>74</v>
      </c>
      <c r="B6" s="217">
        <v>6323690</v>
      </c>
      <c r="C6" s="217">
        <v>1495567.91</v>
      </c>
      <c r="D6" s="217">
        <v>0</v>
      </c>
      <c r="E6" s="217">
        <v>0</v>
      </c>
      <c r="F6" s="217">
        <v>4828122.09</v>
      </c>
      <c r="G6" s="217"/>
      <c r="H6" s="217"/>
      <c r="I6" s="217"/>
      <c r="J6" s="217">
        <v>4828122.09</v>
      </c>
      <c r="K6" s="217">
        <v>1870816.3239999996</v>
      </c>
      <c r="L6"/>
      <c r="M6"/>
      <c r="N6"/>
      <c r="O6"/>
    </row>
    <row r="7" spans="1:15" x14ac:dyDescent="0.35">
      <c r="A7" s="218" t="s">
        <v>79</v>
      </c>
      <c r="B7" s="217">
        <v>2951296</v>
      </c>
      <c r="C7" s="217">
        <v>952283.87999999989</v>
      </c>
      <c r="D7" s="217"/>
      <c r="E7" s="217"/>
      <c r="F7" s="217">
        <v>1999012.1200000003</v>
      </c>
      <c r="G7" s="217">
        <v>20000</v>
      </c>
      <c r="H7" s="217">
        <v>30000</v>
      </c>
      <c r="I7" s="217">
        <v>20000</v>
      </c>
      <c r="J7" s="217">
        <v>1929012.1200000003</v>
      </c>
      <c r="K7" s="217">
        <v>1381629.2519999999</v>
      </c>
      <c r="L7"/>
      <c r="M7"/>
      <c r="N7"/>
      <c r="O7"/>
    </row>
    <row r="8" spans="1:15" x14ac:dyDescent="0.35">
      <c r="A8" s="218" t="s">
        <v>55</v>
      </c>
      <c r="B8" s="217">
        <v>5847464</v>
      </c>
      <c r="C8" s="217">
        <v>2057917.4399999999</v>
      </c>
      <c r="D8" s="217">
        <v>2056990</v>
      </c>
      <c r="E8" s="217">
        <v>727131.75</v>
      </c>
      <c r="F8" s="217">
        <v>1005424.81</v>
      </c>
      <c r="G8" s="217">
        <v>162500</v>
      </c>
      <c r="H8" s="217">
        <v>250000</v>
      </c>
      <c r="I8" s="217">
        <v>380425</v>
      </c>
      <c r="J8" s="217">
        <v>212499.81000000006</v>
      </c>
      <c r="K8" s="217">
        <v>170499.81000000006</v>
      </c>
      <c r="L8"/>
      <c r="M8"/>
      <c r="N8"/>
      <c r="O8"/>
    </row>
    <row r="9" spans="1:15" x14ac:dyDescent="0.35">
      <c r="A9" s="218" t="s">
        <v>437</v>
      </c>
      <c r="B9" s="217">
        <v>3600</v>
      </c>
      <c r="C9" s="217">
        <v>288.14</v>
      </c>
      <c r="D9" s="217"/>
      <c r="E9" s="217"/>
      <c r="F9" s="217">
        <v>3311.86</v>
      </c>
      <c r="G9" s="217">
        <v>100</v>
      </c>
      <c r="H9" s="217">
        <v>100</v>
      </c>
      <c r="I9" s="217">
        <v>100</v>
      </c>
      <c r="J9" s="217">
        <v>3011.86</v>
      </c>
      <c r="K9" s="217">
        <v>2523.4880000000003</v>
      </c>
      <c r="L9"/>
      <c r="M9"/>
      <c r="N9"/>
      <c r="O9"/>
    </row>
    <row r="10" spans="1:15" x14ac:dyDescent="0.35">
      <c r="A10" s="218" t="s">
        <v>390</v>
      </c>
      <c r="B10" s="217">
        <v>230000</v>
      </c>
      <c r="C10" s="217">
        <v>12166</v>
      </c>
      <c r="D10" s="217">
        <v>0</v>
      </c>
      <c r="E10" s="217">
        <v>0</v>
      </c>
      <c r="F10" s="217">
        <v>217834</v>
      </c>
      <c r="G10" s="217"/>
      <c r="H10" s="217"/>
      <c r="I10" s="217"/>
      <c r="J10" s="217">
        <v>217834</v>
      </c>
      <c r="K10" s="217">
        <v>217834</v>
      </c>
      <c r="L10"/>
      <c r="M10"/>
      <c r="N10"/>
      <c r="O10"/>
    </row>
    <row r="11" spans="1:15" x14ac:dyDescent="0.35">
      <c r="A11" s="218" t="s">
        <v>385</v>
      </c>
      <c r="B11" s="217">
        <v>22616578</v>
      </c>
      <c r="C11" s="217">
        <v>10698644.17</v>
      </c>
      <c r="D11" s="217">
        <v>234449.00000000049</v>
      </c>
      <c r="E11" s="217">
        <v>10773628.360000001</v>
      </c>
      <c r="F11" s="217">
        <v>909856.46999999927</v>
      </c>
      <c r="G11" s="217"/>
      <c r="H11" s="217"/>
      <c r="I11" s="217">
        <v>952441</v>
      </c>
      <c r="J11" s="217">
        <v>-42584.530000000756</v>
      </c>
      <c r="K11" s="217">
        <v>234750.21399999931</v>
      </c>
      <c r="L11"/>
      <c r="M11"/>
      <c r="N11"/>
      <c r="O11"/>
    </row>
    <row r="12" spans="1:15" x14ac:dyDescent="0.35">
      <c r="A12" s="218" t="s">
        <v>39</v>
      </c>
      <c r="B12" s="217">
        <v>3827059</v>
      </c>
      <c r="C12" s="217">
        <v>269549.76</v>
      </c>
      <c r="D12" s="217"/>
      <c r="E12" s="217"/>
      <c r="F12" s="217">
        <v>3557509.2399999998</v>
      </c>
      <c r="G12" s="217">
        <v>39625</v>
      </c>
      <c r="H12" s="217">
        <v>95766.2</v>
      </c>
      <c r="I12" s="217">
        <v>180811.8</v>
      </c>
      <c r="J12" s="217">
        <v>3241306.2399999998</v>
      </c>
      <c r="K12" s="217">
        <v>1069257.6640000001</v>
      </c>
      <c r="L12"/>
      <c r="M12"/>
      <c r="N12"/>
      <c r="O12"/>
    </row>
    <row r="13" spans="1:15" x14ac:dyDescent="0.35">
      <c r="A13" s="218" t="s">
        <v>424</v>
      </c>
      <c r="B13" s="217">
        <v>1277092</v>
      </c>
      <c r="C13" s="217">
        <v>851856.74</v>
      </c>
      <c r="D13" s="217">
        <v>2.0000000000363798</v>
      </c>
      <c r="E13" s="217">
        <v>449.99999999996362</v>
      </c>
      <c r="F13" s="217">
        <v>424783.26</v>
      </c>
      <c r="G13" s="217">
        <v>141421</v>
      </c>
      <c r="H13" s="217">
        <v>141421</v>
      </c>
      <c r="I13" s="217">
        <v>141422</v>
      </c>
      <c r="J13" s="217">
        <v>519.26000000000931</v>
      </c>
      <c r="K13" s="217">
        <v>415.33800000001213</v>
      </c>
      <c r="L13"/>
      <c r="M13"/>
      <c r="N13"/>
      <c r="O13"/>
    </row>
    <row r="14" spans="1:15" x14ac:dyDescent="0.35">
      <c r="A14" s="218" t="s">
        <v>362</v>
      </c>
      <c r="B14" s="217">
        <v>9167788</v>
      </c>
      <c r="C14" s="217">
        <v>5031417.7000000011</v>
      </c>
      <c r="D14" s="217">
        <v>0</v>
      </c>
      <c r="E14" s="217">
        <v>4094959.11</v>
      </c>
      <c r="F14" s="217">
        <v>41411.189999999711</v>
      </c>
      <c r="G14" s="217"/>
      <c r="H14" s="217"/>
      <c r="I14" s="217"/>
      <c r="J14" s="217">
        <v>41411.189999999711</v>
      </c>
      <c r="K14" s="217">
        <v>41411.189999999711</v>
      </c>
      <c r="L14"/>
      <c r="M14"/>
      <c r="N14"/>
      <c r="O14"/>
    </row>
    <row r="15" spans="1:15" x14ac:dyDescent="0.35">
      <c r="A15" s="218" t="s">
        <v>37</v>
      </c>
      <c r="B15" s="217">
        <v>16916819</v>
      </c>
      <c r="C15" s="217">
        <v>7482296.580000001</v>
      </c>
      <c r="D15" s="217">
        <v>1307824.1000000003</v>
      </c>
      <c r="E15" s="217">
        <v>4213764.4000000004</v>
      </c>
      <c r="F15" s="217">
        <v>3912933.92</v>
      </c>
      <c r="G15" s="217">
        <v>144312.5</v>
      </c>
      <c r="H15" s="217">
        <v>178175</v>
      </c>
      <c r="I15" s="217">
        <v>130991</v>
      </c>
      <c r="J15" s="217">
        <v>3459455.42</v>
      </c>
      <c r="K15" s="217">
        <v>2843351.7239999995</v>
      </c>
      <c r="L15"/>
      <c r="M15"/>
      <c r="N15"/>
      <c r="O15"/>
    </row>
    <row r="16" spans="1:15" x14ac:dyDescent="0.35">
      <c r="A16" s="218" t="s">
        <v>482</v>
      </c>
      <c r="B16" s="217">
        <v>360000</v>
      </c>
      <c r="C16" s="217">
        <v>266260.51</v>
      </c>
      <c r="D16" s="217"/>
      <c r="E16" s="217"/>
      <c r="F16" s="217">
        <v>93739.489999999991</v>
      </c>
      <c r="G16" s="217">
        <v>31739</v>
      </c>
      <c r="H16" s="217">
        <v>31000</v>
      </c>
      <c r="I16" s="217">
        <v>31000</v>
      </c>
      <c r="J16" s="217">
        <v>0.48999999999068677</v>
      </c>
      <c r="K16" s="217">
        <v>0.48999999999068677</v>
      </c>
      <c r="L16"/>
      <c r="M16"/>
      <c r="N16"/>
      <c r="O16"/>
    </row>
    <row r="17" spans="1:15" x14ac:dyDescent="0.35">
      <c r="A17" s="218" t="s">
        <v>31</v>
      </c>
      <c r="B17" s="217">
        <v>9245917</v>
      </c>
      <c r="C17" s="217">
        <v>3152783.93</v>
      </c>
      <c r="D17" s="217">
        <v>2941300</v>
      </c>
      <c r="E17" s="217">
        <v>1165369.49</v>
      </c>
      <c r="F17" s="217">
        <v>1986463.58</v>
      </c>
      <c r="G17" s="217">
        <v>308900.09999999998</v>
      </c>
      <c r="H17" s="217">
        <v>489689.1</v>
      </c>
      <c r="I17" s="217">
        <v>373089.8</v>
      </c>
      <c r="J17" s="217">
        <v>814784.58</v>
      </c>
      <c r="K17" s="217">
        <v>647855.15799999994</v>
      </c>
      <c r="L17"/>
      <c r="M17"/>
      <c r="N17"/>
      <c r="O17"/>
    </row>
    <row r="18" spans="1:15" x14ac:dyDescent="0.35">
      <c r="A18" s="218" t="s">
        <v>33</v>
      </c>
      <c r="B18" s="217">
        <v>1802957</v>
      </c>
      <c r="C18" s="217">
        <v>295971.43</v>
      </c>
      <c r="D18" s="217"/>
      <c r="E18" s="217"/>
      <c r="F18" s="217">
        <v>1506985.5699999998</v>
      </c>
      <c r="G18" s="217">
        <v>231557.74900000001</v>
      </c>
      <c r="H18" s="217">
        <v>276540.88899999997</v>
      </c>
      <c r="I18" s="217">
        <v>163067.33199999999</v>
      </c>
      <c r="J18" s="217">
        <v>835819.6</v>
      </c>
      <c r="K18" s="217">
        <v>644792.21400000004</v>
      </c>
      <c r="L18"/>
      <c r="M18"/>
      <c r="N18"/>
      <c r="O18"/>
    </row>
    <row r="19" spans="1:15" x14ac:dyDescent="0.35">
      <c r="A19" s="218" t="s">
        <v>475</v>
      </c>
      <c r="B19" s="217">
        <v>2213028</v>
      </c>
      <c r="C19" s="217">
        <v>1465268.54</v>
      </c>
      <c r="D19" s="217"/>
      <c r="E19" s="217"/>
      <c r="F19" s="217">
        <v>747759.46</v>
      </c>
      <c r="G19" s="217">
        <v>387759.45999999996</v>
      </c>
      <c r="H19" s="217">
        <v>180000</v>
      </c>
      <c r="I19" s="217">
        <v>180000</v>
      </c>
      <c r="J19" s="217">
        <v>0</v>
      </c>
      <c r="K19" s="217">
        <v>0</v>
      </c>
      <c r="L19"/>
      <c r="M19"/>
      <c r="N19"/>
      <c r="O19"/>
    </row>
    <row r="20" spans="1:15" x14ac:dyDescent="0.35">
      <c r="A20" s="218" t="s">
        <v>224</v>
      </c>
      <c r="B20" s="217">
        <v>2677815</v>
      </c>
      <c r="C20" s="217">
        <v>1457537.45</v>
      </c>
      <c r="D20" s="217">
        <v>0</v>
      </c>
      <c r="E20" s="217">
        <v>692500</v>
      </c>
      <c r="F20" s="217">
        <v>527777.55000000005</v>
      </c>
      <c r="G20" s="217">
        <v>138000</v>
      </c>
      <c r="H20" s="217">
        <v>100000</v>
      </c>
      <c r="I20" s="217"/>
      <c r="J20" s="217">
        <v>289777.55000000005</v>
      </c>
      <c r="K20" s="217">
        <v>256112.55000000005</v>
      </c>
      <c r="L20"/>
      <c r="M20"/>
      <c r="N20"/>
      <c r="O20"/>
    </row>
    <row r="21" spans="1:15" x14ac:dyDescent="0.35">
      <c r="A21" s="218" t="s">
        <v>403</v>
      </c>
      <c r="B21" s="217">
        <v>15465717</v>
      </c>
      <c r="C21" s="217">
        <v>11394691.539999999</v>
      </c>
      <c r="D21" s="217"/>
      <c r="E21" s="217"/>
      <c r="F21" s="217">
        <v>4071025.4599999995</v>
      </c>
      <c r="G21" s="217"/>
      <c r="H21" s="217"/>
      <c r="I21" s="217">
        <v>4071025</v>
      </c>
      <c r="J21" s="217">
        <v>0.45999999949708581</v>
      </c>
      <c r="K21" s="217">
        <v>0.45999999949708581</v>
      </c>
      <c r="L21"/>
      <c r="M21"/>
      <c r="N21"/>
      <c r="O21"/>
    </row>
    <row r="22" spans="1:15" x14ac:dyDescent="0.35">
      <c r="A22" s="218" t="s">
        <v>559</v>
      </c>
      <c r="B22" s="217">
        <v>1427000</v>
      </c>
      <c r="C22" s="217">
        <v>860076.15999999992</v>
      </c>
      <c r="D22" s="217">
        <v>92515.74</v>
      </c>
      <c r="E22" s="217">
        <v>161631.32999999999</v>
      </c>
      <c r="F22" s="217">
        <v>312776.77000000014</v>
      </c>
      <c r="G22" s="217">
        <v>0</v>
      </c>
      <c r="H22" s="217">
        <v>11010.41</v>
      </c>
      <c r="I22" s="217">
        <v>0</v>
      </c>
      <c r="J22" s="217">
        <v>301766.3600000001</v>
      </c>
      <c r="K22" s="217">
        <v>301766.3600000001</v>
      </c>
      <c r="L22"/>
      <c r="M22"/>
      <c r="N22"/>
      <c r="O22"/>
    </row>
    <row r="23" spans="1:15" x14ac:dyDescent="0.35">
      <c r="A23" s="218" t="s">
        <v>35</v>
      </c>
      <c r="B23" s="217">
        <v>1470964</v>
      </c>
      <c r="C23" s="217">
        <v>243081.59</v>
      </c>
      <c r="D23" s="217">
        <v>153400</v>
      </c>
      <c r="E23" s="217">
        <v>0</v>
      </c>
      <c r="F23" s="217">
        <v>1074482.4099999999</v>
      </c>
      <c r="G23" s="217">
        <v>75598.850000000006</v>
      </c>
      <c r="H23" s="217">
        <v>188285.52499999999</v>
      </c>
      <c r="I23" s="217">
        <v>146705.875</v>
      </c>
      <c r="J23" s="217">
        <v>663892.15999999992</v>
      </c>
      <c r="K23" s="217">
        <v>632152.21400000004</v>
      </c>
      <c r="L23"/>
      <c r="M23"/>
      <c r="N23"/>
      <c r="O23"/>
    </row>
    <row r="24" spans="1:15" x14ac:dyDescent="0.35">
      <c r="A24" s="218" t="s">
        <v>737</v>
      </c>
      <c r="B24" s="217"/>
      <c r="C24" s="217"/>
      <c r="D24" s="217"/>
      <c r="E24" s="217"/>
      <c r="F24" s="217">
        <v>0</v>
      </c>
      <c r="G24" s="217">
        <v>2000</v>
      </c>
      <c r="H24" s="217"/>
      <c r="I24" s="217"/>
      <c r="J24" s="217">
        <v>-2000</v>
      </c>
      <c r="K24" s="217">
        <v>-2000</v>
      </c>
      <c r="L24"/>
      <c r="M24"/>
      <c r="N24"/>
      <c r="O24"/>
    </row>
    <row r="25" spans="1:15" x14ac:dyDescent="0.35">
      <c r="A25" s="218" t="s">
        <v>43</v>
      </c>
      <c r="B25" s="217">
        <v>1671402</v>
      </c>
      <c r="C25" s="217">
        <v>130698.66</v>
      </c>
      <c r="D25" s="217">
        <v>0</v>
      </c>
      <c r="E25" s="217">
        <v>177011</v>
      </c>
      <c r="F25" s="217">
        <v>1363692.3399999999</v>
      </c>
      <c r="G25" s="217">
        <v>5000</v>
      </c>
      <c r="H25" s="217">
        <v>98888.4</v>
      </c>
      <c r="I25" s="217">
        <v>24424.989999999998</v>
      </c>
      <c r="J25" s="217">
        <v>1235378.95</v>
      </c>
      <c r="K25" s="217">
        <v>1146864.77</v>
      </c>
      <c r="L25"/>
      <c r="M25"/>
      <c r="N25"/>
      <c r="O25"/>
    </row>
    <row r="26" spans="1:15" x14ac:dyDescent="0.35">
      <c r="A26" s="218" t="s">
        <v>432</v>
      </c>
      <c r="B26" s="217">
        <v>295000</v>
      </c>
      <c r="C26" s="217">
        <v>171100</v>
      </c>
      <c r="D26" s="217"/>
      <c r="E26" s="217"/>
      <c r="F26" s="217">
        <v>123900</v>
      </c>
      <c r="G26" s="217">
        <v>75750</v>
      </c>
      <c r="H26" s="217">
        <v>136350</v>
      </c>
      <c r="I26" s="217"/>
      <c r="J26" s="217">
        <v>-88200</v>
      </c>
      <c r="K26" s="217">
        <v>-88200</v>
      </c>
      <c r="L26"/>
      <c r="M26"/>
      <c r="N26"/>
      <c r="O26"/>
    </row>
    <row r="27" spans="1:15" x14ac:dyDescent="0.35">
      <c r="A27" s="218" t="s">
        <v>439</v>
      </c>
      <c r="B27" s="217">
        <v>90000</v>
      </c>
      <c r="C27" s="217">
        <v>72397.169999999896</v>
      </c>
      <c r="D27" s="217"/>
      <c r="E27" s="217"/>
      <c r="F27" s="217">
        <v>17602.830000000104</v>
      </c>
      <c r="G27" s="217">
        <v>5867</v>
      </c>
      <c r="H27" s="217">
        <v>5867</v>
      </c>
      <c r="I27" s="217">
        <v>5869</v>
      </c>
      <c r="J27" s="217">
        <v>-0.16999999989639036</v>
      </c>
      <c r="K27" s="217">
        <v>-0.16999999989639036</v>
      </c>
      <c r="L27"/>
      <c r="M27"/>
      <c r="N27"/>
      <c r="O27"/>
    </row>
    <row r="28" spans="1:15" x14ac:dyDescent="0.35">
      <c r="A28" s="218" t="s">
        <v>354</v>
      </c>
      <c r="B28" s="217">
        <v>110000</v>
      </c>
      <c r="C28" s="217"/>
      <c r="D28" s="217"/>
      <c r="E28" s="217"/>
      <c r="F28" s="217">
        <v>110000</v>
      </c>
      <c r="G28" s="217">
        <v>50000</v>
      </c>
      <c r="H28" s="217">
        <v>30000</v>
      </c>
      <c r="I28" s="217">
        <v>10000</v>
      </c>
      <c r="J28" s="217">
        <v>20000</v>
      </c>
      <c r="K28" s="217">
        <v>20000</v>
      </c>
      <c r="L28"/>
      <c r="M28"/>
      <c r="N28"/>
      <c r="O28"/>
    </row>
    <row r="29" spans="1:15" x14ac:dyDescent="0.35">
      <c r="A29" s="218" t="s">
        <v>426</v>
      </c>
      <c r="B29" s="217">
        <v>336000</v>
      </c>
      <c r="C29" s="217">
        <v>266719.75</v>
      </c>
      <c r="D29" s="217"/>
      <c r="E29" s="217"/>
      <c r="F29" s="217">
        <v>69280.25</v>
      </c>
      <c r="G29" s="217">
        <v>20000</v>
      </c>
      <c r="H29" s="217">
        <v>20000</v>
      </c>
      <c r="I29" s="217">
        <v>20000</v>
      </c>
      <c r="J29" s="217">
        <v>9280.25</v>
      </c>
      <c r="K29" s="217">
        <v>9280.25</v>
      </c>
      <c r="L29"/>
      <c r="M29"/>
      <c r="N29"/>
      <c r="O29"/>
    </row>
    <row r="30" spans="1:15" x14ac:dyDescent="0.35">
      <c r="A30" s="218" t="s">
        <v>102</v>
      </c>
      <c r="B30" s="217">
        <v>240000</v>
      </c>
      <c r="C30" s="217">
        <v>240000</v>
      </c>
      <c r="D30" s="217"/>
      <c r="E30" s="217"/>
      <c r="F30" s="217">
        <v>0</v>
      </c>
      <c r="G30" s="217"/>
      <c r="H30" s="217"/>
      <c r="I30" s="217"/>
      <c r="J30" s="217">
        <v>0</v>
      </c>
      <c r="K30" s="217">
        <v>0</v>
      </c>
      <c r="L30"/>
      <c r="M30"/>
      <c r="N30"/>
      <c r="O30"/>
    </row>
    <row r="31" spans="1:15" x14ac:dyDescent="0.35">
      <c r="A31" s="218" t="s">
        <v>357</v>
      </c>
      <c r="B31" s="217">
        <v>990000</v>
      </c>
      <c r="C31" s="217">
        <v>557145.32000000007</v>
      </c>
      <c r="D31" s="217">
        <v>28304.499999999993</v>
      </c>
      <c r="E31" s="217">
        <v>268157.28000000003</v>
      </c>
      <c r="F31" s="217">
        <v>136392.9</v>
      </c>
      <c r="G31" s="217">
        <v>23000</v>
      </c>
      <c r="H31" s="217">
        <v>23000</v>
      </c>
      <c r="I31" s="217">
        <v>23000</v>
      </c>
      <c r="J31" s="217">
        <v>67392.899999999994</v>
      </c>
      <c r="K31" s="217">
        <v>-27032.902000000009</v>
      </c>
      <c r="L31"/>
      <c r="M31"/>
      <c r="N31"/>
      <c r="O31"/>
    </row>
    <row r="32" spans="1:15" x14ac:dyDescent="0.35">
      <c r="A32" s="218" t="s">
        <v>607</v>
      </c>
      <c r="B32" s="217">
        <v>300000</v>
      </c>
      <c r="C32" s="217"/>
      <c r="D32" s="217"/>
      <c r="E32" s="217"/>
      <c r="F32" s="217">
        <v>300000</v>
      </c>
      <c r="G32" s="217">
        <v>366666</v>
      </c>
      <c r="H32" s="217"/>
      <c r="I32" s="217"/>
      <c r="J32" s="217">
        <v>-66666</v>
      </c>
      <c r="K32" s="217">
        <v>-66666</v>
      </c>
      <c r="L32"/>
      <c r="M32"/>
      <c r="N32"/>
      <c r="O32"/>
    </row>
    <row r="33" spans="1:15" x14ac:dyDescent="0.35">
      <c r="A33" s="218" t="s">
        <v>377</v>
      </c>
      <c r="B33" s="217">
        <v>984151</v>
      </c>
      <c r="C33" s="217">
        <v>44981.51</v>
      </c>
      <c r="D33" s="217"/>
      <c r="E33" s="217"/>
      <c r="F33" s="217">
        <v>939169.49</v>
      </c>
      <c r="G33" s="217"/>
      <c r="H33" s="217"/>
      <c r="I33" s="217"/>
      <c r="J33" s="217">
        <v>939169.49</v>
      </c>
      <c r="K33" s="217">
        <v>939169.49</v>
      </c>
      <c r="L33"/>
      <c r="M33"/>
      <c r="N33"/>
      <c r="O33"/>
    </row>
    <row r="34" spans="1:15" x14ac:dyDescent="0.35">
      <c r="A34" s="218" t="s">
        <v>380</v>
      </c>
      <c r="B34" s="217">
        <v>50000</v>
      </c>
      <c r="C34" s="217">
        <v>14718</v>
      </c>
      <c r="D34" s="217"/>
      <c r="E34" s="217"/>
      <c r="F34" s="217">
        <v>35282</v>
      </c>
      <c r="G34" s="217"/>
      <c r="H34" s="217"/>
      <c r="I34" s="217"/>
      <c r="J34" s="217">
        <v>35282</v>
      </c>
      <c r="K34" s="217">
        <v>35282</v>
      </c>
      <c r="L34"/>
      <c r="M34"/>
      <c r="N34"/>
      <c r="O34"/>
    </row>
    <row r="35" spans="1:15" x14ac:dyDescent="0.35">
      <c r="A35" s="218" t="s">
        <v>46</v>
      </c>
      <c r="B35" s="217">
        <v>550028</v>
      </c>
      <c r="C35" s="217">
        <v>79851</v>
      </c>
      <c r="D35" s="217">
        <v>0</v>
      </c>
      <c r="E35" s="217">
        <v>470177</v>
      </c>
      <c r="F35" s="217">
        <v>0</v>
      </c>
      <c r="G35" s="217"/>
      <c r="H35" s="217"/>
      <c r="I35" s="217"/>
      <c r="J35" s="217">
        <v>0</v>
      </c>
      <c r="K35" s="217">
        <v>0</v>
      </c>
      <c r="L35"/>
      <c r="M35"/>
      <c r="N35"/>
      <c r="O35"/>
    </row>
    <row r="36" spans="1:15" x14ac:dyDescent="0.35">
      <c r="A36" s="218" t="s">
        <v>469</v>
      </c>
      <c r="B36" s="217">
        <v>12955785</v>
      </c>
      <c r="C36" s="217">
        <v>10221106</v>
      </c>
      <c r="D36" s="217">
        <v>1148877</v>
      </c>
      <c r="E36" s="217">
        <v>0</v>
      </c>
      <c r="F36" s="217">
        <v>1585802</v>
      </c>
      <c r="G36" s="217"/>
      <c r="H36" s="217"/>
      <c r="I36" s="217">
        <v>160127.79999999999</v>
      </c>
      <c r="J36" s="217">
        <v>-9901500</v>
      </c>
      <c r="K36" s="217">
        <v>-9901500</v>
      </c>
      <c r="L36"/>
      <c r="M36"/>
      <c r="N36"/>
      <c r="O36"/>
    </row>
    <row r="37" spans="1:15" x14ac:dyDescent="0.35">
      <c r="A37" s="218" t="s">
        <v>135</v>
      </c>
      <c r="B37" s="217">
        <v>9448317</v>
      </c>
      <c r="C37" s="217">
        <v>2903098.92</v>
      </c>
      <c r="D37" s="217">
        <v>1503933.8600000003</v>
      </c>
      <c r="E37" s="217">
        <v>2385574.35</v>
      </c>
      <c r="F37" s="217">
        <v>2655709.8699999996</v>
      </c>
      <c r="G37" s="217">
        <v>1000000</v>
      </c>
      <c r="H37" s="217">
        <v>159065</v>
      </c>
      <c r="I37" s="217">
        <v>5000</v>
      </c>
      <c r="J37" s="217">
        <v>1491644.8699999996</v>
      </c>
      <c r="K37" s="217">
        <v>1225840.8259999999</v>
      </c>
      <c r="L37"/>
      <c r="M37"/>
      <c r="N37"/>
      <c r="O37"/>
    </row>
    <row r="38" spans="1:15" x14ac:dyDescent="0.35">
      <c r="A38" s="218" t="s">
        <v>132</v>
      </c>
      <c r="B38" s="217">
        <v>15871427</v>
      </c>
      <c r="C38" s="217">
        <v>7175302.0600000005</v>
      </c>
      <c r="D38" s="217">
        <v>2951554.85</v>
      </c>
      <c r="E38" s="217">
        <v>4784434.51</v>
      </c>
      <c r="F38" s="217">
        <v>960135.57999999949</v>
      </c>
      <c r="G38" s="217">
        <v>35000</v>
      </c>
      <c r="H38" s="217">
        <v>19083.89</v>
      </c>
      <c r="I38" s="217">
        <v>1000</v>
      </c>
      <c r="J38" s="217">
        <v>905051.68999999948</v>
      </c>
      <c r="K38" s="217">
        <v>364314.56599999953</v>
      </c>
      <c r="L38"/>
      <c r="M38"/>
      <c r="N38"/>
      <c r="O38"/>
    </row>
    <row r="39" spans="1:15" x14ac:dyDescent="0.35">
      <c r="A39" s="218" t="s">
        <v>25</v>
      </c>
      <c r="B39" s="217">
        <v>3369944</v>
      </c>
      <c r="C39" s="217">
        <v>2033835.2</v>
      </c>
      <c r="D39" s="217">
        <v>1099372.21</v>
      </c>
      <c r="E39" s="217">
        <v>-1.01863406598568E-10</v>
      </c>
      <c r="F39" s="217">
        <v>236736.59000000026</v>
      </c>
      <c r="G39" s="217">
        <v>23779.41</v>
      </c>
      <c r="H39" s="217">
        <v>200000</v>
      </c>
      <c r="I39" s="217"/>
      <c r="J39" s="217">
        <v>12957.180000000262</v>
      </c>
      <c r="K39" s="217">
        <v>50365.744000000268</v>
      </c>
      <c r="L39"/>
      <c r="M39"/>
      <c r="N39"/>
      <c r="O39"/>
    </row>
    <row r="40" spans="1:15" x14ac:dyDescent="0.35">
      <c r="A40" s="218" t="s">
        <v>573</v>
      </c>
      <c r="B40" s="217">
        <v>16456570</v>
      </c>
      <c r="C40" s="217">
        <v>12767176.51</v>
      </c>
      <c r="D40" s="217">
        <v>2128507.6799999997</v>
      </c>
      <c r="E40" s="217">
        <v>1053366.4099999999</v>
      </c>
      <c r="F40" s="217">
        <v>507519.40000000037</v>
      </c>
      <c r="G40" s="217">
        <v>257445</v>
      </c>
      <c r="H40" s="217"/>
      <c r="I40" s="217">
        <v>245324</v>
      </c>
      <c r="J40" s="217">
        <v>4750.4000000003725</v>
      </c>
      <c r="K40" s="217">
        <v>4750.4000000003725</v>
      </c>
      <c r="L40"/>
      <c r="M40"/>
      <c r="N40"/>
      <c r="O40"/>
    </row>
    <row r="41" spans="1:15" x14ac:dyDescent="0.35">
      <c r="A41" s="218" t="s">
        <v>95</v>
      </c>
      <c r="B41" s="217">
        <v>2080385</v>
      </c>
      <c r="C41" s="217">
        <v>1123235.94</v>
      </c>
      <c r="D41" s="217">
        <v>-2.6193447411060302E-10</v>
      </c>
      <c r="E41" s="217">
        <v>841859.39999999898</v>
      </c>
      <c r="F41" s="217">
        <v>115289.66000000131</v>
      </c>
      <c r="G41" s="217">
        <v>64699</v>
      </c>
      <c r="H41" s="217">
        <v>20000</v>
      </c>
      <c r="I41" s="217">
        <v>0</v>
      </c>
      <c r="J41" s="217">
        <v>30590.660000001313</v>
      </c>
      <c r="K41" s="217">
        <v>28953.260000001312</v>
      </c>
      <c r="L41"/>
      <c r="M41"/>
      <c r="N41"/>
      <c r="O41"/>
    </row>
    <row r="42" spans="1:15" x14ac:dyDescent="0.35">
      <c r="A42" s="218" t="s">
        <v>466</v>
      </c>
      <c r="B42" s="217">
        <v>319000</v>
      </c>
      <c r="C42" s="217"/>
      <c r="D42" s="217"/>
      <c r="E42" s="217">
        <v>0</v>
      </c>
      <c r="F42" s="217">
        <v>319000</v>
      </c>
      <c r="G42" s="217"/>
      <c r="H42" s="217"/>
      <c r="I42" s="217"/>
      <c r="J42" s="217">
        <v>319000</v>
      </c>
      <c r="K42" s="217">
        <v>319000</v>
      </c>
      <c r="L42"/>
      <c r="M42"/>
      <c r="N42"/>
      <c r="O42"/>
    </row>
    <row r="43" spans="1:15" x14ac:dyDescent="0.35">
      <c r="A43" s="218" t="s">
        <v>392</v>
      </c>
      <c r="B43" s="217">
        <v>26000</v>
      </c>
      <c r="C43" s="217">
        <v>5024</v>
      </c>
      <c r="D43" s="217"/>
      <c r="E43" s="217"/>
      <c r="F43" s="217">
        <v>20976</v>
      </c>
      <c r="G43" s="217"/>
      <c r="H43" s="217"/>
      <c r="I43" s="217"/>
      <c r="J43" s="217">
        <v>20976</v>
      </c>
      <c r="K43" s="217">
        <v>20976</v>
      </c>
      <c r="L43"/>
      <c r="M43"/>
      <c r="N43"/>
      <c r="O43"/>
    </row>
    <row r="44" spans="1:15" x14ac:dyDescent="0.35">
      <c r="A44" s="218" t="s">
        <v>27</v>
      </c>
      <c r="B44" s="217">
        <v>2475872</v>
      </c>
      <c r="C44" s="217">
        <v>149834.06</v>
      </c>
      <c r="D44" s="217">
        <v>-2.91038304567337E-11</v>
      </c>
      <c r="E44" s="217">
        <v>1195051.8999999999</v>
      </c>
      <c r="F44" s="217">
        <v>1130986.04</v>
      </c>
      <c r="G44" s="217">
        <v>41056</v>
      </c>
      <c r="H44" s="217">
        <v>41055</v>
      </c>
      <c r="I44" s="217">
        <v>41055</v>
      </c>
      <c r="J44" s="217">
        <v>1007820.04</v>
      </c>
      <c r="K44" s="217">
        <v>756243.22</v>
      </c>
      <c r="L44"/>
      <c r="M44"/>
      <c r="N44"/>
      <c r="O44"/>
    </row>
    <row r="45" spans="1:15" x14ac:dyDescent="0.35">
      <c r="A45" s="218" t="s">
        <v>367</v>
      </c>
      <c r="B45" s="217">
        <v>1290448</v>
      </c>
      <c r="C45" s="217">
        <v>319821.12</v>
      </c>
      <c r="D45" s="217">
        <v>1</v>
      </c>
      <c r="E45" s="217">
        <v>816560.11</v>
      </c>
      <c r="F45" s="217">
        <v>154065.77000000008</v>
      </c>
      <c r="G45" s="217">
        <v>0</v>
      </c>
      <c r="H45" s="217">
        <v>0</v>
      </c>
      <c r="I45" s="217">
        <v>67597</v>
      </c>
      <c r="J45" s="217">
        <v>86468.770000000077</v>
      </c>
      <c r="K45" s="217">
        <v>76190.370000000083</v>
      </c>
      <c r="L45"/>
      <c r="M45"/>
      <c r="N45"/>
      <c r="O45"/>
    </row>
    <row r="46" spans="1:15" x14ac:dyDescent="0.35">
      <c r="A46" s="218" t="s">
        <v>646</v>
      </c>
      <c r="B46" s="217">
        <v>35000</v>
      </c>
      <c r="C46" s="217"/>
      <c r="D46" s="217"/>
      <c r="E46" s="217"/>
      <c r="F46" s="217">
        <v>35000</v>
      </c>
      <c r="G46" s="217"/>
      <c r="H46" s="217"/>
      <c r="I46" s="217">
        <v>10000</v>
      </c>
      <c r="J46" s="217">
        <v>25000</v>
      </c>
      <c r="K46" s="217">
        <v>25000</v>
      </c>
      <c r="L46"/>
      <c r="M46"/>
      <c r="N46"/>
      <c r="O46"/>
    </row>
    <row r="47" spans="1:15" x14ac:dyDescent="0.35">
      <c r="A47" s="218" t="s">
        <v>398</v>
      </c>
      <c r="B47" s="217">
        <v>10000</v>
      </c>
      <c r="C47" s="217">
        <v>848</v>
      </c>
      <c r="D47" s="217"/>
      <c r="E47" s="217"/>
      <c r="F47" s="217">
        <v>9152</v>
      </c>
      <c r="G47" s="217"/>
      <c r="H47" s="217"/>
      <c r="I47" s="217"/>
      <c r="J47" s="217">
        <v>9152</v>
      </c>
      <c r="K47" s="217">
        <v>9152</v>
      </c>
      <c r="L47"/>
      <c r="M47"/>
      <c r="N47"/>
      <c r="O47"/>
    </row>
    <row r="48" spans="1:15" x14ac:dyDescent="0.35">
      <c r="A48" s="218" t="s">
        <v>422</v>
      </c>
      <c r="B48" s="217">
        <v>140000</v>
      </c>
      <c r="C48" s="217">
        <v>23171.84</v>
      </c>
      <c r="D48" s="217">
        <v>0</v>
      </c>
      <c r="E48" s="217"/>
      <c r="F48" s="217">
        <v>116828.16</v>
      </c>
      <c r="G48" s="217">
        <v>30000</v>
      </c>
      <c r="H48" s="217">
        <v>30000</v>
      </c>
      <c r="I48" s="217">
        <v>30000</v>
      </c>
      <c r="J48" s="217">
        <v>26828.160000000003</v>
      </c>
      <c r="K48" s="217">
        <v>26828.160000000003</v>
      </c>
      <c r="L48"/>
      <c r="M48"/>
      <c r="N48"/>
      <c r="O48"/>
    </row>
    <row r="49" spans="1:15" x14ac:dyDescent="0.35">
      <c r="A49" s="218" t="s">
        <v>66</v>
      </c>
      <c r="B49" s="217">
        <v>95229</v>
      </c>
      <c r="C49" s="217">
        <v>12957.33</v>
      </c>
      <c r="D49" s="217">
        <v>0</v>
      </c>
      <c r="E49" s="217"/>
      <c r="F49" s="217">
        <v>82271.67</v>
      </c>
      <c r="G49" s="217"/>
      <c r="H49" s="217"/>
      <c r="I49" s="217"/>
      <c r="J49" s="217">
        <v>82271.67</v>
      </c>
      <c r="K49" s="217">
        <v>67817.33600000001</v>
      </c>
      <c r="L49"/>
      <c r="M49"/>
      <c r="N49"/>
      <c r="O49"/>
    </row>
    <row r="50" spans="1:15" x14ac:dyDescent="0.35">
      <c r="A50" s="218" t="s">
        <v>413</v>
      </c>
      <c r="B50" s="217">
        <v>99510</v>
      </c>
      <c r="C50" s="217">
        <v>41250</v>
      </c>
      <c r="D50" s="217"/>
      <c r="E50" s="217"/>
      <c r="F50" s="217">
        <v>58260</v>
      </c>
      <c r="G50" s="217">
        <v>10000</v>
      </c>
      <c r="H50" s="217">
        <v>22755</v>
      </c>
      <c r="I50" s="217">
        <v>22755</v>
      </c>
      <c r="J50" s="217">
        <v>2750</v>
      </c>
      <c r="K50" s="217">
        <v>2750</v>
      </c>
      <c r="L50"/>
      <c r="M50"/>
      <c r="N50"/>
      <c r="O50"/>
    </row>
    <row r="51" spans="1:15" x14ac:dyDescent="0.35">
      <c r="A51" s="218" t="s">
        <v>435</v>
      </c>
      <c r="B51" s="217">
        <v>426100</v>
      </c>
      <c r="C51" s="217">
        <v>322075</v>
      </c>
      <c r="D51" s="217">
        <v>0</v>
      </c>
      <c r="E51" s="217">
        <v>104025</v>
      </c>
      <c r="F51" s="217">
        <v>0</v>
      </c>
      <c r="G51" s="217">
        <v>91250</v>
      </c>
      <c r="H51" s="217">
        <v>2880</v>
      </c>
      <c r="I51" s="217">
        <v>0</v>
      </c>
      <c r="J51" s="217">
        <v>-384130</v>
      </c>
      <c r="K51" s="217">
        <v>-94130</v>
      </c>
      <c r="L51"/>
      <c r="M51"/>
      <c r="N51"/>
      <c r="O51"/>
    </row>
    <row r="52" spans="1:15" x14ac:dyDescent="0.35">
      <c r="A52" s="218" t="s">
        <v>68</v>
      </c>
      <c r="B52" s="217">
        <v>63812</v>
      </c>
      <c r="C52" s="217">
        <v>43812</v>
      </c>
      <c r="D52" s="217">
        <v>0</v>
      </c>
      <c r="E52" s="217">
        <v>0</v>
      </c>
      <c r="F52" s="217">
        <v>20000</v>
      </c>
      <c r="G52" s="217"/>
      <c r="H52" s="217"/>
      <c r="I52" s="217"/>
      <c r="J52" s="217">
        <v>20000</v>
      </c>
      <c r="K52" s="217">
        <v>16000</v>
      </c>
      <c r="L52"/>
      <c r="M52"/>
      <c r="N52"/>
      <c r="O52"/>
    </row>
    <row r="53" spans="1:15" x14ac:dyDescent="0.35">
      <c r="A53" s="218" t="s">
        <v>400</v>
      </c>
      <c r="B53" s="217">
        <v>77000</v>
      </c>
      <c r="C53" s="217">
        <v>12509.24</v>
      </c>
      <c r="D53" s="217"/>
      <c r="E53" s="217"/>
      <c r="F53" s="217">
        <v>64490.76</v>
      </c>
      <c r="G53" s="217">
        <v>5000</v>
      </c>
      <c r="H53" s="217">
        <v>8000</v>
      </c>
      <c r="I53" s="217">
        <v>7000</v>
      </c>
      <c r="J53" s="217">
        <v>44490.76</v>
      </c>
      <c r="K53" s="217">
        <v>43033.144</v>
      </c>
      <c r="L53"/>
      <c r="M53"/>
      <c r="N53"/>
      <c r="O53"/>
    </row>
    <row r="54" spans="1:15" x14ac:dyDescent="0.35">
      <c r="A54" s="218" t="s">
        <v>108</v>
      </c>
      <c r="B54" s="217">
        <v>135037862</v>
      </c>
      <c r="C54" s="217">
        <v>99035395.470000103</v>
      </c>
      <c r="D54" s="217"/>
      <c r="E54" s="217"/>
      <c r="F54" s="217">
        <v>36002466.529999897</v>
      </c>
      <c r="G54" s="217">
        <v>16057855.623199953</v>
      </c>
      <c r="H54" s="217">
        <v>13979521.423999961</v>
      </c>
      <c r="I54" s="217">
        <v>14224000</v>
      </c>
      <c r="J54" s="217">
        <v>-1320674.0300000012</v>
      </c>
      <c r="K54" s="217">
        <v>-1320674.0300000012</v>
      </c>
      <c r="L54"/>
      <c r="M54"/>
      <c r="N54"/>
      <c r="O54"/>
    </row>
    <row r="55" spans="1:15" x14ac:dyDescent="0.35">
      <c r="A55" s="218" t="s">
        <v>63</v>
      </c>
      <c r="B55" s="217">
        <v>877674</v>
      </c>
      <c r="C55" s="217">
        <v>20841.47</v>
      </c>
      <c r="D55" s="217"/>
      <c r="E55" s="217"/>
      <c r="F55" s="217">
        <v>856832.53</v>
      </c>
      <c r="G55" s="217">
        <v>40000</v>
      </c>
      <c r="H55" s="217">
        <v>20000</v>
      </c>
      <c r="I55" s="217">
        <v>20000</v>
      </c>
      <c r="J55" s="217">
        <v>776832.53</v>
      </c>
      <c r="K55" s="217">
        <v>776832.53</v>
      </c>
      <c r="L55"/>
      <c r="M55"/>
      <c r="N55"/>
      <c r="O55"/>
    </row>
    <row r="56" spans="1:15" x14ac:dyDescent="0.35">
      <c r="A56" s="218" t="s">
        <v>119</v>
      </c>
      <c r="B56" s="217">
        <v>815977</v>
      </c>
      <c r="C56" s="217">
        <v>261904.41</v>
      </c>
      <c r="D56" s="217">
        <v>0</v>
      </c>
      <c r="E56" s="217">
        <v>32500</v>
      </c>
      <c r="F56" s="217">
        <v>521572.59</v>
      </c>
      <c r="G56" s="217">
        <v>12800</v>
      </c>
      <c r="H56" s="217">
        <v>11580</v>
      </c>
      <c r="I56" s="217">
        <v>17500</v>
      </c>
      <c r="J56" s="217">
        <v>479692.59</v>
      </c>
      <c r="K56" s="217">
        <v>445629.08600000001</v>
      </c>
      <c r="L56"/>
      <c r="M56"/>
      <c r="N56"/>
      <c r="O56"/>
    </row>
    <row r="57" spans="1:15" x14ac:dyDescent="0.35">
      <c r="A57" s="218" t="s">
        <v>61</v>
      </c>
      <c r="B57" s="217">
        <v>1157850</v>
      </c>
      <c r="C57" s="217"/>
      <c r="D57" s="217">
        <v>909458.75</v>
      </c>
      <c r="E57" s="217"/>
      <c r="F57" s="217">
        <v>248391.25</v>
      </c>
      <c r="G57" s="217">
        <v>156000</v>
      </c>
      <c r="H57" s="217">
        <v>92391</v>
      </c>
      <c r="I57" s="217"/>
      <c r="J57" s="217">
        <v>0.25</v>
      </c>
      <c r="K57" s="217">
        <v>0.25</v>
      </c>
      <c r="L57"/>
      <c r="M57"/>
      <c r="N57"/>
      <c r="O57"/>
    </row>
    <row r="58" spans="1:15" x14ac:dyDescent="0.35">
      <c r="A58" s="218" t="s">
        <v>479</v>
      </c>
      <c r="B58" s="217">
        <v>1034317</v>
      </c>
      <c r="C58" s="217">
        <v>754866.67</v>
      </c>
      <c r="D58" s="217">
        <v>-8.7311491370201098E-11</v>
      </c>
      <c r="E58" s="217">
        <v>265899.09999999998</v>
      </c>
      <c r="F58" s="217">
        <v>13551.230000000098</v>
      </c>
      <c r="G58" s="217"/>
      <c r="H58" s="217"/>
      <c r="I58" s="217"/>
      <c r="J58" s="217">
        <v>13551.230000000098</v>
      </c>
      <c r="K58" s="217">
        <v>13551.230000000098</v>
      </c>
      <c r="L58"/>
      <c r="M58"/>
      <c r="N58"/>
      <c r="O58"/>
    </row>
    <row r="59" spans="1:15" x14ac:dyDescent="0.35">
      <c r="A59" s="218" t="s">
        <v>416</v>
      </c>
      <c r="B59" s="217">
        <v>100000</v>
      </c>
      <c r="C59" s="217">
        <v>24415</v>
      </c>
      <c r="D59" s="217">
        <v>0</v>
      </c>
      <c r="E59" s="217">
        <v>0</v>
      </c>
      <c r="F59" s="217">
        <v>75585</v>
      </c>
      <c r="G59" s="217"/>
      <c r="H59" s="217"/>
      <c r="I59" s="217"/>
      <c r="J59" s="217">
        <v>75585</v>
      </c>
      <c r="K59" s="217">
        <v>75585</v>
      </c>
      <c r="L59"/>
      <c r="M59"/>
      <c r="N59"/>
      <c r="O59"/>
    </row>
    <row r="60" spans="1:15" x14ac:dyDescent="0.35">
      <c r="A60" s="218" t="s">
        <v>383</v>
      </c>
      <c r="B60" s="217">
        <v>200211</v>
      </c>
      <c r="C60" s="217">
        <v>199212.79999999999</v>
      </c>
      <c r="D60" s="217"/>
      <c r="E60" s="217"/>
      <c r="F60" s="217">
        <v>998.20000000001164</v>
      </c>
      <c r="G60" s="217"/>
      <c r="H60" s="217"/>
      <c r="I60" s="217"/>
      <c r="J60" s="217">
        <v>998.20000000001164</v>
      </c>
      <c r="K60" s="217">
        <v>998.20000000001164</v>
      </c>
      <c r="L60"/>
      <c r="M60"/>
      <c r="N60"/>
      <c r="O60"/>
    </row>
    <row r="61" spans="1:15" x14ac:dyDescent="0.35">
      <c r="A61" s="218" t="s">
        <v>418</v>
      </c>
      <c r="B61" s="217">
        <v>967680</v>
      </c>
      <c r="C61" s="217">
        <v>14000</v>
      </c>
      <c r="D61" s="217">
        <v>901610</v>
      </c>
      <c r="E61" s="217">
        <v>7000</v>
      </c>
      <c r="F61" s="217">
        <v>45070</v>
      </c>
      <c r="G61" s="217"/>
      <c r="H61" s="217"/>
      <c r="I61" s="217"/>
      <c r="J61" s="217">
        <v>45070</v>
      </c>
      <c r="K61" s="217">
        <v>45070</v>
      </c>
      <c r="L61"/>
      <c r="M61"/>
      <c r="N61"/>
      <c r="O61"/>
    </row>
    <row r="62" spans="1:15" x14ac:dyDescent="0.35">
      <c r="A62" s="218" t="s">
        <v>89</v>
      </c>
      <c r="B62" s="217">
        <v>694710</v>
      </c>
      <c r="C62" s="217"/>
      <c r="D62" s="217"/>
      <c r="E62" s="217"/>
      <c r="F62" s="217">
        <v>694710</v>
      </c>
      <c r="G62" s="217"/>
      <c r="H62" s="217"/>
      <c r="I62" s="217"/>
      <c r="J62" s="217">
        <v>694710</v>
      </c>
      <c r="K62" s="217">
        <v>555768</v>
      </c>
      <c r="L62"/>
      <c r="M62"/>
      <c r="N62"/>
      <c r="O62"/>
    </row>
    <row r="63" spans="1:15" x14ac:dyDescent="0.35">
      <c r="A63" s="218" t="s">
        <v>547</v>
      </c>
      <c r="B63" s="217">
        <v>132000</v>
      </c>
      <c r="C63" s="217">
        <v>54626.5</v>
      </c>
      <c r="D63" s="217">
        <v>0</v>
      </c>
      <c r="E63" s="217">
        <v>48600</v>
      </c>
      <c r="F63" s="217">
        <v>28773.5</v>
      </c>
      <c r="G63" s="217">
        <v>13426.75</v>
      </c>
      <c r="H63" s="217">
        <v>13426.75</v>
      </c>
      <c r="I63" s="217">
        <v>0</v>
      </c>
      <c r="J63" s="217">
        <v>1920</v>
      </c>
      <c r="K63" s="217">
        <v>1920</v>
      </c>
      <c r="L63"/>
      <c r="M63"/>
      <c r="N63"/>
      <c r="O63"/>
    </row>
    <row r="64" spans="1:15" x14ac:dyDescent="0.35">
      <c r="A64" s="218" t="s">
        <v>81</v>
      </c>
      <c r="B64" s="217"/>
      <c r="C64" s="217"/>
      <c r="D64" s="217"/>
      <c r="E64" s="217"/>
      <c r="F64" s="217"/>
      <c r="G64" s="217"/>
      <c r="H64" s="217"/>
      <c r="I64" s="217"/>
      <c r="J64" s="217"/>
      <c r="K64" s="217"/>
      <c r="L64"/>
      <c r="M64"/>
      <c r="N64"/>
      <c r="O64"/>
    </row>
    <row r="65" spans="1:15" x14ac:dyDescent="0.35">
      <c r="A65" s="253" t="s">
        <v>498</v>
      </c>
      <c r="B65" s="217">
        <v>0</v>
      </c>
      <c r="C65" s="217"/>
      <c r="D65" s="217"/>
      <c r="E65" s="217"/>
      <c r="F65" s="217">
        <v>0</v>
      </c>
      <c r="G65" s="217"/>
      <c r="H65" s="217"/>
      <c r="I65" s="217"/>
      <c r="J65" s="217">
        <v>0</v>
      </c>
      <c r="K65" s="217">
        <v>0</v>
      </c>
      <c r="L65"/>
      <c r="M65"/>
      <c r="N65"/>
      <c r="O65"/>
    </row>
    <row r="66" spans="1:15" x14ac:dyDescent="0.35">
      <c r="A66" s="253" t="s">
        <v>72</v>
      </c>
      <c r="B66" s="217">
        <v>10000000</v>
      </c>
      <c r="C66" s="217"/>
      <c r="D66" s="217"/>
      <c r="E66" s="217"/>
      <c r="F66" s="217">
        <v>10000000</v>
      </c>
      <c r="G66" s="217"/>
      <c r="H66" s="217"/>
      <c r="I66" s="217"/>
      <c r="J66" s="217">
        <v>10000000</v>
      </c>
      <c r="K66" s="217">
        <v>4799886</v>
      </c>
      <c r="L66"/>
      <c r="M66"/>
      <c r="N66"/>
      <c r="O66"/>
    </row>
    <row r="67" spans="1:15" x14ac:dyDescent="0.35">
      <c r="A67" s="253" t="s">
        <v>503</v>
      </c>
      <c r="B67" s="217">
        <v>826280</v>
      </c>
      <c r="C67" s="217"/>
      <c r="D67" s="217"/>
      <c r="E67" s="217"/>
      <c r="F67" s="217">
        <v>826280</v>
      </c>
      <c r="G67" s="217"/>
      <c r="H67" s="217"/>
      <c r="I67" s="217"/>
      <c r="J67" s="217">
        <v>826280</v>
      </c>
      <c r="K67" s="217">
        <v>826280</v>
      </c>
      <c r="L67"/>
      <c r="M67"/>
      <c r="N67"/>
      <c r="O67"/>
    </row>
    <row r="68" spans="1:15" x14ac:dyDescent="0.35">
      <c r="A68" s="253" t="s">
        <v>512</v>
      </c>
      <c r="B68" s="217">
        <v>157190</v>
      </c>
      <c r="C68" s="217">
        <v>157599.53</v>
      </c>
      <c r="D68" s="217"/>
      <c r="E68" s="217">
        <v>-409.91000000000298</v>
      </c>
      <c r="F68" s="217">
        <v>0.38000000000414502</v>
      </c>
      <c r="G68" s="217"/>
      <c r="H68" s="217"/>
      <c r="I68" s="217"/>
      <c r="J68" s="217">
        <v>0.38000000000414502</v>
      </c>
      <c r="K68" s="217">
        <v>0.38000000000414502</v>
      </c>
      <c r="L68"/>
      <c r="M68"/>
      <c r="N68"/>
      <c r="O68"/>
    </row>
    <row r="69" spans="1:15" x14ac:dyDescent="0.35">
      <c r="A69" s="253" t="s">
        <v>518</v>
      </c>
      <c r="B69" s="217">
        <v>90170195</v>
      </c>
      <c r="C69" s="217">
        <v>59036197.060000002</v>
      </c>
      <c r="D69" s="217">
        <v>1302442.29</v>
      </c>
      <c r="E69" s="217">
        <v>2812212.05</v>
      </c>
      <c r="F69" s="217">
        <v>27019343.599999998</v>
      </c>
      <c r="G69" s="217">
        <v>9006447.8666666672</v>
      </c>
      <c r="H69" s="217">
        <v>9006447.8666666672</v>
      </c>
      <c r="I69" s="217">
        <v>7006447.8666666709</v>
      </c>
      <c r="J69" s="217">
        <v>1999999.9999999925</v>
      </c>
      <c r="K69" s="217">
        <v>1999999.9999999925</v>
      </c>
      <c r="L69"/>
      <c r="M69"/>
      <c r="N69"/>
      <c r="O69"/>
    </row>
    <row r="70" spans="1:15" x14ac:dyDescent="0.35">
      <c r="A70" s="218" t="s">
        <v>369</v>
      </c>
      <c r="B70" s="217">
        <v>8873620</v>
      </c>
      <c r="C70" s="217">
        <v>4330638.3899999997</v>
      </c>
      <c r="D70" s="217">
        <v>3020360</v>
      </c>
      <c r="E70" s="217">
        <v>1333687.3700000001</v>
      </c>
      <c r="F70" s="217">
        <v>188934.24000000002</v>
      </c>
      <c r="G70" s="217">
        <v>62977</v>
      </c>
      <c r="H70" s="217">
        <v>62977</v>
      </c>
      <c r="I70" s="217">
        <v>62977</v>
      </c>
      <c r="J70" s="217">
        <v>3.2400000000307045</v>
      </c>
      <c r="K70" s="217">
        <v>3.2400000000307045</v>
      </c>
      <c r="L70"/>
      <c r="M70"/>
      <c r="N70"/>
      <c r="O70"/>
    </row>
    <row r="71" spans="1:15" x14ac:dyDescent="0.35">
      <c r="A71" s="218" t="s">
        <v>565</v>
      </c>
      <c r="B71" s="217">
        <v>887069</v>
      </c>
      <c r="C71" s="217">
        <v>120718.5</v>
      </c>
      <c r="D71" s="217"/>
      <c r="E71" s="217"/>
      <c r="F71" s="217">
        <v>766350.5</v>
      </c>
      <c r="G71" s="217"/>
      <c r="H71" s="217"/>
      <c r="I71" s="217"/>
      <c r="J71" s="217">
        <v>766350.5</v>
      </c>
      <c r="K71" s="217">
        <v>766350.5</v>
      </c>
      <c r="L71"/>
      <c r="M71"/>
      <c r="N71"/>
      <c r="O71"/>
    </row>
    <row r="72" spans="1:15" x14ac:dyDescent="0.35">
      <c r="A72" s="218" t="s">
        <v>41</v>
      </c>
      <c r="B72" s="217">
        <v>50000</v>
      </c>
      <c r="C72" s="217"/>
      <c r="D72" s="217"/>
      <c r="E72" s="217"/>
      <c r="F72" s="217">
        <v>50000</v>
      </c>
      <c r="G72" s="217"/>
      <c r="H72" s="217"/>
      <c r="I72" s="217"/>
      <c r="J72" s="217">
        <v>50000</v>
      </c>
      <c r="K72" s="217">
        <v>40000</v>
      </c>
      <c r="L72"/>
      <c r="M72"/>
      <c r="N72"/>
      <c r="O72"/>
    </row>
    <row r="73" spans="1:15" x14ac:dyDescent="0.35">
      <c r="A73" s="218" t="s">
        <v>394</v>
      </c>
      <c r="B73" s="217">
        <v>20000</v>
      </c>
      <c r="C73" s="217"/>
      <c r="D73" s="217"/>
      <c r="E73" s="217"/>
      <c r="F73" s="217">
        <v>20000</v>
      </c>
      <c r="G73" s="217"/>
      <c r="H73" s="217"/>
      <c r="I73" s="217"/>
      <c r="J73" s="217">
        <v>20000</v>
      </c>
      <c r="K73" s="217">
        <v>20000</v>
      </c>
      <c r="L73"/>
      <c r="M73"/>
      <c r="N73"/>
      <c r="O73"/>
    </row>
    <row r="74" spans="1:15" x14ac:dyDescent="0.35">
      <c r="A74" s="218" t="s">
        <v>29</v>
      </c>
      <c r="B74" s="217">
        <v>2293312</v>
      </c>
      <c r="C74" s="217">
        <v>326901.28000000003</v>
      </c>
      <c r="D74" s="217">
        <v>20000</v>
      </c>
      <c r="E74" s="217">
        <v>181500</v>
      </c>
      <c r="F74" s="217">
        <v>1764910.72</v>
      </c>
      <c r="G74" s="217">
        <v>0</v>
      </c>
      <c r="H74" s="217">
        <v>48081</v>
      </c>
      <c r="I74" s="217">
        <v>48082</v>
      </c>
      <c r="J74" s="217">
        <v>1668747.72</v>
      </c>
      <c r="K74" s="217">
        <v>1304029.852</v>
      </c>
      <c r="L74"/>
      <c r="M74"/>
      <c r="N74"/>
      <c r="O74"/>
    </row>
    <row r="75" spans="1:15" x14ac:dyDescent="0.35">
      <c r="A75" s="218" t="s">
        <v>443</v>
      </c>
      <c r="B75" s="217">
        <v>342375</v>
      </c>
      <c r="C75" s="217">
        <v>164284.13</v>
      </c>
      <c r="D75" s="217">
        <v>53.010000000002002</v>
      </c>
      <c r="E75" s="217">
        <v>8021.99999999999</v>
      </c>
      <c r="F75" s="217">
        <v>170015.86</v>
      </c>
      <c r="G75" s="217">
        <v>14150</v>
      </c>
      <c r="H75" s="217">
        <v>24720</v>
      </c>
      <c r="I75" s="217">
        <v>60000</v>
      </c>
      <c r="J75" s="217">
        <v>71145.86</v>
      </c>
      <c r="K75" s="217">
        <v>69406.638000000006</v>
      </c>
      <c r="L75"/>
      <c r="M75"/>
      <c r="N75"/>
      <c r="O75"/>
    </row>
    <row r="76" spans="1:15" x14ac:dyDescent="0.35">
      <c r="A76" s="218" t="s">
        <v>591</v>
      </c>
      <c r="B76" s="217">
        <v>410000</v>
      </c>
      <c r="C76" s="217">
        <v>85680</v>
      </c>
      <c r="D76" s="217">
        <v>230400</v>
      </c>
      <c r="E76" s="217">
        <v>81632</v>
      </c>
      <c r="F76" s="217">
        <v>12288</v>
      </c>
      <c r="G76" s="217"/>
      <c r="H76" s="217">
        <v>12288</v>
      </c>
      <c r="I76" s="217"/>
      <c r="J76" s="217">
        <v>-3900000</v>
      </c>
      <c r="K76" s="217">
        <v>-3900000</v>
      </c>
      <c r="L76"/>
      <c r="M76"/>
      <c r="N76"/>
      <c r="O76"/>
    </row>
    <row r="77" spans="1:15" x14ac:dyDescent="0.35">
      <c r="A77" s="218" t="s">
        <v>142</v>
      </c>
      <c r="B77" s="217">
        <v>1223600</v>
      </c>
      <c r="C77" s="217">
        <v>281815.01999999996</v>
      </c>
      <c r="D77" s="217">
        <v>238050</v>
      </c>
      <c r="E77" s="217">
        <v>62469.05</v>
      </c>
      <c r="F77" s="217">
        <v>641265.92999999993</v>
      </c>
      <c r="G77" s="217">
        <v>76907</v>
      </c>
      <c r="H77" s="217">
        <v>71907</v>
      </c>
      <c r="I77" s="217">
        <v>5000</v>
      </c>
      <c r="J77" s="217">
        <v>487451.93</v>
      </c>
      <c r="K77" s="217">
        <v>219159.16200000001</v>
      </c>
      <c r="L77"/>
      <c r="M77"/>
      <c r="N77"/>
      <c r="O77"/>
    </row>
    <row r="78" spans="1:15" x14ac:dyDescent="0.35">
      <c r="A78" s="218" t="s">
        <v>110</v>
      </c>
      <c r="B78" s="217">
        <v>2370500</v>
      </c>
      <c r="C78" s="217">
        <v>544407.09</v>
      </c>
      <c r="D78" s="217"/>
      <c r="E78" s="217"/>
      <c r="F78" s="217">
        <v>1826092.9100000001</v>
      </c>
      <c r="G78" s="217">
        <v>30000</v>
      </c>
      <c r="H78" s="217">
        <v>45000</v>
      </c>
      <c r="I78" s="217">
        <v>549445</v>
      </c>
      <c r="J78" s="217">
        <v>1201647.9100000001</v>
      </c>
      <c r="K78" s="217">
        <v>871094.25800000003</v>
      </c>
      <c r="L78"/>
      <c r="M78"/>
      <c r="N78"/>
      <c r="O78"/>
    </row>
    <row r="79" spans="1:15" x14ac:dyDescent="0.35">
      <c r="A79" s="218" t="s">
        <v>112</v>
      </c>
      <c r="B79" s="217">
        <v>2758974</v>
      </c>
      <c r="C79" s="217">
        <v>459607.07999999996</v>
      </c>
      <c r="D79" s="217"/>
      <c r="E79" s="217"/>
      <c r="F79" s="217">
        <v>2299366.92</v>
      </c>
      <c r="G79" s="217">
        <v>546685.44999999995</v>
      </c>
      <c r="H79" s="217">
        <v>1155685.76</v>
      </c>
      <c r="I79" s="217">
        <v>518674.18</v>
      </c>
      <c r="J79" s="217">
        <v>78321.530000000013</v>
      </c>
      <c r="K79" s="217">
        <v>78321.530000000013</v>
      </c>
      <c r="L79"/>
      <c r="M79"/>
      <c r="N79"/>
      <c r="O79"/>
    </row>
    <row r="80" spans="1:15" x14ac:dyDescent="0.35">
      <c r="A80" s="218" t="s">
        <v>104</v>
      </c>
      <c r="B80" s="217">
        <v>4816800</v>
      </c>
      <c r="C80" s="217">
        <v>2999457.57</v>
      </c>
      <c r="D80" s="217"/>
      <c r="E80" s="217"/>
      <c r="F80" s="217">
        <v>1817342.4300000002</v>
      </c>
      <c r="G80" s="217">
        <v>363330.08600000001</v>
      </c>
      <c r="H80" s="217">
        <v>908325.21499999997</v>
      </c>
      <c r="I80" s="217">
        <v>545687.12899999996</v>
      </c>
      <c r="J80" s="217">
        <v>0</v>
      </c>
      <c r="K80" s="217">
        <v>0</v>
      </c>
      <c r="L80"/>
      <c r="M80"/>
      <c r="N80"/>
      <c r="O80"/>
    </row>
    <row r="81" spans="1:15" x14ac:dyDescent="0.35">
      <c r="A81" s="218" t="s">
        <v>59</v>
      </c>
      <c r="B81" s="217">
        <v>2855753</v>
      </c>
      <c r="C81" s="217">
        <v>1217983.8</v>
      </c>
      <c r="D81" s="217">
        <v>410760.3</v>
      </c>
      <c r="E81" s="217">
        <v>13656.5</v>
      </c>
      <c r="F81" s="217">
        <v>1213352.3999999999</v>
      </c>
      <c r="G81" s="217">
        <v>75000</v>
      </c>
      <c r="H81" s="217">
        <v>75000</v>
      </c>
      <c r="I81" s="217">
        <v>47060</v>
      </c>
      <c r="J81" s="217">
        <v>1016292.3999999999</v>
      </c>
      <c r="K81" s="217">
        <v>456658.92400000006</v>
      </c>
      <c r="L81"/>
      <c r="M81"/>
      <c r="N81"/>
      <c r="O81"/>
    </row>
    <row r="82" spans="1:15" x14ac:dyDescent="0.35">
      <c r="A82" s="218" t="s">
        <v>106</v>
      </c>
      <c r="B82" s="217">
        <v>2011663</v>
      </c>
      <c r="C82" s="217">
        <v>961278.05</v>
      </c>
      <c r="D82" s="217"/>
      <c r="E82" s="217"/>
      <c r="F82" s="217">
        <v>1050384.95</v>
      </c>
      <c r="G82" s="217">
        <v>226281.95200000002</v>
      </c>
      <c r="H82" s="217">
        <v>339422.92800000001</v>
      </c>
      <c r="I82" s="217">
        <v>473391</v>
      </c>
      <c r="J82" s="217">
        <v>11289.069999999896</v>
      </c>
      <c r="K82" s="217">
        <v>11289.069999999896</v>
      </c>
      <c r="L82"/>
      <c r="M82"/>
      <c r="N82"/>
      <c r="O82"/>
    </row>
    <row r="83" spans="1:15" x14ac:dyDescent="0.35">
      <c r="A83" s="218" t="s">
        <v>551</v>
      </c>
      <c r="B83" s="217">
        <v>80582600</v>
      </c>
      <c r="C83" s="217">
        <v>49281401.380000003</v>
      </c>
      <c r="D83" s="217"/>
      <c r="E83" s="217"/>
      <c r="F83" s="217">
        <v>31301198.619999997</v>
      </c>
      <c r="G83" s="217">
        <v>10243611</v>
      </c>
      <c r="H83" s="217">
        <v>10246984</v>
      </c>
      <c r="I83" s="217">
        <v>7514454.9333333336</v>
      </c>
      <c r="J83" s="217">
        <v>3296148.6866666637</v>
      </c>
      <c r="K83" s="217">
        <v>3296148.6866666637</v>
      </c>
      <c r="L83"/>
      <c r="M83"/>
      <c r="N83"/>
      <c r="O83"/>
    </row>
    <row r="84" spans="1:15" x14ac:dyDescent="0.35">
      <c r="A84" s="218" t="s">
        <v>589</v>
      </c>
      <c r="B84" s="217">
        <v>9641961</v>
      </c>
      <c r="C84" s="217">
        <v>-58814.48</v>
      </c>
      <c r="D84" s="217"/>
      <c r="E84" s="217">
        <v>662298.51</v>
      </c>
      <c r="F84" s="217">
        <v>9038476.9700000007</v>
      </c>
      <c r="G84" s="217">
        <v>10067605.25</v>
      </c>
      <c r="H84" s="217">
        <v>1243175.75</v>
      </c>
      <c r="I84" s="217">
        <v>1235775.75</v>
      </c>
      <c r="J84" s="217">
        <v>-5300000</v>
      </c>
      <c r="K84" s="217">
        <v>-5300000</v>
      </c>
      <c r="L84"/>
      <c r="M84"/>
      <c r="N84"/>
      <c r="O84"/>
    </row>
    <row r="85" spans="1:15" x14ac:dyDescent="0.35">
      <c r="A85" s="218" t="s">
        <v>51</v>
      </c>
      <c r="B85" s="217">
        <v>792324</v>
      </c>
      <c r="C85" s="217">
        <v>195258.41</v>
      </c>
      <c r="D85" s="217">
        <v>0</v>
      </c>
      <c r="E85" s="217">
        <v>335515.42</v>
      </c>
      <c r="F85" s="217">
        <v>261550.16999999998</v>
      </c>
      <c r="G85" s="217">
        <v>30000</v>
      </c>
      <c r="H85" s="217">
        <v>100000</v>
      </c>
      <c r="I85" s="217">
        <v>74368</v>
      </c>
      <c r="J85" s="217">
        <v>57182.169999999984</v>
      </c>
      <c r="K85" s="217">
        <v>54182.145999999986</v>
      </c>
      <c r="L85"/>
      <c r="M85"/>
      <c r="N85"/>
      <c r="O85"/>
    </row>
    <row r="86" spans="1:15" x14ac:dyDescent="0.35">
      <c r="A86" s="218" t="s">
        <v>473</v>
      </c>
      <c r="B86" s="217">
        <v>1215000</v>
      </c>
      <c r="C86" s="217">
        <v>946683.89</v>
      </c>
      <c r="D86" s="217"/>
      <c r="E86" s="217"/>
      <c r="F86" s="217">
        <v>268316.11</v>
      </c>
      <c r="G86" s="217">
        <v>1483000</v>
      </c>
      <c r="H86" s="217">
        <v>58000</v>
      </c>
      <c r="I86" s="217">
        <v>58000</v>
      </c>
      <c r="J86" s="217">
        <v>-1330683.8900000001</v>
      </c>
      <c r="K86" s="217">
        <v>1000</v>
      </c>
      <c r="L86"/>
      <c r="M86"/>
      <c r="N86"/>
      <c r="O86"/>
    </row>
    <row r="87" spans="1:15" s="219" customFormat="1" hidden="1" x14ac:dyDescent="0.35">
      <c r="A87" s="218" t="s">
        <v>202</v>
      </c>
      <c r="B87" s="217">
        <v>9681515</v>
      </c>
      <c r="C87" s="217">
        <v>4280146.8599999994</v>
      </c>
      <c r="D87" s="217">
        <v>4852865.17</v>
      </c>
      <c r="E87" s="217">
        <v>0</v>
      </c>
      <c r="F87" s="217">
        <v>548502.97000000032</v>
      </c>
      <c r="G87" s="217"/>
      <c r="H87" s="217">
        <v>10000</v>
      </c>
      <c r="I87" s="217">
        <v>6209.32</v>
      </c>
      <c r="J87" s="217">
        <v>532293.65000000037</v>
      </c>
      <c r="K87" s="217">
        <v>486493.65000000037</v>
      </c>
      <c r="L87"/>
      <c r="M87"/>
      <c r="N87"/>
      <c r="O87"/>
    </row>
    <row r="88" spans="1:15" x14ac:dyDescent="0.35">
      <c r="A88" s="218" t="s">
        <v>137</v>
      </c>
      <c r="B88" s="217">
        <v>292140</v>
      </c>
      <c r="C88" s="217">
        <v>34780</v>
      </c>
      <c r="D88" s="217">
        <v>0</v>
      </c>
      <c r="E88" s="217">
        <v>43240</v>
      </c>
      <c r="F88" s="217">
        <v>214120</v>
      </c>
      <c r="G88" s="217">
        <v>20000</v>
      </c>
      <c r="H88" s="217">
        <v>0</v>
      </c>
      <c r="I88" s="217">
        <v>0</v>
      </c>
      <c r="J88" s="217">
        <v>194120</v>
      </c>
      <c r="K88" s="217">
        <v>135716</v>
      </c>
      <c r="L88"/>
      <c r="M88"/>
      <c r="N88"/>
      <c r="O88"/>
    </row>
    <row r="89" spans="1:15" x14ac:dyDescent="0.35">
      <c r="A89" s="218" t="s">
        <v>459</v>
      </c>
      <c r="B89" s="217">
        <v>10000</v>
      </c>
      <c r="C89" s="217"/>
      <c r="D89" s="217"/>
      <c r="E89" s="217"/>
      <c r="F89" s="217">
        <v>10000</v>
      </c>
      <c r="G89" s="217"/>
      <c r="H89" s="217"/>
      <c r="I89" s="217"/>
      <c r="J89" s="217">
        <v>10000</v>
      </c>
      <c r="K89" s="217">
        <v>8000</v>
      </c>
      <c r="L89"/>
      <c r="M89"/>
      <c r="N89"/>
      <c r="O89"/>
    </row>
    <row r="90" spans="1:15" x14ac:dyDescent="0.35">
      <c r="A90" s="218" t="s">
        <v>622</v>
      </c>
      <c r="B90" s="217">
        <v>12000</v>
      </c>
      <c r="C90" s="217"/>
      <c r="D90" s="217"/>
      <c r="E90" s="217"/>
      <c r="F90" s="217">
        <v>12000</v>
      </c>
      <c r="G90" s="217"/>
      <c r="H90" s="217"/>
      <c r="I90" s="217">
        <v>12000</v>
      </c>
      <c r="J90" s="217">
        <v>0</v>
      </c>
      <c r="K90" s="217">
        <v>0</v>
      </c>
      <c r="L90"/>
      <c r="M90"/>
      <c r="N90"/>
      <c r="O90"/>
    </row>
    <row r="91" spans="1:15" x14ac:dyDescent="0.35">
      <c r="A91" s="218" t="s">
        <v>408</v>
      </c>
      <c r="B91" s="217">
        <v>4691229</v>
      </c>
      <c r="C91" s="217">
        <v>2583210.39</v>
      </c>
      <c r="D91" s="217"/>
      <c r="E91" s="217"/>
      <c r="F91" s="217">
        <v>2108018.61</v>
      </c>
      <c r="G91" s="217"/>
      <c r="H91" s="217"/>
      <c r="I91" s="217">
        <v>2108018</v>
      </c>
      <c r="J91" s="217">
        <v>0.60999999986961484</v>
      </c>
      <c r="K91" s="217">
        <v>0.60999999986961484</v>
      </c>
      <c r="L91"/>
      <c r="M91"/>
      <c r="N91"/>
      <c r="O91"/>
    </row>
    <row r="92" spans="1:15" x14ac:dyDescent="0.35">
      <c r="A92" s="218" t="s">
        <v>719</v>
      </c>
      <c r="B92" s="217">
        <v>579850000</v>
      </c>
      <c r="C92" s="217">
        <v>321675274.61000013</v>
      </c>
      <c r="D92" s="217">
        <v>27533031.460000001</v>
      </c>
      <c r="E92" s="217">
        <v>39813473.489999995</v>
      </c>
      <c r="F92" s="217">
        <v>190828220.43999994</v>
      </c>
      <c r="G92" s="217">
        <v>57713984.046866626</v>
      </c>
      <c r="H92" s="217">
        <v>45812497.107666634</v>
      </c>
      <c r="I92" s="217">
        <v>47727454.776000015</v>
      </c>
      <c r="J92" s="217">
        <v>24203426.576666646</v>
      </c>
      <c r="K92" s="217">
        <v>8891782.6366666537</v>
      </c>
      <c r="L92"/>
      <c r="M92"/>
      <c r="N92"/>
      <c r="O92"/>
    </row>
    <row r="93" spans="1:15" x14ac:dyDescent="0.35">
      <c r="A93"/>
      <c r="B93"/>
      <c r="C93"/>
      <c r="D93"/>
      <c r="E93"/>
      <c r="F93"/>
      <c r="G93"/>
      <c r="H93"/>
      <c r="I93"/>
      <c r="J93"/>
      <c r="K93"/>
      <c r="L93"/>
      <c r="M93"/>
      <c r="N93"/>
      <c r="O93"/>
    </row>
    <row r="94" spans="1:15" x14ac:dyDescent="0.35">
      <c r="A94"/>
      <c r="B94"/>
      <c r="C94"/>
      <c r="D94"/>
      <c r="E94"/>
      <c r="F94"/>
      <c r="G94"/>
      <c r="H94"/>
      <c r="I94"/>
      <c r="J94"/>
      <c r="K94"/>
      <c r="L94"/>
      <c r="M94"/>
      <c r="N94"/>
      <c r="O94"/>
    </row>
    <row r="95" spans="1:15" x14ac:dyDescent="0.35">
      <c r="A95"/>
      <c r="B95"/>
      <c r="C95"/>
      <c r="D95"/>
      <c r="E95"/>
      <c r="F95"/>
      <c r="G95"/>
      <c r="H95"/>
      <c r="I95"/>
      <c r="J95"/>
      <c r="K95"/>
      <c r="L95"/>
      <c r="M95"/>
      <c r="N95"/>
      <c r="O95"/>
    </row>
    <row r="96" spans="1:15" x14ac:dyDescent="0.35">
      <c r="A96"/>
      <c r="B96"/>
      <c r="C96"/>
      <c r="D96"/>
      <c r="E96"/>
      <c r="F96"/>
      <c r="G96"/>
      <c r="H96"/>
      <c r="I96"/>
      <c r="J96"/>
      <c r="K96"/>
      <c r="L96"/>
      <c r="M96"/>
      <c r="N96"/>
      <c r="O96"/>
    </row>
    <row r="97" spans="1:15" x14ac:dyDescent="0.35">
      <c r="A97"/>
      <c r="B97"/>
      <c r="C97"/>
      <c r="D97"/>
      <c r="E97"/>
      <c r="F97"/>
      <c r="G97"/>
      <c r="H97"/>
      <c r="I97"/>
      <c r="J97"/>
      <c r="K97"/>
      <c r="L97"/>
      <c r="M97"/>
      <c r="N97"/>
      <c r="O97"/>
    </row>
    <row r="98" spans="1:15" x14ac:dyDescent="0.35">
      <c r="A98"/>
      <c r="B98"/>
      <c r="C98"/>
      <c r="D98"/>
      <c r="E98"/>
      <c r="F98"/>
      <c r="G98"/>
      <c r="H98"/>
      <c r="I98"/>
      <c r="J98"/>
      <c r="K98"/>
      <c r="L98"/>
      <c r="M98"/>
      <c r="N98"/>
      <c r="O98"/>
    </row>
    <row r="99" spans="1:15" x14ac:dyDescent="0.35">
      <c r="A99"/>
      <c r="B99"/>
      <c r="C99"/>
      <c r="D99"/>
      <c r="E99"/>
      <c r="F99"/>
      <c r="G99"/>
      <c r="H99"/>
      <c r="I99"/>
      <c r="J99"/>
      <c r="K99"/>
      <c r="L99"/>
      <c r="M99"/>
      <c r="N99"/>
      <c r="O99"/>
    </row>
    <row r="100" spans="1:15" x14ac:dyDescent="0.35">
      <c r="A100"/>
      <c r="B100"/>
      <c r="C100"/>
      <c r="D100"/>
      <c r="E100"/>
      <c r="F100"/>
      <c r="G100"/>
      <c r="H100"/>
      <c r="I100"/>
      <c r="J100"/>
      <c r="K100"/>
      <c r="L100"/>
      <c r="M100"/>
      <c r="N100"/>
      <c r="O100"/>
    </row>
    <row r="101" spans="1:15" x14ac:dyDescent="0.35">
      <c r="A101"/>
      <c r="B101"/>
      <c r="C101"/>
      <c r="D101"/>
      <c r="E101"/>
      <c r="F101"/>
      <c r="G101"/>
      <c r="H101"/>
      <c r="I101"/>
      <c r="J101"/>
      <c r="K101"/>
      <c r="L101"/>
      <c r="M101"/>
      <c r="N101"/>
      <c r="O101"/>
    </row>
    <row r="102" spans="1:15" x14ac:dyDescent="0.35">
      <c r="A102"/>
      <c r="B102"/>
      <c r="C102"/>
      <c r="D102"/>
      <c r="E102"/>
      <c r="F102"/>
      <c r="G102"/>
      <c r="H102"/>
      <c r="I102"/>
      <c r="J102"/>
      <c r="K102"/>
      <c r="L102"/>
      <c r="M102"/>
      <c r="N102"/>
      <c r="O102"/>
    </row>
    <row r="103" spans="1:15" x14ac:dyDescent="0.35">
      <c r="A103"/>
      <c r="B103"/>
      <c r="C103"/>
      <c r="D103"/>
      <c r="E103"/>
      <c r="F103"/>
      <c r="G103"/>
      <c r="H103"/>
      <c r="I103"/>
      <c r="J103"/>
      <c r="K103"/>
      <c r="L103"/>
      <c r="M103"/>
      <c r="N103"/>
      <c r="O103"/>
    </row>
    <row r="104" spans="1:15" x14ac:dyDescent="0.35">
      <c r="A104"/>
      <c r="B104"/>
      <c r="C104"/>
      <c r="D104"/>
      <c r="E104"/>
      <c r="F104"/>
      <c r="G104"/>
      <c r="H104"/>
      <c r="I104"/>
      <c r="J104"/>
      <c r="K104"/>
      <c r="L104"/>
      <c r="M104"/>
      <c r="N104"/>
      <c r="O104"/>
    </row>
    <row r="105" spans="1:15" x14ac:dyDescent="0.35">
      <c r="A105"/>
      <c r="B105"/>
      <c r="C105"/>
      <c r="D105"/>
      <c r="E105"/>
      <c r="F105"/>
      <c r="G105"/>
      <c r="H105"/>
      <c r="I105"/>
      <c r="J105"/>
      <c r="K105"/>
      <c r="L105"/>
      <c r="M105"/>
      <c r="N105"/>
      <c r="O105"/>
    </row>
    <row r="106" spans="1:15" x14ac:dyDescent="0.35">
      <c r="A106"/>
      <c r="B106"/>
      <c r="C106"/>
      <c r="D106"/>
      <c r="E106"/>
      <c r="F106"/>
      <c r="G106"/>
      <c r="H106"/>
      <c r="I106"/>
      <c r="J106"/>
      <c r="K106"/>
      <c r="L106"/>
      <c r="M106"/>
      <c r="N106"/>
      <c r="O106"/>
    </row>
    <row r="107" spans="1:15" x14ac:dyDescent="0.35">
      <c r="A107"/>
      <c r="B107"/>
      <c r="C107"/>
      <c r="D107"/>
      <c r="E107"/>
      <c r="F107"/>
      <c r="G107"/>
      <c r="H107"/>
      <c r="I107"/>
      <c r="J107"/>
      <c r="K107"/>
      <c r="L107"/>
      <c r="M107"/>
      <c r="N107"/>
      <c r="O107"/>
    </row>
    <row r="108" spans="1:15" x14ac:dyDescent="0.35">
      <c r="A108"/>
      <c r="B108"/>
      <c r="C108"/>
      <c r="D108"/>
      <c r="E108"/>
      <c r="F108"/>
      <c r="G108"/>
      <c r="H108"/>
      <c r="I108"/>
      <c r="J108"/>
      <c r="K108"/>
      <c r="L108"/>
      <c r="M108"/>
      <c r="N108"/>
      <c r="O108"/>
    </row>
    <row r="109" spans="1:15" x14ac:dyDescent="0.35">
      <c r="A109"/>
      <c r="B109"/>
      <c r="C109"/>
      <c r="D109"/>
      <c r="E109"/>
      <c r="F109"/>
      <c r="G109"/>
      <c r="H109"/>
      <c r="I109"/>
      <c r="J109"/>
      <c r="K109"/>
      <c r="L109"/>
      <c r="M109"/>
      <c r="N109"/>
      <c r="O109"/>
    </row>
    <row r="110" spans="1:15" x14ac:dyDescent="0.35">
      <c r="A110"/>
      <c r="B110"/>
      <c r="C110"/>
      <c r="D110"/>
      <c r="E110"/>
      <c r="F110"/>
      <c r="G110"/>
      <c r="H110"/>
      <c r="I110"/>
      <c r="J110"/>
      <c r="K110"/>
      <c r="L110"/>
      <c r="M110"/>
      <c r="N110"/>
      <c r="O110"/>
    </row>
    <row r="111" spans="1:15" x14ac:dyDescent="0.35">
      <c r="A111"/>
      <c r="B111"/>
      <c r="C111"/>
      <c r="D111"/>
      <c r="E111"/>
      <c r="F111"/>
      <c r="G111"/>
      <c r="H111"/>
      <c r="I111"/>
      <c r="J111"/>
      <c r="K111"/>
      <c r="L111"/>
      <c r="M111"/>
      <c r="N111"/>
      <c r="O111"/>
    </row>
    <row r="112" spans="1:15" x14ac:dyDescent="0.35">
      <c r="A112"/>
      <c r="B112"/>
      <c r="C112"/>
      <c r="D112"/>
      <c r="E112"/>
      <c r="F112"/>
      <c r="G112"/>
      <c r="H112"/>
      <c r="I112"/>
      <c r="J112"/>
      <c r="K112"/>
      <c r="L112"/>
      <c r="M112"/>
      <c r="N112"/>
      <c r="O112"/>
    </row>
    <row r="113" spans="1:15" x14ac:dyDescent="0.35">
      <c r="A113"/>
      <c r="B113"/>
      <c r="C113"/>
      <c r="D113"/>
      <c r="E113"/>
      <c r="F113"/>
      <c r="G113"/>
      <c r="H113"/>
      <c r="I113"/>
      <c r="J113"/>
      <c r="K113"/>
      <c r="L113"/>
      <c r="M113"/>
      <c r="N113"/>
      <c r="O113"/>
    </row>
    <row r="114" spans="1:15" x14ac:dyDescent="0.35">
      <c r="A114"/>
      <c r="B114"/>
      <c r="C114"/>
      <c r="D114"/>
      <c r="E114"/>
      <c r="F114"/>
      <c r="G114"/>
      <c r="H114"/>
      <c r="I114"/>
      <c r="J114"/>
      <c r="K114"/>
      <c r="L114"/>
      <c r="M114"/>
      <c r="N114"/>
      <c r="O114"/>
    </row>
    <row r="115" spans="1:15" x14ac:dyDescent="0.35">
      <c r="A115"/>
      <c r="B115"/>
      <c r="C115"/>
      <c r="D115"/>
      <c r="E115"/>
      <c r="F115"/>
      <c r="G115"/>
      <c r="H115"/>
      <c r="I115"/>
      <c r="J115"/>
      <c r="K115"/>
      <c r="L115"/>
      <c r="M115"/>
      <c r="N115"/>
      <c r="O115"/>
    </row>
    <row r="116" spans="1:15" x14ac:dyDescent="0.35">
      <c r="A116"/>
      <c r="B116"/>
      <c r="C116"/>
      <c r="D116"/>
      <c r="E116"/>
      <c r="F116"/>
      <c r="G116"/>
      <c r="H116"/>
      <c r="I116"/>
      <c r="J116"/>
      <c r="K116"/>
      <c r="L116"/>
      <c r="M116"/>
      <c r="N116"/>
      <c r="O116"/>
    </row>
    <row r="117" spans="1:15" x14ac:dyDescent="0.35">
      <c r="A117"/>
      <c r="B117"/>
      <c r="C117"/>
      <c r="D117"/>
      <c r="E117"/>
      <c r="F117"/>
      <c r="G117"/>
      <c r="H117"/>
      <c r="I117"/>
      <c r="J117"/>
      <c r="K117"/>
      <c r="L117"/>
      <c r="M117"/>
      <c r="N117"/>
      <c r="O117"/>
    </row>
    <row r="118" spans="1:15" x14ac:dyDescent="0.35">
      <c r="A118"/>
      <c r="B118"/>
      <c r="C118"/>
      <c r="D118"/>
      <c r="E118"/>
      <c r="F118"/>
      <c r="G118"/>
      <c r="H118"/>
      <c r="I118"/>
      <c r="J118"/>
      <c r="K118"/>
      <c r="L118"/>
      <c r="M118"/>
      <c r="N118"/>
      <c r="O118"/>
    </row>
    <row r="119" spans="1:15" x14ac:dyDescent="0.35">
      <c r="A119"/>
      <c r="B119"/>
      <c r="C119"/>
      <c r="D119"/>
      <c r="E119"/>
      <c r="F119"/>
      <c r="G119"/>
      <c r="H119"/>
      <c r="I119"/>
      <c r="J119"/>
      <c r="K119"/>
      <c r="L119"/>
      <c r="M119"/>
      <c r="N119"/>
      <c r="O119"/>
    </row>
    <row r="120" spans="1:15" x14ac:dyDescent="0.35">
      <c r="A120"/>
      <c r="B120"/>
      <c r="C120"/>
      <c r="D120"/>
      <c r="E120"/>
      <c r="F120"/>
      <c r="G120"/>
      <c r="H120"/>
      <c r="I120"/>
      <c r="J120"/>
      <c r="K120"/>
      <c r="L120"/>
      <c r="M120"/>
      <c r="N120"/>
      <c r="O120"/>
    </row>
    <row r="121" spans="1:15" x14ac:dyDescent="0.35">
      <c r="A121"/>
      <c r="B121"/>
      <c r="C121"/>
      <c r="D121"/>
      <c r="E121"/>
      <c r="F121"/>
      <c r="G121"/>
      <c r="H121"/>
      <c r="I121"/>
      <c r="J121"/>
      <c r="K121"/>
      <c r="L121"/>
      <c r="M121"/>
      <c r="N121"/>
      <c r="O121"/>
    </row>
    <row r="122" spans="1:15" x14ac:dyDescent="0.35">
      <c r="A122"/>
      <c r="B122"/>
      <c r="C122"/>
      <c r="D122"/>
      <c r="E122"/>
      <c r="F122"/>
      <c r="G122"/>
      <c r="H122"/>
      <c r="I122"/>
      <c r="J122"/>
      <c r="K122"/>
      <c r="L122"/>
      <c r="M122"/>
      <c r="N122"/>
      <c r="O122"/>
    </row>
    <row r="123" spans="1:15" x14ac:dyDescent="0.35">
      <c r="A123"/>
      <c r="B123"/>
      <c r="C123"/>
      <c r="D123"/>
      <c r="E123"/>
      <c r="F123"/>
      <c r="G123"/>
      <c r="H123"/>
      <c r="I123"/>
      <c r="J123"/>
      <c r="K123"/>
      <c r="L123"/>
      <c r="M123"/>
      <c r="N123"/>
      <c r="O123"/>
    </row>
    <row r="124" spans="1:15" x14ac:dyDescent="0.35">
      <c r="A124"/>
      <c r="B124"/>
      <c r="C124"/>
      <c r="D124"/>
      <c r="E124"/>
      <c r="F124"/>
      <c r="G124"/>
      <c r="H124"/>
      <c r="I124"/>
      <c r="J124"/>
      <c r="K124"/>
      <c r="L124"/>
      <c r="M124"/>
      <c r="N124"/>
      <c r="O124"/>
    </row>
    <row r="125" spans="1:15" x14ac:dyDescent="0.35">
      <c r="A125"/>
      <c r="B125"/>
      <c r="C125"/>
      <c r="D125"/>
      <c r="E125"/>
      <c r="F125"/>
      <c r="G125"/>
      <c r="H125"/>
      <c r="I125"/>
      <c r="J125"/>
      <c r="K125"/>
      <c r="L125"/>
      <c r="M125"/>
      <c r="N125"/>
      <c r="O125"/>
    </row>
    <row r="126" spans="1:15" x14ac:dyDescent="0.35">
      <c r="A126"/>
      <c r="B126"/>
      <c r="C126"/>
      <c r="D126"/>
      <c r="E126"/>
      <c r="F126"/>
      <c r="G126"/>
      <c r="H126"/>
      <c r="I126"/>
      <c r="J126"/>
      <c r="K126"/>
      <c r="L126"/>
      <c r="M126"/>
      <c r="N126"/>
      <c r="O126"/>
    </row>
    <row r="127" spans="1:15" x14ac:dyDescent="0.35">
      <c r="A127"/>
      <c r="B127"/>
      <c r="C127"/>
      <c r="D127"/>
      <c r="E127"/>
      <c r="F127"/>
      <c r="G127"/>
      <c r="H127"/>
      <c r="I127"/>
      <c r="J127"/>
      <c r="K127"/>
      <c r="L127"/>
      <c r="M127"/>
      <c r="N127"/>
      <c r="O127"/>
    </row>
    <row r="128" spans="1:15" x14ac:dyDescent="0.35">
      <c r="A128"/>
      <c r="B128"/>
      <c r="C128"/>
      <c r="D128"/>
      <c r="E128"/>
      <c r="F128"/>
      <c r="G128"/>
      <c r="H128"/>
      <c r="I128"/>
      <c r="J128"/>
      <c r="K128"/>
      <c r="L128"/>
      <c r="M128"/>
      <c r="N128"/>
      <c r="O128"/>
    </row>
    <row r="129" spans="1:15" x14ac:dyDescent="0.35">
      <c r="A129"/>
      <c r="B129"/>
      <c r="C129"/>
      <c r="D129"/>
      <c r="E129"/>
      <c r="F129"/>
      <c r="G129"/>
      <c r="H129"/>
      <c r="I129"/>
      <c r="J129"/>
      <c r="K129"/>
      <c r="L129"/>
      <c r="M129"/>
      <c r="N129"/>
      <c r="O129"/>
    </row>
    <row r="130" spans="1:15" x14ac:dyDescent="0.35">
      <c r="A130"/>
      <c r="B130"/>
      <c r="C130"/>
      <c r="D130"/>
      <c r="E130"/>
      <c r="F130"/>
      <c r="G130"/>
      <c r="H130"/>
      <c r="I130"/>
      <c r="J130"/>
      <c r="K130"/>
      <c r="L130"/>
      <c r="M130"/>
      <c r="N130"/>
      <c r="O130"/>
    </row>
    <row r="131" spans="1:15" x14ac:dyDescent="0.35">
      <c r="A131"/>
      <c r="B131"/>
      <c r="C131"/>
      <c r="D131"/>
      <c r="E131"/>
      <c r="F131"/>
      <c r="G131"/>
      <c r="H131"/>
      <c r="I131"/>
      <c r="J131"/>
      <c r="K131"/>
      <c r="L131"/>
      <c r="M131"/>
      <c r="N131"/>
      <c r="O131"/>
    </row>
    <row r="132" spans="1:15" x14ac:dyDescent="0.35">
      <c r="A132"/>
      <c r="B132"/>
      <c r="C132"/>
      <c r="D132"/>
      <c r="E132"/>
      <c r="F132"/>
      <c r="G132"/>
      <c r="H132"/>
      <c r="I132"/>
      <c r="J132"/>
      <c r="K132"/>
      <c r="L132"/>
      <c r="M132"/>
      <c r="N132"/>
      <c r="O132"/>
    </row>
    <row r="133" spans="1:15" x14ac:dyDescent="0.35">
      <c r="A133"/>
      <c r="B133"/>
      <c r="C133"/>
      <c r="D133"/>
      <c r="E133"/>
      <c r="F133"/>
      <c r="G133"/>
      <c r="H133"/>
      <c r="I133"/>
      <c r="J133"/>
      <c r="K133"/>
      <c r="L133"/>
      <c r="M133"/>
      <c r="N133"/>
      <c r="O133"/>
    </row>
    <row r="134" spans="1:15" x14ac:dyDescent="0.35">
      <c r="A134"/>
      <c r="B134"/>
      <c r="C134"/>
      <c r="D134"/>
      <c r="E134"/>
      <c r="F134"/>
      <c r="G134"/>
      <c r="H134"/>
      <c r="I134"/>
      <c r="J134"/>
      <c r="K134"/>
      <c r="L134"/>
      <c r="M134"/>
      <c r="N134"/>
      <c r="O134"/>
    </row>
    <row r="135" spans="1:15" x14ac:dyDescent="0.35">
      <c r="A135"/>
      <c r="B135"/>
      <c r="C135"/>
      <c r="D135"/>
      <c r="E135"/>
      <c r="F135"/>
      <c r="G135"/>
      <c r="H135"/>
      <c r="I135"/>
      <c r="J135"/>
      <c r="K135"/>
      <c r="L135"/>
      <c r="M135"/>
      <c r="N135"/>
      <c r="O135"/>
    </row>
    <row r="136" spans="1:15" x14ac:dyDescent="0.35">
      <c r="A136"/>
      <c r="B136"/>
      <c r="C136"/>
      <c r="D136"/>
      <c r="E136"/>
      <c r="F136"/>
      <c r="G136"/>
      <c r="H136"/>
      <c r="I136"/>
      <c r="J136"/>
      <c r="K136"/>
      <c r="L136"/>
      <c r="M136"/>
      <c r="N136"/>
      <c r="O136"/>
    </row>
    <row r="137" spans="1:15" x14ac:dyDescent="0.35">
      <c r="A137"/>
      <c r="B137"/>
      <c r="C137"/>
      <c r="D137"/>
      <c r="E137"/>
      <c r="F137"/>
      <c r="G137"/>
      <c r="H137"/>
      <c r="I137"/>
      <c r="J137"/>
      <c r="K137"/>
      <c r="L137"/>
      <c r="M137"/>
      <c r="N137"/>
      <c r="O137"/>
    </row>
    <row r="138" spans="1:15" x14ac:dyDescent="0.35">
      <c r="A138"/>
      <c r="B138"/>
      <c r="C138"/>
      <c r="D138"/>
      <c r="E138"/>
      <c r="F138"/>
      <c r="G138"/>
      <c r="H138"/>
      <c r="I138"/>
      <c r="J138"/>
      <c r="K138"/>
      <c r="L138"/>
      <c r="M138"/>
      <c r="N138"/>
      <c r="O138"/>
    </row>
    <row r="139" spans="1:15" x14ac:dyDescent="0.35">
      <c r="A139"/>
      <c r="B139"/>
      <c r="C139"/>
      <c r="D139"/>
      <c r="E139"/>
      <c r="F139"/>
      <c r="G139"/>
      <c r="H139"/>
      <c r="I139"/>
      <c r="J139"/>
      <c r="K139"/>
      <c r="L139"/>
      <c r="M139"/>
      <c r="N139"/>
      <c r="O139"/>
    </row>
    <row r="140" spans="1:15" x14ac:dyDescent="0.35">
      <c r="A140"/>
      <c r="B140"/>
      <c r="C140"/>
      <c r="D140"/>
      <c r="E140"/>
      <c r="F140"/>
      <c r="G140"/>
      <c r="H140"/>
      <c r="I140"/>
      <c r="J140"/>
      <c r="K140"/>
      <c r="L140"/>
      <c r="M140"/>
      <c r="N140"/>
      <c r="O140"/>
    </row>
    <row r="141" spans="1:15" x14ac:dyDescent="0.35">
      <c r="A141"/>
      <c r="B141"/>
      <c r="C141"/>
      <c r="D141"/>
      <c r="E141"/>
      <c r="F141"/>
      <c r="G141"/>
      <c r="H141"/>
      <c r="I141"/>
      <c r="J141"/>
      <c r="K141"/>
      <c r="L141"/>
      <c r="M141"/>
      <c r="N141"/>
      <c r="O141"/>
    </row>
    <row r="142" spans="1:15" x14ac:dyDescent="0.35">
      <c r="A142"/>
      <c r="B142"/>
      <c r="C142"/>
      <c r="D142"/>
      <c r="E142"/>
      <c r="F142"/>
      <c r="G142"/>
      <c r="H142"/>
      <c r="I142"/>
      <c r="J142"/>
      <c r="K142"/>
      <c r="L142"/>
      <c r="M142"/>
      <c r="N142"/>
      <c r="O142"/>
    </row>
    <row r="143" spans="1:15" x14ac:dyDescent="0.35">
      <c r="A143"/>
      <c r="B143"/>
      <c r="C143"/>
      <c r="D143"/>
      <c r="E143"/>
      <c r="F143"/>
      <c r="G143"/>
      <c r="H143"/>
      <c r="I143"/>
      <c r="J143"/>
      <c r="K143"/>
      <c r="L143"/>
      <c r="M143"/>
      <c r="N143"/>
      <c r="O143"/>
    </row>
    <row r="144" spans="1:15" x14ac:dyDescent="0.35">
      <c r="A144"/>
      <c r="B144"/>
      <c r="C144"/>
      <c r="D144"/>
      <c r="E144"/>
      <c r="F144"/>
      <c r="G144"/>
      <c r="H144"/>
      <c r="I144"/>
      <c r="J144"/>
      <c r="K144"/>
      <c r="L144"/>
      <c r="M144"/>
      <c r="N144"/>
      <c r="O144"/>
    </row>
    <row r="145" spans="1:15" x14ac:dyDescent="0.35">
      <c r="A145"/>
      <c r="B145"/>
      <c r="C145"/>
      <c r="D145"/>
      <c r="E145"/>
      <c r="F145"/>
      <c r="G145"/>
      <c r="H145"/>
      <c r="I145"/>
      <c r="J145"/>
      <c r="K145"/>
      <c r="L145"/>
      <c r="M145"/>
      <c r="N145"/>
      <c r="O145"/>
    </row>
    <row r="146" spans="1:15" x14ac:dyDescent="0.35">
      <c r="A146"/>
      <c r="B146"/>
      <c r="C146"/>
      <c r="D146"/>
      <c r="E146"/>
      <c r="F146"/>
      <c r="G146"/>
      <c r="H146"/>
      <c r="I146"/>
      <c r="J146"/>
      <c r="K146"/>
      <c r="L146"/>
      <c r="M146"/>
      <c r="N146"/>
      <c r="O146"/>
    </row>
    <row r="147" spans="1:15" x14ac:dyDescent="0.35">
      <c r="A147"/>
      <c r="B147"/>
      <c r="C147"/>
      <c r="D147"/>
      <c r="E147"/>
      <c r="F147"/>
      <c r="G147"/>
      <c r="H147"/>
      <c r="I147"/>
      <c r="J147"/>
      <c r="K147"/>
      <c r="L147"/>
      <c r="M147"/>
      <c r="N147"/>
      <c r="O147"/>
    </row>
    <row r="148" spans="1:15" x14ac:dyDescent="0.35">
      <c r="A148"/>
      <c r="B148"/>
      <c r="C148"/>
      <c r="D148"/>
      <c r="E148"/>
      <c r="F148"/>
      <c r="G148"/>
      <c r="H148"/>
      <c r="I148"/>
      <c r="J148"/>
      <c r="K148"/>
      <c r="L148"/>
      <c r="M148"/>
      <c r="N148"/>
      <c r="O148"/>
    </row>
    <row r="149" spans="1:15" x14ac:dyDescent="0.35">
      <c r="A149"/>
      <c r="B149"/>
      <c r="C149"/>
      <c r="D149"/>
      <c r="E149"/>
      <c r="F149"/>
      <c r="G149"/>
      <c r="H149"/>
      <c r="I149"/>
      <c r="J149"/>
      <c r="K149"/>
      <c r="L149"/>
      <c r="M149"/>
      <c r="N149"/>
      <c r="O149"/>
    </row>
    <row r="150" spans="1:15" x14ac:dyDescent="0.35">
      <c r="A150"/>
      <c r="B150"/>
      <c r="C150"/>
      <c r="D150"/>
      <c r="E150"/>
      <c r="F150"/>
      <c r="G150"/>
      <c r="H150"/>
      <c r="I150"/>
      <c r="J150"/>
      <c r="K150"/>
      <c r="L150"/>
      <c r="M150"/>
      <c r="N150"/>
      <c r="O150"/>
    </row>
    <row r="151" spans="1:15" x14ac:dyDescent="0.35">
      <c r="A151"/>
      <c r="B151"/>
      <c r="C151"/>
      <c r="D151"/>
      <c r="E151"/>
      <c r="F151"/>
      <c r="G151"/>
      <c r="H151"/>
      <c r="I151"/>
      <c r="J151"/>
      <c r="K151"/>
      <c r="L151"/>
      <c r="M151"/>
      <c r="N151"/>
      <c r="O151"/>
    </row>
    <row r="152" spans="1:15" x14ac:dyDescent="0.35">
      <c r="A152"/>
      <c r="B152"/>
      <c r="C152"/>
      <c r="D152"/>
      <c r="E152"/>
      <c r="F152"/>
      <c r="G152"/>
      <c r="H152"/>
      <c r="I152"/>
      <c r="J152"/>
      <c r="K152"/>
      <c r="L152"/>
      <c r="M152"/>
      <c r="N152"/>
      <c r="O152"/>
    </row>
    <row r="153" spans="1:15" x14ac:dyDescent="0.35">
      <c r="A153"/>
      <c r="B153"/>
      <c r="C153"/>
      <c r="D153"/>
      <c r="E153"/>
      <c r="F153"/>
      <c r="G153"/>
      <c r="H153"/>
      <c r="I153"/>
      <c r="J153"/>
      <c r="K153"/>
      <c r="L153"/>
      <c r="M153"/>
      <c r="N153"/>
      <c r="O153"/>
    </row>
    <row r="154" spans="1:15" x14ac:dyDescent="0.35">
      <c r="A154"/>
      <c r="B154"/>
      <c r="C154"/>
      <c r="D154"/>
      <c r="E154"/>
      <c r="F154"/>
      <c r="G154"/>
      <c r="H154"/>
      <c r="I154"/>
      <c r="J154"/>
      <c r="K154"/>
      <c r="L154"/>
      <c r="M154"/>
      <c r="N154"/>
      <c r="O154"/>
    </row>
    <row r="155" spans="1:15" x14ac:dyDescent="0.35">
      <c r="A155"/>
      <c r="B155"/>
      <c r="C155"/>
      <c r="D155"/>
      <c r="E155"/>
      <c r="F155"/>
      <c r="G155"/>
      <c r="H155"/>
      <c r="I155"/>
      <c r="J155"/>
      <c r="K155"/>
      <c r="L155"/>
      <c r="M155"/>
      <c r="N155"/>
      <c r="O155"/>
    </row>
    <row r="156" spans="1:15" x14ac:dyDescent="0.35">
      <c r="A156"/>
      <c r="B156"/>
      <c r="C156"/>
      <c r="D156"/>
      <c r="E156"/>
      <c r="F156"/>
      <c r="G156"/>
      <c r="H156"/>
      <c r="I156"/>
      <c r="J156"/>
      <c r="K156"/>
      <c r="L156"/>
      <c r="M156"/>
      <c r="N156"/>
      <c r="O156"/>
    </row>
    <row r="157" spans="1:15" x14ac:dyDescent="0.35">
      <c r="A157"/>
      <c r="B157"/>
      <c r="C157"/>
      <c r="D157"/>
      <c r="E157"/>
      <c r="F157"/>
      <c r="G157"/>
      <c r="H157"/>
      <c r="I157"/>
      <c r="J157"/>
      <c r="K157"/>
      <c r="L157"/>
      <c r="M157"/>
      <c r="N157"/>
      <c r="O157"/>
    </row>
    <row r="158" spans="1:15" x14ac:dyDescent="0.35">
      <c r="A158"/>
      <c r="B158"/>
      <c r="C158"/>
      <c r="D158"/>
      <c r="E158"/>
      <c r="F158"/>
      <c r="G158"/>
      <c r="H158"/>
      <c r="I158"/>
      <c r="J158"/>
      <c r="K158"/>
      <c r="L158"/>
      <c r="M158"/>
      <c r="N158"/>
      <c r="O158"/>
    </row>
    <row r="159" spans="1:15" x14ac:dyDescent="0.35">
      <c r="A159"/>
      <c r="B159"/>
      <c r="C159"/>
      <c r="D159"/>
      <c r="E159"/>
      <c r="F159"/>
      <c r="G159"/>
      <c r="H159"/>
      <c r="I159"/>
      <c r="J159"/>
      <c r="K159"/>
      <c r="L159"/>
      <c r="M159"/>
      <c r="N159"/>
      <c r="O159"/>
    </row>
    <row r="160" spans="1:15" x14ac:dyDescent="0.35">
      <c r="A160"/>
      <c r="B160"/>
      <c r="C160"/>
      <c r="D160"/>
      <c r="E160"/>
      <c r="F160"/>
      <c r="G160"/>
      <c r="H160"/>
      <c r="I160"/>
      <c r="J160"/>
      <c r="K160"/>
      <c r="L160"/>
      <c r="M160"/>
      <c r="N160"/>
      <c r="O160"/>
    </row>
    <row r="161" spans="1:15" x14ac:dyDescent="0.35">
      <c r="A161"/>
      <c r="B161"/>
      <c r="C161"/>
      <c r="D161"/>
      <c r="E161"/>
      <c r="F161"/>
      <c r="G161"/>
      <c r="H161"/>
      <c r="I161"/>
      <c r="J161"/>
      <c r="K161"/>
      <c r="L161"/>
      <c r="M161"/>
      <c r="N161"/>
      <c r="O161"/>
    </row>
    <row r="162" spans="1:15" x14ac:dyDescent="0.35">
      <c r="A162"/>
      <c r="B162"/>
      <c r="C162"/>
      <c r="D162"/>
      <c r="E162"/>
      <c r="F162"/>
      <c r="G162"/>
      <c r="H162"/>
      <c r="I162"/>
      <c r="J162"/>
      <c r="K162"/>
      <c r="L162"/>
      <c r="M162"/>
      <c r="N162"/>
      <c r="O162"/>
    </row>
    <row r="163" spans="1:15" x14ac:dyDescent="0.35">
      <c r="A163"/>
      <c r="B163"/>
      <c r="C163"/>
      <c r="D163"/>
      <c r="E163"/>
      <c r="F163"/>
      <c r="G163"/>
      <c r="H163"/>
      <c r="I163"/>
      <c r="J163"/>
      <c r="K163"/>
      <c r="L163"/>
      <c r="M163"/>
      <c r="N163"/>
      <c r="O163"/>
    </row>
    <row r="164" spans="1:15" x14ac:dyDescent="0.35">
      <c r="A164"/>
      <c r="B164"/>
      <c r="C164"/>
      <c r="D164"/>
      <c r="E164"/>
      <c r="F164"/>
      <c r="G164"/>
      <c r="H164"/>
      <c r="I164"/>
      <c r="J164"/>
      <c r="K164"/>
      <c r="L164"/>
      <c r="M164"/>
      <c r="N164"/>
      <c r="O164"/>
    </row>
    <row r="165" spans="1:15" x14ac:dyDescent="0.35">
      <c r="A165"/>
      <c r="B165"/>
      <c r="C165"/>
      <c r="D165"/>
      <c r="E165"/>
      <c r="F165"/>
      <c r="G165"/>
      <c r="H165"/>
      <c r="I165"/>
      <c r="J165"/>
      <c r="K165"/>
      <c r="L165"/>
      <c r="M165"/>
      <c r="N165"/>
      <c r="O165"/>
    </row>
    <row r="166" spans="1:15" x14ac:dyDescent="0.35">
      <c r="A166"/>
      <c r="B166"/>
      <c r="C166"/>
      <c r="D166"/>
      <c r="E166"/>
      <c r="F166"/>
      <c r="G166"/>
      <c r="H166"/>
      <c r="I166"/>
      <c r="J166"/>
      <c r="K166"/>
      <c r="L166"/>
      <c r="M166"/>
      <c r="N166"/>
      <c r="O166"/>
    </row>
    <row r="167" spans="1:15" x14ac:dyDescent="0.35">
      <c r="A167"/>
      <c r="B167"/>
      <c r="C167"/>
      <c r="D167"/>
      <c r="E167"/>
      <c r="F167"/>
      <c r="G167"/>
      <c r="H167"/>
      <c r="I167"/>
      <c r="J167"/>
      <c r="K167"/>
      <c r="L167"/>
      <c r="M167"/>
      <c r="N167"/>
      <c r="O167"/>
    </row>
    <row r="168" spans="1:15" x14ac:dyDescent="0.35">
      <c r="A168"/>
      <c r="B168"/>
      <c r="C168"/>
      <c r="D168"/>
      <c r="E168"/>
      <c r="F168"/>
      <c r="G168"/>
      <c r="H168"/>
      <c r="I168"/>
      <c r="J168"/>
      <c r="K168"/>
      <c r="L168"/>
      <c r="M168"/>
      <c r="N168"/>
      <c r="O168"/>
    </row>
    <row r="169" spans="1:15" x14ac:dyDescent="0.35">
      <c r="A169"/>
      <c r="B169"/>
      <c r="C169"/>
      <c r="D169"/>
      <c r="E169"/>
      <c r="F169"/>
      <c r="G169"/>
      <c r="H169"/>
      <c r="I169"/>
      <c r="J169"/>
      <c r="K169"/>
      <c r="L169"/>
      <c r="M169"/>
      <c r="N169"/>
      <c r="O169"/>
    </row>
    <row r="170" spans="1:15" x14ac:dyDescent="0.35">
      <c r="A170"/>
      <c r="B170"/>
      <c r="C170"/>
      <c r="D170"/>
      <c r="E170"/>
      <c r="F170"/>
      <c r="G170"/>
      <c r="H170"/>
      <c r="I170"/>
      <c r="J170"/>
      <c r="K170"/>
      <c r="L170"/>
      <c r="M170"/>
      <c r="N170"/>
      <c r="O170"/>
    </row>
    <row r="171" spans="1:15" x14ac:dyDescent="0.35">
      <c r="A171"/>
      <c r="B171"/>
      <c r="C171"/>
      <c r="D171"/>
      <c r="E171"/>
      <c r="F171"/>
      <c r="G171"/>
      <c r="H171"/>
      <c r="I171"/>
      <c r="J171"/>
      <c r="K171"/>
      <c r="L171"/>
      <c r="M171"/>
      <c r="N171"/>
      <c r="O171"/>
    </row>
    <row r="172" spans="1:15" x14ac:dyDescent="0.35">
      <c r="A172"/>
      <c r="B172"/>
      <c r="C172"/>
      <c r="D172"/>
      <c r="E172"/>
      <c r="F172"/>
      <c r="G172"/>
      <c r="H172"/>
      <c r="I172"/>
      <c r="J172"/>
      <c r="K172"/>
      <c r="L172"/>
      <c r="M172"/>
      <c r="N172"/>
      <c r="O172"/>
    </row>
    <row r="173" spans="1:15" x14ac:dyDescent="0.35">
      <c r="A173"/>
      <c r="B173"/>
      <c r="C173"/>
      <c r="D173"/>
      <c r="E173"/>
      <c r="F173"/>
      <c r="G173"/>
      <c r="H173"/>
      <c r="I173"/>
      <c r="J173"/>
      <c r="K173"/>
      <c r="L173"/>
      <c r="M173"/>
      <c r="N173"/>
      <c r="O173"/>
    </row>
    <row r="174" spans="1:15" x14ac:dyDescent="0.35">
      <c r="A174"/>
      <c r="B174"/>
      <c r="C174"/>
      <c r="D174"/>
      <c r="E174"/>
      <c r="F174"/>
      <c r="G174"/>
      <c r="H174"/>
      <c r="I174"/>
      <c r="J174"/>
      <c r="K174"/>
      <c r="L174"/>
      <c r="M174"/>
      <c r="N174"/>
      <c r="O174"/>
    </row>
    <row r="175" spans="1:15" x14ac:dyDescent="0.35">
      <c r="A175"/>
      <c r="B175"/>
      <c r="C175"/>
      <c r="D175"/>
      <c r="E175"/>
      <c r="F175"/>
      <c r="G175"/>
      <c r="H175"/>
      <c r="I175"/>
      <c r="J175"/>
      <c r="K175"/>
      <c r="L175"/>
      <c r="M175"/>
      <c r="N175"/>
      <c r="O175"/>
    </row>
    <row r="176" spans="1:15" x14ac:dyDescent="0.35">
      <c r="A176"/>
      <c r="B176"/>
      <c r="C176"/>
      <c r="D176"/>
      <c r="E176"/>
      <c r="F176"/>
      <c r="G176"/>
      <c r="H176"/>
      <c r="I176"/>
      <c r="J176"/>
      <c r="K176"/>
      <c r="L176"/>
      <c r="M176"/>
      <c r="N176"/>
      <c r="O176"/>
    </row>
    <row r="177" spans="1:15" x14ac:dyDescent="0.35">
      <c r="A177"/>
      <c r="B177"/>
      <c r="C177"/>
      <c r="D177"/>
      <c r="E177"/>
      <c r="F177"/>
      <c r="G177"/>
      <c r="H177"/>
      <c r="I177"/>
      <c r="J177"/>
      <c r="K177"/>
      <c r="L177"/>
      <c r="M177"/>
      <c r="N177"/>
      <c r="O177"/>
    </row>
    <row r="178" spans="1:15" x14ac:dyDescent="0.35">
      <c r="A178"/>
      <c r="B178"/>
      <c r="C178"/>
      <c r="D178"/>
      <c r="E178"/>
      <c r="F178"/>
      <c r="G178"/>
      <c r="H178"/>
      <c r="I178"/>
      <c r="J178"/>
      <c r="K178"/>
      <c r="L178"/>
      <c r="M178"/>
      <c r="N178"/>
      <c r="O178"/>
    </row>
    <row r="179" spans="1:15" x14ac:dyDescent="0.35">
      <c r="A179"/>
      <c r="B179"/>
      <c r="C179"/>
      <c r="D179"/>
      <c r="E179"/>
      <c r="F179"/>
      <c r="G179"/>
      <c r="H179"/>
      <c r="I179"/>
      <c r="J179"/>
      <c r="K179"/>
      <c r="L179"/>
      <c r="M179"/>
      <c r="N179"/>
      <c r="O179"/>
    </row>
    <row r="180" spans="1:15" x14ac:dyDescent="0.35">
      <c r="A180"/>
      <c r="B180"/>
      <c r="C180"/>
      <c r="D180"/>
      <c r="E180"/>
      <c r="F180"/>
      <c r="G180"/>
      <c r="H180"/>
      <c r="I180"/>
      <c r="J180"/>
      <c r="K180"/>
      <c r="L180"/>
      <c r="M180"/>
      <c r="N180"/>
      <c r="O180"/>
    </row>
    <row r="181" spans="1:15" x14ac:dyDescent="0.35">
      <c r="A181"/>
      <c r="B181"/>
      <c r="C181"/>
      <c r="D181"/>
      <c r="E181"/>
      <c r="F181"/>
      <c r="G181"/>
      <c r="H181"/>
      <c r="I181"/>
      <c r="J181"/>
      <c r="K181"/>
      <c r="L181"/>
      <c r="M181"/>
      <c r="N181"/>
      <c r="O181"/>
    </row>
    <row r="182" spans="1:15" x14ac:dyDescent="0.35">
      <c r="A182"/>
      <c r="B182"/>
      <c r="C182"/>
      <c r="D182"/>
      <c r="E182"/>
      <c r="F182"/>
      <c r="G182"/>
      <c r="H182"/>
      <c r="I182"/>
      <c r="J182"/>
      <c r="K182"/>
      <c r="L182"/>
      <c r="M182"/>
      <c r="N182"/>
      <c r="O182"/>
    </row>
    <row r="183" spans="1:15" x14ac:dyDescent="0.35">
      <c r="A183"/>
      <c r="B183"/>
      <c r="C183"/>
      <c r="D183"/>
      <c r="E183"/>
      <c r="F183"/>
      <c r="G183"/>
      <c r="H183"/>
      <c r="I183"/>
      <c r="J183"/>
      <c r="K183"/>
      <c r="L183"/>
      <c r="M183"/>
      <c r="N183"/>
      <c r="O183"/>
    </row>
    <row r="184" spans="1:15" x14ac:dyDescent="0.35">
      <c r="A184"/>
      <c r="B184"/>
      <c r="C184"/>
      <c r="D184"/>
      <c r="E184"/>
      <c r="F184"/>
      <c r="G184"/>
      <c r="H184"/>
      <c r="I184"/>
      <c r="J184"/>
      <c r="K184"/>
      <c r="L184"/>
      <c r="M184"/>
      <c r="N184"/>
      <c r="O184"/>
    </row>
    <row r="185" spans="1:15" x14ac:dyDescent="0.35">
      <c r="A185"/>
      <c r="B185"/>
      <c r="C185"/>
      <c r="D185"/>
      <c r="E185"/>
      <c r="F185"/>
      <c r="G185"/>
      <c r="H185"/>
      <c r="I185"/>
      <c r="J185"/>
      <c r="K185"/>
      <c r="L185"/>
      <c r="M185"/>
      <c r="N185"/>
      <c r="O185"/>
    </row>
    <row r="186" spans="1:15" x14ac:dyDescent="0.35">
      <c r="A186"/>
      <c r="B186"/>
      <c r="C186"/>
      <c r="D186"/>
      <c r="E186"/>
      <c r="F186"/>
      <c r="G186"/>
      <c r="H186"/>
      <c r="I186"/>
      <c r="J186"/>
      <c r="K186"/>
      <c r="L186"/>
      <c r="M186"/>
      <c r="N186"/>
      <c r="O186"/>
    </row>
    <row r="187" spans="1:15" x14ac:dyDescent="0.35">
      <c r="A187"/>
      <c r="B187"/>
      <c r="C187"/>
      <c r="D187"/>
      <c r="E187"/>
      <c r="F187"/>
      <c r="G187"/>
      <c r="H187"/>
      <c r="I187"/>
      <c r="J187"/>
      <c r="K187"/>
      <c r="L187"/>
      <c r="M187"/>
      <c r="N187"/>
      <c r="O187"/>
    </row>
    <row r="188" spans="1:15" x14ac:dyDescent="0.35">
      <c r="A188"/>
      <c r="B188"/>
      <c r="C188"/>
      <c r="D188"/>
      <c r="E188"/>
      <c r="F188"/>
      <c r="G188"/>
      <c r="H188"/>
      <c r="I188"/>
      <c r="J188"/>
      <c r="K188"/>
      <c r="L188"/>
      <c r="M188"/>
      <c r="N188"/>
      <c r="O188"/>
    </row>
    <row r="189" spans="1:15" x14ac:dyDescent="0.35">
      <c r="A189"/>
      <c r="B189"/>
      <c r="C189"/>
      <c r="D189"/>
      <c r="E189"/>
      <c r="F189"/>
      <c r="G189"/>
      <c r="H189"/>
      <c r="I189"/>
      <c r="J189"/>
      <c r="K189"/>
      <c r="L189"/>
      <c r="M189"/>
      <c r="N189"/>
      <c r="O189"/>
    </row>
    <row r="190" spans="1:15" x14ac:dyDescent="0.35">
      <c r="A190"/>
      <c r="B190"/>
      <c r="C190"/>
      <c r="D190"/>
      <c r="E190"/>
      <c r="F190"/>
      <c r="G190"/>
      <c r="H190"/>
      <c r="I190"/>
      <c r="J190"/>
      <c r="K190"/>
      <c r="L190"/>
      <c r="M190"/>
      <c r="N190"/>
      <c r="O190"/>
    </row>
    <row r="191" spans="1:15" x14ac:dyDescent="0.35">
      <c r="A191"/>
      <c r="B191"/>
      <c r="C191"/>
      <c r="D191"/>
      <c r="E191"/>
      <c r="F191"/>
      <c r="G191"/>
      <c r="H191"/>
      <c r="I191"/>
      <c r="J191"/>
      <c r="K191"/>
      <c r="L191"/>
      <c r="M191"/>
      <c r="N191"/>
      <c r="O191"/>
    </row>
    <row r="192" spans="1:15" x14ac:dyDescent="0.35">
      <c r="A192"/>
      <c r="B192"/>
      <c r="C192"/>
      <c r="D192"/>
      <c r="E192"/>
      <c r="F192"/>
      <c r="G192"/>
      <c r="H192"/>
      <c r="I192"/>
      <c r="J192"/>
      <c r="K192"/>
      <c r="L192"/>
      <c r="M192"/>
      <c r="N192"/>
      <c r="O192"/>
    </row>
    <row r="193" spans="1:15" x14ac:dyDescent="0.35">
      <c r="A193"/>
      <c r="B193"/>
      <c r="C193"/>
      <c r="D193"/>
      <c r="E193"/>
      <c r="F193"/>
      <c r="G193"/>
      <c r="H193"/>
      <c r="I193"/>
      <c r="J193"/>
      <c r="K193"/>
      <c r="L193"/>
      <c r="M193"/>
      <c r="N193"/>
      <c r="O193"/>
    </row>
    <row r="194" spans="1:15" x14ac:dyDescent="0.35">
      <c r="A194"/>
      <c r="B194"/>
      <c r="C194"/>
      <c r="D194"/>
      <c r="E194"/>
      <c r="F194"/>
      <c r="G194"/>
      <c r="H194"/>
      <c r="I194"/>
      <c r="J194"/>
      <c r="K194"/>
      <c r="L194"/>
      <c r="M194"/>
      <c r="N194"/>
      <c r="O194"/>
    </row>
    <row r="195" spans="1:15" x14ac:dyDescent="0.35">
      <c r="A195"/>
      <c r="B195"/>
      <c r="C195"/>
      <c r="D195"/>
      <c r="E195"/>
      <c r="F195"/>
      <c r="G195"/>
      <c r="H195"/>
      <c r="I195"/>
      <c r="J195"/>
      <c r="K195"/>
      <c r="L195"/>
      <c r="M195"/>
      <c r="N195"/>
      <c r="O195"/>
    </row>
    <row r="196" spans="1:15" x14ac:dyDescent="0.35">
      <c r="A196"/>
      <c r="B196"/>
      <c r="C196"/>
      <c r="D196"/>
      <c r="E196"/>
      <c r="F196"/>
      <c r="G196"/>
      <c r="H196"/>
      <c r="I196"/>
      <c r="J196"/>
      <c r="K196"/>
      <c r="L196"/>
      <c r="M196"/>
      <c r="N196"/>
      <c r="O196"/>
    </row>
    <row r="197" spans="1:15" x14ac:dyDescent="0.35">
      <c r="A197"/>
      <c r="B197"/>
      <c r="C197"/>
      <c r="D197"/>
      <c r="E197"/>
      <c r="F197"/>
      <c r="G197"/>
      <c r="H197"/>
      <c r="I197"/>
      <c r="J197"/>
      <c r="K197"/>
      <c r="L197"/>
      <c r="M197"/>
      <c r="N197"/>
      <c r="O197"/>
    </row>
    <row r="198" spans="1:15" x14ac:dyDescent="0.35">
      <c r="A198"/>
      <c r="B198"/>
      <c r="C198"/>
      <c r="D198"/>
      <c r="E198"/>
      <c r="F198"/>
      <c r="G198"/>
      <c r="H198"/>
      <c r="I198"/>
      <c r="J198"/>
      <c r="K198"/>
      <c r="L198"/>
      <c r="M198"/>
      <c r="N198"/>
      <c r="O198"/>
    </row>
    <row r="199" spans="1:15" x14ac:dyDescent="0.35">
      <c r="A199"/>
      <c r="B199"/>
      <c r="C199"/>
      <c r="D199"/>
      <c r="E199"/>
      <c r="F199"/>
      <c r="G199"/>
      <c r="H199"/>
      <c r="I199"/>
      <c r="J199"/>
      <c r="K199"/>
      <c r="L199"/>
      <c r="M199"/>
      <c r="N199"/>
      <c r="O199"/>
    </row>
    <row r="200" spans="1:15" x14ac:dyDescent="0.35">
      <c r="A200"/>
      <c r="B200"/>
      <c r="C200"/>
      <c r="D200"/>
      <c r="E200"/>
      <c r="F200"/>
      <c r="G200"/>
      <c r="H200"/>
      <c r="I200"/>
      <c r="J200"/>
      <c r="K200"/>
      <c r="L200"/>
      <c r="M200"/>
      <c r="N200"/>
      <c r="O200"/>
    </row>
    <row r="201" spans="1:15" x14ac:dyDescent="0.35">
      <c r="A201"/>
      <c r="B201"/>
      <c r="C201"/>
      <c r="D201"/>
      <c r="E201"/>
      <c r="F201"/>
      <c r="G201"/>
      <c r="H201"/>
      <c r="I201"/>
      <c r="J201"/>
      <c r="K201"/>
      <c r="L201"/>
      <c r="M201"/>
      <c r="N201"/>
      <c r="O201"/>
    </row>
    <row r="202" spans="1:15" x14ac:dyDescent="0.35">
      <c r="A202"/>
      <c r="B202"/>
      <c r="C202"/>
      <c r="D202"/>
      <c r="E202"/>
      <c r="F202"/>
      <c r="G202"/>
      <c r="H202"/>
      <c r="I202"/>
      <c r="J202"/>
      <c r="K202"/>
      <c r="L202"/>
      <c r="M202"/>
      <c r="N202"/>
      <c r="O202"/>
    </row>
    <row r="203" spans="1:15" x14ac:dyDescent="0.35">
      <c r="A203"/>
      <c r="B203"/>
      <c r="C203"/>
      <c r="D203"/>
      <c r="E203"/>
      <c r="F203"/>
      <c r="G203"/>
      <c r="H203"/>
      <c r="I203"/>
      <c r="J203"/>
      <c r="K203"/>
      <c r="L203"/>
      <c r="M203"/>
      <c r="N203"/>
      <c r="O203"/>
    </row>
    <row r="204" spans="1:15" x14ac:dyDescent="0.35">
      <c r="A204"/>
      <c r="B204"/>
      <c r="C204"/>
      <c r="D204"/>
      <c r="E204"/>
      <c r="F204"/>
      <c r="G204"/>
      <c r="H204"/>
      <c r="I204"/>
      <c r="J204"/>
      <c r="K204"/>
      <c r="L204"/>
      <c r="M204"/>
      <c r="N204"/>
      <c r="O204"/>
    </row>
    <row r="205" spans="1:15" x14ac:dyDescent="0.35">
      <c r="A205"/>
      <c r="B205"/>
      <c r="C205"/>
      <c r="D205"/>
      <c r="E205"/>
      <c r="F205"/>
      <c r="G205"/>
      <c r="H205"/>
      <c r="I205"/>
      <c r="J205"/>
      <c r="K205"/>
      <c r="L205"/>
      <c r="M205"/>
      <c r="N205"/>
      <c r="O205"/>
    </row>
    <row r="206" spans="1:15" x14ac:dyDescent="0.35">
      <c r="A206"/>
      <c r="B206"/>
      <c r="C206"/>
      <c r="D206"/>
      <c r="E206"/>
      <c r="F206"/>
      <c r="G206"/>
      <c r="H206"/>
      <c r="I206"/>
      <c r="J206"/>
      <c r="K206"/>
      <c r="L206"/>
      <c r="M206"/>
      <c r="N206"/>
      <c r="O206"/>
    </row>
    <row r="207" spans="1:15" x14ac:dyDescent="0.35">
      <c r="A207"/>
      <c r="B207"/>
      <c r="C207"/>
      <c r="D207"/>
      <c r="E207"/>
      <c r="F207"/>
      <c r="G207"/>
      <c r="H207"/>
      <c r="I207"/>
      <c r="J207"/>
      <c r="K207"/>
      <c r="L207"/>
      <c r="M207"/>
      <c r="N207"/>
      <c r="O207"/>
    </row>
    <row r="208" spans="1:15" x14ac:dyDescent="0.35">
      <c r="A208"/>
      <c r="B208"/>
      <c r="C208"/>
      <c r="D208"/>
      <c r="E208"/>
      <c r="F208"/>
      <c r="G208"/>
      <c r="H208"/>
      <c r="I208"/>
      <c r="J208"/>
      <c r="K208"/>
      <c r="L208"/>
      <c r="M208"/>
      <c r="N208"/>
      <c r="O208"/>
    </row>
    <row r="209" spans="1:15" x14ac:dyDescent="0.35">
      <c r="A209"/>
      <c r="B209"/>
      <c r="C209"/>
      <c r="D209"/>
      <c r="E209"/>
      <c r="F209"/>
      <c r="G209"/>
      <c r="H209"/>
      <c r="I209"/>
      <c r="J209"/>
      <c r="K209"/>
      <c r="L209"/>
      <c r="M209"/>
      <c r="N209"/>
      <c r="O209"/>
    </row>
    <row r="210" spans="1:15" x14ac:dyDescent="0.35">
      <c r="A210"/>
      <c r="B210"/>
      <c r="C210"/>
      <c r="D210"/>
      <c r="E210"/>
      <c r="F210"/>
      <c r="G210"/>
      <c r="H210"/>
      <c r="I210"/>
      <c r="J210"/>
      <c r="K210"/>
      <c r="L210"/>
      <c r="M210"/>
      <c r="N210"/>
      <c r="O210"/>
    </row>
    <row r="211" spans="1:15" x14ac:dyDescent="0.35">
      <c r="A211"/>
      <c r="B211"/>
      <c r="C211"/>
      <c r="D211"/>
      <c r="E211"/>
      <c r="F211"/>
      <c r="G211"/>
      <c r="H211"/>
      <c r="I211"/>
      <c r="J211"/>
      <c r="K211"/>
      <c r="L211"/>
      <c r="M211"/>
      <c r="N211"/>
      <c r="O211"/>
    </row>
    <row r="212" spans="1:15" x14ac:dyDescent="0.35">
      <c r="A212"/>
      <c r="B212"/>
      <c r="C212"/>
      <c r="D212"/>
      <c r="E212"/>
      <c r="F212"/>
      <c r="G212"/>
      <c r="H212"/>
      <c r="I212"/>
      <c r="J212"/>
      <c r="K212"/>
      <c r="L212"/>
      <c r="M212"/>
      <c r="N212"/>
      <c r="O212"/>
    </row>
    <row r="213" spans="1:15" x14ac:dyDescent="0.35">
      <c r="A213"/>
      <c r="B213"/>
      <c r="C213"/>
      <c r="D213"/>
      <c r="E213"/>
      <c r="F213"/>
      <c r="G213"/>
      <c r="H213"/>
      <c r="I213"/>
      <c r="J213"/>
      <c r="K213"/>
      <c r="L213"/>
      <c r="M213"/>
      <c r="N213"/>
      <c r="O213"/>
    </row>
    <row r="214" spans="1:15" x14ac:dyDescent="0.35">
      <c r="A214"/>
      <c r="B214"/>
      <c r="C214"/>
      <c r="D214"/>
      <c r="E214"/>
      <c r="F214"/>
      <c r="G214"/>
      <c r="H214"/>
      <c r="I214"/>
      <c r="J214"/>
      <c r="K214"/>
      <c r="L214"/>
      <c r="M214"/>
      <c r="N214"/>
      <c r="O214"/>
    </row>
    <row r="215" spans="1:15" x14ac:dyDescent="0.35">
      <c r="A215"/>
      <c r="B215"/>
      <c r="C215"/>
      <c r="D215"/>
      <c r="E215"/>
      <c r="F215"/>
      <c r="G215"/>
      <c r="H215"/>
      <c r="I215"/>
      <c r="J215"/>
      <c r="K215"/>
      <c r="L215"/>
      <c r="M215"/>
      <c r="N215"/>
      <c r="O215"/>
    </row>
    <row r="216" spans="1:15" x14ac:dyDescent="0.35">
      <c r="A216"/>
      <c r="B216"/>
      <c r="C216"/>
      <c r="D216"/>
      <c r="E216"/>
      <c r="F216"/>
      <c r="G216"/>
      <c r="H216"/>
      <c r="I216"/>
      <c r="J216"/>
      <c r="K216"/>
      <c r="L216"/>
      <c r="M216"/>
      <c r="N216"/>
      <c r="O216"/>
    </row>
    <row r="217" spans="1:15" x14ac:dyDescent="0.35">
      <c r="A217"/>
      <c r="B217"/>
      <c r="C217"/>
      <c r="D217"/>
      <c r="E217"/>
      <c r="F217"/>
      <c r="G217"/>
      <c r="H217"/>
      <c r="I217"/>
      <c r="J217"/>
      <c r="K217"/>
      <c r="L217"/>
      <c r="M217"/>
      <c r="N217"/>
      <c r="O217"/>
    </row>
    <row r="218" spans="1:15" x14ac:dyDescent="0.35">
      <c r="A218"/>
      <c r="B218"/>
      <c r="C218"/>
      <c r="D218"/>
      <c r="E218"/>
      <c r="F218"/>
      <c r="G218"/>
      <c r="H218"/>
      <c r="I218"/>
      <c r="J218"/>
      <c r="K218"/>
      <c r="L218"/>
      <c r="M218"/>
      <c r="N218"/>
      <c r="O218"/>
    </row>
    <row r="219" spans="1:15" x14ac:dyDescent="0.35">
      <c r="A219"/>
      <c r="B219"/>
      <c r="C219"/>
      <c r="D219"/>
      <c r="E219"/>
      <c r="F219"/>
      <c r="G219"/>
      <c r="H219"/>
      <c r="I219"/>
      <c r="J219"/>
      <c r="K219"/>
      <c r="L219"/>
      <c r="M219"/>
      <c r="N219"/>
      <c r="O219"/>
    </row>
    <row r="220" spans="1:15" x14ac:dyDescent="0.35">
      <c r="A220"/>
      <c r="B220"/>
      <c r="C220"/>
      <c r="D220"/>
      <c r="E220"/>
      <c r="F220"/>
      <c r="G220"/>
      <c r="H220"/>
      <c r="I220"/>
      <c r="J220"/>
      <c r="K220"/>
      <c r="L220"/>
      <c r="M220"/>
      <c r="N220"/>
      <c r="O220"/>
    </row>
    <row r="221" spans="1:15" x14ac:dyDescent="0.35">
      <c r="A221"/>
      <c r="B221"/>
      <c r="C221"/>
      <c r="D221"/>
      <c r="E221"/>
      <c r="F221"/>
      <c r="G221"/>
      <c r="H221"/>
      <c r="I221"/>
      <c r="J221"/>
      <c r="K221"/>
      <c r="L221"/>
      <c r="M221"/>
      <c r="N221"/>
      <c r="O221"/>
    </row>
    <row r="222" spans="1:15" x14ac:dyDescent="0.35">
      <c r="A222"/>
      <c r="B222"/>
      <c r="C222"/>
      <c r="D222"/>
      <c r="E222"/>
      <c r="F222"/>
      <c r="G222"/>
      <c r="H222"/>
      <c r="I222"/>
      <c r="J222"/>
      <c r="K222"/>
      <c r="L222"/>
      <c r="M222"/>
      <c r="N222"/>
      <c r="O222"/>
    </row>
    <row r="223" spans="1:15" x14ac:dyDescent="0.35">
      <c r="A223"/>
      <c r="B223"/>
      <c r="C223"/>
      <c r="D223"/>
      <c r="E223"/>
      <c r="F223"/>
      <c r="G223"/>
      <c r="H223"/>
      <c r="I223"/>
      <c r="J223"/>
      <c r="K223"/>
      <c r="L223"/>
      <c r="M223"/>
      <c r="N223"/>
      <c r="O223"/>
    </row>
    <row r="224" spans="1:15" x14ac:dyDescent="0.35">
      <c r="A224"/>
      <c r="B224"/>
      <c r="C224"/>
      <c r="D224"/>
      <c r="E224"/>
      <c r="F224"/>
      <c r="G224"/>
      <c r="H224"/>
      <c r="I224"/>
      <c r="J224"/>
      <c r="K224"/>
      <c r="L224"/>
      <c r="M224"/>
      <c r="N224"/>
      <c r="O224"/>
    </row>
    <row r="225" spans="1:15" x14ac:dyDescent="0.35">
      <c r="A225"/>
      <c r="B225"/>
      <c r="C225"/>
      <c r="D225"/>
      <c r="E225"/>
      <c r="F225"/>
      <c r="G225"/>
      <c r="H225"/>
      <c r="I225"/>
      <c r="J225"/>
      <c r="K225"/>
      <c r="L225"/>
      <c r="M225"/>
      <c r="N225"/>
      <c r="O225"/>
    </row>
    <row r="226" spans="1:15" x14ac:dyDescent="0.35">
      <c r="A226"/>
      <c r="B226"/>
      <c r="C226"/>
      <c r="D226"/>
      <c r="E226"/>
      <c r="F226"/>
      <c r="G226"/>
      <c r="H226"/>
      <c r="I226"/>
      <c r="J226"/>
      <c r="K226"/>
      <c r="L226"/>
      <c r="M226"/>
      <c r="N226"/>
      <c r="O226"/>
    </row>
    <row r="227" spans="1:15" x14ac:dyDescent="0.35">
      <c r="A227"/>
      <c r="B227"/>
      <c r="C227"/>
      <c r="D227"/>
      <c r="E227"/>
      <c r="F227"/>
      <c r="G227"/>
      <c r="H227"/>
      <c r="I227"/>
      <c r="J227"/>
      <c r="K227"/>
      <c r="L227"/>
      <c r="M227"/>
      <c r="N227"/>
      <c r="O227"/>
    </row>
    <row r="228" spans="1:15" x14ac:dyDescent="0.35">
      <c r="A228"/>
      <c r="B228"/>
      <c r="C228"/>
      <c r="D228"/>
      <c r="E228"/>
      <c r="F228"/>
      <c r="G228"/>
      <c r="H228"/>
      <c r="I228"/>
      <c r="J228"/>
      <c r="K228"/>
      <c r="L228"/>
      <c r="M228"/>
      <c r="N228"/>
      <c r="O228"/>
    </row>
    <row r="229" spans="1:15" x14ac:dyDescent="0.35">
      <c r="A229"/>
      <c r="B229"/>
      <c r="C229"/>
      <c r="D229"/>
      <c r="E229"/>
      <c r="F229"/>
      <c r="G229"/>
      <c r="H229"/>
      <c r="I229"/>
      <c r="J229"/>
      <c r="K229"/>
      <c r="L229"/>
      <c r="M229"/>
      <c r="N229"/>
      <c r="O229"/>
    </row>
    <row r="230" spans="1:15" x14ac:dyDescent="0.35">
      <c r="A230"/>
      <c r="B230"/>
      <c r="C230"/>
      <c r="D230"/>
      <c r="E230"/>
      <c r="F230"/>
      <c r="G230"/>
      <c r="H230"/>
      <c r="I230"/>
      <c r="J230"/>
      <c r="K230"/>
      <c r="L230"/>
      <c r="M230"/>
      <c r="N230"/>
      <c r="O230"/>
    </row>
    <row r="231" spans="1:15" x14ac:dyDescent="0.35">
      <c r="A231"/>
      <c r="B231"/>
      <c r="C231"/>
      <c r="D231"/>
      <c r="E231"/>
      <c r="F231"/>
      <c r="G231"/>
      <c r="H231"/>
      <c r="I231"/>
      <c r="J231"/>
      <c r="K231"/>
      <c r="L231"/>
      <c r="M231"/>
      <c r="N231"/>
      <c r="O231"/>
    </row>
    <row r="232" spans="1:15" x14ac:dyDescent="0.35">
      <c r="A232"/>
      <c r="B232"/>
      <c r="C232"/>
      <c r="D232"/>
      <c r="E232"/>
      <c r="F232"/>
      <c r="G232"/>
      <c r="H232"/>
      <c r="I232"/>
      <c r="J232"/>
      <c r="K232"/>
      <c r="L232"/>
      <c r="M232"/>
      <c r="N232"/>
      <c r="O232"/>
    </row>
    <row r="233" spans="1:15" x14ac:dyDescent="0.35">
      <c r="A233"/>
      <c r="B233"/>
      <c r="C233"/>
      <c r="D233"/>
      <c r="E233"/>
      <c r="F233"/>
      <c r="G233"/>
      <c r="H233"/>
      <c r="I233"/>
      <c r="J233"/>
      <c r="K233"/>
      <c r="L233"/>
      <c r="M233"/>
      <c r="N233"/>
      <c r="O233"/>
    </row>
    <row r="234" spans="1:15" x14ac:dyDescent="0.35">
      <c r="A234"/>
      <c r="B234"/>
      <c r="C234"/>
      <c r="D234"/>
      <c r="E234"/>
      <c r="F234"/>
      <c r="G234"/>
      <c r="H234"/>
      <c r="I234"/>
      <c r="J234"/>
      <c r="K234"/>
      <c r="L234"/>
      <c r="M234"/>
      <c r="N234"/>
      <c r="O234"/>
    </row>
    <row r="235" spans="1:15" x14ac:dyDescent="0.35">
      <c r="A235"/>
      <c r="B235"/>
      <c r="C235"/>
      <c r="D235"/>
      <c r="E235"/>
      <c r="F235"/>
      <c r="G235"/>
      <c r="H235"/>
      <c r="I235"/>
      <c r="J235"/>
      <c r="K235"/>
      <c r="L235"/>
      <c r="M235"/>
      <c r="N235"/>
      <c r="O235"/>
    </row>
    <row r="236" spans="1:15" x14ac:dyDescent="0.35">
      <c r="A236"/>
      <c r="B236"/>
      <c r="C236"/>
      <c r="D236"/>
      <c r="E236"/>
      <c r="F236"/>
      <c r="G236"/>
      <c r="H236"/>
      <c r="I236"/>
      <c r="J236"/>
      <c r="K236"/>
      <c r="L236"/>
      <c r="M236"/>
      <c r="N236"/>
      <c r="O236"/>
    </row>
    <row r="237" spans="1:15" x14ac:dyDescent="0.35">
      <c r="A237"/>
      <c r="B237"/>
      <c r="C237"/>
      <c r="D237"/>
      <c r="E237"/>
      <c r="F237"/>
      <c r="G237"/>
      <c r="H237"/>
      <c r="I237"/>
      <c r="J237"/>
      <c r="K237"/>
      <c r="L237"/>
      <c r="M237"/>
      <c r="N237"/>
      <c r="O237"/>
    </row>
    <row r="238" spans="1:15" x14ac:dyDescent="0.35">
      <c r="A238"/>
      <c r="B238"/>
      <c r="C238"/>
      <c r="D238"/>
      <c r="E238"/>
      <c r="F238"/>
      <c r="G238"/>
      <c r="H238"/>
      <c r="I238"/>
      <c r="J238"/>
      <c r="K238"/>
      <c r="L238"/>
      <c r="M238"/>
      <c r="N238"/>
      <c r="O238"/>
    </row>
    <row r="239" spans="1:15" x14ac:dyDescent="0.35">
      <c r="A239"/>
      <c r="B239"/>
      <c r="C239"/>
      <c r="D239"/>
      <c r="E239"/>
      <c r="F239"/>
      <c r="G239"/>
      <c r="H239"/>
      <c r="I239"/>
      <c r="J239"/>
      <c r="K239"/>
      <c r="L239"/>
      <c r="M239"/>
      <c r="N239"/>
      <c r="O239"/>
    </row>
    <row r="240" spans="1:15" x14ac:dyDescent="0.35">
      <c r="A240"/>
      <c r="B240"/>
      <c r="C240"/>
      <c r="D240"/>
      <c r="E240"/>
      <c r="F240"/>
      <c r="G240"/>
      <c r="H240"/>
      <c r="I240"/>
      <c r="J240"/>
      <c r="K240"/>
      <c r="L240"/>
      <c r="M240"/>
      <c r="N240"/>
      <c r="O240"/>
    </row>
    <row r="241" spans="1:15" x14ac:dyDescent="0.35">
      <c r="A241"/>
      <c r="B241"/>
      <c r="C241"/>
      <c r="D241"/>
      <c r="E241"/>
      <c r="F241"/>
      <c r="G241"/>
      <c r="H241"/>
      <c r="I241"/>
      <c r="J241"/>
      <c r="K241"/>
      <c r="L241"/>
      <c r="M241"/>
      <c r="N241"/>
      <c r="O241"/>
    </row>
    <row r="242" spans="1:15" x14ac:dyDescent="0.35">
      <c r="A242"/>
      <c r="B242"/>
      <c r="C242"/>
      <c r="D242"/>
      <c r="E242"/>
      <c r="F242"/>
      <c r="G242"/>
      <c r="H242"/>
      <c r="I242"/>
      <c r="J242"/>
      <c r="K242"/>
      <c r="L242"/>
      <c r="M242"/>
      <c r="N242"/>
      <c r="O242"/>
    </row>
    <row r="243" spans="1:15" x14ac:dyDescent="0.35">
      <c r="A243"/>
      <c r="B243"/>
      <c r="C243"/>
      <c r="D243"/>
      <c r="E243"/>
      <c r="F243"/>
      <c r="G243"/>
      <c r="H243"/>
      <c r="I243"/>
      <c r="J243"/>
      <c r="K243"/>
      <c r="L243"/>
      <c r="M243"/>
      <c r="N243"/>
      <c r="O243"/>
    </row>
    <row r="244" spans="1:15" x14ac:dyDescent="0.35">
      <c r="A244"/>
      <c r="B244"/>
      <c r="C244"/>
      <c r="D244"/>
      <c r="E244"/>
      <c r="F244"/>
      <c r="G244"/>
      <c r="H244"/>
      <c r="I244"/>
      <c r="J244"/>
      <c r="K244"/>
      <c r="L244"/>
      <c r="M244"/>
      <c r="N244"/>
      <c r="O244"/>
    </row>
    <row r="245" spans="1:15" x14ac:dyDescent="0.35">
      <c r="A245"/>
      <c r="B245"/>
      <c r="C245"/>
      <c r="D245"/>
      <c r="E245"/>
      <c r="F245"/>
      <c r="G245"/>
      <c r="H245"/>
      <c r="I245"/>
      <c r="J245"/>
      <c r="K245"/>
      <c r="L245"/>
      <c r="M245"/>
      <c r="N245"/>
      <c r="O245"/>
    </row>
    <row r="246" spans="1:15" x14ac:dyDescent="0.35">
      <c r="A246"/>
      <c r="B246"/>
      <c r="C246"/>
      <c r="D246"/>
      <c r="E246"/>
      <c r="F246"/>
      <c r="G246"/>
      <c r="H246"/>
      <c r="I246"/>
      <c r="J246"/>
      <c r="K246"/>
      <c r="L246"/>
      <c r="M246"/>
      <c r="N246"/>
      <c r="O246"/>
    </row>
    <row r="247" spans="1:15" x14ac:dyDescent="0.35">
      <c r="A247"/>
      <c r="B247"/>
      <c r="C247"/>
      <c r="D247"/>
      <c r="E247"/>
      <c r="F247"/>
      <c r="G247"/>
      <c r="H247"/>
      <c r="I247"/>
      <c r="J247"/>
      <c r="K247"/>
      <c r="L247"/>
      <c r="M247"/>
      <c r="N247"/>
      <c r="O247"/>
    </row>
    <row r="248" spans="1:15" x14ac:dyDescent="0.35">
      <c r="A248"/>
      <c r="B248"/>
      <c r="C248"/>
      <c r="D248"/>
      <c r="E248"/>
      <c r="F248"/>
      <c r="G248"/>
      <c r="H248"/>
      <c r="I248"/>
      <c r="J248"/>
      <c r="K248"/>
      <c r="L248"/>
      <c r="M248"/>
      <c r="N248"/>
      <c r="O248"/>
    </row>
    <row r="249" spans="1:15" x14ac:dyDescent="0.35">
      <c r="A249"/>
      <c r="B249"/>
      <c r="C249"/>
      <c r="D249"/>
      <c r="E249"/>
      <c r="F249"/>
      <c r="G249"/>
      <c r="H249"/>
      <c r="I249"/>
      <c r="J249"/>
      <c r="K249"/>
      <c r="L249"/>
      <c r="M249"/>
      <c r="N249"/>
      <c r="O249"/>
    </row>
    <row r="250" spans="1:15" x14ac:dyDescent="0.35">
      <c r="A250"/>
      <c r="B250"/>
      <c r="C250"/>
      <c r="D250"/>
      <c r="E250"/>
      <c r="F250"/>
      <c r="G250"/>
      <c r="H250"/>
      <c r="I250"/>
      <c r="J250"/>
      <c r="K250"/>
      <c r="L250"/>
      <c r="M250"/>
      <c r="N250"/>
      <c r="O250"/>
    </row>
    <row r="251" spans="1:15" x14ac:dyDescent="0.35">
      <c r="A251"/>
      <c r="B251"/>
      <c r="C251"/>
      <c r="D251"/>
      <c r="E251"/>
      <c r="F251"/>
      <c r="G251"/>
      <c r="H251"/>
      <c r="I251"/>
      <c r="J251"/>
      <c r="K251"/>
      <c r="L251"/>
      <c r="M251"/>
      <c r="N251"/>
      <c r="O251"/>
    </row>
    <row r="252" spans="1:15" x14ac:dyDescent="0.35">
      <c r="A252"/>
      <c r="B252"/>
      <c r="C252"/>
      <c r="D252"/>
      <c r="E252"/>
      <c r="F252"/>
      <c r="G252"/>
      <c r="H252"/>
      <c r="I252"/>
      <c r="J252"/>
      <c r="K252"/>
      <c r="L252"/>
      <c r="M252"/>
      <c r="N252"/>
      <c r="O252"/>
    </row>
    <row r="253" spans="1:15" x14ac:dyDescent="0.35">
      <c r="A253"/>
      <c r="B253"/>
      <c r="C253"/>
      <c r="D253"/>
      <c r="E253"/>
      <c r="F253"/>
      <c r="G253"/>
      <c r="H253"/>
      <c r="I253"/>
      <c r="J253"/>
      <c r="K253"/>
      <c r="L253"/>
      <c r="M253"/>
      <c r="N253"/>
      <c r="O253"/>
    </row>
    <row r="254" spans="1:15" x14ac:dyDescent="0.35">
      <c r="A254"/>
      <c r="B254"/>
      <c r="C254"/>
      <c r="D254"/>
      <c r="E254"/>
      <c r="F254"/>
      <c r="G254"/>
      <c r="H254"/>
      <c r="I254"/>
      <c r="J254"/>
      <c r="K254"/>
      <c r="L254"/>
      <c r="M254"/>
      <c r="N254"/>
      <c r="O254"/>
    </row>
    <row r="255" spans="1:15" x14ac:dyDescent="0.35">
      <c r="A255"/>
      <c r="B255"/>
      <c r="C255"/>
      <c r="D255"/>
      <c r="E255"/>
      <c r="F255"/>
      <c r="G255"/>
      <c r="H255"/>
      <c r="I255"/>
      <c r="J255"/>
      <c r="K255"/>
      <c r="L255"/>
      <c r="M255"/>
      <c r="N255"/>
      <c r="O255"/>
    </row>
    <row r="256" spans="1:15" x14ac:dyDescent="0.35">
      <c r="A256"/>
      <c r="B256"/>
      <c r="C256"/>
      <c r="D256"/>
      <c r="E256"/>
      <c r="F256"/>
      <c r="G256"/>
      <c r="H256"/>
      <c r="I256"/>
      <c r="J256"/>
      <c r="K256"/>
      <c r="L256"/>
      <c r="M256"/>
      <c r="N256"/>
      <c r="O256"/>
    </row>
    <row r="257" spans="1:15" x14ac:dyDescent="0.35">
      <c r="A257"/>
      <c r="B257"/>
      <c r="C257"/>
      <c r="D257"/>
      <c r="E257"/>
      <c r="F257"/>
      <c r="G257"/>
      <c r="H257"/>
      <c r="I257"/>
      <c r="J257"/>
      <c r="K257"/>
      <c r="L257"/>
      <c r="M257"/>
      <c r="N257"/>
      <c r="O257"/>
    </row>
    <row r="258" spans="1:15" x14ac:dyDescent="0.35">
      <c r="A258"/>
      <c r="B258"/>
      <c r="C258"/>
      <c r="D258"/>
      <c r="E258"/>
      <c r="F258"/>
      <c r="G258"/>
      <c r="H258"/>
      <c r="I258"/>
      <c r="J258"/>
      <c r="K258"/>
      <c r="L258"/>
      <c r="M258"/>
      <c r="N258"/>
      <c r="O258"/>
    </row>
    <row r="259" spans="1:15" x14ac:dyDescent="0.35">
      <c r="A259"/>
      <c r="B259"/>
      <c r="C259"/>
      <c r="D259"/>
      <c r="E259"/>
      <c r="F259"/>
      <c r="G259"/>
      <c r="H259"/>
      <c r="I259"/>
      <c r="J259"/>
      <c r="K259"/>
      <c r="L259"/>
      <c r="M259"/>
      <c r="N259"/>
      <c r="O259"/>
    </row>
    <row r="260" spans="1:15" x14ac:dyDescent="0.35">
      <c r="A260"/>
      <c r="B260"/>
      <c r="C260"/>
      <c r="D260"/>
      <c r="E260"/>
      <c r="F260"/>
      <c r="G260"/>
      <c r="H260"/>
      <c r="I260"/>
      <c r="J260"/>
      <c r="K260"/>
      <c r="L260"/>
      <c r="M260"/>
      <c r="N260"/>
      <c r="O260"/>
    </row>
    <row r="261" spans="1:15" x14ac:dyDescent="0.35">
      <c r="A261"/>
      <c r="B261"/>
      <c r="C261"/>
      <c r="D261"/>
      <c r="E261"/>
      <c r="F261"/>
      <c r="G261"/>
      <c r="H261"/>
      <c r="I261"/>
      <c r="J261"/>
      <c r="K261"/>
      <c r="L261"/>
      <c r="M261"/>
      <c r="N261"/>
      <c r="O261"/>
    </row>
    <row r="262" spans="1:15" x14ac:dyDescent="0.35">
      <c r="A262"/>
      <c r="B262"/>
      <c r="C262"/>
      <c r="D262"/>
      <c r="E262"/>
      <c r="F262"/>
      <c r="G262"/>
      <c r="H262"/>
      <c r="I262"/>
      <c r="J262"/>
      <c r="K262"/>
      <c r="L262"/>
      <c r="M262"/>
      <c r="N262"/>
      <c r="O262"/>
    </row>
    <row r="263" spans="1:15" x14ac:dyDescent="0.35">
      <c r="A263"/>
      <c r="B263"/>
      <c r="C263"/>
      <c r="D263"/>
      <c r="E263"/>
      <c r="F263"/>
      <c r="G263"/>
      <c r="H263"/>
      <c r="I263"/>
      <c r="J263"/>
      <c r="K263"/>
      <c r="L263"/>
      <c r="M263"/>
      <c r="N263"/>
      <c r="O263"/>
    </row>
    <row r="264" spans="1:15" x14ac:dyDescent="0.35">
      <c r="A264"/>
      <c r="B264"/>
      <c r="C264"/>
      <c r="D264"/>
      <c r="E264"/>
      <c r="F264"/>
      <c r="G264"/>
      <c r="H264"/>
      <c r="I264"/>
      <c r="J264"/>
      <c r="K264"/>
      <c r="L264"/>
      <c r="M264"/>
      <c r="N264"/>
      <c r="O264"/>
    </row>
    <row r="265" spans="1:15" x14ac:dyDescent="0.35">
      <c r="A265"/>
      <c r="B265"/>
      <c r="C265"/>
      <c r="D265"/>
      <c r="E265"/>
      <c r="F265"/>
      <c r="G265"/>
      <c r="H265"/>
      <c r="I265"/>
      <c r="J265"/>
      <c r="K265"/>
      <c r="L265"/>
      <c r="M265"/>
      <c r="N265"/>
      <c r="O265"/>
    </row>
    <row r="266" spans="1:15" x14ac:dyDescent="0.35">
      <c r="A266"/>
      <c r="B266"/>
      <c r="C266"/>
      <c r="D266"/>
      <c r="E266"/>
      <c r="F266"/>
      <c r="G266"/>
      <c r="H266"/>
      <c r="I266"/>
      <c r="J266"/>
      <c r="K266"/>
      <c r="L266"/>
      <c r="M266"/>
      <c r="N266"/>
      <c r="O266"/>
    </row>
    <row r="267" spans="1:15" x14ac:dyDescent="0.35">
      <c r="A267"/>
      <c r="B267"/>
      <c r="C267"/>
      <c r="D267"/>
      <c r="E267"/>
      <c r="F267"/>
      <c r="G267"/>
      <c r="H267"/>
      <c r="I267"/>
      <c r="J267"/>
      <c r="K267"/>
      <c r="L267"/>
      <c r="M267"/>
      <c r="N267"/>
      <c r="O267"/>
    </row>
    <row r="268" spans="1:15" x14ac:dyDescent="0.35">
      <c r="A268"/>
      <c r="B268"/>
      <c r="C268"/>
      <c r="D268"/>
      <c r="E268"/>
      <c r="F268"/>
      <c r="G268"/>
      <c r="H268"/>
      <c r="I268"/>
      <c r="J268"/>
      <c r="K268"/>
      <c r="L268"/>
      <c r="M268"/>
      <c r="N268"/>
      <c r="O268"/>
    </row>
    <row r="269" spans="1:15" x14ac:dyDescent="0.35">
      <c r="A269"/>
      <c r="B269"/>
      <c r="C269"/>
      <c r="D269"/>
      <c r="E269"/>
      <c r="F269"/>
      <c r="G269"/>
      <c r="H269"/>
      <c r="I269"/>
      <c r="J269"/>
      <c r="K269"/>
      <c r="L269"/>
      <c r="M269"/>
      <c r="N269"/>
      <c r="O269"/>
    </row>
    <row r="270" spans="1:15" x14ac:dyDescent="0.35">
      <c r="A270"/>
      <c r="B270"/>
      <c r="C270"/>
      <c r="D270"/>
      <c r="E270"/>
      <c r="F270"/>
      <c r="G270"/>
      <c r="H270"/>
      <c r="I270"/>
      <c r="J270"/>
      <c r="K270"/>
      <c r="L270"/>
      <c r="M270"/>
      <c r="N270"/>
      <c r="O270"/>
    </row>
    <row r="271" spans="1:15" x14ac:dyDescent="0.35">
      <c r="A271"/>
      <c r="B271"/>
      <c r="C271"/>
      <c r="D271"/>
      <c r="E271"/>
      <c r="F271"/>
      <c r="G271"/>
      <c r="H271"/>
      <c r="I271"/>
      <c r="J271"/>
      <c r="K271"/>
      <c r="L271"/>
      <c r="M271"/>
      <c r="N271"/>
      <c r="O271"/>
    </row>
    <row r="272" spans="1:15" x14ac:dyDescent="0.35">
      <c r="A272"/>
      <c r="B272"/>
      <c r="C272"/>
      <c r="D272"/>
      <c r="E272"/>
      <c r="F272"/>
      <c r="G272"/>
      <c r="H272"/>
      <c r="I272"/>
      <c r="J272"/>
      <c r="K272"/>
      <c r="L272"/>
      <c r="M272"/>
      <c r="N272"/>
      <c r="O272"/>
    </row>
    <row r="273" spans="1:15" x14ac:dyDescent="0.35">
      <c r="A273"/>
      <c r="B273"/>
      <c r="C273"/>
      <c r="D273"/>
      <c r="E273"/>
      <c r="F273"/>
      <c r="G273"/>
      <c r="H273"/>
      <c r="I273"/>
      <c r="J273"/>
      <c r="K273"/>
      <c r="L273"/>
      <c r="M273"/>
      <c r="N273"/>
      <c r="O273"/>
    </row>
    <row r="274" spans="1:15" x14ac:dyDescent="0.35">
      <c r="A274"/>
      <c r="B274"/>
      <c r="C274"/>
      <c r="D274"/>
      <c r="E274"/>
      <c r="F274"/>
      <c r="G274"/>
      <c r="H274"/>
      <c r="I274"/>
      <c r="J274"/>
      <c r="K274"/>
    </row>
    <row r="275" spans="1:15" x14ac:dyDescent="0.35">
      <c r="A275"/>
      <c r="B275"/>
      <c r="C275"/>
      <c r="D275"/>
      <c r="E275"/>
      <c r="F275"/>
      <c r="G275"/>
      <c r="H275"/>
      <c r="I275"/>
      <c r="J275"/>
      <c r="K275"/>
    </row>
    <row r="276" spans="1:15" x14ac:dyDescent="0.35">
      <c r="A276"/>
      <c r="B276"/>
      <c r="C276"/>
      <c r="D276"/>
      <c r="E276"/>
      <c r="F276"/>
      <c r="G276"/>
      <c r="H276"/>
      <c r="I276"/>
      <c r="J276"/>
      <c r="K276"/>
    </row>
    <row r="277" spans="1:15" x14ac:dyDescent="0.35">
      <c r="A277"/>
      <c r="B277"/>
      <c r="C277"/>
      <c r="D277"/>
      <c r="E277"/>
      <c r="F277"/>
      <c r="G277"/>
      <c r="H277"/>
      <c r="I277"/>
      <c r="J277"/>
      <c r="K277"/>
    </row>
    <row r="278" spans="1:15" x14ac:dyDescent="0.35">
      <c r="A278"/>
      <c r="B278"/>
      <c r="C278"/>
      <c r="D278"/>
      <c r="E278"/>
      <c r="F278"/>
      <c r="G278"/>
      <c r="H278"/>
      <c r="I278"/>
      <c r="J278"/>
      <c r="K278"/>
    </row>
    <row r="279" spans="1:15" x14ac:dyDescent="0.35">
      <c r="A279"/>
      <c r="B279"/>
      <c r="C279"/>
      <c r="D279"/>
      <c r="E279"/>
      <c r="F279"/>
      <c r="G279"/>
      <c r="H279"/>
      <c r="I279"/>
      <c r="J279"/>
      <c r="K279"/>
    </row>
    <row r="280" spans="1:15" x14ac:dyDescent="0.35">
      <c r="A280"/>
      <c r="B280"/>
      <c r="C280"/>
      <c r="D280"/>
      <c r="E280"/>
      <c r="F280"/>
      <c r="G280"/>
      <c r="H280"/>
      <c r="I280"/>
      <c r="J280"/>
      <c r="K280"/>
    </row>
    <row r="281" spans="1:15" ht="29" x14ac:dyDescent="0.35">
      <c r="A281"/>
      <c r="B281"/>
      <c r="C281"/>
      <c r="D281"/>
      <c r="E281"/>
      <c r="F281"/>
      <c r="G281"/>
      <c r="H281"/>
      <c r="I281"/>
      <c r="J281"/>
      <c r="K281" s="247" t="s">
        <v>973</v>
      </c>
    </row>
    <row r="282" spans="1:15" x14ac:dyDescent="0.35">
      <c r="A282"/>
      <c r="B282"/>
      <c r="C282"/>
      <c r="D282"/>
      <c r="E282"/>
      <c r="F282"/>
      <c r="G282"/>
      <c r="H282"/>
      <c r="I282"/>
      <c r="J282"/>
      <c r="K282"/>
    </row>
    <row r="283" spans="1:15" x14ac:dyDescent="0.35">
      <c r="A283"/>
      <c r="B283"/>
      <c r="C283"/>
      <c r="D283"/>
      <c r="E283"/>
      <c r="F283"/>
      <c r="G283"/>
      <c r="H283"/>
      <c r="I283"/>
      <c r="J283"/>
      <c r="K283"/>
    </row>
    <row r="284" spans="1:15" x14ac:dyDescent="0.35">
      <c r="A284"/>
      <c r="B284"/>
      <c r="C284"/>
      <c r="D284"/>
      <c r="E284"/>
      <c r="F284"/>
      <c r="G284"/>
      <c r="H284"/>
      <c r="I284"/>
      <c r="J284"/>
      <c r="K284"/>
    </row>
    <row r="285" spans="1:15" x14ac:dyDescent="0.35">
      <c r="A285"/>
      <c r="B285"/>
      <c r="C285"/>
      <c r="D285"/>
      <c r="E285"/>
      <c r="F285"/>
      <c r="G285"/>
      <c r="H285"/>
      <c r="I285"/>
      <c r="J285"/>
      <c r="K285"/>
    </row>
    <row r="286" spans="1:15" x14ac:dyDescent="0.35">
      <c r="A286"/>
      <c r="B286"/>
      <c r="C286"/>
      <c r="D286"/>
      <c r="E286"/>
      <c r="F286"/>
      <c r="G286"/>
      <c r="H286"/>
      <c r="I286"/>
      <c r="J286"/>
      <c r="K286"/>
    </row>
    <row r="287" spans="1:15" x14ac:dyDescent="0.35">
      <c r="A287"/>
      <c r="B287"/>
      <c r="C287"/>
      <c r="D287"/>
      <c r="E287"/>
      <c r="F287"/>
      <c r="G287"/>
      <c r="H287"/>
      <c r="I287"/>
      <c r="J287"/>
      <c r="K287"/>
    </row>
    <row r="288" spans="1:15" x14ac:dyDescent="0.35">
      <c r="A288"/>
      <c r="B288"/>
      <c r="C288"/>
      <c r="D288"/>
      <c r="E288"/>
      <c r="F288"/>
      <c r="G288"/>
      <c r="H288"/>
      <c r="I288"/>
      <c r="J288"/>
      <c r="K288"/>
    </row>
    <row r="289" spans="1:11" x14ac:dyDescent="0.35">
      <c r="A289"/>
      <c r="B289"/>
      <c r="C289"/>
      <c r="D289"/>
      <c r="E289"/>
      <c r="F289"/>
      <c r="G289"/>
      <c r="H289"/>
      <c r="I289"/>
      <c r="J289"/>
      <c r="K289"/>
    </row>
    <row r="290" spans="1:11" x14ac:dyDescent="0.35">
      <c r="A290"/>
      <c r="B290"/>
      <c r="C290"/>
      <c r="D290"/>
      <c r="E290"/>
      <c r="F290"/>
      <c r="G290"/>
      <c r="H290"/>
      <c r="I290"/>
      <c r="J290"/>
      <c r="K290"/>
    </row>
    <row r="291" spans="1:11" x14ac:dyDescent="0.35">
      <c r="A291"/>
      <c r="B291"/>
      <c r="C291"/>
      <c r="D291"/>
      <c r="E291"/>
      <c r="F291"/>
      <c r="G291"/>
      <c r="H291"/>
      <c r="I291"/>
      <c r="J291"/>
      <c r="K291"/>
    </row>
    <row r="292" spans="1:11" x14ac:dyDescent="0.35">
      <c r="A292"/>
      <c r="B292"/>
      <c r="C292"/>
      <c r="D292"/>
      <c r="E292"/>
      <c r="F292"/>
      <c r="G292"/>
      <c r="H292"/>
      <c r="I292"/>
      <c r="J292"/>
      <c r="K292"/>
    </row>
    <row r="293" spans="1:11" x14ac:dyDescent="0.35">
      <c r="A293"/>
      <c r="B293"/>
      <c r="C293"/>
      <c r="D293"/>
      <c r="E293"/>
      <c r="F293"/>
      <c r="G293"/>
      <c r="H293"/>
      <c r="I293"/>
      <c r="J293"/>
      <c r="K293"/>
    </row>
    <row r="294" spans="1:11" x14ac:dyDescent="0.35">
      <c r="A294"/>
      <c r="B294"/>
      <c r="C294"/>
      <c r="D294"/>
      <c r="E294"/>
      <c r="F294"/>
      <c r="G294"/>
      <c r="H294"/>
      <c r="I294"/>
      <c r="J294"/>
      <c r="K294"/>
    </row>
    <row r="295" spans="1:11" x14ac:dyDescent="0.35">
      <c r="A295"/>
      <c r="B295"/>
      <c r="C295"/>
      <c r="D295"/>
      <c r="E295"/>
      <c r="F295"/>
      <c r="G295"/>
      <c r="H295"/>
      <c r="I295"/>
      <c r="J295"/>
      <c r="K295"/>
    </row>
    <row r="296" spans="1:11" x14ac:dyDescent="0.35">
      <c r="A296"/>
      <c r="B296"/>
      <c r="C296"/>
      <c r="D296"/>
      <c r="E296"/>
      <c r="F296"/>
      <c r="G296"/>
      <c r="H296"/>
      <c r="I296"/>
      <c r="J296"/>
      <c r="K296"/>
    </row>
    <row r="297" spans="1:11" x14ac:dyDescent="0.35">
      <c r="A297"/>
      <c r="B297"/>
      <c r="C297"/>
      <c r="D297"/>
      <c r="E297"/>
      <c r="F297"/>
      <c r="G297"/>
      <c r="H297"/>
      <c r="I297"/>
      <c r="J297"/>
      <c r="K297"/>
    </row>
    <row r="298" spans="1:11" x14ac:dyDescent="0.35">
      <c r="A298"/>
      <c r="B298"/>
      <c r="C298"/>
      <c r="D298"/>
      <c r="E298"/>
      <c r="F298"/>
      <c r="G298"/>
      <c r="H298"/>
      <c r="I298"/>
      <c r="J298"/>
      <c r="K298"/>
    </row>
    <row r="299" spans="1:11" x14ac:dyDescent="0.35">
      <c r="A299"/>
      <c r="B299"/>
      <c r="C299"/>
      <c r="D299"/>
      <c r="E299"/>
      <c r="F299"/>
      <c r="G299"/>
      <c r="H299"/>
      <c r="I299"/>
      <c r="J299"/>
      <c r="K299"/>
    </row>
    <row r="300" spans="1:11" x14ac:dyDescent="0.35">
      <c r="A300"/>
      <c r="B300"/>
      <c r="C300"/>
      <c r="D300"/>
      <c r="E300"/>
      <c r="F300"/>
      <c r="G300"/>
      <c r="H300"/>
      <c r="I300"/>
      <c r="J300"/>
      <c r="K300"/>
    </row>
    <row r="301" spans="1:11" x14ac:dyDescent="0.35">
      <c r="A301"/>
      <c r="B301"/>
      <c r="C301"/>
      <c r="D301"/>
      <c r="E301"/>
      <c r="F301"/>
      <c r="G301"/>
      <c r="H301"/>
      <c r="I301"/>
      <c r="J301"/>
      <c r="K301"/>
    </row>
    <row r="302" spans="1:11" x14ac:dyDescent="0.35">
      <c r="A302"/>
      <c r="B302"/>
      <c r="C302"/>
      <c r="D302"/>
      <c r="E302"/>
      <c r="F302"/>
      <c r="G302"/>
      <c r="H302"/>
      <c r="I302"/>
      <c r="J302"/>
      <c r="K302"/>
    </row>
    <row r="303" spans="1:11" x14ac:dyDescent="0.35">
      <c r="A303"/>
      <c r="B303"/>
      <c r="C303"/>
      <c r="D303"/>
      <c r="E303"/>
      <c r="F303"/>
      <c r="G303"/>
      <c r="H303"/>
      <c r="I303"/>
      <c r="J303"/>
      <c r="K303"/>
    </row>
    <row r="304" spans="1:11" x14ac:dyDescent="0.35">
      <c r="A304"/>
      <c r="B304"/>
      <c r="C304"/>
      <c r="D304"/>
      <c r="E304"/>
      <c r="F304"/>
      <c r="G304"/>
      <c r="H304"/>
      <c r="I304"/>
      <c r="J304"/>
      <c r="K304"/>
    </row>
    <row r="305" spans="1:11" x14ac:dyDescent="0.35">
      <c r="A305"/>
      <c r="B305"/>
      <c r="C305"/>
      <c r="D305"/>
      <c r="E305"/>
      <c r="F305"/>
      <c r="G305"/>
      <c r="H305"/>
      <c r="I305"/>
      <c r="J305"/>
      <c r="K305" s="246" t="s">
        <v>968</v>
      </c>
    </row>
    <row r="306" spans="1:11" x14ac:dyDescent="0.35">
      <c r="A306"/>
      <c r="B306"/>
      <c r="C306"/>
      <c r="D306"/>
      <c r="E306"/>
      <c r="F306"/>
      <c r="G306"/>
      <c r="H306"/>
      <c r="I306"/>
      <c r="J306"/>
      <c r="K306"/>
    </row>
    <row r="307" spans="1:11" x14ac:dyDescent="0.35">
      <c r="A307"/>
      <c r="B307"/>
      <c r="C307"/>
      <c r="D307"/>
      <c r="E307"/>
      <c r="F307"/>
      <c r="G307"/>
      <c r="H307"/>
      <c r="I307"/>
      <c r="J307"/>
      <c r="K307"/>
    </row>
    <row r="308" spans="1:11" x14ac:dyDescent="0.35">
      <c r="A308"/>
      <c r="B308"/>
      <c r="C308"/>
      <c r="D308"/>
      <c r="E308"/>
      <c r="F308"/>
      <c r="G308"/>
      <c r="H308"/>
      <c r="I308"/>
      <c r="J308"/>
      <c r="K308"/>
    </row>
    <row r="309" spans="1:11" x14ac:dyDescent="0.35">
      <c r="A309"/>
      <c r="B309"/>
      <c r="C309"/>
      <c r="D309"/>
      <c r="E309"/>
      <c r="F309"/>
      <c r="G309"/>
      <c r="H309"/>
      <c r="I309"/>
      <c r="J309"/>
      <c r="K309"/>
    </row>
    <row r="310" spans="1:11" x14ac:dyDescent="0.35">
      <c r="A310"/>
      <c r="B310"/>
      <c r="C310"/>
      <c r="D310"/>
      <c r="E310"/>
      <c r="F310"/>
      <c r="G310"/>
      <c r="H310"/>
      <c r="I310"/>
      <c r="J310"/>
      <c r="K310"/>
    </row>
    <row r="311" spans="1:11" x14ac:dyDescent="0.35">
      <c r="A311"/>
      <c r="B311"/>
      <c r="C311"/>
      <c r="D311"/>
      <c r="E311"/>
      <c r="F311"/>
      <c r="G311"/>
      <c r="H311"/>
      <c r="I311"/>
      <c r="J311"/>
      <c r="K311"/>
    </row>
    <row r="312" spans="1:11" x14ac:dyDescent="0.35">
      <c r="A312"/>
      <c r="B312"/>
      <c r="C312"/>
      <c r="D312"/>
      <c r="E312"/>
      <c r="F312"/>
      <c r="G312"/>
      <c r="H312"/>
      <c r="I312"/>
      <c r="J312"/>
      <c r="K312"/>
    </row>
    <row r="313" spans="1:11" x14ac:dyDescent="0.35">
      <c r="A313"/>
      <c r="B313"/>
      <c r="C313"/>
      <c r="D313"/>
      <c r="E313"/>
      <c r="F313"/>
      <c r="G313"/>
      <c r="H313"/>
      <c r="I313"/>
      <c r="J313"/>
      <c r="K313"/>
    </row>
    <row r="314" spans="1:11" x14ac:dyDescent="0.35">
      <c r="A314"/>
      <c r="B314"/>
      <c r="C314"/>
      <c r="D314"/>
      <c r="E314"/>
      <c r="F314"/>
      <c r="G314"/>
      <c r="H314"/>
      <c r="I314"/>
      <c r="J314"/>
      <c r="K314"/>
    </row>
    <row r="315" spans="1:11" x14ac:dyDescent="0.35">
      <c r="A315"/>
      <c r="B315"/>
      <c r="C315"/>
      <c r="D315"/>
      <c r="E315"/>
      <c r="F315"/>
      <c r="G315"/>
      <c r="H315"/>
      <c r="I315"/>
      <c r="J315"/>
      <c r="K315"/>
    </row>
    <row r="316" spans="1:11" x14ac:dyDescent="0.35">
      <c r="A316"/>
      <c r="B316"/>
      <c r="C316"/>
      <c r="D316"/>
      <c r="E316"/>
      <c r="F316"/>
      <c r="G316"/>
      <c r="H316"/>
      <c r="I316"/>
      <c r="J316"/>
      <c r="K316"/>
    </row>
    <row r="317" spans="1:11" x14ac:dyDescent="0.35">
      <c r="A317"/>
      <c r="B317"/>
      <c r="C317"/>
      <c r="D317"/>
      <c r="E317"/>
      <c r="F317"/>
      <c r="G317"/>
      <c r="H317"/>
      <c r="I317"/>
      <c r="J317"/>
      <c r="K317"/>
    </row>
    <row r="318" spans="1:11" x14ac:dyDescent="0.35">
      <c r="A318"/>
      <c r="B318"/>
      <c r="C318"/>
      <c r="D318"/>
      <c r="E318"/>
      <c r="F318"/>
      <c r="G318"/>
      <c r="H318"/>
      <c r="I318"/>
      <c r="J318"/>
      <c r="K318"/>
    </row>
    <row r="319" spans="1:11" x14ac:dyDescent="0.35">
      <c r="A319"/>
      <c r="B319"/>
      <c r="C319"/>
      <c r="D319"/>
      <c r="E319"/>
      <c r="F319"/>
      <c r="G319"/>
      <c r="H319"/>
      <c r="I319"/>
      <c r="J319"/>
      <c r="K319"/>
    </row>
    <row r="320" spans="1:11" x14ac:dyDescent="0.35">
      <c r="A320"/>
      <c r="B320"/>
      <c r="C320"/>
      <c r="D320"/>
      <c r="E320"/>
      <c r="F320"/>
      <c r="G320"/>
      <c r="H320"/>
      <c r="I320"/>
      <c r="J320"/>
      <c r="K320"/>
    </row>
    <row r="321" spans="1:11" x14ac:dyDescent="0.35">
      <c r="A321"/>
      <c r="B321"/>
      <c r="C321"/>
      <c r="D321"/>
      <c r="E321"/>
      <c r="F321"/>
      <c r="G321"/>
      <c r="H321"/>
      <c r="I321"/>
      <c r="J321"/>
      <c r="K321"/>
    </row>
    <row r="322" spans="1:11" x14ac:dyDescent="0.35">
      <c r="A322"/>
      <c r="B322"/>
      <c r="C322"/>
      <c r="D322"/>
      <c r="E322"/>
      <c r="F322"/>
      <c r="G322"/>
      <c r="H322"/>
      <c r="I322"/>
      <c r="J322"/>
      <c r="K322"/>
    </row>
    <row r="323" spans="1:11" x14ac:dyDescent="0.35">
      <c r="A323"/>
      <c r="B323"/>
      <c r="C323"/>
      <c r="D323"/>
      <c r="E323"/>
      <c r="F323"/>
      <c r="G323"/>
      <c r="H323"/>
      <c r="I323"/>
      <c r="J323"/>
      <c r="K323"/>
    </row>
    <row r="324" spans="1:11" x14ac:dyDescent="0.35">
      <c r="A324"/>
      <c r="B324"/>
      <c r="C324"/>
      <c r="D324"/>
      <c r="E324"/>
      <c r="F324"/>
      <c r="G324"/>
      <c r="H324"/>
      <c r="I324"/>
      <c r="J324"/>
      <c r="K324"/>
    </row>
    <row r="325" spans="1:11" x14ac:dyDescent="0.35">
      <c r="A325"/>
      <c r="B325"/>
      <c r="C325"/>
      <c r="D325"/>
      <c r="E325"/>
      <c r="F325"/>
      <c r="G325"/>
      <c r="H325"/>
      <c r="I325"/>
      <c r="J325"/>
      <c r="K325"/>
    </row>
    <row r="326" spans="1:11" x14ac:dyDescent="0.35">
      <c r="A326"/>
      <c r="B326"/>
      <c r="C326"/>
      <c r="D326"/>
      <c r="E326"/>
      <c r="F326"/>
      <c r="G326"/>
      <c r="H326"/>
      <c r="I326"/>
      <c r="J326"/>
      <c r="K326"/>
    </row>
    <row r="327" spans="1:11" x14ac:dyDescent="0.35">
      <c r="A327"/>
      <c r="B327"/>
      <c r="C327"/>
      <c r="D327"/>
      <c r="E327"/>
      <c r="F327"/>
      <c r="G327"/>
      <c r="H327"/>
      <c r="I327"/>
      <c r="J327"/>
      <c r="K327"/>
    </row>
    <row r="328" spans="1:11" x14ac:dyDescent="0.35">
      <c r="A328"/>
      <c r="B328"/>
      <c r="C328"/>
      <c r="D328"/>
      <c r="E328"/>
      <c r="F328"/>
      <c r="G328"/>
      <c r="H328"/>
      <c r="I328"/>
      <c r="J328"/>
      <c r="K328"/>
    </row>
    <row r="329" spans="1:11" x14ac:dyDescent="0.35">
      <c r="A329"/>
      <c r="B329"/>
      <c r="C329"/>
      <c r="D329"/>
      <c r="E329"/>
      <c r="F329"/>
      <c r="G329"/>
      <c r="H329"/>
      <c r="I329"/>
      <c r="J329"/>
      <c r="K329"/>
    </row>
    <row r="330" spans="1:11" x14ac:dyDescent="0.35">
      <c r="A330"/>
      <c r="B330"/>
      <c r="C330"/>
      <c r="D330"/>
      <c r="E330"/>
      <c r="F330"/>
      <c r="G330"/>
      <c r="H330"/>
      <c r="I330"/>
      <c r="J330"/>
      <c r="K330"/>
    </row>
    <row r="331" spans="1:11" x14ac:dyDescent="0.35">
      <c r="A331"/>
      <c r="B331"/>
      <c r="C331"/>
      <c r="D331"/>
      <c r="E331"/>
      <c r="F331"/>
      <c r="G331"/>
      <c r="H331"/>
      <c r="I331"/>
      <c r="J331"/>
      <c r="K331"/>
    </row>
    <row r="332" spans="1:11" x14ac:dyDescent="0.35">
      <c r="A332"/>
      <c r="B332"/>
      <c r="C332"/>
      <c r="D332"/>
      <c r="E332"/>
      <c r="F332"/>
      <c r="G332"/>
      <c r="H332"/>
      <c r="I332"/>
      <c r="J332"/>
      <c r="K332"/>
    </row>
    <row r="333" spans="1:11" x14ac:dyDescent="0.35">
      <c r="A333"/>
      <c r="B333"/>
      <c r="C333"/>
      <c r="D333"/>
      <c r="E333"/>
      <c r="F333"/>
      <c r="G333"/>
      <c r="H333"/>
      <c r="I333"/>
      <c r="J333"/>
      <c r="K333"/>
    </row>
    <row r="334" spans="1:11" x14ac:dyDescent="0.35">
      <c r="A334"/>
      <c r="B334"/>
      <c r="C334"/>
      <c r="D334"/>
      <c r="E334"/>
      <c r="F334"/>
      <c r="G334"/>
      <c r="H334"/>
      <c r="I334"/>
      <c r="J334"/>
      <c r="K334"/>
    </row>
    <row r="335" spans="1:11" x14ac:dyDescent="0.35">
      <c r="A335"/>
      <c r="B335"/>
      <c r="C335"/>
      <c r="D335"/>
      <c r="E335"/>
      <c r="F335"/>
      <c r="G335"/>
      <c r="H335"/>
      <c r="I335"/>
      <c r="J335"/>
      <c r="K335"/>
    </row>
    <row r="336" spans="1:11" x14ac:dyDescent="0.35">
      <c r="A336"/>
      <c r="B336"/>
      <c r="C336"/>
      <c r="D336"/>
      <c r="E336"/>
      <c r="F336"/>
      <c r="G336"/>
      <c r="H336"/>
      <c r="I336"/>
      <c r="J336"/>
      <c r="K336"/>
    </row>
    <row r="337" spans="1:11" x14ac:dyDescent="0.35">
      <c r="A337"/>
      <c r="B337"/>
      <c r="C337"/>
      <c r="D337"/>
      <c r="E337"/>
      <c r="F337"/>
      <c r="G337"/>
      <c r="H337"/>
      <c r="I337"/>
      <c r="J337"/>
      <c r="K337"/>
    </row>
    <row r="338" spans="1:11" x14ac:dyDescent="0.35">
      <c r="A338"/>
      <c r="B338"/>
      <c r="C338"/>
      <c r="D338"/>
      <c r="E338"/>
      <c r="F338"/>
      <c r="G338"/>
      <c r="H338"/>
      <c r="I338"/>
      <c r="J338"/>
      <c r="K338"/>
    </row>
    <row r="339" spans="1:11" x14ac:dyDescent="0.35">
      <c r="A339"/>
      <c r="B339"/>
      <c r="C339"/>
      <c r="D339"/>
      <c r="E339"/>
      <c r="F339"/>
      <c r="G339"/>
      <c r="H339"/>
      <c r="I339"/>
      <c r="J339"/>
      <c r="K339"/>
    </row>
    <row r="340" spans="1:11" x14ac:dyDescent="0.35">
      <c r="A340"/>
      <c r="B340"/>
      <c r="C340"/>
      <c r="D340"/>
      <c r="E340"/>
      <c r="F340"/>
      <c r="G340"/>
      <c r="H340"/>
      <c r="I340"/>
      <c r="J340"/>
      <c r="K340"/>
    </row>
    <row r="341" spans="1:11" x14ac:dyDescent="0.35">
      <c r="A341"/>
      <c r="B341"/>
      <c r="C341"/>
      <c r="D341"/>
      <c r="E341"/>
      <c r="F341"/>
      <c r="G341"/>
      <c r="H341"/>
      <c r="I341"/>
      <c r="J341"/>
      <c r="K341"/>
    </row>
    <row r="342" spans="1:11" x14ac:dyDescent="0.35">
      <c r="A342"/>
      <c r="B342"/>
      <c r="C342"/>
      <c r="D342"/>
      <c r="E342"/>
      <c r="F342"/>
      <c r="G342"/>
      <c r="H342"/>
      <c r="I342"/>
      <c r="J342"/>
      <c r="K342"/>
    </row>
    <row r="343" spans="1:11" x14ac:dyDescent="0.35">
      <c r="A343"/>
      <c r="B343"/>
      <c r="C343"/>
      <c r="D343"/>
      <c r="E343"/>
      <c r="F343"/>
      <c r="G343"/>
      <c r="H343"/>
      <c r="I343"/>
      <c r="J343"/>
      <c r="K343"/>
    </row>
    <row r="344" spans="1:11" x14ac:dyDescent="0.35">
      <c r="A344"/>
      <c r="B344"/>
      <c r="C344"/>
      <c r="D344"/>
      <c r="E344"/>
      <c r="F344"/>
      <c r="G344"/>
      <c r="H344"/>
      <c r="I344"/>
      <c r="J344"/>
      <c r="K344"/>
    </row>
    <row r="345" spans="1:11" x14ac:dyDescent="0.35">
      <c r="A345"/>
      <c r="B345"/>
      <c r="C345"/>
      <c r="D345"/>
      <c r="E345"/>
      <c r="F345"/>
      <c r="G345"/>
      <c r="H345"/>
      <c r="I345"/>
      <c r="J345"/>
      <c r="K345"/>
    </row>
    <row r="346" spans="1:11" x14ac:dyDescent="0.35">
      <c r="A346"/>
      <c r="B346"/>
      <c r="C346"/>
      <c r="D346"/>
      <c r="E346"/>
      <c r="F346"/>
      <c r="G346"/>
      <c r="H346"/>
      <c r="I346"/>
      <c r="J346"/>
      <c r="K346"/>
    </row>
    <row r="347" spans="1:11" x14ac:dyDescent="0.35">
      <c r="A347"/>
      <c r="B347"/>
      <c r="C347"/>
      <c r="D347"/>
      <c r="E347"/>
      <c r="F347"/>
      <c r="G347"/>
      <c r="H347"/>
      <c r="I347"/>
      <c r="J347"/>
      <c r="K347"/>
    </row>
    <row r="348" spans="1:11" x14ac:dyDescent="0.35">
      <c r="A348"/>
      <c r="B348"/>
      <c r="C348"/>
      <c r="D348"/>
      <c r="E348"/>
      <c r="F348"/>
      <c r="G348"/>
      <c r="H348"/>
      <c r="I348"/>
      <c r="J348"/>
      <c r="K348"/>
    </row>
    <row r="349" spans="1:11" x14ac:dyDescent="0.35">
      <c r="A349"/>
      <c r="B349"/>
      <c r="C349"/>
      <c r="D349"/>
      <c r="E349"/>
      <c r="F349"/>
      <c r="G349"/>
      <c r="H349"/>
      <c r="I349"/>
      <c r="J349"/>
      <c r="K349"/>
    </row>
    <row r="350" spans="1:11" x14ac:dyDescent="0.35">
      <c r="A350"/>
      <c r="B350"/>
      <c r="C350"/>
      <c r="D350"/>
      <c r="E350"/>
      <c r="F350"/>
      <c r="G350"/>
      <c r="H350"/>
      <c r="I350"/>
      <c r="J350"/>
      <c r="K350"/>
    </row>
    <row r="351" spans="1:11" x14ac:dyDescent="0.35">
      <c r="A351"/>
      <c r="B351"/>
      <c r="C351"/>
      <c r="D351"/>
      <c r="E351"/>
      <c r="F351"/>
      <c r="G351"/>
      <c r="H351"/>
      <c r="I351"/>
      <c r="J351"/>
      <c r="K351"/>
    </row>
    <row r="352" spans="1:11" x14ac:dyDescent="0.35">
      <c r="A352"/>
      <c r="B352"/>
      <c r="C352"/>
      <c r="D352"/>
      <c r="E352"/>
      <c r="F352"/>
      <c r="G352"/>
      <c r="H352"/>
      <c r="I352"/>
      <c r="J352"/>
      <c r="K352"/>
    </row>
    <row r="353" spans="1:11" x14ac:dyDescent="0.35">
      <c r="A353"/>
      <c r="B353"/>
      <c r="C353"/>
      <c r="D353"/>
      <c r="E353"/>
      <c r="F353"/>
      <c r="G353"/>
      <c r="H353"/>
      <c r="I353"/>
      <c r="J353"/>
      <c r="K353"/>
    </row>
    <row r="354" spans="1:11" x14ac:dyDescent="0.35">
      <c r="A354"/>
      <c r="B354"/>
      <c r="C354"/>
      <c r="D354"/>
      <c r="E354"/>
      <c r="F354"/>
      <c r="G354"/>
      <c r="H354"/>
      <c r="I354"/>
      <c r="J354"/>
      <c r="K354"/>
    </row>
    <row r="355" spans="1:11" x14ac:dyDescent="0.35">
      <c r="A355"/>
      <c r="B355"/>
      <c r="C355"/>
      <c r="D355"/>
      <c r="E355"/>
      <c r="F355"/>
      <c r="G355"/>
      <c r="H355"/>
      <c r="I355"/>
      <c r="J355"/>
      <c r="K355"/>
    </row>
    <row r="356" spans="1:11" x14ac:dyDescent="0.35">
      <c r="A356"/>
      <c r="B356"/>
      <c r="C356"/>
      <c r="D356"/>
      <c r="E356"/>
      <c r="F356"/>
      <c r="G356"/>
      <c r="H356"/>
      <c r="I356"/>
      <c r="J356"/>
      <c r="K356"/>
    </row>
    <row r="357" spans="1:11" x14ac:dyDescent="0.35">
      <c r="A357"/>
      <c r="B357"/>
      <c r="C357"/>
      <c r="D357"/>
      <c r="E357"/>
      <c r="F357"/>
      <c r="G357"/>
      <c r="H357"/>
      <c r="I357"/>
      <c r="J357"/>
      <c r="K357"/>
    </row>
    <row r="358" spans="1:11" x14ac:dyDescent="0.35">
      <c r="A358"/>
      <c r="B358"/>
      <c r="C358"/>
      <c r="D358"/>
      <c r="E358"/>
      <c r="F358"/>
      <c r="G358"/>
      <c r="H358"/>
      <c r="I358"/>
      <c r="J358"/>
      <c r="K358"/>
    </row>
    <row r="359" spans="1:11" x14ac:dyDescent="0.35">
      <c r="A359"/>
      <c r="B359"/>
      <c r="C359"/>
      <c r="D359"/>
      <c r="E359"/>
      <c r="F359"/>
      <c r="G359"/>
      <c r="H359"/>
      <c r="I359"/>
      <c r="J359"/>
      <c r="K359"/>
    </row>
    <row r="360" spans="1:11" x14ac:dyDescent="0.35">
      <c r="A360"/>
      <c r="B360"/>
      <c r="C360"/>
      <c r="D360"/>
      <c r="E360"/>
      <c r="F360"/>
      <c r="G360"/>
      <c r="H360"/>
      <c r="I360"/>
      <c r="J360"/>
      <c r="K360"/>
    </row>
    <row r="361" spans="1:11" x14ac:dyDescent="0.35">
      <c r="A361"/>
      <c r="B361"/>
      <c r="C361"/>
      <c r="D361"/>
      <c r="E361"/>
      <c r="F361"/>
      <c r="G361"/>
      <c r="H361"/>
      <c r="I361"/>
      <c r="J361"/>
      <c r="K361"/>
    </row>
    <row r="362" spans="1:11" x14ac:dyDescent="0.35">
      <c r="A362"/>
      <c r="B362"/>
      <c r="C362"/>
      <c r="D362"/>
      <c r="E362"/>
      <c r="F362"/>
      <c r="G362"/>
      <c r="H362"/>
      <c r="I362"/>
      <c r="J362"/>
      <c r="K362"/>
    </row>
    <row r="363" spans="1:11" x14ac:dyDescent="0.35">
      <c r="A363"/>
      <c r="B363"/>
      <c r="C363"/>
      <c r="D363"/>
      <c r="E363"/>
      <c r="F363"/>
      <c r="G363"/>
      <c r="H363"/>
      <c r="I363"/>
      <c r="J363"/>
      <c r="K363"/>
    </row>
    <row r="364" spans="1:11" x14ac:dyDescent="0.35">
      <c r="A364"/>
      <c r="B364"/>
      <c r="C364"/>
      <c r="D364"/>
      <c r="E364"/>
      <c r="F364"/>
      <c r="G364"/>
      <c r="H364"/>
      <c r="I364"/>
      <c r="J364"/>
      <c r="K364"/>
    </row>
    <row r="365" spans="1:11" x14ac:dyDescent="0.35">
      <c r="A365"/>
      <c r="B365"/>
      <c r="C365"/>
      <c r="D365"/>
      <c r="E365"/>
      <c r="F365"/>
      <c r="G365"/>
      <c r="H365"/>
      <c r="I365"/>
      <c r="J365"/>
      <c r="K365"/>
    </row>
    <row r="366" spans="1:11" x14ac:dyDescent="0.35">
      <c r="A366"/>
      <c r="B366"/>
      <c r="C366"/>
      <c r="D366"/>
      <c r="E366"/>
      <c r="F366"/>
      <c r="G366"/>
      <c r="H366"/>
      <c r="I366"/>
      <c r="J366"/>
      <c r="K366"/>
    </row>
    <row r="367" spans="1:11" x14ac:dyDescent="0.35">
      <c r="A367"/>
      <c r="B367"/>
      <c r="C367"/>
      <c r="D367"/>
      <c r="E367"/>
      <c r="F367"/>
      <c r="G367"/>
      <c r="H367"/>
      <c r="I367"/>
      <c r="J367"/>
      <c r="K367"/>
    </row>
    <row r="368" spans="1:11" x14ac:dyDescent="0.35">
      <c r="A368"/>
      <c r="B368"/>
      <c r="C368"/>
      <c r="D368"/>
      <c r="E368"/>
      <c r="F368"/>
      <c r="G368"/>
      <c r="H368"/>
      <c r="I368"/>
      <c r="J368"/>
      <c r="K368"/>
    </row>
    <row r="369" spans="1:11" x14ac:dyDescent="0.35">
      <c r="A369"/>
      <c r="B369"/>
      <c r="C369"/>
      <c r="D369"/>
      <c r="E369"/>
      <c r="F369"/>
      <c r="G369"/>
      <c r="H369"/>
      <c r="I369"/>
      <c r="J369"/>
      <c r="K369"/>
    </row>
    <row r="370" spans="1:11" x14ac:dyDescent="0.35">
      <c r="A370"/>
      <c r="B370"/>
      <c r="C370"/>
      <c r="D370"/>
      <c r="E370"/>
      <c r="F370"/>
      <c r="G370"/>
      <c r="H370"/>
      <c r="I370"/>
      <c r="J370"/>
      <c r="K370"/>
    </row>
    <row r="371" spans="1:11" x14ac:dyDescent="0.35">
      <c r="A371"/>
      <c r="B371"/>
      <c r="C371"/>
      <c r="D371"/>
      <c r="E371"/>
      <c r="F371"/>
      <c r="G371"/>
      <c r="H371"/>
      <c r="I371"/>
      <c r="J371"/>
      <c r="K371"/>
    </row>
    <row r="372" spans="1:11" x14ac:dyDescent="0.35">
      <c r="A372"/>
      <c r="B372"/>
      <c r="C372"/>
      <c r="D372"/>
      <c r="E372"/>
      <c r="F372"/>
      <c r="G372"/>
      <c r="H372"/>
      <c r="I372"/>
      <c r="J372"/>
      <c r="K372"/>
    </row>
    <row r="373" spans="1:11" x14ac:dyDescent="0.35">
      <c r="A373"/>
      <c r="B373"/>
      <c r="C373"/>
      <c r="D373"/>
      <c r="E373"/>
      <c r="F373"/>
      <c r="G373"/>
      <c r="H373"/>
      <c r="I373"/>
      <c r="J373"/>
      <c r="K373"/>
    </row>
    <row r="374" spans="1:11" x14ac:dyDescent="0.35">
      <c r="A374"/>
      <c r="B374"/>
      <c r="C374"/>
      <c r="D374"/>
      <c r="E374"/>
      <c r="F374"/>
      <c r="G374"/>
      <c r="H374"/>
      <c r="I374"/>
      <c r="J374"/>
      <c r="K374"/>
    </row>
    <row r="375" spans="1:11" x14ac:dyDescent="0.35">
      <c r="A375"/>
      <c r="B375"/>
      <c r="C375"/>
      <c r="D375"/>
      <c r="E375"/>
      <c r="F375"/>
      <c r="G375"/>
      <c r="H375"/>
      <c r="I375"/>
      <c r="J375"/>
      <c r="K375"/>
    </row>
    <row r="376" spans="1:11" x14ac:dyDescent="0.35">
      <c r="A376"/>
      <c r="B376"/>
      <c r="C376"/>
      <c r="D376"/>
      <c r="E376"/>
      <c r="F376"/>
      <c r="G376"/>
      <c r="H376"/>
      <c r="I376"/>
      <c r="J376"/>
      <c r="K376"/>
    </row>
    <row r="377" spans="1:11" x14ac:dyDescent="0.35">
      <c r="A377"/>
      <c r="B377"/>
      <c r="C377"/>
      <c r="D377"/>
      <c r="E377"/>
      <c r="F377"/>
      <c r="G377"/>
      <c r="H377"/>
      <c r="I377"/>
      <c r="J377"/>
      <c r="K377"/>
    </row>
    <row r="378" spans="1:11" x14ac:dyDescent="0.35">
      <c r="A378"/>
      <c r="B378"/>
      <c r="C378"/>
      <c r="D378"/>
      <c r="E378"/>
      <c r="F378"/>
      <c r="G378"/>
      <c r="H378"/>
      <c r="I378"/>
      <c r="J378"/>
      <c r="K378"/>
    </row>
    <row r="379" spans="1:11" x14ac:dyDescent="0.35">
      <c r="A379"/>
      <c r="B379"/>
      <c r="C379"/>
      <c r="D379"/>
      <c r="E379"/>
      <c r="F379"/>
      <c r="G379"/>
      <c r="H379"/>
      <c r="I379"/>
      <c r="J379"/>
      <c r="K379"/>
    </row>
    <row r="380" spans="1:11" x14ac:dyDescent="0.35">
      <c r="A380"/>
      <c r="B380"/>
      <c r="C380"/>
      <c r="D380"/>
      <c r="E380"/>
      <c r="F380"/>
      <c r="G380"/>
      <c r="H380"/>
      <c r="I380"/>
      <c r="J380"/>
      <c r="K380"/>
    </row>
    <row r="381" spans="1:11" x14ac:dyDescent="0.35">
      <c r="A381"/>
      <c r="B381"/>
      <c r="C381"/>
      <c r="D381"/>
      <c r="E381"/>
      <c r="F381"/>
      <c r="G381"/>
      <c r="H381"/>
      <c r="I381"/>
      <c r="J381"/>
      <c r="K381"/>
    </row>
    <row r="382" spans="1:11" x14ac:dyDescent="0.35">
      <c r="A382"/>
      <c r="B382"/>
      <c r="C382"/>
      <c r="D382"/>
      <c r="E382"/>
      <c r="F382"/>
      <c r="G382"/>
      <c r="H382"/>
      <c r="I382"/>
      <c r="J382"/>
      <c r="K382"/>
    </row>
    <row r="383" spans="1:11" x14ac:dyDescent="0.35">
      <c r="A383"/>
      <c r="B383"/>
      <c r="C383"/>
      <c r="D383"/>
      <c r="E383"/>
      <c r="F383"/>
      <c r="G383"/>
      <c r="H383"/>
      <c r="I383"/>
      <c r="J383"/>
      <c r="K383"/>
    </row>
    <row r="384" spans="1:11" x14ac:dyDescent="0.35">
      <c r="A384"/>
      <c r="B384"/>
      <c r="C384"/>
      <c r="D384"/>
      <c r="E384"/>
      <c r="F384"/>
      <c r="G384"/>
      <c r="H384"/>
      <c r="I384"/>
      <c r="J384"/>
      <c r="K384"/>
    </row>
    <row r="385" spans="1:11" x14ac:dyDescent="0.35">
      <c r="A385"/>
      <c r="B385"/>
      <c r="C385"/>
      <c r="D385"/>
      <c r="E385"/>
      <c r="F385"/>
      <c r="G385"/>
      <c r="H385"/>
      <c r="I385"/>
      <c r="J385"/>
      <c r="K385"/>
    </row>
    <row r="386" spans="1:11" ht="29" x14ac:dyDescent="0.35">
      <c r="A386"/>
      <c r="B386"/>
      <c r="C386"/>
      <c r="D386"/>
      <c r="E386"/>
      <c r="F386"/>
      <c r="G386"/>
      <c r="H386"/>
      <c r="I386"/>
      <c r="J386"/>
      <c r="K386" s="247" t="s">
        <v>973</v>
      </c>
    </row>
    <row r="387" spans="1:11" x14ac:dyDescent="0.35">
      <c r="A387"/>
      <c r="B387"/>
      <c r="C387"/>
      <c r="D387"/>
      <c r="E387"/>
      <c r="F387"/>
      <c r="G387"/>
      <c r="H387"/>
      <c r="I387"/>
      <c r="J387"/>
      <c r="K387"/>
    </row>
    <row r="388" spans="1:11" x14ac:dyDescent="0.35">
      <c r="A388"/>
      <c r="B388"/>
      <c r="C388"/>
      <c r="D388"/>
      <c r="E388"/>
      <c r="F388"/>
      <c r="G388"/>
      <c r="H388"/>
      <c r="I388"/>
      <c r="J388"/>
      <c r="K388"/>
    </row>
    <row r="389" spans="1:11" x14ac:dyDescent="0.35">
      <c r="A389"/>
      <c r="B389"/>
      <c r="C389"/>
      <c r="D389"/>
      <c r="E389"/>
      <c r="F389"/>
      <c r="G389"/>
      <c r="H389"/>
      <c r="I389"/>
      <c r="J389"/>
      <c r="K389"/>
    </row>
    <row r="390" spans="1:11" x14ac:dyDescent="0.35">
      <c r="A390"/>
      <c r="B390"/>
      <c r="C390"/>
      <c r="D390"/>
      <c r="E390"/>
      <c r="F390"/>
      <c r="G390"/>
      <c r="H390"/>
      <c r="I390"/>
      <c r="J390"/>
      <c r="K390"/>
    </row>
    <row r="391" spans="1:11" x14ac:dyDescent="0.35">
      <c r="A391"/>
      <c r="B391"/>
      <c r="C391"/>
      <c r="D391"/>
      <c r="E391"/>
      <c r="F391"/>
      <c r="G391"/>
      <c r="H391"/>
      <c r="I391"/>
      <c r="J391"/>
      <c r="K391"/>
    </row>
    <row r="392" spans="1:11" x14ac:dyDescent="0.35">
      <c r="A392"/>
      <c r="B392"/>
      <c r="C392"/>
      <c r="D392"/>
      <c r="E392"/>
      <c r="F392"/>
      <c r="G392"/>
      <c r="H392"/>
      <c r="I392"/>
      <c r="J392"/>
      <c r="K392"/>
    </row>
    <row r="393" spans="1:11" x14ac:dyDescent="0.35">
      <c r="A393"/>
      <c r="B393"/>
      <c r="C393"/>
      <c r="D393"/>
      <c r="E393"/>
      <c r="F393"/>
      <c r="G393"/>
      <c r="H393"/>
      <c r="I393"/>
      <c r="J393"/>
      <c r="K393"/>
    </row>
    <row r="394" spans="1:11" x14ac:dyDescent="0.35">
      <c r="A394"/>
      <c r="B394"/>
      <c r="C394"/>
      <c r="D394"/>
      <c r="E394"/>
      <c r="F394"/>
      <c r="G394"/>
      <c r="H394"/>
      <c r="I394"/>
      <c r="J394"/>
      <c r="K394"/>
    </row>
    <row r="395" spans="1:11" x14ac:dyDescent="0.35">
      <c r="A395"/>
      <c r="B395"/>
      <c r="C395"/>
      <c r="D395"/>
      <c r="E395"/>
      <c r="F395"/>
      <c r="G395"/>
      <c r="H395"/>
      <c r="I395"/>
      <c r="J395"/>
      <c r="K395"/>
    </row>
    <row r="396" spans="1:11" x14ac:dyDescent="0.35">
      <c r="A396"/>
      <c r="B396"/>
      <c r="C396"/>
      <c r="D396"/>
      <c r="E396"/>
      <c r="F396"/>
      <c r="G396"/>
      <c r="H396"/>
      <c r="I396"/>
      <c r="J396"/>
      <c r="K396"/>
    </row>
    <row r="397" spans="1:11" ht="72.5" x14ac:dyDescent="0.35">
      <c r="A397"/>
      <c r="B397"/>
      <c r="C397"/>
      <c r="D397"/>
      <c r="E397"/>
      <c r="F397"/>
      <c r="G397"/>
      <c r="H397"/>
      <c r="I397"/>
      <c r="J397"/>
      <c r="K397" s="247" t="s">
        <v>970</v>
      </c>
    </row>
    <row r="398" spans="1:11" x14ac:dyDescent="0.35">
      <c r="A398"/>
      <c r="B398"/>
      <c r="C398"/>
      <c r="D398"/>
      <c r="E398"/>
      <c r="F398"/>
      <c r="G398"/>
      <c r="H398"/>
      <c r="I398"/>
      <c r="J398"/>
      <c r="K398"/>
    </row>
    <row r="399" spans="1:11" x14ac:dyDescent="0.35">
      <c r="A399"/>
      <c r="B399"/>
      <c r="C399"/>
      <c r="D399"/>
      <c r="E399"/>
      <c r="F399"/>
      <c r="G399"/>
      <c r="H399"/>
      <c r="I399"/>
      <c r="J399"/>
      <c r="K399"/>
    </row>
    <row r="400" spans="1:11" x14ac:dyDescent="0.35">
      <c r="A400"/>
      <c r="B400"/>
      <c r="C400"/>
      <c r="D400"/>
      <c r="E400"/>
      <c r="F400"/>
      <c r="G400"/>
      <c r="H400"/>
      <c r="I400"/>
      <c r="J400"/>
      <c r="K400"/>
    </row>
    <row r="401" spans="1:11" x14ac:dyDescent="0.35">
      <c r="A401"/>
      <c r="B401"/>
      <c r="C401"/>
      <c r="D401"/>
      <c r="E401"/>
      <c r="F401"/>
      <c r="G401"/>
      <c r="H401"/>
      <c r="I401"/>
      <c r="J401"/>
      <c r="K401"/>
    </row>
    <row r="402" spans="1:11" x14ac:dyDescent="0.35">
      <c r="A402"/>
      <c r="B402"/>
      <c r="C402"/>
      <c r="D402"/>
      <c r="E402"/>
      <c r="F402"/>
      <c r="G402"/>
      <c r="H402"/>
      <c r="I402"/>
      <c r="J402"/>
      <c r="K402"/>
    </row>
    <row r="403" spans="1:11" x14ac:dyDescent="0.35">
      <c r="A403"/>
      <c r="B403"/>
      <c r="C403"/>
      <c r="D403"/>
      <c r="E403"/>
      <c r="F403"/>
      <c r="G403"/>
      <c r="H403"/>
      <c r="I403"/>
      <c r="J403"/>
      <c r="K403"/>
    </row>
    <row r="404" spans="1:11" x14ac:dyDescent="0.35">
      <c r="A404"/>
      <c r="B404"/>
      <c r="C404"/>
      <c r="D404"/>
      <c r="E404"/>
      <c r="F404"/>
      <c r="G404"/>
      <c r="H404"/>
      <c r="I404"/>
      <c r="J404"/>
      <c r="K404"/>
    </row>
    <row r="405" spans="1:11" x14ac:dyDescent="0.35">
      <c r="A405"/>
      <c r="B405"/>
      <c r="C405"/>
      <c r="D405"/>
      <c r="E405"/>
      <c r="F405"/>
      <c r="G405"/>
      <c r="H405"/>
      <c r="I405"/>
      <c r="J405"/>
      <c r="K405"/>
    </row>
    <row r="406" spans="1:11" x14ac:dyDescent="0.35">
      <c r="A406"/>
      <c r="B406"/>
      <c r="C406"/>
      <c r="D406"/>
      <c r="E406"/>
      <c r="F406"/>
      <c r="G406"/>
      <c r="H406"/>
      <c r="I406"/>
      <c r="J406"/>
      <c r="K406"/>
    </row>
    <row r="407" spans="1:11" x14ac:dyDescent="0.35">
      <c r="A407"/>
      <c r="B407"/>
      <c r="C407"/>
      <c r="D407"/>
      <c r="E407"/>
      <c r="F407"/>
      <c r="G407"/>
      <c r="H407"/>
      <c r="I407"/>
      <c r="J407"/>
      <c r="K407"/>
    </row>
    <row r="408" spans="1:11" x14ac:dyDescent="0.35">
      <c r="A408"/>
      <c r="B408"/>
      <c r="C408"/>
      <c r="D408"/>
      <c r="E408"/>
      <c r="F408"/>
      <c r="G408"/>
      <c r="H408"/>
      <c r="I408"/>
      <c r="J408"/>
      <c r="K408"/>
    </row>
    <row r="409" spans="1:11" x14ac:dyDescent="0.35">
      <c r="A409"/>
      <c r="B409"/>
      <c r="C409"/>
      <c r="D409"/>
      <c r="E409"/>
      <c r="F409"/>
      <c r="G409"/>
      <c r="H409"/>
      <c r="I409"/>
      <c r="J409"/>
      <c r="K409"/>
    </row>
    <row r="410" spans="1:11" x14ac:dyDescent="0.35">
      <c r="A410"/>
      <c r="B410"/>
      <c r="C410"/>
      <c r="D410"/>
      <c r="E410"/>
      <c r="F410"/>
      <c r="G410"/>
      <c r="H410"/>
      <c r="I410"/>
      <c r="J410"/>
      <c r="K410"/>
    </row>
    <row r="411" spans="1:11" x14ac:dyDescent="0.35">
      <c r="A411"/>
      <c r="B411"/>
      <c r="C411"/>
      <c r="D411"/>
      <c r="E411"/>
      <c r="F411"/>
      <c r="G411"/>
      <c r="H411"/>
      <c r="I411"/>
      <c r="J411"/>
      <c r="K411"/>
    </row>
    <row r="412" spans="1:11" x14ac:dyDescent="0.35">
      <c r="A412"/>
      <c r="B412"/>
      <c r="C412"/>
      <c r="D412"/>
      <c r="E412"/>
      <c r="F412"/>
      <c r="G412"/>
      <c r="H412"/>
      <c r="I412"/>
      <c r="J412"/>
      <c r="K412"/>
    </row>
    <row r="413" spans="1:11" x14ac:dyDescent="0.35">
      <c r="A413"/>
      <c r="B413"/>
      <c r="C413"/>
      <c r="D413"/>
      <c r="E413"/>
      <c r="F413"/>
      <c r="G413"/>
      <c r="H413"/>
      <c r="I413"/>
      <c r="J413"/>
      <c r="K413"/>
    </row>
    <row r="414" spans="1:11" x14ac:dyDescent="0.35">
      <c r="A414"/>
      <c r="B414"/>
      <c r="C414"/>
      <c r="D414"/>
      <c r="E414"/>
      <c r="F414"/>
      <c r="G414"/>
      <c r="H414"/>
      <c r="I414"/>
      <c r="J414"/>
      <c r="K414"/>
    </row>
    <row r="415" spans="1:11" x14ac:dyDescent="0.35">
      <c r="A415"/>
      <c r="B415"/>
      <c r="C415"/>
      <c r="D415"/>
      <c r="E415"/>
      <c r="F415"/>
      <c r="G415"/>
      <c r="H415"/>
      <c r="I415"/>
      <c r="J415"/>
      <c r="K415"/>
    </row>
    <row r="416" spans="1:11" x14ac:dyDescent="0.35">
      <c r="A416"/>
      <c r="B416"/>
      <c r="C416"/>
      <c r="D416"/>
      <c r="E416"/>
      <c r="F416"/>
      <c r="G416"/>
      <c r="H416"/>
      <c r="I416"/>
      <c r="J416"/>
      <c r="K416"/>
    </row>
    <row r="417" spans="1:11" x14ac:dyDescent="0.35">
      <c r="A417"/>
      <c r="B417"/>
      <c r="C417"/>
      <c r="D417"/>
      <c r="E417"/>
      <c r="F417"/>
      <c r="G417"/>
      <c r="H417"/>
      <c r="I417"/>
      <c r="J417"/>
      <c r="K417"/>
    </row>
    <row r="418" spans="1:11" x14ac:dyDescent="0.35">
      <c r="A418"/>
      <c r="B418"/>
      <c r="C418"/>
      <c r="D418"/>
      <c r="E418"/>
      <c r="F418"/>
      <c r="G418"/>
      <c r="H418"/>
      <c r="I418"/>
      <c r="J418"/>
      <c r="K418"/>
    </row>
    <row r="419" spans="1:11" x14ac:dyDescent="0.35">
      <c r="A419"/>
      <c r="B419"/>
      <c r="C419"/>
      <c r="D419"/>
      <c r="E419"/>
      <c r="F419"/>
      <c r="G419"/>
      <c r="H419"/>
      <c r="I419"/>
      <c r="J419"/>
      <c r="K419"/>
    </row>
    <row r="420" spans="1:11" x14ac:dyDescent="0.35">
      <c r="A420"/>
      <c r="B420"/>
      <c r="C420"/>
      <c r="D420"/>
      <c r="E420"/>
      <c r="F420"/>
      <c r="G420"/>
      <c r="H420"/>
      <c r="I420"/>
      <c r="J420"/>
      <c r="K420"/>
    </row>
    <row r="421" spans="1:11" x14ac:dyDescent="0.35">
      <c r="A421"/>
      <c r="B421"/>
      <c r="C421"/>
      <c r="D421"/>
      <c r="E421"/>
      <c r="F421"/>
      <c r="G421"/>
      <c r="H421"/>
      <c r="I421"/>
      <c r="J421"/>
      <c r="K421"/>
    </row>
    <row r="422" spans="1:11" x14ac:dyDescent="0.35">
      <c r="A422"/>
      <c r="B422"/>
      <c r="C422"/>
      <c r="D422"/>
      <c r="E422"/>
      <c r="F422"/>
      <c r="G422"/>
      <c r="H422"/>
      <c r="I422"/>
      <c r="J422"/>
      <c r="K422"/>
    </row>
    <row r="423" spans="1:11" x14ac:dyDescent="0.35">
      <c r="A423"/>
      <c r="B423"/>
      <c r="C423"/>
      <c r="D423"/>
      <c r="E423"/>
      <c r="F423"/>
      <c r="G423"/>
      <c r="H423"/>
      <c r="I423"/>
      <c r="J423"/>
      <c r="K423"/>
    </row>
    <row r="424" spans="1:11" x14ac:dyDescent="0.35">
      <c r="A424"/>
      <c r="B424"/>
      <c r="C424"/>
      <c r="D424"/>
      <c r="E424"/>
      <c r="F424"/>
      <c r="G424"/>
      <c r="H424"/>
      <c r="I424"/>
      <c r="J424"/>
      <c r="K424"/>
    </row>
    <row r="425" spans="1:11" x14ac:dyDescent="0.35">
      <c r="A425"/>
      <c r="B425"/>
      <c r="C425"/>
      <c r="D425"/>
      <c r="E425"/>
      <c r="F425"/>
      <c r="G425"/>
      <c r="H425"/>
      <c r="I425"/>
      <c r="J425"/>
      <c r="K425"/>
    </row>
    <row r="426" spans="1:11" x14ac:dyDescent="0.35">
      <c r="A426"/>
      <c r="B426"/>
      <c r="C426"/>
      <c r="D426"/>
      <c r="E426"/>
      <c r="F426"/>
      <c r="G426"/>
      <c r="H426"/>
      <c r="I426"/>
      <c r="J426"/>
      <c r="K426"/>
    </row>
    <row r="427" spans="1:11" x14ac:dyDescent="0.35">
      <c r="A427"/>
      <c r="B427"/>
      <c r="C427"/>
      <c r="D427"/>
      <c r="E427"/>
      <c r="F427"/>
      <c r="G427"/>
      <c r="H427"/>
      <c r="I427"/>
      <c r="J427"/>
      <c r="K427"/>
    </row>
    <row r="428" spans="1:11" x14ac:dyDescent="0.35">
      <c r="A428"/>
      <c r="B428"/>
      <c r="C428"/>
      <c r="D428"/>
      <c r="E428"/>
      <c r="F428"/>
      <c r="G428"/>
      <c r="H428"/>
      <c r="I428"/>
      <c r="J428"/>
      <c r="K428"/>
    </row>
    <row r="429" spans="1:11" x14ac:dyDescent="0.35">
      <c r="A429"/>
      <c r="B429"/>
      <c r="C429"/>
      <c r="D429"/>
      <c r="E429"/>
      <c r="F429"/>
      <c r="G429"/>
      <c r="H429"/>
      <c r="I429"/>
      <c r="J429"/>
      <c r="K429"/>
    </row>
    <row r="430" spans="1:11" x14ac:dyDescent="0.35">
      <c r="A430"/>
      <c r="B430"/>
      <c r="C430"/>
      <c r="D430"/>
      <c r="E430"/>
      <c r="F430"/>
      <c r="G430"/>
      <c r="H430"/>
      <c r="I430"/>
      <c r="J430"/>
      <c r="K430"/>
    </row>
    <row r="431" spans="1:11" x14ac:dyDescent="0.35">
      <c r="A431"/>
      <c r="B431"/>
      <c r="C431"/>
      <c r="D431"/>
      <c r="E431"/>
      <c r="F431"/>
      <c r="G431"/>
      <c r="H431"/>
      <c r="I431"/>
      <c r="J431"/>
      <c r="K431"/>
    </row>
    <row r="432" spans="1:11" x14ac:dyDescent="0.35">
      <c r="A432"/>
      <c r="B432"/>
      <c r="C432"/>
      <c r="D432"/>
      <c r="E432"/>
      <c r="F432"/>
      <c r="G432"/>
      <c r="H432"/>
      <c r="I432"/>
      <c r="J432"/>
      <c r="K432"/>
    </row>
    <row r="433" spans="1:11" x14ac:dyDescent="0.35">
      <c r="A433"/>
      <c r="B433"/>
      <c r="C433"/>
      <c r="D433"/>
      <c r="E433"/>
      <c r="F433"/>
      <c r="G433"/>
      <c r="H433"/>
      <c r="I433"/>
      <c r="J433"/>
      <c r="K433"/>
    </row>
    <row r="434" spans="1:11" x14ac:dyDescent="0.35">
      <c r="A434"/>
      <c r="B434"/>
      <c r="C434"/>
      <c r="D434"/>
      <c r="E434"/>
      <c r="F434"/>
      <c r="G434"/>
      <c r="H434"/>
      <c r="I434"/>
      <c r="J434"/>
      <c r="K434"/>
    </row>
    <row r="435" spans="1:11" x14ac:dyDescent="0.35">
      <c r="A435"/>
      <c r="B435"/>
      <c r="C435"/>
      <c r="D435"/>
      <c r="E435"/>
      <c r="F435"/>
      <c r="G435"/>
      <c r="H435"/>
      <c r="I435"/>
      <c r="J435"/>
      <c r="K435"/>
    </row>
    <row r="436" spans="1:11" x14ac:dyDescent="0.35">
      <c r="A436"/>
      <c r="B436"/>
      <c r="C436"/>
      <c r="D436"/>
      <c r="E436"/>
      <c r="F436"/>
      <c r="G436"/>
      <c r="H436"/>
      <c r="I436"/>
      <c r="J436"/>
      <c r="K436"/>
    </row>
    <row r="437" spans="1:11" x14ac:dyDescent="0.35">
      <c r="A437"/>
      <c r="B437"/>
      <c r="C437"/>
      <c r="D437"/>
      <c r="E437"/>
      <c r="F437"/>
      <c r="G437"/>
      <c r="H437"/>
      <c r="I437"/>
      <c r="J437"/>
      <c r="K437"/>
    </row>
    <row r="438" spans="1:11" x14ac:dyDescent="0.35">
      <c r="A438"/>
      <c r="B438"/>
      <c r="C438"/>
      <c r="D438"/>
      <c r="E438"/>
      <c r="F438"/>
      <c r="G438"/>
      <c r="H438"/>
      <c r="I438"/>
      <c r="J438"/>
      <c r="K438"/>
    </row>
    <row r="439" spans="1:11" x14ac:dyDescent="0.35">
      <c r="A439"/>
      <c r="B439"/>
      <c r="C439"/>
      <c r="D439"/>
      <c r="E439"/>
      <c r="F439"/>
      <c r="G439"/>
      <c r="H439"/>
      <c r="I439"/>
      <c r="J439"/>
      <c r="K439"/>
    </row>
    <row r="440" spans="1:11" x14ac:dyDescent="0.35">
      <c r="A440"/>
      <c r="B440"/>
      <c r="C440"/>
      <c r="D440"/>
      <c r="E440"/>
      <c r="F440"/>
      <c r="G440"/>
      <c r="H440"/>
      <c r="I440"/>
      <c r="J440"/>
      <c r="K440"/>
    </row>
    <row r="441" spans="1:11" x14ac:dyDescent="0.35">
      <c r="A441"/>
      <c r="B441"/>
      <c r="C441"/>
      <c r="D441"/>
      <c r="E441"/>
      <c r="F441"/>
      <c r="G441"/>
      <c r="H441"/>
      <c r="I441"/>
      <c r="J441"/>
      <c r="K441"/>
    </row>
    <row r="442" spans="1:11" x14ac:dyDescent="0.35">
      <c r="A442"/>
      <c r="B442"/>
      <c r="C442"/>
      <c r="D442"/>
      <c r="E442"/>
      <c r="F442"/>
      <c r="G442"/>
      <c r="H442"/>
      <c r="I442"/>
      <c r="J442"/>
      <c r="K442"/>
    </row>
    <row r="443" spans="1:11" x14ac:dyDescent="0.35">
      <c r="A443"/>
      <c r="B443"/>
      <c r="C443"/>
      <c r="D443"/>
      <c r="E443"/>
      <c r="F443"/>
      <c r="G443"/>
      <c r="H443"/>
      <c r="I443"/>
      <c r="J443"/>
      <c r="K443"/>
    </row>
    <row r="444" spans="1:11" x14ac:dyDescent="0.35">
      <c r="A444"/>
      <c r="B444"/>
      <c r="C444"/>
      <c r="D444"/>
      <c r="E444"/>
      <c r="F444"/>
      <c r="G444"/>
      <c r="H444"/>
      <c r="I444"/>
      <c r="J444"/>
      <c r="K444"/>
    </row>
    <row r="445" spans="1:11" x14ac:dyDescent="0.35">
      <c r="A445"/>
      <c r="B445"/>
      <c r="C445"/>
      <c r="D445"/>
      <c r="E445"/>
      <c r="F445"/>
      <c r="G445"/>
      <c r="H445"/>
      <c r="I445"/>
      <c r="J445"/>
      <c r="K445"/>
    </row>
    <row r="446" spans="1:11" x14ac:dyDescent="0.35">
      <c r="A446"/>
      <c r="B446"/>
      <c r="C446"/>
      <c r="D446"/>
      <c r="E446"/>
      <c r="F446"/>
      <c r="G446"/>
      <c r="H446"/>
      <c r="I446"/>
      <c r="J446"/>
      <c r="K446"/>
    </row>
    <row r="447" spans="1:11" x14ac:dyDescent="0.35">
      <c r="A447"/>
      <c r="B447"/>
      <c r="C447"/>
      <c r="D447"/>
      <c r="E447"/>
      <c r="F447"/>
      <c r="G447"/>
      <c r="H447"/>
      <c r="I447"/>
      <c r="J447"/>
      <c r="K447"/>
    </row>
    <row r="448" spans="1:11" x14ac:dyDescent="0.35">
      <c r="A448"/>
      <c r="B448"/>
      <c r="C448"/>
      <c r="D448"/>
      <c r="E448"/>
      <c r="F448"/>
      <c r="G448"/>
      <c r="H448"/>
      <c r="I448"/>
      <c r="J448"/>
      <c r="K448"/>
    </row>
    <row r="449" spans="1:11" x14ac:dyDescent="0.35">
      <c r="A449"/>
      <c r="B449"/>
      <c r="C449"/>
      <c r="D449"/>
      <c r="E449"/>
      <c r="F449"/>
      <c r="G449"/>
      <c r="H449"/>
      <c r="I449"/>
      <c r="J449"/>
      <c r="K449"/>
    </row>
    <row r="450" spans="1:11" x14ac:dyDescent="0.35">
      <c r="A450"/>
      <c r="B450"/>
      <c r="C450"/>
      <c r="D450"/>
      <c r="E450"/>
      <c r="F450"/>
      <c r="G450"/>
      <c r="H450"/>
      <c r="I450"/>
      <c r="J450"/>
      <c r="K450"/>
    </row>
    <row r="451" spans="1:11" x14ac:dyDescent="0.35">
      <c r="A451"/>
      <c r="B451"/>
      <c r="C451"/>
      <c r="D451"/>
      <c r="E451"/>
      <c r="F451"/>
      <c r="G451"/>
      <c r="H451"/>
      <c r="I451"/>
      <c r="J451"/>
      <c r="K451"/>
    </row>
    <row r="452" spans="1:11" x14ac:dyDescent="0.35">
      <c r="A452"/>
      <c r="B452"/>
      <c r="C452"/>
      <c r="D452"/>
      <c r="E452"/>
      <c r="F452"/>
      <c r="G452"/>
      <c r="H452"/>
      <c r="I452"/>
      <c r="J452"/>
      <c r="K452"/>
    </row>
    <row r="453" spans="1:11" x14ac:dyDescent="0.35">
      <c r="A453"/>
      <c r="B453"/>
      <c r="C453"/>
      <c r="D453"/>
      <c r="E453"/>
      <c r="F453"/>
      <c r="G453"/>
      <c r="H453"/>
      <c r="I453"/>
      <c r="J453"/>
      <c r="K453"/>
    </row>
    <row r="454" spans="1:11" x14ac:dyDescent="0.35">
      <c r="A454"/>
      <c r="B454"/>
      <c r="C454"/>
      <c r="D454"/>
      <c r="E454"/>
      <c r="F454"/>
      <c r="G454"/>
      <c r="H454"/>
      <c r="I454"/>
      <c r="J454"/>
      <c r="K454"/>
    </row>
    <row r="455" spans="1:11" x14ac:dyDescent="0.35">
      <c r="A455"/>
      <c r="B455"/>
      <c r="C455"/>
      <c r="D455"/>
      <c r="E455"/>
      <c r="F455"/>
      <c r="G455"/>
      <c r="H455"/>
      <c r="I455"/>
      <c r="J455"/>
      <c r="K455"/>
    </row>
    <row r="456" spans="1:11" x14ac:dyDescent="0.35">
      <c r="A456"/>
      <c r="B456"/>
      <c r="C456"/>
      <c r="D456"/>
      <c r="E456"/>
      <c r="F456"/>
      <c r="G456"/>
      <c r="H456"/>
      <c r="I456"/>
      <c r="J456"/>
      <c r="K456"/>
    </row>
    <row r="457" spans="1:11" x14ac:dyDescent="0.35">
      <c r="A457"/>
      <c r="B457"/>
      <c r="C457"/>
      <c r="D457"/>
      <c r="E457"/>
      <c r="F457"/>
      <c r="G457"/>
      <c r="H457"/>
      <c r="I457"/>
      <c r="J457"/>
      <c r="K457"/>
    </row>
    <row r="458" spans="1:11" x14ac:dyDescent="0.35">
      <c r="A458"/>
      <c r="B458"/>
      <c r="C458"/>
      <c r="D458"/>
      <c r="E458"/>
      <c r="F458"/>
      <c r="G458"/>
      <c r="H458"/>
      <c r="I458"/>
      <c r="J458"/>
      <c r="K458"/>
    </row>
    <row r="459" spans="1:11" x14ac:dyDescent="0.35">
      <c r="A459"/>
      <c r="B459"/>
      <c r="C459"/>
      <c r="D459"/>
      <c r="E459"/>
      <c r="F459"/>
      <c r="G459"/>
      <c r="H459"/>
      <c r="I459"/>
      <c r="J459"/>
      <c r="K459"/>
    </row>
    <row r="460" spans="1:11" x14ac:dyDescent="0.35">
      <c r="A460"/>
      <c r="B460"/>
      <c r="C460"/>
      <c r="D460"/>
      <c r="E460"/>
      <c r="F460"/>
      <c r="G460"/>
      <c r="H460"/>
      <c r="I460"/>
      <c r="J460"/>
      <c r="K460"/>
    </row>
    <row r="461" spans="1:11" x14ac:dyDescent="0.35">
      <c r="A461"/>
      <c r="B461"/>
      <c r="C461"/>
      <c r="D461"/>
      <c r="E461"/>
      <c r="F461"/>
      <c r="G461"/>
      <c r="H461"/>
      <c r="I461"/>
      <c r="J461"/>
      <c r="K461"/>
    </row>
    <row r="462" spans="1:11" x14ac:dyDescent="0.35">
      <c r="A462"/>
      <c r="B462"/>
      <c r="C462"/>
      <c r="D462"/>
      <c r="E462"/>
      <c r="F462"/>
      <c r="G462"/>
      <c r="H462"/>
      <c r="I462"/>
      <c r="J462"/>
      <c r="K462"/>
    </row>
    <row r="463" spans="1:11" x14ac:dyDescent="0.35">
      <c r="A463"/>
      <c r="B463"/>
      <c r="C463"/>
      <c r="D463"/>
      <c r="E463"/>
      <c r="F463"/>
      <c r="G463"/>
      <c r="H463"/>
      <c r="I463"/>
      <c r="J463"/>
      <c r="K463"/>
    </row>
    <row r="464" spans="1:11" x14ac:dyDescent="0.35">
      <c r="A464"/>
      <c r="B464"/>
      <c r="C464"/>
      <c r="D464"/>
      <c r="E464"/>
      <c r="F464"/>
      <c r="G464"/>
      <c r="H464"/>
      <c r="I464"/>
      <c r="J464"/>
      <c r="K464"/>
    </row>
    <row r="465" spans="1:11" x14ac:dyDescent="0.35">
      <c r="A465"/>
      <c r="B465"/>
      <c r="C465"/>
      <c r="D465"/>
      <c r="E465"/>
      <c r="F465"/>
      <c r="G465"/>
      <c r="H465"/>
      <c r="I465"/>
      <c r="J465"/>
      <c r="K465"/>
    </row>
    <row r="466" spans="1:11" x14ac:dyDescent="0.35">
      <c r="A466"/>
      <c r="B466"/>
      <c r="C466"/>
      <c r="D466"/>
      <c r="E466"/>
      <c r="F466"/>
      <c r="G466"/>
      <c r="H466"/>
      <c r="I466"/>
      <c r="J466"/>
      <c r="K466"/>
    </row>
    <row r="467" spans="1:11" x14ac:dyDescent="0.35">
      <c r="A467"/>
      <c r="B467"/>
      <c r="C467"/>
      <c r="D467"/>
      <c r="E467"/>
      <c r="F467"/>
      <c r="G467"/>
      <c r="H467"/>
      <c r="I467"/>
      <c r="J467"/>
      <c r="K467"/>
    </row>
    <row r="468" spans="1:11" x14ac:dyDescent="0.35">
      <c r="A468"/>
      <c r="B468"/>
      <c r="C468"/>
      <c r="D468"/>
      <c r="E468"/>
      <c r="F468"/>
      <c r="G468"/>
      <c r="H468"/>
      <c r="I468"/>
      <c r="J468"/>
      <c r="K468"/>
    </row>
    <row r="469" spans="1:11" x14ac:dyDescent="0.35">
      <c r="A469"/>
      <c r="B469"/>
      <c r="C469"/>
      <c r="D469"/>
      <c r="E469"/>
      <c r="F469"/>
      <c r="G469"/>
      <c r="H469"/>
      <c r="I469"/>
      <c r="J469"/>
      <c r="K469"/>
    </row>
    <row r="470" spans="1:11" x14ac:dyDescent="0.35">
      <c r="A470"/>
      <c r="B470"/>
      <c r="C470"/>
      <c r="D470"/>
      <c r="E470"/>
      <c r="F470"/>
      <c r="G470"/>
      <c r="H470"/>
      <c r="I470"/>
      <c r="J470"/>
      <c r="K470"/>
    </row>
    <row r="471" spans="1:11" x14ac:dyDescent="0.35">
      <c r="A471"/>
      <c r="B471"/>
      <c r="C471"/>
      <c r="D471"/>
      <c r="E471"/>
      <c r="F471"/>
      <c r="G471"/>
      <c r="H471"/>
      <c r="I471"/>
      <c r="J471"/>
      <c r="K471"/>
    </row>
    <row r="472" spans="1:11" x14ac:dyDescent="0.35">
      <c r="A472"/>
      <c r="B472"/>
      <c r="C472"/>
      <c r="D472"/>
      <c r="E472"/>
      <c r="F472"/>
      <c r="G472"/>
      <c r="H472"/>
      <c r="I472"/>
      <c r="J472"/>
      <c r="K472"/>
    </row>
    <row r="473" spans="1:11" x14ac:dyDescent="0.35">
      <c r="A473"/>
      <c r="B473"/>
      <c r="C473"/>
      <c r="D473"/>
      <c r="E473"/>
      <c r="F473"/>
      <c r="G473"/>
      <c r="H473"/>
      <c r="I473"/>
      <c r="J473"/>
      <c r="K473"/>
    </row>
    <row r="474" spans="1:11" x14ac:dyDescent="0.35">
      <c r="A474"/>
      <c r="B474"/>
      <c r="C474"/>
      <c r="D474"/>
      <c r="E474"/>
      <c r="F474"/>
      <c r="G474"/>
      <c r="H474"/>
      <c r="I474"/>
      <c r="J474"/>
      <c r="K474"/>
    </row>
    <row r="475" spans="1:11" x14ac:dyDescent="0.35">
      <c r="A475"/>
      <c r="B475"/>
      <c r="C475"/>
      <c r="D475"/>
      <c r="E475"/>
      <c r="F475"/>
      <c r="G475"/>
      <c r="H475"/>
      <c r="I475"/>
      <c r="J475"/>
      <c r="K475"/>
    </row>
    <row r="476" spans="1:11" x14ac:dyDescent="0.35">
      <c r="A476"/>
      <c r="B476"/>
      <c r="C476"/>
      <c r="D476"/>
      <c r="E476"/>
      <c r="F476"/>
      <c r="G476"/>
      <c r="H476"/>
      <c r="I476"/>
      <c r="J476"/>
      <c r="K476"/>
    </row>
    <row r="477" spans="1:11" x14ac:dyDescent="0.35">
      <c r="A477"/>
      <c r="B477"/>
      <c r="C477"/>
      <c r="D477"/>
      <c r="E477"/>
      <c r="F477"/>
      <c r="G477"/>
      <c r="H477"/>
      <c r="I477"/>
      <c r="J477"/>
      <c r="K477"/>
    </row>
    <row r="478" spans="1:11" x14ac:dyDescent="0.35">
      <c r="A478"/>
      <c r="B478"/>
      <c r="C478"/>
      <c r="D478"/>
      <c r="E478"/>
      <c r="F478"/>
      <c r="G478"/>
      <c r="H478"/>
      <c r="I478"/>
      <c r="J478"/>
      <c r="K478"/>
    </row>
    <row r="479" spans="1:11" x14ac:dyDescent="0.35">
      <c r="A479"/>
      <c r="B479"/>
      <c r="C479"/>
      <c r="D479"/>
      <c r="E479"/>
      <c r="F479"/>
      <c r="G479"/>
      <c r="H479"/>
      <c r="I479"/>
      <c r="J479"/>
      <c r="K479"/>
    </row>
    <row r="480" spans="1:11" x14ac:dyDescent="0.35">
      <c r="A480"/>
      <c r="B480"/>
      <c r="C480"/>
      <c r="D480"/>
      <c r="E480"/>
      <c r="F480"/>
      <c r="G480"/>
      <c r="H480"/>
      <c r="I480"/>
      <c r="J480"/>
      <c r="K480"/>
    </row>
    <row r="481" spans="1:11" x14ac:dyDescent="0.35">
      <c r="A481"/>
      <c r="B481"/>
      <c r="C481"/>
      <c r="D481"/>
      <c r="E481"/>
      <c r="F481"/>
      <c r="G481"/>
      <c r="H481"/>
      <c r="I481"/>
      <c r="J481"/>
      <c r="K481"/>
    </row>
    <row r="482" spans="1:11" x14ac:dyDescent="0.35">
      <c r="A482"/>
      <c r="B482"/>
      <c r="C482"/>
      <c r="D482"/>
      <c r="E482"/>
      <c r="F482"/>
      <c r="G482"/>
      <c r="H482"/>
      <c r="I482"/>
      <c r="J482"/>
      <c r="K482"/>
    </row>
    <row r="483" spans="1:11" x14ac:dyDescent="0.35">
      <c r="A483"/>
      <c r="B483"/>
      <c r="C483"/>
      <c r="D483"/>
      <c r="E483"/>
      <c r="F483"/>
      <c r="G483"/>
      <c r="H483"/>
      <c r="I483"/>
      <c r="J483"/>
      <c r="K483"/>
    </row>
    <row r="484" spans="1:11" x14ac:dyDescent="0.35">
      <c r="A484"/>
      <c r="B484"/>
      <c r="C484"/>
      <c r="D484"/>
      <c r="E484"/>
      <c r="F484"/>
      <c r="G484"/>
      <c r="H484"/>
      <c r="I484"/>
      <c r="J484"/>
      <c r="K484"/>
    </row>
    <row r="485" spans="1:11" x14ac:dyDescent="0.35">
      <c r="A485"/>
      <c r="B485"/>
      <c r="C485"/>
      <c r="D485"/>
      <c r="E485"/>
      <c r="F485"/>
      <c r="G485"/>
      <c r="H485"/>
      <c r="I485"/>
      <c r="J485"/>
      <c r="K485"/>
    </row>
    <row r="486" spans="1:11" x14ac:dyDescent="0.35">
      <c r="A486"/>
      <c r="B486"/>
      <c r="C486"/>
      <c r="D486"/>
      <c r="E486"/>
      <c r="F486"/>
      <c r="G486"/>
      <c r="H486"/>
      <c r="I486"/>
      <c r="J486"/>
      <c r="K486"/>
    </row>
    <row r="487" spans="1:11" x14ac:dyDescent="0.35">
      <c r="A487"/>
      <c r="B487"/>
      <c r="C487"/>
      <c r="D487"/>
      <c r="E487"/>
      <c r="F487"/>
      <c r="G487"/>
      <c r="H487"/>
      <c r="I487"/>
      <c r="J487"/>
      <c r="K487"/>
    </row>
    <row r="488" spans="1:11" x14ac:dyDescent="0.35">
      <c r="A488"/>
      <c r="B488"/>
      <c r="C488"/>
      <c r="D488"/>
      <c r="E488"/>
      <c r="F488"/>
      <c r="G488"/>
      <c r="H488"/>
      <c r="I488"/>
      <c r="J488"/>
      <c r="K488"/>
    </row>
    <row r="489" spans="1:11" x14ac:dyDescent="0.35">
      <c r="A489"/>
      <c r="B489"/>
      <c r="C489"/>
      <c r="D489"/>
      <c r="E489"/>
      <c r="F489"/>
      <c r="G489"/>
      <c r="H489"/>
      <c r="I489"/>
      <c r="J489"/>
      <c r="K489"/>
    </row>
    <row r="490" spans="1:11" x14ac:dyDescent="0.35">
      <c r="A490"/>
      <c r="B490"/>
      <c r="C490"/>
      <c r="D490"/>
      <c r="E490"/>
      <c r="F490"/>
      <c r="G490"/>
      <c r="H490"/>
      <c r="I490"/>
      <c r="J490"/>
      <c r="K490"/>
    </row>
    <row r="491" spans="1:11" x14ac:dyDescent="0.35">
      <c r="A491"/>
      <c r="B491"/>
      <c r="C491"/>
      <c r="D491"/>
      <c r="E491"/>
      <c r="F491"/>
      <c r="G491"/>
      <c r="H491"/>
      <c r="I491"/>
      <c r="J491"/>
      <c r="K491"/>
    </row>
    <row r="492" spans="1:11" x14ac:dyDescent="0.35">
      <c r="A492"/>
      <c r="B492"/>
      <c r="C492"/>
      <c r="D492"/>
      <c r="E492"/>
      <c r="F492"/>
      <c r="G492"/>
      <c r="H492"/>
      <c r="I492"/>
      <c r="J492"/>
      <c r="K492"/>
    </row>
    <row r="493" spans="1:11" x14ac:dyDescent="0.35">
      <c r="A493"/>
      <c r="B493"/>
      <c r="C493"/>
      <c r="D493"/>
      <c r="E493"/>
      <c r="F493"/>
      <c r="G493"/>
      <c r="H493"/>
      <c r="I493"/>
      <c r="J493"/>
      <c r="K493"/>
    </row>
    <row r="494" spans="1:11" x14ac:dyDescent="0.35">
      <c r="A494"/>
      <c r="B494"/>
      <c r="C494"/>
      <c r="D494"/>
      <c r="E494"/>
      <c r="F494"/>
      <c r="G494"/>
      <c r="H494"/>
      <c r="I494"/>
      <c r="J494"/>
      <c r="K494"/>
    </row>
    <row r="495" spans="1:11" x14ac:dyDescent="0.35">
      <c r="A495"/>
      <c r="B495"/>
      <c r="C495"/>
      <c r="D495"/>
      <c r="E495"/>
      <c r="F495"/>
      <c r="G495"/>
      <c r="H495"/>
      <c r="I495"/>
      <c r="J495"/>
      <c r="K495"/>
    </row>
    <row r="496" spans="1:11" x14ac:dyDescent="0.35">
      <c r="A496"/>
      <c r="B496"/>
      <c r="C496"/>
      <c r="D496"/>
      <c r="E496"/>
      <c r="F496"/>
      <c r="G496"/>
      <c r="H496"/>
      <c r="I496"/>
      <c r="J496"/>
      <c r="K496"/>
    </row>
    <row r="497" spans="1:11" x14ac:dyDescent="0.35">
      <c r="A497"/>
      <c r="B497"/>
      <c r="C497"/>
      <c r="D497"/>
      <c r="E497"/>
      <c r="F497"/>
      <c r="G497"/>
      <c r="H497"/>
      <c r="I497"/>
      <c r="J497"/>
      <c r="K497"/>
    </row>
    <row r="498" spans="1:11" x14ac:dyDescent="0.35">
      <c r="A498"/>
      <c r="B498"/>
      <c r="C498"/>
      <c r="D498"/>
      <c r="E498"/>
      <c r="F498"/>
      <c r="G498"/>
      <c r="H498"/>
      <c r="I498"/>
      <c r="J498"/>
      <c r="K498"/>
    </row>
    <row r="499" spans="1:11" x14ac:dyDescent="0.35">
      <c r="A499"/>
      <c r="B499"/>
      <c r="C499"/>
      <c r="D499"/>
      <c r="E499"/>
      <c r="F499"/>
      <c r="G499"/>
      <c r="H499"/>
      <c r="I499"/>
      <c r="J499"/>
      <c r="K499"/>
    </row>
    <row r="500" spans="1:11" x14ac:dyDescent="0.35">
      <c r="A500"/>
      <c r="B500"/>
      <c r="C500"/>
      <c r="D500"/>
      <c r="E500"/>
      <c r="F500"/>
      <c r="G500"/>
      <c r="H500"/>
      <c r="I500"/>
      <c r="J500"/>
      <c r="K500"/>
    </row>
    <row r="501" spans="1:11" x14ac:dyDescent="0.35">
      <c r="A501"/>
      <c r="B501"/>
      <c r="C501"/>
      <c r="D501"/>
      <c r="E501"/>
      <c r="F501"/>
      <c r="G501"/>
      <c r="H501"/>
      <c r="I501"/>
      <c r="J501"/>
      <c r="K501"/>
    </row>
    <row r="502" spans="1:11" x14ac:dyDescent="0.35">
      <c r="A502"/>
      <c r="B502"/>
      <c r="C502"/>
      <c r="D502"/>
      <c r="E502"/>
      <c r="F502"/>
      <c r="G502"/>
      <c r="H502"/>
      <c r="I502"/>
      <c r="J502"/>
      <c r="K502"/>
    </row>
    <row r="503" spans="1:11" x14ac:dyDescent="0.35">
      <c r="A503"/>
      <c r="B503"/>
      <c r="C503"/>
      <c r="D503"/>
      <c r="E503"/>
      <c r="F503"/>
      <c r="G503"/>
      <c r="H503"/>
      <c r="I503"/>
      <c r="J503"/>
      <c r="K503"/>
    </row>
    <row r="504" spans="1:11" x14ac:dyDescent="0.35">
      <c r="A504"/>
      <c r="B504"/>
      <c r="C504"/>
      <c r="D504"/>
      <c r="E504"/>
      <c r="F504"/>
      <c r="G504"/>
      <c r="H504"/>
      <c r="I504"/>
      <c r="J504"/>
      <c r="K504"/>
    </row>
    <row r="505" spans="1:11" x14ac:dyDescent="0.35">
      <c r="A505"/>
      <c r="B505"/>
      <c r="C505"/>
      <c r="D505"/>
      <c r="E505"/>
      <c r="F505"/>
      <c r="G505"/>
      <c r="H505"/>
      <c r="I505"/>
      <c r="J505"/>
      <c r="K505"/>
    </row>
    <row r="506" spans="1:11" x14ac:dyDescent="0.35">
      <c r="A506"/>
      <c r="B506"/>
      <c r="C506"/>
      <c r="D506"/>
      <c r="E506"/>
      <c r="F506"/>
      <c r="G506"/>
      <c r="H506"/>
      <c r="I506"/>
      <c r="J506"/>
      <c r="K506"/>
    </row>
    <row r="507" spans="1:11" x14ac:dyDescent="0.35">
      <c r="A507"/>
      <c r="B507"/>
      <c r="C507"/>
      <c r="D507"/>
      <c r="E507"/>
      <c r="F507"/>
      <c r="G507"/>
      <c r="H507"/>
      <c r="I507"/>
      <c r="J507"/>
      <c r="K507"/>
    </row>
    <row r="508" spans="1:11" x14ac:dyDescent="0.35">
      <c r="A508"/>
      <c r="B508"/>
      <c r="C508"/>
      <c r="D508"/>
      <c r="E508"/>
      <c r="F508"/>
      <c r="G508"/>
      <c r="H508"/>
      <c r="I508"/>
      <c r="J508"/>
      <c r="K508"/>
    </row>
    <row r="509" spans="1:11" x14ac:dyDescent="0.35">
      <c r="A509"/>
      <c r="B509"/>
      <c r="C509"/>
      <c r="D509"/>
      <c r="E509"/>
      <c r="F509"/>
      <c r="G509"/>
      <c r="H509"/>
      <c r="I509"/>
      <c r="J509"/>
      <c r="K509"/>
    </row>
    <row r="510" spans="1:11" x14ac:dyDescent="0.35">
      <c r="A510"/>
      <c r="B510"/>
      <c r="C510"/>
      <c r="D510"/>
      <c r="E510"/>
      <c r="F510"/>
      <c r="G510"/>
      <c r="H510"/>
      <c r="I510"/>
      <c r="J510"/>
      <c r="K510"/>
    </row>
    <row r="511" spans="1:11" x14ac:dyDescent="0.35">
      <c r="A511"/>
      <c r="B511"/>
      <c r="C511"/>
      <c r="D511"/>
      <c r="E511"/>
      <c r="F511"/>
      <c r="G511"/>
      <c r="H511"/>
      <c r="I511"/>
      <c r="J511"/>
      <c r="K511"/>
    </row>
    <row r="512" spans="1:11" x14ac:dyDescent="0.35">
      <c r="A512"/>
      <c r="B512"/>
      <c r="C512"/>
      <c r="D512"/>
      <c r="E512"/>
      <c r="F512"/>
      <c r="G512"/>
      <c r="H512"/>
      <c r="I512"/>
      <c r="J512"/>
      <c r="K512"/>
    </row>
    <row r="513" spans="1:11" x14ac:dyDescent="0.35">
      <c r="A513"/>
      <c r="B513"/>
      <c r="C513"/>
      <c r="D513"/>
      <c r="E513"/>
      <c r="F513"/>
      <c r="G513"/>
      <c r="H513"/>
      <c r="I513"/>
      <c r="J513"/>
      <c r="K513"/>
    </row>
    <row r="514" spans="1:11" x14ac:dyDescent="0.35">
      <c r="A514"/>
      <c r="B514"/>
      <c r="C514"/>
      <c r="D514"/>
      <c r="E514"/>
      <c r="F514"/>
      <c r="G514"/>
      <c r="H514"/>
      <c r="I514"/>
      <c r="J514"/>
      <c r="K514"/>
    </row>
    <row r="515" spans="1:11" x14ac:dyDescent="0.35">
      <c r="A515"/>
      <c r="B515"/>
      <c r="C515"/>
      <c r="D515"/>
      <c r="E515"/>
      <c r="F515"/>
      <c r="G515"/>
      <c r="H515"/>
      <c r="I515"/>
      <c r="J515"/>
      <c r="K515"/>
    </row>
    <row r="516" spans="1:11" x14ac:dyDescent="0.35">
      <c r="A516"/>
      <c r="B516"/>
      <c r="C516"/>
      <c r="D516"/>
      <c r="E516"/>
      <c r="F516"/>
      <c r="G516"/>
      <c r="H516"/>
      <c r="I516"/>
      <c r="J516"/>
      <c r="K516"/>
    </row>
    <row r="517" spans="1:11" x14ac:dyDescent="0.35">
      <c r="A517"/>
      <c r="B517"/>
      <c r="C517"/>
      <c r="D517"/>
      <c r="E517"/>
      <c r="F517"/>
      <c r="G517"/>
      <c r="H517"/>
      <c r="I517"/>
      <c r="J517"/>
      <c r="K517"/>
    </row>
    <row r="518" spans="1:11" x14ac:dyDescent="0.35">
      <c r="A518"/>
      <c r="B518"/>
      <c r="C518"/>
      <c r="D518"/>
      <c r="E518"/>
      <c r="F518"/>
      <c r="G518"/>
      <c r="H518"/>
      <c r="I518"/>
      <c r="J518"/>
      <c r="K518"/>
    </row>
    <row r="519" spans="1:11" x14ac:dyDescent="0.35">
      <c r="A519"/>
      <c r="B519"/>
      <c r="C519"/>
      <c r="D519"/>
      <c r="E519"/>
      <c r="F519"/>
      <c r="G519"/>
      <c r="H519"/>
      <c r="I519"/>
      <c r="J519"/>
      <c r="K519"/>
    </row>
    <row r="520" spans="1:11" x14ac:dyDescent="0.35">
      <c r="A520"/>
      <c r="B520"/>
      <c r="C520"/>
      <c r="D520"/>
      <c r="E520"/>
      <c r="F520"/>
      <c r="G520"/>
      <c r="H520"/>
      <c r="I520"/>
      <c r="J520"/>
      <c r="K520"/>
    </row>
    <row r="521" spans="1:11" x14ac:dyDescent="0.35">
      <c r="A521"/>
      <c r="B521"/>
      <c r="C521"/>
      <c r="D521"/>
      <c r="E521"/>
      <c r="F521"/>
      <c r="G521"/>
      <c r="H521"/>
      <c r="I521"/>
      <c r="J521"/>
      <c r="K521"/>
    </row>
    <row r="522" spans="1:11" x14ac:dyDescent="0.35">
      <c r="A522"/>
      <c r="B522"/>
      <c r="C522"/>
      <c r="D522"/>
      <c r="E522"/>
      <c r="F522"/>
      <c r="G522"/>
      <c r="H522"/>
      <c r="I522"/>
      <c r="J522"/>
      <c r="K522"/>
    </row>
    <row r="523" spans="1:11" x14ac:dyDescent="0.35">
      <c r="A523"/>
      <c r="B523"/>
      <c r="C523"/>
      <c r="D523"/>
      <c r="E523"/>
      <c r="F523"/>
      <c r="G523"/>
      <c r="H523"/>
      <c r="I523"/>
      <c r="J523"/>
      <c r="K523"/>
    </row>
    <row r="524" spans="1:11" x14ac:dyDescent="0.35">
      <c r="A524"/>
      <c r="B524"/>
      <c r="C524"/>
      <c r="D524"/>
      <c r="E524"/>
      <c r="F524"/>
      <c r="G524"/>
      <c r="H524"/>
      <c r="I524"/>
      <c r="J524"/>
      <c r="K524"/>
    </row>
    <row r="525" spans="1:11" x14ac:dyDescent="0.35">
      <c r="A525"/>
      <c r="B525"/>
      <c r="C525"/>
      <c r="D525"/>
      <c r="E525"/>
      <c r="F525"/>
      <c r="G525"/>
      <c r="H525"/>
      <c r="I525"/>
      <c r="J525"/>
      <c r="K525"/>
    </row>
    <row r="526" spans="1:11" x14ac:dyDescent="0.35">
      <c r="A526"/>
      <c r="B526"/>
      <c r="C526"/>
      <c r="D526"/>
      <c r="E526"/>
      <c r="F526"/>
      <c r="G526"/>
      <c r="H526"/>
      <c r="I526"/>
      <c r="J526"/>
      <c r="K526"/>
    </row>
    <row r="527" spans="1:11" x14ac:dyDescent="0.35">
      <c r="A527"/>
      <c r="B527"/>
      <c r="C527"/>
      <c r="D527"/>
      <c r="E527"/>
      <c r="F527"/>
      <c r="G527"/>
      <c r="H527"/>
      <c r="I527"/>
      <c r="J527"/>
      <c r="K527" s="246" t="s">
        <v>971</v>
      </c>
    </row>
    <row r="528" spans="1:11" x14ac:dyDescent="0.35">
      <c r="A528"/>
      <c r="B528"/>
      <c r="C528"/>
      <c r="D528"/>
      <c r="E528"/>
      <c r="F528"/>
      <c r="G528"/>
      <c r="H528"/>
      <c r="I528"/>
      <c r="J528"/>
      <c r="K528"/>
    </row>
    <row r="529" spans="1:11" x14ac:dyDescent="0.35">
      <c r="A529"/>
      <c r="B529"/>
      <c r="C529"/>
      <c r="D529"/>
      <c r="E529"/>
      <c r="F529"/>
      <c r="G529"/>
      <c r="H529"/>
      <c r="I529"/>
      <c r="J529"/>
      <c r="K529"/>
    </row>
    <row r="530" spans="1:11" x14ac:dyDescent="0.35">
      <c r="A530"/>
      <c r="B530"/>
      <c r="C530"/>
      <c r="D530"/>
      <c r="E530"/>
      <c r="F530"/>
      <c r="G530"/>
      <c r="H530"/>
      <c r="I530"/>
      <c r="J530"/>
      <c r="K530"/>
    </row>
    <row r="531" spans="1:11" x14ac:dyDescent="0.35">
      <c r="A531"/>
      <c r="B531"/>
      <c r="C531"/>
      <c r="D531"/>
      <c r="E531"/>
      <c r="F531"/>
      <c r="G531"/>
      <c r="H531"/>
      <c r="I531"/>
      <c r="J531"/>
      <c r="K531"/>
    </row>
    <row r="532" spans="1:11" x14ac:dyDescent="0.35">
      <c r="A532"/>
      <c r="B532"/>
      <c r="C532"/>
      <c r="D532"/>
      <c r="E532"/>
      <c r="F532"/>
      <c r="G532"/>
      <c r="H532"/>
      <c r="I532"/>
      <c r="J532"/>
      <c r="K532"/>
    </row>
    <row r="533" spans="1:11" x14ac:dyDescent="0.35">
      <c r="A533"/>
      <c r="B533"/>
      <c r="C533"/>
      <c r="D533"/>
      <c r="E533"/>
      <c r="F533"/>
      <c r="G533"/>
      <c r="H533"/>
      <c r="I533"/>
      <c r="J533"/>
      <c r="K533"/>
    </row>
    <row r="534" spans="1:11" x14ac:dyDescent="0.35">
      <c r="A534"/>
      <c r="B534"/>
      <c r="C534"/>
      <c r="D534"/>
      <c r="E534"/>
      <c r="F534"/>
      <c r="G534"/>
      <c r="H534"/>
      <c r="I534"/>
      <c r="J534"/>
      <c r="K534"/>
    </row>
    <row r="535" spans="1:11" x14ac:dyDescent="0.35">
      <c r="A535"/>
      <c r="B535"/>
      <c r="C535"/>
      <c r="D535"/>
      <c r="E535"/>
      <c r="F535"/>
      <c r="G535"/>
      <c r="H535"/>
      <c r="I535"/>
      <c r="J535"/>
      <c r="K535"/>
    </row>
    <row r="536" spans="1:11" x14ac:dyDescent="0.35">
      <c r="A536"/>
      <c r="B536"/>
      <c r="C536"/>
      <c r="D536"/>
      <c r="E536"/>
      <c r="F536"/>
      <c r="G536"/>
      <c r="H536"/>
      <c r="I536"/>
      <c r="J536"/>
      <c r="K536"/>
    </row>
    <row r="537" spans="1:11" x14ac:dyDescent="0.35">
      <c r="A537"/>
      <c r="B537"/>
      <c r="C537"/>
      <c r="D537"/>
      <c r="E537"/>
      <c r="F537"/>
      <c r="G537"/>
      <c r="H537"/>
      <c r="I537"/>
      <c r="J537"/>
      <c r="K537"/>
    </row>
    <row r="538" spans="1:11" x14ac:dyDescent="0.35">
      <c r="A538"/>
      <c r="B538"/>
      <c r="C538"/>
      <c r="D538"/>
      <c r="E538"/>
      <c r="F538"/>
      <c r="G538"/>
      <c r="H538"/>
      <c r="I538"/>
      <c r="J538"/>
      <c r="K538"/>
    </row>
    <row r="539" spans="1:11" x14ac:dyDescent="0.35">
      <c r="A539"/>
      <c r="B539"/>
      <c r="C539"/>
      <c r="D539"/>
      <c r="E539"/>
      <c r="F539"/>
      <c r="G539"/>
      <c r="H539"/>
      <c r="I539"/>
      <c r="J539"/>
      <c r="K539" s="246" t="s">
        <v>972</v>
      </c>
    </row>
    <row r="540" spans="1:11" x14ac:dyDescent="0.35">
      <c r="A540"/>
      <c r="B540"/>
      <c r="C540"/>
      <c r="D540"/>
      <c r="E540"/>
      <c r="F540"/>
      <c r="G540"/>
      <c r="H540"/>
      <c r="I540"/>
      <c r="J540"/>
      <c r="K540"/>
    </row>
    <row r="541" spans="1:11" x14ac:dyDescent="0.35">
      <c r="A541"/>
      <c r="B541"/>
      <c r="C541"/>
      <c r="D541"/>
      <c r="E541"/>
      <c r="F541"/>
      <c r="G541"/>
      <c r="H541"/>
      <c r="I541"/>
      <c r="J541"/>
      <c r="K541"/>
    </row>
    <row r="542" spans="1:11" x14ac:dyDescent="0.35">
      <c r="A542"/>
      <c r="B542"/>
      <c r="C542"/>
      <c r="D542"/>
      <c r="E542"/>
      <c r="F542"/>
      <c r="G542"/>
      <c r="H542"/>
      <c r="I542"/>
      <c r="J542"/>
      <c r="K542"/>
    </row>
    <row r="543" spans="1:11" x14ac:dyDescent="0.35">
      <c r="A543"/>
      <c r="B543"/>
      <c r="C543"/>
      <c r="D543"/>
      <c r="E543"/>
      <c r="F543"/>
      <c r="G543"/>
      <c r="H543"/>
      <c r="I543"/>
      <c r="J543"/>
      <c r="K543"/>
    </row>
    <row r="544" spans="1:11" x14ac:dyDescent="0.35">
      <c r="A544"/>
      <c r="B544"/>
      <c r="C544"/>
      <c r="D544"/>
      <c r="E544"/>
      <c r="F544"/>
      <c r="G544"/>
      <c r="H544"/>
      <c r="I544"/>
      <c r="J544"/>
      <c r="K544"/>
    </row>
    <row r="545" spans="1:11" x14ac:dyDescent="0.35">
      <c r="A545"/>
      <c r="B545"/>
      <c r="C545"/>
      <c r="D545"/>
      <c r="E545"/>
      <c r="F545"/>
      <c r="G545"/>
      <c r="H545"/>
      <c r="I545"/>
      <c r="J545"/>
      <c r="K545"/>
    </row>
    <row r="546" spans="1:11" x14ac:dyDescent="0.35">
      <c r="A546"/>
      <c r="B546"/>
      <c r="C546"/>
      <c r="D546"/>
      <c r="E546"/>
      <c r="F546"/>
      <c r="G546"/>
      <c r="H546"/>
      <c r="I546"/>
      <c r="J546"/>
      <c r="K546"/>
    </row>
    <row r="547" spans="1:11" x14ac:dyDescent="0.35">
      <c r="A547"/>
      <c r="B547"/>
      <c r="C547"/>
      <c r="D547"/>
      <c r="E547"/>
      <c r="F547"/>
      <c r="G547"/>
      <c r="H547"/>
      <c r="I547"/>
      <c r="J547"/>
      <c r="K547"/>
    </row>
    <row r="548" spans="1:11" x14ac:dyDescent="0.35">
      <c r="A548"/>
      <c r="B548"/>
      <c r="C548"/>
      <c r="D548"/>
      <c r="E548"/>
      <c r="F548"/>
      <c r="G548"/>
      <c r="H548"/>
      <c r="I548"/>
      <c r="J548"/>
      <c r="K548"/>
    </row>
    <row r="549" spans="1:11" x14ac:dyDescent="0.35">
      <c r="A549"/>
      <c r="B549"/>
      <c r="C549"/>
      <c r="D549"/>
      <c r="E549"/>
      <c r="F549"/>
      <c r="G549"/>
      <c r="H549"/>
      <c r="I549"/>
      <c r="J549"/>
      <c r="K549"/>
    </row>
    <row r="550" spans="1:11" x14ac:dyDescent="0.35">
      <c r="A550"/>
      <c r="B550"/>
      <c r="C550"/>
      <c r="D550"/>
      <c r="E550"/>
      <c r="F550"/>
      <c r="G550"/>
      <c r="H550"/>
      <c r="I550"/>
      <c r="J550"/>
      <c r="K550"/>
    </row>
    <row r="551" spans="1:11" x14ac:dyDescent="0.35">
      <c r="A551"/>
      <c r="B551"/>
      <c r="C551"/>
      <c r="D551"/>
      <c r="E551"/>
      <c r="F551"/>
      <c r="G551"/>
      <c r="H551"/>
      <c r="I551"/>
      <c r="J551"/>
      <c r="K551"/>
    </row>
    <row r="552" spans="1:11" x14ac:dyDescent="0.35">
      <c r="A552"/>
      <c r="B552"/>
      <c r="C552"/>
      <c r="D552"/>
      <c r="E552"/>
      <c r="F552"/>
      <c r="G552"/>
      <c r="H552"/>
      <c r="I552"/>
      <c r="J552"/>
      <c r="K552"/>
    </row>
    <row r="553" spans="1:11" x14ac:dyDescent="0.35">
      <c r="A553"/>
      <c r="B553"/>
      <c r="C553"/>
      <c r="D553"/>
      <c r="E553"/>
      <c r="F553"/>
      <c r="G553"/>
      <c r="H553"/>
      <c r="I553"/>
      <c r="J553"/>
      <c r="K553"/>
    </row>
    <row r="554" spans="1:11" x14ac:dyDescent="0.35">
      <c r="A554"/>
      <c r="B554"/>
      <c r="C554"/>
      <c r="D554"/>
      <c r="E554"/>
      <c r="F554"/>
      <c r="G554"/>
      <c r="H554"/>
      <c r="I554"/>
      <c r="J554"/>
      <c r="K554"/>
    </row>
    <row r="555" spans="1:11" x14ac:dyDescent="0.35">
      <c r="A555"/>
      <c r="B555"/>
      <c r="C555"/>
      <c r="D555"/>
      <c r="E555"/>
      <c r="F555"/>
      <c r="G555"/>
      <c r="H555"/>
      <c r="I555"/>
      <c r="J555"/>
      <c r="K555"/>
    </row>
    <row r="556" spans="1:11" x14ac:dyDescent="0.35">
      <c r="A556"/>
      <c r="B556"/>
      <c r="C556"/>
      <c r="D556"/>
      <c r="E556"/>
      <c r="F556"/>
      <c r="G556"/>
      <c r="H556"/>
      <c r="I556"/>
      <c r="J556"/>
      <c r="K556"/>
    </row>
    <row r="557" spans="1:11" x14ac:dyDescent="0.35">
      <c r="A557"/>
      <c r="B557"/>
      <c r="C557"/>
      <c r="D557"/>
      <c r="E557"/>
      <c r="F557"/>
      <c r="G557"/>
      <c r="H557"/>
      <c r="I557"/>
      <c r="J557"/>
      <c r="K557"/>
    </row>
    <row r="558" spans="1:11" x14ac:dyDescent="0.35">
      <c r="A558"/>
      <c r="B558"/>
      <c r="C558"/>
      <c r="D558"/>
      <c r="E558"/>
      <c r="F558"/>
      <c r="G558"/>
      <c r="H558"/>
      <c r="I558"/>
      <c r="J558"/>
      <c r="K558"/>
    </row>
    <row r="559" spans="1:11" x14ac:dyDescent="0.35">
      <c r="A559"/>
      <c r="B559"/>
      <c r="C559"/>
      <c r="D559"/>
      <c r="E559"/>
      <c r="F559"/>
      <c r="G559"/>
      <c r="H559"/>
      <c r="I559"/>
      <c r="J559"/>
      <c r="K559"/>
    </row>
    <row r="560" spans="1:11" x14ac:dyDescent="0.35">
      <c r="A560"/>
      <c r="B560"/>
      <c r="C560"/>
      <c r="D560"/>
      <c r="E560"/>
      <c r="F560"/>
      <c r="G560"/>
      <c r="H560"/>
      <c r="I560"/>
      <c r="J560"/>
      <c r="K560"/>
    </row>
    <row r="561" spans="1:11" x14ac:dyDescent="0.35">
      <c r="A561"/>
      <c r="B561"/>
      <c r="C561"/>
      <c r="D561"/>
      <c r="E561"/>
      <c r="F561"/>
      <c r="G561"/>
      <c r="H561"/>
      <c r="I561"/>
      <c r="J561"/>
      <c r="K561"/>
    </row>
    <row r="562" spans="1:11" x14ac:dyDescent="0.35">
      <c r="A562"/>
      <c r="B562"/>
      <c r="C562"/>
      <c r="D562"/>
      <c r="E562"/>
      <c r="F562"/>
      <c r="G562"/>
      <c r="H562"/>
      <c r="I562"/>
      <c r="J562"/>
      <c r="K562"/>
    </row>
    <row r="563" spans="1:11" x14ac:dyDescent="0.35">
      <c r="A563"/>
      <c r="B563"/>
      <c r="C563"/>
      <c r="D563"/>
      <c r="E563"/>
      <c r="F563"/>
      <c r="G563"/>
      <c r="H563"/>
      <c r="I563"/>
      <c r="J563"/>
      <c r="K563"/>
    </row>
    <row r="564" spans="1:11" x14ac:dyDescent="0.35">
      <c r="A564"/>
      <c r="B564"/>
      <c r="C564"/>
      <c r="D564"/>
      <c r="E564"/>
      <c r="F564"/>
      <c r="G564"/>
      <c r="H564"/>
      <c r="I564"/>
      <c r="J564"/>
      <c r="K564"/>
    </row>
    <row r="565" spans="1:11" x14ac:dyDescent="0.35">
      <c r="A565"/>
      <c r="B565"/>
      <c r="C565"/>
      <c r="D565"/>
      <c r="E565"/>
      <c r="F565"/>
      <c r="G565"/>
      <c r="H565"/>
      <c r="I565"/>
      <c r="J565"/>
      <c r="K565"/>
    </row>
    <row r="566" spans="1:11" x14ac:dyDescent="0.35">
      <c r="A566"/>
      <c r="B566"/>
      <c r="C566"/>
      <c r="D566"/>
      <c r="E566"/>
      <c r="F566"/>
      <c r="G566"/>
      <c r="H566"/>
      <c r="I566"/>
      <c r="J566"/>
      <c r="K566"/>
    </row>
    <row r="567" spans="1:11" x14ac:dyDescent="0.35">
      <c r="A567"/>
      <c r="B567"/>
      <c r="C567"/>
      <c r="D567"/>
      <c r="E567"/>
      <c r="F567"/>
      <c r="G567"/>
      <c r="H567"/>
      <c r="I567"/>
      <c r="J567"/>
      <c r="K567"/>
    </row>
    <row r="568" spans="1:11" x14ac:dyDescent="0.35">
      <c r="A568"/>
      <c r="B568"/>
      <c r="C568"/>
      <c r="D568"/>
      <c r="E568"/>
      <c r="F568"/>
      <c r="G568"/>
      <c r="H568"/>
      <c r="I568"/>
      <c r="J568"/>
      <c r="K568"/>
    </row>
    <row r="569" spans="1:11" x14ac:dyDescent="0.35">
      <c r="A569"/>
      <c r="B569"/>
      <c r="C569"/>
      <c r="D569"/>
      <c r="E569"/>
      <c r="F569"/>
      <c r="G569"/>
      <c r="H569"/>
      <c r="I569"/>
      <c r="J569"/>
      <c r="K569"/>
    </row>
    <row r="570" spans="1:11" x14ac:dyDescent="0.35">
      <c r="A570"/>
      <c r="B570"/>
      <c r="C570"/>
      <c r="D570"/>
      <c r="E570"/>
      <c r="F570"/>
      <c r="G570"/>
      <c r="H570"/>
      <c r="I570"/>
      <c r="J570"/>
      <c r="K570"/>
    </row>
    <row r="571" spans="1:11" x14ac:dyDescent="0.35">
      <c r="A571"/>
      <c r="B571"/>
      <c r="C571"/>
      <c r="D571"/>
      <c r="E571"/>
      <c r="F571"/>
      <c r="G571"/>
      <c r="H571"/>
      <c r="I571"/>
      <c r="J571"/>
      <c r="K571"/>
    </row>
    <row r="572" spans="1:11" x14ac:dyDescent="0.35">
      <c r="A572"/>
      <c r="B572"/>
      <c r="C572"/>
      <c r="D572"/>
      <c r="E572"/>
      <c r="F572"/>
      <c r="G572"/>
      <c r="H572"/>
      <c r="I572"/>
      <c r="J572"/>
      <c r="K572"/>
    </row>
    <row r="573" spans="1:11" x14ac:dyDescent="0.35">
      <c r="A573"/>
      <c r="B573"/>
      <c r="C573"/>
      <c r="D573"/>
      <c r="E573"/>
      <c r="F573"/>
      <c r="G573"/>
      <c r="H573"/>
      <c r="I573"/>
      <c r="J573"/>
      <c r="K573"/>
    </row>
  </sheetData>
  <autoFilter ref="A2:O573" xr:uid="{00000000-0009-0000-0000-00000D000000}"/>
  <pageMargins left="0.7" right="0.7" top="0.75" bottom="0.75" header="0.3" footer="0.3"/>
  <pageSetup orientation="portrait"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O273"/>
  <sheetViews>
    <sheetView workbookViewId="0">
      <pane ySplit="3" topLeftCell="A4" activePane="bottomLeft" state="frozen"/>
      <selection pane="bottomLeft" activeCell="A2" sqref="A2"/>
    </sheetView>
  </sheetViews>
  <sheetFormatPr defaultColWidth="8.7265625" defaultRowHeight="14.5" x14ac:dyDescent="0.35"/>
  <cols>
    <col min="1" max="1" width="96" style="217" customWidth="1"/>
    <col min="2" max="2" width="21.54296875" style="219" customWidth="1"/>
    <col min="3" max="3" width="21.453125" style="219" customWidth="1"/>
    <col min="4" max="4" width="10.7265625" style="219" customWidth="1"/>
    <col min="5" max="5" width="11" style="219" customWidth="1"/>
    <col min="6" max="11" width="20.81640625" style="219" customWidth="1"/>
    <col min="12" max="15" width="20.81640625" style="217" customWidth="1"/>
    <col min="16" max="16384" width="8.7265625" style="217"/>
  </cols>
  <sheetData>
    <row r="2" spans="1:15" s="220" customFormat="1" x14ac:dyDescent="0.35">
      <c r="A2" s="220">
        <f>A89</f>
        <v>0</v>
      </c>
      <c r="B2" s="221">
        <f>GETPIVOTDATA(" Revised Budget - Nov 22",$A$3)</f>
        <v>579850000</v>
      </c>
      <c r="C2" s="221">
        <f>GETPIVOTDATA(" Actual Amount - Nov 22",$A$3)</f>
        <v>397954838.32000005</v>
      </c>
      <c r="D2" s="221">
        <f>GETPIVOTDATA(" PR - Nov 22",$A$3)</f>
        <v>10457400.029999999</v>
      </c>
      <c r="E2" s="221">
        <f>GETPIVOTDATA(" PO - Nov 22",$A$3)</f>
        <v>47609641.630000003</v>
      </c>
      <c r="F2" s="221">
        <f>GETPIVOTDATA(" Fund Available - Nov 22",$A$3)</f>
        <v>112371249.52999987</v>
      </c>
      <c r="G2" s="221"/>
      <c r="H2" s="221"/>
      <c r="I2" s="221"/>
      <c r="J2" s="221"/>
      <c r="K2" s="221"/>
    </row>
    <row r="3" spans="1:15" x14ac:dyDescent="0.35">
      <c r="B3" s="217" t="s">
        <v>936</v>
      </c>
      <c r="C3" s="217" t="s">
        <v>937</v>
      </c>
      <c r="D3" s="217" t="s">
        <v>938</v>
      </c>
      <c r="E3" s="217" t="s">
        <v>939</v>
      </c>
      <c r="F3" s="217" t="s">
        <v>940</v>
      </c>
      <c r="G3"/>
      <c r="H3"/>
      <c r="I3"/>
      <c r="J3"/>
      <c r="K3"/>
      <c r="L3"/>
      <c r="M3"/>
      <c r="N3"/>
      <c r="O3"/>
    </row>
    <row r="4" spans="1:15" x14ac:dyDescent="0.35">
      <c r="A4" s="218" t="s">
        <v>21</v>
      </c>
      <c r="B4" s="217">
        <v>1930337</v>
      </c>
      <c r="C4" s="217">
        <v>198310.65</v>
      </c>
      <c r="D4" s="217">
        <v>0</v>
      </c>
      <c r="E4" s="217">
        <v>0</v>
      </c>
      <c r="F4" s="217">
        <v>1732026.3499999999</v>
      </c>
      <c r="G4"/>
      <c r="H4"/>
      <c r="I4"/>
      <c r="J4"/>
      <c r="K4"/>
      <c r="L4"/>
      <c r="M4"/>
      <c r="N4"/>
      <c r="O4"/>
    </row>
    <row r="5" spans="1:15" x14ac:dyDescent="0.35">
      <c r="A5" s="218" t="s">
        <v>23</v>
      </c>
      <c r="B5" s="217">
        <v>23368056</v>
      </c>
      <c r="C5" s="217">
        <v>19133555.940000001</v>
      </c>
      <c r="D5" s="217">
        <v>0</v>
      </c>
      <c r="E5" s="217">
        <v>0</v>
      </c>
      <c r="F5" s="217">
        <v>4234500.0599999996</v>
      </c>
      <c r="G5"/>
      <c r="H5"/>
      <c r="I5"/>
      <c r="J5"/>
      <c r="K5"/>
      <c r="L5"/>
      <c r="M5"/>
      <c r="N5"/>
      <c r="O5"/>
    </row>
    <row r="6" spans="1:15" x14ac:dyDescent="0.35">
      <c r="A6" s="218" t="s">
        <v>74</v>
      </c>
      <c r="B6" s="217">
        <v>4261392</v>
      </c>
      <c r="C6" s="217">
        <v>2234726.2200000002</v>
      </c>
      <c r="D6" s="217">
        <v>0</v>
      </c>
      <c r="E6" s="217">
        <v>0</v>
      </c>
      <c r="F6" s="217">
        <v>2026665.7799999996</v>
      </c>
      <c r="G6"/>
      <c r="H6"/>
      <c r="I6"/>
      <c r="J6"/>
      <c r="K6"/>
      <c r="L6"/>
      <c r="M6"/>
      <c r="N6"/>
      <c r="O6"/>
    </row>
    <row r="7" spans="1:15" x14ac:dyDescent="0.35">
      <c r="A7" s="218" t="s">
        <v>79</v>
      </c>
      <c r="B7" s="217">
        <v>2969841</v>
      </c>
      <c r="C7" s="217">
        <v>1273745.95</v>
      </c>
      <c r="D7" s="217">
        <v>0</v>
      </c>
      <c r="E7" s="217">
        <v>0</v>
      </c>
      <c r="F7" s="217">
        <v>1696095.05</v>
      </c>
      <c r="G7"/>
      <c r="H7"/>
      <c r="I7"/>
      <c r="J7"/>
      <c r="K7"/>
      <c r="L7"/>
      <c r="M7"/>
      <c r="N7"/>
      <c r="O7"/>
    </row>
    <row r="8" spans="1:15" x14ac:dyDescent="0.35">
      <c r="A8" s="218" t="s">
        <v>55</v>
      </c>
      <c r="B8" s="217">
        <v>5917464</v>
      </c>
      <c r="C8" s="217">
        <v>2587112.62</v>
      </c>
      <c r="D8" s="217">
        <v>1346800</v>
      </c>
      <c r="E8" s="217">
        <v>1104823</v>
      </c>
      <c r="F8" s="217">
        <v>878728.37999999989</v>
      </c>
      <c r="G8"/>
      <c r="H8"/>
      <c r="I8"/>
      <c r="J8"/>
      <c r="K8"/>
      <c r="L8"/>
      <c r="M8"/>
      <c r="N8"/>
      <c r="O8"/>
    </row>
    <row r="9" spans="1:15" x14ac:dyDescent="0.35">
      <c r="A9" s="218" t="s">
        <v>437</v>
      </c>
      <c r="B9" s="217">
        <v>3600</v>
      </c>
      <c r="C9" s="217">
        <v>445.64</v>
      </c>
      <c r="D9" s="217">
        <v>0</v>
      </c>
      <c r="E9" s="217">
        <v>0</v>
      </c>
      <c r="F9" s="217">
        <v>3154.36</v>
      </c>
      <c r="G9"/>
      <c r="H9"/>
      <c r="I9"/>
      <c r="J9"/>
      <c r="K9"/>
      <c r="L9"/>
      <c r="M9"/>
      <c r="N9"/>
      <c r="O9"/>
    </row>
    <row r="10" spans="1:15" x14ac:dyDescent="0.35">
      <c r="A10" s="218" t="s">
        <v>390</v>
      </c>
      <c r="B10" s="217">
        <v>30000</v>
      </c>
      <c r="C10" s="217">
        <v>12166</v>
      </c>
      <c r="D10" s="217">
        <v>0</v>
      </c>
      <c r="E10" s="217">
        <v>0</v>
      </c>
      <c r="F10" s="217">
        <v>17834</v>
      </c>
      <c r="G10"/>
      <c r="H10"/>
      <c r="I10"/>
      <c r="J10"/>
      <c r="K10"/>
      <c r="L10"/>
      <c r="M10"/>
      <c r="N10"/>
      <c r="O10"/>
    </row>
    <row r="11" spans="1:15" x14ac:dyDescent="0.35">
      <c r="A11" s="218" t="s">
        <v>385</v>
      </c>
      <c r="B11" s="217">
        <v>22816578</v>
      </c>
      <c r="C11" s="217">
        <v>12918712.23</v>
      </c>
      <c r="D11" s="217">
        <v>324046</v>
      </c>
      <c r="E11" s="217">
        <v>8629860.9700000007</v>
      </c>
      <c r="F11" s="217">
        <v>943958.79999999935</v>
      </c>
      <c r="G11"/>
      <c r="H11"/>
      <c r="I11"/>
      <c r="J11"/>
      <c r="K11"/>
      <c r="L11"/>
      <c r="M11"/>
      <c r="N11"/>
      <c r="O11"/>
    </row>
    <row r="12" spans="1:15" x14ac:dyDescent="0.35">
      <c r="A12" s="218" t="s">
        <v>39</v>
      </c>
      <c r="B12" s="217">
        <v>2070686</v>
      </c>
      <c r="C12" s="217">
        <v>599734.56000000006</v>
      </c>
      <c r="D12" s="217">
        <v>0</v>
      </c>
      <c r="E12" s="217">
        <v>0</v>
      </c>
      <c r="F12" s="217">
        <v>1470951.44</v>
      </c>
      <c r="G12"/>
      <c r="H12"/>
      <c r="I12"/>
      <c r="J12"/>
      <c r="K12"/>
      <c r="L12"/>
      <c r="M12"/>
      <c r="N12"/>
      <c r="O12"/>
    </row>
    <row r="13" spans="1:15" x14ac:dyDescent="0.35">
      <c r="A13" s="218" t="s">
        <v>424</v>
      </c>
      <c r="B13" s="217">
        <v>1635455</v>
      </c>
      <c r="C13" s="217">
        <v>1213261.4500000002</v>
      </c>
      <c r="D13" s="217">
        <v>2</v>
      </c>
      <c r="E13" s="217">
        <v>449.99999999996362</v>
      </c>
      <c r="F13" s="217">
        <v>421741.55</v>
      </c>
      <c r="G13"/>
      <c r="H13"/>
      <c r="I13"/>
      <c r="J13"/>
      <c r="K13"/>
      <c r="L13"/>
      <c r="M13"/>
      <c r="N13"/>
      <c r="O13"/>
    </row>
    <row r="14" spans="1:15" x14ac:dyDescent="0.35">
      <c r="A14" s="218" t="s">
        <v>362</v>
      </c>
      <c r="B14" s="217">
        <v>9192788</v>
      </c>
      <c r="C14" s="217">
        <v>7342807.9299999997</v>
      </c>
      <c r="D14" s="217">
        <v>0</v>
      </c>
      <c r="E14" s="217">
        <v>1828528.88</v>
      </c>
      <c r="F14" s="217">
        <v>21451.190000000177</v>
      </c>
      <c r="G14"/>
      <c r="H14"/>
      <c r="I14"/>
      <c r="J14"/>
      <c r="K14"/>
      <c r="L14"/>
      <c r="M14"/>
      <c r="N14"/>
      <c r="O14"/>
    </row>
    <row r="15" spans="1:15" x14ac:dyDescent="0.35">
      <c r="A15" s="218" t="s">
        <v>37</v>
      </c>
      <c r="B15" s="217">
        <v>16476811</v>
      </c>
      <c r="C15" s="217">
        <v>8540982.0600000005</v>
      </c>
      <c r="D15" s="217">
        <v>715998.66999999993</v>
      </c>
      <c r="E15" s="217">
        <v>4276142.2</v>
      </c>
      <c r="F15" s="217">
        <v>2943688.07</v>
      </c>
      <c r="G15"/>
      <c r="H15"/>
      <c r="I15"/>
      <c r="J15"/>
      <c r="K15"/>
      <c r="L15"/>
      <c r="M15"/>
      <c r="N15"/>
      <c r="O15"/>
    </row>
    <row r="16" spans="1:15" x14ac:dyDescent="0.35">
      <c r="A16" s="218" t="s">
        <v>482</v>
      </c>
      <c r="B16" s="217">
        <v>360000</v>
      </c>
      <c r="C16" s="217">
        <v>330656.21000000002</v>
      </c>
      <c r="D16" s="217">
        <v>0</v>
      </c>
      <c r="E16" s="217">
        <v>0</v>
      </c>
      <c r="F16" s="217">
        <v>29343.789999999979</v>
      </c>
      <c r="G16"/>
      <c r="H16"/>
      <c r="I16"/>
      <c r="J16"/>
      <c r="K16"/>
      <c r="L16"/>
      <c r="M16"/>
      <c r="N16"/>
      <c r="O16"/>
    </row>
    <row r="17" spans="1:15" x14ac:dyDescent="0.35">
      <c r="A17" s="218" t="s">
        <v>31</v>
      </c>
      <c r="B17" s="217">
        <v>9313980</v>
      </c>
      <c r="C17" s="217">
        <v>4905974.2699999996</v>
      </c>
      <c r="D17" s="217">
        <v>1046500</v>
      </c>
      <c r="E17" s="217">
        <v>1681886.29</v>
      </c>
      <c r="F17" s="217">
        <v>1679619.44</v>
      </c>
      <c r="G17"/>
      <c r="H17"/>
      <c r="I17"/>
      <c r="J17"/>
      <c r="K17"/>
      <c r="L17"/>
      <c r="M17"/>
      <c r="N17"/>
      <c r="O17"/>
    </row>
    <row r="18" spans="1:15" x14ac:dyDescent="0.35">
      <c r="A18" s="218" t="s">
        <v>33</v>
      </c>
      <c r="B18" s="217">
        <v>1849204</v>
      </c>
      <c r="C18" s="217">
        <v>668809.65999999992</v>
      </c>
      <c r="D18" s="217">
        <v>0</v>
      </c>
      <c r="E18" s="217">
        <v>56458</v>
      </c>
      <c r="F18" s="217">
        <v>1123936.3399999999</v>
      </c>
      <c r="G18"/>
      <c r="H18"/>
      <c r="I18"/>
      <c r="J18"/>
      <c r="K18"/>
      <c r="L18"/>
      <c r="M18"/>
      <c r="N18"/>
      <c r="O18"/>
    </row>
    <row r="19" spans="1:15" x14ac:dyDescent="0.35">
      <c r="A19" s="218" t="s">
        <v>475</v>
      </c>
      <c r="B19" s="217">
        <v>2198728</v>
      </c>
      <c r="C19" s="217">
        <v>1718658.34</v>
      </c>
      <c r="D19" s="217">
        <v>0</v>
      </c>
      <c r="E19" s="217">
        <v>0</v>
      </c>
      <c r="F19" s="217">
        <v>480069.65999999992</v>
      </c>
      <c r="G19"/>
      <c r="H19"/>
      <c r="I19"/>
      <c r="J19"/>
      <c r="K19"/>
      <c r="L19"/>
      <c r="M19"/>
      <c r="N19"/>
      <c r="O19"/>
    </row>
    <row r="20" spans="1:15" x14ac:dyDescent="0.35">
      <c r="A20" s="218" t="s">
        <v>224</v>
      </c>
      <c r="B20" s="217">
        <v>2777815</v>
      </c>
      <c r="C20" s="217">
        <v>1544287.45</v>
      </c>
      <c r="D20" s="217">
        <v>129751</v>
      </c>
      <c r="E20" s="217">
        <v>804467.5</v>
      </c>
      <c r="F20" s="217">
        <v>299309.05000000005</v>
      </c>
      <c r="G20"/>
      <c r="H20"/>
      <c r="I20"/>
      <c r="J20"/>
      <c r="K20"/>
      <c r="L20"/>
      <c r="M20"/>
      <c r="N20"/>
      <c r="O20"/>
    </row>
    <row r="21" spans="1:15" hidden="1" x14ac:dyDescent="0.35">
      <c r="A21" s="218" t="s">
        <v>403</v>
      </c>
      <c r="B21" s="217">
        <v>15465717</v>
      </c>
      <c r="C21" s="217">
        <v>13089096.870000001</v>
      </c>
      <c r="D21" s="217">
        <v>0</v>
      </c>
      <c r="E21" s="217">
        <v>0</v>
      </c>
      <c r="F21" s="217">
        <v>2376620.1300000008</v>
      </c>
      <c r="G21"/>
      <c r="H21"/>
      <c r="I21"/>
      <c r="J21"/>
      <c r="K21"/>
      <c r="L21"/>
      <c r="M21"/>
      <c r="N21"/>
      <c r="O21"/>
    </row>
    <row r="22" spans="1:15" x14ac:dyDescent="0.35">
      <c r="A22" s="218" t="s">
        <v>559</v>
      </c>
      <c r="B22" s="217">
        <v>1732520</v>
      </c>
      <c r="C22" s="217">
        <v>1489103.4000000001</v>
      </c>
      <c r="D22" s="217">
        <v>0</v>
      </c>
      <c r="E22" s="217">
        <v>94651.33</v>
      </c>
      <c r="F22" s="217">
        <v>148765.26999999993</v>
      </c>
      <c r="G22"/>
      <c r="H22"/>
      <c r="I22"/>
      <c r="J22"/>
      <c r="K22"/>
      <c r="L22"/>
      <c r="M22"/>
      <c r="N22"/>
      <c r="O22"/>
    </row>
    <row r="23" spans="1:15" x14ac:dyDescent="0.35">
      <c r="A23" s="218" t="s">
        <v>35</v>
      </c>
      <c r="B23" s="217">
        <v>1460539</v>
      </c>
      <c r="C23" s="217">
        <v>302781.40000000002</v>
      </c>
      <c r="D23" s="217">
        <v>8800</v>
      </c>
      <c r="E23" s="217">
        <v>144600</v>
      </c>
      <c r="F23" s="217">
        <v>1004357.6000000001</v>
      </c>
      <c r="G23"/>
      <c r="H23"/>
      <c r="I23"/>
      <c r="J23"/>
      <c r="K23"/>
      <c r="L23"/>
      <c r="M23"/>
      <c r="N23"/>
      <c r="O23"/>
    </row>
    <row r="24" spans="1:15" x14ac:dyDescent="0.35">
      <c r="A24" s="218" t="s">
        <v>737</v>
      </c>
      <c r="B24" s="217">
        <v>0</v>
      </c>
      <c r="C24" s="217">
        <v>0</v>
      </c>
      <c r="D24" s="217">
        <v>0</v>
      </c>
      <c r="E24" s="217">
        <v>0</v>
      </c>
      <c r="F24" s="217">
        <v>0</v>
      </c>
      <c r="G24"/>
      <c r="H24"/>
      <c r="I24"/>
      <c r="J24"/>
      <c r="K24"/>
      <c r="L24"/>
      <c r="M24"/>
      <c r="N24"/>
      <c r="O24"/>
    </row>
    <row r="25" spans="1:15" x14ac:dyDescent="0.35">
      <c r="A25" s="218" t="s">
        <v>43</v>
      </c>
      <c r="B25" s="217">
        <v>1601402</v>
      </c>
      <c r="C25" s="217">
        <v>141982.15999999997</v>
      </c>
      <c r="D25" s="217">
        <v>13750</v>
      </c>
      <c r="E25" s="217">
        <v>199891</v>
      </c>
      <c r="F25" s="217">
        <v>1245778.8399999999</v>
      </c>
      <c r="G25"/>
      <c r="H25"/>
      <c r="I25"/>
      <c r="J25"/>
      <c r="K25"/>
      <c r="L25"/>
      <c r="M25"/>
      <c r="N25"/>
      <c r="O25"/>
    </row>
    <row r="26" spans="1:15" x14ac:dyDescent="0.35">
      <c r="A26" s="218" t="s">
        <v>432</v>
      </c>
      <c r="B26" s="217">
        <v>383200</v>
      </c>
      <c r="C26" s="217">
        <v>171100</v>
      </c>
      <c r="D26" s="217">
        <v>0</v>
      </c>
      <c r="E26" s="217">
        <v>0</v>
      </c>
      <c r="F26" s="217">
        <v>212100</v>
      </c>
      <c r="G26"/>
      <c r="H26"/>
      <c r="I26"/>
      <c r="J26"/>
      <c r="K26"/>
      <c r="L26"/>
      <c r="M26"/>
      <c r="N26"/>
      <c r="O26"/>
    </row>
    <row r="27" spans="1:15" x14ac:dyDescent="0.35">
      <c r="A27" s="218" t="s">
        <v>439</v>
      </c>
      <c r="B27" s="217">
        <v>124500</v>
      </c>
      <c r="C27" s="217">
        <v>94431.34</v>
      </c>
      <c r="D27" s="217">
        <v>0</v>
      </c>
      <c r="E27" s="217">
        <v>0</v>
      </c>
      <c r="F27" s="217">
        <v>30068.660000000003</v>
      </c>
      <c r="G27"/>
      <c r="H27"/>
      <c r="I27"/>
      <c r="J27"/>
      <c r="K27"/>
      <c r="L27"/>
      <c r="M27"/>
      <c r="N27"/>
      <c r="O27"/>
    </row>
    <row r="28" spans="1:15" x14ac:dyDescent="0.35">
      <c r="A28" s="218" t="s">
        <v>354</v>
      </c>
      <c r="B28" s="217">
        <v>110000</v>
      </c>
      <c r="C28" s="217">
        <v>0</v>
      </c>
      <c r="D28" s="217">
        <v>0</v>
      </c>
      <c r="E28" s="217">
        <v>0</v>
      </c>
      <c r="F28" s="217">
        <v>110000</v>
      </c>
      <c r="G28"/>
      <c r="H28"/>
      <c r="I28"/>
      <c r="J28"/>
      <c r="K28"/>
      <c r="L28"/>
      <c r="M28"/>
      <c r="N28"/>
      <c r="O28"/>
    </row>
    <row r="29" spans="1:15" x14ac:dyDescent="0.35">
      <c r="A29" s="218" t="s">
        <v>426</v>
      </c>
      <c r="B29" s="217">
        <v>336000</v>
      </c>
      <c r="C29" s="217">
        <v>266719.75</v>
      </c>
      <c r="D29" s="217">
        <v>0</v>
      </c>
      <c r="E29" s="217">
        <v>0</v>
      </c>
      <c r="F29" s="217">
        <v>69280.25</v>
      </c>
      <c r="G29"/>
      <c r="H29"/>
      <c r="I29"/>
      <c r="J29"/>
      <c r="K29"/>
      <c r="L29"/>
      <c r="M29"/>
      <c r="N29"/>
      <c r="O29"/>
    </row>
    <row r="30" spans="1:15" x14ac:dyDescent="0.35">
      <c r="A30" s="218" t="s">
        <v>102</v>
      </c>
      <c r="B30" s="217">
        <v>240000</v>
      </c>
      <c r="C30" s="217">
        <v>240000</v>
      </c>
      <c r="D30" s="217">
        <v>0</v>
      </c>
      <c r="E30" s="217">
        <v>0</v>
      </c>
      <c r="F30" s="217">
        <v>0</v>
      </c>
      <c r="G30"/>
      <c r="H30"/>
      <c r="I30"/>
      <c r="J30"/>
      <c r="K30"/>
      <c r="L30"/>
      <c r="M30"/>
      <c r="N30"/>
      <c r="O30"/>
    </row>
    <row r="31" spans="1:15" x14ac:dyDescent="0.35">
      <c r="A31" s="218" t="s">
        <v>357</v>
      </c>
      <c r="B31" s="217">
        <v>990000</v>
      </c>
      <c r="C31" s="217">
        <v>681850.84</v>
      </c>
      <c r="D31" s="217">
        <v>3234</v>
      </c>
      <c r="E31" s="217">
        <v>279752.32000000001</v>
      </c>
      <c r="F31" s="217">
        <v>25162.840000000026</v>
      </c>
      <c r="G31"/>
      <c r="H31"/>
      <c r="I31"/>
      <c r="J31"/>
      <c r="K31"/>
      <c r="L31"/>
      <c r="M31"/>
      <c r="N31"/>
      <c r="O31"/>
    </row>
    <row r="32" spans="1:15" x14ac:dyDescent="0.35">
      <c r="A32" s="218" t="s">
        <v>607</v>
      </c>
      <c r="B32" s="217">
        <v>200000</v>
      </c>
      <c r="C32" s="217">
        <v>57500</v>
      </c>
      <c r="D32" s="217">
        <v>0</v>
      </c>
      <c r="E32" s="217">
        <v>0</v>
      </c>
      <c r="F32" s="217">
        <v>142500</v>
      </c>
      <c r="G32"/>
      <c r="H32"/>
      <c r="I32"/>
      <c r="J32"/>
      <c r="K32"/>
      <c r="L32"/>
      <c r="M32"/>
      <c r="N32"/>
      <c r="O32"/>
    </row>
    <row r="33" spans="1:15" x14ac:dyDescent="0.35">
      <c r="A33" s="218" t="s">
        <v>377</v>
      </c>
      <c r="B33" s="217">
        <v>984151</v>
      </c>
      <c r="C33" s="217">
        <v>558196.81000000006</v>
      </c>
      <c r="D33" s="217">
        <v>0</v>
      </c>
      <c r="E33" s="217">
        <v>0</v>
      </c>
      <c r="F33" s="217">
        <v>425954.18999999994</v>
      </c>
      <c r="G33"/>
      <c r="H33"/>
      <c r="I33"/>
      <c r="J33"/>
      <c r="K33"/>
      <c r="L33"/>
      <c r="M33"/>
      <c r="N33"/>
      <c r="O33"/>
    </row>
    <row r="34" spans="1:15" x14ac:dyDescent="0.35">
      <c r="A34" s="218" t="s">
        <v>380</v>
      </c>
      <c r="B34" s="217">
        <v>50000</v>
      </c>
      <c r="C34" s="217">
        <v>14718</v>
      </c>
      <c r="D34" s="217">
        <v>0</v>
      </c>
      <c r="E34" s="217">
        <v>0</v>
      </c>
      <c r="F34" s="217">
        <v>35282</v>
      </c>
      <c r="G34"/>
      <c r="H34"/>
      <c r="I34"/>
      <c r="J34"/>
      <c r="K34"/>
      <c r="L34"/>
      <c r="M34"/>
      <c r="N34"/>
      <c r="O34"/>
    </row>
    <row r="35" spans="1:15" x14ac:dyDescent="0.35">
      <c r="A35" s="218" t="s">
        <v>46</v>
      </c>
      <c r="B35" s="217">
        <v>550028</v>
      </c>
      <c r="C35" s="217">
        <v>124262</v>
      </c>
      <c r="D35" s="217">
        <v>0</v>
      </c>
      <c r="E35" s="217">
        <v>425766</v>
      </c>
      <c r="F35" s="217">
        <v>0</v>
      </c>
      <c r="G35"/>
      <c r="H35"/>
      <c r="I35"/>
      <c r="J35"/>
      <c r="K35"/>
      <c r="L35"/>
      <c r="M35"/>
      <c r="N35"/>
      <c r="O35"/>
    </row>
    <row r="36" spans="1:15" x14ac:dyDescent="0.35">
      <c r="A36" s="218" t="s">
        <v>469</v>
      </c>
      <c r="B36" s="217">
        <v>12955785</v>
      </c>
      <c r="C36" s="217">
        <v>10226277.23</v>
      </c>
      <c r="D36" s="217">
        <v>597877</v>
      </c>
      <c r="E36" s="217">
        <v>551000</v>
      </c>
      <c r="F36" s="217">
        <v>1580630.7699999996</v>
      </c>
      <c r="G36"/>
      <c r="H36"/>
      <c r="I36"/>
      <c r="J36"/>
      <c r="K36"/>
      <c r="L36"/>
      <c r="M36"/>
      <c r="N36"/>
      <c r="O36"/>
    </row>
    <row r="37" spans="1:15" x14ac:dyDescent="0.35">
      <c r="A37" s="218" t="s">
        <v>135</v>
      </c>
      <c r="B37" s="217">
        <v>9425317</v>
      </c>
      <c r="C37" s="217">
        <v>3834416.2600000002</v>
      </c>
      <c r="D37" s="217">
        <v>731977.97</v>
      </c>
      <c r="E37" s="217">
        <v>3019668.86</v>
      </c>
      <c r="F37" s="217">
        <v>1839253.9100000001</v>
      </c>
      <c r="G37"/>
      <c r="H37"/>
      <c r="I37"/>
      <c r="J37"/>
      <c r="K37"/>
      <c r="L37"/>
      <c r="M37"/>
      <c r="N37"/>
      <c r="O37"/>
    </row>
    <row r="38" spans="1:15" x14ac:dyDescent="0.35">
      <c r="A38" s="218" t="s">
        <v>132</v>
      </c>
      <c r="B38" s="217">
        <v>15765927</v>
      </c>
      <c r="C38" s="217">
        <v>7643264.9100000011</v>
      </c>
      <c r="D38" s="217">
        <v>2462661.2999999998</v>
      </c>
      <c r="E38" s="217">
        <v>4436707.93</v>
      </c>
      <c r="F38" s="217">
        <v>1223292.8600000003</v>
      </c>
      <c r="G38"/>
      <c r="H38"/>
      <c r="I38"/>
      <c r="J38"/>
      <c r="K38"/>
      <c r="L38"/>
      <c r="M38"/>
      <c r="N38"/>
      <c r="O38"/>
    </row>
    <row r="39" spans="1:15" x14ac:dyDescent="0.35">
      <c r="A39" s="218" t="s">
        <v>25</v>
      </c>
      <c r="B39" s="217">
        <v>4034063</v>
      </c>
      <c r="C39" s="217">
        <v>2523614.5799999996</v>
      </c>
      <c r="D39" s="217">
        <v>895461.22</v>
      </c>
      <c r="E39" s="217">
        <v>34511.51</v>
      </c>
      <c r="F39" s="217">
        <v>580475.69000000029</v>
      </c>
      <c r="G39"/>
      <c r="H39"/>
      <c r="I39"/>
      <c r="J39"/>
      <c r="K39"/>
      <c r="L39"/>
      <c r="M39"/>
      <c r="N39"/>
      <c r="O39"/>
    </row>
    <row r="40" spans="1:15" x14ac:dyDescent="0.35">
      <c r="A40" s="218" t="s">
        <v>573</v>
      </c>
      <c r="B40" s="217">
        <v>16456570</v>
      </c>
      <c r="C40" s="217">
        <v>13501828.109999999</v>
      </c>
      <c r="D40" s="217">
        <v>964268.33</v>
      </c>
      <c r="E40" s="217">
        <v>1514932.79</v>
      </c>
      <c r="F40" s="217">
        <v>475540.76999999979</v>
      </c>
      <c r="G40"/>
      <c r="H40"/>
      <c r="I40"/>
      <c r="J40"/>
      <c r="K40"/>
      <c r="L40"/>
      <c r="M40"/>
      <c r="N40"/>
      <c r="O40"/>
    </row>
    <row r="41" spans="1:15" x14ac:dyDescent="0.35">
      <c r="A41" s="218" t="s">
        <v>95</v>
      </c>
      <c r="B41" s="217">
        <v>2080385</v>
      </c>
      <c r="C41" s="217">
        <v>1782937.14</v>
      </c>
      <c r="D41" s="217">
        <v>60000</v>
      </c>
      <c r="E41" s="217">
        <v>137290.99999999901</v>
      </c>
      <c r="F41" s="217">
        <v>100156.86000000109</v>
      </c>
      <c r="G41"/>
      <c r="H41"/>
      <c r="I41"/>
      <c r="J41"/>
      <c r="K41"/>
      <c r="L41"/>
      <c r="M41"/>
      <c r="N41"/>
      <c r="O41"/>
    </row>
    <row r="42" spans="1:15" x14ac:dyDescent="0.35">
      <c r="A42" s="218" t="s">
        <v>466</v>
      </c>
      <c r="B42" s="217">
        <v>319000</v>
      </c>
      <c r="C42" s="217">
        <v>0</v>
      </c>
      <c r="D42" s="217">
        <v>0</v>
      </c>
      <c r="E42" s="217">
        <v>0</v>
      </c>
      <c r="F42" s="217">
        <v>319000</v>
      </c>
      <c r="G42"/>
      <c r="H42"/>
      <c r="I42"/>
      <c r="J42"/>
      <c r="K42"/>
      <c r="L42"/>
      <c r="M42"/>
      <c r="N42"/>
      <c r="O42"/>
    </row>
    <row r="43" spans="1:15" x14ac:dyDescent="0.35">
      <c r="A43" s="218" t="s">
        <v>392</v>
      </c>
      <c r="B43" s="217">
        <v>26000</v>
      </c>
      <c r="C43" s="217">
        <v>5024</v>
      </c>
      <c r="D43" s="217">
        <v>0</v>
      </c>
      <c r="E43" s="217">
        <v>0</v>
      </c>
      <c r="F43" s="217">
        <v>20976</v>
      </c>
      <c r="G43"/>
      <c r="H43"/>
      <c r="I43"/>
      <c r="J43"/>
      <c r="K43"/>
      <c r="L43"/>
      <c r="M43"/>
      <c r="N43"/>
      <c r="O43"/>
    </row>
    <row r="44" spans="1:15" x14ac:dyDescent="0.35">
      <c r="A44" s="218" t="s">
        <v>27</v>
      </c>
      <c r="B44" s="217">
        <v>2475872</v>
      </c>
      <c r="C44" s="217">
        <v>163860.06</v>
      </c>
      <c r="D44" s="217">
        <v>0</v>
      </c>
      <c r="E44" s="217">
        <v>1404766.9</v>
      </c>
      <c r="F44" s="217">
        <v>907245.04</v>
      </c>
      <c r="G44"/>
      <c r="H44"/>
      <c r="I44"/>
      <c r="J44"/>
      <c r="K44"/>
      <c r="L44"/>
      <c r="M44"/>
      <c r="N44"/>
      <c r="O44"/>
    </row>
    <row r="45" spans="1:15" x14ac:dyDescent="0.35">
      <c r="A45" s="218" t="s">
        <v>367</v>
      </c>
      <c r="B45" s="217">
        <v>1197085</v>
      </c>
      <c r="C45" s="217">
        <v>315149.12</v>
      </c>
      <c r="D45" s="217">
        <v>50005.48</v>
      </c>
      <c r="E45" s="217">
        <v>754800.53</v>
      </c>
      <c r="F45" s="217">
        <v>77129.870000000083</v>
      </c>
      <c r="G45"/>
      <c r="H45"/>
      <c r="I45"/>
      <c r="J45"/>
      <c r="K45"/>
      <c r="L45"/>
      <c r="M45"/>
      <c r="N45"/>
      <c r="O45"/>
    </row>
    <row r="46" spans="1:15" x14ac:dyDescent="0.35">
      <c r="A46" s="218" t="s">
        <v>646</v>
      </c>
      <c r="B46" s="217">
        <v>35000</v>
      </c>
      <c r="C46" s="217">
        <v>0</v>
      </c>
      <c r="D46" s="217">
        <v>0</v>
      </c>
      <c r="E46" s="217">
        <v>0</v>
      </c>
      <c r="F46" s="217">
        <v>35000</v>
      </c>
      <c r="G46"/>
      <c r="H46"/>
      <c r="I46"/>
      <c r="J46"/>
      <c r="K46"/>
      <c r="L46"/>
      <c r="M46"/>
      <c r="N46"/>
      <c r="O46"/>
    </row>
    <row r="47" spans="1:15" x14ac:dyDescent="0.35">
      <c r="A47" s="218" t="s">
        <v>398</v>
      </c>
      <c r="B47" s="217">
        <v>10000</v>
      </c>
      <c r="C47" s="217">
        <v>848</v>
      </c>
      <c r="D47" s="217">
        <v>0</v>
      </c>
      <c r="E47" s="217">
        <v>0</v>
      </c>
      <c r="F47" s="217">
        <v>9152</v>
      </c>
      <c r="G47"/>
      <c r="H47"/>
      <c r="I47"/>
      <c r="J47"/>
      <c r="K47"/>
      <c r="L47"/>
      <c r="M47"/>
      <c r="N47"/>
      <c r="O47"/>
    </row>
    <row r="48" spans="1:15" x14ac:dyDescent="0.35">
      <c r="A48" s="218" t="s">
        <v>422</v>
      </c>
      <c r="B48" s="217">
        <v>140000</v>
      </c>
      <c r="C48" s="217">
        <v>23171.84</v>
      </c>
      <c r="D48" s="217">
        <v>0</v>
      </c>
      <c r="E48" s="217">
        <v>0</v>
      </c>
      <c r="F48" s="217">
        <v>116828.16</v>
      </c>
      <c r="G48"/>
      <c r="H48"/>
      <c r="I48"/>
      <c r="J48"/>
      <c r="K48"/>
      <c r="L48"/>
      <c r="M48"/>
      <c r="N48"/>
      <c r="O48"/>
    </row>
    <row r="49" spans="1:15" x14ac:dyDescent="0.35">
      <c r="A49" s="218" t="s">
        <v>66</v>
      </c>
      <c r="B49" s="217">
        <v>85230</v>
      </c>
      <c r="C49" s="217">
        <v>12957.33</v>
      </c>
      <c r="D49" s="217">
        <v>0</v>
      </c>
      <c r="E49" s="217">
        <v>0</v>
      </c>
      <c r="F49" s="217">
        <v>72272.67</v>
      </c>
      <c r="G49"/>
      <c r="H49"/>
      <c r="I49"/>
      <c r="J49"/>
      <c r="K49"/>
      <c r="L49"/>
      <c r="M49"/>
      <c r="N49"/>
      <c r="O49"/>
    </row>
    <row r="50" spans="1:15" x14ac:dyDescent="0.35">
      <c r="A50" s="218" t="s">
        <v>413</v>
      </c>
      <c r="B50" s="217">
        <v>99510</v>
      </c>
      <c r="C50" s="217">
        <v>41250</v>
      </c>
      <c r="D50" s="217">
        <v>0</v>
      </c>
      <c r="E50" s="217">
        <v>0</v>
      </c>
      <c r="F50" s="217">
        <v>58260</v>
      </c>
      <c r="G50"/>
      <c r="H50"/>
      <c r="I50"/>
      <c r="J50"/>
      <c r="K50"/>
      <c r="L50"/>
      <c r="M50"/>
      <c r="N50"/>
      <c r="O50"/>
    </row>
    <row r="51" spans="1:15" x14ac:dyDescent="0.35">
      <c r="A51" s="218" t="s">
        <v>435</v>
      </c>
      <c r="B51" s="217">
        <v>520230</v>
      </c>
      <c r="C51" s="217">
        <v>384490</v>
      </c>
      <c r="D51" s="217">
        <v>0</v>
      </c>
      <c r="E51" s="217">
        <v>132860</v>
      </c>
      <c r="F51" s="217">
        <v>2880</v>
      </c>
      <c r="G51"/>
      <c r="H51"/>
      <c r="I51"/>
      <c r="J51"/>
      <c r="K51"/>
      <c r="L51"/>
      <c r="M51"/>
      <c r="N51"/>
      <c r="O51"/>
    </row>
    <row r="52" spans="1:15" x14ac:dyDescent="0.35">
      <c r="A52" s="218" t="s">
        <v>68</v>
      </c>
      <c r="B52" s="217">
        <v>63812</v>
      </c>
      <c r="C52" s="217">
        <v>43812</v>
      </c>
      <c r="D52" s="217">
        <v>0</v>
      </c>
      <c r="E52" s="217">
        <v>0</v>
      </c>
      <c r="F52" s="217">
        <v>20000</v>
      </c>
      <c r="G52"/>
      <c r="H52"/>
      <c r="I52"/>
      <c r="J52"/>
      <c r="K52"/>
      <c r="L52"/>
      <c r="M52"/>
      <c r="N52"/>
      <c r="O52"/>
    </row>
    <row r="53" spans="1:15" x14ac:dyDescent="0.35">
      <c r="A53" s="218" t="s">
        <v>400</v>
      </c>
      <c r="B53" s="217">
        <v>53000</v>
      </c>
      <c r="C53" s="217">
        <v>12899.82</v>
      </c>
      <c r="D53" s="217">
        <v>0</v>
      </c>
      <c r="E53" s="217">
        <v>0</v>
      </c>
      <c r="F53" s="217">
        <v>40100.18</v>
      </c>
      <c r="G53"/>
      <c r="H53"/>
      <c r="I53"/>
      <c r="J53"/>
      <c r="K53"/>
      <c r="L53"/>
      <c r="M53"/>
      <c r="N53"/>
      <c r="O53"/>
    </row>
    <row r="54" spans="1:15" x14ac:dyDescent="0.35">
      <c r="A54" s="218" t="s">
        <v>108</v>
      </c>
      <c r="B54" s="217">
        <v>143993862</v>
      </c>
      <c r="C54" s="217">
        <v>116065013.5400001</v>
      </c>
      <c r="D54" s="217">
        <v>0</v>
      </c>
      <c r="E54" s="217">
        <v>0</v>
      </c>
      <c r="F54" s="217">
        <v>16471977.969999999</v>
      </c>
      <c r="G54"/>
      <c r="H54"/>
      <c r="I54"/>
      <c r="J54"/>
      <c r="K54"/>
      <c r="L54"/>
      <c r="M54"/>
      <c r="N54"/>
      <c r="O54"/>
    </row>
    <row r="55" spans="1:15" x14ac:dyDescent="0.35">
      <c r="A55" s="218" t="s">
        <v>63</v>
      </c>
      <c r="B55" s="217">
        <v>851328</v>
      </c>
      <c r="C55" s="217">
        <v>23653.37</v>
      </c>
      <c r="D55" s="217">
        <v>0</v>
      </c>
      <c r="E55" s="217">
        <v>0</v>
      </c>
      <c r="F55" s="217">
        <v>827674.63</v>
      </c>
      <c r="G55"/>
      <c r="H55"/>
      <c r="I55"/>
      <c r="J55"/>
      <c r="K55"/>
      <c r="L55"/>
      <c r="M55"/>
      <c r="N55"/>
      <c r="O55"/>
    </row>
    <row r="56" spans="1:15" x14ac:dyDescent="0.35">
      <c r="A56" s="218" t="s">
        <v>119</v>
      </c>
      <c r="B56" s="217">
        <v>668177</v>
      </c>
      <c r="C56" s="217">
        <v>281613.64</v>
      </c>
      <c r="D56" s="217">
        <v>0</v>
      </c>
      <c r="E56" s="217">
        <v>45400</v>
      </c>
      <c r="F56" s="217">
        <v>341163.36</v>
      </c>
      <c r="G56"/>
      <c r="H56"/>
      <c r="I56"/>
      <c r="J56"/>
      <c r="K56"/>
      <c r="L56"/>
      <c r="M56"/>
      <c r="N56"/>
      <c r="O56"/>
    </row>
    <row r="57" spans="1:15" x14ac:dyDescent="0.35">
      <c r="A57" s="218" t="s">
        <v>61</v>
      </c>
      <c r="B57" s="217">
        <v>1097850</v>
      </c>
      <c r="C57" s="217">
        <v>477456.84</v>
      </c>
      <c r="D57" s="217">
        <v>0</v>
      </c>
      <c r="E57" s="217">
        <v>432001.91</v>
      </c>
      <c r="F57" s="217">
        <v>188391.24999999994</v>
      </c>
      <c r="G57"/>
      <c r="H57"/>
      <c r="I57"/>
      <c r="J57"/>
      <c r="K57"/>
      <c r="L57"/>
      <c r="M57"/>
      <c r="N57"/>
      <c r="O57"/>
    </row>
    <row r="58" spans="1:15" x14ac:dyDescent="0.35">
      <c r="A58" s="218" t="s">
        <v>479</v>
      </c>
      <c r="B58" s="217">
        <v>1022000</v>
      </c>
      <c r="C58" s="217">
        <v>754866.67</v>
      </c>
      <c r="D58" s="217">
        <v>0</v>
      </c>
      <c r="E58" s="217">
        <v>265899.09999999998</v>
      </c>
      <c r="F58" s="217">
        <v>1234.2299999999814</v>
      </c>
      <c r="G58"/>
      <c r="H58"/>
      <c r="I58"/>
      <c r="J58"/>
      <c r="K58"/>
      <c r="L58"/>
      <c r="M58"/>
      <c r="N58"/>
      <c r="O58"/>
    </row>
    <row r="59" spans="1:15" x14ac:dyDescent="0.35">
      <c r="A59" s="218" t="s">
        <v>416</v>
      </c>
      <c r="B59" s="217">
        <v>100000</v>
      </c>
      <c r="C59" s="217">
        <v>24415</v>
      </c>
      <c r="D59" s="217">
        <v>0</v>
      </c>
      <c r="E59" s="217">
        <v>0</v>
      </c>
      <c r="F59" s="217">
        <v>75585</v>
      </c>
      <c r="G59"/>
      <c r="H59"/>
      <c r="I59"/>
      <c r="J59"/>
      <c r="K59"/>
      <c r="L59"/>
      <c r="M59"/>
      <c r="N59"/>
      <c r="O59"/>
    </row>
    <row r="60" spans="1:15" x14ac:dyDescent="0.35">
      <c r="A60" s="218" t="s">
        <v>383</v>
      </c>
      <c r="B60" s="217">
        <v>200211</v>
      </c>
      <c r="C60" s="217">
        <v>199212.79999999999</v>
      </c>
      <c r="D60" s="217">
        <v>0</v>
      </c>
      <c r="E60" s="217">
        <v>0</v>
      </c>
      <c r="F60" s="217">
        <v>998.20000000001164</v>
      </c>
      <c r="G60"/>
      <c r="H60"/>
      <c r="I60"/>
      <c r="J60"/>
      <c r="K60"/>
      <c r="L60"/>
      <c r="M60"/>
      <c r="N60"/>
      <c r="O60"/>
    </row>
    <row r="61" spans="1:15" x14ac:dyDescent="0.35">
      <c r="A61" s="218" t="s">
        <v>418</v>
      </c>
      <c r="B61" s="217">
        <v>967680</v>
      </c>
      <c r="C61" s="217">
        <v>21000</v>
      </c>
      <c r="D61" s="217">
        <v>20486</v>
      </c>
      <c r="E61" s="217">
        <v>924512.96</v>
      </c>
      <c r="F61" s="217">
        <v>1681.0400000000373</v>
      </c>
      <c r="G61"/>
      <c r="H61"/>
      <c r="I61"/>
      <c r="J61"/>
      <c r="K61"/>
      <c r="L61"/>
      <c r="M61"/>
      <c r="N61"/>
      <c r="O61"/>
    </row>
    <row r="62" spans="1:15" x14ac:dyDescent="0.35">
      <c r="A62" s="218" t="s">
        <v>89</v>
      </c>
      <c r="B62" s="217">
        <v>694710</v>
      </c>
      <c r="C62" s="217">
        <v>0</v>
      </c>
      <c r="D62" s="217">
        <v>0</v>
      </c>
      <c r="E62" s="217">
        <v>0</v>
      </c>
      <c r="F62" s="217">
        <v>694710</v>
      </c>
      <c r="G62"/>
      <c r="H62"/>
      <c r="I62"/>
      <c r="J62"/>
      <c r="K62"/>
      <c r="L62"/>
      <c r="M62"/>
      <c r="N62"/>
      <c r="O62"/>
    </row>
    <row r="63" spans="1:15" x14ac:dyDescent="0.35">
      <c r="A63" s="218" t="s">
        <v>547</v>
      </c>
      <c r="B63" s="217">
        <v>132000</v>
      </c>
      <c r="C63" s="217">
        <v>106201.25</v>
      </c>
      <c r="D63" s="217">
        <v>9050</v>
      </c>
      <c r="E63" s="217">
        <v>0</v>
      </c>
      <c r="F63" s="217">
        <v>16748.75</v>
      </c>
      <c r="G63"/>
      <c r="H63"/>
      <c r="I63"/>
      <c r="J63"/>
      <c r="K63"/>
      <c r="L63"/>
      <c r="M63"/>
      <c r="N63"/>
      <c r="O63"/>
    </row>
    <row r="64" spans="1:15" x14ac:dyDescent="0.35">
      <c r="A64" s="218" t="s">
        <v>81</v>
      </c>
      <c r="B64" s="217">
        <v>95547256</v>
      </c>
      <c r="C64" s="217">
        <v>69185111.1300001</v>
      </c>
      <c r="D64" s="217">
        <v>525790.75</v>
      </c>
      <c r="E64" s="217">
        <v>3086824.27</v>
      </c>
      <c r="F64" s="217">
        <v>22749529.849999901</v>
      </c>
      <c r="G64"/>
      <c r="H64"/>
      <c r="I64"/>
      <c r="J64"/>
      <c r="K64"/>
      <c r="L64"/>
      <c r="M64"/>
      <c r="N64"/>
      <c r="O64"/>
    </row>
    <row r="65" spans="1:15" x14ac:dyDescent="0.35">
      <c r="A65" s="218" t="s">
        <v>369</v>
      </c>
      <c r="B65" s="217">
        <v>8776620</v>
      </c>
      <c r="C65" s="217">
        <v>5840796.1299999999</v>
      </c>
      <c r="D65" s="217">
        <v>0</v>
      </c>
      <c r="E65" s="217">
        <v>1372629.63</v>
      </c>
      <c r="F65" s="217">
        <v>1563194.2400000002</v>
      </c>
      <c r="G65"/>
      <c r="H65"/>
      <c r="I65"/>
      <c r="J65"/>
      <c r="K65"/>
      <c r="L65"/>
      <c r="M65"/>
      <c r="N65"/>
      <c r="O65"/>
    </row>
    <row r="66" spans="1:15" x14ac:dyDescent="0.35">
      <c r="A66" s="218" t="s">
        <v>565</v>
      </c>
      <c r="B66" s="217">
        <v>887069</v>
      </c>
      <c r="C66" s="217">
        <v>131112.59</v>
      </c>
      <c r="D66" s="217">
        <v>0</v>
      </c>
      <c r="E66" s="217">
        <v>0</v>
      </c>
      <c r="F66" s="217">
        <v>755956.41</v>
      </c>
      <c r="G66"/>
      <c r="H66"/>
      <c r="I66"/>
      <c r="J66"/>
      <c r="K66"/>
      <c r="L66"/>
      <c r="M66"/>
      <c r="N66"/>
      <c r="O66"/>
    </row>
    <row r="67" spans="1:15" x14ac:dyDescent="0.35">
      <c r="A67" s="218" t="s">
        <v>41</v>
      </c>
      <c r="B67" s="217">
        <v>50000</v>
      </c>
      <c r="C67" s="217">
        <v>0</v>
      </c>
      <c r="D67" s="217">
        <v>0</v>
      </c>
      <c r="E67" s="217">
        <v>0</v>
      </c>
      <c r="F67" s="217">
        <v>50000</v>
      </c>
      <c r="G67"/>
      <c r="H67"/>
      <c r="I67"/>
      <c r="J67"/>
      <c r="K67"/>
      <c r="L67"/>
      <c r="M67"/>
      <c r="N67"/>
      <c r="O67"/>
    </row>
    <row r="68" spans="1:15" x14ac:dyDescent="0.35">
      <c r="A68" s="218" t="s">
        <v>394</v>
      </c>
      <c r="B68" s="217">
        <v>20000</v>
      </c>
      <c r="C68" s="217">
        <v>0</v>
      </c>
      <c r="D68" s="217">
        <v>0</v>
      </c>
      <c r="E68" s="217">
        <v>0</v>
      </c>
      <c r="F68" s="217">
        <v>20000</v>
      </c>
      <c r="G68"/>
      <c r="H68"/>
      <c r="I68"/>
      <c r="J68"/>
      <c r="K68"/>
      <c r="L68"/>
      <c r="M68"/>
      <c r="N68"/>
      <c r="O68"/>
    </row>
    <row r="69" spans="1:15" x14ac:dyDescent="0.35">
      <c r="A69" s="218" t="s">
        <v>29</v>
      </c>
      <c r="B69" s="217">
        <v>2358312</v>
      </c>
      <c r="C69" s="217">
        <v>431111.67999999999</v>
      </c>
      <c r="D69" s="217">
        <v>96000</v>
      </c>
      <c r="E69" s="217">
        <v>144000</v>
      </c>
      <c r="F69" s="217">
        <v>1687200.3199999998</v>
      </c>
      <c r="G69"/>
      <c r="H69"/>
      <c r="I69"/>
      <c r="J69"/>
      <c r="K69"/>
      <c r="L69"/>
      <c r="M69"/>
      <c r="N69"/>
      <c r="O69"/>
    </row>
    <row r="70" spans="1:15" x14ac:dyDescent="0.35">
      <c r="A70" s="218" t="s">
        <v>443</v>
      </c>
      <c r="B70" s="217">
        <v>339495</v>
      </c>
      <c r="C70" s="217">
        <v>180566.63</v>
      </c>
      <c r="D70" s="217">
        <v>53.01</v>
      </c>
      <c r="E70" s="217">
        <v>-2.18278728425503E-11</v>
      </c>
      <c r="F70" s="217">
        <v>158875.36000000002</v>
      </c>
      <c r="G70"/>
      <c r="H70"/>
      <c r="I70"/>
      <c r="J70"/>
      <c r="K70"/>
      <c r="L70"/>
      <c r="M70"/>
      <c r="N70"/>
      <c r="O70"/>
    </row>
    <row r="71" spans="1:15" x14ac:dyDescent="0.35">
      <c r="A71" s="218" t="s">
        <v>591</v>
      </c>
      <c r="B71" s="217">
        <v>397712</v>
      </c>
      <c r="C71" s="217">
        <v>397712</v>
      </c>
      <c r="D71" s="217">
        <v>0</v>
      </c>
      <c r="E71" s="217">
        <v>0</v>
      </c>
      <c r="F71" s="217">
        <v>0</v>
      </c>
      <c r="G71"/>
      <c r="H71"/>
      <c r="I71"/>
      <c r="J71"/>
      <c r="K71"/>
      <c r="L71"/>
      <c r="M71"/>
      <c r="N71"/>
      <c r="O71"/>
    </row>
    <row r="72" spans="1:15" x14ac:dyDescent="0.35">
      <c r="A72" s="218" t="s">
        <v>142</v>
      </c>
      <c r="B72" s="217">
        <v>1095055</v>
      </c>
      <c r="C72" s="217">
        <v>532963.30999999994</v>
      </c>
      <c r="D72" s="217">
        <v>25000</v>
      </c>
      <c r="E72" s="217">
        <v>33450</v>
      </c>
      <c r="F72" s="217">
        <v>503641.69</v>
      </c>
      <c r="G72"/>
      <c r="H72"/>
      <c r="I72"/>
      <c r="J72"/>
      <c r="K72"/>
      <c r="L72"/>
      <c r="M72"/>
      <c r="N72"/>
      <c r="O72"/>
    </row>
    <row r="73" spans="1:15" x14ac:dyDescent="0.35">
      <c r="A73" s="218" t="s">
        <v>110</v>
      </c>
      <c r="B73" s="217">
        <v>2483960</v>
      </c>
      <c r="C73" s="217">
        <v>665002.09</v>
      </c>
      <c r="D73" s="217">
        <v>0</v>
      </c>
      <c r="E73" s="217">
        <v>0</v>
      </c>
      <c r="F73" s="217">
        <v>1818957.9100000001</v>
      </c>
      <c r="G73"/>
      <c r="H73"/>
      <c r="I73"/>
      <c r="J73"/>
      <c r="K73"/>
      <c r="L73"/>
      <c r="M73"/>
      <c r="N73"/>
      <c r="O73"/>
    </row>
    <row r="74" spans="1:15" x14ac:dyDescent="0.35">
      <c r="A74" s="218" t="s">
        <v>112</v>
      </c>
      <c r="B74" s="217">
        <v>2577974</v>
      </c>
      <c r="C74" s="217">
        <v>769811.49</v>
      </c>
      <c r="D74" s="217">
        <v>0</v>
      </c>
      <c r="E74" s="217">
        <v>0</v>
      </c>
      <c r="F74" s="217">
        <v>1808162.51</v>
      </c>
      <c r="G74"/>
      <c r="H74"/>
      <c r="I74"/>
      <c r="J74"/>
      <c r="K74"/>
      <c r="L74"/>
      <c r="M74"/>
      <c r="N74"/>
      <c r="O74"/>
    </row>
    <row r="75" spans="1:15" x14ac:dyDescent="0.35">
      <c r="A75" s="218" t="s">
        <v>104</v>
      </c>
      <c r="B75" s="217">
        <v>4816800</v>
      </c>
      <c r="C75" s="217">
        <v>2999457.57</v>
      </c>
      <c r="D75" s="217">
        <v>0</v>
      </c>
      <c r="E75" s="217">
        <v>0</v>
      </c>
      <c r="F75" s="217">
        <v>1817342.4300000002</v>
      </c>
      <c r="G75"/>
      <c r="H75"/>
      <c r="I75"/>
      <c r="J75"/>
      <c r="K75"/>
      <c r="L75"/>
      <c r="M75"/>
      <c r="N75"/>
      <c r="O75"/>
    </row>
    <row r="76" spans="1:15" x14ac:dyDescent="0.35">
      <c r="A76" s="218" t="s">
        <v>59</v>
      </c>
      <c r="B76" s="217">
        <v>2825753</v>
      </c>
      <c r="C76" s="217">
        <v>1634679.0699999998</v>
      </c>
      <c r="D76" s="217">
        <v>410760.3</v>
      </c>
      <c r="E76" s="217">
        <v>12430</v>
      </c>
      <c r="F76" s="217">
        <v>767883.63</v>
      </c>
      <c r="G76"/>
      <c r="H76"/>
      <c r="I76"/>
      <c r="J76"/>
      <c r="K76"/>
      <c r="L76"/>
      <c r="M76"/>
      <c r="N76"/>
      <c r="O76"/>
    </row>
    <row r="77" spans="1:15" x14ac:dyDescent="0.35">
      <c r="A77" s="218" t="s">
        <v>106</v>
      </c>
      <c r="B77" s="217">
        <v>2026663</v>
      </c>
      <c r="C77" s="217">
        <v>1162917.7</v>
      </c>
      <c r="D77" s="217">
        <v>0</v>
      </c>
      <c r="E77" s="217">
        <v>0</v>
      </c>
      <c r="F77" s="217">
        <v>863745.3</v>
      </c>
      <c r="G77"/>
      <c r="H77"/>
      <c r="I77"/>
      <c r="J77"/>
      <c r="K77"/>
      <c r="L77"/>
      <c r="M77"/>
      <c r="N77"/>
      <c r="O77"/>
    </row>
    <row r="78" spans="1:15" x14ac:dyDescent="0.35">
      <c r="A78" s="218" t="s">
        <v>551</v>
      </c>
      <c r="B78" s="217">
        <v>80825600</v>
      </c>
      <c r="C78" s="217">
        <v>59526469.380000003</v>
      </c>
      <c r="D78" s="217">
        <v>0</v>
      </c>
      <c r="E78" s="217">
        <v>0</v>
      </c>
      <c r="F78" s="217">
        <v>21299130.619999997</v>
      </c>
      <c r="G78"/>
      <c r="H78"/>
      <c r="I78"/>
      <c r="J78"/>
      <c r="K78"/>
      <c r="L78"/>
      <c r="M78"/>
      <c r="N78"/>
      <c r="O78"/>
    </row>
    <row r="79" spans="1:15" x14ac:dyDescent="0.35">
      <c r="A79" s="218" t="s">
        <v>589</v>
      </c>
      <c r="B79" s="217">
        <v>9641961</v>
      </c>
      <c r="C79" s="217">
        <v>-58814.48</v>
      </c>
      <c r="D79" s="217">
        <v>0</v>
      </c>
      <c r="E79" s="217">
        <v>9407298.5099999998</v>
      </c>
      <c r="F79" s="217">
        <v>293476.97000000067</v>
      </c>
      <c r="G79"/>
      <c r="H79"/>
      <c r="I79"/>
      <c r="J79"/>
      <c r="K79"/>
      <c r="L79"/>
      <c r="M79"/>
      <c r="N79"/>
      <c r="O79"/>
    </row>
    <row r="80" spans="1:15" x14ac:dyDescent="0.35">
      <c r="A80" s="218" t="s">
        <v>51</v>
      </c>
      <c r="B80" s="217">
        <v>777324</v>
      </c>
      <c r="C80" s="217">
        <v>242792.59</v>
      </c>
      <c r="D80" s="217">
        <v>0</v>
      </c>
      <c r="E80" s="217">
        <v>299294.42</v>
      </c>
      <c r="F80" s="217">
        <v>235236.99</v>
      </c>
      <c r="G80"/>
      <c r="H80"/>
      <c r="I80"/>
      <c r="J80"/>
      <c r="K80"/>
      <c r="L80"/>
      <c r="M80"/>
      <c r="N80"/>
      <c r="O80"/>
    </row>
    <row r="81" spans="1:15" x14ac:dyDescent="0.35">
      <c r="A81" s="218" t="s">
        <v>473</v>
      </c>
      <c r="B81" s="217">
        <v>2630114</v>
      </c>
      <c r="C81" s="217">
        <v>1138866.56</v>
      </c>
      <c r="D81" s="217">
        <v>0</v>
      </c>
      <c r="E81" s="217">
        <v>0</v>
      </c>
      <c r="F81" s="217">
        <v>1491247.44</v>
      </c>
      <c r="G81"/>
      <c r="H81"/>
      <c r="I81"/>
      <c r="J81"/>
      <c r="K81"/>
      <c r="L81"/>
      <c r="M81"/>
      <c r="N81"/>
      <c r="O81"/>
    </row>
    <row r="82" spans="1:15" x14ac:dyDescent="0.35">
      <c r="A82" s="218" t="s">
        <v>202</v>
      </c>
      <c r="B82" s="217">
        <v>9725515</v>
      </c>
      <c r="C82" s="217">
        <v>9133012.0299999993</v>
      </c>
      <c r="D82" s="217">
        <v>0</v>
      </c>
      <c r="E82" s="217">
        <v>56343.82</v>
      </c>
      <c r="F82" s="217">
        <v>536159.15000000037</v>
      </c>
      <c r="G82"/>
      <c r="H82"/>
      <c r="I82"/>
      <c r="J82"/>
      <c r="K82"/>
      <c r="L82"/>
      <c r="M82"/>
      <c r="N82"/>
      <c r="O82"/>
    </row>
    <row r="83" spans="1:15" x14ac:dyDescent="0.35">
      <c r="A83" s="218" t="s">
        <v>137</v>
      </c>
      <c r="B83" s="217">
        <v>302192</v>
      </c>
      <c r="C83" s="217">
        <v>87039</v>
      </c>
      <c r="D83" s="217">
        <v>19127</v>
      </c>
      <c r="E83" s="217">
        <v>15740</v>
      </c>
      <c r="F83" s="217">
        <v>180286</v>
      </c>
      <c r="G83"/>
      <c r="H83"/>
      <c r="I83"/>
      <c r="J83"/>
      <c r="K83"/>
      <c r="L83"/>
      <c r="M83"/>
      <c r="N83"/>
      <c r="O83"/>
    </row>
    <row r="84" spans="1:15" x14ac:dyDescent="0.35">
      <c r="A84" s="218" t="s">
        <v>459</v>
      </c>
      <c r="B84" s="217">
        <v>10000</v>
      </c>
      <c r="C84" s="217">
        <v>0</v>
      </c>
      <c r="D84" s="217">
        <v>0</v>
      </c>
      <c r="E84" s="217">
        <v>0</v>
      </c>
      <c r="F84" s="217">
        <v>10000</v>
      </c>
      <c r="G84"/>
      <c r="H84"/>
      <c r="I84"/>
      <c r="J84"/>
      <c r="K84"/>
      <c r="L84"/>
      <c r="M84"/>
      <c r="N84"/>
      <c r="O84"/>
    </row>
    <row r="85" spans="1:15" x14ac:dyDescent="0.35">
      <c r="A85" s="218" t="s">
        <v>622</v>
      </c>
      <c r="B85" s="217">
        <v>172000</v>
      </c>
      <c r="C85" s="217">
        <v>0</v>
      </c>
      <c r="D85" s="217">
        <v>0</v>
      </c>
      <c r="E85" s="217">
        <v>0</v>
      </c>
      <c r="F85" s="217">
        <v>172000</v>
      </c>
      <c r="G85"/>
      <c r="H85"/>
      <c r="I85"/>
      <c r="J85"/>
      <c r="K85"/>
      <c r="L85"/>
      <c r="M85"/>
      <c r="N85"/>
      <c r="O85"/>
    </row>
    <row r="86" spans="1:15" x14ac:dyDescent="0.35">
      <c r="A86" s="218" t="s">
        <v>408</v>
      </c>
      <c r="B86" s="217">
        <v>4691229</v>
      </c>
      <c r="C86" s="217">
        <v>3029308.59</v>
      </c>
      <c r="D86" s="217">
        <v>0</v>
      </c>
      <c r="E86" s="217">
        <v>0</v>
      </c>
      <c r="F86" s="217">
        <v>1661920.41</v>
      </c>
      <c r="G86"/>
      <c r="H86"/>
      <c r="I86"/>
      <c r="J86"/>
      <c r="K86"/>
      <c r="L86"/>
      <c r="M86"/>
      <c r="N86"/>
      <c r="O86"/>
    </row>
    <row r="87" spans="1:15" s="219" customFormat="1" x14ac:dyDescent="0.35">
      <c r="A87" s="218" t="s">
        <v>719</v>
      </c>
      <c r="B87" s="217">
        <v>579850000</v>
      </c>
      <c r="C87" s="217">
        <v>397954838.32000005</v>
      </c>
      <c r="D87" s="217">
        <v>10457400.029999999</v>
      </c>
      <c r="E87" s="217">
        <v>47609641.630000003</v>
      </c>
      <c r="F87" s="217">
        <v>112371249.52999987</v>
      </c>
      <c r="G87"/>
      <c r="H87"/>
      <c r="I87"/>
      <c r="J87"/>
      <c r="K87"/>
      <c r="L87"/>
      <c r="M87"/>
      <c r="N87"/>
      <c r="O87"/>
    </row>
    <row r="88" spans="1:15" x14ac:dyDescent="0.35">
      <c r="A88"/>
      <c r="B88"/>
      <c r="C88"/>
      <c r="D88"/>
      <c r="E88"/>
      <c r="F88"/>
      <c r="G88"/>
      <c r="H88"/>
      <c r="I88"/>
      <c r="J88"/>
      <c r="K88"/>
      <c r="L88"/>
      <c r="M88"/>
      <c r="N88"/>
      <c r="O88"/>
    </row>
    <row r="89" spans="1:15" x14ac:dyDescent="0.35">
      <c r="A89"/>
      <c r="B89"/>
      <c r="C89"/>
      <c r="D89"/>
      <c r="E89"/>
      <c r="F89"/>
      <c r="G89"/>
      <c r="H89"/>
      <c r="I89"/>
      <c r="J89"/>
      <c r="K89"/>
      <c r="L89"/>
      <c r="M89"/>
      <c r="N89"/>
      <c r="O89"/>
    </row>
    <row r="90" spans="1:15" x14ac:dyDescent="0.35">
      <c r="A90"/>
      <c r="B90"/>
      <c r="C90"/>
      <c r="D90"/>
      <c r="E90"/>
      <c r="F90"/>
      <c r="G90"/>
      <c r="H90"/>
      <c r="I90"/>
      <c r="J90"/>
      <c r="K90"/>
      <c r="L90"/>
      <c r="M90"/>
      <c r="N90"/>
      <c r="O90"/>
    </row>
    <row r="91" spans="1:15" x14ac:dyDescent="0.35">
      <c r="A91"/>
      <c r="B91"/>
      <c r="C91"/>
      <c r="D91"/>
      <c r="E91"/>
      <c r="F91"/>
      <c r="G91"/>
      <c r="H91"/>
      <c r="I91"/>
      <c r="J91"/>
      <c r="K91"/>
      <c r="L91"/>
      <c r="M91"/>
      <c r="N91"/>
      <c r="O91"/>
    </row>
    <row r="92" spans="1:15" x14ac:dyDescent="0.35">
      <c r="A92"/>
      <c r="B92"/>
      <c r="C92"/>
      <c r="D92"/>
      <c r="E92"/>
      <c r="F92"/>
      <c r="G92"/>
      <c r="H92"/>
      <c r="I92"/>
      <c r="J92"/>
      <c r="K92"/>
      <c r="L92"/>
      <c r="M92"/>
      <c r="N92"/>
      <c r="O92"/>
    </row>
    <row r="93" spans="1:15" x14ac:dyDescent="0.35">
      <c r="A93"/>
      <c r="B93"/>
      <c r="C93"/>
      <c r="D93"/>
      <c r="E93"/>
      <c r="F93"/>
      <c r="G93"/>
      <c r="H93"/>
      <c r="I93"/>
      <c r="J93"/>
      <c r="K93"/>
      <c r="L93"/>
      <c r="M93"/>
      <c r="N93"/>
      <c r="O93"/>
    </row>
    <row r="94" spans="1:15" x14ac:dyDescent="0.35">
      <c r="A94"/>
      <c r="B94"/>
      <c r="C94"/>
      <c r="D94"/>
      <c r="E94"/>
      <c r="F94"/>
      <c r="G94"/>
      <c r="H94"/>
      <c r="I94"/>
      <c r="J94"/>
      <c r="K94"/>
      <c r="L94"/>
      <c r="M94"/>
      <c r="N94"/>
      <c r="O94"/>
    </row>
    <row r="95" spans="1:15" x14ac:dyDescent="0.35">
      <c r="A95"/>
      <c r="B95"/>
      <c r="C95"/>
      <c r="D95"/>
      <c r="E95"/>
      <c r="F95"/>
      <c r="G95"/>
      <c r="H95"/>
      <c r="I95"/>
      <c r="J95"/>
      <c r="K95"/>
      <c r="L95"/>
      <c r="M95"/>
      <c r="N95"/>
      <c r="O95"/>
    </row>
    <row r="96" spans="1:15" x14ac:dyDescent="0.35">
      <c r="A96"/>
      <c r="B96"/>
      <c r="C96"/>
      <c r="D96"/>
      <c r="E96"/>
      <c r="F96"/>
      <c r="G96"/>
      <c r="H96"/>
      <c r="I96"/>
      <c r="J96"/>
      <c r="K96"/>
      <c r="L96"/>
      <c r="M96"/>
      <c r="N96"/>
      <c r="O96"/>
    </row>
    <row r="97" spans="1:15" x14ac:dyDescent="0.35">
      <c r="A97"/>
      <c r="B97"/>
      <c r="C97"/>
      <c r="D97"/>
      <c r="E97"/>
      <c r="F97"/>
      <c r="G97"/>
      <c r="H97"/>
      <c r="I97"/>
      <c r="J97"/>
      <c r="K97"/>
      <c r="L97"/>
      <c r="M97"/>
      <c r="N97"/>
      <c r="O97"/>
    </row>
    <row r="98" spans="1:15" x14ac:dyDescent="0.35">
      <c r="A98"/>
      <c r="B98"/>
      <c r="C98"/>
      <c r="D98"/>
      <c r="E98"/>
      <c r="F98"/>
      <c r="G98"/>
      <c r="H98"/>
      <c r="I98"/>
      <c r="J98"/>
      <c r="K98"/>
      <c r="L98"/>
      <c r="M98"/>
      <c r="N98"/>
      <c r="O98"/>
    </row>
    <row r="99" spans="1:15" x14ac:dyDescent="0.35">
      <c r="A99"/>
      <c r="B99"/>
      <c r="C99"/>
      <c r="D99"/>
      <c r="E99"/>
      <c r="F99"/>
      <c r="G99"/>
      <c r="H99"/>
      <c r="I99"/>
      <c r="J99"/>
      <c r="K99"/>
      <c r="L99"/>
      <c r="M99"/>
      <c r="N99"/>
      <c r="O99"/>
    </row>
    <row r="100" spans="1:15" x14ac:dyDescent="0.35">
      <c r="A100"/>
      <c r="B100"/>
      <c r="C100"/>
      <c r="D100"/>
      <c r="E100"/>
      <c r="F100"/>
      <c r="G100"/>
      <c r="H100"/>
      <c r="I100"/>
      <c r="J100"/>
      <c r="K100"/>
      <c r="L100"/>
      <c r="M100"/>
      <c r="N100"/>
      <c r="O100"/>
    </row>
    <row r="101" spans="1:15" x14ac:dyDescent="0.35">
      <c r="A101"/>
      <c r="B101"/>
      <c r="C101"/>
      <c r="D101"/>
      <c r="E101"/>
      <c r="F101"/>
      <c r="G101"/>
      <c r="H101"/>
      <c r="I101"/>
      <c r="J101"/>
      <c r="K101"/>
      <c r="L101"/>
      <c r="M101"/>
      <c r="N101"/>
      <c r="O101"/>
    </row>
    <row r="102" spans="1:15" x14ac:dyDescent="0.35">
      <c r="A102"/>
      <c r="B102"/>
      <c r="C102"/>
      <c r="D102"/>
      <c r="E102"/>
      <c r="F102"/>
      <c r="G102"/>
      <c r="H102"/>
      <c r="I102"/>
      <c r="J102"/>
      <c r="K102"/>
      <c r="L102"/>
      <c r="M102"/>
      <c r="N102"/>
      <c r="O102"/>
    </row>
    <row r="103" spans="1:15" x14ac:dyDescent="0.35">
      <c r="A103"/>
      <c r="B103"/>
      <c r="C103"/>
      <c r="D103"/>
      <c r="E103"/>
      <c r="F103"/>
      <c r="G103"/>
      <c r="H103"/>
      <c r="I103"/>
      <c r="J103"/>
      <c r="K103"/>
      <c r="L103"/>
      <c r="M103"/>
      <c r="N103"/>
      <c r="O103"/>
    </row>
    <row r="104" spans="1:15" x14ac:dyDescent="0.35">
      <c r="A104"/>
      <c r="B104"/>
      <c r="C104"/>
      <c r="D104"/>
      <c r="E104"/>
      <c r="F104"/>
      <c r="G104"/>
      <c r="H104"/>
      <c r="I104"/>
      <c r="J104"/>
      <c r="K104"/>
      <c r="L104"/>
      <c r="M104"/>
      <c r="N104"/>
      <c r="O104"/>
    </row>
    <row r="105" spans="1:15" x14ac:dyDescent="0.35">
      <c r="A105"/>
      <c r="B105"/>
      <c r="C105"/>
      <c r="D105"/>
      <c r="E105"/>
      <c r="F105"/>
      <c r="G105"/>
      <c r="H105"/>
      <c r="I105"/>
      <c r="J105"/>
      <c r="K105"/>
      <c r="L105"/>
      <c r="M105"/>
      <c r="N105"/>
      <c r="O105"/>
    </row>
    <row r="106" spans="1:15" x14ac:dyDescent="0.35">
      <c r="A106"/>
      <c r="B106"/>
      <c r="C106"/>
      <c r="D106"/>
      <c r="E106"/>
      <c r="F106"/>
      <c r="G106"/>
      <c r="H106"/>
      <c r="I106"/>
      <c r="J106"/>
      <c r="K106"/>
      <c r="L106"/>
      <c r="M106"/>
      <c r="N106"/>
      <c r="O106"/>
    </row>
    <row r="107" spans="1:15" x14ac:dyDescent="0.35">
      <c r="A107"/>
      <c r="B107"/>
      <c r="C107"/>
      <c r="D107"/>
      <c r="E107"/>
      <c r="F107"/>
      <c r="G107"/>
      <c r="H107"/>
      <c r="I107"/>
      <c r="J107"/>
      <c r="K107"/>
      <c r="L107"/>
      <c r="M107"/>
      <c r="N107"/>
      <c r="O107"/>
    </row>
    <row r="108" spans="1:15" x14ac:dyDescent="0.35">
      <c r="A108"/>
      <c r="B108"/>
      <c r="C108"/>
      <c r="D108"/>
      <c r="E108"/>
      <c r="F108"/>
      <c r="G108"/>
      <c r="H108"/>
      <c r="I108"/>
      <c r="J108"/>
      <c r="K108"/>
      <c r="L108"/>
      <c r="M108"/>
      <c r="N108"/>
      <c r="O108"/>
    </row>
    <row r="109" spans="1:15" x14ac:dyDescent="0.35">
      <c r="A109"/>
      <c r="B109"/>
      <c r="C109"/>
      <c r="D109"/>
      <c r="E109"/>
      <c r="F109"/>
      <c r="G109"/>
      <c r="H109"/>
      <c r="I109"/>
      <c r="J109"/>
      <c r="K109"/>
      <c r="L109"/>
      <c r="M109"/>
      <c r="N109"/>
      <c r="O109"/>
    </row>
    <row r="110" spans="1:15" x14ac:dyDescent="0.35">
      <c r="A110"/>
      <c r="B110"/>
      <c r="C110"/>
      <c r="D110"/>
      <c r="E110"/>
      <c r="F110"/>
      <c r="G110"/>
      <c r="H110"/>
      <c r="I110"/>
      <c r="J110"/>
      <c r="K110"/>
      <c r="L110"/>
      <c r="M110"/>
      <c r="N110"/>
      <c r="O110"/>
    </row>
    <row r="111" spans="1:15" x14ac:dyDescent="0.35">
      <c r="A111"/>
      <c r="B111"/>
      <c r="C111"/>
      <c r="D111"/>
      <c r="E111"/>
      <c r="F111"/>
      <c r="G111"/>
      <c r="H111"/>
      <c r="I111"/>
      <c r="J111"/>
      <c r="K111"/>
      <c r="L111"/>
      <c r="M111"/>
      <c r="N111"/>
      <c r="O111"/>
    </row>
    <row r="112" spans="1:15" x14ac:dyDescent="0.35">
      <c r="A112"/>
      <c r="B112"/>
      <c r="C112"/>
      <c r="D112"/>
      <c r="E112"/>
      <c r="F112"/>
      <c r="G112"/>
      <c r="H112"/>
      <c r="I112"/>
      <c r="J112"/>
      <c r="K112"/>
      <c r="L112"/>
      <c r="M112"/>
      <c r="N112"/>
      <c r="O112"/>
    </row>
    <row r="113" spans="1:15" x14ac:dyDescent="0.35">
      <c r="A113"/>
      <c r="B113"/>
      <c r="C113"/>
      <c r="D113"/>
      <c r="E113"/>
      <c r="F113"/>
      <c r="G113"/>
      <c r="H113"/>
      <c r="I113"/>
      <c r="J113"/>
      <c r="K113"/>
      <c r="L113"/>
      <c r="M113"/>
      <c r="N113"/>
      <c r="O113"/>
    </row>
    <row r="114" spans="1:15" x14ac:dyDescent="0.35">
      <c r="A114"/>
      <c r="B114"/>
      <c r="C114"/>
      <c r="D114"/>
      <c r="E114"/>
      <c r="F114"/>
      <c r="G114"/>
      <c r="H114"/>
      <c r="I114"/>
      <c r="J114"/>
      <c r="K114"/>
      <c r="L114"/>
      <c r="M114"/>
      <c r="N114"/>
      <c r="O114"/>
    </row>
    <row r="115" spans="1:15" x14ac:dyDescent="0.35">
      <c r="A115"/>
      <c r="B115"/>
      <c r="C115"/>
      <c r="D115"/>
      <c r="E115"/>
      <c r="F115"/>
      <c r="G115"/>
      <c r="H115"/>
      <c r="I115"/>
      <c r="J115"/>
      <c r="K115"/>
      <c r="L115"/>
      <c r="M115"/>
      <c r="N115"/>
      <c r="O115"/>
    </row>
    <row r="116" spans="1:15" x14ac:dyDescent="0.35">
      <c r="A116"/>
      <c r="B116"/>
      <c r="C116"/>
      <c r="D116"/>
      <c r="E116"/>
      <c r="F116"/>
      <c r="G116"/>
      <c r="H116"/>
      <c r="I116"/>
      <c r="J116"/>
      <c r="K116"/>
      <c r="L116"/>
      <c r="M116"/>
      <c r="N116"/>
      <c r="O116"/>
    </row>
    <row r="117" spans="1:15" x14ac:dyDescent="0.35">
      <c r="A117"/>
      <c r="B117"/>
      <c r="C117"/>
      <c r="D117"/>
      <c r="E117"/>
      <c r="F117"/>
      <c r="G117"/>
      <c r="H117"/>
      <c r="I117"/>
      <c r="J117"/>
      <c r="K117"/>
      <c r="L117"/>
      <c r="M117"/>
      <c r="N117"/>
      <c r="O117"/>
    </row>
    <row r="118" spans="1:15" x14ac:dyDescent="0.35">
      <c r="A118"/>
      <c r="B118"/>
      <c r="C118"/>
      <c r="D118"/>
      <c r="E118"/>
      <c r="F118"/>
      <c r="G118"/>
      <c r="H118"/>
      <c r="I118"/>
      <c r="J118"/>
      <c r="K118"/>
      <c r="L118"/>
      <c r="M118"/>
      <c r="N118"/>
      <c r="O118"/>
    </row>
    <row r="119" spans="1:15" x14ac:dyDescent="0.35">
      <c r="A119"/>
      <c r="B119"/>
      <c r="C119"/>
      <c r="D119"/>
      <c r="E119"/>
      <c r="F119"/>
      <c r="G119"/>
      <c r="H119"/>
      <c r="I119"/>
      <c r="J119"/>
      <c r="K119"/>
      <c r="L119"/>
      <c r="M119"/>
      <c r="N119"/>
      <c r="O119"/>
    </row>
    <row r="120" spans="1:15" x14ac:dyDescent="0.35">
      <c r="A120"/>
      <c r="B120"/>
      <c r="C120"/>
      <c r="D120"/>
      <c r="E120"/>
      <c r="F120"/>
      <c r="G120"/>
      <c r="H120"/>
      <c r="I120"/>
      <c r="J120"/>
      <c r="K120"/>
      <c r="L120"/>
      <c r="M120"/>
      <c r="N120"/>
      <c r="O120"/>
    </row>
    <row r="121" spans="1:15" x14ac:dyDescent="0.35">
      <c r="A121"/>
      <c r="B121"/>
      <c r="C121"/>
      <c r="D121"/>
      <c r="E121"/>
      <c r="F121"/>
      <c r="G121"/>
      <c r="H121"/>
      <c r="I121"/>
      <c r="J121"/>
      <c r="K121"/>
      <c r="L121"/>
      <c r="M121"/>
      <c r="N121"/>
      <c r="O121"/>
    </row>
    <row r="122" spans="1:15" x14ac:dyDescent="0.35">
      <c r="A122"/>
      <c r="B122"/>
      <c r="C122"/>
      <c r="D122"/>
      <c r="E122"/>
      <c r="F122"/>
      <c r="G122"/>
      <c r="H122"/>
      <c r="I122"/>
      <c r="J122"/>
      <c r="K122"/>
      <c r="L122"/>
      <c r="M122"/>
      <c r="N122"/>
      <c r="O122"/>
    </row>
    <row r="123" spans="1:15" x14ac:dyDescent="0.35">
      <c r="A123"/>
      <c r="B123"/>
      <c r="C123"/>
      <c r="D123"/>
      <c r="E123"/>
      <c r="F123"/>
      <c r="G123"/>
      <c r="H123"/>
      <c r="I123"/>
      <c r="J123"/>
      <c r="K123"/>
      <c r="L123"/>
      <c r="M123"/>
      <c r="N123"/>
      <c r="O123"/>
    </row>
    <row r="124" spans="1:15" x14ac:dyDescent="0.35">
      <c r="A124"/>
      <c r="B124"/>
      <c r="C124"/>
      <c r="D124"/>
      <c r="E124"/>
      <c r="F124"/>
      <c r="G124"/>
      <c r="H124"/>
      <c r="I124"/>
      <c r="J124"/>
      <c r="K124"/>
      <c r="L124"/>
      <c r="M124"/>
      <c r="N124"/>
      <c r="O124"/>
    </row>
    <row r="125" spans="1:15" x14ac:dyDescent="0.35">
      <c r="A125"/>
      <c r="B125"/>
      <c r="C125"/>
      <c r="D125"/>
      <c r="E125"/>
      <c r="F125"/>
      <c r="G125"/>
      <c r="H125"/>
      <c r="I125"/>
      <c r="J125"/>
      <c r="K125"/>
      <c r="L125"/>
      <c r="M125"/>
      <c r="N125"/>
      <c r="O125"/>
    </row>
    <row r="126" spans="1:15" x14ac:dyDescent="0.35">
      <c r="A126"/>
      <c r="B126"/>
      <c r="C126"/>
      <c r="D126"/>
      <c r="E126"/>
      <c r="F126"/>
      <c r="G126"/>
      <c r="H126"/>
      <c r="I126"/>
      <c r="J126"/>
      <c r="K126"/>
      <c r="L126"/>
      <c r="M126"/>
      <c r="N126"/>
      <c r="O126"/>
    </row>
    <row r="127" spans="1:15" x14ac:dyDescent="0.35">
      <c r="A127"/>
      <c r="B127"/>
      <c r="C127"/>
      <c r="D127"/>
      <c r="E127"/>
      <c r="F127"/>
      <c r="G127"/>
      <c r="H127"/>
      <c r="I127"/>
      <c r="J127"/>
      <c r="K127"/>
      <c r="L127"/>
      <c r="M127"/>
      <c r="N127"/>
      <c r="O127"/>
    </row>
    <row r="128" spans="1:15" x14ac:dyDescent="0.35">
      <c r="A128"/>
      <c r="B128"/>
      <c r="C128"/>
      <c r="D128"/>
      <c r="E128"/>
      <c r="F128"/>
      <c r="G128"/>
      <c r="H128"/>
      <c r="I128"/>
      <c r="J128"/>
      <c r="K128"/>
      <c r="L128"/>
      <c r="M128"/>
      <c r="N128"/>
      <c r="O128"/>
    </row>
    <row r="129" spans="1:15" x14ac:dyDescent="0.35">
      <c r="A129"/>
      <c r="B129"/>
      <c r="C129"/>
      <c r="D129"/>
      <c r="E129"/>
      <c r="F129"/>
      <c r="G129"/>
      <c r="H129"/>
      <c r="I129"/>
      <c r="J129"/>
      <c r="K129"/>
      <c r="L129"/>
      <c r="M129"/>
      <c r="N129"/>
      <c r="O129"/>
    </row>
    <row r="130" spans="1:15" x14ac:dyDescent="0.35">
      <c r="A130"/>
      <c r="B130"/>
      <c r="C130"/>
      <c r="D130"/>
      <c r="E130"/>
      <c r="F130"/>
      <c r="G130"/>
      <c r="H130"/>
      <c r="I130"/>
      <c r="J130"/>
      <c r="K130"/>
      <c r="L130"/>
      <c r="M130"/>
      <c r="N130"/>
      <c r="O130"/>
    </row>
    <row r="131" spans="1:15" x14ac:dyDescent="0.35">
      <c r="A131"/>
      <c r="B131"/>
      <c r="C131"/>
      <c r="D131"/>
      <c r="E131"/>
      <c r="F131"/>
      <c r="G131"/>
      <c r="H131"/>
      <c r="I131"/>
      <c r="J131"/>
      <c r="K131"/>
      <c r="L131"/>
      <c r="M131"/>
      <c r="N131"/>
      <c r="O131"/>
    </row>
    <row r="132" spans="1:15" x14ac:dyDescent="0.35">
      <c r="A132"/>
      <c r="B132"/>
      <c r="C132"/>
      <c r="D132"/>
      <c r="E132"/>
      <c r="F132"/>
      <c r="G132"/>
      <c r="H132"/>
      <c r="I132"/>
      <c r="J132"/>
      <c r="K132"/>
      <c r="L132"/>
      <c r="M132"/>
      <c r="N132"/>
      <c r="O132"/>
    </row>
    <row r="133" spans="1:15" x14ac:dyDescent="0.35">
      <c r="A133"/>
      <c r="B133"/>
      <c r="C133"/>
      <c r="D133"/>
      <c r="E133"/>
      <c r="F133"/>
      <c r="G133"/>
      <c r="H133"/>
      <c r="I133"/>
      <c r="J133"/>
      <c r="K133"/>
      <c r="L133"/>
      <c r="M133"/>
      <c r="N133"/>
      <c r="O133"/>
    </row>
    <row r="134" spans="1:15" x14ac:dyDescent="0.35">
      <c r="A134"/>
      <c r="B134"/>
      <c r="C134"/>
      <c r="D134"/>
      <c r="E134"/>
      <c r="F134"/>
      <c r="G134"/>
      <c r="H134"/>
      <c r="I134"/>
      <c r="J134"/>
      <c r="K134"/>
      <c r="L134"/>
      <c r="M134"/>
      <c r="N134"/>
      <c r="O134"/>
    </row>
    <row r="135" spans="1:15" x14ac:dyDescent="0.35">
      <c r="A135"/>
      <c r="B135"/>
      <c r="C135"/>
      <c r="D135"/>
      <c r="E135"/>
      <c r="F135"/>
      <c r="G135"/>
      <c r="H135"/>
      <c r="I135"/>
      <c r="J135"/>
      <c r="K135"/>
      <c r="L135"/>
      <c r="M135"/>
      <c r="N135"/>
      <c r="O135"/>
    </row>
    <row r="136" spans="1:15" x14ac:dyDescent="0.35">
      <c r="A136"/>
      <c r="B136"/>
      <c r="C136"/>
      <c r="D136"/>
      <c r="E136"/>
      <c r="F136"/>
      <c r="G136"/>
      <c r="H136"/>
      <c r="I136"/>
      <c r="J136"/>
      <c r="K136"/>
      <c r="L136"/>
      <c r="M136"/>
      <c r="N136"/>
      <c r="O136"/>
    </row>
    <row r="137" spans="1:15" x14ac:dyDescent="0.35">
      <c r="A137"/>
      <c r="B137"/>
      <c r="C137"/>
      <c r="D137"/>
      <c r="E137"/>
      <c r="F137"/>
      <c r="G137"/>
      <c r="H137"/>
      <c r="I137"/>
      <c r="J137"/>
      <c r="K137"/>
      <c r="L137"/>
      <c r="M137"/>
      <c r="N137"/>
      <c r="O137"/>
    </row>
    <row r="138" spans="1:15" x14ac:dyDescent="0.35">
      <c r="A138"/>
      <c r="B138"/>
      <c r="C138"/>
      <c r="D138"/>
      <c r="E138"/>
      <c r="F138"/>
      <c r="G138"/>
      <c r="H138"/>
      <c r="I138"/>
      <c r="J138"/>
      <c r="K138"/>
      <c r="L138"/>
      <c r="M138"/>
      <c r="N138"/>
      <c r="O138"/>
    </row>
    <row r="139" spans="1:15" x14ac:dyDescent="0.35">
      <c r="A139"/>
      <c r="B139"/>
      <c r="C139"/>
      <c r="D139"/>
      <c r="E139"/>
      <c r="F139"/>
      <c r="G139"/>
      <c r="H139"/>
      <c r="I139"/>
      <c r="J139"/>
      <c r="K139"/>
      <c r="L139"/>
      <c r="M139"/>
      <c r="N139"/>
      <c r="O139"/>
    </row>
    <row r="140" spans="1:15" x14ac:dyDescent="0.35">
      <c r="A140"/>
      <c r="B140"/>
      <c r="C140"/>
      <c r="D140"/>
      <c r="E140"/>
      <c r="F140"/>
      <c r="G140"/>
      <c r="H140"/>
      <c r="I140"/>
      <c r="J140"/>
      <c r="K140"/>
      <c r="L140"/>
      <c r="M140"/>
      <c r="N140"/>
      <c r="O140"/>
    </row>
    <row r="141" spans="1:15" x14ac:dyDescent="0.35">
      <c r="A141"/>
      <c r="B141"/>
      <c r="C141"/>
      <c r="D141"/>
      <c r="E141"/>
      <c r="F141"/>
      <c r="G141"/>
      <c r="H141"/>
      <c r="I141"/>
      <c r="J141"/>
      <c r="K141"/>
      <c r="L141"/>
      <c r="M141"/>
      <c r="N141"/>
      <c r="O141"/>
    </row>
    <row r="142" spans="1:15" x14ac:dyDescent="0.35">
      <c r="A142"/>
      <c r="B142"/>
      <c r="C142"/>
      <c r="D142"/>
      <c r="E142"/>
      <c r="F142"/>
      <c r="G142"/>
      <c r="H142"/>
      <c r="I142"/>
      <c r="J142"/>
      <c r="K142"/>
      <c r="L142"/>
      <c r="M142"/>
      <c r="N142"/>
      <c r="O142"/>
    </row>
    <row r="143" spans="1:15" x14ac:dyDescent="0.35">
      <c r="A143"/>
      <c r="B143"/>
      <c r="C143"/>
      <c r="D143"/>
      <c r="E143"/>
      <c r="F143"/>
      <c r="G143"/>
      <c r="H143"/>
      <c r="I143"/>
      <c r="J143"/>
      <c r="K143"/>
      <c r="L143"/>
      <c r="M143"/>
      <c r="N143"/>
      <c r="O143"/>
    </row>
    <row r="144" spans="1:15" x14ac:dyDescent="0.35">
      <c r="A144"/>
      <c r="B144"/>
      <c r="C144"/>
      <c r="D144"/>
      <c r="E144"/>
      <c r="F144"/>
      <c r="G144"/>
      <c r="H144"/>
      <c r="I144"/>
      <c r="J144"/>
      <c r="K144"/>
      <c r="L144"/>
      <c r="M144"/>
      <c r="N144"/>
      <c r="O144"/>
    </row>
    <row r="145" spans="1:15" x14ac:dyDescent="0.35">
      <c r="A145"/>
      <c r="B145"/>
      <c r="C145"/>
      <c r="D145"/>
      <c r="E145"/>
      <c r="F145"/>
      <c r="G145"/>
      <c r="H145"/>
      <c r="I145"/>
      <c r="J145"/>
      <c r="K145"/>
      <c r="L145"/>
      <c r="M145"/>
      <c r="N145"/>
      <c r="O145"/>
    </row>
    <row r="146" spans="1:15" x14ac:dyDescent="0.35">
      <c r="A146"/>
      <c r="B146"/>
      <c r="C146"/>
      <c r="D146"/>
      <c r="E146"/>
      <c r="F146"/>
      <c r="G146"/>
      <c r="H146"/>
      <c r="I146"/>
      <c r="J146"/>
      <c r="K146"/>
      <c r="L146"/>
      <c r="M146"/>
      <c r="N146"/>
      <c r="O146"/>
    </row>
    <row r="147" spans="1:15" x14ac:dyDescent="0.35">
      <c r="A147"/>
      <c r="B147"/>
      <c r="C147"/>
      <c r="D147"/>
      <c r="E147"/>
      <c r="F147"/>
      <c r="G147"/>
      <c r="H147"/>
      <c r="I147"/>
      <c r="J147"/>
      <c r="K147"/>
      <c r="L147"/>
      <c r="M147"/>
      <c r="N147"/>
      <c r="O147"/>
    </row>
    <row r="148" spans="1:15" x14ac:dyDescent="0.35">
      <c r="A148"/>
      <c r="B148"/>
      <c r="C148"/>
      <c r="D148"/>
      <c r="E148"/>
      <c r="F148"/>
      <c r="G148"/>
      <c r="H148"/>
      <c r="I148"/>
      <c r="J148"/>
      <c r="K148"/>
      <c r="L148"/>
      <c r="M148"/>
      <c r="N148"/>
      <c r="O148"/>
    </row>
    <row r="149" spans="1:15" x14ac:dyDescent="0.35">
      <c r="A149"/>
      <c r="B149"/>
      <c r="C149"/>
      <c r="D149"/>
      <c r="E149"/>
      <c r="F149"/>
      <c r="G149"/>
      <c r="H149"/>
      <c r="I149"/>
      <c r="J149"/>
      <c r="K149"/>
      <c r="L149"/>
      <c r="M149"/>
      <c r="N149"/>
      <c r="O149"/>
    </row>
    <row r="150" spans="1:15" x14ac:dyDescent="0.35">
      <c r="A150"/>
      <c r="B150"/>
      <c r="C150"/>
      <c r="D150"/>
      <c r="E150"/>
      <c r="F150"/>
      <c r="G150"/>
      <c r="H150"/>
      <c r="I150"/>
      <c r="J150"/>
      <c r="K150"/>
      <c r="L150"/>
      <c r="M150"/>
      <c r="N150"/>
      <c r="O150"/>
    </row>
    <row r="151" spans="1:15" x14ac:dyDescent="0.35">
      <c r="A151"/>
      <c r="B151"/>
      <c r="C151"/>
      <c r="D151"/>
      <c r="E151"/>
      <c r="F151"/>
      <c r="G151"/>
      <c r="H151"/>
      <c r="I151"/>
      <c r="J151"/>
      <c r="K151"/>
      <c r="L151"/>
      <c r="M151"/>
      <c r="N151"/>
      <c r="O151"/>
    </row>
    <row r="152" spans="1:15" x14ac:dyDescent="0.35">
      <c r="A152"/>
      <c r="B152"/>
      <c r="C152"/>
      <c r="D152"/>
      <c r="E152"/>
      <c r="F152"/>
      <c r="G152"/>
      <c r="H152"/>
      <c r="I152"/>
      <c r="J152"/>
      <c r="K152"/>
      <c r="L152"/>
      <c r="M152"/>
      <c r="N152"/>
      <c r="O152"/>
    </row>
    <row r="153" spans="1:15" x14ac:dyDescent="0.35">
      <c r="A153"/>
      <c r="B153"/>
      <c r="C153"/>
      <c r="D153"/>
      <c r="E153"/>
      <c r="F153"/>
      <c r="G153"/>
      <c r="H153"/>
      <c r="I153"/>
      <c r="J153"/>
      <c r="K153"/>
      <c r="L153"/>
      <c r="M153"/>
      <c r="N153"/>
      <c r="O153"/>
    </row>
    <row r="154" spans="1:15" x14ac:dyDescent="0.35">
      <c r="A154"/>
      <c r="B154"/>
      <c r="C154"/>
      <c r="D154"/>
      <c r="E154"/>
      <c r="F154"/>
      <c r="G154"/>
      <c r="H154"/>
      <c r="I154"/>
      <c r="J154"/>
      <c r="K154"/>
      <c r="L154"/>
      <c r="M154"/>
      <c r="N154"/>
      <c r="O154"/>
    </row>
    <row r="155" spans="1:15" x14ac:dyDescent="0.35">
      <c r="A155"/>
      <c r="B155"/>
      <c r="C155"/>
      <c r="D155"/>
      <c r="E155"/>
      <c r="F155"/>
      <c r="G155"/>
      <c r="H155"/>
      <c r="I155"/>
      <c r="J155"/>
      <c r="K155"/>
      <c r="L155"/>
      <c r="M155"/>
      <c r="N155"/>
      <c r="O155"/>
    </row>
    <row r="156" spans="1:15" x14ac:dyDescent="0.35">
      <c r="A156"/>
      <c r="B156"/>
      <c r="C156"/>
      <c r="D156"/>
      <c r="E156"/>
      <c r="F156"/>
      <c r="G156"/>
      <c r="H156"/>
      <c r="I156"/>
      <c r="J156"/>
      <c r="K156"/>
      <c r="L156"/>
      <c r="M156"/>
      <c r="N156"/>
      <c r="O156"/>
    </row>
    <row r="157" spans="1:15" x14ac:dyDescent="0.35">
      <c r="A157"/>
      <c r="B157"/>
      <c r="C157"/>
      <c r="D157"/>
      <c r="E157"/>
      <c r="F157"/>
      <c r="G157"/>
      <c r="H157"/>
      <c r="I157"/>
      <c r="J157"/>
      <c r="K157"/>
      <c r="L157"/>
      <c r="M157"/>
      <c r="N157"/>
      <c r="O157"/>
    </row>
    <row r="158" spans="1:15" x14ac:dyDescent="0.35">
      <c r="A158"/>
      <c r="B158"/>
      <c r="C158"/>
      <c r="D158"/>
      <c r="E158"/>
      <c r="F158"/>
      <c r="G158"/>
      <c r="H158"/>
      <c r="I158"/>
      <c r="J158"/>
      <c r="K158"/>
      <c r="L158"/>
      <c r="M158"/>
      <c r="N158"/>
      <c r="O158"/>
    </row>
    <row r="159" spans="1:15" x14ac:dyDescent="0.35">
      <c r="A159"/>
      <c r="B159"/>
      <c r="C159"/>
      <c r="D159"/>
      <c r="E159"/>
      <c r="F159"/>
      <c r="G159"/>
      <c r="H159"/>
      <c r="I159"/>
      <c r="J159"/>
      <c r="K159"/>
      <c r="L159"/>
      <c r="M159"/>
      <c r="N159"/>
      <c r="O159"/>
    </row>
    <row r="160" spans="1:15" x14ac:dyDescent="0.35">
      <c r="A160"/>
      <c r="B160"/>
      <c r="C160"/>
      <c r="D160"/>
      <c r="E160"/>
      <c r="F160"/>
      <c r="G160"/>
      <c r="H160"/>
      <c r="I160"/>
      <c r="J160"/>
      <c r="K160"/>
      <c r="L160"/>
      <c r="M160"/>
      <c r="N160"/>
      <c r="O160"/>
    </row>
    <row r="161" spans="1:15" x14ac:dyDescent="0.35">
      <c r="A161"/>
      <c r="B161"/>
      <c r="C161"/>
      <c r="D161"/>
      <c r="E161"/>
      <c r="F161"/>
      <c r="G161"/>
      <c r="H161"/>
      <c r="I161"/>
      <c r="J161"/>
      <c r="K161"/>
      <c r="L161"/>
      <c r="M161"/>
      <c r="N161"/>
      <c r="O161"/>
    </row>
    <row r="162" spans="1:15" x14ac:dyDescent="0.35">
      <c r="A162"/>
      <c r="B162"/>
      <c r="C162"/>
      <c r="D162"/>
      <c r="E162"/>
      <c r="F162"/>
      <c r="G162"/>
      <c r="H162"/>
      <c r="I162"/>
      <c r="J162"/>
      <c r="K162"/>
      <c r="L162"/>
      <c r="M162"/>
      <c r="N162"/>
      <c r="O162"/>
    </row>
    <row r="163" spans="1:15" x14ac:dyDescent="0.35">
      <c r="A163"/>
      <c r="B163"/>
      <c r="C163"/>
      <c r="D163"/>
      <c r="E163"/>
      <c r="F163"/>
      <c r="G163"/>
      <c r="H163"/>
      <c r="I163"/>
      <c r="J163"/>
      <c r="K163"/>
      <c r="L163"/>
      <c r="M163"/>
      <c r="N163"/>
      <c r="O163"/>
    </row>
    <row r="164" spans="1:15" x14ac:dyDescent="0.35">
      <c r="A164"/>
      <c r="B164"/>
      <c r="C164"/>
      <c r="D164"/>
      <c r="E164"/>
      <c r="F164"/>
      <c r="G164"/>
      <c r="H164"/>
      <c r="I164"/>
      <c r="J164"/>
      <c r="K164"/>
      <c r="L164"/>
      <c r="M164"/>
      <c r="N164"/>
      <c r="O164"/>
    </row>
    <row r="165" spans="1:15" x14ac:dyDescent="0.35">
      <c r="A165"/>
      <c r="B165"/>
      <c r="C165"/>
      <c r="D165"/>
      <c r="E165"/>
      <c r="F165"/>
      <c r="G165"/>
      <c r="H165"/>
      <c r="I165"/>
      <c r="J165"/>
      <c r="K165"/>
      <c r="L165"/>
      <c r="M165"/>
      <c r="N165"/>
      <c r="O165"/>
    </row>
    <row r="166" spans="1:15" x14ac:dyDescent="0.35">
      <c r="A166"/>
      <c r="B166"/>
      <c r="C166"/>
      <c r="D166"/>
      <c r="E166"/>
      <c r="F166"/>
      <c r="G166"/>
      <c r="H166"/>
      <c r="I166"/>
      <c r="J166"/>
      <c r="K166"/>
      <c r="L166"/>
      <c r="M166"/>
      <c r="N166"/>
      <c r="O166"/>
    </row>
    <row r="167" spans="1:15" x14ac:dyDescent="0.35">
      <c r="A167"/>
      <c r="B167"/>
      <c r="C167"/>
      <c r="D167"/>
      <c r="E167"/>
      <c r="F167"/>
      <c r="G167"/>
      <c r="H167"/>
      <c r="I167"/>
      <c r="J167"/>
      <c r="K167"/>
      <c r="L167"/>
      <c r="M167"/>
      <c r="N167"/>
      <c r="O167"/>
    </row>
    <row r="168" spans="1:15" x14ac:dyDescent="0.35">
      <c r="A168"/>
      <c r="B168"/>
      <c r="C168"/>
      <c r="D168"/>
      <c r="E168"/>
      <c r="F168"/>
      <c r="G168"/>
      <c r="H168"/>
      <c r="I168"/>
      <c r="J168"/>
      <c r="K168"/>
      <c r="L168"/>
      <c r="M168"/>
      <c r="N168"/>
      <c r="O168"/>
    </row>
    <row r="169" spans="1:15" x14ac:dyDescent="0.35">
      <c r="A169"/>
      <c r="B169"/>
      <c r="C169"/>
      <c r="D169"/>
      <c r="E169"/>
      <c r="F169"/>
      <c r="G169"/>
      <c r="H169"/>
      <c r="I169"/>
      <c r="J169"/>
      <c r="K169"/>
      <c r="L169"/>
      <c r="M169"/>
      <c r="N169"/>
      <c r="O169"/>
    </row>
    <row r="170" spans="1:15" x14ac:dyDescent="0.35">
      <c r="A170"/>
      <c r="B170"/>
      <c r="C170"/>
      <c r="D170"/>
      <c r="E170"/>
      <c r="F170"/>
      <c r="G170"/>
      <c r="H170"/>
      <c r="I170"/>
      <c r="J170"/>
      <c r="K170"/>
      <c r="L170"/>
      <c r="M170"/>
      <c r="N170"/>
      <c r="O170"/>
    </row>
    <row r="171" spans="1:15" x14ac:dyDescent="0.35">
      <c r="A171"/>
      <c r="B171"/>
      <c r="C171"/>
      <c r="D171"/>
      <c r="E171"/>
      <c r="F171"/>
      <c r="G171"/>
      <c r="H171"/>
      <c r="I171"/>
      <c r="J171"/>
      <c r="K171"/>
      <c r="L171"/>
      <c r="M171"/>
      <c r="N171"/>
      <c r="O171"/>
    </row>
    <row r="172" spans="1:15" x14ac:dyDescent="0.35">
      <c r="A172"/>
      <c r="B172"/>
      <c r="C172"/>
      <c r="D172"/>
      <c r="E172"/>
      <c r="F172"/>
      <c r="G172"/>
      <c r="H172"/>
      <c r="I172"/>
      <c r="J172"/>
      <c r="K172"/>
      <c r="L172"/>
      <c r="M172"/>
      <c r="N172"/>
      <c r="O172"/>
    </row>
    <row r="173" spans="1:15" x14ac:dyDescent="0.35">
      <c r="A173"/>
      <c r="B173"/>
      <c r="C173"/>
      <c r="D173"/>
      <c r="E173"/>
      <c r="F173"/>
      <c r="G173"/>
      <c r="H173"/>
      <c r="I173"/>
      <c r="J173"/>
      <c r="K173"/>
      <c r="L173"/>
      <c r="M173"/>
      <c r="N173"/>
      <c r="O173"/>
    </row>
    <row r="174" spans="1:15" x14ac:dyDescent="0.35">
      <c r="A174"/>
      <c r="B174"/>
      <c r="C174"/>
      <c r="D174"/>
      <c r="E174"/>
      <c r="F174"/>
      <c r="G174"/>
      <c r="H174"/>
      <c r="I174"/>
      <c r="J174"/>
      <c r="K174"/>
      <c r="L174"/>
      <c r="M174"/>
      <c r="N174"/>
      <c r="O174"/>
    </row>
    <row r="175" spans="1:15" x14ac:dyDescent="0.35">
      <c r="A175"/>
      <c r="B175"/>
      <c r="C175"/>
      <c r="D175"/>
      <c r="E175"/>
      <c r="F175"/>
      <c r="G175"/>
      <c r="H175"/>
      <c r="I175"/>
      <c r="J175"/>
      <c r="K175"/>
      <c r="L175"/>
      <c r="M175"/>
      <c r="N175"/>
      <c r="O175"/>
    </row>
    <row r="176" spans="1:15" x14ac:dyDescent="0.35">
      <c r="A176"/>
      <c r="B176"/>
      <c r="C176"/>
      <c r="D176"/>
      <c r="E176"/>
      <c r="F176"/>
      <c r="G176"/>
      <c r="H176"/>
      <c r="I176"/>
      <c r="J176"/>
      <c r="K176"/>
      <c r="L176"/>
      <c r="M176"/>
      <c r="N176"/>
      <c r="O176"/>
    </row>
    <row r="177" spans="1:15" x14ac:dyDescent="0.35">
      <c r="A177"/>
      <c r="B177"/>
      <c r="C177"/>
      <c r="D177"/>
      <c r="E177"/>
      <c r="F177"/>
      <c r="G177"/>
      <c r="H177"/>
      <c r="I177"/>
      <c r="J177"/>
      <c r="K177"/>
      <c r="L177"/>
      <c r="M177"/>
      <c r="N177"/>
      <c r="O177"/>
    </row>
    <row r="178" spans="1:15" x14ac:dyDescent="0.35">
      <c r="A178"/>
      <c r="B178"/>
      <c r="C178"/>
      <c r="D178"/>
      <c r="E178"/>
      <c r="F178"/>
      <c r="G178"/>
      <c r="H178"/>
      <c r="I178"/>
      <c r="J178"/>
      <c r="K178"/>
      <c r="L178"/>
      <c r="M178"/>
      <c r="N178"/>
      <c r="O178"/>
    </row>
    <row r="179" spans="1:15" x14ac:dyDescent="0.35">
      <c r="A179"/>
      <c r="B179"/>
      <c r="C179"/>
      <c r="D179"/>
      <c r="E179"/>
      <c r="F179"/>
      <c r="G179"/>
      <c r="H179"/>
      <c r="I179"/>
      <c r="J179"/>
      <c r="K179"/>
      <c r="L179"/>
      <c r="M179"/>
      <c r="N179"/>
      <c r="O179"/>
    </row>
    <row r="180" spans="1:15" x14ac:dyDescent="0.35">
      <c r="A180"/>
      <c r="B180"/>
      <c r="C180"/>
      <c r="D180"/>
      <c r="E180"/>
      <c r="F180"/>
      <c r="G180"/>
      <c r="H180"/>
      <c r="I180"/>
      <c r="J180"/>
      <c r="K180"/>
      <c r="L180"/>
      <c r="M180"/>
      <c r="N180"/>
      <c r="O180"/>
    </row>
    <row r="181" spans="1:15" x14ac:dyDescent="0.35">
      <c r="A181"/>
      <c r="B181"/>
      <c r="C181"/>
      <c r="D181"/>
      <c r="E181"/>
      <c r="F181"/>
      <c r="G181"/>
      <c r="H181"/>
      <c r="I181"/>
      <c r="J181"/>
      <c r="K181"/>
      <c r="L181"/>
      <c r="M181"/>
      <c r="N181"/>
      <c r="O181"/>
    </row>
    <row r="182" spans="1:15" x14ac:dyDescent="0.35">
      <c r="A182"/>
      <c r="B182"/>
      <c r="C182"/>
      <c r="D182"/>
      <c r="E182"/>
      <c r="F182"/>
      <c r="G182"/>
      <c r="H182"/>
      <c r="I182"/>
      <c r="J182"/>
      <c r="K182"/>
      <c r="L182"/>
      <c r="M182"/>
      <c r="N182"/>
      <c r="O182"/>
    </row>
    <row r="183" spans="1:15" x14ac:dyDescent="0.35">
      <c r="A183"/>
      <c r="B183"/>
      <c r="C183"/>
      <c r="D183"/>
      <c r="E183"/>
      <c r="F183"/>
      <c r="G183"/>
      <c r="H183"/>
      <c r="I183"/>
      <c r="J183"/>
      <c r="K183"/>
      <c r="L183"/>
      <c r="M183"/>
      <c r="N183"/>
      <c r="O183"/>
    </row>
    <row r="184" spans="1:15" x14ac:dyDescent="0.35">
      <c r="A184"/>
      <c r="B184"/>
      <c r="C184"/>
      <c r="D184"/>
      <c r="E184"/>
      <c r="F184"/>
      <c r="G184"/>
      <c r="H184"/>
      <c r="I184"/>
      <c r="J184"/>
      <c r="K184"/>
      <c r="L184"/>
      <c r="M184"/>
      <c r="N184"/>
      <c r="O184"/>
    </row>
    <row r="185" spans="1:15" x14ac:dyDescent="0.35">
      <c r="A185"/>
      <c r="B185"/>
      <c r="C185"/>
      <c r="D185"/>
      <c r="E185"/>
      <c r="F185"/>
      <c r="G185"/>
      <c r="H185"/>
      <c r="I185"/>
      <c r="J185"/>
      <c r="K185"/>
      <c r="L185"/>
      <c r="M185"/>
      <c r="N185"/>
      <c r="O185"/>
    </row>
    <row r="186" spans="1:15" x14ac:dyDescent="0.35">
      <c r="A186"/>
      <c r="B186"/>
      <c r="C186"/>
      <c r="D186"/>
      <c r="E186"/>
      <c r="F186"/>
      <c r="G186"/>
      <c r="H186"/>
      <c r="I186"/>
      <c r="J186"/>
      <c r="K186"/>
      <c r="L186"/>
      <c r="M186"/>
      <c r="N186"/>
      <c r="O186"/>
    </row>
    <row r="187" spans="1:15" x14ac:dyDescent="0.35">
      <c r="A187"/>
      <c r="B187"/>
      <c r="C187"/>
      <c r="D187"/>
      <c r="E187"/>
      <c r="F187"/>
      <c r="G187"/>
      <c r="H187"/>
      <c r="I187"/>
      <c r="J187"/>
      <c r="K187"/>
      <c r="L187"/>
      <c r="M187"/>
      <c r="N187"/>
      <c r="O187"/>
    </row>
    <row r="188" spans="1:15" x14ac:dyDescent="0.35">
      <c r="A188"/>
      <c r="B188"/>
      <c r="C188"/>
      <c r="D188"/>
      <c r="E188"/>
      <c r="F188"/>
      <c r="G188"/>
      <c r="H188"/>
      <c r="I188"/>
      <c r="J188"/>
      <c r="K188"/>
      <c r="L188"/>
      <c r="M188"/>
      <c r="N188"/>
      <c r="O188"/>
    </row>
    <row r="189" spans="1:15" x14ac:dyDescent="0.35">
      <c r="A189"/>
      <c r="B189"/>
      <c r="C189"/>
      <c r="D189"/>
      <c r="E189"/>
      <c r="F189"/>
      <c r="G189"/>
      <c r="H189"/>
      <c r="I189"/>
      <c r="J189"/>
      <c r="K189"/>
      <c r="L189"/>
      <c r="M189"/>
      <c r="N189"/>
      <c r="O189"/>
    </row>
    <row r="190" spans="1:15" x14ac:dyDescent="0.35">
      <c r="A190"/>
      <c r="B190"/>
      <c r="C190"/>
      <c r="D190"/>
      <c r="E190"/>
      <c r="F190"/>
      <c r="G190"/>
      <c r="H190"/>
      <c r="I190"/>
      <c r="J190"/>
      <c r="K190"/>
      <c r="L190"/>
      <c r="M190"/>
      <c r="N190"/>
      <c r="O190"/>
    </row>
    <row r="191" spans="1:15" x14ac:dyDescent="0.35">
      <c r="A191"/>
      <c r="B191"/>
      <c r="C191"/>
      <c r="D191"/>
      <c r="E191"/>
      <c r="F191"/>
      <c r="G191"/>
      <c r="H191"/>
      <c r="I191"/>
      <c r="J191"/>
      <c r="K191"/>
      <c r="L191"/>
      <c r="M191"/>
      <c r="N191"/>
      <c r="O191"/>
    </row>
    <row r="192" spans="1:15" x14ac:dyDescent="0.35">
      <c r="A192"/>
      <c r="B192"/>
      <c r="C192"/>
      <c r="D192"/>
      <c r="E192"/>
      <c r="F192"/>
      <c r="G192"/>
      <c r="H192"/>
      <c r="I192"/>
      <c r="J192"/>
      <c r="K192"/>
      <c r="L192"/>
      <c r="M192"/>
      <c r="N192"/>
      <c r="O192"/>
    </row>
    <row r="193" spans="1:15" x14ac:dyDescent="0.35">
      <c r="A193"/>
      <c r="B193"/>
      <c r="C193"/>
      <c r="D193"/>
      <c r="E193"/>
      <c r="F193"/>
      <c r="G193"/>
      <c r="H193"/>
      <c r="I193"/>
      <c r="J193"/>
      <c r="K193"/>
      <c r="L193"/>
      <c r="M193"/>
      <c r="N193"/>
      <c r="O193"/>
    </row>
    <row r="194" spans="1:15" x14ac:dyDescent="0.35">
      <c r="A194"/>
      <c r="B194"/>
      <c r="C194"/>
      <c r="D194"/>
      <c r="E194"/>
      <c r="F194"/>
      <c r="G194"/>
      <c r="H194"/>
      <c r="I194"/>
      <c r="J194"/>
      <c r="K194"/>
      <c r="L194"/>
      <c r="M194"/>
      <c r="N194"/>
      <c r="O194"/>
    </row>
    <row r="195" spans="1:15" x14ac:dyDescent="0.35">
      <c r="A195"/>
      <c r="B195"/>
      <c r="C195"/>
      <c r="D195"/>
      <c r="E195"/>
      <c r="F195"/>
      <c r="G195"/>
      <c r="H195"/>
      <c r="I195"/>
      <c r="J195"/>
      <c r="K195"/>
      <c r="L195"/>
      <c r="M195"/>
      <c r="N195"/>
      <c r="O195"/>
    </row>
    <row r="196" spans="1:15" x14ac:dyDescent="0.35">
      <c r="A196"/>
      <c r="B196"/>
      <c r="C196"/>
      <c r="D196"/>
      <c r="E196"/>
      <c r="F196"/>
      <c r="G196"/>
      <c r="H196"/>
      <c r="I196"/>
      <c r="J196"/>
      <c r="K196"/>
      <c r="L196"/>
      <c r="M196"/>
      <c r="N196"/>
      <c r="O196"/>
    </row>
    <row r="197" spans="1:15" x14ac:dyDescent="0.35">
      <c r="A197"/>
      <c r="B197"/>
      <c r="C197"/>
      <c r="D197"/>
      <c r="E197"/>
      <c r="F197"/>
      <c r="G197"/>
      <c r="H197"/>
      <c r="I197"/>
      <c r="J197"/>
      <c r="K197"/>
      <c r="L197"/>
      <c r="M197"/>
      <c r="N197"/>
      <c r="O197"/>
    </row>
    <row r="198" spans="1:15" x14ac:dyDescent="0.35">
      <c r="A198"/>
      <c r="B198"/>
      <c r="C198"/>
      <c r="D198"/>
      <c r="E198"/>
      <c r="F198"/>
      <c r="G198"/>
      <c r="H198"/>
      <c r="I198"/>
      <c r="J198"/>
      <c r="K198"/>
      <c r="L198"/>
      <c r="M198"/>
      <c r="N198"/>
      <c r="O198"/>
    </row>
    <row r="199" spans="1:15" x14ac:dyDescent="0.35">
      <c r="A199"/>
      <c r="B199"/>
      <c r="C199"/>
      <c r="D199"/>
      <c r="E199"/>
      <c r="F199"/>
      <c r="G199"/>
      <c r="H199"/>
      <c r="I199"/>
      <c r="J199"/>
      <c r="K199"/>
      <c r="L199"/>
      <c r="M199"/>
      <c r="N199"/>
      <c r="O199"/>
    </row>
    <row r="200" spans="1:15" x14ac:dyDescent="0.35">
      <c r="A200"/>
      <c r="B200"/>
      <c r="C200"/>
      <c r="D200"/>
      <c r="E200"/>
      <c r="F200"/>
      <c r="G200"/>
      <c r="H200"/>
      <c r="I200"/>
      <c r="J200"/>
      <c r="K200"/>
      <c r="L200"/>
      <c r="M200"/>
      <c r="N200"/>
      <c r="O200"/>
    </row>
    <row r="201" spans="1:15" x14ac:dyDescent="0.35">
      <c r="A201"/>
      <c r="B201"/>
      <c r="C201"/>
      <c r="D201"/>
      <c r="E201"/>
      <c r="F201"/>
      <c r="G201"/>
      <c r="H201"/>
      <c r="I201"/>
      <c r="J201"/>
      <c r="K201"/>
      <c r="L201"/>
      <c r="M201"/>
      <c r="N201"/>
      <c r="O201"/>
    </row>
    <row r="202" spans="1:15" x14ac:dyDescent="0.35">
      <c r="A202"/>
      <c r="B202"/>
      <c r="C202"/>
      <c r="D202"/>
      <c r="E202"/>
      <c r="F202"/>
      <c r="G202"/>
      <c r="H202"/>
      <c r="I202"/>
      <c r="J202"/>
      <c r="K202"/>
      <c r="L202"/>
      <c r="M202"/>
      <c r="N202"/>
      <c r="O202"/>
    </row>
    <row r="203" spans="1:15" x14ac:dyDescent="0.35">
      <c r="A203"/>
      <c r="B203"/>
      <c r="C203"/>
      <c r="D203"/>
      <c r="E203"/>
      <c r="F203"/>
      <c r="G203"/>
      <c r="H203"/>
      <c r="I203"/>
      <c r="J203"/>
      <c r="K203"/>
      <c r="L203"/>
      <c r="M203"/>
      <c r="N203"/>
      <c r="O203"/>
    </row>
    <row r="204" spans="1:15" x14ac:dyDescent="0.35">
      <c r="A204"/>
      <c r="B204"/>
      <c r="C204"/>
      <c r="D204"/>
      <c r="E204"/>
      <c r="F204"/>
      <c r="G204"/>
      <c r="H204"/>
      <c r="I204"/>
      <c r="J204"/>
      <c r="K204"/>
      <c r="L204"/>
      <c r="M204"/>
      <c r="N204"/>
      <c r="O204"/>
    </row>
    <row r="205" spans="1:15" x14ac:dyDescent="0.35">
      <c r="A205"/>
      <c r="B205"/>
      <c r="C205"/>
      <c r="D205"/>
      <c r="E205"/>
      <c r="F205"/>
      <c r="G205"/>
      <c r="H205"/>
      <c r="I205"/>
      <c r="J205"/>
      <c r="K205"/>
      <c r="L205"/>
      <c r="M205"/>
      <c r="N205"/>
      <c r="O205"/>
    </row>
    <row r="206" spans="1:15" x14ac:dyDescent="0.35">
      <c r="A206"/>
      <c r="B206"/>
      <c r="C206"/>
      <c r="D206"/>
      <c r="E206"/>
      <c r="F206"/>
      <c r="G206"/>
      <c r="H206"/>
      <c r="I206"/>
      <c r="J206"/>
      <c r="K206"/>
      <c r="L206"/>
      <c r="M206"/>
      <c r="N206"/>
      <c r="O206"/>
    </row>
    <row r="207" spans="1:15" x14ac:dyDescent="0.35">
      <c r="A207"/>
      <c r="B207"/>
      <c r="C207"/>
      <c r="D207"/>
      <c r="E207"/>
      <c r="F207"/>
      <c r="G207"/>
      <c r="H207"/>
      <c r="I207"/>
      <c r="J207"/>
      <c r="K207"/>
      <c r="L207"/>
      <c r="M207"/>
      <c r="N207"/>
      <c r="O207"/>
    </row>
    <row r="208" spans="1:15" x14ac:dyDescent="0.35">
      <c r="A208"/>
      <c r="B208"/>
      <c r="C208"/>
      <c r="D208"/>
      <c r="E208"/>
      <c r="F208"/>
      <c r="G208"/>
      <c r="H208"/>
      <c r="I208"/>
      <c r="J208"/>
      <c r="K208"/>
      <c r="L208"/>
      <c r="M208"/>
      <c r="N208"/>
      <c r="O208"/>
    </row>
    <row r="209" spans="1:15" x14ac:dyDescent="0.35">
      <c r="A209"/>
      <c r="B209"/>
      <c r="C209"/>
      <c r="D209"/>
      <c r="E209"/>
      <c r="F209"/>
      <c r="G209"/>
      <c r="H209"/>
      <c r="I209"/>
      <c r="J209"/>
      <c r="K209"/>
      <c r="L209"/>
      <c r="M209"/>
      <c r="N209"/>
      <c r="O209"/>
    </row>
    <row r="210" spans="1:15" x14ac:dyDescent="0.35">
      <c r="A210"/>
      <c r="B210"/>
      <c r="C210"/>
      <c r="D210"/>
      <c r="E210"/>
      <c r="F210"/>
      <c r="G210"/>
      <c r="H210"/>
      <c r="I210"/>
      <c r="J210"/>
      <c r="K210"/>
      <c r="L210"/>
      <c r="M210"/>
      <c r="N210"/>
      <c r="O210"/>
    </row>
    <row r="211" spans="1:15" x14ac:dyDescent="0.35">
      <c r="A211"/>
      <c r="B211"/>
      <c r="C211"/>
      <c r="D211"/>
      <c r="E211"/>
      <c r="F211"/>
      <c r="G211"/>
      <c r="H211"/>
      <c r="I211"/>
      <c r="J211"/>
      <c r="K211"/>
      <c r="L211"/>
      <c r="M211"/>
      <c r="N211"/>
      <c r="O211"/>
    </row>
    <row r="212" spans="1:15" x14ac:dyDescent="0.35">
      <c r="A212"/>
      <c r="B212"/>
      <c r="C212"/>
      <c r="D212"/>
      <c r="E212"/>
      <c r="F212"/>
      <c r="G212"/>
      <c r="H212"/>
      <c r="I212"/>
      <c r="J212"/>
      <c r="K212"/>
      <c r="L212"/>
      <c r="M212"/>
      <c r="N212"/>
      <c r="O212"/>
    </row>
    <row r="213" spans="1:15" x14ac:dyDescent="0.35">
      <c r="A213"/>
      <c r="B213"/>
      <c r="C213"/>
      <c r="D213"/>
      <c r="E213"/>
      <c r="F213"/>
      <c r="G213"/>
      <c r="H213"/>
      <c r="I213"/>
      <c r="J213"/>
      <c r="K213"/>
      <c r="L213"/>
      <c r="M213"/>
      <c r="N213"/>
      <c r="O213"/>
    </row>
    <row r="214" spans="1:15" x14ac:dyDescent="0.35">
      <c r="A214"/>
      <c r="B214"/>
      <c r="C214"/>
      <c r="D214"/>
      <c r="E214"/>
      <c r="F214"/>
      <c r="G214"/>
      <c r="H214"/>
      <c r="I214"/>
      <c r="J214"/>
      <c r="K214"/>
      <c r="L214"/>
      <c r="M214"/>
      <c r="N214"/>
      <c r="O214"/>
    </row>
    <row r="215" spans="1:15" x14ac:dyDescent="0.35">
      <c r="A215"/>
      <c r="B215"/>
      <c r="C215"/>
      <c r="D215"/>
      <c r="E215"/>
      <c r="F215"/>
      <c r="G215"/>
      <c r="H215"/>
      <c r="I215"/>
      <c r="J215"/>
      <c r="K215"/>
      <c r="L215"/>
      <c r="M215"/>
      <c r="N215"/>
      <c r="O215"/>
    </row>
    <row r="216" spans="1:15" x14ac:dyDescent="0.35">
      <c r="A216"/>
      <c r="B216"/>
      <c r="C216"/>
      <c r="D216"/>
      <c r="E216"/>
      <c r="F216"/>
      <c r="G216"/>
      <c r="H216"/>
      <c r="I216"/>
      <c r="J216"/>
      <c r="K216"/>
      <c r="L216"/>
      <c r="M216"/>
      <c r="N216"/>
      <c r="O216"/>
    </row>
    <row r="217" spans="1:15" x14ac:dyDescent="0.35">
      <c r="A217"/>
      <c r="B217"/>
      <c r="C217"/>
      <c r="D217"/>
      <c r="E217"/>
      <c r="F217"/>
      <c r="G217"/>
      <c r="H217"/>
      <c r="I217"/>
      <c r="J217"/>
      <c r="K217"/>
      <c r="L217"/>
      <c r="M217"/>
      <c r="N217"/>
      <c r="O217"/>
    </row>
    <row r="218" spans="1:15" x14ac:dyDescent="0.35">
      <c r="A218"/>
      <c r="B218"/>
      <c r="C218"/>
      <c r="D218"/>
      <c r="E218"/>
      <c r="F218"/>
      <c r="G218"/>
      <c r="H218"/>
      <c r="I218"/>
      <c r="J218"/>
      <c r="K218"/>
      <c r="L218"/>
      <c r="M218"/>
      <c r="N218"/>
      <c r="O218"/>
    </row>
    <row r="219" spans="1:15" x14ac:dyDescent="0.35">
      <c r="A219"/>
      <c r="B219"/>
      <c r="C219"/>
      <c r="D219"/>
      <c r="E219"/>
      <c r="F219"/>
      <c r="G219"/>
      <c r="H219"/>
      <c r="I219"/>
      <c r="J219"/>
      <c r="K219"/>
      <c r="L219"/>
      <c r="M219"/>
      <c r="N219"/>
      <c r="O219"/>
    </row>
    <row r="220" spans="1:15" x14ac:dyDescent="0.35">
      <c r="A220"/>
      <c r="B220"/>
      <c r="C220"/>
      <c r="D220"/>
      <c r="E220"/>
      <c r="F220"/>
      <c r="G220"/>
      <c r="H220"/>
      <c r="I220"/>
      <c r="J220"/>
      <c r="K220"/>
      <c r="L220"/>
      <c r="M220"/>
      <c r="N220"/>
      <c r="O220"/>
    </row>
    <row r="221" spans="1:15" x14ac:dyDescent="0.35">
      <c r="A221"/>
      <c r="B221"/>
      <c r="C221"/>
      <c r="D221"/>
      <c r="E221"/>
      <c r="F221"/>
      <c r="G221"/>
      <c r="H221"/>
      <c r="I221"/>
      <c r="J221"/>
      <c r="K221"/>
      <c r="L221"/>
      <c r="M221"/>
      <c r="N221"/>
      <c r="O221"/>
    </row>
    <row r="222" spans="1:15" x14ac:dyDescent="0.35">
      <c r="A222"/>
      <c r="B222"/>
      <c r="C222"/>
      <c r="D222"/>
      <c r="E222"/>
      <c r="F222"/>
      <c r="G222"/>
      <c r="H222"/>
      <c r="I222"/>
      <c r="J222"/>
      <c r="K222"/>
      <c r="L222"/>
      <c r="M222"/>
      <c r="N222"/>
      <c r="O222"/>
    </row>
    <row r="223" spans="1:15" x14ac:dyDescent="0.35">
      <c r="A223"/>
      <c r="B223"/>
      <c r="C223"/>
      <c r="D223"/>
      <c r="E223"/>
      <c r="F223"/>
      <c r="G223"/>
      <c r="H223"/>
      <c r="I223"/>
      <c r="J223"/>
      <c r="K223"/>
      <c r="L223"/>
      <c r="M223"/>
      <c r="N223"/>
      <c r="O223"/>
    </row>
    <row r="224" spans="1:15" x14ac:dyDescent="0.35">
      <c r="A224"/>
      <c r="B224"/>
      <c r="C224"/>
      <c r="D224"/>
      <c r="E224"/>
      <c r="F224"/>
      <c r="G224"/>
      <c r="H224"/>
      <c r="I224"/>
      <c r="J224"/>
      <c r="K224"/>
      <c r="L224"/>
      <c r="M224"/>
      <c r="N224"/>
      <c r="O224"/>
    </row>
    <row r="225" spans="1:15" x14ac:dyDescent="0.35">
      <c r="A225"/>
      <c r="B225"/>
      <c r="C225"/>
      <c r="D225"/>
      <c r="E225"/>
      <c r="F225"/>
      <c r="G225"/>
      <c r="H225"/>
      <c r="I225"/>
      <c r="J225"/>
      <c r="K225"/>
      <c r="L225"/>
      <c r="M225"/>
      <c r="N225"/>
      <c r="O225"/>
    </row>
    <row r="226" spans="1:15" x14ac:dyDescent="0.35">
      <c r="A226"/>
      <c r="B226"/>
      <c r="C226"/>
      <c r="D226"/>
      <c r="E226"/>
      <c r="F226"/>
      <c r="G226"/>
      <c r="H226"/>
      <c r="I226"/>
      <c r="J226"/>
      <c r="K226"/>
      <c r="L226"/>
      <c r="M226"/>
      <c r="N226"/>
      <c r="O226"/>
    </row>
    <row r="227" spans="1:15" x14ac:dyDescent="0.35">
      <c r="A227"/>
      <c r="B227"/>
      <c r="C227"/>
      <c r="D227"/>
      <c r="E227"/>
      <c r="F227"/>
      <c r="G227"/>
      <c r="H227"/>
      <c r="I227"/>
      <c r="J227"/>
      <c r="K227"/>
      <c r="L227"/>
      <c r="M227"/>
      <c r="N227"/>
      <c r="O227"/>
    </row>
    <row r="228" spans="1:15" x14ac:dyDescent="0.35">
      <c r="A228"/>
      <c r="B228"/>
      <c r="C228"/>
      <c r="D228"/>
      <c r="E228"/>
      <c r="F228"/>
      <c r="G228"/>
      <c r="H228"/>
      <c r="I228"/>
      <c r="J228"/>
      <c r="K228"/>
      <c r="L228"/>
      <c r="M228"/>
      <c r="N228"/>
      <c r="O228"/>
    </row>
    <row r="229" spans="1:15" x14ac:dyDescent="0.35">
      <c r="A229"/>
      <c r="B229"/>
      <c r="C229"/>
      <c r="D229"/>
      <c r="E229"/>
      <c r="F229"/>
      <c r="G229"/>
      <c r="H229"/>
      <c r="I229"/>
      <c r="J229"/>
      <c r="K229"/>
      <c r="L229"/>
      <c r="M229"/>
      <c r="N229"/>
      <c r="O229"/>
    </row>
    <row r="230" spans="1:15" x14ac:dyDescent="0.35">
      <c r="A230"/>
      <c r="B230"/>
      <c r="C230"/>
      <c r="D230"/>
      <c r="E230"/>
      <c r="F230"/>
      <c r="G230"/>
      <c r="H230"/>
      <c r="I230"/>
      <c r="J230"/>
      <c r="K230"/>
      <c r="L230"/>
      <c r="M230"/>
      <c r="N230"/>
      <c r="O230"/>
    </row>
    <row r="231" spans="1:15" x14ac:dyDescent="0.35">
      <c r="A231"/>
      <c r="B231"/>
      <c r="C231"/>
      <c r="D231"/>
      <c r="E231"/>
      <c r="F231"/>
      <c r="G231"/>
      <c r="H231"/>
      <c r="I231"/>
      <c r="J231"/>
      <c r="K231"/>
      <c r="L231"/>
      <c r="M231"/>
      <c r="N231"/>
      <c r="O231"/>
    </row>
    <row r="232" spans="1:15" x14ac:dyDescent="0.35">
      <c r="A232"/>
      <c r="B232"/>
      <c r="C232"/>
      <c r="D232"/>
      <c r="E232"/>
      <c r="F232"/>
      <c r="G232"/>
      <c r="H232"/>
      <c r="I232"/>
      <c r="J232"/>
      <c r="K232"/>
      <c r="L232"/>
      <c r="M232"/>
      <c r="N232"/>
      <c r="O232"/>
    </row>
    <row r="233" spans="1:15" x14ac:dyDescent="0.35">
      <c r="A233"/>
      <c r="B233"/>
      <c r="C233"/>
      <c r="D233"/>
      <c r="E233"/>
      <c r="F233"/>
      <c r="G233"/>
      <c r="H233"/>
      <c r="I233"/>
      <c r="J233"/>
      <c r="K233"/>
      <c r="L233"/>
      <c r="M233"/>
      <c r="N233"/>
      <c r="O233"/>
    </row>
    <row r="234" spans="1:15" x14ac:dyDescent="0.35">
      <c r="A234"/>
      <c r="B234"/>
      <c r="C234"/>
      <c r="D234"/>
      <c r="E234"/>
      <c r="F234"/>
      <c r="G234"/>
      <c r="H234"/>
      <c r="I234"/>
      <c r="J234"/>
      <c r="K234"/>
      <c r="L234"/>
      <c r="M234"/>
      <c r="N234"/>
      <c r="O234"/>
    </row>
    <row r="235" spans="1:15" x14ac:dyDescent="0.35">
      <c r="A235"/>
      <c r="B235"/>
      <c r="C235"/>
      <c r="D235"/>
      <c r="E235"/>
      <c r="F235"/>
      <c r="G235"/>
      <c r="H235"/>
      <c r="I235"/>
      <c r="J235"/>
      <c r="K235"/>
      <c r="L235"/>
      <c r="M235"/>
      <c r="N235"/>
      <c r="O235"/>
    </row>
    <row r="236" spans="1:15" x14ac:dyDescent="0.35">
      <c r="A236"/>
      <c r="B236"/>
      <c r="C236"/>
      <c r="D236"/>
      <c r="E236"/>
      <c r="F236"/>
      <c r="G236"/>
      <c r="H236"/>
      <c r="I236"/>
      <c r="J236"/>
      <c r="K236"/>
      <c r="L236"/>
      <c r="M236"/>
      <c r="N236"/>
      <c r="O236"/>
    </row>
    <row r="237" spans="1:15" x14ac:dyDescent="0.35">
      <c r="A237"/>
      <c r="B237"/>
      <c r="C237"/>
      <c r="D237"/>
      <c r="E237"/>
      <c r="F237"/>
      <c r="G237"/>
      <c r="H237"/>
      <c r="I237"/>
      <c r="J237"/>
      <c r="K237"/>
      <c r="L237"/>
      <c r="M237"/>
      <c r="N237"/>
      <c r="O237"/>
    </row>
    <row r="238" spans="1:15" x14ac:dyDescent="0.35">
      <c r="A238"/>
      <c r="B238"/>
      <c r="C238"/>
      <c r="D238"/>
      <c r="E238"/>
      <c r="F238"/>
      <c r="G238"/>
      <c r="H238"/>
      <c r="I238"/>
      <c r="J238"/>
      <c r="K238"/>
      <c r="L238"/>
      <c r="M238"/>
      <c r="N238"/>
      <c r="O238"/>
    </row>
    <row r="239" spans="1:15" x14ac:dyDescent="0.35">
      <c r="A239"/>
      <c r="B239"/>
      <c r="C239"/>
      <c r="D239"/>
      <c r="E239"/>
      <c r="F239"/>
      <c r="G239"/>
      <c r="H239"/>
      <c r="I239"/>
      <c r="J239"/>
      <c r="K239"/>
      <c r="L239"/>
      <c r="M239"/>
      <c r="N239"/>
      <c r="O239"/>
    </row>
    <row r="240" spans="1:15" x14ac:dyDescent="0.35">
      <c r="A240"/>
      <c r="B240"/>
      <c r="C240"/>
      <c r="D240"/>
      <c r="E240"/>
      <c r="F240"/>
      <c r="G240"/>
      <c r="H240"/>
      <c r="I240"/>
      <c r="J240"/>
      <c r="K240"/>
      <c r="L240"/>
      <c r="M240"/>
      <c r="N240"/>
      <c r="O240"/>
    </row>
    <row r="241" spans="1:15" x14ac:dyDescent="0.35">
      <c r="A241"/>
      <c r="B241"/>
      <c r="C241"/>
      <c r="D241"/>
      <c r="E241"/>
      <c r="F241"/>
      <c r="G241"/>
      <c r="H241"/>
      <c r="I241"/>
      <c r="J241"/>
      <c r="K241"/>
      <c r="L241"/>
      <c r="M241"/>
      <c r="N241"/>
      <c r="O241"/>
    </row>
    <row r="242" spans="1:15" x14ac:dyDescent="0.35">
      <c r="A242"/>
      <c r="B242"/>
      <c r="C242"/>
      <c r="D242"/>
      <c r="E242"/>
      <c r="F242"/>
      <c r="G242"/>
      <c r="H242"/>
      <c r="I242"/>
      <c r="J242"/>
      <c r="K242"/>
      <c r="L242"/>
      <c r="M242"/>
      <c r="N242"/>
      <c r="O242"/>
    </row>
    <row r="243" spans="1:15" x14ac:dyDescent="0.35">
      <c r="A243"/>
      <c r="B243"/>
      <c r="C243"/>
      <c r="D243"/>
      <c r="E243"/>
      <c r="F243"/>
      <c r="G243"/>
      <c r="H243"/>
      <c r="I243"/>
      <c r="J243"/>
      <c r="K243"/>
      <c r="L243"/>
      <c r="M243"/>
      <c r="N243"/>
      <c r="O243"/>
    </row>
    <row r="244" spans="1:15" x14ac:dyDescent="0.35">
      <c r="A244"/>
      <c r="B244"/>
      <c r="C244"/>
      <c r="D244"/>
      <c r="E244"/>
      <c r="F244"/>
      <c r="G244"/>
      <c r="H244"/>
      <c r="I244"/>
      <c r="J244"/>
      <c r="K244"/>
      <c r="L244"/>
      <c r="M244"/>
      <c r="N244"/>
      <c r="O244"/>
    </row>
    <row r="245" spans="1:15" x14ac:dyDescent="0.35">
      <c r="A245"/>
      <c r="B245"/>
      <c r="C245"/>
      <c r="D245"/>
      <c r="E245"/>
      <c r="F245"/>
      <c r="G245"/>
      <c r="H245"/>
      <c r="I245"/>
      <c r="J245"/>
      <c r="K245"/>
      <c r="L245"/>
      <c r="M245"/>
      <c r="N245"/>
      <c r="O245"/>
    </row>
    <row r="246" spans="1:15" x14ac:dyDescent="0.35">
      <c r="A246"/>
      <c r="B246"/>
      <c r="C246"/>
      <c r="D246"/>
      <c r="E246"/>
      <c r="F246"/>
      <c r="G246"/>
      <c r="H246"/>
      <c r="I246"/>
      <c r="J246"/>
      <c r="K246"/>
      <c r="L246"/>
      <c r="M246"/>
      <c r="N246"/>
      <c r="O246"/>
    </row>
    <row r="247" spans="1:15" x14ac:dyDescent="0.35">
      <c r="A247"/>
      <c r="B247"/>
      <c r="C247"/>
      <c r="D247"/>
      <c r="E247"/>
      <c r="F247"/>
      <c r="G247"/>
      <c r="H247"/>
      <c r="I247"/>
      <c r="J247"/>
      <c r="K247"/>
      <c r="L247"/>
      <c r="M247"/>
      <c r="N247"/>
      <c r="O247"/>
    </row>
    <row r="248" spans="1:15" x14ac:dyDescent="0.35">
      <c r="A248"/>
      <c r="B248"/>
      <c r="C248"/>
      <c r="D248"/>
      <c r="E248"/>
      <c r="F248"/>
      <c r="G248"/>
      <c r="H248"/>
      <c r="I248"/>
      <c r="J248"/>
      <c r="K248"/>
      <c r="L248"/>
      <c r="M248"/>
      <c r="N248"/>
      <c r="O248"/>
    </row>
    <row r="249" spans="1:15" x14ac:dyDescent="0.35">
      <c r="A249"/>
      <c r="B249"/>
      <c r="C249"/>
      <c r="D249"/>
      <c r="E249"/>
      <c r="F249"/>
      <c r="G249"/>
      <c r="H249"/>
      <c r="I249"/>
      <c r="J249"/>
      <c r="K249"/>
      <c r="L249"/>
      <c r="M249"/>
      <c r="N249"/>
      <c r="O249"/>
    </row>
    <row r="250" spans="1:15" x14ac:dyDescent="0.35">
      <c r="A250"/>
      <c r="B250"/>
      <c r="C250"/>
      <c r="D250"/>
      <c r="E250"/>
      <c r="F250"/>
      <c r="G250"/>
      <c r="H250"/>
      <c r="I250"/>
      <c r="J250"/>
      <c r="K250"/>
      <c r="L250"/>
      <c r="M250"/>
      <c r="N250"/>
      <c r="O250"/>
    </row>
    <row r="251" spans="1:15" x14ac:dyDescent="0.35">
      <c r="A251"/>
      <c r="B251"/>
      <c r="C251"/>
      <c r="D251"/>
      <c r="E251"/>
      <c r="F251"/>
      <c r="G251"/>
      <c r="H251"/>
      <c r="I251"/>
      <c r="J251"/>
      <c r="K251"/>
      <c r="L251"/>
      <c r="M251"/>
      <c r="N251"/>
      <c r="O251"/>
    </row>
    <row r="252" spans="1:15" x14ac:dyDescent="0.35">
      <c r="A252"/>
      <c r="B252"/>
      <c r="C252"/>
      <c r="D252"/>
      <c r="E252"/>
      <c r="F252"/>
      <c r="G252"/>
      <c r="H252"/>
      <c r="I252"/>
      <c r="J252"/>
      <c r="K252"/>
      <c r="L252"/>
      <c r="M252"/>
      <c r="N252"/>
      <c r="O252"/>
    </row>
    <row r="253" spans="1:15" x14ac:dyDescent="0.35">
      <c r="A253"/>
      <c r="B253"/>
      <c r="C253"/>
      <c r="D253"/>
      <c r="E253"/>
      <c r="F253"/>
      <c r="G253"/>
      <c r="H253"/>
      <c r="I253"/>
      <c r="J253"/>
      <c r="K253"/>
      <c r="L253"/>
      <c r="M253"/>
      <c r="N253"/>
      <c r="O253"/>
    </row>
    <row r="254" spans="1:15" x14ac:dyDescent="0.35">
      <c r="A254"/>
      <c r="B254"/>
      <c r="C254"/>
      <c r="D254"/>
      <c r="E254"/>
      <c r="F254"/>
      <c r="G254"/>
      <c r="H254"/>
      <c r="I254"/>
      <c r="J254"/>
      <c r="K254"/>
      <c r="L254"/>
      <c r="M254"/>
      <c r="N254"/>
      <c r="O254"/>
    </row>
    <row r="255" spans="1:15" x14ac:dyDescent="0.35">
      <c r="A255"/>
      <c r="B255"/>
      <c r="C255"/>
      <c r="D255"/>
      <c r="E255"/>
      <c r="F255"/>
      <c r="G255"/>
      <c r="H255"/>
      <c r="I255"/>
      <c r="J255"/>
      <c r="K255"/>
      <c r="L255"/>
      <c r="M255"/>
      <c r="N255"/>
      <c r="O255"/>
    </row>
    <row r="256" spans="1:15" x14ac:dyDescent="0.35">
      <c r="A256"/>
      <c r="B256"/>
      <c r="C256"/>
      <c r="D256"/>
      <c r="E256"/>
      <c r="F256"/>
      <c r="G256"/>
      <c r="H256"/>
      <c r="I256"/>
      <c r="J256"/>
      <c r="K256"/>
      <c r="L256"/>
      <c r="M256"/>
      <c r="N256"/>
      <c r="O256"/>
    </row>
    <row r="257" spans="1:15" x14ac:dyDescent="0.35">
      <c r="A257"/>
      <c r="B257"/>
      <c r="C257"/>
      <c r="D257"/>
      <c r="E257"/>
      <c r="F257"/>
      <c r="G257"/>
      <c r="H257"/>
      <c r="I257"/>
      <c r="J257"/>
      <c r="K257"/>
      <c r="L257"/>
      <c r="M257"/>
      <c r="N257"/>
      <c r="O257"/>
    </row>
    <row r="258" spans="1:15" x14ac:dyDescent="0.35">
      <c r="A258"/>
      <c r="B258"/>
      <c r="C258"/>
      <c r="D258"/>
      <c r="E258"/>
      <c r="F258"/>
      <c r="G258"/>
      <c r="H258"/>
      <c r="I258"/>
      <c r="J258"/>
      <c r="K258"/>
      <c r="L258"/>
      <c r="M258"/>
      <c r="N258"/>
      <c r="O258"/>
    </row>
    <row r="259" spans="1:15" x14ac:dyDescent="0.35">
      <c r="A259"/>
      <c r="B259"/>
      <c r="C259"/>
      <c r="D259"/>
      <c r="E259"/>
      <c r="F259"/>
      <c r="G259"/>
      <c r="H259"/>
      <c r="I259"/>
      <c r="J259"/>
      <c r="K259"/>
      <c r="L259"/>
      <c r="M259"/>
      <c r="N259"/>
      <c r="O259"/>
    </row>
    <row r="260" spans="1:15" x14ac:dyDescent="0.35">
      <c r="A260"/>
      <c r="B260"/>
      <c r="C260"/>
      <c r="D260"/>
      <c r="E260"/>
      <c r="F260"/>
      <c r="G260"/>
      <c r="H260"/>
      <c r="I260"/>
      <c r="J260"/>
      <c r="K260"/>
      <c r="L260"/>
      <c r="M260"/>
      <c r="N260"/>
      <c r="O260"/>
    </row>
    <row r="261" spans="1:15" x14ac:dyDescent="0.35">
      <c r="A261"/>
      <c r="B261"/>
      <c r="C261"/>
      <c r="D261"/>
      <c r="E261"/>
      <c r="F261"/>
      <c r="G261"/>
      <c r="H261"/>
      <c r="I261"/>
      <c r="J261"/>
      <c r="K261"/>
      <c r="L261"/>
      <c r="M261"/>
      <c r="N261"/>
      <c r="O261"/>
    </row>
    <row r="262" spans="1:15" x14ac:dyDescent="0.35">
      <c r="A262"/>
      <c r="B262"/>
      <c r="C262"/>
      <c r="D262"/>
      <c r="E262"/>
      <c r="F262"/>
      <c r="G262"/>
      <c r="H262"/>
      <c r="I262"/>
      <c r="J262"/>
      <c r="K262"/>
      <c r="L262"/>
      <c r="M262"/>
      <c r="N262"/>
      <c r="O262"/>
    </row>
    <row r="263" spans="1:15" x14ac:dyDescent="0.35">
      <c r="A263"/>
      <c r="B263"/>
      <c r="C263"/>
      <c r="D263"/>
      <c r="E263"/>
      <c r="F263"/>
      <c r="G263"/>
      <c r="H263"/>
      <c r="I263"/>
      <c r="J263"/>
      <c r="K263"/>
      <c r="L263"/>
      <c r="M263"/>
      <c r="N263"/>
      <c r="O263"/>
    </row>
    <row r="264" spans="1:15" x14ac:dyDescent="0.35">
      <c r="A264"/>
      <c r="B264"/>
      <c r="C264"/>
      <c r="D264"/>
      <c r="E264"/>
      <c r="F264"/>
      <c r="G264"/>
      <c r="H264"/>
      <c r="I264"/>
      <c r="J264"/>
      <c r="K264"/>
      <c r="L264"/>
      <c r="M264"/>
      <c r="N264"/>
      <c r="O264"/>
    </row>
    <row r="265" spans="1:15" x14ac:dyDescent="0.35">
      <c r="A265"/>
      <c r="B265"/>
      <c r="C265"/>
      <c r="D265"/>
      <c r="E265"/>
      <c r="F265"/>
      <c r="G265"/>
      <c r="H265"/>
      <c r="I265"/>
      <c r="J265"/>
      <c r="K265"/>
      <c r="L265"/>
      <c r="M265"/>
      <c r="N265"/>
      <c r="O265"/>
    </row>
    <row r="266" spans="1:15" x14ac:dyDescent="0.35">
      <c r="A266"/>
      <c r="B266"/>
      <c r="C266"/>
      <c r="D266"/>
      <c r="E266"/>
      <c r="F266"/>
      <c r="G266"/>
      <c r="H266"/>
      <c r="I266"/>
      <c r="J266"/>
      <c r="K266"/>
      <c r="L266"/>
      <c r="M266"/>
      <c r="N266"/>
      <c r="O266"/>
    </row>
    <row r="267" spans="1:15" x14ac:dyDescent="0.35">
      <c r="A267"/>
      <c r="B267"/>
      <c r="C267"/>
      <c r="D267"/>
      <c r="E267"/>
      <c r="F267"/>
      <c r="G267"/>
      <c r="H267"/>
      <c r="I267"/>
      <c r="J267"/>
      <c r="K267"/>
      <c r="L267"/>
      <c r="M267"/>
      <c r="N267"/>
      <c r="O267"/>
    </row>
    <row r="268" spans="1:15" x14ac:dyDescent="0.35">
      <c r="A268"/>
      <c r="B268"/>
      <c r="C268"/>
      <c r="D268"/>
      <c r="E268"/>
      <c r="F268"/>
      <c r="G268"/>
      <c r="H268"/>
      <c r="I268"/>
      <c r="J268"/>
      <c r="K268"/>
      <c r="L268"/>
      <c r="M268"/>
      <c r="N268"/>
      <c r="O268"/>
    </row>
    <row r="269" spans="1:15" x14ac:dyDescent="0.35">
      <c r="A269"/>
      <c r="B269"/>
      <c r="C269"/>
      <c r="D269"/>
      <c r="E269"/>
      <c r="F269"/>
      <c r="G269"/>
      <c r="H269"/>
      <c r="I269"/>
      <c r="J269"/>
      <c r="K269"/>
      <c r="L269"/>
      <c r="M269"/>
      <c r="N269"/>
      <c r="O269"/>
    </row>
    <row r="270" spans="1:15" x14ac:dyDescent="0.35">
      <c r="A270"/>
      <c r="B270"/>
      <c r="C270"/>
      <c r="D270"/>
      <c r="E270"/>
      <c r="F270"/>
      <c r="G270"/>
      <c r="H270"/>
      <c r="I270"/>
      <c r="J270"/>
      <c r="K270"/>
      <c r="L270"/>
      <c r="M270"/>
      <c r="N270"/>
      <c r="O270"/>
    </row>
    <row r="271" spans="1:15" x14ac:dyDescent="0.35">
      <c r="A271"/>
      <c r="B271"/>
      <c r="C271"/>
      <c r="D271"/>
      <c r="E271"/>
      <c r="F271"/>
      <c r="G271"/>
      <c r="H271"/>
      <c r="I271"/>
      <c r="J271"/>
      <c r="K271"/>
      <c r="L271"/>
      <c r="M271"/>
      <c r="N271"/>
      <c r="O271"/>
    </row>
    <row r="272" spans="1:15" x14ac:dyDescent="0.35">
      <c r="A272"/>
      <c r="B272"/>
      <c r="C272"/>
      <c r="D272"/>
      <c r="E272"/>
      <c r="F272"/>
      <c r="G272"/>
      <c r="H272"/>
      <c r="I272"/>
      <c r="J272"/>
      <c r="K272"/>
      <c r="L272"/>
      <c r="M272"/>
      <c r="N272"/>
      <c r="O272"/>
    </row>
    <row r="273" spans="1:15" x14ac:dyDescent="0.35">
      <c r="A273"/>
      <c r="B273"/>
      <c r="C273"/>
      <c r="D273"/>
      <c r="E273"/>
      <c r="F273"/>
      <c r="G273"/>
      <c r="H273"/>
      <c r="I273"/>
      <c r="J273"/>
      <c r="K273"/>
      <c r="L273"/>
      <c r="M273"/>
      <c r="N273"/>
      <c r="O273"/>
    </row>
  </sheetData>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Q78"/>
  <sheetViews>
    <sheetView workbookViewId="0">
      <selection activeCell="C5" sqref="C5:C9"/>
    </sheetView>
  </sheetViews>
  <sheetFormatPr defaultRowHeight="14.5" x14ac:dyDescent="0.35"/>
  <cols>
    <col min="1" max="1" width="33.54296875" customWidth="1"/>
    <col min="2" max="2" width="35.54296875" customWidth="1"/>
    <col min="3" max="3" width="21.7265625" customWidth="1"/>
    <col min="4" max="4" width="21.54296875" customWidth="1"/>
    <col min="5" max="5" width="12.7265625" customWidth="1"/>
    <col min="6" max="6" width="13.81640625" bestFit="1" customWidth="1"/>
    <col min="7" max="10" width="21.1796875" customWidth="1"/>
    <col min="11" max="11" width="21.1796875" style="183" customWidth="1"/>
    <col min="12" max="15" width="21.1796875" customWidth="1"/>
    <col min="16" max="16" width="27.1796875" customWidth="1"/>
    <col min="17" max="17" width="27.1796875" bestFit="1" customWidth="1"/>
  </cols>
  <sheetData>
    <row r="2" spans="1:11" s="213" customFormat="1" x14ac:dyDescent="0.35">
      <c r="A2" s="213">
        <f>A24</f>
        <v>0</v>
      </c>
      <c r="C2" s="213">
        <f>GETPIVOTDATA(" Revised Budget - Nov-22",$A$3)</f>
        <v>110301000</v>
      </c>
      <c r="D2" s="213">
        <f>GETPIVOTDATA(" Actual Amount - Nov-22",$A$3)</f>
        <v>70396912.640000001</v>
      </c>
      <c r="E2" s="213">
        <f>GETPIVOTDATA(" PR - Nov-22",$A$3)</f>
        <v>3151780.82</v>
      </c>
      <c r="F2" s="213">
        <f>GETPIVOTDATA(" PO - Nov-22",$A$3)</f>
        <v>22659614.760000002</v>
      </c>
      <c r="G2" s="213">
        <f>GETPIVOTDATA(" Fund Available - Nov-22",$A$3)</f>
        <v>14092691.780000001</v>
      </c>
    </row>
    <row r="3" spans="1:11" x14ac:dyDescent="0.35">
      <c r="A3" s="178" t="s">
        <v>960</v>
      </c>
      <c r="B3" s="178" t="s">
        <v>5</v>
      </c>
      <c r="C3" t="s">
        <v>962</v>
      </c>
      <c r="D3" t="s">
        <v>963</v>
      </c>
      <c r="E3" t="s">
        <v>964</v>
      </c>
      <c r="F3" t="s">
        <v>965</v>
      </c>
      <c r="G3" s="230" t="s">
        <v>966</v>
      </c>
      <c r="K3"/>
    </row>
    <row r="4" spans="1:11" x14ac:dyDescent="0.35">
      <c r="A4" t="s">
        <v>946</v>
      </c>
      <c r="C4" s="229">
        <v>1387588</v>
      </c>
      <c r="D4" s="229">
        <v>1333260</v>
      </c>
      <c r="E4" s="229">
        <v>0</v>
      </c>
      <c r="F4" s="229">
        <v>0</v>
      </c>
      <c r="G4" s="229">
        <v>54328</v>
      </c>
      <c r="K4"/>
    </row>
    <row r="5" spans="1:11" x14ac:dyDescent="0.35">
      <c r="A5" t="s">
        <v>949</v>
      </c>
      <c r="B5" t="s">
        <v>682</v>
      </c>
      <c r="C5" s="229">
        <v>47819242</v>
      </c>
      <c r="D5" s="229">
        <v>32108188.649999999</v>
      </c>
      <c r="E5" s="229">
        <v>1472274</v>
      </c>
      <c r="F5" s="229">
        <v>9433260.5299999993</v>
      </c>
      <c r="G5" s="229">
        <v>4805518.82</v>
      </c>
      <c r="K5"/>
    </row>
    <row r="6" spans="1:11" x14ac:dyDescent="0.35">
      <c r="A6" t="s">
        <v>949</v>
      </c>
      <c r="B6" t="s">
        <v>658</v>
      </c>
      <c r="C6" s="229">
        <v>1000000</v>
      </c>
      <c r="D6" s="229">
        <v>0</v>
      </c>
      <c r="E6" s="229">
        <v>1000000</v>
      </c>
      <c r="F6" s="229">
        <v>0</v>
      </c>
      <c r="G6" s="229">
        <v>0</v>
      </c>
      <c r="K6"/>
    </row>
    <row r="7" spans="1:11" x14ac:dyDescent="0.35">
      <c r="A7" t="s">
        <v>949</v>
      </c>
      <c r="B7" t="s">
        <v>666</v>
      </c>
      <c r="C7" s="229">
        <v>30312</v>
      </c>
      <c r="D7" s="229">
        <v>0</v>
      </c>
      <c r="E7" s="229">
        <v>0</v>
      </c>
      <c r="F7" s="229">
        <v>30302.25</v>
      </c>
      <c r="G7" s="229">
        <v>9.75</v>
      </c>
      <c r="K7"/>
    </row>
    <row r="8" spans="1:11" x14ac:dyDescent="0.35">
      <c r="A8" t="s">
        <v>949</v>
      </c>
      <c r="B8" t="s">
        <v>687</v>
      </c>
      <c r="C8" s="229">
        <v>6495604</v>
      </c>
      <c r="D8" s="229">
        <v>4672829</v>
      </c>
      <c r="E8" s="229">
        <v>0</v>
      </c>
      <c r="F8" s="229">
        <v>1690720</v>
      </c>
      <c r="G8" s="229">
        <v>132055</v>
      </c>
      <c r="K8"/>
    </row>
    <row r="9" spans="1:11" x14ac:dyDescent="0.35">
      <c r="A9" t="s">
        <v>949</v>
      </c>
      <c r="B9" t="s">
        <v>132</v>
      </c>
      <c r="C9" s="229">
        <v>987</v>
      </c>
      <c r="D9" s="229">
        <v>0</v>
      </c>
      <c r="E9" s="229">
        <v>0</v>
      </c>
      <c r="F9" s="229">
        <v>0</v>
      </c>
      <c r="G9" s="229">
        <v>987</v>
      </c>
      <c r="K9"/>
    </row>
    <row r="10" spans="1:11" x14ac:dyDescent="0.35">
      <c r="A10" t="s">
        <v>953</v>
      </c>
      <c r="C10" s="229">
        <v>3277472</v>
      </c>
      <c r="D10" s="229">
        <v>2995540.01</v>
      </c>
      <c r="E10" s="229">
        <v>82951.040000000008</v>
      </c>
      <c r="F10" s="229">
        <v>88195.6</v>
      </c>
      <c r="G10" s="229">
        <v>110785.34999999999</v>
      </c>
      <c r="K10"/>
    </row>
    <row r="11" spans="1:11" x14ac:dyDescent="0.35">
      <c r="A11" t="s">
        <v>948</v>
      </c>
      <c r="C11" s="229">
        <v>4463212</v>
      </c>
      <c r="D11" s="229">
        <v>1961968.1</v>
      </c>
      <c r="E11" s="229">
        <v>51781</v>
      </c>
      <c r="F11" s="229">
        <v>2122693.23</v>
      </c>
      <c r="G11" s="229">
        <v>326769.67</v>
      </c>
      <c r="K11"/>
    </row>
    <row r="12" spans="1:11" x14ac:dyDescent="0.35">
      <c r="A12" t="s">
        <v>947</v>
      </c>
      <c r="C12" s="229">
        <v>6549846</v>
      </c>
      <c r="D12" s="229">
        <v>3453322.3600000003</v>
      </c>
      <c r="E12" s="229">
        <v>511466.76</v>
      </c>
      <c r="F12" s="229">
        <v>2343466.9700000002</v>
      </c>
      <c r="G12" s="229">
        <v>241589.90999999992</v>
      </c>
      <c r="K12"/>
    </row>
    <row r="13" spans="1:11" x14ac:dyDescent="0.35">
      <c r="A13" t="s">
        <v>956</v>
      </c>
      <c r="C13" s="229">
        <v>18048337</v>
      </c>
      <c r="D13" s="229">
        <v>12418742.029999999</v>
      </c>
      <c r="E13" s="229">
        <v>0</v>
      </c>
      <c r="F13" s="229">
        <v>5482984.2199999997</v>
      </c>
      <c r="G13" s="229">
        <v>146610.75000000096</v>
      </c>
      <c r="K13"/>
    </row>
    <row r="14" spans="1:11" x14ac:dyDescent="0.35">
      <c r="A14" t="s">
        <v>944</v>
      </c>
      <c r="C14" s="229">
        <v>27589</v>
      </c>
      <c r="D14" s="229">
        <v>0</v>
      </c>
      <c r="E14" s="229">
        <v>0</v>
      </c>
      <c r="F14" s="229">
        <v>0</v>
      </c>
      <c r="G14" s="229">
        <v>27589</v>
      </c>
      <c r="K14"/>
    </row>
    <row r="15" spans="1:11" x14ac:dyDescent="0.35">
      <c r="A15" t="s">
        <v>952</v>
      </c>
      <c r="C15" s="229">
        <v>0</v>
      </c>
      <c r="D15" s="229">
        <v>0</v>
      </c>
      <c r="E15" s="229">
        <v>0</v>
      </c>
      <c r="F15" s="229">
        <v>0</v>
      </c>
      <c r="G15" s="229">
        <v>0</v>
      </c>
      <c r="K15"/>
    </row>
    <row r="16" spans="1:11" x14ac:dyDescent="0.35">
      <c r="A16" t="s">
        <v>943</v>
      </c>
      <c r="C16" s="229">
        <v>1276302</v>
      </c>
      <c r="D16" s="229">
        <v>1220301.8</v>
      </c>
      <c r="E16" s="229">
        <v>11245.5</v>
      </c>
      <c r="F16" s="229">
        <v>44351.48000000012</v>
      </c>
      <c r="G16" s="229">
        <v>403.21999999983382</v>
      </c>
      <c r="K16"/>
    </row>
    <row r="17" spans="1:17" x14ac:dyDescent="0.35">
      <c r="A17" t="s">
        <v>951</v>
      </c>
      <c r="C17" s="229">
        <v>69286</v>
      </c>
      <c r="D17" s="229">
        <v>69286</v>
      </c>
      <c r="E17" s="229">
        <v>0</v>
      </c>
      <c r="F17" s="229">
        <v>0</v>
      </c>
      <c r="G17" s="229">
        <v>0</v>
      </c>
      <c r="K17"/>
    </row>
    <row r="18" spans="1:17" x14ac:dyDescent="0.35">
      <c r="A18" t="s">
        <v>955</v>
      </c>
      <c r="C18" s="229">
        <v>19855223</v>
      </c>
      <c r="D18" s="229">
        <v>10163474.689999999</v>
      </c>
      <c r="E18" s="229">
        <v>22062.52</v>
      </c>
      <c r="F18" s="229">
        <v>1423640.4800000004</v>
      </c>
      <c r="G18" s="229">
        <v>8246045.3099999996</v>
      </c>
      <c r="K18"/>
    </row>
    <row r="19" spans="1:17" x14ac:dyDescent="0.35">
      <c r="A19" t="s">
        <v>719</v>
      </c>
      <c r="C19" s="229">
        <v>110301000</v>
      </c>
      <c r="D19" s="229">
        <v>70396912.640000001</v>
      </c>
      <c r="E19" s="229">
        <v>3151780.82</v>
      </c>
      <c r="F19" s="229">
        <v>22659614.760000002</v>
      </c>
      <c r="G19" s="229">
        <v>14092691.780000001</v>
      </c>
      <c r="K19"/>
    </row>
    <row r="20" spans="1:17" x14ac:dyDescent="0.35">
      <c r="K20"/>
    </row>
    <row r="21" spans="1:17" x14ac:dyDescent="0.35">
      <c r="K21"/>
    </row>
    <row r="22" spans="1:17" x14ac:dyDescent="0.35">
      <c r="K22"/>
    </row>
    <row r="23" spans="1:17" x14ac:dyDescent="0.35">
      <c r="K23"/>
    </row>
    <row r="24" spans="1:17" s="183" customFormat="1" x14ac:dyDescent="0.35">
      <c r="A24"/>
      <c r="B24"/>
      <c r="C24"/>
      <c r="D24"/>
      <c r="E24"/>
      <c r="F24"/>
      <c r="G24"/>
      <c r="H24"/>
      <c r="I24"/>
      <c r="J24"/>
      <c r="K24"/>
      <c r="L24"/>
      <c r="M24"/>
      <c r="N24"/>
      <c r="O24"/>
      <c r="P24"/>
      <c r="Q24"/>
    </row>
    <row r="25" spans="1:17" x14ac:dyDescent="0.35">
      <c r="K25"/>
    </row>
    <row r="26" spans="1:17" x14ac:dyDescent="0.35">
      <c r="K26"/>
    </row>
    <row r="27" spans="1:17" x14ac:dyDescent="0.35">
      <c r="K27"/>
    </row>
    <row r="28" spans="1:17" x14ac:dyDescent="0.35">
      <c r="K28"/>
    </row>
    <row r="29" spans="1:17" x14ac:dyDescent="0.35">
      <c r="K29"/>
    </row>
    <row r="30" spans="1:17" x14ac:dyDescent="0.35">
      <c r="K30"/>
    </row>
    <row r="31" spans="1:17" x14ac:dyDescent="0.35">
      <c r="K31"/>
    </row>
    <row r="32" spans="1:17" s="183" customFormat="1" x14ac:dyDescent="0.35">
      <c r="A32"/>
      <c r="B32"/>
      <c r="C32"/>
      <c r="D32"/>
      <c r="E32"/>
      <c r="F32"/>
      <c r="G32"/>
      <c r="H32"/>
      <c r="I32"/>
      <c r="J32"/>
      <c r="K32"/>
      <c r="L32"/>
      <c r="M32"/>
      <c r="N32"/>
      <c r="O32"/>
      <c r="P32"/>
    </row>
    <row r="33" spans="11:11" x14ac:dyDescent="0.35">
      <c r="K33"/>
    </row>
    <row r="34" spans="11:11" x14ac:dyDescent="0.35">
      <c r="K34"/>
    </row>
    <row r="35" spans="11:11" x14ac:dyDescent="0.35">
      <c r="K35"/>
    </row>
    <row r="36" spans="11:11" x14ac:dyDescent="0.35">
      <c r="K36"/>
    </row>
    <row r="37" spans="11:11" x14ac:dyDescent="0.35">
      <c r="K37"/>
    </row>
    <row r="38" spans="11:11" x14ac:dyDescent="0.35">
      <c r="K38"/>
    </row>
    <row r="39" spans="11:11" x14ac:dyDescent="0.35">
      <c r="K39"/>
    </row>
    <row r="40" spans="11:11" x14ac:dyDescent="0.35">
      <c r="K40"/>
    </row>
    <row r="41" spans="11:11" x14ac:dyDescent="0.35">
      <c r="K41"/>
    </row>
    <row r="42" spans="11:11" x14ac:dyDescent="0.35">
      <c r="K42"/>
    </row>
    <row r="43" spans="11:11" x14ac:dyDescent="0.35">
      <c r="K43"/>
    </row>
    <row r="44" spans="11:11" x14ac:dyDescent="0.35">
      <c r="K44"/>
    </row>
    <row r="45" spans="11:11" x14ac:dyDescent="0.35">
      <c r="K45"/>
    </row>
    <row r="46" spans="11:11" x14ac:dyDescent="0.35">
      <c r="K46"/>
    </row>
    <row r="47" spans="11:11" x14ac:dyDescent="0.35">
      <c r="K47"/>
    </row>
    <row r="48" spans="11:11" x14ac:dyDescent="0.35">
      <c r="K48"/>
    </row>
    <row r="49" spans="11:11" x14ac:dyDescent="0.35">
      <c r="K49"/>
    </row>
    <row r="50" spans="11:11" x14ac:dyDescent="0.35">
      <c r="K50"/>
    </row>
    <row r="51" spans="11:11" x14ac:dyDescent="0.35">
      <c r="K51"/>
    </row>
    <row r="52" spans="11:11" x14ac:dyDescent="0.35">
      <c r="K52"/>
    </row>
    <row r="53" spans="11:11" x14ac:dyDescent="0.35">
      <c r="K53"/>
    </row>
    <row r="54" spans="11:11" x14ac:dyDescent="0.35">
      <c r="K54"/>
    </row>
    <row r="55" spans="11:11" x14ac:dyDescent="0.35">
      <c r="K55"/>
    </row>
    <row r="56" spans="11:11" x14ac:dyDescent="0.35">
      <c r="K56"/>
    </row>
    <row r="57" spans="11:11" x14ac:dyDescent="0.35">
      <c r="K57"/>
    </row>
    <row r="58" spans="11:11" x14ac:dyDescent="0.35">
      <c r="K58"/>
    </row>
    <row r="59" spans="11:11" x14ac:dyDescent="0.35">
      <c r="K59"/>
    </row>
    <row r="60" spans="11:11" x14ac:dyDescent="0.35">
      <c r="K60"/>
    </row>
    <row r="61" spans="11:11" x14ac:dyDescent="0.35">
      <c r="K61"/>
    </row>
    <row r="62" spans="11:11" x14ac:dyDescent="0.35">
      <c r="K62"/>
    </row>
    <row r="63" spans="11:11" x14ac:dyDescent="0.35">
      <c r="K63"/>
    </row>
    <row r="64" spans="11:11" x14ac:dyDescent="0.35">
      <c r="K64"/>
    </row>
    <row r="65" spans="11:11" x14ac:dyDescent="0.35">
      <c r="K65"/>
    </row>
    <row r="66" spans="11:11" x14ac:dyDescent="0.35">
      <c r="K66"/>
    </row>
    <row r="67" spans="11:11" x14ac:dyDescent="0.35">
      <c r="K67"/>
    </row>
    <row r="68" spans="11:11" x14ac:dyDescent="0.35">
      <c r="K68"/>
    </row>
    <row r="69" spans="11:11" x14ac:dyDescent="0.35">
      <c r="K69"/>
    </row>
    <row r="70" spans="11:11" x14ac:dyDescent="0.35">
      <c r="K70"/>
    </row>
    <row r="71" spans="11:11" x14ac:dyDescent="0.35">
      <c r="K71"/>
    </row>
    <row r="72" spans="11:11" x14ac:dyDescent="0.35">
      <c r="K72"/>
    </row>
    <row r="73" spans="11:11" x14ac:dyDescent="0.35">
      <c r="K73"/>
    </row>
    <row r="74" spans="11:11" x14ac:dyDescent="0.35">
      <c r="K74"/>
    </row>
    <row r="75" spans="11:11" x14ac:dyDescent="0.35">
      <c r="K75"/>
    </row>
    <row r="76" spans="11:11" x14ac:dyDescent="0.35">
      <c r="K76"/>
    </row>
    <row r="77" spans="11:11" x14ac:dyDescent="0.35">
      <c r="K77"/>
    </row>
    <row r="78" spans="11:11" x14ac:dyDescent="0.35">
      <c r="K78"/>
    </row>
  </sheetData>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542"/>
  <sheetViews>
    <sheetView showGridLines="0" topLeftCell="H1" workbookViewId="0">
      <pane ySplit="1" topLeftCell="A2" activePane="bottomLeft" state="frozen"/>
      <selection pane="bottomLeft"/>
    </sheetView>
  </sheetViews>
  <sheetFormatPr defaultColWidth="8.7265625" defaultRowHeight="14.5" x14ac:dyDescent="0.35"/>
  <cols>
    <col min="1" max="1" width="15.81640625" style="1" customWidth="1"/>
    <col min="2" max="2" width="12.453125" style="1" bestFit="1" customWidth="1"/>
    <col min="3" max="3" width="35.81640625" style="1" customWidth="1"/>
    <col min="4" max="4" width="10.1796875" style="1" bestFit="1" customWidth="1"/>
    <col min="5" max="5" width="32.1796875" style="1" customWidth="1"/>
    <col min="6" max="6" width="33.54296875" style="1" customWidth="1"/>
    <col min="7" max="9" width="9.81640625" style="1" customWidth="1"/>
    <col min="10" max="10" width="8.1796875" style="1" customWidth="1"/>
    <col min="11" max="11" width="9" style="1" customWidth="1"/>
    <col min="12" max="12" width="9.81640625" style="1" customWidth="1"/>
    <col min="13" max="13" width="14" style="1" bestFit="1" customWidth="1"/>
    <col min="14" max="15" width="14.1796875" style="1" bestFit="1" customWidth="1"/>
    <col min="16" max="16" width="27.1796875" style="1" customWidth="1"/>
    <col min="17" max="17" width="14.453125" style="1" bestFit="1" customWidth="1"/>
    <col min="18" max="18" width="28.54296875" style="1" customWidth="1"/>
    <col min="19" max="19" width="7.26953125" style="1" customWidth="1"/>
    <col min="20" max="16384" width="8.7265625" style="1"/>
  </cols>
  <sheetData>
    <row r="1" spans="1:19" s="32" customFormat="1" ht="12" x14ac:dyDescent="0.3">
      <c r="A1" s="28" t="s">
        <v>1</v>
      </c>
      <c r="B1" s="28" t="s">
        <v>2</v>
      </c>
      <c r="C1" s="29" t="s">
        <v>3</v>
      </c>
      <c r="D1" s="30" t="s">
        <v>4</v>
      </c>
      <c r="E1" s="31" t="s">
        <v>5</v>
      </c>
      <c r="F1" s="28" t="s">
        <v>6</v>
      </c>
      <c r="G1" s="28" t="s">
        <v>7</v>
      </c>
      <c r="H1" s="28" t="s">
        <v>8</v>
      </c>
      <c r="I1" s="28" t="s">
        <v>9</v>
      </c>
      <c r="J1" s="28" t="s">
        <v>10</v>
      </c>
      <c r="K1" s="28" t="s">
        <v>11</v>
      </c>
      <c r="L1" s="29" t="s">
        <v>12</v>
      </c>
      <c r="M1" s="30" t="s">
        <v>13</v>
      </c>
      <c r="N1" s="30" t="s">
        <v>14</v>
      </c>
      <c r="O1" s="30" t="s">
        <v>15</v>
      </c>
      <c r="P1" s="60" t="s">
        <v>16</v>
      </c>
      <c r="Q1" s="30" t="s">
        <v>17</v>
      </c>
      <c r="R1" s="60" t="s">
        <v>18</v>
      </c>
      <c r="S1" s="32" t="s">
        <v>721</v>
      </c>
    </row>
    <row r="2" spans="1:19" x14ac:dyDescent="0.35">
      <c r="A2" s="2" t="s">
        <v>19</v>
      </c>
      <c r="B2" s="26">
        <v>8470110</v>
      </c>
      <c r="C2" s="3" t="s">
        <v>20</v>
      </c>
      <c r="D2" s="27">
        <v>420550</v>
      </c>
      <c r="E2" s="3" t="s">
        <v>21</v>
      </c>
      <c r="F2" s="3" t="s">
        <v>22</v>
      </c>
      <c r="G2" s="4">
        <v>30000</v>
      </c>
      <c r="H2" s="5">
        <v>27000</v>
      </c>
      <c r="I2" s="6"/>
      <c r="J2" s="7"/>
      <c r="K2" s="8"/>
      <c r="L2" s="9">
        <f>H2-I2-J2-K2</f>
        <v>27000</v>
      </c>
      <c r="M2" s="10"/>
      <c r="N2" s="10"/>
      <c r="O2" s="10"/>
      <c r="P2" s="61"/>
      <c r="Q2" s="4">
        <f>L2-M2-N2-O2</f>
        <v>27000</v>
      </c>
      <c r="R2" s="61"/>
      <c r="S2" s="1" t="s">
        <v>838</v>
      </c>
    </row>
    <row r="3" spans="1:19" x14ac:dyDescent="0.35">
      <c r="A3" s="2" t="s">
        <v>19</v>
      </c>
      <c r="B3" s="26">
        <v>8470110</v>
      </c>
      <c r="C3" s="3" t="s">
        <v>20</v>
      </c>
      <c r="D3" s="27">
        <v>420570</v>
      </c>
      <c r="E3" s="3" t="s">
        <v>23</v>
      </c>
      <c r="F3" s="3" t="s">
        <v>24</v>
      </c>
      <c r="G3" s="4">
        <v>3705121</v>
      </c>
      <c r="H3" s="5">
        <v>1</v>
      </c>
      <c r="I3" s="6"/>
      <c r="J3" s="7"/>
      <c r="K3" s="8"/>
      <c r="L3" s="9">
        <f t="shared" ref="L3:L66" si="0">H3-I3-J3-K3</f>
        <v>1</v>
      </c>
      <c r="M3" s="10"/>
      <c r="N3" s="10"/>
      <c r="O3" s="10"/>
      <c r="P3" s="61"/>
      <c r="Q3" s="4">
        <f t="shared" ref="Q3:Q66" si="1">L3-M3-N3-O3</f>
        <v>1</v>
      </c>
      <c r="R3" s="61"/>
      <c r="S3" s="1" t="s">
        <v>838</v>
      </c>
    </row>
    <row r="4" spans="1:19" x14ac:dyDescent="0.35">
      <c r="A4" s="2" t="s">
        <v>19</v>
      </c>
      <c r="B4" s="26">
        <v>8470110</v>
      </c>
      <c r="C4" s="3" t="s">
        <v>20</v>
      </c>
      <c r="D4" s="27">
        <v>420900</v>
      </c>
      <c r="E4" s="3" t="s">
        <v>25</v>
      </c>
      <c r="F4" s="3" t="s">
        <v>26</v>
      </c>
      <c r="G4" s="4">
        <v>1500</v>
      </c>
      <c r="H4" s="5">
        <v>4500</v>
      </c>
      <c r="I4" s="6"/>
      <c r="J4" s="7"/>
      <c r="K4" s="8"/>
      <c r="L4" s="9">
        <f t="shared" si="0"/>
        <v>4500</v>
      </c>
      <c r="M4" s="10"/>
      <c r="N4" s="10"/>
      <c r="O4" s="10"/>
      <c r="P4" s="61"/>
      <c r="Q4" s="4">
        <f t="shared" si="1"/>
        <v>4500</v>
      </c>
      <c r="R4" s="61"/>
      <c r="S4" s="1" t="s">
        <v>838</v>
      </c>
    </row>
    <row r="5" spans="1:19" x14ac:dyDescent="0.35">
      <c r="A5" s="2" t="s">
        <v>19</v>
      </c>
      <c r="B5" s="26">
        <v>8470110</v>
      </c>
      <c r="C5" s="3" t="s">
        <v>20</v>
      </c>
      <c r="D5" s="27">
        <v>421000</v>
      </c>
      <c r="E5" s="3" t="s">
        <v>27</v>
      </c>
      <c r="F5" s="3" t="s">
        <v>28</v>
      </c>
      <c r="G5" s="4">
        <v>200000</v>
      </c>
      <c r="H5" s="5">
        <v>149972</v>
      </c>
      <c r="I5" s="6"/>
      <c r="J5" s="7"/>
      <c r="K5" s="8"/>
      <c r="L5" s="9">
        <f t="shared" si="0"/>
        <v>149972</v>
      </c>
      <c r="M5" s="10"/>
      <c r="N5" s="10"/>
      <c r="O5" s="10"/>
      <c r="P5" s="61"/>
      <c r="Q5" s="4">
        <f t="shared" si="1"/>
        <v>149972</v>
      </c>
      <c r="R5" s="61"/>
      <c r="S5" s="1" t="s">
        <v>838</v>
      </c>
    </row>
    <row r="6" spans="1:19" x14ac:dyDescent="0.35">
      <c r="A6" s="2" t="s">
        <v>19</v>
      </c>
      <c r="B6" s="26">
        <v>8470110</v>
      </c>
      <c r="C6" s="3" t="s">
        <v>20</v>
      </c>
      <c r="D6" s="27">
        <v>421700</v>
      </c>
      <c r="E6" s="3" t="s">
        <v>29</v>
      </c>
      <c r="F6" s="3" t="s">
        <v>30</v>
      </c>
      <c r="G6" s="4">
        <v>25000</v>
      </c>
      <c r="H6" s="5">
        <v>25000</v>
      </c>
      <c r="I6" s="6"/>
      <c r="J6" s="7"/>
      <c r="K6" s="8"/>
      <c r="L6" s="9">
        <f t="shared" si="0"/>
        <v>25000</v>
      </c>
      <c r="M6" s="10"/>
      <c r="N6" s="10"/>
      <c r="O6" s="10"/>
      <c r="P6" s="61"/>
      <c r="Q6" s="4">
        <f t="shared" si="1"/>
        <v>25000</v>
      </c>
      <c r="R6" s="61"/>
      <c r="S6" s="1" t="s">
        <v>838</v>
      </c>
    </row>
    <row r="7" spans="1:19" x14ac:dyDescent="0.35">
      <c r="A7" s="2" t="s">
        <v>19</v>
      </c>
      <c r="B7" s="26">
        <v>8470110</v>
      </c>
      <c r="C7" s="3" t="s">
        <v>20</v>
      </c>
      <c r="D7" s="27">
        <v>425510</v>
      </c>
      <c r="E7" s="3" t="s">
        <v>31</v>
      </c>
      <c r="F7" s="3" t="s">
        <v>32</v>
      </c>
      <c r="G7" s="4">
        <v>300000</v>
      </c>
      <c r="H7" s="5">
        <v>300000</v>
      </c>
      <c r="I7" s="11">
        <v>40110</v>
      </c>
      <c r="J7" s="7"/>
      <c r="K7" s="8"/>
      <c r="L7" s="9">
        <f t="shared" si="0"/>
        <v>259890</v>
      </c>
      <c r="M7" s="10"/>
      <c r="N7" s="10"/>
      <c r="O7" s="10"/>
      <c r="P7" s="61"/>
      <c r="Q7" s="4">
        <f t="shared" si="1"/>
        <v>259890</v>
      </c>
      <c r="R7" s="61"/>
      <c r="S7" s="1" t="s">
        <v>838</v>
      </c>
    </row>
    <row r="8" spans="1:19" x14ac:dyDescent="0.35">
      <c r="A8" s="2" t="s">
        <v>19</v>
      </c>
      <c r="B8" s="26">
        <v>8470110</v>
      </c>
      <c r="C8" s="3" t="s">
        <v>20</v>
      </c>
      <c r="D8" s="27">
        <v>425550</v>
      </c>
      <c r="E8" s="3" t="s">
        <v>33</v>
      </c>
      <c r="F8" s="3" t="s">
        <v>34</v>
      </c>
      <c r="G8" s="4">
        <v>300000</v>
      </c>
      <c r="H8" s="5">
        <v>300000</v>
      </c>
      <c r="I8" s="11">
        <v>6600</v>
      </c>
      <c r="J8" s="7"/>
      <c r="K8" s="8"/>
      <c r="L8" s="9">
        <f t="shared" si="0"/>
        <v>293400</v>
      </c>
      <c r="M8" s="10"/>
      <c r="N8" s="10"/>
      <c r="O8" s="10"/>
      <c r="P8" s="61"/>
      <c r="Q8" s="4">
        <f t="shared" si="1"/>
        <v>293400</v>
      </c>
      <c r="R8" s="61"/>
      <c r="S8" s="1" t="s">
        <v>838</v>
      </c>
    </row>
    <row r="9" spans="1:19" x14ac:dyDescent="0.35">
      <c r="A9" s="2" t="s">
        <v>19</v>
      </c>
      <c r="B9" s="26">
        <v>8470110</v>
      </c>
      <c r="C9" s="3" t="s">
        <v>20</v>
      </c>
      <c r="D9" s="27">
        <v>425900</v>
      </c>
      <c r="E9" s="3" t="s">
        <v>35</v>
      </c>
      <c r="F9" s="3" t="s">
        <v>36</v>
      </c>
      <c r="G9" s="4">
        <v>10000</v>
      </c>
      <c r="H9" s="5">
        <v>10000</v>
      </c>
      <c r="I9" s="11">
        <v>5302.5</v>
      </c>
      <c r="J9" s="7"/>
      <c r="K9" s="8"/>
      <c r="L9" s="9">
        <f t="shared" si="0"/>
        <v>4697.5</v>
      </c>
      <c r="M9" s="10"/>
      <c r="N9" s="10"/>
      <c r="O9" s="10"/>
      <c r="P9" s="61"/>
      <c r="Q9" s="4">
        <f t="shared" si="1"/>
        <v>4697.5</v>
      </c>
      <c r="R9" s="61"/>
      <c r="S9" s="1" t="s">
        <v>838</v>
      </c>
    </row>
    <row r="10" spans="1:19" x14ac:dyDescent="0.35">
      <c r="A10" s="2" t="s">
        <v>19</v>
      </c>
      <c r="B10" s="26">
        <v>8470110</v>
      </c>
      <c r="C10" s="3" t="s">
        <v>20</v>
      </c>
      <c r="D10" s="27">
        <v>426610</v>
      </c>
      <c r="E10" s="3" t="s">
        <v>37</v>
      </c>
      <c r="F10" s="3" t="s">
        <v>38</v>
      </c>
      <c r="G10" s="4">
        <v>518388</v>
      </c>
      <c r="H10" s="5">
        <v>508388</v>
      </c>
      <c r="I10" s="11">
        <v>42239.5</v>
      </c>
      <c r="J10" s="7"/>
      <c r="K10" s="8"/>
      <c r="L10" s="9">
        <f t="shared" si="0"/>
        <v>466148.5</v>
      </c>
      <c r="M10" s="10"/>
      <c r="N10" s="10"/>
      <c r="O10" s="10"/>
      <c r="P10" s="61"/>
      <c r="Q10" s="4">
        <f t="shared" si="1"/>
        <v>466148.5</v>
      </c>
      <c r="R10" s="61"/>
      <c r="S10" s="1" t="s">
        <v>838</v>
      </c>
    </row>
    <row r="11" spans="1:19" x14ac:dyDescent="0.35">
      <c r="A11" s="2" t="s">
        <v>19</v>
      </c>
      <c r="B11" s="26">
        <v>8470110</v>
      </c>
      <c r="C11" s="3" t="s">
        <v>20</v>
      </c>
      <c r="D11" s="27">
        <v>428090</v>
      </c>
      <c r="E11" s="3" t="s">
        <v>39</v>
      </c>
      <c r="F11" s="3" t="s">
        <v>40</v>
      </c>
      <c r="G11" s="4">
        <v>1000000</v>
      </c>
      <c r="H11" s="5">
        <v>276463</v>
      </c>
      <c r="I11" s="11">
        <v>137470.5</v>
      </c>
      <c r="J11" s="7"/>
      <c r="K11" s="8"/>
      <c r="L11" s="9">
        <f t="shared" si="0"/>
        <v>138992.5</v>
      </c>
      <c r="M11" s="10"/>
      <c r="N11" s="10"/>
      <c r="O11" s="10"/>
      <c r="P11" s="61"/>
      <c r="Q11" s="4">
        <f t="shared" si="1"/>
        <v>138992.5</v>
      </c>
      <c r="R11" s="61"/>
      <c r="S11" s="1" t="s">
        <v>838</v>
      </c>
    </row>
    <row r="12" spans="1:19" x14ac:dyDescent="0.35">
      <c r="A12" s="2" t="s">
        <v>19</v>
      </c>
      <c r="B12" s="26">
        <v>8470110</v>
      </c>
      <c r="C12" s="3" t="s">
        <v>20</v>
      </c>
      <c r="D12" s="27">
        <v>428400</v>
      </c>
      <c r="E12" s="3" t="s">
        <v>41</v>
      </c>
      <c r="F12" s="3" t="s">
        <v>42</v>
      </c>
      <c r="G12" s="4">
        <v>50000</v>
      </c>
      <c r="H12" s="5">
        <v>50000</v>
      </c>
      <c r="I12" s="6"/>
      <c r="J12" s="7"/>
      <c r="K12" s="8"/>
      <c r="L12" s="9">
        <f t="shared" si="0"/>
        <v>50000</v>
      </c>
      <c r="M12" s="10"/>
      <c r="N12" s="10"/>
      <c r="O12" s="10"/>
      <c r="P12" s="61"/>
      <c r="Q12" s="4">
        <f t="shared" si="1"/>
        <v>50000</v>
      </c>
      <c r="R12" s="61"/>
      <c r="S12" s="1" t="s">
        <v>838</v>
      </c>
    </row>
    <row r="13" spans="1:19" x14ac:dyDescent="0.35">
      <c r="A13" s="2" t="s">
        <v>19</v>
      </c>
      <c r="B13" s="26">
        <v>8470110</v>
      </c>
      <c r="C13" s="3" t="s">
        <v>20</v>
      </c>
      <c r="D13" s="27">
        <v>428640</v>
      </c>
      <c r="E13" s="3" t="s">
        <v>43</v>
      </c>
      <c r="F13" s="3" t="s">
        <v>44</v>
      </c>
      <c r="G13" s="4">
        <v>100000</v>
      </c>
      <c r="H13" s="5">
        <v>50745</v>
      </c>
      <c r="I13" s="6"/>
      <c r="J13" s="7"/>
      <c r="K13" s="8"/>
      <c r="L13" s="9">
        <f t="shared" si="0"/>
        <v>50745</v>
      </c>
      <c r="M13" s="10"/>
      <c r="N13" s="10"/>
      <c r="O13" s="10"/>
      <c r="P13" s="61"/>
      <c r="Q13" s="4">
        <f t="shared" si="1"/>
        <v>50745</v>
      </c>
      <c r="R13" s="61"/>
      <c r="S13" s="1" t="s">
        <v>838</v>
      </c>
    </row>
    <row r="14" spans="1:19" x14ac:dyDescent="0.35">
      <c r="A14" s="2" t="s">
        <v>19</v>
      </c>
      <c r="B14" s="26">
        <v>8470120</v>
      </c>
      <c r="C14" s="3" t="s">
        <v>45</v>
      </c>
      <c r="D14" s="27">
        <v>420120</v>
      </c>
      <c r="E14" s="3" t="s">
        <v>46</v>
      </c>
      <c r="F14" s="3" t="s">
        <v>47</v>
      </c>
      <c r="G14" s="4">
        <v>500000</v>
      </c>
      <c r="H14" s="5">
        <v>550028</v>
      </c>
      <c r="I14" s="11">
        <v>79851</v>
      </c>
      <c r="J14" s="12">
        <v>0</v>
      </c>
      <c r="K14" s="5">
        <v>470177</v>
      </c>
      <c r="L14" s="9">
        <f t="shared" si="0"/>
        <v>0</v>
      </c>
      <c r="M14" s="10"/>
      <c r="N14" s="10"/>
      <c r="O14" s="10"/>
      <c r="P14" s="61"/>
      <c r="Q14" s="4">
        <f t="shared" si="1"/>
        <v>0</v>
      </c>
      <c r="R14" s="61"/>
      <c r="S14" s="1" t="s">
        <v>838</v>
      </c>
    </row>
    <row r="15" spans="1:19" s="35" customFormat="1" x14ac:dyDescent="0.35">
      <c r="A15" s="33" t="s">
        <v>19</v>
      </c>
      <c r="B15" s="48">
        <v>8470130</v>
      </c>
      <c r="C15" s="49" t="s">
        <v>48</v>
      </c>
      <c r="D15" s="50">
        <v>421000</v>
      </c>
      <c r="E15" s="49" t="s">
        <v>27</v>
      </c>
      <c r="F15" s="49" t="s">
        <v>49</v>
      </c>
      <c r="G15" s="51">
        <v>720000</v>
      </c>
      <c r="H15" s="52">
        <v>604900</v>
      </c>
      <c r="I15" s="59"/>
      <c r="J15" s="57"/>
      <c r="K15" s="58"/>
      <c r="L15" s="9">
        <f t="shared" si="0"/>
        <v>604900</v>
      </c>
      <c r="M15" s="56"/>
      <c r="N15" s="56"/>
      <c r="O15" s="56"/>
      <c r="P15" s="63"/>
      <c r="Q15" s="51">
        <f t="shared" si="1"/>
        <v>604900</v>
      </c>
      <c r="R15" s="63"/>
      <c r="S15" s="34" t="s">
        <v>722</v>
      </c>
    </row>
    <row r="16" spans="1:19" s="35" customFormat="1" x14ac:dyDescent="0.35">
      <c r="A16" s="33" t="s">
        <v>19</v>
      </c>
      <c r="B16" s="48">
        <v>8470130</v>
      </c>
      <c r="C16" s="49" t="s">
        <v>48</v>
      </c>
      <c r="D16" s="50">
        <v>426610</v>
      </c>
      <c r="E16" s="49" t="s">
        <v>37</v>
      </c>
      <c r="F16" s="49" t="s">
        <v>50</v>
      </c>
      <c r="G16" s="51">
        <v>735000</v>
      </c>
      <c r="H16" s="52">
        <v>735000</v>
      </c>
      <c r="I16" s="59"/>
      <c r="J16" s="57"/>
      <c r="K16" s="58"/>
      <c r="L16" s="9">
        <f t="shared" si="0"/>
        <v>735000</v>
      </c>
      <c r="M16" s="56"/>
      <c r="N16" s="56"/>
      <c r="O16" s="56"/>
      <c r="P16" s="63"/>
      <c r="Q16" s="51">
        <f t="shared" si="1"/>
        <v>735000</v>
      </c>
      <c r="R16" s="63"/>
      <c r="S16" s="34" t="s">
        <v>722</v>
      </c>
    </row>
    <row r="17" spans="1:19" s="35" customFormat="1" x14ac:dyDescent="0.35">
      <c r="A17" s="33" t="s">
        <v>19</v>
      </c>
      <c r="B17" s="48">
        <v>8470130</v>
      </c>
      <c r="C17" s="49" t="s">
        <v>48</v>
      </c>
      <c r="D17" s="50">
        <v>427710</v>
      </c>
      <c r="E17" s="49" t="s">
        <v>51</v>
      </c>
      <c r="F17" s="49" t="s">
        <v>52</v>
      </c>
      <c r="G17" s="51">
        <v>0</v>
      </c>
      <c r="H17" s="52">
        <v>115000</v>
      </c>
      <c r="I17" s="53">
        <v>114759</v>
      </c>
      <c r="J17" s="57"/>
      <c r="K17" s="58"/>
      <c r="L17" s="9">
        <f t="shared" si="0"/>
        <v>241</v>
      </c>
      <c r="M17" s="56"/>
      <c r="N17" s="56"/>
      <c r="O17" s="56"/>
      <c r="P17" s="63"/>
      <c r="Q17" s="51">
        <f t="shared" si="1"/>
        <v>241</v>
      </c>
      <c r="R17" s="63"/>
      <c r="S17" s="34" t="s">
        <v>722</v>
      </c>
    </row>
    <row r="18" spans="1:19" s="35" customFormat="1" x14ac:dyDescent="0.35">
      <c r="A18" s="33" t="s">
        <v>19</v>
      </c>
      <c r="B18" s="48">
        <v>8470130</v>
      </c>
      <c r="C18" s="49" t="s">
        <v>48</v>
      </c>
      <c r="D18" s="50">
        <v>428090</v>
      </c>
      <c r="E18" s="49" t="s">
        <v>39</v>
      </c>
      <c r="F18" s="49" t="s">
        <v>53</v>
      </c>
      <c r="G18" s="51">
        <v>180000</v>
      </c>
      <c r="H18" s="52">
        <v>37543</v>
      </c>
      <c r="I18" s="53">
        <v>1650</v>
      </c>
      <c r="J18" s="57"/>
      <c r="K18" s="58"/>
      <c r="L18" s="9">
        <f t="shared" si="0"/>
        <v>35893</v>
      </c>
      <c r="M18" s="56"/>
      <c r="N18" s="56"/>
      <c r="O18" s="56"/>
      <c r="P18" s="63"/>
      <c r="Q18" s="51">
        <f t="shared" si="1"/>
        <v>35893</v>
      </c>
      <c r="R18" s="63"/>
      <c r="S18" s="34" t="s">
        <v>722</v>
      </c>
    </row>
    <row r="19" spans="1:19" ht="43.5" x14ac:dyDescent="0.35">
      <c r="A19" s="2" t="s">
        <v>19</v>
      </c>
      <c r="B19" s="48">
        <v>8470140</v>
      </c>
      <c r="C19" s="49" t="s">
        <v>54</v>
      </c>
      <c r="D19" s="50">
        <v>425100</v>
      </c>
      <c r="E19" s="49" t="s">
        <v>55</v>
      </c>
      <c r="F19" s="49" t="s">
        <v>56</v>
      </c>
      <c r="G19" s="51">
        <v>4578464</v>
      </c>
      <c r="H19" s="52">
        <v>5227464</v>
      </c>
      <c r="I19" s="53">
        <v>2057917.4399999999</v>
      </c>
      <c r="J19" s="54">
        <v>2056990</v>
      </c>
      <c r="K19" s="52">
        <v>622131.75</v>
      </c>
      <c r="L19" s="9">
        <f t="shared" si="0"/>
        <v>490424.81000000006</v>
      </c>
      <c r="M19" s="66">
        <v>160000</v>
      </c>
      <c r="N19" s="66">
        <v>250000</v>
      </c>
      <c r="O19" s="66">
        <f>95745-15320</f>
        <v>80425</v>
      </c>
      <c r="P19" s="62" t="s">
        <v>724</v>
      </c>
      <c r="Q19" s="51">
        <f t="shared" si="1"/>
        <v>-0.18999999994412065</v>
      </c>
      <c r="R19" s="63"/>
      <c r="S19" s="34" t="s">
        <v>722</v>
      </c>
    </row>
    <row r="20" spans="1:19" ht="29" x14ac:dyDescent="0.35">
      <c r="A20" s="2" t="s">
        <v>19</v>
      </c>
      <c r="B20" s="48">
        <v>8470140</v>
      </c>
      <c r="C20" s="49" t="s">
        <v>54</v>
      </c>
      <c r="D20" s="50">
        <v>425510</v>
      </c>
      <c r="E20" s="49" t="s">
        <v>31</v>
      </c>
      <c r="F20" s="49" t="s">
        <v>57</v>
      </c>
      <c r="G20" s="51">
        <v>5425358</v>
      </c>
      <c r="H20" s="52">
        <v>6216546</v>
      </c>
      <c r="I20" s="53">
        <v>2569677.79</v>
      </c>
      <c r="J20" s="54">
        <v>2206800</v>
      </c>
      <c r="K20" s="52">
        <v>1089369.49</v>
      </c>
      <c r="L20" s="9">
        <f t="shared" si="0"/>
        <v>350698.72</v>
      </c>
      <c r="M20" s="56">
        <v>100699</v>
      </c>
      <c r="N20" s="56">
        <v>250000</v>
      </c>
      <c r="O20" s="56"/>
      <c r="P20" s="62" t="s">
        <v>725</v>
      </c>
      <c r="Q20" s="51">
        <f t="shared" si="1"/>
        <v>-0.28000000002793968</v>
      </c>
      <c r="R20" s="63"/>
      <c r="S20" s="34" t="s">
        <v>722</v>
      </c>
    </row>
    <row r="21" spans="1:19" x14ac:dyDescent="0.35">
      <c r="A21" s="2" t="s">
        <v>19</v>
      </c>
      <c r="B21" s="48">
        <v>8470140</v>
      </c>
      <c r="C21" s="49" t="s">
        <v>54</v>
      </c>
      <c r="D21" s="50">
        <v>425550</v>
      </c>
      <c r="E21" s="49" t="s">
        <v>33</v>
      </c>
      <c r="F21" s="49" t="s">
        <v>58</v>
      </c>
      <c r="G21" s="51">
        <v>791955</v>
      </c>
      <c r="H21" s="52">
        <v>2955</v>
      </c>
      <c r="I21" s="53">
        <v>2942.71</v>
      </c>
      <c r="J21" s="57"/>
      <c r="K21" s="58"/>
      <c r="L21" s="9">
        <f t="shared" si="0"/>
        <v>12.289999999999964</v>
      </c>
      <c r="M21" s="56"/>
      <c r="N21" s="56"/>
      <c r="O21" s="56"/>
      <c r="P21" s="63"/>
      <c r="Q21" s="51">
        <f t="shared" si="1"/>
        <v>12.289999999999964</v>
      </c>
      <c r="R21" s="63"/>
      <c r="S21" s="34" t="s">
        <v>722</v>
      </c>
    </row>
    <row r="22" spans="1:19" x14ac:dyDescent="0.35">
      <c r="A22" s="2" t="s">
        <v>19</v>
      </c>
      <c r="B22" s="48">
        <v>8470140</v>
      </c>
      <c r="C22" s="49" t="s">
        <v>54</v>
      </c>
      <c r="D22" s="50">
        <v>425763</v>
      </c>
      <c r="E22" s="49" t="s">
        <v>59</v>
      </c>
      <c r="F22" s="49" t="s">
        <v>60</v>
      </c>
      <c r="G22" s="51">
        <v>0</v>
      </c>
      <c r="H22" s="52">
        <v>453163</v>
      </c>
      <c r="I22" s="53">
        <v>154662.9</v>
      </c>
      <c r="J22" s="54">
        <v>298500</v>
      </c>
      <c r="K22" s="52">
        <v>0</v>
      </c>
      <c r="L22" s="9">
        <f t="shared" si="0"/>
        <v>9.9999999976716936E-2</v>
      </c>
      <c r="M22" s="56"/>
      <c r="N22" s="56"/>
      <c r="O22" s="56"/>
      <c r="P22" s="63"/>
      <c r="Q22" s="51">
        <f t="shared" si="1"/>
        <v>9.9999999976716936E-2</v>
      </c>
      <c r="R22" s="63"/>
      <c r="S22" s="34" t="s">
        <v>722</v>
      </c>
    </row>
    <row r="23" spans="1:19" ht="43.5" x14ac:dyDescent="0.35">
      <c r="A23" s="2" t="s">
        <v>19</v>
      </c>
      <c r="B23" s="48">
        <v>8470140</v>
      </c>
      <c r="C23" s="49" t="s">
        <v>54</v>
      </c>
      <c r="D23" s="50">
        <v>427100</v>
      </c>
      <c r="E23" s="49" t="s">
        <v>61</v>
      </c>
      <c r="F23" s="49" t="s">
        <v>62</v>
      </c>
      <c r="G23" s="51">
        <v>1157850</v>
      </c>
      <c r="H23" s="52">
        <v>1157850</v>
      </c>
      <c r="I23" s="59"/>
      <c r="J23" s="54">
        <v>909458.75</v>
      </c>
      <c r="K23" s="58"/>
      <c r="L23" s="9">
        <f t="shared" si="0"/>
        <v>248391.25</v>
      </c>
      <c r="M23" s="56">
        <v>156000</v>
      </c>
      <c r="N23" s="56">
        <v>92391</v>
      </c>
      <c r="O23" s="56"/>
      <c r="P23" s="62" t="s">
        <v>723</v>
      </c>
      <c r="Q23" s="51">
        <f t="shared" si="1"/>
        <v>0.25</v>
      </c>
      <c r="R23" s="63"/>
      <c r="S23" s="34" t="s">
        <v>722</v>
      </c>
    </row>
    <row r="24" spans="1:19" x14ac:dyDescent="0.35">
      <c r="A24" s="2" t="s">
        <v>19</v>
      </c>
      <c r="B24" s="48">
        <v>8470140</v>
      </c>
      <c r="C24" s="49" t="s">
        <v>54</v>
      </c>
      <c r="D24" s="50">
        <v>427200</v>
      </c>
      <c r="E24" s="49" t="s">
        <v>63</v>
      </c>
      <c r="F24" s="49" t="s">
        <v>64</v>
      </c>
      <c r="G24" s="51">
        <v>750000</v>
      </c>
      <c r="H24" s="52">
        <v>50000</v>
      </c>
      <c r="I24" s="53">
        <v>20841.47</v>
      </c>
      <c r="J24" s="57"/>
      <c r="K24" s="58"/>
      <c r="L24" s="9">
        <f t="shared" si="0"/>
        <v>29158.53</v>
      </c>
      <c r="M24" s="56"/>
      <c r="N24" s="56"/>
      <c r="O24" s="56"/>
      <c r="P24" s="63"/>
      <c r="Q24" s="51">
        <f t="shared" si="1"/>
        <v>29158.53</v>
      </c>
      <c r="R24" s="63"/>
      <c r="S24" s="34" t="s">
        <v>722</v>
      </c>
    </row>
    <row r="25" spans="1:19" x14ac:dyDescent="0.35">
      <c r="A25" s="2" t="s">
        <v>19</v>
      </c>
      <c r="B25" s="48">
        <v>8470140</v>
      </c>
      <c r="C25" s="49" t="s">
        <v>54</v>
      </c>
      <c r="D25" s="50">
        <v>428640</v>
      </c>
      <c r="E25" s="49" t="s">
        <v>43</v>
      </c>
      <c r="F25" s="49" t="s">
        <v>65</v>
      </c>
      <c r="G25" s="51">
        <v>998000</v>
      </c>
      <c r="H25" s="52">
        <v>238000</v>
      </c>
      <c r="I25" s="53">
        <v>20594.009999999998</v>
      </c>
      <c r="J25" s="54">
        <v>0</v>
      </c>
      <c r="K25" s="52">
        <v>177011</v>
      </c>
      <c r="L25" s="9">
        <f t="shared" si="0"/>
        <v>40394.989999999991</v>
      </c>
      <c r="M25" s="56"/>
      <c r="N25" s="56"/>
      <c r="O25" s="56"/>
      <c r="P25" s="63"/>
      <c r="Q25" s="51">
        <f t="shared" si="1"/>
        <v>40394.989999999991</v>
      </c>
      <c r="R25" s="63"/>
      <c r="S25" s="34" t="s">
        <v>722</v>
      </c>
    </row>
    <row r="26" spans="1:19" x14ac:dyDescent="0.35">
      <c r="A26" s="2" t="s">
        <v>19</v>
      </c>
      <c r="B26" s="48">
        <v>8470140</v>
      </c>
      <c r="C26" s="49" t="s">
        <v>54</v>
      </c>
      <c r="D26" s="50">
        <v>435310</v>
      </c>
      <c r="E26" s="49" t="s">
        <v>66</v>
      </c>
      <c r="F26" s="49" t="s">
        <v>67</v>
      </c>
      <c r="G26" s="51">
        <v>10000</v>
      </c>
      <c r="H26" s="52">
        <v>10000</v>
      </c>
      <c r="I26" s="59"/>
      <c r="J26" s="57"/>
      <c r="K26" s="58"/>
      <c r="L26" s="9">
        <f t="shared" si="0"/>
        <v>10000</v>
      </c>
      <c r="M26" s="56"/>
      <c r="N26" s="56"/>
      <c r="O26" s="56"/>
      <c r="P26" s="63"/>
      <c r="Q26" s="51">
        <f t="shared" si="1"/>
        <v>10000</v>
      </c>
      <c r="R26" s="63"/>
      <c r="S26" s="34" t="s">
        <v>722</v>
      </c>
    </row>
    <row r="27" spans="1:19" x14ac:dyDescent="0.35">
      <c r="A27" s="2" t="s">
        <v>19</v>
      </c>
      <c r="B27" s="48">
        <v>8470140</v>
      </c>
      <c r="C27" s="49" t="s">
        <v>54</v>
      </c>
      <c r="D27" s="50">
        <v>435519</v>
      </c>
      <c r="E27" s="49" t="s">
        <v>68</v>
      </c>
      <c r="F27" s="49" t="s">
        <v>69</v>
      </c>
      <c r="G27" s="51">
        <v>135000</v>
      </c>
      <c r="H27" s="52">
        <v>43812</v>
      </c>
      <c r="I27" s="53">
        <v>43812</v>
      </c>
      <c r="J27" s="54">
        <v>0</v>
      </c>
      <c r="K27" s="52">
        <v>0</v>
      </c>
      <c r="L27" s="9">
        <f t="shared" si="0"/>
        <v>0</v>
      </c>
      <c r="M27" s="56"/>
      <c r="N27" s="56"/>
      <c r="O27" s="56"/>
      <c r="P27" s="63"/>
      <c r="Q27" s="51">
        <f t="shared" si="1"/>
        <v>0</v>
      </c>
      <c r="R27" s="63"/>
      <c r="S27" s="34" t="s">
        <v>722</v>
      </c>
    </row>
    <row r="28" spans="1:19" x14ac:dyDescent="0.35">
      <c r="A28" s="2" t="s">
        <v>19</v>
      </c>
      <c r="B28" s="26">
        <v>8470150</v>
      </c>
      <c r="C28" s="3" t="s">
        <v>70</v>
      </c>
      <c r="D28" s="27">
        <v>420900</v>
      </c>
      <c r="E28" s="3" t="s">
        <v>25</v>
      </c>
      <c r="F28" s="3" t="s">
        <v>71</v>
      </c>
      <c r="G28" s="4">
        <v>0</v>
      </c>
      <c r="H28" s="5">
        <v>32600</v>
      </c>
      <c r="I28" s="11">
        <v>24142.82</v>
      </c>
      <c r="J28" s="7"/>
      <c r="K28" s="8"/>
      <c r="L28" s="9">
        <f t="shared" si="0"/>
        <v>8457.18</v>
      </c>
      <c r="M28" s="10"/>
      <c r="N28" s="10"/>
      <c r="O28" s="10"/>
      <c r="P28" s="61"/>
      <c r="Q28" s="4">
        <f t="shared" si="1"/>
        <v>8457.18</v>
      </c>
      <c r="R28" s="61"/>
      <c r="S28" s="1" t="s">
        <v>838</v>
      </c>
    </row>
    <row r="29" spans="1:19" x14ac:dyDescent="0.35">
      <c r="A29" s="2" t="s">
        <v>19</v>
      </c>
      <c r="B29" s="26">
        <v>8470210</v>
      </c>
      <c r="C29" s="3" t="s">
        <v>72</v>
      </c>
      <c r="D29" s="27">
        <v>420570</v>
      </c>
      <c r="E29" s="3" t="s">
        <v>23</v>
      </c>
      <c r="F29" s="3" t="s">
        <v>73</v>
      </c>
      <c r="G29" s="4">
        <v>0</v>
      </c>
      <c r="H29" s="5">
        <v>2603121</v>
      </c>
      <c r="I29" s="6"/>
      <c r="J29" s="7"/>
      <c r="K29" s="8"/>
      <c r="L29" s="9">
        <f t="shared" si="0"/>
        <v>2603121</v>
      </c>
      <c r="M29" s="10"/>
      <c r="N29" s="10"/>
      <c r="O29" s="10"/>
      <c r="P29" s="61"/>
      <c r="Q29" s="4">
        <f t="shared" si="1"/>
        <v>2603121</v>
      </c>
      <c r="R29" s="61"/>
      <c r="S29" s="1" t="s">
        <v>838</v>
      </c>
    </row>
    <row r="30" spans="1:19" x14ac:dyDescent="0.35">
      <c r="A30" s="2" t="s">
        <v>19</v>
      </c>
      <c r="B30" s="26">
        <v>8470210</v>
      </c>
      <c r="C30" s="3" t="s">
        <v>72</v>
      </c>
      <c r="D30" s="27">
        <v>425770</v>
      </c>
      <c r="E30" s="3" t="s">
        <v>74</v>
      </c>
      <c r="F30" s="3" t="s">
        <v>75</v>
      </c>
      <c r="G30" s="4">
        <v>0</v>
      </c>
      <c r="H30" s="5">
        <v>2973778</v>
      </c>
      <c r="I30" s="6"/>
      <c r="J30" s="7"/>
      <c r="K30" s="8"/>
      <c r="L30" s="9">
        <f t="shared" si="0"/>
        <v>2973778</v>
      </c>
      <c r="M30" s="10"/>
      <c r="N30" s="10"/>
      <c r="O30" s="10"/>
      <c r="P30" s="61"/>
      <c r="Q30" s="4">
        <f t="shared" si="1"/>
        <v>2973778</v>
      </c>
      <c r="R30" s="61"/>
      <c r="S30" s="1" t="s">
        <v>838</v>
      </c>
    </row>
    <row r="31" spans="1:19" x14ac:dyDescent="0.35">
      <c r="A31" s="2" t="s">
        <v>19</v>
      </c>
      <c r="B31" s="26">
        <v>8470210</v>
      </c>
      <c r="C31" s="3" t="s">
        <v>72</v>
      </c>
      <c r="D31" s="27">
        <v>427200</v>
      </c>
      <c r="E31" s="3" t="s">
        <v>63</v>
      </c>
      <c r="F31" s="3" t="s">
        <v>76</v>
      </c>
      <c r="G31" s="4">
        <v>0</v>
      </c>
      <c r="H31" s="5">
        <v>746464</v>
      </c>
      <c r="I31" s="6"/>
      <c r="J31" s="7"/>
      <c r="K31" s="8"/>
      <c r="L31" s="9">
        <f t="shared" si="0"/>
        <v>746464</v>
      </c>
      <c r="M31" s="10"/>
      <c r="N31" s="10"/>
      <c r="O31" s="10"/>
      <c r="P31" s="61"/>
      <c r="Q31" s="4">
        <f t="shared" si="1"/>
        <v>746464</v>
      </c>
      <c r="R31" s="61"/>
      <c r="S31" s="1" t="s">
        <v>838</v>
      </c>
    </row>
    <row r="32" spans="1:19" x14ac:dyDescent="0.35">
      <c r="A32" s="2" t="s">
        <v>19</v>
      </c>
      <c r="B32" s="26">
        <v>8470210</v>
      </c>
      <c r="C32" s="3" t="s">
        <v>72</v>
      </c>
      <c r="D32" s="27">
        <v>428090</v>
      </c>
      <c r="E32" s="3" t="s">
        <v>39</v>
      </c>
      <c r="F32" s="3" t="s">
        <v>77</v>
      </c>
      <c r="G32" s="4">
        <v>0</v>
      </c>
      <c r="H32" s="5">
        <v>2670379</v>
      </c>
      <c r="I32" s="6"/>
      <c r="J32" s="7"/>
      <c r="K32" s="8"/>
      <c r="L32" s="9">
        <f t="shared" si="0"/>
        <v>2670379</v>
      </c>
      <c r="M32" s="10"/>
      <c r="N32" s="10"/>
      <c r="O32" s="10"/>
      <c r="P32" s="61"/>
      <c r="Q32" s="4">
        <f t="shared" si="1"/>
        <v>2670379</v>
      </c>
      <c r="R32" s="61"/>
      <c r="S32" s="1" t="s">
        <v>838</v>
      </c>
    </row>
    <row r="33" spans="1:19" x14ac:dyDescent="0.35">
      <c r="A33" s="2" t="s">
        <v>19</v>
      </c>
      <c r="B33" s="26">
        <v>8470210</v>
      </c>
      <c r="C33" s="3" t="s">
        <v>72</v>
      </c>
      <c r="D33" s="27">
        <v>428640</v>
      </c>
      <c r="E33" s="3" t="s">
        <v>43</v>
      </c>
      <c r="F33" s="3" t="s">
        <v>78</v>
      </c>
      <c r="G33" s="4">
        <v>0</v>
      </c>
      <c r="H33" s="5">
        <v>808440</v>
      </c>
      <c r="I33" s="6"/>
      <c r="J33" s="7"/>
      <c r="K33" s="8"/>
      <c r="L33" s="9">
        <f t="shared" si="0"/>
        <v>808440</v>
      </c>
      <c r="M33" s="10"/>
      <c r="N33" s="10"/>
      <c r="O33" s="10"/>
      <c r="P33" s="61"/>
      <c r="Q33" s="4">
        <f t="shared" si="1"/>
        <v>808440</v>
      </c>
      <c r="R33" s="61"/>
      <c r="S33" s="1" t="s">
        <v>838</v>
      </c>
    </row>
    <row r="34" spans="1:19" x14ac:dyDescent="0.35">
      <c r="A34" s="2" t="s">
        <v>19</v>
      </c>
      <c r="B34" s="26">
        <v>8470210</v>
      </c>
      <c r="C34" s="3" t="s">
        <v>72</v>
      </c>
      <c r="D34" s="27">
        <v>435350</v>
      </c>
      <c r="E34" s="3" t="s">
        <v>79</v>
      </c>
      <c r="F34" s="3" t="s">
        <v>80</v>
      </c>
      <c r="G34" s="4">
        <v>0</v>
      </c>
      <c r="H34" s="5">
        <v>1081496</v>
      </c>
      <c r="I34" s="6"/>
      <c r="J34" s="7"/>
      <c r="K34" s="8"/>
      <c r="L34" s="9">
        <f t="shared" si="0"/>
        <v>1081496</v>
      </c>
      <c r="M34" s="10"/>
      <c r="N34" s="10"/>
      <c r="O34" s="10"/>
      <c r="P34" s="61"/>
      <c r="Q34" s="4">
        <f t="shared" si="1"/>
        <v>1081496</v>
      </c>
      <c r="R34" s="61"/>
      <c r="S34" s="1" t="s">
        <v>838</v>
      </c>
    </row>
    <row r="35" spans="1:19" x14ac:dyDescent="0.35">
      <c r="A35" s="2" t="s">
        <v>19</v>
      </c>
      <c r="B35" s="26">
        <v>8470210</v>
      </c>
      <c r="C35" s="3" t="s">
        <v>72</v>
      </c>
      <c r="D35" s="27">
        <v>435523</v>
      </c>
      <c r="E35" s="3" t="s">
        <v>81</v>
      </c>
      <c r="F35" s="3" t="s">
        <v>82</v>
      </c>
      <c r="G35" s="4">
        <v>0</v>
      </c>
      <c r="H35" s="5">
        <v>10000000</v>
      </c>
      <c r="I35" s="6"/>
      <c r="J35" s="7"/>
      <c r="K35" s="8"/>
      <c r="L35" s="9">
        <f t="shared" si="0"/>
        <v>10000000</v>
      </c>
      <c r="M35" s="10"/>
      <c r="N35" s="10"/>
      <c r="O35" s="10"/>
      <c r="P35" s="61"/>
      <c r="Q35" s="4">
        <f t="shared" si="1"/>
        <v>10000000</v>
      </c>
      <c r="R35" s="61"/>
      <c r="S35" s="1" t="s">
        <v>838</v>
      </c>
    </row>
    <row r="36" spans="1:19" x14ac:dyDescent="0.35">
      <c r="A36" s="2" t="s">
        <v>19</v>
      </c>
      <c r="B36" s="26">
        <v>8470220</v>
      </c>
      <c r="C36" s="3" t="s">
        <v>83</v>
      </c>
      <c r="D36" s="27">
        <v>420550</v>
      </c>
      <c r="E36" s="3" t="s">
        <v>21</v>
      </c>
      <c r="F36" s="3" t="s">
        <v>84</v>
      </c>
      <c r="G36" s="4">
        <v>60000</v>
      </c>
      <c r="H36" s="5">
        <v>60000</v>
      </c>
      <c r="I36" s="11">
        <v>970.85</v>
      </c>
      <c r="J36" s="7"/>
      <c r="K36" s="8"/>
      <c r="L36" s="9">
        <f t="shared" si="0"/>
        <v>59029.15</v>
      </c>
      <c r="M36" s="10"/>
      <c r="N36" s="10"/>
      <c r="O36" s="10"/>
      <c r="P36" s="61"/>
      <c r="Q36" s="4">
        <f t="shared" si="1"/>
        <v>59029.15</v>
      </c>
      <c r="R36" s="61"/>
      <c r="S36" s="1" t="s">
        <v>838</v>
      </c>
    </row>
    <row r="37" spans="1:19" x14ac:dyDescent="0.35">
      <c r="A37" s="2" t="s">
        <v>19</v>
      </c>
      <c r="B37" s="26">
        <v>8470220</v>
      </c>
      <c r="C37" s="3" t="s">
        <v>83</v>
      </c>
      <c r="D37" s="27">
        <v>420570</v>
      </c>
      <c r="E37" s="3" t="s">
        <v>23</v>
      </c>
      <c r="F37" s="3" t="s">
        <v>85</v>
      </c>
      <c r="G37" s="4">
        <v>492387</v>
      </c>
      <c r="H37" s="5">
        <v>373637</v>
      </c>
      <c r="I37" s="11">
        <v>50000</v>
      </c>
      <c r="J37" s="12">
        <v>0</v>
      </c>
      <c r="K37" s="5">
        <v>0</v>
      </c>
      <c r="L37" s="9">
        <f t="shared" si="0"/>
        <v>323637</v>
      </c>
      <c r="M37" s="10"/>
      <c r="N37" s="10"/>
      <c r="O37" s="10"/>
      <c r="P37" s="61"/>
      <c r="Q37" s="4">
        <f t="shared" si="1"/>
        <v>323637</v>
      </c>
      <c r="R37" s="61"/>
      <c r="S37" s="1" t="s">
        <v>838</v>
      </c>
    </row>
    <row r="38" spans="1:19" x14ac:dyDescent="0.35">
      <c r="A38" s="2" t="s">
        <v>19</v>
      </c>
      <c r="B38" s="26">
        <v>8470220</v>
      </c>
      <c r="C38" s="3" t="s">
        <v>83</v>
      </c>
      <c r="D38" s="27">
        <v>421700</v>
      </c>
      <c r="E38" s="3" t="s">
        <v>29</v>
      </c>
      <c r="F38" s="3" t="s">
        <v>86</v>
      </c>
      <c r="G38" s="4">
        <v>375000</v>
      </c>
      <c r="H38" s="5">
        <v>375000</v>
      </c>
      <c r="I38" s="6"/>
      <c r="J38" s="7"/>
      <c r="K38" s="8"/>
      <c r="L38" s="9">
        <f t="shared" si="0"/>
        <v>375000</v>
      </c>
      <c r="M38" s="10"/>
      <c r="N38" s="10"/>
      <c r="O38" s="10"/>
      <c r="P38" s="61"/>
      <c r="Q38" s="4">
        <f t="shared" si="1"/>
        <v>375000</v>
      </c>
      <c r="R38" s="61"/>
      <c r="S38" s="1" t="s">
        <v>838</v>
      </c>
    </row>
    <row r="39" spans="1:19" x14ac:dyDescent="0.35">
      <c r="A39" s="2" t="s">
        <v>19</v>
      </c>
      <c r="B39" s="26">
        <v>8470220</v>
      </c>
      <c r="C39" s="3" t="s">
        <v>83</v>
      </c>
      <c r="D39" s="27">
        <v>425510</v>
      </c>
      <c r="E39" s="3" t="s">
        <v>31</v>
      </c>
      <c r="F39" s="3" t="s">
        <v>87</v>
      </c>
      <c r="G39" s="4">
        <v>10000</v>
      </c>
      <c r="H39" s="5">
        <v>23750</v>
      </c>
      <c r="I39" s="11">
        <v>13750</v>
      </c>
      <c r="J39" s="7"/>
      <c r="K39" s="8"/>
      <c r="L39" s="9">
        <f t="shared" si="0"/>
        <v>10000</v>
      </c>
      <c r="M39" s="10"/>
      <c r="N39" s="10"/>
      <c r="O39" s="10"/>
      <c r="P39" s="61"/>
      <c r="Q39" s="4">
        <f t="shared" si="1"/>
        <v>10000</v>
      </c>
      <c r="R39" s="61"/>
      <c r="S39" s="1" t="s">
        <v>838</v>
      </c>
    </row>
    <row r="40" spans="1:19" x14ac:dyDescent="0.35">
      <c r="A40" s="2" t="s">
        <v>19</v>
      </c>
      <c r="B40" s="26">
        <v>8470220</v>
      </c>
      <c r="C40" s="3" t="s">
        <v>83</v>
      </c>
      <c r="D40" s="27">
        <v>425550</v>
      </c>
      <c r="E40" s="3" t="s">
        <v>33</v>
      </c>
      <c r="F40" s="3" t="s">
        <v>88</v>
      </c>
      <c r="G40" s="4">
        <v>25000</v>
      </c>
      <c r="H40" s="5">
        <v>25000</v>
      </c>
      <c r="I40" s="11">
        <v>13790</v>
      </c>
      <c r="J40" s="7"/>
      <c r="K40" s="8"/>
      <c r="L40" s="9">
        <f t="shared" si="0"/>
        <v>11210</v>
      </c>
      <c r="M40" s="10"/>
      <c r="N40" s="10"/>
      <c r="O40" s="10"/>
      <c r="P40" s="61"/>
      <c r="Q40" s="4">
        <f t="shared" si="1"/>
        <v>11210</v>
      </c>
      <c r="R40" s="61"/>
      <c r="S40" s="1" t="s">
        <v>838</v>
      </c>
    </row>
    <row r="41" spans="1:19" x14ac:dyDescent="0.35">
      <c r="A41" s="2" t="s">
        <v>19</v>
      </c>
      <c r="B41" s="26">
        <v>8470220</v>
      </c>
      <c r="C41" s="3" t="s">
        <v>83</v>
      </c>
      <c r="D41" s="27">
        <v>425740</v>
      </c>
      <c r="E41" s="3" t="s">
        <v>89</v>
      </c>
      <c r="F41" s="3" t="s">
        <v>90</v>
      </c>
      <c r="G41" s="4">
        <v>694710</v>
      </c>
      <c r="H41" s="5">
        <v>694710</v>
      </c>
      <c r="I41" s="6"/>
      <c r="J41" s="7"/>
      <c r="K41" s="8"/>
      <c r="L41" s="9">
        <f t="shared" si="0"/>
        <v>694710</v>
      </c>
      <c r="M41" s="10"/>
      <c r="N41" s="10"/>
      <c r="O41" s="10"/>
      <c r="P41" s="61"/>
      <c r="Q41" s="4">
        <f t="shared" si="1"/>
        <v>694710</v>
      </c>
      <c r="R41" s="61"/>
      <c r="S41" s="1" t="s">
        <v>838</v>
      </c>
    </row>
    <row r="42" spans="1:19" x14ac:dyDescent="0.35">
      <c r="A42" s="2" t="s">
        <v>19</v>
      </c>
      <c r="B42" s="26">
        <v>8470220</v>
      </c>
      <c r="C42" s="3" t="s">
        <v>83</v>
      </c>
      <c r="D42" s="27">
        <v>425900</v>
      </c>
      <c r="E42" s="3" t="s">
        <v>35</v>
      </c>
      <c r="F42" s="3" t="s">
        <v>91</v>
      </c>
      <c r="G42" s="4">
        <v>12000</v>
      </c>
      <c r="H42" s="5">
        <v>17000</v>
      </c>
      <c r="I42" s="11">
        <v>16314.6</v>
      </c>
      <c r="J42" s="7"/>
      <c r="K42" s="8"/>
      <c r="L42" s="9">
        <f t="shared" si="0"/>
        <v>685.39999999999964</v>
      </c>
      <c r="M42" s="10"/>
      <c r="N42" s="10"/>
      <c r="O42" s="10"/>
      <c r="P42" s="61"/>
      <c r="Q42" s="4">
        <f t="shared" si="1"/>
        <v>685.39999999999964</v>
      </c>
      <c r="R42" s="61"/>
      <c r="S42" s="1" t="s">
        <v>838</v>
      </c>
    </row>
    <row r="43" spans="1:19" x14ac:dyDescent="0.35">
      <c r="A43" s="2" t="s">
        <v>19</v>
      </c>
      <c r="B43" s="26">
        <v>8470220</v>
      </c>
      <c r="C43" s="3" t="s">
        <v>83</v>
      </c>
      <c r="D43" s="27">
        <v>426610</v>
      </c>
      <c r="E43" s="3" t="s">
        <v>37</v>
      </c>
      <c r="F43" s="3" t="s">
        <v>92</v>
      </c>
      <c r="G43" s="4">
        <v>50000</v>
      </c>
      <c r="H43" s="5">
        <v>50000</v>
      </c>
      <c r="I43" s="6"/>
      <c r="J43" s="7"/>
      <c r="K43" s="8"/>
      <c r="L43" s="9">
        <f t="shared" si="0"/>
        <v>50000</v>
      </c>
      <c r="M43" s="10"/>
      <c r="N43" s="10"/>
      <c r="O43" s="10"/>
      <c r="P43" s="61"/>
      <c r="Q43" s="4">
        <f t="shared" si="1"/>
        <v>50000</v>
      </c>
      <c r="R43" s="61"/>
      <c r="S43" s="1" t="s">
        <v>838</v>
      </c>
    </row>
    <row r="44" spans="1:19" x14ac:dyDescent="0.35">
      <c r="A44" s="2" t="s">
        <v>19</v>
      </c>
      <c r="B44" s="26">
        <v>8470220</v>
      </c>
      <c r="C44" s="3" t="s">
        <v>83</v>
      </c>
      <c r="D44" s="27">
        <v>428090</v>
      </c>
      <c r="E44" s="3" t="s">
        <v>39</v>
      </c>
      <c r="F44" s="3" t="s">
        <v>93</v>
      </c>
      <c r="G44" s="4">
        <v>65500</v>
      </c>
      <c r="H44" s="5">
        <v>45092</v>
      </c>
      <c r="I44" s="11">
        <v>33100</v>
      </c>
      <c r="J44" s="7"/>
      <c r="K44" s="8"/>
      <c r="L44" s="9">
        <f t="shared" si="0"/>
        <v>11992</v>
      </c>
      <c r="M44" s="10"/>
      <c r="N44" s="10"/>
      <c r="O44" s="10"/>
      <c r="P44" s="61"/>
      <c r="Q44" s="4">
        <f t="shared" si="1"/>
        <v>11992</v>
      </c>
      <c r="R44" s="61"/>
      <c r="S44" s="1" t="s">
        <v>838</v>
      </c>
    </row>
    <row r="45" spans="1:19" x14ac:dyDescent="0.35">
      <c r="A45" s="2" t="s">
        <v>19</v>
      </c>
      <c r="B45" s="26">
        <v>8470220</v>
      </c>
      <c r="C45" s="3" t="s">
        <v>83</v>
      </c>
      <c r="D45" s="27">
        <v>428640</v>
      </c>
      <c r="E45" s="3" t="s">
        <v>43</v>
      </c>
      <c r="F45" s="3" t="s">
        <v>94</v>
      </c>
      <c r="G45" s="4">
        <v>20000</v>
      </c>
      <c r="H45" s="5">
        <v>13262</v>
      </c>
      <c r="I45" s="11">
        <v>6320</v>
      </c>
      <c r="J45" s="12">
        <v>0</v>
      </c>
      <c r="K45" s="5">
        <v>0</v>
      </c>
      <c r="L45" s="9">
        <f t="shared" si="0"/>
        <v>6942</v>
      </c>
      <c r="M45" s="10"/>
      <c r="N45" s="10"/>
      <c r="O45" s="10"/>
      <c r="P45" s="61"/>
      <c r="Q45" s="4">
        <f t="shared" si="1"/>
        <v>6942</v>
      </c>
      <c r="R45" s="61"/>
      <c r="S45" s="1" t="s">
        <v>838</v>
      </c>
    </row>
    <row r="46" spans="1:19" x14ac:dyDescent="0.35">
      <c r="A46" s="2" t="s">
        <v>19</v>
      </c>
      <c r="B46" s="26">
        <v>8470220</v>
      </c>
      <c r="C46" s="3" t="s">
        <v>83</v>
      </c>
      <c r="D46" s="27">
        <v>432205</v>
      </c>
      <c r="E46" s="3" t="s">
        <v>95</v>
      </c>
      <c r="F46" s="3" t="s">
        <v>96</v>
      </c>
      <c r="G46" s="4">
        <v>10000</v>
      </c>
      <c r="H46" s="5">
        <v>10000</v>
      </c>
      <c r="I46" s="11">
        <v>1813</v>
      </c>
      <c r="J46" s="7"/>
      <c r="K46" s="8"/>
      <c r="L46" s="9">
        <f t="shared" si="0"/>
        <v>8187</v>
      </c>
      <c r="M46" s="10"/>
      <c r="N46" s="10"/>
      <c r="O46" s="10"/>
      <c r="P46" s="61"/>
      <c r="Q46" s="4">
        <f t="shared" si="1"/>
        <v>8187</v>
      </c>
      <c r="R46" s="61"/>
      <c r="S46" s="1" t="s">
        <v>838</v>
      </c>
    </row>
    <row r="47" spans="1:19" ht="123.65" customHeight="1" x14ac:dyDescent="0.35">
      <c r="A47" s="117" t="s">
        <v>19</v>
      </c>
      <c r="B47" s="118">
        <v>8470230</v>
      </c>
      <c r="C47" s="119" t="s">
        <v>97</v>
      </c>
      <c r="D47" s="120">
        <v>420550</v>
      </c>
      <c r="E47" s="119" t="s">
        <v>21</v>
      </c>
      <c r="F47" s="119" t="s">
        <v>98</v>
      </c>
      <c r="G47" s="121">
        <v>1020620</v>
      </c>
      <c r="H47" s="122">
        <v>1020620</v>
      </c>
      <c r="I47" s="123">
        <v>33110</v>
      </c>
      <c r="J47" s="129"/>
      <c r="K47" s="130"/>
      <c r="L47" s="125">
        <f t="shared" si="0"/>
        <v>987510</v>
      </c>
      <c r="M47" s="126">
        <v>197502</v>
      </c>
      <c r="N47" s="126">
        <v>296253</v>
      </c>
      <c r="O47" s="126">
        <v>493755</v>
      </c>
      <c r="P47" s="135" t="s">
        <v>839</v>
      </c>
      <c r="Q47" s="121">
        <f t="shared" si="1"/>
        <v>0</v>
      </c>
      <c r="R47" s="127"/>
      <c r="S47" s="134" t="s">
        <v>722</v>
      </c>
    </row>
    <row r="48" spans="1:19" ht="58" x14ac:dyDescent="0.35">
      <c r="A48" s="117" t="s">
        <v>19</v>
      </c>
      <c r="B48" s="118">
        <v>8470230</v>
      </c>
      <c r="C48" s="119" t="s">
        <v>97</v>
      </c>
      <c r="D48" s="120">
        <v>425100</v>
      </c>
      <c r="E48" s="119" t="s">
        <v>55</v>
      </c>
      <c r="F48" s="119" t="s">
        <v>99</v>
      </c>
      <c r="G48" s="121">
        <v>300000</v>
      </c>
      <c r="H48" s="122">
        <v>300000</v>
      </c>
      <c r="I48" s="131"/>
      <c r="J48" s="129"/>
      <c r="K48" s="130"/>
      <c r="L48" s="125">
        <f t="shared" si="0"/>
        <v>300000</v>
      </c>
      <c r="M48" s="126">
        <v>0</v>
      </c>
      <c r="N48" s="126">
        <v>0</v>
      </c>
      <c r="O48" s="126">
        <v>300000</v>
      </c>
      <c r="P48" s="135" t="s">
        <v>840</v>
      </c>
      <c r="Q48" s="121">
        <f t="shared" si="1"/>
        <v>0</v>
      </c>
      <c r="R48" s="127"/>
      <c r="S48" s="134" t="s">
        <v>722</v>
      </c>
    </row>
    <row r="49" spans="1:19" ht="87" x14ac:dyDescent="0.35">
      <c r="A49" s="117" t="s">
        <v>19</v>
      </c>
      <c r="B49" s="118">
        <v>8470230</v>
      </c>
      <c r="C49" s="119" t="s">
        <v>97</v>
      </c>
      <c r="D49" s="120">
        <v>425510</v>
      </c>
      <c r="E49" s="119" t="s">
        <v>31</v>
      </c>
      <c r="F49" s="119" t="s">
        <v>100</v>
      </c>
      <c r="G49" s="121">
        <v>34000</v>
      </c>
      <c r="H49" s="122">
        <v>34000</v>
      </c>
      <c r="I49" s="123">
        <v>9463</v>
      </c>
      <c r="J49" s="129"/>
      <c r="K49" s="130"/>
      <c r="L49" s="125">
        <f t="shared" si="0"/>
        <v>24537</v>
      </c>
      <c r="M49" s="126">
        <v>7361.0999999999995</v>
      </c>
      <c r="N49" s="126">
        <v>7361.0999999999995</v>
      </c>
      <c r="O49" s="126">
        <v>9814.8000000000011</v>
      </c>
      <c r="P49" s="135" t="s">
        <v>841</v>
      </c>
      <c r="Q49" s="121">
        <f t="shared" si="1"/>
        <v>0</v>
      </c>
      <c r="R49" s="127"/>
      <c r="S49" s="134" t="s">
        <v>722</v>
      </c>
    </row>
    <row r="50" spans="1:19" x14ac:dyDescent="0.35">
      <c r="A50" s="117" t="s">
        <v>19</v>
      </c>
      <c r="B50" s="118">
        <v>8470230</v>
      </c>
      <c r="C50" s="119" t="s">
        <v>97</v>
      </c>
      <c r="D50" s="120">
        <v>425550</v>
      </c>
      <c r="E50" s="119" t="s">
        <v>33</v>
      </c>
      <c r="F50" s="119" t="s">
        <v>101</v>
      </c>
      <c r="G50" s="121">
        <v>222000</v>
      </c>
      <c r="H50" s="122">
        <v>222000</v>
      </c>
      <c r="I50" s="123">
        <v>122474.17</v>
      </c>
      <c r="J50" s="129"/>
      <c r="K50" s="130"/>
      <c r="L50" s="125">
        <f t="shared" si="0"/>
        <v>99525.83</v>
      </c>
      <c r="M50" s="126">
        <v>29857.749</v>
      </c>
      <c r="N50" s="126">
        <v>29857.749</v>
      </c>
      <c r="O50" s="126">
        <v>39810.332000000002</v>
      </c>
      <c r="P50" s="127" t="s">
        <v>842</v>
      </c>
      <c r="Q50" s="121">
        <f t="shared" si="1"/>
        <v>0</v>
      </c>
      <c r="R50" s="127"/>
      <c r="S50" s="134" t="s">
        <v>722</v>
      </c>
    </row>
    <row r="51" spans="1:19" x14ac:dyDescent="0.35">
      <c r="A51" s="117" t="s">
        <v>19</v>
      </c>
      <c r="B51" s="118">
        <v>8470230</v>
      </c>
      <c r="C51" s="119" t="s">
        <v>97</v>
      </c>
      <c r="D51" s="120">
        <v>425743</v>
      </c>
      <c r="E51" s="119" t="s">
        <v>102</v>
      </c>
      <c r="F51" s="119" t="s">
        <v>103</v>
      </c>
      <c r="G51" s="121">
        <v>240000</v>
      </c>
      <c r="H51" s="122">
        <v>240000</v>
      </c>
      <c r="I51" s="123">
        <v>240000</v>
      </c>
      <c r="J51" s="129"/>
      <c r="K51" s="130"/>
      <c r="L51" s="125">
        <f t="shared" si="0"/>
        <v>0</v>
      </c>
      <c r="M51" s="126"/>
      <c r="N51" s="126"/>
      <c r="O51" s="126"/>
      <c r="P51" s="127"/>
      <c r="Q51" s="121">
        <f t="shared" si="1"/>
        <v>0</v>
      </c>
      <c r="R51" s="127"/>
      <c r="S51" s="134" t="s">
        <v>722</v>
      </c>
    </row>
    <row r="52" spans="1:19" x14ac:dyDescent="0.35">
      <c r="A52" s="117" t="s">
        <v>19</v>
      </c>
      <c r="B52" s="118">
        <v>8470230</v>
      </c>
      <c r="C52" s="119" t="s">
        <v>97</v>
      </c>
      <c r="D52" s="120">
        <v>425744</v>
      </c>
      <c r="E52" s="119" t="s">
        <v>104</v>
      </c>
      <c r="F52" s="119" t="s">
        <v>105</v>
      </c>
      <c r="G52" s="121">
        <v>4816800</v>
      </c>
      <c r="H52" s="122">
        <v>4716106</v>
      </c>
      <c r="I52" s="123">
        <v>2899455.57</v>
      </c>
      <c r="J52" s="129"/>
      <c r="K52" s="130"/>
      <c r="L52" s="125">
        <f t="shared" si="0"/>
        <v>1816650.4300000002</v>
      </c>
      <c r="M52" s="126">
        <v>363330.08600000001</v>
      </c>
      <c r="N52" s="126">
        <v>908325.21499999997</v>
      </c>
      <c r="O52" s="126">
        <v>544995.12899999996</v>
      </c>
      <c r="P52" s="127" t="s">
        <v>843</v>
      </c>
      <c r="Q52" s="121">
        <f t="shared" si="1"/>
        <v>0</v>
      </c>
      <c r="R52" s="127"/>
      <c r="S52" s="134" t="s">
        <v>722</v>
      </c>
    </row>
    <row r="53" spans="1:19" x14ac:dyDescent="0.35">
      <c r="A53" s="117" t="s">
        <v>19</v>
      </c>
      <c r="B53" s="118">
        <v>8470230</v>
      </c>
      <c r="C53" s="119" t="s">
        <v>97</v>
      </c>
      <c r="D53" s="120">
        <v>425745</v>
      </c>
      <c r="E53" s="119" t="s">
        <v>106</v>
      </c>
      <c r="F53" s="119" t="s">
        <v>107</v>
      </c>
      <c r="G53" s="121">
        <v>1971263</v>
      </c>
      <c r="H53" s="122">
        <v>1971263</v>
      </c>
      <c r="I53" s="123">
        <v>933228.17</v>
      </c>
      <c r="J53" s="129"/>
      <c r="K53" s="130"/>
      <c r="L53" s="125">
        <f t="shared" si="0"/>
        <v>1038034.83</v>
      </c>
      <c r="M53" s="126">
        <v>226281.95200000002</v>
      </c>
      <c r="N53" s="126">
        <v>339422.92800000001</v>
      </c>
      <c r="O53" s="126">
        <v>472331</v>
      </c>
      <c r="P53" s="127" t="s">
        <v>844</v>
      </c>
      <c r="Q53" s="121">
        <f t="shared" si="1"/>
        <v>-1.0500000001047738</v>
      </c>
      <c r="R53" s="127"/>
      <c r="S53" s="134" t="s">
        <v>722</v>
      </c>
    </row>
    <row r="54" spans="1:19" x14ac:dyDescent="0.35">
      <c r="A54" s="117" t="s">
        <v>19</v>
      </c>
      <c r="B54" s="118">
        <v>8470230</v>
      </c>
      <c r="C54" s="119" t="s">
        <v>97</v>
      </c>
      <c r="D54" s="120">
        <v>425749</v>
      </c>
      <c r="E54" s="119" t="s">
        <v>108</v>
      </c>
      <c r="F54" s="119" t="s">
        <v>109</v>
      </c>
      <c r="G54" s="121">
        <v>110824684</v>
      </c>
      <c r="H54" s="122">
        <v>110824684</v>
      </c>
      <c r="I54" s="123">
        <v>81132195.440000102</v>
      </c>
      <c r="J54" s="129"/>
      <c r="K54" s="130"/>
      <c r="L54" s="125">
        <f t="shared" si="0"/>
        <v>29692488.559999898</v>
      </c>
      <c r="M54" s="126">
        <v>13954529.623199953</v>
      </c>
      <c r="N54" s="126">
        <v>11876195.423999961</v>
      </c>
      <c r="O54" s="126">
        <v>10391670.995999966</v>
      </c>
      <c r="P54" s="127" t="s">
        <v>845</v>
      </c>
      <c r="Q54" s="121">
        <f t="shared" si="1"/>
        <v>-6529907.483199982</v>
      </c>
      <c r="R54" s="127"/>
      <c r="S54" s="134" t="s">
        <v>722</v>
      </c>
    </row>
    <row r="55" spans="1:19" x14ac:dyDescent="0.35">
      <c r="A55" s="117" t="s">
        <v>19</v>
      </c>
      <c r="B55" s="118">
        <v>8470230</v>
      </c>
      <c r="C55" s="119" t="s">
        <v>97</v>
      </c>
      <c r="D55" s="120">
        <v>425761</v>
      </c>
      <c r="E55" s="119" t="s">
        <v>110</v>
      </c>
      <c r="F55" s="119" t="s">
        <v>111</v>
      </c>
      <c r="G55" s="121">
        <v>150000</v>
      </c>
      <c r="H55" s="122">
        <v>150000</v>
      </c>
      <c r="I55" s="131"/>
      <c r="J55" s="129"/>
      <c r="K55" s="130"/>
      <c r="L55" s="125">
        <f t="shared" si="0"/>
        <v>150000</v>
      </c>
      <c r="M55" s="126">
        <v>30000</v>
      </c>
      <c r="N55" s="126">
        <v>45000</v>
      </c>
      <c r="O55" s="126">
        <v>75000</v>
      </c>
      <c r="P55" s="127" t="s">
        <v>846</v>
      </c>
      <c r="Q55" s="121">
        <f t="shared" si="1"/>
        <v>0</v>
      </c>
      <c r="R55" s="127"/>
      <c r="S55" s="134" t="s">
        <v>722</v>
      </c>
    </row>
    <row r="56" spans="1:19" x14ac:dyDescent="0.35">
      <c r="A56" s="117" t="s">
        <v>19</v>
      </c>
      <c r="B56" s="118">
        <v>8470230</v>
      </c>
      <c r="C56" s="119" t="s">
        <v>97</v>
      </c>
      <c r="D56" s="120">
        <v>425762</v>
      </c>
      <c r="E56" s="119" t="s">
        <v>112</v>
      </c>
      <c r="F56" s="119" t="s">
        <v>113</v>
      </c>
      <c r="G56" s="121">
        <v>150000</v>
      </c>
      <c r="H56" s="122">
        <v>150000</v>
      </c>
      <c r="I56" s="123">
        <v>56629.1</v>
      </c>
      <c r="J56" s="129"/>
      <c r="K56" s="130"/>
      <c r="L56" s="125">
        <f t="shared" si="0"/>
        <v>93370.9</v>
      </c>
      <c r="M56" s="126">
        <v>46685.45</v>
      </c>
      <c r="N56" s="126">
        <v>28011.269999999997</v>
      </c>
      <c r="O56" s="126">
        <v>18674.18</v>
      </c>
      <c r="P56" s="127" t="s">
        <v>847</v>
      </c>
      <c r="Q56" s="121">
        <f t="shared" si="1"/>
        <v>0</v>
      </c>
      <c r="R56" s="127"/>
      <c r="S56" s="134" t="s">
        <v>722</v>
      </c>
    </row>
    <row r="57" spans="1:19" x14ac:dyDescent="0.35">
      <c r="A57" s="117" t="s">
        <v>19</v>
      </c>
      <c r="B57" s="118">
        <v>8470230</v>
      </c>
      <c r="C57" s="119" t="s">
        <v>97</v>
      </c>
      <c r="D57" s="120">
        <v>425900</v>
      </c>
      <c r="E57" s="119" t="s">
        <v>35</v>
      </c>
      <c r="F57" s="119" t="s">
        <v>114</v>
      </c>
      <c r="G57" s="121">
        <v>45648</v>
      </c>
      <c r="H57" s="122">
        <v>45648</v>
      </c>
      <c r="I57" s="123">
        <v>236.25</v>
      </c>
      <c r="J57" s="129"/>
      <c r="K57" s="130"/>
      <c r="L57" s="125">
        <f t="shared" si="0"/>
        <v>45411.75</v>
      </c>
      <c r="M57" s="126">
        <v>9082.35</v>
      </c>
      <c r="N57" s="126">
        <v>13623.525</v>
      </c>
      <c r="O57" s="126">
        <v>22705.875</v>
      </c>
      <c r="P57" s="127" t="s">
        <v>848</v>
      </c>
      <c r="Q57" s="121">
        <f t="shared" si="1"/>
        <v>0</v>
      </c>
      <c r="R57" s="127"/>
      <c r="S57" s="134" t="s">
        <v>722</v>
      </c>
    </row>
    <row r="58" spans="1:19" x14ac:dyDescent="0.35">
      <c r="A58" s="117" t="s">
        <v>19</v>
      </c>
      <c r="B58" s="118">
        <v>8470230</v>
      </c>
      <c r="C58" s="119" t="s">
        <v>97</v>
      </c>
      <c r="D58" s="120">
        <v>426610</v>
      </c>
      <c r="E58" s="119" t="s">
        <v>37</v>
      </c>
      <c r="F58" s="119" t="s">
        <v>115</v>
      </c>
      <c r="G58" s="121">
        <v>10000</v>
      </c>
      <c r="H58" s="122">
        <v>10000</v>
      </c>
      <c r="I58" s="131"/>
      <c r="J58" s="129"/>
      <c r="K58" s="130"/>
      <c r="L58" s="125">
        <f t="shared" si="0"/>
        <v>10000</v>
      </c>
      <c r="M58" s="126">
        <v>0</v>
      </c>
      <c r="N58" s="126">
        <v>0</v>
      </c>
      <c r="O58" s="126">
        <v>10000</v>
      </c>
      <c r="P58" s="127" t="s">
        <v>849</v>
      </c>
      <c r="Q58" s="121">
        <f t="shared" si="1"/>
        <v>0</v>
      </c>
      <c r="R58" s="127"/>
      <c r="S58" s="134" t="s">
        <v>722</v>
      </c>
    </row>
    <row r="59" spans="1:19" x14ac:dyDescent="0.35">
      <c r="A59" s="117" t="s">
        <v>19</v>
      </c>
      <c r="B59" s="118">
        <v>8470230</v>
      </c>
      <c r="C59" s="119" t="s">
        <v>97</v>
      </c>
      <c r="D59" s="120">
        <v>428090</v>
      </c>
      <c r="E59" s="119" t="s">
        <v>39</v>
      </c>
      <c r="F59" s="119" t="s">
        <v>116</v>
      </c>
      <c r="G59" s="121">
        <v>97000</v>
      </c>
      <c r="H59" s="122">
        <v>26429</v>
      </c>
      <c r="I59" s="131"/>
      <c r="J59" s="129"/>
      <c r="K59" s="130"/>
      <c r="L59" s="125">
        <f t="shared" si="0"/>
        <v>26429</v>
      </c>
      <c r="M59" s="126">
        <v>0</v>
      </c>
      <c r="N59" s="126">
        <v>21143.200000000001</v>
      </c>
      <c r="O59" s="126">
        <v>5285.8</v>
      </c>
      <c r="P59" s="127" t="s">
        <v>850</v>
      </c>
      <c r="Q59" s="121">
        <f t="shared" si="1"/>
        <v>0</v>
      </c>
      <c r="R59" s="127"/>
      <c r="S59" s="134" t="s">
        <v>722</v>
      </c>
    </row>
    <row r="60" spans="1:19" x14ac:dyDescent="0.35">
      <c r="A60" s="117" t="s">
        <v>19</v>
      </c>
      <c r="B60" s="118">
        <v>8470230</v>
      </c>
      <c r="C60" s="119" t="s">
        <v>97</v>
      </c>
      <c r="D60" s="120">
        <v>428640</v>
      </c>
      <c r="E60" s="119" t="s">
        <v>43</v>
      </c>
      <c r="F60" s="119" t="s">
        <v>117</v>
      </c>
      <c r="G60" s="121">
        <v>80000</v>
      </c>
      <c r="H60" s="122">
        <v>40596</v>
      </c>
      <c r="I60" s="131"/>
      <c r="J60" s="129"/>
      <c r="K60" s="130"/>
      <c r="L60" s="125">
        <f t="shared" si="0"/>
        <v>40596</v>
      </c>
      <c r="M60" s="126">
        <v>0</v>
      </c>
      <c r="N60" s="126">
        <v>16238.400000000001</v>
      </c>
      <c r="O60" s="126">
        <v>24357.599999999999</v>
      </c>
      <c r="P60" s="127" t="s">
        <v>851</v>
      </c>
      <c r="Q60" s="121">
        <f t="shared" si="1"/>
        <v>0</v>
      </c>
      <c r="R60" s="127"/>
      <c r="S60" s="134" t="s">
        <v>722</v>
      </c>
    </row>
    <row r="61" spans="1:19" x14ac:dyDescent="0.35">
      <c r="A61" s="117" t="s">
        <v>19</v>
      </c>
      <c r="B61" s="118">
        <v>8470230</v>
      </c>
      <c r="C61" s="119" t="s">
        <v>97</v>
      </c>
      <c r="D61" s="120">
        <v>436110</v>
      </c>
      <c r="E61" s="119" t="s">
        <v>119</v>
      </c>
      <c r="F61" s="119" t="s">
        <v>120</v>
      </c>
      <c r="G61" s="121">
        <v>5000</v>
      </c>
      <c r="H61" s="122">
        <v>5000</v>
      </c>
      <c r="I61" s="131"/>
      <c r="J61" s="129"/>
      <c r="K61" s="130"/>
      <c r="L61" s="125">
        <f t="shared" si="0"/>
        <v>5000</v>
      </c>
      <c r="M61" s="126">
        <v>0</v>
      </c>
      <c r="N61" s="126">
        <v>2500</v>
      </c>
      <c r="O61" s="126">
        <v>2500</v>
      </c>
      <c r="P61" s="127" t="s">
        <v>852</v>
      </c>
      <c r="Q61" s="121">
        <f t="shared" si="1"/>
        <v>0</v>
      </c>
      <c r="R61" s="127"/>
      <c r="S61" s="134" t="s">
        <v>722</v>
      </c>
    </row>
    <row r="62" spans="1:19" s="35" customFormat="1" x14ac:dyDescent="0.35">
      <c r="A62" s="33" t="s">
        <v>19</v>
      </c>
      <c r="B62" s="136">
        <v>8470305</v>
      </c>
      <c r="C62" s="137" t="s">
        <v>121</v>
      </c>
      <c r="D62" s="138">
        <v>420550</v>
      </c>
      <c r="E62" s="137" t="s">
        <v>21</v>
      </c>
      <c r="F62" s="137" t="s">
        <v>122</v>
      </c>
      <c r="G62" s="139">
        <v>10000</v>
      </c>
      <c r="H62" s="140">
        <v>100000</v>
      </c>
      <c r="I62" s="141">
        <v>92165.34</v>
      </c>
      <c r="J62" s="142"/>
      <c r="K62" s="143"/>
      <c r="L62" s="144">
        <f t="shared" si="0"/>
        <v>7834.6600000000035</v>
      </c>
      <c r="M62" s="145"/>
      <c r="N62" s="145"/>
      <c r="O62" s="145"/>
      <c r="P62" s="146"/>
      <c r="Q62" s="139">
        <f t="shared" si="1"/>
        <v>7834.6600000000035</v>
      </c>
      <c r="R62" s="146"/>
      <c r="S62" s="34" t="s">
        <v>838</v>
      </c>
    </row>
    <row r="63" spans="1:19" x14ac:dyDescent="0.35">
      <c r="A63" s="2" t="s">
        <v>19</v>
      </c>
      <c r="B63" s="26">
        <v>8470305</v>
      </c>
      <c r="C63" s="3" t="s">
        <v>121</v>
      </c>
      <c r="D63" s="27">
        <v>420570</v>
      </c>
      <c r="E63" s="3" t="s">
        <v>23</v>
      </c>
      <c r="F63" s="3" t="s">
        <v>123</v>
      </c>
      <c r="G63" s="4">
        <v>10000</v>
      </c>
      <c r="H63" s="5">
        <v>10000</v>
      </c>
      <c r="I63" s="6"/>
      <c r="J63" s="7"/>
      <c r="K63" s="8"/>
      <c r="L63" s="9">
        <f t="shared" si="0"/>
        <v>10000</v>
      </c>
      <c r="M63" s="10"/>
      <c r="N63" s="10"/>
      <c r="O63" s="10"/>
      <c r="P63" s="61"/>
      <c r="Q63" s="4">
        <f t="shared" si="1"/>
        <v>10000</v>
      </c>
      <c r="R63" s="61"/>
      <c r="S63" s="1" t="s">
        <v>838</v>
      </c>
    </row>
    <row r="64" spans="1:19" x14ac:dyDescent="0.35">
      <c r="A64" s="2" t="s">
        <v>19</v>
      </c>
      <c r="B64" s="26">
        <v>8470305</v>
      </c>
      <c r="C64" s="3" t="s">
        <v>121</v>
      </c>
      <c r="D64" s="27">
        <v>421700</v>
      </c>
      <c r="E64" s="3" t="s">
        <v>29</v>
      </c>
      <c r="F64" s="3" t="s">
        <v>124</v>
      </c>
      <c r="G64" s="4">
        <v>506004</v>
      </c>
      <c r="H64" s="5">
        <v>506004</v>
      </c>
      <c r="I64" s="11">
        <v>85210</v>
      </c>
      <c r="J64" s="7"/>
      <c r="K64" s="8"/>
      <c r="L64" s="9">
        <f t="shared" si="0"/>
        <v>420794</v>
      </c>
      <c r="M64" s="10"/>
      <c r="N64" s="10"/>
      <c r="O64" s="10"/>
      <c r="P64" s="61"/>
      <c r="Q64" s="4">
        <f t="shared" si="1"/>
        <v>420794</v>
      </c>
      <c r="R64" s="61"/>
      <c r="S64" s="1" t="s">
        <v>838</v>
      </c>
    </row>
    <row r="65" spans="1:19" x14ac:dyDescent="0.35">
      <c r="A65" s="2" t="s">
        <v>19</v>
      </c>
      <c r="B65" s="26">
        <v>8470305</v>
      </c>
      <c r="C65" s="3" t="s">
        <v>121</v>
      </c>
      <c r="D65" s="27">
        <v>425510</v>
      </c>
      <c r="E65" s="3" t="s">
        <v>31</v>
      </c>
      <c r="F65" s="3" t="s">
        <v>125</v>
      </c>
      <c r="G65" s="4">
        <v>20000</v>
      </c>
      <c r="H65" s="5">
        <v>20000</v>
      </c>
      <c r="I65" s="11">
        <v>5286</v>
      </c>
      <c r="J65" s="7"/>
      <c r="K65" s="8"/>
      <c r="L65" s="9">
        <f t="shared" si="0"/>
        <v>14714</v>
      </c>
      <c r="M65" s="10"/>
      <c r="N65" s="10"/>
      <c r="O65" s="10"/>
      <c r="P65" s="61"/>
      <c r="Q65" s="4">
        <f t="shared" si="1"/>
        <v>14714</v>
      </c>
      <c r="R65" s="61"/>
      <c r="S65" s="1" t="s">
        <v>838</v>
      </c>
    </row>
    <row r="66" spans="1:19" x14ac:dyDescent="0.35">
      <c r="A66" s="2" t="s">
        <v>19</v>
      </c>
      <c r="B66" s="26">
        <v>8470305</v>
      </c>
      <c r="C66" s="3" t="s">
        <v>121</v>
      </c>
      <c r="D66" s="27">
        <v>425763</v>
      </c>
      <c r="E66" s="3" t="s">
        <v>59</v>
      </c>
      <c r="F66" s="3" t="s">
        <v>126</v>
      </c>
      <c r="G66" s="4">
        <v>100000</v>
      </c>
      <c r="H66" s="5">
        <v>170000</v>
      </c>
      <c r="I66" s="11">
        <v>14243.54</v>
      </c>
      <c r="J66" s="12">
        <v>112260.3</v>
      </c>
      <c r="K66" s="8"/>
      <c r="L66" s="9">
        <f t="shared" si="0"/>
        <v>43496.159999999989</v>
      </c>
      <c r="M66" s="10"/>
      <c r="N66" s="10"/>
      <c r="O66" s="10"/>
      <c r="P66" s="61"/>
      <c r="Q66" s="4">
        <f t="shared" si="1"/>
        <v>43496.159999999989</v>
      </c>
      <c r="R66" s="61"/>
      <c r="S66" s="1" t="s">
        <v>838</v>
      </c>
    </row>
    <row r="67" spans="1:19" x14ac:dyDescent="0.35">
      <c r="A67" s="2" t="s">
        <v>19</v>
      </c>
      <c r="B67" s="26">
        <v>8470305</v>
      </c>
      <c r="C67" s="3" t="s">
        <v>121</v>
      </c>
      <c r="D67" s="27">
        <v>425770</v>
      </c>
      <c r="E67" s="3" t="s">
        <v>74</v>
      </c>
      <c r="F67" s="3" t="s">
        <v>127</v>
      </c>
      <c r="G67" s="4">
        <v>704499</v>
      </c>
      <c r="H67" s="5">
        <v>579499</v>
      </c>
      <c r="I67" s="11">
        <v>109975.62</v>
      </c>
      <c r="J67" s="7"/>
      <c r="K67" s="8"/>
      <c r="L67" s="9">
        <f t="shared" ref="L67:L130" si="2">H67-I67-J67-K67</f>
        <v>469523.38</v>
      </c>
      <c r="M67" s="10"/>
      <c r="N67" s="10"/>
      <c r="O67" s="10"/>
      <c r="P67" s="61"/>
      <c r="Q67" s="4">
        <f t="shared" ref="Q67:Q130" si="3">L67-M67-N67-O67</f>
        <v>469523.38</v>
      </c>
      <c r="R67" s="61"/>
      <c r="S67" s="1" t="s">
        <v>838</v>
      </c>
    </row>
    <row r="68" spans="1:19" x14ac:dyDescent="0.35">
      <c r="A68" s="2" t="s">
        <v>19</v>
      </c>
      <c r="B68" s="26">
        <v>8470305</v>
      </c>
      <c r="C68" s="3" t="s">
        <v>121</v>
      </c>
      <c r="D68" s="27">
        <v>425900</v>
      </c>
      <c r="E68" s="3" t="s">
        <v>35</v>
      </c>
      <c r="F68" s="3" t="s">
        <v>128</v>
      </c>
      <c r="G68" s="4">
        <v>18000</v>
      </c>
      <c r="H68" s="5">
        <v>18000</v>
      </c>
      <c r="I68" s="11">
        <v>9738.75</v>
      </c>
      <c r="J68" s="7"/>
      <c r="K68" s="8"/>
      <c r="L68" s="9">
        <f t="shared" si="2"/>
        <v>8261.25</v>
      </c>
      <c r="M68" s="10"/>
      <c r="N68" s="10"/>
      <c r="O68" s="10"/>
      <c r="P68" s="61"/>
      <c r="Q68" s="4">
        <f t="shared" si="3"/>
        <v>8261.25</v>
      </c>
      <c r="R68" s="61"/>
      <c r="S68" s="1" t="s">
        <v>838</v>
      </c>
    </row>
    <row r="69" spans="1:19" x14ac:dyDescent="0.35">
      <c r="A69" s="2" t="s">
        <v>19</v>
      </c>
      <c r="B69" s="26">
        <v>8470305</v>
      </c>
      <c r="C69" s="3" t="s">
        <v>121</v>
      </c>
      <c r="D69" s="27">
        <v>426610</v>
      </c>
      <c r="E69" s="3" t="s">
        <v>37</v>
      </c>
      <c r="F69" s="3" t="s">
        <v>129</v>
      </c>
      <c r="G69" s="4">
        <v>100000</v>
      </c>
      <c r="H69" s="5">
        <v>100000</v>
      </c>
      <c r="I69" s="11">
        <v>46943.25</v>
      </c>
      <c r="J69" s="12">
        <v>0</v>
      </c>
      <c r="K69" s="5">
        <v>0</v>
      </c>
      <c r="L69" s="9">
        <f t="shared" si="2"/>
        <v>53056.75</v>
      </c>
      <c r="M69" s="10"/>
      <c r="N69" s="10"/>
      <c r="O69" s="10"/>
      <c r="P69" s="61"/>
      <c r="Q69" s="4">
        <f t="shared" si="3"/>
        <v>53056.75</v>
      </c>
      <c r="R69" s="61"/>
      <c r="S69" s="1" t="s">
        <v>838</v>
      </c>
    </row>
    <row r="70" spans="1:19" x14ac:dyDescent="0.35">
      <c r="A70" s="2" t="s">
        <v>19</v>
      </c>
      <c r="B70" s="26">
        <v>8470305</v>
      </c>
      <c r="C70" s="3" t="s">
        <v>121</v>
      </c>
      <c r="D70" s="27">
        <v>428090</v>
      </c>
      <c r="E70" s="3" t="s">
        <v>39</v>
      </c>
      <c r="F70" s="3" t="s">
        <v>130</v>
      </c>
      <c r="G70" s="4">
        <v>35000</v>
      </c>
      <c r="H70" s="5">
        <v>25464</v>
      </c>
      <c r="I70" s="6"/>
      <c r="J70" s="7"/>
      <c r="K70" s="8"/>
      <c r="L70" s="9">
        <f t="shared" si="2"/>
        <v>25464</v>
      </c>
      <c r="M70" s="10"/>
      <c r="N70" s="10"/>
      <c r="O70" s="10"/>
      <c r="P70" s="61"/>
      <c r="Q70" s="4">
        <f t="shared" si="3"/>
        <v>25464</v>
      </c>
      <c r="R70" s="61"/>
      <c r="S70" s="1" t="s">
        <v>838</v>
      </c>
    </row>
    <row r="71" spans="1:19" x14ac:dyDescent="0.35">
      <c r="A71" s="2" t="s">
        <v>19</v>
      </c>
      <c r="B71" s="26">
        <v>8470305</v>
      </c>
      <c r="C71" s="3" t="s">
        <v>121</v>
      </c>
      <c r="D71" s="27">
        <v>428640</v>
      </c>
      <c r="E71" s="3" t="s">
        <v>43</v>
      </c>
      <c r="F71" s="3" t="s">
        <v>131</v>
      </c>
      <c r="G71" s="4">
        <v>45000</v>
      </c>
      <c r="H71" s="5">
        <v>22835</v>
      </c>
      <c r="I71" s="6"/>
      <c r="J71" s="7"/>
      <c r="K71" s="8"/>
      <c r="L71" s="9">
        <f t="shared" si="2"/>
        <v>22835</v>
      </c>
      <c r="M71" s="10"/>
      <c r="N71" s="10"/>
      <c r="O71" s="10"/>
      <c r="P71" s="61"/>
      <c r="Q71" s="4">
        <f t="shared" si="3"/>
        <v>22835</v>
      </c>
      <c r="R71" s="61"/>
      <c r="S71" s="1" t="s">
        <v>838</v>
      </c>
    </row>
    <row r="72" spans="1:19" x14ac:dyDescent="0.35">
      <c r="A72" s="2" t="s">
        <v>19</v>
      </c>
      <c r="B72" s="26">
        <v>8470305</v>
      </c>
      <c r="C72" s="3" t="s">
        <v>121</v>
      </c>
      <c r="D72" s="27">
        <v>432209</v>
      </c>
      <c r="E72" s="3" t="s">
        <v>132</v>
      </c>
      <c r="F72" s="3" t="s">
        <v>133</v>
      </c>
      <c r="G72" s="4">
        <v>45292</v>
      </c>
      <c r="H72" s="5">
        <v>45292</v>
      </c>
      <c r="I72" s="11">
        <v>35796.32</v>
      </c>
      <c r="J72" s="7"/>
      <c r="K72" s="5">
        <v>8000</v>
      </c>
      <c r="L72" s="9">
        <f t="shared" si="2"/>
        <v>1495.6800000000003</v>
      </c>
      <c r="M72" s="10"/>
      <c r="N72" s="10"/>
      <c r="O72" s="10"/>
      <c r="P72" s="61"/>
      <c r="Q72" s="4">
        <f t="shared" si="3"/>
        <v>1495.6800000000003</v>
      </c>
      <c r="R72" s="61"/>
      <c r="S72" s="1" t="s">
        <v>838</v>
      </c>
    </row>
    <row r="73" spans="1:19" x14ac:dyDescent="0.35">
      <c r="A73" s="2" t="s">
        <v>19</v>
      </c>
      <c r="B73" s="26">
        <v>8470305</v>
      </c>
      <c r="C73" s="3" t="s">
        <v>121</v>
      </c>
      <c r="D73" s="27">
        <v>435350</v>
      </c>
      <c r="E73" s="3" t="s">
        <v>79</v>
      </c>
      <c r="F73" s="3" t="s">
        <v>134</v>
      </c>
      <c r="G73" s="4">
        <v>260000</v>
      </c>
      <c r="H73" s="5">
        <v>146906</v>
      </c>
      <c r="I73" s="11">
        <v>20510.169999999998</v>
      </c>
      <c r="J73" s="7"/>
      <c r="K73" s="8"/>
      <c r="L73" s="9">
        <f t="shared" si="2"/>
        <v>126395.83</v>
      </c>
      <c r="M73" s="10"/>
      <c r="N73" s="10"/>
      <c r="O73" s="10"/>
      <c r="P73" s="61"/>
      <c r="Q73" s="4">
        <f t="shared" si="3"/>
        <v>126395.83</v>
      </c>
      <c r="R73" s="61"/>
      <c r="S73" s="1" t="s">
        <v>838</v>
      </c>
    </row>
    <row r="74" spans="1:19" x14ac:dyDescent="0.35">
      <c r="A74" s="2" t="s">
        <v>19</v>
      </c>
      <c r="B74" s="26">
        <v>8470305</v>
      </c>
      <c r="C74" s="3" t="s">
        <v>121</v>
      </c>
      <c r="D74" s="27">
        <v>435508</v>
      </c>
      <c r="E74" s="3" t="s">
        <v>135</v>
      </c>
      <c r="F74" s="3" t="s">
        <v>136</v>
      </c>
      <c r="G74" s="4">
        <v>100000</v>
      </c>
      <c r="H74" s="5">
        <v>65000</v>
      </c>
      <c r="I74" s="11">
        <v>38360</v>
      </c>
      <c r="J74" s="12">
        <v>24110</v>
      </c>
      <c r="K74" s="5">
        <v>0</v>
      </c>
      <c r="L74" s="9">
        <f t="shared" si="2"/>
        <v>2530</v>
      </c>
      <c r="M74" s="10"/>
      <c r="N74" s="10"/>
      <c r="O74" s="10"/>
      <c r="P74" s="61"/>
      <c r="Q74" s="4">
        <f t="shared" si="3"/>
        <v>2530</v>
      </c>
      <c r="R74" s="61"/>
      <c r="S74" s="1" t="s">
        <v>838</v>
      </c>
    </row>
    <row r="75" spans="1:19" x14ac:dyDescent="0.35">
      <c r="A75" s="2" t="s">
        <v>19</v>
      </c>
      <c r="B75" s="26">
        <v>8470305</v>
      </c>
      <c r="C75" s="3" t="s">
        <v>121</v>
      </c>
      <c r="D75" s="27">
        <v>436600</v>
      </c>
      <c r="E75" s="3" t="s">
        <v>137</v>
      </c>
      <c r="F75" s="3" t="s">
        <v>138</v>
      </c>
      <c r="G75" s="4">
        <v>25000</v>
      </c>
      <c r="H75" s="5">
        <v>25000</v>
      </c>
      <c r="I75" s="6"/>
      <c r="J75" s="7"/>
      <c r="K75" s="8"/>
      <c r="L75" s="9">
        <f t="shared" si="2"/>
        <v>25000</v>
      </c>
      <c r="M75" s="10"/>
      <c r="N75" s="10"/>
      <c r="O75" s="10"/>
      <c r="P75" s="61"/>
      <c r="Q75" s="4">
        <f t="shared" si="3"/>
        <v>25000</v>
      </c>
      <c r="R75" s="61"/>
      <c r="S75" s="1" t="s">
        <v>838</v>
      </c>
    </row>
    <row r="76" spans="1:19" x14ac:dyDescent="0.35">
      <c r="A76" s="2" t="s">
        <v>19</v>
      </c>
      <c r="B76" s="26">
        <v>8470310</v>
      </c>
      <c r="C76" s="3" t="s">
        <v>139</v>
      </c>
      <c r="D76" s="27">
        <v>420550</v>
      </c>
      <c r="E76" s="3" t="s">
        <v>21</v>
      </c>
      <c r="F76" s="3" t="s">
        <v>140</v>
      </c>
      <c r="G76" s="4">
        <v>20000</v>
      </c>
      <c r="H76" s="5">
        <v>20000</v>
      </c>
      <c r="I76" s="6"/>
      <c r="J76" s="7"/>
      <c r="K76" s="8"/>
      <c r="L76" s="9">
        <f t="shared" si="2"/>
        <v>20000</v>
      </c>
      <c r="M76" s="10"/>
      <c r="N76" s="10"/>
      <c r="O76" s="10"/>
      <c r="P76" s="61"/>
      <c r="Q76" s="4">
        <f t="shared" si="3"/>
        <v>20000</v>
      </c>
      <c r="R76" s="61"/>
      <c r="S76" s="1" t="s">
        <v>838</v>
      </c>
    </row>
    <row r="77" spans="1:19" x14ac:dyDescent="0.35">
      <c r="A77" s="2" t="s">
        <v>19</v>
      </c>
      <c r="B77" s="26">
        <v>8470310</v>
      </c>
      <c r="C77" s="3" t="s">
        <v>139</v>
      </c>
      <c r="D77" s="27">
        <v>425510</v>
      </c>
      <c r="E77" s="3" t="s">
        <v>31</v>
      </c>
      <c r="F77" s="3" t="s">
        <v>141</v>
      </c>
      <c r="G77" s="4">
        <v>15000</v>
      </c>
      <c r="H77" s="5">
        <v>15000</v>
      </c>
      <c r="I77" s="11">
        <v>5330</v>
      </c>
      <c r="J77" s="7"/>
      <c r="K77" s="8"/>
      <c r="L77" s="9">
        <f t="shared" si="2"/>
        <v>9670</v>
      </c>
      <c r="M77" s="10"/>
      <c r="N77" s="10"/>
      <c r="O77" s="10"/>
      <c r="P77" s="61"/>
      <c r="Q77" s="4">
        <f t="shared" si="3"/>
        <v>9670</v>
      </c>
      <c r="R77" s="61"/>
      <c r="S77" s="1" t="s">
        <v>838</v>
      </c>
    </row>
    <row r="78" spans="1:19" x14ac:dyDescent="0.35">
      <c r="A78" s="2" t="s">
        <v>19</v>
      </c>
      <c r="B78" s="26">
        <v>8470310</v>
      </c>
      <c r="C78" s="3" t="s">
        <v>139</v>
      </c>
      <c r="D78" s="27">
        <v>425760</v>
      </c>
      <c r="E78" s="3" t="s">
        <v>142</v>
      </c>
      <c r="F78" s="3" t="s">
        <v>143</v>
      </c>
      <c r="G78" s="4">
        <v>150000</v>
      </c>
      <c r="H78" s="5">
        <v>150000</v>
      </c>
      <c r="I78" s="6"/>
      <c r="J78" s="7"/>
      <c r="K78" s="8"/>
      <c r="L78" s="9">
        <f t="shared" si="2"/>
        <v>150000</v>
      </c>
      <c r="M78" s="10"/>
      <c r="N78" s="10"/>
      <c r="O78" s="10"/>
      <c r="P78" s="61"/>
      <c r="Q78" s="4">
        <f t="shared" si="3"/>
        <v>150000</v>
      </c>
      <c r="R78" s="61"/>
      <c r="S78" s="1" t="s">
        <v>838</v>
      </c>
    </row>
    <row r="79" spans="1:19" x14ac:dyDescent="0.35">
      <c r="A79" s="2" t="s">
        <v>19</v>
      </c>
      <c r="B79" s="26">
        <v>8470310</v>
      </c>
      <c r="C79" s="3" t="s">
        <v>139</v>
      </c>
      <c r="D79" s="27">
        <v>425763</v>
      </c>
      <c r="E79" s="3" t="s">
        <v>59</v>
      </c>
      <c r="F79" s="3" t="s">
        <v>144</v>
      </c>
      <c r="G79" s="4">
        <v>350000</v>
      </c>
      <c r="H79" s="5">
        <v>350000</v>
      </c>
      <c r="I79" s="11">
        <v>209189.08</v>
      </c>
      <c r="J79" s="7"/>
      <c r="K79" s="8"/>
      <c r="L79" s="9">
        <f t="shared" si="2"/>
        <v>140810.92000000001</v>
      </c>
      <c r="M79" s="10"/>
      <c r="N79" s="10"/>
      <c r="O79" s="10"/>
      <c r="P79" s="61"/>
      <c r="Q79" s="4">
        <f t="shared" si="3"/>
        <v>140810.92000000001</v>
      </c>
      <c r="R79" s="61"/>
      <c r="S79" s="1" t="s">
        <v>838</v>
      </c>
    </row>
    <row r="80" spans="1:19" x14ac:dyDescent="0.35">
      <c r="A80" s="2" t="s">
        <v>19</v>
      </c>
      <c r="B80" s="26">
        <v>8470310</v>
      </c>
      <c r="C80" s="3" t="s">
        <v>139</v>
      </c>
      <c r="D80" s="27">
        <v>425770</v>
      </c>
      <c r="E80" s="3" t="s">
        <v>74</v>
      </c>
      <c r="F80" s="3" t="s">
        <v>145</v>
      </c>
      <c r="G80" s="4">
        <v>210000</v>
      </c>
      <c r="H80" s="5">
        <v>112188</v>
      </c>
      <c r="I80" s="11">
        <v>49603.27</v>
      </c>
      <c r="J80" s="7"/>
      <c r="K80" s="8"/>
      <c r="L80" s="9">
        <f t="shared" si="2"/>
        <v>62584.73</v>
      </c>
      <c r="M80" s="10"/>
      <c r="N80" s="10"/>
      <c r="O80" s="10"/>
      <c r="P80" s="61"/>
      <c r="Q80" s="4">
        <f t="shared" si="3"/>
        <v>62584.73</v>
      </c>
      <c r="R80" s="61"/>
      <c r="S80" s="1" t="s">
        <v>838</v>
      </c>
    </row>
    <row r="81" spans="1:19" x14ac:dyDescent="0.35">
      <c r="A81" s="2" t="s">
        <v>19</v>
      </c>
      <c r="B81" s="26">
        <v>8470310</v>
      </c>
      <c r="C81" s="3" t="s">
        <v>139</v>
      </c>
      <c r="D81" s="27">
        <v>425900</v>
      </c>
      <c r="E81" s="3" t="s">
        <v>35</v>
      </c>
      <c r="F81" s="3" t="s">
        <v>146</v>
      </c>
      <c r="G81" s="4">
        <v>8500</v>
      </c>
      <c r="H81" s="5">
        <v>8500</v>
      </c>
      <c r="I81" s="6"/>
      <c r="J81" s="7"/>
      <c r="K81" s="8"/>
      <c r="L81" s="9">
        <f t="shared" si="2"/>
        <v>8500</v>
      </c>
      <c r="M81" s="10"/>
      <c r="N81" s="10"/>
      <c r="O81" s="10"/>
      <c r="P81" s="61"/>
      <c r="Q81" s="4">
        <f t="shared" si="3"/>
        <v>8500</v>
      </c>
      <c r="R81" s="61"/>
      <c r="S81" s="1" t="s">
        <v>838</v>
      </c>
    </row>
    <row r="82" spans="1:19" x14ac:dyDescent="0.35">
      <c r="A82" s="2" t="s">
        <v>19</v>
      </c>
      <c r="B82" s="26">
        <v>8470310</v>
      </c>
      <c r="C82" s="3" t="s">
        <v>139</v>
      </c>
      <c r="D82" s="27">
        <v>426610</v>
      </c>
      <c r="E82" s="3" t="s">
        <v>37</v>
      </c>
      <c r="F82" s="3" t="s">
        <v>147</v>
      </c>
      <c r="G82" s="4">
        <v>9114</v>
      </c>
      <c r="H82" s="5">
        <v>9114</v>
      </c>
      <c r="I82" s="11">
        <v>8895.2800000000007</v>
      </c>
      <c r="J82" s="7"/>
      <c r="K82" s="8"/>
      <c r="L82" s="9">
        <f t="shared" si="2"/>
        <v>218.71999999999935</v>
      </c>
      <c r="M82" s="10"/>
      <c r="N82" s="10"/>
      <c r="O82" s="10"/>
      <c r="P82" s="61"/>
      <c r="Q82" s="4">
        <f t="shared" si="3"/>
        <v>218.71999999999935</v>
      </c>
      <c r="R82" s="61"/>
      <c r="S82" s="1" t="s">
        <v>838</v>
      </c>
    </row>
    <row r="83" spans="1:19" x14ac:dyDescent="0.35">
      <c r="A83" s="2" t="s">
        <v>19</v>
      </c>
      <c r="B83" s="26">
        <v>8470310</v>
      </c>
      <c r="C83" s="3" t="s">
        <v>139</v>
      </c>
      <c r="D83" s="27">
        <v>428090</v>
      </c>
      <c r="E83" s="3" t="s">
        <v>39</v>
      </c>
      <c r="F83" s="3" t="s">
        <v>148</v>
      </c>
      <c r="G83" s="4">
        <v>40000</v>
      </c>
      <c r="H83" s="5">
        <v>14536</v>
      </c>
      <c r="I83" s="6"/>
      <c r="J83" s="7"/>
      <c r="K83" s="8"/>
      <c r="L83" s="9">
        <f t="shared" si="2"/>
        <v>14536</v>
      </c>
      <c r="M83" s="10"/>
      <c r="N83" s="10"/>
      <c r="O83" s="10"/>
      <c r="P83" s="61"/>
      <c r="Q83" s="4">
        <f t="shared" si="3"/>
        <v>14536</v>
      </c>
      <c r="R83" s="61"/>
      <c r="S83" s="1" t="s">
        <v>838</v>
      </c>
    </row>
    <row r="84" spans="1:19" x14ac:dyDescent="0.35">
      <c r="A84" s="2" t="s">
        <v>19</v>
      </c>
      <c r="B84" s="26">
        <v>8470310</v>
      </c>
      <c r="C84" s="3" t="s">
        <v>139</v>
      </c>
      <c r="D84" s="27">
        <v>432209</v>
      </c>
      <c r="E84" s="3" t="s">
        <v>132</v>
      </c>
      <c r="F84" s="3" t="s">
        <v>149</v>
      </c>
      <c r="G84" s="4">
        <v>80000</v>
      </c>
      <c r="H84" s="5">
        <v>5000</v>
      </c>
      <c r="I84" s="6"/>
      <c r="J84" s="7"/>
      <c r="K84" s="8"/>
      <c r="L84" s="9">
        <f t="shared" si="2"/>
        <v>5000</v>
      </c>
      <c r="M84" s="10"/>
      <c r="N84" s="10"/>
      <c r="O84" s="10"/>
      <c r="P84" s="61"/>
      <c r="Q84" s="4">
        <f t="shared" si="3"/>
        <v>5000</v>
      </c>
      <c r="R84" s="61"/>
      <c r="S84" s="1" t="s">
        <v>838</v>
      </c>
    </row>
    <row r="85" spans="1:19" x14ac:dyDescent="0.35">
      <c r="A85" s="2" t="s">
        <v>19</v>
      </c>
      <c r="B85" s="26">
        <v>8470310</v>
      </c>
      <c r="C85" s="3" t="s">
        <v>139</v>
      </c>
      <c r="D85" s="27">
        <v>435350</v>
      </c>
      <c r="E85" s="3" t="s">
        <v>79</v>
      </c>
      <c r="F85" s="3" t="s">
        <v>150</v>
      </c>
      <c r="G85" s="4">
        <v>182000</v>
      </c>
      <c r="H85" s="5">
        <v>109482</v>
      </c>
      <c r="I85" s="11">
        <v>34729.18</v>
      </c>
      <c r="J85" s="7"/>
      <c r="K85" s="8"/>
      <c r="L85" s="9">
        <f t="shared" si="2"/>
        <v>74752.820000000007</v>
      </c>
      <c r="M85" s="10"/>
      <c r="N85" s="10"/>
      <c r="O85" s="10"/>
      <c r="P85" s="61"/>
      <c r="Q85" s="4">
        <f t="shared" si="3"/>
        <v>74752.820000000007</v>
      </c>
      <c r="R85" s="61"/>
      <c r="S85" s="1" t="s">
        <v>838</v>
      </c>
    </row>
    <row r="86" spans="1:19" x14ac:dyDescent="0.35">
      <c r="A86" s="2" t="s">
        <v>19</v>
      </c>
      <c r="B86" s="26">
        <v>8470310</v>
      </c>
      <c r="C86" s="3" t="s">
        <v>139</v>
      </c>
      <c r="D86" s="27">
        <v>435508</v>
      </c>
      <c r="E86" s="3" t="s">
        <v>135</v>
      </c>
      <c r="F86" s="3" t="s">
        <v>151</v>
      </c>
      <c r="G86" s="4">
        <v>80000</v>
      </c>
      <c r="H86" s="5">
        <v>155000</v>
      </c>
      <c r="I86" s="11">
        <v>31585</v>
      </c>
      <c r="J86" s="12">
        <v>0</v>
      </c>
      <c r="K86" s="5">
        <v>119219</v>
      </c>
      <c r="L86" s="9">
        <f t="shared" si="2"/>
        <v>4196</v>
      </c>
      <c r="M86" s="10"/>
      <c r="N86" s="10"/>
      <c r="O86" s="10"/>
      <c r="P86" s="61"/>
      <c r="Q86" s="4">
        <f t="shared" si="3"/>
        <v>4196</v>
      </c>
      <c r="R86" s="61"/>
      <c r="S86" s="1" t="s">
        <v>838</v>
      </c>
    </row>
    <row r="87" spans="1:19" x14ac:dyDescent="0.35">
      <c r="A87" s="2" t="s">
        <v>19</v>
      </c>
      <c r="B87" s="26">
        <v>8470310</v>
      </c>
      <c r="C87" s="3" t="s">
        <v>139</v>
      </c>
      <c r="D87" s="27">
        <v>436110</v>
      </c>
      <c r="E87" s="3" t="s">
        <v>119</v>
      </c>
      <c r="F87" s="3" t="s">
        <v>152</v>
      </c>
      <c r="G87" s="4">
        <v>4000</v>
      </c>
      <c r="H87" s="5">
        <v>4000</v>
      </c>
      <c r="I87" s="6"/>
      <c r="J87" s="7"/>
      <c r="K87" s="8"/>
      <c r="L87" s="9">
        <f t="shared" si="2"/>
        <v>4000</v>
      </c>
      <c r="M87" s="10"/>
      <c r="N87" s="10"/>
      <c r="O87" s="10"/>
      <c r="P87" s="61"/>
      <c r="Q87" s="4">
        <f t="shared" si="3"/>
        <v>4000</v>
      </c>
      <c r="R87" s="61"/>
      <c r="S87" s="1" t="s">
        <v>838</v>
      </c>
    </row>
    <row r="88" spans="1:19" x14ac:dyDescent="0.35">
      <c r="A88" s="2" t="s">
        <v>19</v>
      </c>
      <c r="B88" s="26">
        <v>8470310</v>
      </c>
      <c r="C88" s="3" t="s">
        <v>139</v>
      </c>
      <c r="D88" s="27">
        <v>436600</v>
      </c>
      <c r="E88" s="3" t="s">
        <v>137</v>
      </c>
      <c r="F88" s="3" t="s">
        <v>153</v>
      </c>
      <c r="G88" s="4">
        <v>5000</v>
      </c>
      <c r="H88" s="5">
        <v>5000</v>
      </c>
      <c r="I88" s="6"/>
      <c r="J88" s="7"/>
      <c r="K88" s="8"/>
      <c r="L88" s="9">
        <f t="shared" si="2"/>
        <v>5000</v>
      </c>
      <c r="M88" s="10"/>
      <c r="N88" s="10"/>
      <c r="O88" s="10"/>
      <c r="P88" s="61"/>
      <c r="Q88" s="4">
        <f t="shared" si="3"/>
        <v>5000</v>
      </c>
      <c r="R88" s="61"/>
      <c r="S88" s="1" t="s">
        <v>838</v>
      </c>
    </row>
    <row r="89" spans="1:19" x14ac:dyDescent="0.35">
      <c r="A89" s="2" t="s">
        <v>19</v>
      </c>
      <c r="B89" s="26">
        <v>8470315</v>
      </c>
      <c r="C89" s="3" t="s">
        <v>154</v>
      </c>
      <c r="D89" s="27">
        <v>420550</v>
      </c>
      <c r="E89" s="3" t="s">
        <v>21</v>
      </c>
      <c r="F89" s="3" t="s">
        <v>155</v>
      </c>
      <c r="G89" s="4">
        <v>1000</v>
      </c>
      <c r="H89" s="5">
        <v>1000</v>
      </c>
      <c r="I89" s="6"/>
      <c r="J89" s="7"/>
      <c r="K89" s="8"/>
      <c r="L89" s="9">
        <f t="shared" si="2"/>
        <v>1000</v>
      </c>
      <c r="M89" s="10"/>
      <c r="N89" s="10"/>
      <c r="O89" s="10"/>
      <c r="P89" s="61"/>
      <c r="Q89" s="4">
        <f t="shared" si="3"/>
        <v>1000</v>
      </c>
      <c r="R89" s="61"/>
      <c r="S89" s="1" t="s">
        <v>838</v>
      </c>
    </row>
    <row r="90" spans="1:19" x14ac:dyDescent="0.35">
      <c r="A90" s="2" t="s">
        <v>19</v>
      </c>
      <c r="B90" s="26">
        <v>8470315</v>
      </c>
      <c r="C90" s="3" t="s">
        <v>154</v>
      </c>
      <c r="D90" s="27">
        <v>425510</v>
      </c>
      <c r="E90" s="3" t="s">
        <v>31</v>
      </c>
      <c r="F90" s="3" t="s">
        <v>156</v>
      </c>
      <c r="G90" s="4">
        <v>4000</v>
      </c>
      <c r="H90" s="5">
        <v>4000</v>
      </c>
      <c r="I90" s="6"/>
      <c r="J90" s="7"/>
      <c r="K90" s="8"/>
      <c r="L90" s="9">
        <f t="shared" si="2"/>
        <v>4000</v>
      </c>
      <c r="M90" s="10"/>
      <c r="N90" s="10"/>
      <c r="O90" s="10"/>
      <c r="P90" s="61"/>
      <c r="Q90" s="4">
        <f t="shared" si="3"/>
        <v>4000</v>
      </c>
      <c r="R90" s="61"/>
      <c r="S90" s="1" t="s">
        <v>838</v>
      </c>
    </row>
    <row r="91" spans="1:19" x14ac:dyDescent="0.35">
      <c r="A91" s="2" t="s">
        <v>19</v>
      </c>
      <c r="B91" s="26">
        <v>8470315</v>
      </c>
      <c r="C91" s="3" t="s">
        <v>154</v>
      </c>
      <c r="D91" s="27">
        <v>425760</v>
      </c>
      <c r="E91" s="3" t="s">
        <v>142</v>
      </c>
      <c r="F91" s="3" t="s">
        <v>157</v>
      </c>
      <c r="G91" s="4">
        <v>20000</v>
      </c>
      <c r="H91" s="5">
        <v>20000</v>
      </c>
      <c r="I91" s="11">
        <v>1496.04</v>
      </c>
      <c r="J91" s="7"/>
      <c r="K91" s="8"/>
      <c r="L91" s="9">
        <f t="shared" si="2"/>
        <v>18503.96</v>
      </c>
      <c r="M91" s="10"/>
      <c r="N91" s="10"/>
      <c r="O91" s="10"/>
      <c r="P91" s="61"/>
      <c r="Q91" s="4">
        <f t="shared" si="3"/>
        <v>18503.96</v>
      </c>
      <c r="R91" s="61"/>
      <c r="S91" s="1" t="s">
        <v>838</v>
      </c>
    </row>
    <row r="92" spans="1:19" x14ac:dyDescent="0.35">
      <c r="A92" s="2" t="s">
        <v>19</v>
      </c>
      <c r="B92" s="26">
        <v>8470315</v>
      </c>
      <c r="C92" s="3" t="s">
        <v>154</v>
      </c>
      <c r="D92" s="27">
        <v>425763</v>
      </c>
      <c r="E92" s="3" t="s">
        <v>59</v>
      </c>
      <c r="F92" s="3" t="s">
        <v>158</v>
      </c>
      <c r="G92" s="4">
        <v>180000</v>
      </c>
      <c r="H92" s="5">
        <v>180000</v>
      </c>
      <c r="I92" s="11">
        <v>114185.63</v>
      </c>
      <c r="J92" s="7"/>
      <c r="K92" s="8"/>
      <c r="L92" s="9">
        <f t="shared" si="2"/>
        <v>65814.37</v>
      </c>
      <c r="M92" s="10"/>
      <c r="N92" s="10"/>
      <c r="O92" s="10"/>
      <c r="P92" s="61"/>
      <c r="Q92" s="4">
        <f t="shared" si="3"/>
        <v>65814.37</v>
      </c>
      <c r="R92" s="61"/>
      <c r="S92" s="1" t="s">
        <v>838</v>
      </c>
    </row>
    <row r="93" spans="1:19" x14ac:dyDescent="0.35">
      <c r="A93" s="2" t="s">
        <v>19</v>
      </c>
      <c r="B93" s="26">
        <v>8470315</v>
      </c>
      <c r="C93" s="3" t="s">
        <v>154</v>
      </c>
      <c r="D93" s="27">
        <v>425770</v>
      </c>
      <c r="E93" s="3" t="s">
        <v>74</v>
      </c>
      <c r="F93" s="3" t="s">
        <v>159</v>
      </c>
      <c r="G93" s="4">
        <v>180000</v>
      </c>
      <c r="H93" s="5">
        <v>97193</v>
      </c>
      <c r="I93" s="11">
        <v>34541.660000000003</v>
      </c>
      <c r="J93" s="7"/>
      <c r="K93" s="8"/>
      <c r="L93" s="9">
        <f t="shared" si="2"/>
        <v>62651.34</v>
      </c>
      <c r="M93" s="10"/>
      <c r="N93" s="10"/>
      <c r="O93" s="10"/>
      <c r="P93" s="61"/>
      <c r="Q93" s="4">
        <f t="shared" si="3"/>
        <v>62651.34</v>
      </c>
      <c r="R93" s="61"/>
      <c r="S93" s="1" t="s">
        <v>838</v>
      </c>
    </row>
    <row r="94" spans="1:19" x14ac:dyDescent="0.35">
      <c r="A94" s="2" t="s">
        <v>19</v>
      </c>
      <c r="B94" s="26">
        <v>8470315</v>
      </c>
      <c r="C94" s="3" t="s">
        <v>154</v>
      </c>
      <c r="D94" s="27">
        <v>425900</v>
      </c>
      <c r="E94" s="3" t="s">
        <v>35</v>
      </c>
      <c r="F94" s="3" t="s">
        <v>160</v>
      </c>
      <c r="G94" s="4">
        <v>10000</v>
      </c>
      <c r="H94" s="5">
        <v>10000</v>
      </c>
      <c r="I94" s="11">
        <v>8004</v>
      </c>
      <c r="J94" s="7"/>
      <c r="K94" s="8"/>
      <c r="L94" s="9">
        <f t="shared" si="2"/>
        <v>1996</v>
      </c>
      <c r="M94" s="10"/>
      <c r="N94" s="10"/>
      <c r="O94" s="10"/>
      <c r="P94" s="61"/>
      <c r="Q94" s="4">
        <f t="shared" si="3"/>
        <v>1996</v>
      </c>
      <c r="R94" s="61"/>
      <c r="S94" s="1" t="s">
        <v>838</v>
      </c>
    </row>
    <row r="95" spans="1:19" x14ac:dyDescent="0.35">
      <c r="A95" s="2" t="s">
        <v>19</v>
      </c>
      <c r="B95" s="26">
        <v>8470315</v>
      </c>
      <c r="C95" s="3" t="s">
        <v>154</v>
      </c>
      <c r="D95" s="27">
        <v>426610</v>
      </c>
      <c r="E95" s="3" t="s">
        <v>37</v>
      </c>
      <c r="F95" s="3" t="s">
        <v>161</v>
      </c>
      <c r="G95" s="4">
        <v>99576</v>
      </c>
      <c r="H95" s="5">
        <v>54576</v>
      </c>
      <c r="I95" s="11">
        <v>6253.28</v>
      </c>
      <c r="J95" s="12">
        <v>0</v>
      </c>
      <c r="K95" s="5">
        <v>0</v>
      </c>
      <c r="L95" s="9">
        <f t="shared" si="2"/>
        <v>48322.720000000001</v>
      </c>
      <c r="M95" s="10"/>
      <c r="N95" s="10"/>
      <c r="O95" s="10"/>
      <c r="P95" s="61"/>
      <c r="Q95" s="4">
        <f t="shared" si="3"/>
        <v>48322.720000000001</v>
      </c>
      <c r="R95" s="61"/>
      <c r="S95" s="1" t="s">
        <v>838</v>
      </c>
    </row>
    <row r="96" spans="1:19" x14ac:dyDescent="0.35">
      <c r="A96" s="2" t="s">
        <v>19</v>
      </c>
      <c r="B96" s="26">
        <v>8470315</v>
      </c>
      <c r="C96" s="3" t="s">
        <v>154</v>
      </c>
      <c r="D96" s="27">
        <v>428090</v>
      </c>
      <c r="E96" s="3" t="s">
        <v>39</v>
      </c>
      <c r="F96" s="3" t="s">
        <v>162</v>
      </c>
      <c r="G96" s="4">
        <v>10000</v>
      </c>
      <c r="H96" s="5">
        <v>2725</v>
      </c>
      <c r="I96" s="6"/>
      <c r="J96" s="7"/>
      <c r="K96" s="8"/>
      <c r="L96" s="9">
        <f t="shared" si="2"/>
        <v>2725</v>
      </c>
      <c r="M96" s="10"/>
      <c r="N96" s="10"/>
      <c r="O96" s="10"/>
      <c r="P96" s="61"/>
      <c r="Q96" s="4">
        <f t="shared" si="3"/>
        <v>2725</v>
      </c>
      <c r="R96" s="61"/>
      <c r="S96" s="1" t="s">
        <v>838</v>
      </c>
    </row>
    <row r="97" spans="1:19" x14ac:dyDescent="0.35">
      <c r="A97" s="2" t="s">
        <v>19</v>
      </c>
      <c r="B97" s="26">
        <v>8470315</v>
      </c>
      <c r="C97" s="3" t="s">
        <v>154</v>
      </c>
      <c r="D97" s="27">
        <v>432209</v>
      </c>
      <c r="E97" s="3" t="s">
        <v>132</v>
      </c>
      <c r="F97" s="3" t="s">
        <v>163</v>
      </c>
      <c r="G97" s="4">
        <v>90250</v>
      </c>
      <c r="H97" s="5">
        <v>90250</v>
      </c>
      <c r="I97" s="11">
        <v>35500</v>
      </c>
      <c r="J97" s="12">
        <v>0</v>
      </c>
      <c r="K97" s="5">
        <v>52893.919999999998</v>
      </c>
      <c r="L97" s="9">
        <f t="shared" si="2"/>
        <v>1856.0800000000017</v>
      </c>
      <c r="M97" s="10"/>
      <c r="N97" s="10"/>
      <c r="O97" s="10"/>
      <c r="P97" s="61"/>
      <c r="Q97" s="4">
        <f t="shared" si="3"/>
        <v>1856.0800000000017</v>
      </c>
      <c r="R97" s="61"/>
      <c r="S97" s="1" t="s">
        <v>838</v>
      </c>
    </row>
    <row r="98" spans="1:19" x14ac:dyDescent="0.35">
      <c r="A98" s="2" t="s">
        <v>19</v>
      </c>
      <c r="B98" s="26">
        <v>8470315</v>
      </c>
      <c r="C98" s="3" t="s">
        <v>154</v>
      </c>
      <c r="D98" s="27">
        <v>435350</v>
      </c>
      <c r="E98" s="3" t="s">
        <v>79</v>
      </c>
      <c r="F98" s="3" t="s">
        <v>164</v>
      </c>
      <c r="G98" s="4">
        <v>38400</v>
      </c>
      <c r="H98" s="5">
        <v>24647</v>
      </c>
      <c r="I98" s="11">
        <v>24646.04</v>
      </c>
      <c r="J98" s="7"/>
      <c r="K98" s="8"/>
      <c r="L98" s="9">
        <f t="shared" si="2"/>
        <v>0.95999999999912689</v>
      </c>
      <c r="M98" s="10"/>
      <c r="N98" s="10"/>
      <c r="O98" s="10"/>
      <c r="P98" s="61"/>
      <c r="Q98" s="4">
        <f t="shared" si="3"/>
        <v>0.95999999999912689</v>
      </c>
      <c r="R98" s="61"/>
      <c r="S98" s="1" t="s">
        <v>838</v>
      </c>
    </row>
    <row r="99" spans="1:19" x14ac:dyDescent="0.35">
      <c r="A99" s="2" t="s">
        <v>19</v>
      </c>
      <c r="B99" s="26">
        <v>8470315</v>
      </c>
      <c r="C99" s="3" t="s">
        <v>154</v>
      </c>
      <c r="D99" s="27">
        <v>435508</v>
      </c>
      <c r="E99" s="3" t="s">
        <v>135</v>
      </c>
      <c r="F99" s="3" t="s">
        <v>165</v>
      </c>
      <c r="G99" s="4">
        <v>150000</v>
      </c>
      <c r="H99" s="5">
        <v>195000</v>
      </c>
      <c r="I99" s="11">
        <v>124792.68</v>
      </c>
      <c r="J99" s="12">
        <v>-7.2759576141834308E-12</v>
      </c>
      <c r="K99" s="5">
        <v>49868.5</v>
      </c>
      <c r="L99" s="9">
        <f t="shared" si="2"/>
        <v>20338.820000000007</v>
      </c>
      <c r="M99" s="10"/>
      <c r="N99" s="10"/>
      <c r="O99" s="10"/>
      <c r="P99" s="61"/>
      <c r="Q99" s="4">
        <f t="shared" si="3"/>
        <v>20338.820000000007</v>
      </c>
      <c r="R99" s="61"/>
      <c r="S99" s="1" t="s">
        <v>838</v>
      </c>
    </row>
    <row r="100" spans="1:19" x14ac:dyDescent="0.35">
      <c r="A100" s="2" t="s">
        <v>19</v>
      </c>
      <c r="B100" s="26">
        <v>8470315</v>
      </c>
      <c r="C100" s="3" t="s">
        <v>154</v>
      </c>
      <c r="D100" s="27">
        <v>436110</v>
      </c>
      <c r="E100" s="3" t="s">
        <v>119</v>
      </c>
      <c r="F100" s="3" t="s">
        <v>166</v>
      </c>
      <c r="G100" s="4">
        <v>2000</v>
      </c>
      <c r="H100" s="5">
        <v>2000</v>
      </c>
      <c r="I100" s="6"/>
      <c r="J100" s="7"/>
      <c r="K100" s="8"/>
      <c r="L100" s="9">
        <f t="shared" si="2"/>
        <v>2000</v>
      </c>
      <c r="M100" s="10"/>
      <c r="N100" s="10"/>
      <c r="O100" s="10"/>
      <c r="P100" s="61"/>
      <c r="Q100" s="4">
        <f t="shared" si="3"/>
        <v>2000</v>
      </c>
      <c r="R100" s="61"/>
      <c r="S100" s="1" t="s">
        <v>838</v>
      </c>
    </row>
    <row r="101" spans="1:19" x14ac:dyDescent="0.35">
      <c r="A101" s="2" t="s">
        <v>19</v>
      </c>
      <c r="B101" s="26">
        <v>8470315</v>
      </c>
      <c r="C101" s="3" t="s">
        <v>154</v>
      </c>
      <c r="D101" s="27">
        <v>436600</v>
      </c>
      <c r="E101" s="3" t="s">
        <v>137</v>
      </c>
      <c r="F101" s="3" t="s">
        <v>167</v>
      </c>
      <c r="G101" s="4">
        <v>3000</v>
      </c>
      <c r="H101" s="5">
        <v>3000</v>
      </c>
      <c r="I101" s="6"/>
      <c r="J101" s="7"/>
      <c r="K101" s="8"/>
      <c r="L101" s="9">
        <f t="shared" si="2"/>
        <v>3000</v>
      </c>
      <c r="M101" s="10"/>
      <c r="N101" s="10"/>
      <c r="O101" s="10"/>
      <c r="P101" s="61"/>
      <c r="Q101" s="4">
        <f t="shared" si="3"/>
        <v>3000</v>
      </c>
      <c r="R101" s="61"/>
      <c r="S101" s="1" t="s">
        <v>838</v>
      </c>
    </row>
    <row r="102" spans="1:19" x14ac:dyDescent="0.35">
      <c r="A102" s="2" t="s">
        <v>19</v>
      </c>
      <c r="B102" s="26">
        <v>8470320</v>
      </c>
      <c r="C102" s="3" t="s">
        <v>168</v>
      </c>
      <c r="D102" s="27">
        <v>420550</v>
      </c>
      <c r="E102" s="3" t="s">
        <v>21</v>
      </c>
      <c r="F102" s="3" t="s">
        <v>169</v>
      </c>
      <c r="G102" s="4">
        <v>20000</v>
      </c>
      <c r="H102" s="5">
        <v>20000</v>
      </c>
      <c r="I102" s="6"/>
      <c r="J102" s="7"/>
      <c r="K102" s="8"/>
      <c r="L102" s="9">
        <f t="shared" si="2"/>
        <v>20000</v>
      </c>
      <c r="M102" s="10"/>
      <c r="N102" s="10"/>
      <c r="O102" s="10"/>
      <c r="P102" s="61"/>
      <c r="Q102" s="4">
        <f t="shared" si="3"/>
        <v>20000</v>
      </c>
      <c r="R102" s="61"/>
      <c r="S102" s="1" t="s">
        <v>838</v>
      </c>
    </row>
    <row r="103" spans="1:19" x14ac:dyDescent="0.35">
      <c r="A103" s="2" t="s">
        <v>19</v>
      </c>
      <c r="B103" s="26">
        <v>8470320</v>
      </c>
      <c r="C103" s="3" t="s">
        <v>168</v>
      </c>
      <c r="D103" s="27">
        <v>425510</v>
      </c>
      <c r="E103" s="3" t="s">
        <v>31</v>
      </c>
      <c r="F103" s="3" t="s">
        <v>170</v>
      </c>
      <c r="G103" s="4">
        <v>30000</v>
      </c>
      <c r="H103" s="5">
        <v>30000</v>
      </c>
      <c r="I103" s="6"/>
      <c r="J103" s="7"/>
      <c r="K103" s="8"/>
      <c r="L103" s="9">
        <f t="shared" si="2"/>
        <v>30000</v>
      </c>
      <c r="M103" s="10"/>
      <c r="N103" s="10"/>
      <c r="O103" s="10"/>
      <c r="P103" s="61"/>
      <c r="Q103" s="4">
        <f t="shared" si="3"/>
        <v>30000</v>
      </c>
      <c r="R103" s="61"/>
      <c r="S103" s="1" t="s">
        <v>838</v>
      </c>
    </row>
    <row r="104" spans="1:19" x14ac:dyDescent="0.35">
      <c r="A104" s="2" t="s">
        <v>19</v>
      </c>
      <c r="B104" s="26">
        <v>8470320</v>
      </c>
      <c r="C104" s="3" t="s">
        <v>168</v>
      </c>
      <c r="D104" s="27">
        <v>425760</v>
      </c>
      <c r="E104" s="3" t="s">
        <v>142</v>
      </c>
      <c r="F104" s="3" t="s">
        <v>171</v>
      </c>
      <c r="G104" s="4">
        <v>25000</v>
      </c>
      <c r="H104" s="5">
        <v>25000</v>
      </c>
      <c r="I104" s="6"/>
      <c r="J104" s="7"/>
      <c r="K104" s="8"/>
      <c r="L104" s="9">
        <f t="shared" si="2"/>
        <v>25000</v>
      </c>
      <c r="M104" s="10"/>
      <c r="N104" s="10"/>
      <c r="O104" s="10"/>
      <c r="P104" s="61"/>
      <c r="Q104" s="4">
        <f t="shared" si="3"/>
        <v>25000</v>
      </c>
      <c r="R104" s="61"/>
      <c r="S104" s="1" t="s">
        <v>838</v>
      </c>
    </row>
    <row r="105" spans="1:19" x14ac:dyDescent="0.35">
      <c r="A105" s="2" t="s">
        <v>19</v>
      </c>
      <c r="B105" s="26">
        <v>8470320</v>
      </c>
      <c r="C105" s="3" t="s">
        <v>168</v>
      </c>
      <c r="D105" s="27">
        <v>425763</v>
      </c>
      <c r="E105" s="3" t="s">
        <v>59</v>
      </c>
      <c r="F105" s="3" t="s">
        <v>172</v>
      </c>
      <c r="G105" s="4">
        <v>100000</v>
      </c>
      <c r="H105" s="5">
        <v>100000</v>
      </c>
      <c r="I105" s="11">
        <v>65000</v>
      </c>
      <c r="J105" s="12">
        <v>0</v>
      </c>
      <c r="K105" s="5">
        <v>1226.5</v>
      </c>
      <c r="L105" s="9">
        <f t="shared" si="2"/>
        <v>33773.5</v>
      </c>
      <c r="M105" s="10"/>
      <c r="N105" s="10"/>
      <c r="O105" s="10"/>
      <c r="P105" s="61"/>
      <c r="Q105" s="4">
        <f t="shared" si="3"/>
        <v>33773.5</v>
      </c>
      <c r="R105" s="61"/>
      <c r="S105" s="1" t="s">
        <v>838</v>
      </c>
    </row>
    <row r="106" spans="1:19" x14ac:dyDescent="0.35">
      <c r="A106" s="2" t="s">
        <v>19</v>
      </c>
      <c r="B106" s="26">
        <v>8470320</v>
      </c>
      <c r="C106" s="3" t="s">
        <v>168</v>
      </c>
      <c r="D106" s="27">
        <v>425770</v>
      </c>
      <c r="E106" s="3" t="s">
        <v>74</v>
      </c>
      <c r="F106" s="3" t="s">
        <v>173</v>
      </c>
      <c r="G106" s="4">
        <v>450000</v>
      </c>
      <c r="H106" s="5">
        <v>237519</v>
      </c>
      <c r="I106" s="11">
        <v>101100.4</v>
      </c>
      <c r="J106" s="7"/>
      <c r="K106" s="8"/>
      <c r="L106" s="9">
        <f t="shared" si="2"/>
        <v>136418.6</v>
      </c>
      <c r="M106" s="10"/>
      <c r="N106" s="10"/>
      <c r="O106" s="10"/>
      <c r="P106" s="61"/>
      <c r="Q106" s="4">
        <f t="shared" si="3"/>
        <v>136418.6</v>
      </c>
      <c r="R106" s="61"/>
      <c r="S106" s="1" t="s">
        <v>838</v>
      </c>
    </row>
    <row r="107" spans="1:19" x14ac:dyDescent="0.35">
      <c r="A107" s="2" t="s">
        <v>19</v>
      </c>
      <c r="B107" s="26">
        <v>8470320</v>
      </c>
      <c r="C107" s="3" t="s">
        <v>168</v>
      </c>
      <c r="D107" s="27">
        <v>425900</v>
      </c>
      <c r="E107" s="3" t="s">
        <v>35</v>
      </c>
      <c r="F107" s="3" t="s">
        <v>174</v>
      </c>
      <c r="G107" s="4">
        <v>20000</v>
      </c>
      <c r="H107" s="5">
        <v>20000</v>
      </c>
      <c r="I107" s="11">
        <v>4750</v>
      </c>
      <c r="J107" s="7"/>
      <c r="K107" s="8"/>
      <c r="L107" s="9">
        <f t="shared" si="2"/>
        <v>15250</v>
      </c>
      <c r="M107" s="10"/>
      <c r="N107" s="10"/>
      <c r="O107" s="10"/>
      <c r="P107" s="61"/>
      <c r="Q107" s="4">
        <f t="shared" si="3"/>
        <v>15250</v>
      </c>
      <c r="R107" s="61"/>
      <c r="S107" s="1" t="s">
        <v>838</v>
      </c>
    </row>
    <row r="108" spans="1:19" x14ac:dyDescent="0.35">
      <c r="A108" s="2" t="s">
        <v>19</v>
      </c>
      <c r="B108" s="26">
        <v>8470320</v>
      </c>
      <c r="C108" s="3" t="s">
        <v>168</v>
      </c>
      <c r="D108" s="27">
        <v>426610</v>
      </c>
      <c r="E108" s="3" t="s">
        <v>37</v>
      </c>
      <c r="F108" s="3" t="s">
        <v>175</v>
      </c>
      <c r="G108" s="4">
        <v>75000</v>
      </c>
      <c r="H108" s="5">
        <v>75000</v>
      </c>
      <c r="I108" s="11">
        <v>60384.12</v>
      </c>
      <c r="J108" s="12">
        <v>-2.7284841053187799E-12</v>
      </c>
      <c r="K108" s="5">
        <v>9.0949470177292804E-13</v>
      </c>
      <c r="L108" s="9">
        <f t="shared" si="2"/>
        <v>14615.880000000001</v>
      </c>
      <c r="M108" s="10"/>
      <c r="N108" s="10"/>
      <c r="O108" s="10"/>
      <c r="P108" s="61"/>
      <c r="Q108" s="4">
        <f t="shared" si="3"/>
        <v>14615.880000000001</v>
      </c>
      <c r="R108" s="61"/>
      <c r="S108" s="1" t="s">
        <v>838</v>
      </c>
    </row>
    <row r="109" spans="1:19" x14ac:dyDescent="0.35">
      <c r="A109" s="2" t="s">
        <v>19</v>
      </c>
      <c r="B109" s="26">
        <v>8470320</v>
      </c>
      <c r="C109" s="3" t="s">
        <v>168</v>
      </c>
      <c r="D109" s="27">
        <v>428090</v>
      </c>
      <c r="E109" s="3" t="s">
        <v>39</v>
      </c>
      <c r="F109" s="3" t="s">
        <v>176</v>
      </c>
      <c r="G109" s="4">
        <v>35000</v>
      </c>
      <c r="H109" s="5">
        <v>10401</v>
      </c>
      <c r="I109" s="11">
        <v>10400</v>
      </c>
      <c r="J109" s="7"/>
      <c r="K109" s="8"/>
      <c r="L109" s="9">
        <f t="shared" si="2"/>
        <v>1</v>
      </c>
      <c r="M109" s="10"/>
      <c r="N109" s="10"/>
      <c r="O109" s="10"/>
      <c r="P109" s="61"/>
      <c r="Q109" s="4">
        <f t="shared" si="3"/>
        <v>1</v>
      </c>
      <c r="R109" s="61"/>
      <c r="S109" s="1" t="s">
        <v>838</v>
      </c>
    </row>
    <row r="110" spans="1:19" x14ac:dyDescent="0.35">
      <c r="A110" s="2" t="s">
        <v>19</v>
      </c>
      <c r="B110" s="26">
        <v>8470320</v>
      </c>
      <c r="C110" s="3" t="s">
        <v>168</v>
      </c>
      <c r="D110" s="27">
        <v>435350</v>
      </c>
      <c r="E110" s="3" t="s">
        <v>79</v>
      </c>
      <c r="F110" s="3" t="s">
        <v>177</v>
      </c>
      <c r="G110" s="4">
        <v>50000</v>
      </c>
      <c r="H110" s="5">
        <v>29251</v>
      </c>
      <c r="I110" s="11">
        <v>22245.54</v>
      </c>
      <c r="J110" s="7"/>
      <c r="K110" s="8"/>
      <c r="L110" s="9">
        <f t="shared" si="2"/>
        <v>7005.4599999999991</v>
      </c>
      <c r="M110" s="10"/>
      <c r="N110" s="10"/>
      <c r="O110" s="10"/>
      <c r="P110" s="61"/>
      <c r="Q110" s="4">
        <f t="shared" si="3"/>
        <v>7005.4599999999991</v>
      </c>
      <c r="R110" s="61"/>
      <c r="S110" s="1" t="s">
        <v>838</v>
      </c>
    </row>
    <row r="111" spans="1:19" x14ac:dyDescent="0.35">
      <c r="A111" s="2" t="s">
        <v>19</v>
      </c>
      <c r="B111" s="26">
        <v>8470320</v>
      </c>
      <c r="C111" s="3" t="s">
        <v>168</v>
      </c>
      <c r="D111" s="27">
        <v>435508</v>
      </c>
      <c r="E111" s="3" t="s">
        <v>135</v>
      </c>
      <c r="F111" s="3" t="s">
        <v>178</v>
      </c>
      <c r="G111" s="4">
        <v>200000</v>
      </c>
      <c r="H111" s="5">
        <v>212131</v>
      </c>
      <c r="I111" s="6"/>
      <c r="J111" s="12">
        <v>0</v>
      </c>
      <c r="K111" s="5">
        <v>196528.7</v>
      </c>
      <c r="L111" s="9">
        <f t="shared" si="2"/>
        <v>15602.299999999988</v>
      </c>
      <c r="M111" s="10"/>
      <c r="N111" s="10"/>
      <c r="O111" s="10"/>
      <c r="P111" s="61"/>
      <c r="Q111" s="4">
        <f t="shared" si="3"/>
        <v>15602.299999999988</v>
      </c>
      <c r="R111" s="61"/>
      <c r="S111" s="1" t="s">
        <v>838</v>
      </c>
    </row>
    <row r="112" spans="1:19" x14ac:dyDescent="0.35">
      <c r="A112" s="2" t="s">
        <v>19</v>
      </c>
      <c r="B112" s="26">
        <v>8470320</v>
      </c>
      <c r="C112" s="3" t="s">
        <v>168</v>
      </c>
      <c r="D112" s="27">
        <v>436110</v>
      </c>
      <c r="E112" s="3" t="s">
        <v>119</v>
      </c>
      <c r="F112" s="3" t="s">
        <v>179</v>
      </c>
      <c r="G112" s="4">
        <v>35000</v>
      </c>
      <c r="H112" s="5">
        <v>35000</v>
      </c>
      <c r="I112" s="11">
        <v>9881.9</v>
      </c>
      <c r="J112" s="7"/>
      <c r="K112" s="8"/>
      <c r="L112" s="9">
        <f t="shared" si="2"/>
        <v>25118.1</v>
      </c>
      <c r="M112" s="10"/>
      <c r="N112" s="10"/>
      <c r="O112" s="10"/>
      <c r="P112" s="61"/>
      <c r="Q112" s="4">
        <f t="shared" si="3"/>
        <v>25118.1</v>
      </c>
      <c r="R112" s="61"/>
      <c r="S112" s="1" t="s">
        <v>838</v>
      </c>
    </row>
    <row r="113" spans="1:19" x14ac:dyDescent="0.35">
      <c r="A113" s="2" t="s">
        <v>19</v>
      </c>
      <c r="B113" s="26">
        <v>8470320</v>
      </c>
      <c r="C113" s="3" t="s">
        <v>168</v>
      </c>
      <c r="D113" s="27">
        <v>436600</v>
      </c>
      <c r="E113" s="3" t="s">
        <v>137</v>
      </c>
      <c r="F113" s="3" t="s">
        <v>180</v>
      </c>
      <c r="G113" s="4">
        <v>45000</v>
      </c>
      <c r="H113" s="5">
        <v>45000</v>
      </c>
      <c r="I113" s="11">
        <v>12485</v>
      </c>
      <c r="J113" s="7"/>
      <c r="K113" s="8"/>
      <c r="L113" s="9">
        <f t="shared" si="2"/>
        <v>32515</v>
      </c>
      <c r="M113" s="10"/>
      <c r="N113" s="10"/>
      <c r="O113" s="10"/>
      <c r="P113" s="61"/>
      <c r="Q113" s="4">
        <f t="shared" si="3"/>
        <v>32515</v>
      </c>
      <c r="R113" s="61"/>
      <c r="S113" s="1" t="s">
        <v>838</v>
      </c>
    </row>
    <row r="114" spans="1:19" x14ac:dyDescent="0.35">
      <c r="A114" s="2" t="s">
        <v>19</v>
      </c>
      <c r="B114" s="26">
        <v>8470325</v>
      </c>
      <c r="C114" s="3" t="s">
        <v>181</v>
      </c>
      <c r="D114" s="27">
        <v>420550</v>
      </c>
      <c r="E114" s="3" t="s">
        <v>21</v>
      </c>
      <c r="F114" s="3" t="s">
        <v>182</v>
      </c>
      <c r="G114" s="4">
        <v>4000</v>
      </c>
      <c r="H114" s="5">
        <v>4000</v>
      </c>
      <c r="I114" s="6"/>
      <c r="J114" s="7"/>
      <c r="K114" s="8"/>
      <c r="L114" s="9">
        <f t="shared" si="2"/>
        <v>4000</v>
      </c>
      <c r="M114" s="10"/>
      <c r="N114" s="10"/>
      <c r="O114" s="10"/>
      <c r="P114" s="61"/>
      <c r="Q114" s="4">
        <f t="shared" si="3"/>
        <v>4000</v>
      </c>
      <c r="R114" s="61"/>
      <c r="S114" s="1" t="s">
        <v>838</v>
      </c>
    </row>
    <row r="115" spans="1:19" x14ac:dyDescent="0.35">
      <c r="A115" s="2" t="s">
        <v>19</v>
      </c>
      <c r="B115" s="26">
        <v>8470325</v>
      </c>
      <c r="C115" s="3" t="s">
        <v>181</v>
      </c>
      <c r="D115" s="27">
        <v>425510</v>
      </c>
      <c r="E115" s="3" t="s">
        <v>31</v>
      </c>
      <c r="F115" s="3" t="s">
        <v>183</v>
      </c>
      <c r="G115" s="4">
        <v>6600</v>
      </c>
      <c r="H115" s="5">
        <v>6600</v>
      </c>
      <c r="I115" s="11">
        <v>2550</v>
      </c>
      <c r="J115" s="7"/>
      <c r="K115" s="8"/>
      <c r="L115" s="9">
        <f t="shared" si="2"/>
        <v>4050</v>
      </c>
      <c r="M115" s="10"/>
      <c r="N115" s="10"/>
      <c r="O115" s="10"/>
      <c r="P115" s="61"/>
      <c r="Q115" s="4">
        <f t="shared" si="3"/>
        <v>4050</v>
      </c>
      <c r="R115" s="61"/>
      <c r="S115" s="1" t="s">
        <v>838</v>
      </c>
    </row>
    <row r="116" spans="1:19" x14ac:dyDescent="0.35">
      <c r="A116" s="2" t="s">
        <v>19</v>
      </c>
      <c r="B116" s="26">
        <v>8470325</v>
      </c>
      <c r="C116" s="3" t="s">
        <v>181</v>
      </c>
      <c r="D116" s="27">
        <v>425760</v>
      </c>
      <c r="E116" s="3" t="s">
        <v>142</v>
      </c>
      <c r="F116" s="3" t="s">
        <v>184</v>
      </c>
      <c r="G116" s="4">
        <v>5000</v>
      </c>
      <c r="H116" s="5">
        <v>5000</v>
      </c>
      <c r="I116" s="6"/>
      <c r="J116" s="7"/>
      <c r="K116" s="8"/>
      <c r="L116" s="9">
        <f t="shared" si="2"/>
        <v>5000</v>
      </c>
      <c r="M116" s="10"/>
      <c r="N116" s="10"/>
      <c r="O116" s="10"/>
      <c r="P116" s="61"/>
      <c r="Q116" s="4">
        <f t="shared" si="3"/>
        <v>5000</v>
      </c>
      <c r="R116" s="61"/>
      <c r="S116" s="1" t="s">
        <v>838</v>
      </c>
    </row>
    <row r="117" spans="1:19" x14ac:dyDescent="0.35">
      <c r="A117" s="2" t="s">
        <v>19</v>
      </c>
      <c r="B117" s="26">
        <v>8470325</v>
      </c>
      <c r="C117" s="3" t="s">
        <v>181</v>
      </c>
      <c r="D117" s="27">
        <v>425763</v>
      </c>
      <c r="E117" s="3" t="s">
        <v>59</v>
      </c>
      <c r="F117" s="3" t="s">
        <v>185</v>
      </c>
      <c r="G117" s="4">
        <v>370000</v>
      </c>
      <c r="H117" s="5">
        <v>370000</v>
      </c>
      <c r="I117" s="11">
        <v>204324.33</v>
      </c>
      <c r="J117" s="7"/>
      <c r="K117" s="8"/>
      <c r="L117" s="9">
        <f t="shared" si="2"/>
        <v>165675.67000000001</v>
      </c>
      <c r="M117" s="10"/>
      <c r="N117" s="10"/>
      <c r="O117" s="10"/>
      <c r="P117" s="61"/>
      <c r="Q117" s="4">
        <f t="shared" si="3"/>
        <v>165675.67000000001</v>
      </c>
      <c r="R117" s="61"/>
      <c r="S117" s="1" t="s">
        <v>838</v>
      </c>
    </row>
    <row r="118" spans="1:19" x14ac:dyDescent="0.35">
      <c r="A118" s="2" t="s">
        <v>19</v>
      </c>
      <c r="B118" s="26">
        <v>8470325</v>
      </c>
      <c r="C118" s="3" t="s">
        <v>181</v>
      </c>
      <c r="D118" s="27">
        <v>425770</v>
      </c>
      <c r="E118" s="3" t="s">
        <v>74</v>
      </c>
      <c r="F118" s="3" t="s">
        <v>186</v>
      </c>
      <c r="G118" s="4">
        <v>165000</v>
      </c>
      <c r="H118" s="5">
        <v>88156</v>
      </c>
      <c r="I118" s="11">
        <v>63135.35</v>
      </c>
      <c r="J118" s="7"/>
      <c r="K118" s="8"/>
      <c r="L118" s="9">
        <f t="shared" si="2"/>
        <v>25020.65</v>
      </c>
      <c r="M118" s="10"/>
      <c r="N118" s="10"/>
      <c r="O118" s="10"/>
      <c r="P118" s="61"/>
      <c r="Q118" s="4">
        <f t="shared" si="3"/>
        <v>25020.65</v>
      </c>
      <c r="R118" s="61"/>
      <c r="S118" s="1" t="s">
        <v>838</v>
      </c>
    </row>
    <row r="119" spans="1:19" x14ac:dyDescent="0.35">
      <c r="A119" s="2" t="s">
        <v>19</v>
      </c>
      <c r="B119" s="26">
        <v>8470325</v>
      </c>
      <c r="C119" s="3" t="s">
        <v>181</v>
      </c>
      <c r="D119" s="27">
        <v>426610</v>
      </c>
      <c r="E119" s="3" t="s">
        <v>37</v>
      </c>
      <c r="F119" s="3" t="s">
        <v>187</v>
      </c>
      <c r="G119" s="4">
        <v>34910</v>
      </c>
      <c r="H119" s="5">
        <v>34910</v>
      </c>
      <c r="I119" s="11">
        <v>5509.5</v>
      </c>
      <c r="J119" s="12">
        <v>0</v>
      </c>
      <c r="K119" s="5">
        <v>11753.6</v>
      </c>
      <c r="L119" s="9">
        <f t="shared" si="2"/>
        <v>17646.900000000001</v>
      </c>
      <c r="M119" s="10"/>
      <c r="N119" s="10"/>
      <c r="O119" s="10"/>
      <c r="P119" s="61"/>
      <c r="Q119" s="4">
        <f t="shared" si="3"/>
        <v>17646.900000000001</v>
      </c>
      <c r="R119" s="61"/>
      <c r="S119" s="1" t="s">
        <v>838</v>
      </c>
    </row>
    <row r="120" spans="1:19" x14ac:dyDescent="0.35">
      <c r="A120" s="2" t="s">
        <v>19</v>
      </c>
      <c r="B120" s="26">
        <v>8470325</v>
      </c>
      <c r="C120" s="3" t="s">
        <v>181</v>
      </c>
      <c r="D120" s="27">
        <v>428090</v>
      </c>
      <c r="E120" s="3" t="s">
        <v>39</v>
      </c>
      <c r="F120" s="3" t="s">
        <v>188</v>
      </c>
      <c r="G120" s="4">
        <v>30000</v>
      </c>
      <c r="H120" s="5">
        <v>0</v>
      </c>
      <c r="I120" s="6"/>
      <c r="J120" s="7"/>
      <c r="K120" s="8"/>
      <c r="L120" s="9">
        <f t="shared" si="2"/>
        <v>0</v>
      </c>
      <c r="M120" s="10"/>
      <c r="N120" s="10"/>
      <c r="O120" s="10"/>
      <c r="P120" s="61"/>
      <c r="Q120" s="4">
        <f t="shared" si="3"/>
        <v>0</v>
      </c>
      <c r="R120" s="61"/>
      <c r="S120" s="1" t="s">
        <v>838</v>
      </c>
    </row>
    <row r="121" spans="1:19" x14ac:dyDescent="0.35">
      <c r="A121" s="2" t="s">
        <v>19</v>
      </c>
      <c r="B121" s="26">
        <v>8470325</v>
      </c>
      <c r="C121" s="3" t="s">
        <v>181</v>
      </c>
      <c r="D121" s="27">
        <v>432209</v>
      </c>
      <c r="E121" s="3" t="s">
        <v>132</v>
      </c>
      <c r="F121" s="3" t="s">
        <v>189</v>
      </c>
      <c r="G121" s="4">
        <v>171550</v>
      </c>
      <c r="H121" s="5">
        <v>201550</v>
      </c>
      <c r="I121" s="11">
        <v>142722</v>
      </c>
      <c r="J121" s="12">
        <v>-9.0949470177292808E-12</v>
      </c>
      <c r="K121" s="5">
        <v>30950</v>
      </c>
      <c r="L121" s="9">
        <f t="shared" si="2"/>
        <v>27878.000000000007</v>
      </c>
      <c r="M121" s="10"/>
      <c r="N121" s="10"/>
      <c r="O121" s="10"/>
      <c r="P121" s="61"/>
      <c r="Q121" s="4">
        <f t="shared" si="3"/>
        <v>27878.000000000007</v>
      </c>
      <c r="R121" s="61"/>
      <c r="S121" s="1" t="s">
        <v>838</v>
      </c>
    </row>
    <row r="122" spans="1:19" x14ac:dyDescent="0.35">
      <c r="A122" s="2" t="s">
        <v>19</v>
      </c>
      <c r="B122" s="26">
        <v>8470325</v>
      </c>
      <c r="C122" s="3" t="s">
        <v>181</v>
      </c>
      <c r="D122" s="27">
        <v>435350</v>
      </c>
      <c r="E122" s="3" t="s">
        <v>79</v>
      </c>
      <c r="F122" s="3" t="s">
        <v>190</v>
      </c>
      <c r="G122" s="4">
        <v>80000</v>
      </c>
      <c r="H122" s="5">
        <v>43337</v>
      </c>
      <c r="I122" s="11">
        <v>15857</v>
      </c>
      <c r="J122" s="7"/>
      <c r="K122" s="8"/>
      <c r="L122" s="9">
        <f t="shared" si="2"/>
        <v>27480</v>
      </c>
      <c r="M122" s="10"/>
      <c r="N122" s="10"/>
      <c r="O122" s="10"/>
      <c r="P122" s="61"/>
      <c r="Q122" s="4">
        <f t="shared" si="3"/>
        <v>27480</v>
      </c>
      <c r="R122" s="61"/>
      <c r="S122" s="1" t="s">
        <v>838</v>
      </c>
    </row>
    <row r="123" spans="1:19" x14ac:dyDescent="0.35">
      <c r="A123" s="2" t="s">
        <v>19</v>
      </c>
      <c r="B123" s="26">
        <v>8470325</v>
      </c>
      <c r="C123" s="3" t="s">
        <v>181</v>
      </c>
      <c r="D123" s="27">
        <v>435508</v>
      </c>
      <c r="E123" s="3" t="s">
        <v>135</v>
      </c>
      <c r="F123" s="3" t="s">
        <v>191</v>
      </c>
      <c r="G123" s="4">
        <v>92573</v>
      </c>
      <c r="H123" s="5">
        <v>92573</v>
      </c>
      <c r="I123" s="11">
        <v>37796.97</v>
      </c>
      <c r="J123" s="12">
        <v>0</v>
      </c>
      <c r="K123" s="5">
        <v>46312.06</v>
      </c>
      <c r="L123" s="9">
        <f t="shared" si="2"/>
        <v>8463.9700000000012</v>
      </c>
      <c r="M123" s="10"/>
      <c r="N123" s="10"/>
      <c r="O123" s="10"/>
      <c r="P123" s="61"/>
      <c r="Q123" s="4">
        <f t="shared" si="3"/>
        <v>8463.9700000000012</v>
      </c>
      <c r="R123" s="61"/>
      <c r="S123" s="1" t="s">
        <v>838</v>
      </c>
    </row>
    <row r="124" spans="1:19" x14ac:dyDescent="0.35">
      <c r="A124" s="2" t="s">
        <v>19</v>
      </c>
      <c r="B124" s="26">
        <v>8470330</v>
      </c>
      <c r="C124" s="3" t="s">
        <v>192</v>
      </c>
      <c r="D124" s="27">
        <v>420550</v>
      </c>
      <c r="E124" s="3" t="s">
        <v>21</v>
      </c>
      <c r="F124" s="3" t="s">
        <v>193</v>
      </c>
      <c r="G124" s="4">
        <v>3000</v>
      </c>
      <c r="H124" s="5">
        <v>3000</v>
      </c>
      <c r="I124" s="6"/>
      <c r="J124" s="7"/>
      <c r="K124" s="8"/>
      <c r="L124" s="9">
        <f t="shared" si="2"/>
        <v>3000</v>
      </c>
      <c r="M124" s="10"/>
      <c r="N124" s="10"/>
      <c r="O124" s="10"/>
      <c r="P124" s="61"/>
      <c r="Q124" s="4">
        <f t="shared" si="3"/>
        <v>3000</v>
      </c>
      <c r="R124" s="61"/>
      <c r="S124" s="1" t="s">
        <v>838</v>
      </c>
    </row>
    <row r="125" spans="1:19" x14ac:dyDescent="0.35">
      <c r="A125" s="2" t="s">
        <v>19</v>
      </c>
      <c r="B125" s="26">
        <v>8470330</v>
      </c>
      <c r="C125" s="3" t="s">
        <v>192</v>
      </c>
      <c r="D125" s="27">
        <v>425510</v>
      </c>
      <c r="E125" s="3" t="s">
        <v>31</v>
      </c>
      <c r="F125" s="3" t="s">
        <v>194</v>
      </c>
      <c r="G125" s="4">
        <v>42000</v>
      </c>
      <c r="H125" s="5">
        <v>42000</v>
      </c>
      <c r="I125" s="11">
        <v>4400</v>
      </c>
      <c r="J125" s="7"/>
      <c r="K125" s="8"/>
      <c r="L125" s="9">
        <f t="shared" si="2"/>
        <v>37600</v>
      </c>
      <c r="M125" s="10"/>
      <c r="N125" s="10"/>
      <c r="O125" s="10"/>
      <c r="P125" s="61"/>
      <c r="Q125" s="4">
        <f t="shared" si="3"/>
        <v>37600</v>
      </c>
      <c r="R125" s="61"/>
      <c r="S125" s="1" t="s">
        <v>838</v>
      </c>
    </row>
    <row r="126" spans="1:19" x14ac:dyDescent="0.35">
      <c r="A126" s="2" t="s">
        <v>19</v>
      </c>
      <c r="B126" s="26">
        <v>8470330</v>
      </c>
      <c r="C126" s="3" t="s">
        <v>192</v>
      </c>
      <c r="D126" s="27">
        <v>425760</v>
      </c>
      <c r="E126" s="3" t="s">
        <v>142</v>
      </c>
      <c r="F126" s="3" t="s">
        <v>195</v>
      </c>
      <c r="G126" s="4">
        <v>72000</v>
      </c>
      <c r="H126" s="5">
        <v>72000</v>
      </c>
      <c r="I126" s="6"/>
      <c r="J126" s="7"/>
      <c r="K126" s="8"/>
      <c r="L126" s="9">
        <f t="shared" si="2"/>
        <v>72000</v>
      </c>
      <c r="M126" s="10"/>
      <c r="N126" s="10"/>
      <c r="O126" s="10"/>
      <c r="P126" s="61"/>
      <c r="Q126" s="4">
        <f t="shared" si="3"/>
        <v>72000</v>
      </c>
      <c r="R126" s="61"/>
      <c r="S126" s="1" t="s">
        <v>838</v>
      </c>
    </row>
    <row r="127" spans="1:19" x14ac:dyDescent="0.35">
      <c r="A127" s="2" t="s">
        <v>19</v>
      </c>
      <c r="B127" s="26">
        <v>8470330</v>
      </c>
      <c r="C127" s="3" t="s">
        <v>192</v>
      </c>
      <c r="D127" s="27">
        <v>425763</v>
      </c>
      <c r="E127" s="3" t="s">
        <v>59</v>
      </c>
      <c r="F127" s="3" t="s">
        <v>196</v>
      </c>
      <c r="G127" s="4">
        <v>405000</v>
      </c>
      <c r="H127" s="5">
        <v>405000</v>
      </c>
      <c r="I127" s="11">
        <v>107000</v>
      </c>
      <c r="J127" s="7"/>
      <c r="K127" s="8"/>
      <c r="L127" s="9">
        <f t="shared" si="2"/>
        <v>298000</v>
      </c>
      <c r="M127" s="10"/>
      <c r="N127" s="10"/>
      <c r="O127" s="10"/>
      <c r="P127" s="61"/>
      <c r="Q127" s="4">
        <f t="shared" si="3"/>
        <v>298000</v>
      </c>
      <c r="R127" s="61"/>
      <c r="S127" s="1" t="s">
        <v>838</v>
      </c>
    </row>
    <row r="128" spans="1:19" x14ac:dyDescent="0.35">
      <c r="A128" s="2" t="s">
        <v>19</v>
      </c>
      <c r="B128" s="26">
        <v>8470330</v>
      </c>
      <c r="C128" s="3" t="s">
        <v>192</v>
      </c>
      <c r="D128" s="27">
        <v>425770</v>
      </c>
      <c r="E128" s="3" t="s">
        <v>74</v>
      </c>
      <c r="F128" s="3" t="s">
        <v>197</v>
      </c>
      <c r="G128" s="4">
        <v>650000</v>
      </c>
      <c r="H128" s="5">
        <v>261686</v>
      </c>
      <c r="I128" s="11">
        <v>115081.41</v>
      </c>
      <c r="J128" s="7"/>
      <c r="K128" s="8"/>
      <c r="L128" s="9">
        <f t="shared" si="2"/>
        <v>146604.59</v>
      </c>
      <c r="M128" s="10"/>
      <c r="N128" s="10"/>
      <c r="O128" s="10"/>
      <c r="P128" s="61"/>
      <c r="Q128" s="4">
        <f t="shared" si="3"/>
        <v>146604.59</v>
      </c>
      <c r="R128" s="61"/>
      <c r="S128" s="1" t="s">
        <v>838</v>
      </c>
    </row>
    <row r="129" spans="1:19" x14ac:dyDescent="0.35">
      <c r="A129" s="2" t="s">
        <v>19</v>
      </c>
      <c r="B129" s="26">
        <v>8470330</v>
      </c>
      <c r="C129" s="3" t="s">
        <v>192</v>
      </c>
      <c r="D129" s="27">
        <v>425900</v>
      </c>
      <c r="E129" s="3" t="s">
        <v>35</v>
      </c>
      <c r="F129" s="3" t="s">
        <v>198</v>
      </c>
      <c r="G129" s="4">
        <v>16000</v>
      </c>
      <c r="H129" s="5">
        <v>16000</v>
      </c>
      <c r="I129" s="11">
        <v>1390</v>
      </c>
      <c r="J129" s="7"/>
      <c r="K129" s="8"/>
      <c r="L129" s="9">
        <f t="shared" si="2"/>
        <v>14610</v>
      </c>
      <c r="M129" s="10"/>
      <c r="N129" s="10"/>
      <c r="O129" s="10"/>
      <c r="P129" s="61"/>
      <c r="Q129" s="4">
        <f t="shared" si="3"/>
        <v>14610</v>
      </c>
      <c r="R129" s="61"/>
      <c r="S129" s="1" t="s">
        <v>838</v>
      </c>
    </row>
    <row r="130" spans="1:19" x14ac:dyDescent="0.35">
      <c r="A130" s="2" t="s">
        <v>19</v>
      </c>
      <c r="B130" s="26">
        <v>8470330</v>
      </c>
      <c r="C130" s="3" t="s">
        <v>192</v>
      </c>
      <c r="D130" s="27">
        <v>426610</v>
      </c>
      <c r="E130" s="3" t="s">
        <v>37</v>
      </c>
      <c r="F130" s="3" t="s">
        <v>199</v>
      </c>
      <c r="G130" s="4">
        <v>720500</v>
      </c>
      <c r="H130" s="5">
        <v>720500</v>
      </c>
      <c r="I130" s="11">
        <v>391033.15</v>
      </c>
      <c r="J130" s="12">
        <v>5.8207660913467401E-11</v>
      </c>
      <c r="K130" s="5">
        <v>0</v>
      </c>
      <c r="L130" s="9">
        <f t="shared" si="2"/>
        <v>329466.84999999992</v>
      </c>
      <c r="M130" s="10"/>
      <c r="N130" s="10"/>
      <c r="O130" s="10"/>
      <c r="P130" s="61"/>
      <c r="Q130" s="4">
        <f t="shared" si="3"/>
        <v>329466.84999999992</v>
      </c>
      <c r="R130" s="61"/>
      <c r="S130" s="1" t="s">
        <v>838</v>
      </c>
    </row>
    <row r="131" spans="1:19" x14ac:dyDescent="0.35">
      <c r="A131" s="2" t="s">
        <v>19</v>
      </c>
      <c r="B131" s="26">
        <v>8470330</v>
      </c>
      <c r="C131" s="3" t="s">
        <v>192</v>
      </c>
      <c r="D131" s="27">
        <v>428640</v>
      </c>
      <c r="E131" s="3" t="s">
        <v>43</v>
      </c>
      <c r="F131" s="3" t="s">
        <v>200</v>
      </c>
      <c r="G131" s="4">
        <v>302000</v>
      </c>
      <c r="H131" s="5">
        <v>153251</v>
      </c>
      <c r="I131" s="6"/>
      <c r="J131" s="7"/>
      <c r="K131" s="8"/>
      <c r="L131" s="9">
        <f t="shared" ref="L131:L194" si="4">H131-I131-J131-K131</f>
        <v>153251</v>
      </c>
      <c r="M131" s="10"/>
      <c r="N131" s="10"/>
      <c r="O131" s="10"/>
      <c r="P131" s="61"/>
      <c r="Q131" s="4">
        <f t="shared" ref="Q131:Q194" si="5">L131-M131-N131-O131</f>
        <v>153251</v>
      </c>
      <c r="R131" s="61"/>
      <c r="S131" s="1" t="s">
        <v>838</v>
      </c>
    </row>
    <row r="132" spans="1:19" x14ac:dyDescent="0.35">
      <c r="A132" s="2" t="s">
        <v>19</v>
      </c>
      <c r="B132" s="26">
        <v>8470330</v>
      </c>
      <c r="C132" s="3" t="s">
        <v>192</v>
      </c>
      <c r="D132" s="27">
        <v>432209</v>
      </c>
      <c r="E132" s="3" t="s">
        <v>132</v>
      </c>
      <c r="F132" s="3" t="s">
        <v>201</v>
      </c>
      <c r="G132" s="4">
        <v>67400</v>
      </c>
      <c r="H132" s="5">
        <v>67400</v>
      </c>
      <c r="I132" s="6"/>
      <c r="J132" s="7"/>
      <c r="K132" s="8"/>
      <c r="L132" s="9">
        <f t="shared" si="4"/>
        <v>67400</v>
      </c>
      <c r="M132" s="10"/>
      <c r="N132" s="10"/>
      <c r="O132" s="10"/>
      <c r="P132" s="61"/>
      <c r="Q132" s="4">
        <f t="shared" si="5"/>
        <v>67400</v>
      </c>
      <c r="R132" s="61"/>
      <c r="S132" s="1" t="s">
        <v>838</v>
      </c>
    </row>
    <row r="133" spans="1:19" x14ac:dyDescent="0.35">
      <c r="A133" s="2" t="s">
        <v>19</v>
      </c>
      <c r="B133" s="26">
        <v>8470330</v>
      </c>
      <c r="C133" s="3" t="s">
        <v>192</v>
      </c>
      <c r="D133" s="27">
        <v>435340</v>
      </c>
      <c r="E133" s="3" t="s">
        <v>202</v>
      </c>
      <c r="F133" s="3" t="s">
        <v>203</v>
      </c>
      <c r="G133" s="10"/>
      <c r="H133" s="8"/>
      <c r="I133" s="11">
        <v>0</v>
      </c>
      <c r="J133" s="7"/>
      <c r="K133" s="8"/>
      <c r="L133" s="9">
        <f t="shared" si="4"/>
        <v>0</v>
      </c>
      <c r="M133" s="10"/>
      <c r="N133" s="10"/>
      <c r="O133" s="10"/>
      <c r="P133" s="61"/>
      <c r="Q133" s="4">
        <f t="shared" si="5"/>
        <v>0</v>
      </c>
      <c r="R133" s="61"/>
      <c r="S133" s="1" t="s">
        <v>838</v>
      </c>
    </row>
    <row r="134" spans="1:19" x14ac:dyDescent="0.35">
      <c r="A134" s="2" t="s">
        <v>19</v>
      </c>
      <c r="B134" s="26">
        <v>8470330</v>
      </c>
      <c r="C134" s="3" t="s">
        <v>192</v>
      </c>
      <c r="D134" s="27">
        <v>435350</v>
      </c>
      <c r="E134" s="3" t="s">
        <v>79</v>
      </c>
      <c r="F134" s="3" t="s">
        <v>204</v>
      </c>
      <c r="G134" s="4">
        <v>420000</v>
      </c>
      <c r="H134" s="5">
        <v>240114</v>
      </c>
      <c r="I134" s="11">
        <v>100558.8</v>
      </c>
      <c r="J134" s="7"/>
      <c r="K134" s="8"/>
      <c r="L134" s="9">
        <f t="shared" si="4"/>
        <v>139555.20000000001</v>
      </c>
      <c r="M134" s="10"/>
      <c r="N134" s="10"/>
      <c r="O134" s="10"/>
      <c r="P134" s="61"/>
      <c r="Q134" s="4">
        <f t="shared" si="5"/>
        <v>139555.20000000001</v>
      </c>
      <c r="R134" s="61"/>
      <c r="S134" s="1" t="s">
        <v>838</v>
      </c>
    </row>
    <row r="135" spans="1:19" x14ac:dyDescent="0.35">
      <c r="A135" s="2" t="s">
        <v>19</v>
      </c>
      <c r="B135" s="26">
        <v>8470330</v>
      </c>
      <c r="C135" s="3" t="s">
        <v>192</v>
      </c>
      <c r="D135" s="27">
        <v>435508</v>
      </c>
      <c r="E135" s="3" t="s">
        <v>135</v>
      </c>
      <c r="F135" s="3" t="s">
        <v>205</v>
      </c>
      <c r="G135" s="4">
        <v>20000</v>
      </c>
      <c r="H135" s="5">
        <v>20000</v>
      </c>
      <c r="I135" s="6"/>
      <c r="J135" s="12">
        <v>-9.0949470177292804E-13</v>
      </c>
      <c r="K135" s="5">
        <v>14673.64</v>
      </c>
      <c r="L135" s="9">
        <f t="shared" si="4"/>
        <v>5326.3600000000006</v>
      </c>
      <c r="M135" s="10"/>
      <c r="N135" s="10"/>
      <c r="O135" s="10"/>
      <c r="P135" s="61"/>
      <c r="Q135" s="4">
        <f t="shared" si="5"/>
        <v>5326.3600000000006</v>
      </c>
      <c r="R135" s="61"/>
      <c r="S135" s="1" t="s">
        <v>838</v>
      </c>
    </row>
    <row r="136" spans="1:19" x14ac:dyDescent="0.35">
      <c r="A136" s="2" t="s">
        <v>19</v>
      </c>
      <c r="B136" s="26">
        <v>8470330</v>
      </c>
      <c r="C136" s="3" t="s">
        <v>192</v>
      </c>
      <c r="D136" s="27">
        <v>436600</v>
      </c>
      <c r="E136" s="3" t="s">
        <v>137</v>
      </c>
      <c r="F136" s="3" t="s">
        <v>206</v>
      </c>
      <c r="G136" s="4">
        <v>60000</v>
      </c>
      <c r="H136" s="5">
        <v>60000</v>
      </c>
      <c r="I136" s="6"/>
      <c r="J136" s="7"/>
      <c r="K136" s="5">
        <v>15740</v>
      </c>
      <c r="L136" s="9">
        <f t="shared" si="4"/>
        <v>44260</v>
      </c>
      <c r="M136" s="10"/>
      <c r="N136" s="10"/>
      <c r="O136" s="10"/>
      <c r="P136" s="61"/>
      <c r="Q136" s="4">
        <f t="shared" si="5"/>
        <v>44260</v>
      </c>
      <c r="R136" s="61"/>
      <c r="S136" s="1" t="s">
        <v>838</v>
      </c>
    </row>
    <row r="137" spans="1:19" x14ac:dyDescent="0.35">
      <c r="A137" s="2" t="s">
        <v>19</v>
      </c>
      <c r="B137" s="26">
        <v>8470335</v>
      </c>
      <c r="C137" s="3" t="s">
        <v>207</v>
      </c>
      <c r="D137" s="27">
        <v>420550</v>
      </c>
      <c r="E137" s="3" t="s">
        <v>21</v>
      </c>
      <c r="F137" s="3" t="s">
        <v>208</v>
      </c>
      <c r="G137" s="4">
        <v>10000</v>
      </c>
      <c r="H137" s="5">
        <v>10000</v>
      </c>
      <c r="I137" s="11">
        <v>7346</v>
      </c>
      <c r="J137" s="7"/>
      <c r="K137" s="8"/>
      <c r="L137" s="9">
        <f t="shared" si="4"/>
        <v>2654</v>
      </c>
      <c r="M137" s="10"/>
      <c r="N137" s="10"/>
      <c r="O137" s="10"/>
      <c r="P137" s="61"/>
      <c r="Q137" s="4">
        <f t="shared" si="5"/>
        <v>2654</v>
      </c>
      <c r="R137" s="61"/>
      <c r="S137" s="1" t="s">
        <v>838</v>
      </c>
    </row>
    <row r="138" spans="1:19" x14ac:dyDescent="0.35">
      <c r="A138" s="2" t="s">
        <v>19</v>
      </c>
      <c r="B138" s="26">
        <v>8470335</v>
      </c>
      <c r="C138" s="3" t="s">
        <v>207</v>
      </c>
      <c r="D138" s="27">
        <v>425510</v>
      </c>
      <c r="E138" s="3" t="s">
        <v>31</v>
      </c>
      <c r="F138" s="3" t="s">
        <v>209</v>
      </c>
      <c r="G138" s="4">
        <v>20000</v>
      </c>
      <c r="H138" s="5">
        <v>20000</v>
      </c>
      <c r="I138" s="6"/>
      <c r="J138" s="7"/>
      <c r="K138" s="8"/>
      <c r="L138" s="9">
        <f t="shared" si="4"/>
        <v>20000</v>
      </c>
      <c r="M138" s="10"/>
      <c r="N138" s="10"/>
      <c r="O138" s="10"/>
      <c r="P138" s="61"/>
      <c r="Q138" s="4">
        <f t="shared" si="5"/>
        <v>20000</v>
      </c>
      <c r="R138" s="61"/>
      <c r="S138" s="1" t="s">
        <v>838</v>
      </c>
    </row>
    <row r="139" spans="1:19" x14ac:dyDescent="0.35">
      <c r="A139" s="2" t="s">
        <v>19</v>
      </c>
      <c r="B139" s="26">
        <v>8470335</v>
      </c>
      <c r="C139" s="3" t="s">
        <v>207</v>
      </c>
      <c r="D139" s="27">
        <v>425760</v>
      </c>
      <c r="E139" s="3" t="s">
        <v>142</v>
      </c>
      <c r="F139" s="3" t="s">
        <v>210</v>
      </c>
      <c r="G139" s="4">
        <v>10000</v>
      </c>
      <c r="H139" s="5">
        <v>10000</v>
      </c>
      <c r="I139" s="6"/>
      <c r="J139" s="7"/>
      <c r="K139" s="8"/>
      <c r="L139" s="9">
        <f t="shared" si="4"/>
        <v>10000</v>
      </c>
      <c r="M139" s="10"/>
      <c r="N139" s="10"/>
      <c r="O139" s="10"/>
      <c r="P139" s="61"/>
      <c r="Q139" s="4">
        <f t="shared" si="5"/>
        <v>10000</v>
      </c>
      <c r="R139" s="61"/>
      <c r="S139" s="1" t="s">
        <v>838</v>
      </c>
    </row>
    <row r="140" spans="1:19" x14ac:dyDescent="0.35">
      <c r="A140" s="2" t="s">
        <v>19</v>
      </c>
      <c r="B140" s="26">
        <v>8470335</v>
      </c>
      <c r="C140" s="3" t="s">
        <v>207</v>
      </c>
      <c r="D140" s="27">
        <v>425763</v>
      </c>
      <c r="E140" s="3" t="s">
        <v>59</v>
      </c>
      <c r="F140" s="3" t="s">
        <v>211</v>
      </c>
      <c r="G140" s="4">
        <v>50000</v>
      </c>
      <c r="H140" s="5">
        <v>50000</v>
      </c>
      <c r="I140" s="11">
        <v>30000</v>
      </c>
      <c r="J140" s="7"/>
      <c r="K140" s="8"/>
      <c r="L140" s="9">
        <f t="shared" si="4"/>
        <v>20000</v>
      </c>
      <c r="M140" s="10"/>
      <c r="N140" s="10"/>
      <c r="O140" s="10"/>
      <c r="P140" s="61"/>
      <c r="Q140" s="4">
        <f t="shared" si="5"/>
        <v>20000</v>
      </c>
      <c r="R140" s="61"/>
      <c r="S140" s="1" t="s">
        <v>838</v>
      </c>
    </row>
    <row r="141" spans="1:19" x14ac:dyDescent="0.35">
      <c r="A141" s="2" t="s">
        <v>19</v>
      </c>
      <c r="B141" s="26">
        <v>8470335</v>
      </c>
      <c r="C141" s="3" t="s">
        <v>207</v>
      </c>
      <c r="D141" s="27">
        <v>425770</v>
      </c>
      <c r="E141" s="3" t="s">
        <v>74</v>
      </c>
      <c r="F141" s="3" t="s">
        <v>212</v>
      </c>
      <c r="G141" s="4">
        <v>270000</v>
      </c>
      <c r="H141" s="5">
        <v>92634</v>
      </c>
      <c r="I141" s="11">
        <v>69491.100000000006</v>
      </c>
      <c r="J141" s="7"/>
      <c r="K141" s="8"/>
      <c r="L141" s="9">
        <f t="shared" si="4"/>
        <v>23142.899999999994</v>
      </c>
      <c r="M141" s="10"/>
      <c r="N141" s="10"/>
      <c r="O141" s="10"/>
      <c r="P141" s="61"/>
      <c r="Q141" s="4">
        <f t="shared" si="5"/>
        <v>23142.899999999994</v>
      </c>
      <c r="R141" s="61"/>
      <c r="S141" s="1" t="s">
        <v>838</v>
      </c>
    </row>
    <row r="142" spans="1:19" x14ac:dyDescent="0.35">
      <c r="A142" s="2" t="s">
        <v>19</v>
      </c>
      <c r="B142" s="26">
        <v>8470335</v>
      </c>
      <c r="C142" s="3" t="s">
        <v>207</v>
      </c>
      <c r="D142" s="27">
        <v>425900</v>
      </c>
      <c r="E142" s="3" t="s">
        <v>35</v>
      </c>
      <c r="F142" s="3" t="s">
        <v>213</v>
      </c>
      <c r="G142" s="4">
        <v>20000</v>
      </c>
      <c r="H142" s="5">
        <v>20000</v>
      </c>
      <c r="I142" s="6"/>
      <c r="J142" s="7"/>
      <c r="K142" s="8"/>
      <c r="L142" s="9">
        <f t="shared" si="4"/>
        <v>20000</v>
      </c>
      <c r="M142" s="10"/>
      <c r="N142" s="10"/>
      <c r="O142" s="10"/>
      <c r="P142" s="61"/>
      <c r="Q142" s="4">
        <f t="shared" si="5"/>
        <v>20000</v>
      </c>
      <c r="R142" s="61"/>
      <c r="S142" s="1" t="s">
        <v>838</v>
      </c>
    </row>
    <row r="143" spans="1:19" x14ac:dyDescent="0.35">
      <c r="A143" s="2" t="s">
        <v>19</v>
      </c>
      <c r="B143" s="26">
        <v>8470335</v>
      </c>
      <c r="C143" s="3" t="s">
        <v>207</v>
      </c>
      <c r="D143" s="27">
        <v>426610</v>
      </c>
      <c r="E143" s="3" t="s">
        <v>37</v>
      </c>
      <c r="F143" s="3" t="s">
        <v>214</v>
      </c>
      <c r="G143" s="4">
        <v>150257</v>
      </c>
      <c r="H143" s="5">
        <v>160257</v>
      </c>
      <c r="I143" s="11">
        <v>120819.09</v>
      </c>
      <c r="J143" s="12">
        <v>15473.61</v>
      </c>
      <c r="K143" s="5">
        <v>17672.54</v>
      </c>
      <c r="L143" s="9">
        <f t="shared" si="4"/>
        <v>6291.760000000002</v>
      </c>
      <c r="M143" s="10"/>
      <c r="N143" s="10"/>
      <c r="O143" s="10"/>
      <c r="P143" s="61"/>
      <c r="Q143" s="4">
        <f t="shared" si="5"/>
        <v>6291.760000000002</v>
      </c>
      <c r="R143" s="61"/>
      <c r="S143" s="1" t="s">
        <v>838</v>
      </c>
    </row>
    <row r="144" spans="1:19" x14ac:dyDescent="0.35">
      <c r="A144" s="2" t="s">
        <v>19</v>
      </c>
      <c r="B144" s="26">
        <v>8470335</v>
      </c>
      <c r="C144" s="3" t="s">
        <v>207</v>
      </c>
      <c r="D144" s="27">
        <v>428090</v>
      </c>
      <c r="E144" s="3" t="s">
        <v>39</v>
      </c>
      <c r="F144" s="3" t="s">
        <v>215</v>
      </c>
      <c r="G144" s="4">
        <v>40000</v>
      </c>
      <c r="H144" s="5">
        <v>5898</v>
      </c>
      <c r="I144" s="6"/>
      <c r="J144" s="7"/>
      <c r="K144" s="8"/>
      <c r="L144" s="9">
        <f t="shared" si="4"/>
        <v>5898</v>
      </c>
      <c r="M144" s="10"/>
      <c r="N144" s="10"/>
      <c r="O144" s="10"/>
      <c r="P144" s="61"/>
      <c r="Q144" s="4">
        <f t="shared" si="5"/>
        <v>5898</v>
      </c>
      <c r="R144" s="61"/>
      <c r="S144" s="1" t="s">
        <v>838</v>
      </c>
    </row>
    <row r="145" spans="1:19" x14ac:dyDescent="0.35">
      <c r="A145" s="2" t="s">
        <v>19</v>
      </c>
      <c r="B145" s="26">
        <v>8470335</v>
      </c>
      <c r="C145" s="3" t="s">
        <v>207</v>
      </c>
      <c r="D145" s="27">
        <v>435350</v>
      </c>
      <c r="E145" s="3" t="s">
        <v>79</v>
      </c>
      <c r="F145" s="3" t="s">
        <v>216</v>
      </c>
      <c r="G145" s="4">
        <v>51520</v>
      </c>
      <c r="H145" s="5">
        <v>30484</v>
      </c>
      <c r="I145" s="11">
        <v>14432.71</v>
      </c>
      <c r="J145" s="7"/>
      <c r="K145" s="8"/>
      <c r="L145" s="9">
        <f t="shared" si="4"/>
        <v>16051.29</v>
      </c>
      <c r="M145" s="10"/>
      <c r="N145" s="10"/>
      <c r="O145" s="10"/>
      <c r="P145" s="61"/>
      <c r="Q145" s="4">
        <f t="shared" si="5"/>
        <v>16051.29</v>
      </c>
      <c r="R145" s="61"/>
      <c r="S145" s="1" t="s">
        <v>838</v>
      </c>
    </row>
    <row r="146" spans="1:19" x14ac:dyDescent="0.35">
      <c r="A146" s="2" t="s">
        <v>19</v>
      </c>
      <c r="B146" s="26">
        <v>8470335</v>
      </c>
      <c r="C146" s="3" t="s">
        <v>207</v>
      </c>
      <c r="D146" s="27">
        <v>435508</v>
      </c>
      <c r="E146" s="3" t="s">
        <v>135</v>
      </c>
      <c r="F146" s="3" t="s">
        <v>217</v>
      </c>
      <c r="G146" s="4">
        <v>139000</v>
      </c>
      <c r="H146" s="5">
        <v>243000</v>
      </c>
      <c r="I146" s="11">
        <v>230323.61</v>
      </c>
      <c r="J146" s="12">
        <v>-5.4569682106375702E-12</v>
      </c>
      <c r="K146" s="5">
        <v>11024.51</v>
      </c>
      <c r="L146" s="9">
        <f t="shared" si="4"/>
        <v>1651.8800000000192</v>
      </c>
      <c r="M146" s="10"/>
      <c r="N146" s="10"/>
      <c r="O146" s="10"/>
      <c r="P146" s="61"/>
      <c r="Q146" s="4">
        <f t="shared" si="5"/>
        <v>1651.8800000000192</v>
      </c>
      <c r="R146" s="61"/>
      <c r="S146" s="1" t="s">
        <v>838</v>
      </c>
    </row>
    <row r="147" spans="1:19" x14ac:dyDescent="0.35">
      <c r="A147" s="2" t="s">
        <v>19</v>
      </c>
      <c r="B147" s="26">
        <v>8470335</v>
      </c>
      <c r="C147" s="3" t="s">
        <v>207</v>
      </c>
      <c r="D147" s="27">
        <v>436110</v>
      </c>
      <c r="E147" s="3" t="s">
        <v>119</v>
      </c>
      <c r="F147" s="3" t="s">
        <v>218</v>
      </c>
      <c r="G147" s="4">
        <v>4000</v>
      </c>
      <c r="H147" s="5">
        <v>4000</v>
      </c>
      <c r="I147" s="6"/>
      <c r="J147" s="7"/>
      <c r="K147" s="8"/>
      <c r="L147" s="9">
        <f t="shared" si="4"/>
        <v>4000</v>
      </c>
      <c r="M147" s="10"/>
      <c r="N147" s="10"/>
      <c r="O147" s="10"/>
      <c r="P147" s="61"/>
      <c r="Q147" s="4">
        <f t="shared" si="5"/>
        <v>4000</v>
      </c>
      <c r="R147" s="61"/>
      <c r="S147" s="1" t="s">
        <v>838</v>
      </c>
    </row>
    <row r="148" spans="1:19" x14ac:dyDescent="0.35">
      <c r="A148" s="2" t="s">
        <v>19</v>
      </c>
      <c r="B148" s="26">
        <v>8470335</v>
      </c>
      <c r="C148" s="3" t="s">
        <v>207</v>
      </c>
      <c r="D148" s="27">
        <v>436600</v>
      </c>
      <c r="E148" s="3" t="s">
        <v>137</v>
      </c>
      <c r="F148" s="3" t="s">
        <v>219</v>
      </c>
      <c r="G148" s="4">
        <v>12000</v>
      </c>
      <c r="H148" s="5">
        <v>12000</v>
      </c>
      <c r="I148" s="11">
        <v>11500</v>
      </c>
      <c r="J148" s="12">
        <v>0</v>
      </c>
      <c r="K148" s="5">
        <v>0</v>
      </c>
      <c r="L148" s="9">
        <f t="shared" si="4"/>
        <v>500</v>
      </c>
      <c r="M148" s="10"/>
      <c r="N148" s="10"/>
      <c r="O148" s="10"/>
      <c r="P148" s="61"/>
      <c r="Q148" s="4">
        <f t="shared" si="5"/>
        <v>500</v>
      </c>
      <c r="R148" s="61"/>
      <c r="S148" s="1" t="s">
        <v>838</v>
      </c>
    </row>
    <row r="149" spans="1:19" x14ac:dyDescent="0.35">
      <c r="A149" s="2" t="s">
        <v>19</v>
      </c>
      <c r="B149" s="26">
        <v>8470340</v>
      </c>
      <c r="C149" s="3" t="s">
        <v>220</v>
      </c>
      <c r="D149" s="27">
        <v>420550</v>
      </c>
      <c r="E149" s="3" t="s">
        <v>21</v>
      </c>
      <c r="F149" s="3" t="s">
        <v>221</v>
      </c>
      <c r="G149" s="4">
        <v>3000</v>
      </c>
      <c r="H149" s="5">
        <v>3000</v>
      </c>
      <c r="I149" s="6"/>
      <c r="J149" s="7"/>
      <c r="K149" s="8"/>
      <c r="L149" s="9">
        <f t="shared" si="4"/>
        <v>3000</v>
      </c>
      <c r="M149" s="10"/>
      <c r="N149" s="10"/>
      <c r="O149" s="10"/>
      <c r="P149" s="61"/>
      <c r="Q149" s="4">
        <f t="shared" si="5"/>
        <v>3000</v>
      </c>
      <c r="R149" s="61"/>
      <c r="S149" s="1" t="s">
        <v>838</v>
      </c>
    </row>
    <row r="150" spans="1:19" x14ac:dyDescent="0.35">
      <c r="A150" s="2" t="s">
        <v>19</v>
      </c>
      <c r="B150" s="26">
        <v>8470340</v>
      </c>
      <c r="C150" s="3" t="s">
        <v>220</v>
      </c>
      <c r="D150" s="27">
        <v>425510</v>
      </c>
      <c r="E150" s="3" t="s">
        <v>31</v>
      </c>
      <c r="F150" s="3" t="s">
        <v>222</v>
      </c>
      <c r="G150" s="4">
        <v>10000</v>
      </c>
      <c r="H150" s="5">
        <v>10000</v>
      </c>
      <c r="I150" s="6"/>
      <c r="J150" s="7"/>
      <c r="K150" s="8"/>
      <c r="L150" s="9">
        <f t="shared" si="4"/>
        <v>10000</v>
      </c>
      <c r="M150" s="10"/>
      <c r="N150" s="10"/>
      <c r="O150" s="10"/>
      <c r="P150" s="61"/>
      <c r="Q150" s="4">
        <f t="shared" si="5"/>
        <v>10000</v>
      </c>
      <c r="R150" s="61"/>
      <c r="S150" s="1" t="s">
        <v>838</v>
      </c>
    </row>
    <row r="151" spans="1:19" x14ac:dyDescent="0.35">
      <c r="A151" s="2" t="s">
        <v>19</v>
      </c>
      <c r="B151" s="26">
        <v>8470340</v>
      </c>
      <c r="C151" s="3" t="s">
        <v>220</v>
      </c>
      <c r="D151" s="27">
        <v>425720</v>
      </c>
      <c r="E151" s="3" t="s">
        <v>224</v>
      </c>
      <c r="F151" s="3" t="s">
        <v>225</v>
      </c>
      <c r="G151" s="4">
        <v>30000</v>
      </c>
      <c r="H151" s="5">
        <v>30000</v>
      </c>
      <c r="I151" s="6"/>
      <c r="J151" s="7"/>
      <c r="K151" s="8"/>
      <c r="L151" s="9">
        <f t="shared" si="4"/>
        <v>30000</v>
      </c>
      <c r="M151" s="10"/>
      <c r="N151" s="10"/>
      <c r="O151" s="10"/>
      <c r="P151" s="61"/>
      <c r="Q151" s="4">
        <f t="shared" si="5"/>
        <v>30000</v>
      </c>
      <c r="R151" s="61"/>
      <c r="S151" s="1" t="s">
        <v>838</v>
      </c>
    </row>
    <row r="152" spans="1:19" x14ac:dyDescent="0.35">
      <c r="A152" s="2" t="s">
        <v>19</v>
      </c>
      <c r="B152" s="26">
        <v>8470340</v>
      </c>
      <c r="C152" s="3" t="s">
        <v>220</v>
      </c>
      <c r="D152" s="27">
        <v>425760</v>
      </c>
      <c r="E152" s="3" t="s">
        <v>142</v>
      </c>
      <c r="F152" s="3" t="s">
        <v>226</v>
      </c>
      <c r="G152" s="4">
        <v>12000</v>
      </c>
      <c r="H152" s="5">
        <v>12000</v>
      </c>
      <c r="I152" s="6"/>
      <c r="J152" s="7"/>
      <c r="K152" s="8"/>
      <c r="L152" s="9">
        <f t="shared" si="4"/>
        <v>12000</v>
      </c>
      <c r="M152" s="10"/>
      <c r="N152" s="10"/>
      <c r="O152" s="10"/>
      <c r="P152" s="61"/>
      <c r="Q152" s="4">
        <f t="shared" si="5"/>
        <v>12000</v>
      </c>
      <c r="R152" s="61"/>
      <c r="S152" s="1" t="s">
        <v>838</v>
      </c>
    </row>
    <row r="153" spans="1:19" x14ac:dyDescent="0.35">
      <c r="A153" s="2" t="s">
        <v>19</v>
      </c>
      <c r="B153" s="26">
        <v>8470340</v>
      </c>
      <c r="C153" s="3" t="s">
        <v>220</v>
      </c>
      <c r="D153" s="27">
        <v>425763</v>
      </c>
      <c r="E153" s="3" t="s">
        <v>59</v>
      </c>
      <c r="F153" s="3" t="s">
        <v>227</v>
      </c>
      <c r="G153" s="4">
        <v>480000</v>
      </c>
      <c r="H153" s="5">
        <v>460000</v>
      </c>
      <c r="I153" s="11">
        <v>304083.32</v>
      </c>
      <c r="J153" s="7"/>
      <c r="K153" s="8"/>
      <c r="L153" s="9">
        <f t="shared" si="4"/>
        <v>155916.68</v>
      </c>
      <c r="M153" s="10"/>
      <c r="N153" s="10"/>
      <c r="O153" s="10"/>
      <c r="P153" s="61"/>
      <c r="Q153" s="4">
        <f t="shared" si="5"/>
        <v>155916.68</v>
      </c>
      <c r="R153" s="61"/>
      <c r="S153" s="1" t="s">
        <v>838</v>
      </c>
    </row>
    <row r="154" spans="1:19" x14ac:dyDescent="0.35">
      <c r="A154" s="2" t="s">
        <v>19</v>
      </c>
      <c r="B154" s="26">
        <v>8470340</v>
      </c>
      <c r="C154" s="3" t="s">
        <v>220</v>
      </c>
      <c r="D154" s="27">
        <v>425770</v>
      </c>
      <c r="E154" s="3" t="s">
        <v>74</v>
      </c>
      <c r="F154" s="3" t="s">
        <v>228</v>
      </c>
      <c r="G154" s="4">
        <v>630000</v>
      </c>
      <c r="H154" s="5">
        <v>325724</v>
      </c>
      <c r="I154" s="11">
        <v>108520.2</v>
      </c>
      <c r="J154" s="7"/>
      <c r="K154" s="8"/>
      <c r="L154" s="9">
        <f t="shared" si="4"/>
        <v>217203.8</v>
      </c>
      <c r="M154" s="10"/>
      <c r="N154" s="10"/>
      <c r="O154" s="10"/>
      <c r="P154" s="61"/>
      <c r="Q154" s="4">
        <f t="shared" si="5"/>
        <v>217203.8</v>
      </c>
      <c r="R154" s="61"/>
      <c r="S154" s="1" t="s">
        <v>838</v>
      </c>
    </row>
    <row r="155" spans="1:19" x14ac:dyDescent="0.35">
      <c r="A155" s="2" t="s">
        <v>19</v>
      </c>
      <c r="B155" s="26">
        <v>8470340</v>
      </c>
      <c r="C155" s="3" t="s">
        <v>220</v>
      </c>
      <c r="D155" s="27">
        <v>425900</v>
      </c>
      <c r="E155" s="3" t="s">
        <v>35</v>
      </c>
      <c r="F155" s="3" t="s">
        <v>229</v>
      </c>
      <c r="G155" s="4">
        <v>54000</v>
      </c>
      <c r="H155" s="5">
        <v>54000</v>
      </c>
      <c r="I155" s="11">
        <v>11997.25</v>
      </c>
      <c r="J155" s="12">
        <v>8800</v>
      </c>
      <c r="K155" s="5">
        <v>0</v>
      </c>
      <c r="L155" s="9">
        <f t="shared" si="4"/>
        <v>33202.75</v>
      </c>
      <c r="M155" s="10"/>
      <c r="N155" s="10"/>
      <c r="O155" s="10"/>
      <c r="P155" s="61"/>
      <c r="Q155" s="4">
        <f t="shared" si="5"/>
        <v>33202.75</v>
      </c>
      <c r="R155" s="61"/>
      <c r="S155" s="1" t="s">
        <v>838</v>
      </c>
    </row>
    <row r="156" spans="1:19" x14ac:dyDescent="0.35">
      <c r="A156" s="2" t="s">
        <v>19</v>
      </c>
      <c r="B156" s="26">
        <v>8470340</v>
      </c>
      <c r="C156" s="3" t="s">
        <v>220</v>
      </c>
      <c r="D156" s="27">
        <v>426610</v>
      </c>
      <c r="E156" s="3" t="s">
        <v>37</v>
      </c>
      <c r="F156" s="3" t="s">
        <v>230</v>
      </c>
      <c r="G156" s="4">
        <v>210000</v>
      </c>
      <c r="H156" s="5">
        <v>210000</v>
      </c>
      <c r="I156" s="11">
        <v>149475.72</v>
      </c>
      <c r="J156" s="12">
        <v>0</v>
      </c>
      <c r="K156" s="5">
        <v>26251.34</v>
      </c>
      <c r="L156" s="9">
        <f t="shared" si="4"/>
        <v>34272.94</v>
      </c>
      <c r="M156" s="10"/>
      <c r="N156" s="10"/>
      <c r="O156" s="10"/>
      <c r="P156" s="61"/>
      <c r="Q156" s="4">
        <f t="shared" si="5"/>
        <v>34272.94</v>
      </c>
      <c r="R156" s="61"/>
      <c r="S156" s="1" t="s">
        <v>838</v>
      </c>
    </row>
    <row r="157" spans="1:19" x14ac:dyDescent="0.35">
      <c r="A157" s="2" t="s">
        <v>19</v>
      </c>
      <c r="B157" s="26">
        <v>8470340</v>
      </c>
      <c r="C157" s="3" t="s">
        <v>220</v>
      </c>
      <c r="D157" s="27">
        <v>432209</v>
      </c>
      <c r="E157" s="3" t="s">
        <v>132</v>
      </c>
      <c r="F157" s="3" t="s">
        <v>231</v>
      </c>
      <c r="G157" s="4">
        <v>80000</v>
      </c>
      <c r="H157" s="5">
        <v>100000</v>
      </c>
      <c r="I157" s="11">
        <v>20000</v>
      </c>
      <c r="J157" s="12">
        <v>0</v>
      </c>
      <c r="K157" s="5">
        <v>74500</v>
      </c>
      <c r="L157" s="9">
        <f t="shared" si="4"/>
        <v>5500</v>
      </c>
      <c r="M157" s="10"/>
      <c r="N157" s="10"/>
      <c r="O157" s="10"/>
      <c r="P157" s="61"/>
      <c r="Q157" s="4">
        <f t="shared" si="5"/>
        <v>5500</v>
      </c>
      <c r="R157" s="61"/>
      <c r="S157" s="1" t="s">
        <v>838</v>
      </c>
    </row>
    <row r="158" spans="1:19" x14ac:dyDescent="0.35">
      <c r="A158" s="2" t="s">
        <v>19</v>
      </c>
      <c r="B158" s="26">
        <v>8470340</v>
      </c>
      <c r="C158" s="3" t="s">
        <v>220</v>
      </c>
      <c r="D158" s="27">
        <v>435350</v>
      </c>
      <c r="E158" s="3" t="s">
        <v>79</v>
      </c>
      <c r="F158" s="3" t="s">
        <v>232</v>
      </c>
      <c r="G158" s="4">
        <v>336000</v>
      </c>
      <c r="H158" s="5">
        <v>199569</v>
      </c>
      <c r="I158" s="11">
        <v>138526.07999999999</v>
      </c>
      <c r="J158" s="7"/>
      <c r="K158" s="8"/>
      <c r="L158" s="9">
        <f t="shared" si="4"/>
        <v>61042.920000000013</v>
      </c>
      <c r="M158" s="10"/>
      <c r="N158" s="10"/>
      <c r="O158" s="10"/>
      <c r="P158" s="61"/>
      <c r="Q158" s="4">
        <f t="shared" si="5"/>
        <v>61042.920000000013</v>
      </c>
      <c r="R158" s="61"/>
      <c r="S158" s="1" t="s">
        <v>838</v>
      </c>
    </row>
    <row r="159" spans="1:19" x14ac:dyDescent="0.35">
      <c r="A159" s="2" t="s">
        <v>19</v>
      </c>
      <c r="B159" s="26">
        <v>8470340</v>
      </c>
      <c r="C159" s="3" t="s">
        <v>220</v>
      </c>
      <c r="D159" s="27">
        <v>435508</v>
      </c>
      <c r="E159" s="3" t="s">
        <v>135</v>
      </c>
      <c r="F159" s="3" t="s">
        <v>233</v>
      </c>
      <c r="G159" s="4">
        <v>264000</v>
      </c>
      <c r="H159" s="5">
        <v>264000</v>
      </c>
      <c r="I159" s="11">
        <v>239114.72</v>
      </c>
      <c r="J159" s="12">
        <v>0</v>
      </c>
      <c r="K159" s="5">
        <v>21000</v>
      </c>
      <c r="L159" s="9">
        <f t="shared" si="4"/>
        <v>3885.2799999999988</v>
      </c>
      <c r="M159" s="10"/>
      <c r="N159" s="10"/>
      <c r="O159" s="10"/>
      <c r="P159" s="61"/>
      <c r="Q159" s="4">
        <f t="shared" si="5"/>
        <v>3885.2799999999988</v>
      </c>
      <c r="R159" s="61"/>
      <c r="S159" s="1" t="s">
        <v>838</v>
      </c>
    </row>
    <row r="160" spans="1:19" x14ac:dyDescent="0.35">
      <c r="A160" s="2" t="s">
        <v>19</v>
      </c>
      <c r="B160" s="26">
        <v>8470345</v>
      </c>
      <c r="C160" s="3" t="s">
        <v>234</v>
      </c>
      <c r="D160" s="27">
        <v>420550</v>
      </c>
      <c r="E160" s="3" t="s">
        <v>21</v>
      </c>
      <c r="F160" s="3" t="s">
        <v>235</v>
      </c>
      <c r="G160" s="4">
        <v>20000</v>
      </c>
      <c r="H160" s="5">
        <v>20000</v>
      </c>
      <c r="I160" s="6"/>
      <c r="J160" s="7"/>
      <c r="K160" s="8"/>
      <c r="L160" s="9">
        <f t="shared" si="4"/>
        <v>20000</v>
      </c>
      <c r="M160" s="10"/>
      <c r="N160" s="10"/>
      <c r="O160" s="10"/>
      <c r="P160" s="61"/>
      <c r="Q160" s="4">
        <f t="shared" si="5"/>
        <v>20000</v>
      </c>
      <c r="R160" s="61"/>
      <c r="S160" s="1" t="s">
        <v>838</v>
      </c>
    </row>
    <row r="161" spans="1:19" x14ac:dyDescent="0.35">
      <c r="A161" s="2" t="s">
        <v>19</v>
      </c>
      <c r="B161" s="26">
        <v>8470345</v>
      </c>
      <c r="C161" s="3" t="s">
        <v>234</v>
      </c>
      <c r="D161" s="27">
        <v>425510</v>
      </c>
      <c r="E161" s="3" t="s">
        <v>31</v>
      </c>
      <c r="F161" s="3" t="s">
        <v>236</v>
      </c>
      <c r="G161" s="4">
        <v>30000</v>
      </c>
      <c r="H161" s="5">
        <v>29700</v>
      </c>
      <c r="I161" s="11">
        <v>6485</v>
      </c>
      <c r="J161" s="7"/>
      <c r="K161" s="8"/>
      <c r="L161" s="9">
        <f t="shared" si="4"/>
        <v>23215</v>
      </c>
      <c r="M161" s="10"/>
      <c r="N161" s="10"/>
      <c r="O161" s="10"/>
      <c r="P161" s="61"/>
      <c r="Q161" s="4">
        <f t="shared" si="5"/>
        <v>23215</v>
      </c>
      <c r="R161" s="61"/>
      <c r="S161" s="1" t="s">
        <v>838</v>
      </c>
    </row>
    <row r="162" spans="1:19" x14ac:dyDescent="0.35">
      <c r="A162" s="2" t="s">
        <v>19</v>
      </c>
      <c r="B162" s="26">
        <v>8470345</v>
      </c>
      <c r="C162" s="3" t="s">
        <v>234</v>
      </c>
      <c r="D162" s="27">
        <v>425760</v>
      </c>
      <c r="E162" s="3" t="s">
        <v>142</v>
      </c>
      <c r="F162" s="3" t="s">
        <v>237</v>
      </c>
      <c r="G162" s="4">
        <v>120000</v>
      </c>
      <c r="H162" s="5">
        <v>120000</v>
      </c>
      <c r="I162" s="6"/>
      <c r="J162" s="7"/>
      <c r="K162" s="8"/>
      <c r="L162" s="9">
        <f t="shared" si="4"/>
        <v>120000</v>
      </c>
      <c r="M162" s="10"/>
      <c r="N162" s="10"/>
      <c r="O162" s="10"/>
      <c r="P162" s="61"/>
      <c r="Q162" s="4">
        <f t="shared" si="5"/>
        <v>120000</v>
      </c>
      <c r="R162" s="61"/>
      <c r="S162" s="1" t="s">
        <v>838</v>
      </c>
    </row>
    <row r="163" spans="1:19" x14ac:dyDescent="0.35">
      <c r="A163" s="2" t="s">
        <v>19</v>
      </c>
      <c r="B163" s="26">
        <v>8470345</v>
      </c>
      <c r="C163" s="3" t="s">
        <v>234</v>
      </c>
      <c r="D163" s="27">
        <v>425770</v>
      </c>
      <c r="E163" s="3" t="s">
        <v>74</v>
      </c>
      <c r="F163" s="3" t="s">
        <v>238</v>
      </c>
      <c r="G163" s="4">
        <v>105000</v>
      </c>
      <c r="H163" s="5">
        <v>54987</v>
      </c>
      <c r="I163" s="11">
        <v>4972.7700000000004</v>
      </c>
      <c r="J163" s="7"/>
      <c r="K163" s="8"/>
      <c r="L163" s="9">
        <f t="shared" si="4"/>
        <v>50014.229999999996</v>
      </c>
      <c r="M163" s="10"/>
      <c r="N163" s="10"/>
      <c r="O163" s="10"/>
      <c r="P163" s="61"/>
      <c r="Q163" s="4">
        <f t="shared" si="5"/>
        <v>50014.229999999996</v>
      </c>
      <c r="R163" s="61"/>
      <c r="S163" s="1" t="s">
        <v>838</v>
      </c>
    </row>
    <row r="164" spans="1:19" x14ac:dyDescent="0.35">
      <c r="A164" s="2" t="s">
        <v>19</v>
      </c>
      <c r="B164" s="26">
        <v>8470345</v>
      </c>
      <c r="C164" s="3" t="s">
        <v>234</v>
      </c>
      <c r="D164" s="27">
        <v>425900</v>
      </c>
      <c r="E164" s="3" t="s">
        <v>35</v>
      </c>
      <c r="F164" s="3" t="s">
        <v>239</v>
      </c>
      <c r="G164" s="4">
        <v>3000</v>
      </c>
      <c r="H164" s="5">
        <v>3000</v>
      </c>
      <c r="I164" s="6"/>
      <c r="J164" s="7"/>
      <c r="K164" s="8"/>
      <c r="L164" s="9">
        <f t="shared" si="4"/>
        <v>3000</v>
      </c>
      <c r="M164" s="10"/>
      <c r="N164" s="10"/>
      <c r="O164" s="10"/>
      <c r="P164" s="61"/>
      <c r="Q164" s="4">
        <f t="shared" si="5"/>
        <v>3000</v>
      </c>
      <c r="R164" s="61"/>
      <c r="S164" s="1" t="s">
        <v>838</v>
      </c>
    </row>
    <row r="165" spans="1:19" x14ac:dyDescent="0.35">
      <c r="A165" s="2" t="s">
        <v>19</v>
      </c>
      <c r="B165" s="26">
        <v>8470345</v>
      </c>
      <c r="C165" s="3" t="s">
        <v>234</v>
      </c>
      <c r="D165" s="27">
        <v>426610</v>
      </c>
      <c r="E165" s="3" t="s">
        <v>37</v>
      </c>
      <c r="F165" s="3" t="s">
        <v>240</v>
      </c>
      <c r="G165" s="4">
        <v>146983</v>
      </c>
      <c r="H165" s="5">
        <v>146983</v>
      </c>
      <c r="I165" s="11">
        <v>33069.589999999997</v>
      </c>
      <c r="J165" s="12">
        <v>0</v>
      </c>
      <c r="K165" s="5">
        <v>49585.5</v>
      </c>
      <c r="L165" s="9">
        <f t="shared" si="4"/>
        <v>64327.91</v>
      </c>
      <c r="M165" s="10"/>
      <c r="N165" s="10"/>
      <c r="O165" s="10"/>
      <c r="P165" s="61"/>
      <c r="Q165" s="4">
        <f t="shared" si="5"/>
        <v>64327.91</v>
      </c>
      <c r="R165" s="61"/>
      <c r="S165" s="1" t="s">
        <v>838</v>
      </c>
    </row>
    <row r="166" spans="1:19" x14ac:dyDescent="0.35">
      <c r="A166" s="2" t="s">
        <v>19</v>
      </c>
      <c r="B166" s="26">
        <v>8470345</v>
      </c>
      <c r="C166" s="3" t="s">
        <v>234</v>
      </c>
      <c r="D166" s="27">
        <v>428090</v>
      </c>
      <c r="E166" s="3" t="s">
        <v>39</v>
      </c>
      <c r="F166" s="3" t="s">
        <v>241</v>
      </c>
      <c r="G166" s="4">
        <v>44592</v>
      </c>
      <c r="H166" s="5">
        <v>12617</v>
      </c>
      <c r="I166" s="11">
        <v>1342.62</v>
      </c>
      <c r="J166" s="7"/>
      <c r="K166" s="8"/>
      <c r="L166" s="9">
        <f t="shared" si="4"/>
        <v>11274.380000000001</v>
      </c>
      <c r="M166" s="10"/>
      <c r="N166" s="10"/>
      <c r="O166" s="10"/>
      <c r="P166" s="61"/>
      <c r="Q166" s="4">
        <f t="shared" si="5"/>
        <v>11274.380000000001</v>
      </c>
      <c r="R166" s="61"/>
      <c r="S166" s="1" t="s">
        <v>838</v>
      </c>
    </row>
    <row r="167" spans="1:19" x14ac:dyDescent="0.35">
      <c r="A167" s="2" t="s">
        <v>19</v>
      </c>
      <c r="B167" s="26">
        <v>8470345</v>
      </c>
      <c r="C167" s="3" t="s">
        <v>234</v>
      </c>
      <c r="D167" s="27">
        <v>435350</v>
      </c>
      <c r="E167" s="3" t="s">
        <v>79</v>
      </c>
      <c r="F167" s="3" t="s">
        <v>242</v>
      </c>
      <c r="G167" s="4">
        <v>70000</v>
      </c>
      <c r="H167" s="5">
        <v>38220</v>
      </c>
      <c r="I167" s="11">
        <v>36455.15</v>
      </c>
      <c r="J167" s="7"/>
      <c r="K167" s="8"/>
      <c r="L167" s="9">
        <f t="shared" si="4"/>
        <v>1764.8499999999985</v>
      </c>
      <c r="M167" s="10"/>
      <c r="N167" s="10"/>
      <c r="O167" s="10"/>
      <c r="P167" s="61"/>
      <c r="Q167" s="4">
        <f t="shared" si="5"/>
        <v>1764.8499999999985</v>
      </c>
      <c r="R167" s="61"/>
      <c r="S167" s="1" t="s">
        <v>838</v>
      </c>
    </row>
    <row r="168" spans="1:19" x14ac:dyDescent="0.35">
      <c r="A168" s="2" t="s">
        <v>19</v>
      </c>
      <c r="B168" s="26">
        <v>8470345</v>
      </c>
      <c r="C168" s="3" t="s">
        <v>234</v>
      </c>
      <c r="D168" s="27">
        <v>435508</v>
      </c>
      <c r="E168" s="3" t="s">
        <v>135</v>
      </c>
      <c r="F168" s="3" t="s">
        <v>243</v>
      </c>
      <c r="G168" s="4">
        <v>197477</v>
      </c>
      <c r="H168" s="5">
        <v>197477</v>
      </c>
      <c r="I168" s="11">
        <v>9458.35</v>
      </c>
      <c r="J168" s="12">
        <v>-3.6379788070917101E-12</v>
      </c>
      <c r="K168" s="5">
        <v>52884.67</v>
      </c>
      <c r="L168" s="9">
        <f t="shared" si="4"/>
        <v>135133.97999999998</v>
      </c>
      <c r="M168" s="10"/>
      <c r="N168" s="10"/>
      <c r="O168" s="10"/>
      <c r="P168" s="61"/>
      <c r="Q168" s="4">
        <f t="shared" si="5"/>
        <v>135133.97999999998</v>
      </c>
      <c r="R168" s="61"/>
      <c r="S168" s="1" t="s">
        <v>838</v>
      </c>
    </row>
    <row r="169" spans="1:19" x14ac:dyDescent="0.35">
      <c r="A169" s="2" t="s">
        <v>19</v>
      </c>
      <c r="B169" s="26">
        <v>8470345</v>
      </c>
      <c r="C169" s="3" t="s">
        <v>234</v>
      </c>
      <c r="D169" s="27">
        <v>436110</v>
      </c>
      <c r="E169" s="3" t="s">
        <v>119</v>
      </c>
      <c r="F169" s="3" t="s">
        <v>244</v>
      </c>
      <c r="G169" s="4">
        <v>5742</v>
      </c>
      <c r="H169" s="5">
        <v>5742</v>
      </c>
      <c r="I169" s="11">
        <v>3328</v>
      </c>
      <c r="J169" s="12">
        <v>0</v>
      </c>
      <c r="K169" s="5">
        <v>0</v>
      </c>
      <c r="L169" s="9">
        <f t="shared" si="4"/>
        <v>2414</v>
      </c>
      <c r="M169" s="10"/>
      <c r="N169" s="10"/>
      <c r="O169" s="10"/>
      <c r="P169" s="61"/>
      <c r="Q169" s="4">
        <f t="shared" si="5"/>
        <v>2414</v>
      </c>
      <c r="R169" s="61"/>
      <c r="S169" s="1" t="s">
        <v>838</v>
      </c>
    </row>
    <row r="170" spans="1:19" x14ac:dyDescent="0.35">
      <c r="A170" s="2" t="s">
        <v>19</v>
      </c>
      <c r="B170" s="26">
        <v>8470345</v>
      </c>
      <c r="C170" s="3" t="s">
        <v>234</v>
      </c>
      <c r="D170" s="27">
        <v>436600</v>
      </c>
      <c r="E170" s="3" t="s">
        <v>137</v>
      </c>
      <c r="F170" s="3" t="s">
        <v>245</v>
      </c>
      <c r="G170" s="4">
        <v>9640</v>
      </c>
      <c r="H170" s="5">
        <v>9640</v>
      </c>
      <c r="I170" s="6"/>
      <c r="J170" s="7"/>
      <c r="K170" s="8"/>
      <c r="L170" s="9">
        <f t="shared" si="4"/>
        <v>9640</v>
      </c>
      <c r="M170" s="10"/>
      <c r="N170" s="10"/>
      <c r="O170" s="10"/>
      <c r="P170" s="61"/>
      <c r="Q170" s="4">
        <f t="shared" si="5"/>
        <v>9640</v>
      </c>
      <c r="R170" s="61"/>
      <c r="S170" s="1" t="s">
        <v>838</v>
      </c>
    </row>
    <row r="171" spans="1:19" x14ac:dyDescent="0.35">
      <c r="A171" s="2" t="s">
        <v>19</v>
      </c>
      <c r="B171" s="26">
        <v>8470350</v>
      </c>
      <c r="C171" s="3" t="s">
        <v>246</v>
      </c>
      <c r="D171" s="27">
        <v>425510</v>
      </c>
      <c r="E171" s="3" t="s">
        <v>31</v>
      </c>
      <c r="F171" s="3" t="s">
        <v>247</v>
      </c>
      <c r="G171" s="4">
        <v>16000</v>
      </c>
      <c r="H171" s="5">
        <v>16000</v>
      </c>
      <c r="I171" s="11">
        <v>8414.2199999999993</v>
      </c>
      <c r="J171" s="7"/>
      <c r="K171" s="8"/>
      <c r="L171" s="9">
        <f t="shared" si="4"/>
        <v>7585.7800000000007</v>
      </c>
      <c r="M171" s="10"/>
      <c r="N171" s="10"/>
      <c r="O171" s="10"/>
      <c r="P171" s="61"/>
      <c r="Q171" s="4">
        <f t="shared" si="5"/>
        <v>7585.7800000000007</v>
      </c>
      <c r="R171" s="61"/>
      <c r="S171" s="1" t="s">
        <v>838</v>
      </c>
    </row>
    <row r="172" spans="1:19" x14ac:dyDescent="0.35">
      <c r="A172" s="2" t="s">
        <v>19</v>
      </c>
      <c r="B172" s="26">
        <v>8470350</v>
      </c>
      <c r="C172" s="3" t="s">
        <v>246</v>
      </c>
      <c r="D172" s="27">
        <v>425760</v>
      </c>
      <c r="E172" s="3" t="s">
        <v>142</v>
      </c>
      <c r="F172" s="3" t="s">
        <v>248</v>
      </c>
      <c r="G172" s="4">
        <v>25000</v>
      </c>
      <c r="H172" s="5">
        <v>25000</v>
      </c>
      <c r="I172" s="11">
        <v>682</v>
      </c>
      <c r="J172" s="7"/>
      <c r="K172" s="8"/>
      <c r="L172" s="9">
        <f t="shared" si="4"/>
        <v>24318</v>
      </c>
      <c r="M172" s="10"/>
      <c r="N172" s="10"/>
      <c r="O172" s="10"/>
      <c r="P172" s="61"/>
      <c r="Q172" s="4">
        <f t="shared" si="5"/>
        <v>24318</v>
      </c>
      <c r="R172" s="61"/>
      <c r="S172" s="1" t="s">
        <v>838</v>
      </c>
    </row>
    <row r="173" spans="1:19" x14ac:dyDescent="0.35">
      <c r="A173" s="2" t="s">
        <v>19</v>
      </c>
      <c r="B173" s="26">
        <v>8470350</v>
      </c>
      <c r="C173" s="3" t="s">
        <v>246</v>
      </c>
      <c r="D173" s="27">
        <v>425763</v>
      </c>
      <c r="E173" s="3" t="s">
        <v>59</v>
      </c>
      <c r="F173" s="3" t="s">
        <v>249</v>
      </c>
      <c r="G173" s="4">
        <v>30000</v>
      </c>
      <c r="H173" s="5">
        <v>30000</v>
      </c>
      <c r="I173" s="6"/>
      <c r="J173" s="7"/>
      <c r="K173" s="8"/>
      <c r="L173" s="9">
        <f t="shared" si="4"/>
        <v>30000</v>
      </c>
      <c r="M173" s="10"/>
      <c r="N173" s="10"/>
      <c r="O173" s="10"/>
      <c r="P173" s="61"/>
      <c r="Q173" s="4">
        <f t="shared" si="5"/>
        <v>30000</v>
      </c>
      <c r="R173" s="61"/>
      <c r="S173" s="1" t="s">
        <v>838</v>
      </c>
    </row>
    <row r="174" spans="1:19" x14ac:dyDescent="0.35">
      <c r="A174" s="2" t="s">
        <v>19</v>
      </c>
      <c r="B174" s="26">
        <v>8470350</v>
      </c>
      <c r="C174" s="3" t="s">
        <v>246</v>
      </c>
      <c r="D174" s="27">
        <v>425770</v>
      </c>
      <c r="E174" s="3" t="s">
        <v>74</v>
      </c>
      <c r="F174" s="3" t="s">
        <v>250</v>
      </c>
      <c r="G174" s="4">
        <v>150000</v>
      </c>
      <c r="H174" s="5">
        <v>93739</v>
      </c>
      <c r="I174" s="11">
        <v>52293.79</v>
      </c>
      <c r="J174" s="7"/>
      <c r="K174" s="8"/>
      <c r="L174" s="9">
        <f t="shared" si="4"/>
        <v>41445.21</v>
      </c>
      <c r="M174" s="10"/>
      <c r="N174" s="10"/>
      <c r="O174" s="10"/>
      <c r="P174" s="61"/>
      <c r="Q174" s="4">
        <f t="shared" si="5"/>
        <v>41445.21</v>
      </c>
      <c r="R174" s="61"/>
      <c r="S174" s="1" t="s">
        <v>838</v>
      </c>
    </row>
    <row r="175" spans="1:19" x14ac:dyDescent="0.35">
      <c r="A175" s="2" t="s">
        <v>19</v>
      </c>
      <c r="B175" s="26">
        <v>8470350</v>
      </c>
      <c r="C175" s="3" t="s">
        <v>246</v>
      </c>
      <c r="D175" s="27">
        <v>425900</v>
      </c>
      <c r="E175" s="3" t="s">
        <v>35</v>
      </c>
      <c r="F175" s="3" t="s">
        <v>251</v>
      </c>
      <c r="G175" s="4">
        <v>8500</v>
      </c>
      <c r="H175" s="5">
        <v>8500</v>
      </c>
      <c r="I175" s="11">
        <v>2200</v>
      </c>
      <c r="J175" s="7"/>
      <c r="K175" s="8"/>
      <c r="L175" s="9">
        <f t="shared" si="4"/>
        <v>6300</v>
      </c>
      <c r="M175" s="10"/>
      <c r="N175" s="10"/>
      <c r="O175" s="10"/>
      <c r="P175" s="61"/>
      <c r="Q175" s="4">
        <f t="shared" si="5"/>
        <v>6300</v>
      </c>
      <c r="R175" s="61"/>
      <c r="S175" s="1" t="s">
        <v>838</v>
      </c>
    </row>
    <row r="176" spans="1:19" x14ac:dyDescent="0.35">
      <c r="A176" s="2" t="s">
        <v>19</v>
      </c>
      <c r="B176" s="26">
        <v>8470350</v>
      </c>
      <c r="C176" s="3" t="s">
        <v>246</v>
      </c>
      <c r="D176" s="27">
        <v>426610</v>
      </c>
      <c r="E176" s="3" t="s">
        <v>37</v>
      </c>
      <c r="F176" s="3" t="s">
        <v>252</v>
      </c>
      <c r="G176" s="4">
        <v>210200</v>
      </c>
      <c r="H176" s="5">
        <v>210200</v>
      </c>
      <c r="I176" s="11">
        <v>199954.87</v>
      </c>
      <c r="J176" s="12">
        <v>0</v>
      </c>
      <c r="K176" s="5">
        <v>-2.91038304567337E-11</v>
      </c>
      <c r="L176" s="9">
        <f t="shared" si="4"/>
        <v>10245.130000000034</v>
      </c>
      <c r="M176" s="10"/>
      <c r="N176" s="10"/>
      <c r="O176" s="10"/>
      <c r="P176" s="61"/>
      <c r="Q176" s="4">
        <f t="shared" si="5"/>
        <v>10245.130000000034</v>
      </c>
      <c r="R176" s="61"/>
      <c r="S176" s="1" t="s">
        <v>838</v>
      </c>
    </row>
    <row r="177" spans="1:19" x14ac:dyDescent="0.35">
      <c r="A177" s="2" t="s">
        <v>19</v>
      </c>
      <c r="B177" s="26">
        <v>8470350</v>
      </c>
      <c r="C177" s="3" t="s">
        <v>246</v>
      </c>
      <c r="D177" s="27">
        <v>432209</v>
      </c>
      <c r="E177" s="3" t="s">
        <v>132</v>
      </c>
      <c r="F177" s="3" t="s">
        <v>253</v>
      </c>
      <c r="G177" s="4">
        <v>305000</v>
      </c>
      <c r="H177" s="5">
        <v>305000</v>
      </c>
      <c r="I177" s="11">
        <v>15432</v>
      </c>
      <c r="J177" s="12">
        <v>0</v>
      </c>
      <c r="K177" s="5">
        <v>135365.45000000001</v>
      </c>
      <c r="L177" s="9">
        <f t="shared" si="4"/>
        <v>154202.54999999999</v>
      </c>
      <c r="M177" s="10"/>
      <c r="N177" s="10"/>
      <c r="O177" s="10"/>
      <c r="P177" s="61"/>
      <c r="Q177" s="4">
        <f t="shared" si="5"/>
        <v>154202.54999999999</v>
      </c>
      <c r="R177" s="61"/>
      <c r="S177" s="1" t="s">
        <v>838</v>
      </c>
    </row>
    <row r="178" spans="1:19" x14ac:dyDescent="0.35">
      <c r="A178" s="2" t="s">
        <v>19</v>
      </c>
      <c r="B178" s="26">
        <v>8470350</v>
      </c>
      <c r="C178" s="3" t="s">
        <v>246</v>
      </c>
      <c r="D178" s="27">
        <v>435340</v>
      </c>
      <c r="E178" s="3" t="s">
        <v>202</v>
      </c>
      <c r="F178" s="3" t="s">
        <v>254</v>
      </c>
      <c r="G178" s="4">
        <v>10000</v>
      </c>
      <c r="H178" s="5">
        <v>10000</v>
      </c>
      <c r="I178" s="6"/>
      <c r="J178" s="7"/>
      <c r="K178" s="8"/>
      <c r="L178" s="9">
        <f t="shared" si="4"/>
        <v>10000</v>
      </c>
      <c r="M178" s="10"/>
      <c r="N178" s="10"/>
      <c r="O178" s="10"/>
      <c r="P178" s="61"/>
      <c r="Q178" s="4">
        <f t="shared" si="5"/>
        <v>10000</v>
      </c>
      <c r="R178" s="61"/>
      <c r="S178" s="1" t="s">
        <v>838</v>
      </c>
    </row>
    <row r="179" spans="1:19" x14ac:dyDescent="0.35">
      <c r="A179" s="2" t="s">
        <v>19</v>
      </c>
      <c r="B179" s="26">
        <v>8470350</v>
      </c>
      <c r="C179" s="3" t="s">
        <v>246</v>
      </c>
      <c r="D179" s="27">
        <v>435350</v>
      </c>
      <c r="E179" s="3" t="s">
        <v>79</v>
      </c>
      <c r="F179" s="3" t="s">
        <v>255</v>
      </c>
      <c r="G179" s="4">
        <v>50000</v>
      </c>
      <c r="H179" s="5">
        <v>27086</v>
      </c>
      <c r="I179" s="11">
        <v>14298.4</v>
      </c>
      <c r="J179" s="7"/>
      <c r="K179" s="8"/>
      <c r="L179" s="9">
        <f t="shared" si="4"/>
        <v>12787.6</v>
      </c>
      <c r="M179" s="10"/>
      <c r="N179" s="10"/>
      <c r="O179" s="10"/>
      <c r="P179" s="61"/>
      <c r="Q179" s="4">
        <f t="shared" si="5"/>
        <v>12787.6</v>
      </c>
      <c r="R179" s="61"/>
      <c r="S179" s="1" t="s">
        <v>838</v>
      </c>
    </row>
    <row r="180" spans="1:19" x14ac:dyDescent="0.35">
      <c r="A180" s="2" t="s">
        <v>19</v>
      </c>
      <c r="B180" s="26">
        <v>8470350</v>
      </c>
      <c r="C180" s="3" t="s">
        <v>246</v>
      </c>
      <c r="D180" s="27">
        <v>435508</v>
      </c>
      <c r="E180" s="3" t="s">
        <v>135</v>
      </c>
      <c r="F180" s="3" t="s">
        <v>256</v>
      </c>
      <c r="G180" s="4">
        <v>100000</v>
      </c>
      <c r="H180" s="5">
        <v>100000</v>
      </c>
      <c r="I180" s="11">
        <v>16073.55</v>
      </c>
      <c r="J180" s="12">
        <v>1.8189894035458601E-12</v>
      </c>
      <c r="K180" s="5">
        <v>18121.38</v>
      </c>
      <c r="L180" s="9">
        <f t="shared" si="4"/>
        <v>65805.069999999992</v>
      </c>
      <c r="M180" s="10"/>
      <c r="N180" s="10"/>
      <c r="O180" s="10"/>
      <c r="P180" s="61"/>
      <c r="Q180" s="4">
        <f t="shared" si="5"/>
        <v>65805.069999999992</v>
      </c>
      <c r="R180" s="61"/>
      <c r="S180" s="1" t="s">
        <v>838</v>
      </c>
    </row>
    <row r="181" spans="1:19" x14ac:dyDescent="0.35">
      <c r="A181" s="2" t="s">
        <v>19</v>
      </c>
      <c r="B181" s="26">
        <v>8470350</v>
      </c>
      <c r="C181" s="3" t="s">
        <v>246</v>
      </c>
      <c r="D181" s="27">
        <v>436110</v>
      </c>
      <c r="E181" s="3" t="s">
        <v>119</v>
      </c>
      <c r="F181" s="3" t="s">
        <v>257</v>
      </c>
      <c r="G181" s="4">
        <v>7500</v>
      </c>
      <c r="H181" s="5">
        <v>7500</v>
      </c>
      <c r="I181" s="6"/>
      <c r="J181" s="7"/>
      <c r="K181" s="8"/>
      <c r="L181" s="9">
        <f t="shared" si="4"/>
        <v>7500</v>
      </c>
      <c r="M181" s="10"/>
      <c r="N181" s="10"/>
      <c r="O181" s="10"/>
      <c r="P181" s="61"/>
      <c r="Q181" s="4">
        <f t="shared" si="5"/>
        <v>7500</v>
      </c>
      <c r="R181" s="61"/>
      <c r="S181" s="1" t="s">
        <v>838</v>
      </c>
    </row>
    <row r="182" spans="1:19" x14ac:dyDescent="0.35">
      <c r="A182" s="2" t="s">
        <v>19</v>
      </c>
      <c r="B182" s="26">
        <v>8470350</v>
      </c>
      <c r="C182" s="3" t="s">
        <v>246</v>
      </c>
      <c r="D182" s="27">
        <v>436600</v>
      </c>
      <c r="E182" s="3" t="s">
        <v>137</v>
      </c>
      <c r="F182" s="3" t="s">
        <v>258</v>
      </c>
      <c r="G182" s="4">
        <v>60000</v>
      </c>
      <c r="H182" s="5">
        <v>60000</v>
      </c>
      <c r="I182" s="11">
        <v>6600</v>
      </c>
      <c r="J182" s="12">
        <v>0</v>
      </c>
      <c r="K182" s="5">
        <v>27500</v>
      </c>
      <c r="L182" s="9">
        <f t="shared" si="4"/>
        <v>25900</v>
      </c>
      <c r="M182" s="10"/>
      <c r="N182" s="10"/>
      <c r="O182" s="10"/>
      <c r="P182" s="61"/>
      <c r="Q182" s="4">
        <f t="shared" si="5"/>
        <v>25900</v>
      </c>
      <c r="R182" s="61"/>
      <c r="S182" s="1" t="s">
        <v>838</v>
      </c>
    </row>
    <row r="183" spans="1:19" x14ac:dyDescent="0.35">
      <c r="A183" s="2" t="s">
        <v>19</v>
      </c>
      <c r="B183" s="26">
        <v>8470405</v>
      </c>
      <c r="C183" s="3" t="s">
        <v>259</v>
      </c>
      <c r="D183" s="27">
        <v>420550</v>
      </c>
      <c r="E183" s="3" t="s">
        <v>21</v>
      </c>
      <c r="F183" s="3" t="s">
        <v>260</v>
      </c>
      <c r="G183" s="4">
        <v>0</v>
      </c>
      <c r="H183" s="5">
        <v>65692</v>
      </c>
      <c r="I183" s="11">
        <v>64718.46</v>
      </c>
      <c r="J183" s="7"/>
      <c r="K183" s="8"/>
      <c r="L183" s="9">
        <f t="shared" si="4"/>
        <v>973.54000000000087</v>
      </c>
      <c r="M183" s="10"/>
      <c r="N183" s="10"/>
      <c r="O183" s="10"/>
      <c r="P183" s="61"/>
      <c r="Q183" s="4">
        <f t="shared" si="5"/>
        <v>973.54000000000087</v>
      </c>
      <c r="R183" s="61"/>
      <c r="S183" s="1" t="s">
        <v>838</v>
      </c>
    </row>
    <row r="184" spans="1:19" x14ac:dyDescent="0.35">
      <c r="A184" s="2" t="s">
        <v>19</v>
      </c>
      <c r="B184" s="26">
        <v>8470405</v>
      </c>
      <c r="C184" s="3" t="s">
        <v>259</v>
      </c>
      <c r="D184" s="27">
        <v>421700</v>
      </c>
      <c r="E184" s="3" t="s">
        <v>29</v>
      </c>
      <c r="F184" s="3" t="s">
        <v>261</v>
      </c>
      <c r="G184" s="4">
        <v>560000</v>
      </c>
      <c r="H184" s="5">
        <v>500308</v>
      </c>
      <c r="I184" s="11">
        <v>118354.26</v>
      </c>
      <c r="J184" s="7"/>
      <c r="K184" s="8"/>
      <c r="L184" s="9">
        <f t="shared" si="4"/>
        <v>381953.74</v>
      </c>
      <c r="M184" s="10"/>
      <c r="N184" s="10"/>
      <c r="O184" s="10"/>
      <c r="P184" s="61"/>
      <c r="Q184" s="4">
        <f t="shared" si="5"/>
        <v>381953.74</v>
      </c>
      <c r="R184" s="61"/>
      <c r="S184" s="1" t="s">
        <v>838</v>
      </c>
    </row>
    <row r="185" spans="1:19" x14ac:dyDescent="0.35">
      <c r="A185" s="2" t="s">
        <v>19</v>
      </c>
      <c r="B185" s="26">
        <v>8470405</v>
      </c>
      <c r="C185" s="3" t="s">
        <v>259</v>
      </c>
      <c r="D185" s="27">
        <v>425510</v>
      </c>
      <c r="E185" s="3" t="s">
        <v>31</v>
      </c>
      <c r="F185" s="3" t="s">
        <v>262</v>
      </c>
      <c r="G185" s="4">
        <v>15000</v>
      </c>
      <c r="H185" s="5">
        <v>15000</v>
      </c>
      <c r="I185" s="11">
        <v>22341.9</v>
      </c>
      <c r="J185" s="7"/>
      <c r="K185" s="8"/>
      <c r="L185" s="9">
        <f t="shared" si="4"/>
        <v>-7341.9000000000015</v>
      </c>
      <c r="M185" s="10"/>
      <c r="N185" s="10"/>
      <c r="O185" s="10"/>
      <c r="P185" s="61"/>
      <c r="Q185" s="4">
        <f t="shared" si="5"/>
        <v>-7341.9000000000015</v>
      </c>
      <c r="R185" s="61"/>
      <c r="S185" s="1" t="s">
        <v>838</v>
      </c>
    </row>
    <row r="186" spans="1:19" x14ac:dyDescent="0.35">
      <c r="A186" s="2" t="s">
        <v>19</v>
      </c>
      <c r="B186" s="26">
        <v>8470405</v>
      </c>
      <c r="C186" s="3" t="s">
        <v>259</v>
      </c>
      <c r="D186" s="27">
        <v>425550</v>
      </c>
      <c r="E186" s="3" t="s">
        <v>33</v>
      </c>
      <c r="F186" s="3" t="s">
        <v>263</v>
      </c>
      <c r="G186" s="4">
        <v>15000</v>
      </c>
      <c r="H186" s="5">
        <v>15000</v>
      </c>
      <c r="I186" s="11">
        <v>13957.9</v>
      </c>
      <c r="J186" s="7"/>
      <c r="K186" s="8"/>
      <c r="L186" s="9">
        <f t="shared" si="4"/>
        <v>1042.1000000000004</v>
      </c>
      <c r="M186" s="10"/>
      <c r="N186" s="10"/>
      <c r="O186" s="10"/>
      <c r="P186" s="61"/>
      <c r="Q186" s="4">
        <f t="shared" si="5"/>
        <v>1042.1000000000004</v>
      </c>
      <c r="R186" s="61"/>
      <c r="S186" s="1" t="s">
        <v>838</v>
      </c>
    </row>
    <row r="187" spans="1:19" x14ac:dyDescent="0.35">
      <c r="A187" s="2" t="s">
        <v>19</v>
      </c>
      <c r="B187" s="26">
        <v>8470405</v>
      </c>
      <c r="C187" s="3" t="s">
        <v>259</v>
      </c>
      <c r="D187" s="27">
        <v>425770</v>
      </c>
      <c r="E187" s="3" t="s">
        <v>74</v>
      </c>
      <c r="F187" s="3" t="s">
        <v>264</v>
      </c>
      <c r="G187" s="4">
        <v>50000</v>
      </c>
      <c r="H187" s="5">
        <v>32848</v>
      </c>
      <c r="I187" s="11">
        <v>15471.72</v>
      </c>
      <c r="J187" s="7"/>
      <c r="K187" s="8"/>
      <c r="L187" s="9">
        <f t="shared" si="4"/>
        <v>17376.28</v>
      </c>
      <c r="M187" s="10"/>
      <c r="N187" s="10"/>
      <c r="O187" s="10"/>
      <c r="P187" s="61"/>
      <c r="Q187" s="4">
        <f t="shared" si="5"/>
        <v>17376.28</v>
      </c>
      <c r="R187" s="61"/>
      <c r="S187" s="1" t="s">
        <v>838</v>
      </c>
    </row>
    <row r="188" spans="1:19" x14ac:dyDescent="0.35">
      <c r="A188" s="2" t="s">
        <v>19</v>
      </c>
      <c r="B188" s="26">
        <v>8470405</v>
      </c>
      <c r="C188" s="3" t="s">
        <v>259</v>
      </c>
      <c r="D188" s="27">
        <v>427710</v>
      </c>
      <c r="E188" s="3" t="s">
        <v>51</v>
      </c>
      <c r="F188" s="3" t="s">
        <v>265</v>
      </c>
      <c r="G188" s="4">
        <v>12000</v>
      </c>
      <c r="H188" s="5">
        <v>20175</v>
      </c>
      <c r="I188" s="11">
        <v>20174.88</v>
      </c>
      <c r="J188" s="7"/>
      <c r="K188" s="8"/>
      <c r="L188" s="9">
        <f t="shared" si="4"/>
        <v>0.11999999999898137</v>
      </c>
      <c r="M188" s="10"/>
      <c r="N188" s="10"/>
      <c r="O188" s="10"/>
      <c r="P188" s="61"/>
      <c r="Q188" s="4">
        <f t="shared" si="5"/>
        <v>0.11999999999898137</v>
      </c>
      <c r="R188" s="61"/>
      <c r="S188" s="1" t="s">
        <v>838</v>
      </c>
    </row>
    <row r="189" spans="1:19" x14ac:dyDescent="0.35">
      <c r="A189" s="2" t="s">
        <v>19</v>
      </c>
      <c r="B189" s="26">
        <v>8470405</v>
      </c>
      <c r="C189" s="3" t="s">
        <v>259</v>
      </c>
      <c r="D189" s="27">
        <v>432209</v>
      </c>
      <c r="E189" s="3" t="s">
        <v>132</v>
      </c>
      <c r="F189" s="3" t="s">
        <v>266</v>
      </c>
      <c r="G189" s="4">
        <v>200000</v>
      </c>
      <c r="H189" s="5">
        <v>200000</v>
      </c>
      <c r="I189" s="6"/>
      <c r="J189" s="7"/>
      <c r="K189" s="8"/>
      <c r="L189" s="9">
        <f t="shared" si="4"/>
        <v>200000</v>
      </c>
      <c r="M189" s="10"/>
      <c r="N189" s="10"/>
      <c r="O189" s="10"/>
      <c r="P189" s="61"/>
      <c r="Q189" s="4">
        <f t="shared" si="5"/>
        <v>200000</v>
      </c>
      <c r="R189" s="61"/>
      <c r="S189" s="1" t="s">
        <v>838</v>
      </c>
    </row>
    <row r="190" spans="1:19" x14ac:dyDescent="0.35">
      <c r="A190" s="2" t="s">
        <v>19</v>
      </c>
      <c r="B190" s="26">
        <v>8470405</v>
      </c>
      <c r="C190" s="3" t="s">
        <v>259</v>
      </c>
      <c r="D190" s="27">
        <v>435350</v>
      </c>
      <c r="E190" s="3" t="s">
        <v>79</v>
      </c>
      <c r="F190" s="3" t="s">
        <v>267</v>
      </c>
      <c r="G190" s="4">
        <v>30000</v>
      </c>
      <c r="H190" s="5">
        <v>28100</v>
      </c>
      <c r="I190" s="11">
        <v>28033.25</v>
      </c>
      <c r="J190" s="7"/>
      <c r="K190" s="8"/>
      <c r="L190" s="9">
        <f t="shared" si="4"/>
        <v>66.75</v>
      </c>
      <c r="M190" s="10"/>
      <c r="N190" s="10"/>
      <c r="O190" s="10"/>
      <c r="P190" s="61"/>
      <c r="Q190" s="4">
        <f t="shared" si="5"/>
        <v>66.75</v>
      </c>
      <c r="R190" s="61"/>
      <c r="S190" s="1" t="s">
        <v>838</v>
      </c>
    </row>
    <row r="191" spans="1:19" x14ac:dyDescent="0.35">
      <c r="A191" s="2" t="s">
        <v>19</v>
      </c>
      <c r="B191" s="26">
        <v>8470410</v>
      </c>
      <c r="C191" s="3" t="s">
        <v>268</v>
      </c>
      <c r="D191" s="27">
        <v>425761</v>
      </c>
      <c r="E191" s="3" t="s">
        <v>110</v>
      </c>
      <c r="F191" s="3" t="s">
        <v>269</v>
      </c>
      <c r="G191" s="4">
        <v>162000</v>
      </c>
      <c r="H191" s="5">
        <v>162000</v>
      </c>
      <c r="I191" s="6"/>
      <c r="J191" s="7"/>
      <c r="K191" s="8"/>
      <c r="L191" s="9">
        <f t="shared" si="4"/>
        <v>162000</v>
      </c>
      <c r="M191" s="10"/>
      <c r="N191" s="10"/>
      <c r="O191" s="10"/>
      <c r="P191" s="61"/>
      <c r="Q191" s="4">
        <f t="shared" si="5"/>
        <v>162000</v>
      </c>
      <c r="R191" s="61"/>
      <c r="S191" s="1" t="s">
        <v>838</v>
      </c>
    </row>
    <row r="192" spans="1:19" x14ac:dyDescent="0.35">
      <c r="A192" s="2" t="s">
        <v>19</v>
      </c>
      <c r="B192" s="26">
        <v>8470410</v>
      </c>
      <c r="C192" s="3" t="s">
        <v>268</v>
      </c>
      <c r="D192" s="27">
        <v>425770</v>
      </c>
      <c r="E192" s="3" t="s">
        <v>74</v>
      </c>
      <c r="F192" s="3" t="s">
        <v>270</v>
      </c>
      <c r="G192" s="4">
        <v>120000</v>
      </c>
      <c r="H192" s="5">
        <v>72566</v>
      </c>
      <c r="I192" s="11">
        <v>42591</v>
      </c>
      <c r="J192" s="7"/>
      <c r="K192" s="8"/>
      <c r="L192" s="9">
        <f t="shared" si="4"/>
        <v>29975</v>
      </c>
      <c r="M192" s="10"/>
      <c r="N192" s="10"/>
      <c r="O192" s="10"/>
      <c r="P192" s="61"/>
      <c r="Q192" s="4">
        <f t="shared" si="5"/>
        <v>29975</v>
      </c>
      <c r="R192" s="61"/>
      <c r="S192" s="1" t="s">
        <v>838</v>
      </c>
    </row>
    <row r="193" spans="1:19" x14ac:dyDescent="0.35">
      <c r="A193" s="2" t="s">
        <v>19</v>
      </c>
      <c r="B193" s="26">
        <v>8470410</v>
      </c>
      <c r="C193" s="3" t="s">
        <v>268</v>
      </c>
      <c r="D193" s="27">
        <v>426610</v>
      </c>
      <c r="E193" s="3" t="s">
        <v>37</v>
      </c>
      <c r="F193" s="3" t="s">
        <v>271</v>
      </c>
      <c r="G193" s="4">
        <v>5600</v>
      </c>
      <c r="H193" s="5">
        <v>5600</v>
      </c>
      <c r="I193" s="11">
        <v>1612</v>
      </c>
      <c r="J193" s="7"/>
      <c r="K193" s="8"/>
      <c r="L193" s="9">
        <f t="shared" si="4"/>
        <v>3988</v>
      </c>
      <c r="M193" s="10"/>
      <c r="N193" s="10"/>
      <c r="O193" s="10"/>
      <c r="P193" s="61"/>
      <c r="Q193" s="4">
        <f t="shared" si="5"/>
        <v>3988</v>
      </c>
      <c r="R193" s="61"/>
      <c r="S193" s="1" t="s">
        <v>838</v>
      </c>
    </row>
    <row r="194" spans="1:19" x14ac:dyDescent="0.35">
      <c r="A194" s="2" t="s">
        <v>19</v>
      </c>
      <c r="B194" s="26">
        <v>8470410</v>
      </c>
      <c r="C194" s="3" t="s">
        <v>268</v>
      </c>
      <c r="D194" s="27">
        <v>435310</v>
      </c>
      <c r="E194" s="3" t="s">
        <v>66</v>
      </c>
      <c r="F194" s="3" t="s">
        <v>272</v>
      </c>
      <c r="G194" s="4">
        <v>85229</v>
      </c>
      <c r="H194" s="5">
        <v>85229</v>
      </c>
      <c r="I194" s="11">
        <v>12957.33</v>
      </c>
      <c r="J194" s="12">
        <v>0</v>
      </c>
      <c r="K194" s="8"/>
      <c r="L194" s="9">
        <f t="shared" si="4"/>
        <v>72271.67</v>
      </c>
      <c r="M194" s="10"/>
      <c r="N194" s="10"/>
      <c r="O194" s="10"/>
      <c r="P194" s="61"/>
      <c r="Q194" s="4">
        <f t="shared" si="5"/>
        <v>72271.67</v>
      </c>
      <c r="R194" s="61"/>
      <c r="S194" s="1" t="s">
        <v>838</v>
      </c>
    </row>
    <row r="195" spans="1:19" x14ac:dyDescent="0.35">
      <c r="A195" s="2" t="s">
        <v>19</v>
      </c>
      <c r="B195" s="26">
        <v>8470410</v>
      </c>
      <c r="C195" s="3" t="s">
        <v>268</v>
      </c>
      <c r="D195" s="27">
        <v>435350</v>
      </c>
      <c r="E195" s="3" t="s">
        <v>79</v>
      </c>
      <c r="F195" s="3" t="s">
        <v>273</v>
      </c>
      <c r="G195" s="4">
        <v>17900</v>
      </c>
      <c r="H195" s="5">
        <v>10384</v>
      </c>
      <c r="I195" s="11">
        <v>1500</v>
      </c>
      <c r="J195" s="7"/>
      <c r="K195" s="8"/>
      <c r="L195" s="9">
        <f t="shared" ref="L195:L258" si="6">H195-I195-J195-K195</f>
        <v>8884</v>
      </c>
      <c r="M195" s="10"/>
      <c r="N195" s="10"/>
      <c r="O195" s="10"/>
      <c r="P195" s="61"/>
      <c r="Q195" s="4">
        <f t="shared" ref="Q195:Q258" si="7">L195-M195-N195-O195</f>
        <v>8884</v>
      </c>
      <c r="R195" s="61"/>
      <c r="S195" s="1" t="s">
        <v>838</v>
      </c>
    </row>
    <row r="196" spans="1:19" x14ac:dyDescent="0.35">
      <c r="A196" s="2" t="s">
        <v>19</v>
      </c>
      <c r="B196" s="26">
        <v>8470415</v>
      </c>
      <c r="C196" s="3" t="s">
        <v>274</v>
      </c>
      <c r="D196" s="27">
        <v>421700</v>
      </c>
      <c r="E196" s="3" t="s">
        <v>29</v>
      </c>
      <c r="F196" s="3" t="s">
        <v>275</v>
      </c>
      <c r="G196" s="4">
        <v>150000</v>
      </c>
      <c r="H196" s="5">
        <v>150000</v>
      </c>
      <c r="I196" s="6"/>
      <c r="J196" s="7"/>
      <c r="K196" s="8"/>
      <c r="L196" s="9">
        <f t="shared" si="6"/>
        <v>150000</v>
      </c>
      <c r="M196" s="10"/>
      <c r="N196" s="10"/>
      <c r="O196" s="10"/>
      <c r="P196" s="61"/>
      <c r="Q196" s="4">
        <f t="shared" si="7"/>
        <v>150000</v>
      </c>
      <c r="R196" s="61"/>
      <c r="S196" s="1" t="s">
        <v>838</v>
      </c>
    </row>
    <row r="197" spans="1:19" x14ac:dyDescent="0.35">
      <c r="A197" s="2" t="s">
        <v>19</v>
      </c>
      <c r="B197" s="26">
        <v>8470415</v>
      </c>
      <c r="C197" s="3" t="s">
        <v>274</v>
      </c>
      <c r="D197" s="27">
        <v>425100</v>
      </c>
      <c r="E197" s="3" t="s">
        <v>55</v>
      </c>
      <c r="F197" s="3" t="s">
        <v>276</v>
      </c>
      <c r="G197" s="4">
        <v>50000</v>
      </c>
      <c r="H197" s="5">
        <v>50000</v>
      </c>
      <c r="I197" s="6"/>
      <c r="J197" s="7"/>
      <c r="K197" s="8"/>
      <c r="L197" s="9">
        <f t="shared" si="6"/>
        <v>50000</v>
      </c>
      <c r="M197" s="10"/>
      <c r="N197" s="10"/>
      <c r="O197" s="10"/>
      <c r="P197" s="61"/>
      <c r="Q197" s="4">
        <f t="shared" si="7"/>
        <v>50000</v>
      </c>
      <c r="R197" s="61"/>
      <c r="S197" s="1" t="s">
        <v>838</v>
      </c>
    </row>
    <row r="198" spans="1:19" x14ac:dyDescent="0.35">
      <c r="A198" s="2" t="s">
        <v>19</v>
      </c>
      <c r="B198" s="26">
        <v>8470415</v>
      </c>
      <c r="C198" s="3" t="s">
        <v>274</v>
      </c>
      <c r="D198" s="27">
        <v>425760</v>
      </c>
      <c r="E198" s="3" t="s">
        <v>142</v>
      </c>
      <c r="F198" s="3" t="s">
        <v>277</v>
      </c>
      <c r="G198" s="4">
        <v>5000</v>
      </c>
      <c r="H198" s="5">
        <v>5000</v>
      </c>
      <c r="I198" s="6"/>
      <c r="J198" s="7"/>
      <c r="K198" s="8"/>
      <c r="L198" s="9">
        <f t="shared" si="6"/>
        <v>5000</v>
      </c>
      <c r="M198" s="10"/>
      <c r="N198" s="10"/>
      <c r="O198" s="10"/>
      <c r="P198" s="61"/>
      <c r="Q198" s="4">
        <f t="shared" si="7"/>
        <v>5000</v>
      </c>
      <c r="R198" s="61"/>
      <c r="S198" s="1" t="s">
        <v>838</v>
      </c>
    </row>
    <row r="199" spans="1:19" x14ac:dyDescent="0.35">
      <c r="A199" s="2" t="s">
        <v>19</v>
      </c>
      <c r="B199" s="26">
        <v>8470415</v>
      </c>
      <c r="C199" s="3" t="s">
        <v>274</v>
      </c>
      <c r="D199" s="27">
        <v>425763</v>
      </c>
      <c r="E199" s="3" t="s">
        <v>59</v>
      </c>
      <c r="F199" s="3" t="s">
        <v>278</v>
      </c>
      <c r="G199" s="4">
        <v>80000</v>
      </c>
      <c r="H199" s="5">
        <v>80000</v>
      </c>
      <c r="I199" s="11">
        <v>12355</v>
      </c>
      <c r="J199" s="12">
        <v>0</v>
      </c>
      <c r="K199" s="5">
        <v>12430</v>
      </c>
      <c r="L199" s="9">
        <f t="shared" si="6"/>
        <v>55215</v>
      </c>
      <c r="M199" s="10"/>
      <c r="N199" s="10"/>
      <c r="O199" s="10"/>
      <c r="P199" s="61"/>
      <c r="Q199" s="4">
        <f t="shared" si="7"/>
        <v>55215</v>
      </c>
      <c r="R199" s="61"/>
      <c r="S199" s="1" t="s">
        <v>838</v>
      </c>
    </row>
    <row r="200" spans="1:19" x14ac:dyDescent="0.35">
      <c r="A200" s="2" t="s">
        <v>19</v>
      </c>
      <c r="B200" s="26">
        <v>8470415</v>
      </c>
      <c r="C200" s="3" t="s">
        <v>274</v>
      </c>
      <c r="D200" s="27">
        <v>425770</v>
      </c>
      <c r="E200" s="3" t="s">
        <v>74</v>
      </c>
      <c r="F200" s="3" t="s">
        <v>279</v>
      </c>
      <c r="G200" s="4">
        <v>285000</v>
      </c>
      <c r="H200" s="5">
        <v>246248</v>
      </c>
      <c r="I200" s="11">
        <v>220962.16</v>
      </c>
      <c r="J200" s="7"/>
      <c r="K200" s="8"/>
      <c r="L200" s="9">
        <f t="shared" si="6"/>
        <v>25285.839999999997</v>
      </c>
      <c r="M200" s="10"/>
      <c r="N200" s="10"/>
      <c r="O200" s="10"/>
      <c r="P200" s="61"/>
      <c r="Q200" s="4">
        <f t="shared" si="7"/>
        <v>25285.839999999997</v>
      </c>
      <c r="R200" s="61"/>
      <c r="S200" s="1" t="s">
        <v>838</v>
      </c>
    </row>
    <row r="201" spans="1:19" x14ac:dyDescent="0.35">
      <c r="A201" s="2" t="s">
        <v>19</v>
      </c>
      <c r="B201" s="26">
        <v>8470415</v>
      </c>
      <c r="C201" s="3" t="s">
        <v>274</v>
      </c>
      <c r="D201" s="27">
        <v>425900</v>
      </c>
      <c r="E201" s="3" t="s">
        <v>35</v>
      </c>
      <c r="F201" s="3" t="s">
        <v>280</v>
      </c>
      <c r="G201" s="4">
        <v>140000</v>
      </c>
      <c r="H201" s="5">
        <v>70000</v>
      </c>
      <c r="I201" s="11">
        <v>7839.73</v>
      </c>
      <c r="J201" s="7"/>
      <c r="K201" s="8"/>
      <c r="L201" s="9">
        <f t="shared" si="6"/>
        <v>62160.270000000004</v>
      </c>
      <c r="M201" s="10"/>
      <c r="N201" s="10"/>
      <c r="O201" s="10"/>
      <c r="P201" s="61"/>
      <c r="Q201" s="4">
        <f t="shared" si="7"/>
        <v>62160.270000000004</v>
      </c>
      <c r="R201" s="61"/>
      <c r="S201" s="1" t="s">
        <v>838</v>
      </c>
    </row>
    <row r="202" spans="1:19" x14ac:dyDescent="0.35">
      <c r="A202" s="2" t="s">
        <v>19</v>
      </c>
      <c r="B202" s="26">
        <v>8470415</v>
      </c>
      <c r="C202" s="3" t="s">
        <v>274</v>
      </c>
      <c r="D202" s="27">
        <v>426610</v>
      </c>
      <c r="E202" s="3" t="s">
        <v>37</v>
      </c>
      <c r="F202" s="3" t="s">
        <v>281</v>
      </c>
      <c r="G202" s="4">
        <v>229511</v>
      </c>
      <c r="H202" s="5">
        <v>229511</v>
      </c>
      <c r="I202" s="11">
        <v>61384.61</v>
      </c>
      <c r="J202" s="12">
        <v>0</v>
      </c>
      <c r="K202" s="5">
        <v>68752.009999999995</v>
      </c>
      <c r="L202" s="9">
        <f t="shared" si="6"/>
        <v>99374.380000000019</v>
      </c>
      <c r="M202" s="10"/>
      <c r="N202" s="10"/>
      <c r="O202" s="10"/>
      <c r="P202" s="61"/>
      <c r="Q202" s="4">
        <f t="shared" si="7"/>
        <v>99374.380000000019</v>
      </c>
      <c r="R202" s="61"/>
      <c r="S202" s="1" t="s">
        <v>838</v>
      </c>
    </row>
    <row r="203" spans="1:19" x14ac:dyDescent="0.35">
      <c r="A203" s="2" t="s">
        <v>19</v>
      </c>
      <c r="B203" s="26">
        <v>8470415</v>
      </c>
      <c r="C203" s="3" t="s">
        <v>274</v>
      </c>
      <c r="D203" s="27">
        <v>428640</v>
      </c>
      <c r="E203" s="3" t="s">
        <v>43</v>
      </c>
      <c r="F203" s="3" t="s">
        <v>282</v>
      </c>
      <c r="G203" s="4">
        <v>15000</v>
      </c>
      <c r="H203" s="5">
        <v>7612</v>
      </c>
      <c r="I203" s="6"/>
      <c r="J203" s="7"/>
      <c r="K203" s="8"/>
      <c r="L203" s="9">
        <f t="shared" si="6"/>
        <v>7612</v>
      </c>
      <c r="M203" s="10"/>
      <c r="N203" s="10"/>
      <c r="O203" s="10"/>
      <c r="P203" s="61"/>
      <c r="Q203" s="4">
        <f t="shared" si="7"/>
        <v>7612</v>
      </c>
      <c r="R203" s="61"/>
      <c r="S203" s="1" t="s">
        <v>838</v>
      </c>
    </row>
    <row r="204" spans="1:19" x14ac:dyDescent="0.35">
      <c r="A204" s="2" t="s">
        <v>19</v>
      </c>
      <c r="B204" s="26">
        <v>8470415</v>
      </c>
      <c r="C204" s="3" t="s">
        <v>274</v>
      </c>
      <c r="D204" s="27">
        <v>432209</v>
      </c>
      <c r="E204" s="3" t="s">
        <v>132</v>
      </c>
      <c r="F204" s="3" t="s">
        <v>283</v>
      </c>
      <c r="G204" s="4">
        <v>301000</v>
      </c>
      <c r="H204" s="5">
        <v>301000</v>
      </c>
      <c r="I204" s="11">
        <v>143758.60999999999</v>
      </c>
      <c r="J204" s="12">
        <v>7.2759576141834308E-12</v>
      </c>
      <c r="K204" s="5">
        <v>60938.1</v>
      </c>
      <c r="L204" s="9">
        <f t="shared" si="6"/>
        <v>96303.290000000008</v>
      </c>
      <c r="M204" s="10"/>
      <c r="N204" s="10"/>
      <c r="O204" s="10"/>
      <c r="P204" s="61"/>
      <c r="Q204" s="4">
        <f t="shared" si="7"/>
        <v>96303.290000000008</v>
      </c>
      <c r="R204" s="61"/>
      <c r="S204" s="1" t="s">
        <v>838</v>
      </c>
    </row>
    <row r="205" spans="1:19" x14ac:dyDescent="0.35">
      <c r="A205" s="2" t="s">
        <v>19</v>
      </c>
      <c r="B205" s="26">
        <v>8470415</v>
      </c>
      <c r="C205" s="3" t="s">
        <v>274</v>
      </c>
      <c r="D205" s="27">
        <v>435350</v>
      </c>
      <c r="E205" s="3" t="s">
        <v>79</v>
      </c>
      <c r="F205" s="3" t="s">
        <v>284</v>
      </c>
      <c r="G205" s="4">
        <v>70000</v>
      </c>
      <c r="H205" s="5">
        <v>40275</v>
      </c>
      <c r="I205" s="11">
        <v>5138</v>
      </c>
      <c r="J205" s="7"/>
      <c r="K205" s="8"/>
      <c r="L205" s="9">
        <f t="shared" si="6"/>
        <v>35137</v>
      </c>
      <c r="M205" s="10"/>
      <c r="N205" s="10"/>
      <c r="O205" s="10"/>
      <c r="P205" s="61"/>
      <c r="Q205" s="4">
        <f t="shared" si="7"/>
        <v>35137</v>
      </c>
      <c r="R205" s="61"/>
      <c r="S205" s="1" t="s">
        <v>838</v>
      </c>
    </row>
    <row r="206" spans="1:19" x14ac:dyDescent="0.35">
      <c r="A206" s="2" t="s">
        <v>19</v>
      </c>
      <c r="B206" s="26">
        <v>8470415</v>
      </c>
      <c r="C206" s="3" t="s">
        <v>274</v>
      </c>
      <c r="D206" s="27">
        <v>435508</v>
      </c>
      <c r="E206" s="3" t="s">
        <v>135</v>
      </c>
      <c r="F206" s="3" t="s">
        <v>285</v>
      </c>
      <c r="G206" s="4">
        <v>525000</v>
      </c>
      <c r="H206" s="5">
        <v>525000</v>
      </c>
      <c r="I206" s="11">
        <v>182253.07</v>
      </c>
      <c r="J206" s="12">
        <v>49714.35</v>
      </c>
      <c r="K206" s="5">
        <v>156367.39000000001</v>
      </c>
      <c r="L206" s="9">
        <f t="shared" si="6"/>
        <v>136665.19</v>
      </c>
      <c r="M206" s="10"/>
      <c r="N206" s="10"/>
      <c r="O206" s="10"/>
      <c r="P206" s="61"/>
      <c r="Q206" s="4">
        <f t="shared" si="7"/>
        <v>136665.19</v>
      </c>
      <c r="R206" s="61"/>
      <c r="S206" s="1" t="s">
        <v>838</v>
      </c>
    </row>
    <row r="207" spans="1:19" x14ac:dyDescent="0.35">
      <c r="A207" s="2" t="s">
        <v>19</v>
      </c>
      <c r="B207" s="26">
        <v>8470415</v>
      </c>
      <c r="C207" s="3" t="s">
        <v>274</v>
      </c>
      <c r="D207" s="27">
        <v>435519</v>
      </c>
      <c r="E207" s="3" t="s">
        <v>68</v>
      </c>
      <c r="F207" s="3" t="s">
        <v>286</v>
      </c>
      <c r="G207" s="4">
        <v>20000</v>
      </c>
      <c r="H207" s="5">
        <v>20000</v>
      </c>
      <c r="I207" s="6"/>
      <c r="J207" s="7"/>
      <c r="K207" s="8"/>
      <c r="L207" s="9">
        <f t="shared" si="6"/>
        <v>20000</v>
      </c>
      <c r="M207" s="10"/>
      <c r="N207" s="10"/>
      <c r="O207" s="10"/>
      <c r="P207" s="61"/>
      <c r="Q207" s="4">
        <f t="shared" si="7"/>
        <v>20000</v>
      </c>
      <c r="R207" s="61"/>
      <c r="S207" s="1" t="s">
        <v>838</v>
      </c>
    </row>
    <row r="208" spans="1:19" x14ac:dyDescent="0.35">
      <c r="A208" s="2" t="s">
        <v>19</v>
      </c>
      <c r="B208" s="26">
        <v>8470425</v>
      </c>
      <c r="C208" s="3" t="s">
        <v>287</v>
      </c>
      <c r="D208" s="27">
        <v>425510</v>
      </c>
      <c r="E208" s="3" t="s">
        <v>31</v>
      </c>
      <c r="F208" s="3" t="s">
        <v>288</v>
      </c>
      <c r="G208" s="4">
        <v>45000</v>
      </c>
      <c r="H208" s="5">
        <v>45000</v>
      </c>
      <c r="I208" s="6"/>
      <c r="J208" s="7"/>
      <c r="K208" s="8"/>
      <c r="L208" s="9">
        <f t="shared" si="6"/>
        <v>45000</v>
      </c>
      <c r="M208" s="10"/>
      <c r="N208" s="10"/>
      <c r="O208" s="10"/>
      <c r="P208" s="61"/>
      <c r="Q208" s="4">
        <f t="shared" si="7"/>
        <v>45000</v>
      </c>
      <c r="R208" s="61"/>
      <c r="S208" s="1" t="s">
        <v>838</v>
      </c>
    </row>
    <row r="209" spans="1:19" x14ac:dyDescent="0.35">
      <c r="A209" s="2" t="s">
        <v>19</v>
      </c>
      <c r="B209" s="26">
        <v>8470425</v>
      </c>
      <c r="C209" s="3" t="s">
        <v>287</v>
      </c>
      <c r="D209" s="27">
        <v>425550</v>
      </c>
      <c r="E209" s="3" t="s">
        <v>33</v>
      </c>
      <c r="F209" s="3" t="s">
        <v>289</v>
      </c>
      <c r="G209" s="4">
        <v>225000</v>
      </c>
      <c r="H209" s="5">
        <v>225000</v>
      </c>
      <c r="I209" s="11">
        <v>10515.17</v>
      </c>
      <c r="J209" s="7"/>
      <c r="K209" s="8"/>
      <c r="L209" s="9">
        <f t="shared" si="6"/>
        <v>214484.83</v>
      </c>
      <c r="M209" s="10"/>
      <c r="N209" s="10"/>
      <c r="O209" s="10"/>
      <c r="P209" s="61"/>
      <c r="Q209" s="4">
        <f t="shared" si="7"/>
        <v>214484.83</v>
      </c>
      <c r="R209" s="61"/>
      <c r="S209" s="1" t="s">
        <v>838</v>
      </c>
    </row>
    <row r="210" spans="1:19" x14ac:dyDescent="0.35">
      <c r="A210" s="2" t="s">
        <v>19</v>
      </c>
      <c r="B210" s="26">
        <v>8470425</v>
      </c>
      <c r="C210" s="3" t="s">
        <v>287</v>
      </c>
      <c r="D210" s="27">
        <v>425770</v>
      </c>
      <c r="E210" s="3" t="s">
        <v>74</v>
      </c>
      <c r="F210" s="3" t="s">
        <v>290</v>
      </c>
      <c r="G210" s="4">
        <v>60000</v>
      </c>
      <c r="H210" s="5">
        <v>39943</v>
      </c>
      <c r="I210" s="11">
        <v>39895</v>
      </c>
      <c r="J210" s="7"/>
      <c r="K210" s="8"/>
      <c r="L210" s="9">
        <f t="shared" si="6"/>
        <v>48</v>
      </c>
      <c r="M210" s="10"/>
      <c r="N210" s="10"/>
      <c r="O210" s="10"/>
      <c r="P210" s="61"/>
      <c r="Q210" s="4">
        <f t="shared" si="7"/>
        <v>48</v>
      </c>
      <c r="R210" s="61"/>
      <c r="S210" s="1" t="s">
        <v>838</v>
      </c>
    </row>
    <row r="211" spans="1:19" x14ac:dyDescent="0.35">
      <c r="A211" s="2" t="s">
        <v>19</v>
      </c>
      <c r="B211" s="26">
        <v>8470425</v>
      </c>
      <c r="C211" s="3" t="s">
        <v>287</v>
      </c>
      <c r="D211" s="27">
        <v>425900</v>
      </c>
      <c r="E211" s="3" t="s">
        <v>35</v>
      </c>
      <c r="F211" s="3" t="s">
        <v>291</v>
      </c>
      <c r="G211" s="4">
        <v>10116</v>
      </c>
      <c r="H211" s="5">
        <v>10116</v>
      </c>
      <c r="I211" s="11">
        <v>1823</v>
      </c>
      <c r="J211" s="7"/>
      <c r="K211" s="8"/>
      <c r="L211" s="9">
        <f t="shared" si="6"/>
        <v>8293</v>
      </c>
      <c r="M211" s="10"/>
      <c r="N211" s="10"/>
      <c r="O211" s="10"/>
      <c r="P211" s="61"/>
      <c r="Q211" s="4">
        <f t="shared" si="7"/>
        <v>8293</v>
      </c>
      <c r="R211" s="61"/>
      <c r="S211" s="1" t="s">
        <v>838</v>
      </c>
    </row>
    <row r="212" spans="1:19" x14ac:dyDescent="0.35">
      <c r="A212" s="2" t="s">
        <v>19</v>
      </c>
      <c r="B212" s="26">
        <v>8470425</v>
      </c>
      <c r="C212" s="3" t="s">
        <v>287</v>
      </c>
      <c r="D212" s="27">
        <v>426610</v>
      </c>
      <c r="E212" s="3" t="s">
        <v>37</v>
      </c>
      <c r="F212" s="3" t="s">
        <v>292</v>
      </c>
      <c r="G212" s="4">
        <v>212000</v>
      </c>
      <c r="H212" s="5">
        <v>212000</v>
      </c>
      <c r="I212" s="11">
        <v>22497.13</v>
      </c>
      <c r="J212" s="12">
        <v>0</v>
      </c>
      <c r="K212" s="5">
        <v>0</v>
      </c>
      <c r="L212" s="9">
        <f t="shared" si="6"/>
        <v>189502.87</v>
      </c>
      <c r="M212" s="10"/>
      <c r="N212" s="10"/>
      <c r="O212" s="10"/>
      <c r="P212" s="61"/>
      <c r="Q212" s="4">
        <f t="shared" si="7"/>
        <v>189502.87</v>
      </c>
      <c r="R212" s="61"/>
      <c r="S212" s="1" t="s">
        <v>838</v>
      </c>
    </row>
    <row r="213" spans="1:19" x14ac:dyDescent="0.35">
      <c r="A213" s="2" t="s">
        <v>19</v>
      </c>
      <c r="B213" s="26">
        <v>8470425</v>
      </c>
      <c r="C213" s="3" t="s">
        <v>287</v>
      </c>
      <c r="D213" s="27">
        <v>428090</v>
      </c>
      <c r="E213" s="3" t="s">
        <v>39</v>
      </c>
      <c r="F213" s="3" t="s">
        <v>293</v>
      </c>
      <c r="G213" s="4">
        <v>128000</v>
      </c>
      <c r="H213" s="5">
        <v>34875</v>
      </c>
      <c r="I213" s="11">
        <v>6445</v>
      </c>
      <c r="J213" s="7"/>
      <c r="K213" s="8"/>
      <c r="L213" s="9">
        <f t="shared" si="6"/>
        <v>28430</v>
      </c>
      <c r="M213" s="10"/>
      <c r="N213" s="10"/>
      <c r="O213" s="10"/>
      <c r="P213" s="61"/>
      <c r="Q213" s="4">
        <f t="shared" si="7"/>
        <v>28430</v>
      </c>
      <c r="R213" s="61"/>
      <c r="S213" s="1" t="s">
        <v>838</v>
      </c>
    </row>
    <row r="214" spans="1:19" x14ac:dyDescent="0.35">
      <c r="A214" s="2" t="s">
        <v>19</v>
      </c>
      <c r="B214" s="26">
        <v>8470425</v>
      </c>
      <c r="C214" s="3" t="s">
        <v>287</v>
      </c>
      <c r="D214" s="27">
        <v>435350</v>
      </c>
      <c r="E214" s="3" t="s">
        <v>79</v>
      </c>
      <c r="F214" s="3" t="s">
        <v>294</v>
      </c>
      <c r="G214" s="4">
        <v>120000</v>
      </c>
      <c r="H214" s="5">
        <v>84748</v>
      </c>
      <c r="I214" s="11">
        <v>52961.14</v>
      </c>
      <c r="J214" s="7"/>
      <c r="K214" s="8"/>
      <c r="L214" s="9">
        <f t="shared" si="6"/>
        <v>31786.86</v>
      </c>
      <c r="M214" s="10"/>
      <c r="N214" s="10"/>
      <c r="O214" s="10"/>
      <c r="P214" s="61"/>
      <c r="Q214" s="4">
        <f t="shared" si="7"/>
        <v>31786.86</v>
      </c>
      <c r="R214" s="61"/>
      <c r="S214" s="1" t="s">
        <v>838</v>
      </c>
    </row>
    <row r="215" spans="1:19" x14ac:dyDescent="0.35">
      <c r="A215" s="2" t="s">
        <v>19</v>
      </c>
      <c r="B215" s="26">
        <v>8470425</v>
      </c>
      <c r="C215" s="3" t="s">
        <v>287</v>
      </c>
      <c r="D215" s="27">
        <v>435508</v>
      </c>
      <c r="E215" s="3" t="s">
        <v>135</v>
      </c>
      <c r="F215" s="3" t="s">
        <v>295</v>
      </c>
      <c r="G215" s="4">
        <v>551566</v>
      </c>
      <c r="H215" s="5">
        <v>551566</v>
      </c>
      <c r="I215" s="11">
        <v>122680</v>
      </c>
      <c r="J215" s="12">
        <v>0</v>
      </c>
      <c r="K215" s="5">
        <v>29995</v>
      </c>
      <c r="L215" s="9">
        <f t="shared" si="6"/>
        <v>398891</v>
      </c>
      <c r="M215" s="10"/>
      <c r="N215" s="10"/>
      <c r="O215" s="10"/>
      <c r="P215" s="61"/>
      <c r="Q215" s="4">
        <f t="shared" si="7"/>
        <v>398891</v>
      </c>
      <c r="R215" s="61"/>
      <c r="S215" s="1" t="s">
        <v>838</v>
      </c>
    </row>
    <row r="216" spans="1:19" x14ac:dyDescent="0.35">
      <c r="A216" s="2" t="s">
        <v>19</v>
      </c>
      <c r="B216" s="26">
        <v>8470430</v>
      </c>
      <c r="C216" s="3" t="s">
        <v>296</v>
      </c>
      <c r="D216" s="27">
        <v>425761</v>
      </c>
      <c r="E216" s="3" t="s">
        <v>110</v>
      </c>
      <c r="F216" s="3" t="s">
        <v>297</v>
      </c>
      <c r="G216" s="4">
        <v>8500</v>
      </c>
      <c r="H216" s="5">
        <v>8500</v>
      </c>
      <c r="I216" s="6"/>
      <c r="J216" s="7"/>
      <c r="K216" s="8"/>
      <c r="L216" s="9">
        <f t="shared" si="6"/>
        <v>8500</v>
      </c>
      <c r="M216" s="10"/>
      <c r="N216" s="10"/>
      <c r="O216" s="10"/>
      <c r="P216" s="61"/>
      <c r="Q216" s="4">
        <f t="shared" si="7"/>
        <v>8500</v>
      </c>
      <c r="R216" s="61"/>
      <c r="S216" s="1" t="s">
        <v>838</v>
      </c>
    </row>
    <row r="217" spans="1:19" x14ac:dyDescent="0.35">
      <c r="A217" s="2" t="s">
        <v>19</v>
      </c>
      <c r="B217" s="26">
        <v>8470430</v>
      </c>
      <c r="C217" s="3" t="s">
        <v>296</v>
      </c>
      <c r="D217" s="27">
        <v>425770</v>
      </c>
      <c r="E217" s="3" t="s">
        <v>74</v>
      </c>
      <c r="F217" s="3" t="s">
        <v>298</v>
      </c>
      <c r="G217" s="4">
        <v>375000</v>
      </c>
      <c r="H217" s="5">
        <v>189463</v>
      </c>
      <c r="I217" s="11">
        <v>14690</v>
      </c>
      <c r="J217" s="7"/>
      <c r="K217" s="8"/>
      <c r="L217" s="9">
        <f t="shared" si="6"/>
        <v>174773</v>
      </c>
      <c r="M217" s="10"/>
      <c r="N217" s="10"/>
      <c r="O217" s="10"/>
      <c r="P217" s="61"/>
      <c r="Q217" s="4">
        <f t="shared" si="7"/>
        <v>174773</v>
      </c>
      <c r="R217" s="61"/>
      <c r="S217" s="1" t="s">
        <v>838</v>
      </c>
    </row>
    <row r="218" spans="1:19" x14ac:dyDescent="0.35">
      <c r="A218" s="2" t="s">
        <v>19</v>
      </c>
      <c r="B218" s="26">
        <v>8470430</v>
      </c>
      <c r="C218" s="3" t="s">
        <v>296</v>
      </c>
      <c r="D218" s="27">
        <v>425900</v>
      </c>
      <c r="E218" s="3" t="s">
        <v>35</v>
      </c>
      <c r="F218" s="3" t="s">
        <v>299</v>
      </c>
      <c r="G218" s="4">
        <v>12000</v>
      </c>
      <c r="H218" s="5">
        <v>12000</v>
      </c>
      <c r="I218" s="6"/>
      <c r="J218" s="7"/>
      <c r="K218" s="8"/>
      <c r="L218" s="9">
        <f t="shared" si="6"/>
        <v>12000</v>
      </c>
      <c r="M218" s="10"/>
      <c r="N218" s="10"/>
      <c r="O218" s="10"/>
      <c r="P218" s="61"/>
      <c r="Q218" s="4">
        <f t="shared" si="7"/>
        <v>12000</v>
      </c>
      <c r="R218" s="61"/>
      <c r="S218" s="1" t="s">
        <v>838</v>
      </c>
    </row>
    <row r="219" spans="1:19" x14ac:dyDescent="0.35">
      <c r="A219" s="2" t="s">
        <v>19</v>
      </c>
      <c r="B219" s="26">
        <v>8470430</v>
      </c>
      <c r="C219" s="3" t="s">
        <v>296</v>
      </c>
      <c r="D219" s="27">
        <v>426610</v>
      </c>
      <c r="E219" s="3" t="s">
        <v>37</v>
      </c>
      <c r="F219" s="3" t="s">
        <v>300</v>
      </c>
      <c r="G219" s="4">
        <v>26152</v>
      </c>
      <c r="H219" s="5">
        <v>26152</v>
      </c>
      <c r="I219" s="11">
        <v>7462.28</v>
      </c>
      <c r="J219" s="12">
        <v>0</v>
      </c>
      <c r="K219" s="5">
        <v>15518.43</v>
      </c>
      <c r="L219" s="9">
        <f t="shared" si="6"/>
        <v>3171.2900000000009</v>
      </c>
      <c r="M219" s="10"/>
      <c r="N219" s="10"/>
      <c r="O219" s="10"/>
      <c r="P219" s="61"/>
      <c r="Q219" s="4">
        <f t="shared" si="7"/>
        <v>3171.2900000000009</v>
      </c>
      <c r="R219" s="61"/>
      <c r="S219" s="1" t="s">
        <v>838</v>
      </c>
    </row>
    <row r="220" spans="1:19" x14ac:dyDescent="0.35">
      <c r="A220" s="2" t="s">
        <v>19</v>
      </c>
      <c r="B220" s="26">
        <v>8470430</v>
      </c>
      <c r="C220" s="3" t="s">
        <v>296</v>
      </c>
      <c r="D220" s="27">
        <v>432209</v>
      </c>
      <c r="E220" s="3" t="s">
        <v>132</v>
      </c>
      <c r="F220" s="3" t="s">
        <v>301</v>
      </c>
      <c r="G220" s="4">
        <v>0</v>
      </c>
      <c r="H220" s="5">
        <v>1575</v>
      </c>
      <c r="I220" s="11">
        <v>1500</v>
      </c>
      <c r="J220" s="7"/>
      <c r="K220" s="8"/>
      <c r="L220" s="9">
        <f t="shared" si="6"/>
        <v>75</v>
      </c>
      <c r="M220" s="10"/>
      <c r="N220" s="10"/>
      <c r="O220" s="10"/>
      <c r="P220" s="61"/>
      <c r="Q220" s="4">
        <f t="shared" si="7"/>
        <v>75</v>
      </c>
      <c r="R220" s="61"/>
      <c r="S220" s="1" t="s">
        <v>838</v>
      </c>
    </row>
    <row r="221" spans="1:19" x14ac:dyDescent="0.35">
      <c r="A221" s="2" t="s">
        <v>19</v>
      </c>
      <c r="B221" s="26">
        <v>8470430</v>
      </c>
      <c r="C221" s="3" t="s">
        <v>296</v>
      </c>
      <c r="D221" s="27">
        <v>435508</v>
      </c>
      <c r="E221" s="3" t="s">
        <v>135</v>
      </c>
      <c r="F221" s="3" t="s">
        <v>302</v>
      </c>
      <c r="G221" s="4">
        <v>84600</v>
      </c>
      <c r="H221" s="5">
        <v>84600</v>
      </c>
      <c r="I221" s="6"/>
      <c r="J221" s="12">
        <v>9789.4</v>
      </c>
      <c r="K221" s="8"/>
      <c r="L221" s="9">
        <f t="shared" si="6"/>
        <v>74810.600000000006</v>
      </c>
      <c r="M221" s="10"/>
      <c r="N221" s="10"/>
      <c r="O221" s="10"/>
      <c r="P221" s="61"/>
      <c r="Q221" s="4">
        <f t="shared" si="7"/>
        <v>74810.600000000006</v>
      </c>
      <c r="R221" s="61"/>
      <c r="S221" s="1" t="s">
        <v>838</v>
      </c>
    </row>
    <row r="222" spans="1:19" x14ac:dyDescent="0.35">
      <c r="A222" s="2" t="s">
        <v>19</v>
      </c>
      <c r="B222" s="26">
        <v>8470435</v>
      </c>
      <c r="C222" s="3" t="s">
        <v>303</v>
      </c>
      <c r="D222" s="27">
        <v>425770</v>
      </c>
      <c r="E222" s="3" t="s">
        <v>74</v>
      </c>
      <c r="F222" s="3" t="s">
        <v>304</v>
      </c>
      <c r="G222" s="4">
        <v>100000</v>
      </c>
      <c r="H222" s="5">
        <v>62348</v>
      </c>
      <c r="I222" s="11">
        <v>60121.03</v>
      </c>
      <c r="J222" s="7"/>
      <c r="K222" s="8"/>
      <c r="L222" s="9">
        <f t="shared" si="6"/>
        <v>2226.9700000000012</v>
      </c>
      <c r="M222" s="10"/>
      <c r="N222" s="10"/>
      <c r="O222" s="10"/>
      <c r="P222" s="61"/>
      <c r="Q222" s="4">
        <f t="shared" si="7"/>
        <v>2226.9700000000012</v>
      </c>
      <c r="R222" s="61"/>
      <c r="S222" s="1" t="s">
        <v>838</v>
      </c>
    </row>
    <row r="223" spans="1:19" x14ac:dyDescent="0.35">
      <c r="A223" s="2" t="s">
        <v>19</v>
      </c>
      <c r="B223" s="26">
        <v>8470435</v>
      </c>
      <c r="C223" s="3" t="s">
        <v>303</v>
      </c>
      <c r="D223" s="27">
        <v>426610</v>
      </c>
      <c r="E223" s="3" t="s">
        <v>37</v>
      </c>
      <c r="F223" s="3" t="s">
        <v>305</v>
      </c>
      <c r="G223" s="4">
        <v>30000</v>
      </c>
      <c r="H223" s="5">
        <v>30000</v>
      </c>
      <c r="I223" s="11">
        <v>1156</v>
      </c>
      <c r="J223" s="12">
        <v>27950</v>
      </c>
      <c r="K223" s="8"/>
      <c r="L223" s="9">
        <f t="shared" si="6"/>
        <v>894</v>
      </c>
      <c r="M223" s="10"/>
      <c r="N223" s="10"/>
      <c r="O223" s="10"/>
      <c r="P223" s="61"/>
      <c r="Q223" s="4">
        <f t="shared" si="7"/>
        <v>894</v>
      </c>
      <c r="R223" s="61"/>
      <c r="S223" s="1" t="s">
        <v>838</v>
      </c>
    </row>
    <row r="224" spans="1:19" x14ac:dyDescent="0.35">
      <c r="A224" s="2" t="s">
        <v>19</v>
      </c>
      <c r="B224" s="26">
        <v>8470435</v>
      </c>
      <c r="C224" s="3" t="s">
        <v>303</v>
      </c>
      <c r="D224" s="27">
        <v>435340</v>
      </c>
      <c r="E224" s="3" t="s">
        <v>202</v>
      </c>
      <c r="F224" s="3" t="s">
        <v>306</v>
      </c>
      <c r="G224" s="4">
        <v>35000</v>
      </c>
      <c r="H224" s="5">
        <v>35000</v>
      </c>
      <c r="I224" s="6"/>
      <c r="J224" s="7"/>
      <c r="K224" s="8"/>
      <c r="L224" s="9">
        <f t="shared" si="6"/>
        <v>35000</v>
      </c>
      <c r="M224" s="10"/>
      <c r="N224" s="10"/>
      <c r="O224" s="10"/>
      <c r="P224" s="61"/>
      <c r="Q224" s="4">
        <f t="shared" si="7"/>
        <v>35000</v>
      </c>
      <c r="R224" s="61"/>
      <c r="S224" s="1" t="s">
        <v>838</v>
      </c>
    </row>
    <row r="225" spans="1:19" x14ac:dyDescent="0.35">
      <c r="A225" s="2" t="s">
        <v>19</v>
      </c>
      <c r="B225" s="26">
        <v>8470435</v>
      </c>
      <c r="C225" s="3" t="s">
        <v>303</v>
      </c>
      <c r="D225" s="27">
        <v>436600</v>
      </c>
      <c r="E225" s="3" t="s">
        <v>137</v>
      </c>
      <c r="F225" s="3" t="s">
        <v>307</v>
      </c>
      <c r="G225" s="4">
        <v>30000</v>
      </c>
      <c r="H225" s="5">
        <v>30000</v>
      </c>
      <c r="I225" s="6"/>
      <c r="J225" s="7"/>
      <c r="K225" s="8"/>
      <c r="L225" s="9">
        <f t="shared" si="6"/>
        <v>30000</v>
      </c>
      <c r="M225" s="10"/>
      <c r="N225" s="10"/>
      <c r="O225" s="10"/>
      <c r="P225" s="61"/>
      <c r="Q225" s="4">
        <f t="shared" si="7"/>
        <v>30000</v>
      </c>
      <c r="R225" s="61"/>
      <c r="S225" s="1" t="s">
        <v>838</v>
      </c>
    </row>
    <row r="226" spans="1:19" x14ac:dyDescent="0.35">
      <c r="A226" s="2" t="s">
        <v>19</v>
      </c>
      <c r="B226" s="26">
        <v>8470440</v>
      </c>
      <c r="C226" s="3" t="s">
        <v>308</v>
      </c>
      <c r="D226" s="27">
        <v>420550</v>
      </c>
      <c r="E226" s="3" t="s">
        <v>21</v>
      </c>
      <c r="F226" s="3" t="s">
        <v>309</v>
      </c>
      <c r="G226" s="4">
        <v>560000</v>
      </c>
      <c r="H226" s="5">
        <v>560000</v>
      </c>
      <c r="I226" s="6"/>
      <c r="J226" s="7"/>
      <c r="K226" s="8"/>
      <c r="L226" s="9">
        <f t="shared" si="6"/>
        <v>560000</v>
      </c>
      <c r="M226" s="10"/>
      <c r="N226" s="10"/>
      <c r="O226" s="10"/>
      <c r="P226" s="61"/>
      <c r="Q226" s="4">
        <f t="shared" si="7"/>
        <v>560000</v>
      </c>
      <c r="R226" s="61"/>
      <c r="S226" s="1" t="s">
        <v>838</v>
      </c>
    </row>
    <row r="227" spans="1:19" x14ac:dyDescent="0.35">
      <c r="A227" s="2" t="s">
        <v>19</v>
      </c>
      <c r="B227" s="26">
        <v>8470440</v>
      </c>
      <c r="C227" s="3" t="s">
        <v>308</v>
      </c>
      <c r="D227" s="27">
        <v>420570</v>
      </c>
      <c r="E227" s="3" t="s">
        <v>23</v>
      </c>
      <c r="F227" s="3" t="s">
        <v>310</v>
      </c>
      <c r="G227" s="4">
        <v>150000</v>
      </c>
      <c r="H227" s="5">
        <v>135000</v>
      </c>
      <c r="I227" s="6"/>
      <c r="J227" s="7"/>
      <c r="K227" s="8"/>
      <c r="L227" s="9">
        <f t="shared" si="6"/>
        <v>135000</v>
      </c>
      <c r="M227" s="10"/>
      <c r="N227" s="10"/>
      <c r="O227" s="10"/>
      <c r="P227" s="61"/>
      <c r="Q227" s="4">
        <f t="shared" si="7"/>
        <v>135000</v>
      </c>
      <c r="R227" s="61"/>
      <c r="S227" s="1" t="s">
        <v>838</v>
      </c>
    </row>
    <row r="228" spans="1:19" x14ac:dyDescent="0.35">
      <c r="A228" s="2" t="s">
        <v>19</v>
      </c>
      <c r="B228" s="26">
        <v>8470440</v>
      </c>
      <c r="C228" s="3" t="s">
        <v>308</v>
      </c>
      <c r="D228" s="27">
        <v>421700</v>
      </c>
      <c r="E228" s="3" t="s">
        <v>29</v>
      </c>
      <c r="F228" s="3" t="s">
        <v>311</v>
      </c>
      <c r="G228" s="4">
        <v>280000</v>
      </c>
      <c r="H228" s="5">
        <v>280000</v>
      </c>
      <c r="I228" s="6"/>
      <c r="J228" s="7"/>
      <c r="K228" s="8"/>
      <c r="L228" s="9">
        <f t="shared" si="6"/>
        <v>280000</v>
      </c>
      <c r="M228" s="10"/>
      <c r="N228" s="10"/>
      <c r="O228" s="10"/>
      <c r="P228" s="61"/>
      <c r="Q228" s="4">
        <f t="shared" si="7"/>
        <v>280000</v>
      </c>
      <c r="R228" s="61"/>
      <c r="S228" s="1" t="s">
        <v>838</v>
      </c>
    </row>
    <row r="229" spans="1:19" x14ac:dyDescent="0.35">
      <c r="A229" s="2" t="s">
        <v>19</v>
      </c>
      <c r="B229" s="26">
        <v>8470440</v>
      </c>
      <c r="C229" s="3" t="s">
        <v>308</v>
      </c>
      <c r="D229" s="27">
        <v>425100</v>
      </c>
      <c r="E229" s="3" t="s">
        <v>55</v>
      </c>
      <c r="F229" s="3" t="s">
        <v>312</v>
      </c>
      <c r="G229" s="4">
        <v>10000</v>
      </c>
      <c r="H229" s="5">
        <v>10000</v>
      </c>
      <c r="I229" s="6"/>
      <c r="J229" s="7"/>
      <c r="K229" s="8"/>
      <c r="L229" s="9">
        <f t="shared" si="6"/>
        <v>10000</v>
      </c>
      <c r="M229" s="10"/>
      <c r="N229" s="10"/>
      <c r="O229" s="10"/>
      <c r="P229" s="61"/>
      <c r="Q229" s="4">
        <f t="shared" si="7"/>
        <v>10000</v>
      </c>
      <c r="R229" s="61"/>
      <c r="S229" s="1" t="s">
        <v>838</v>
      </c>
    </row>
    <row r="230" spans="1:19" x14ac:dyDescent="0.35">
      <c r="A230" s="2" t="s">
        <v>19</v>
      </c>
      <c r="B230" s="26">
        <v>8470440</v>
      </c>
      <c r="C230" s="3" t="s">
        <v>308</v>
      </c>
      <c r="D230" s="27">
        <v>425510</v>
      </c>
      <c r="E230" s="3" t="s">
        <v>31</v>
      </c>
      <c r="F230" s="3" t="s">
        <v>313</v>
      </c>
      <c r="G230" s="4">
        <v>225000</v>
      </c>
      <c r="H230" s="5">
        <v>225000</v>
      </c>
      <c r="I230" s="6"/>
      <c r="J230" s="7"/>
      <c r="K230" s="8"/>
      <c r="L230" s="9">
        <f t="shared" si="6"/>
        <v>225000</v>
      </c>
      <c r="M230" s="10"/>
      <c r="N230" s="10"/>
      <c r="O230" s="10"/>
      <c r="P230" s="61"/>
      <c r="Q230" s="4">
        <f t="shared" si="7"/>
        <v>225000</v>
      </c>
      <c r="R230" s="61"/>
      <c r="S230" s="1" t="s">
        <v>838</v>
      </c>
    </row>
    <row r="231" spans="1:19" x14ac:dyDescent="0.35">
      <c r="A231" s="2" t="s">
        <v>19</v>
      </c>
      <c r="B231" s="26">
        <v>8470440</v>
      </c>
      <c r="C231" s="3" t="s">
        <v>308</v>
      </c>
      <c r="D231" s="27">
        <v>425550</v>
      </c>
      <c r="E231" s="3" t="s">
        <v>33</v>
      </c>
      <c r="F231" s="3" t="s">
        <v>314</v>
      </c>
      <c r="G231" s="4">
        <v>225000</v>
      </c>
      <c r="H231" s="5">
        <v>225000</v>
      </c>
      <c r="I231" s="6"/>
      <c r="J231" s="7"/>
      <c r="K231" s="8"/>
      <c r="L231" s="9">
        <f t="shared" si="6"/>
        <v>225000</v>
      </c>
      <c r="M231" s="10"/>
      <c r="N231" s="10"/>
      <c r="O231" s="10"/>
      <c r="P231" s="61"/>
      <c r="Q231" s="4">
        <f t="shared" si="7"/>
        <v>225000</v>
      </c>
      <c r="R231" s="61"/>
      <c r="S231" s="1" t="s">
        <v>838</v>
      </c>
    </row>
    <row r="232" spans="1:19" x14ac:dyDescent="0.35">
      <c r="A232" s="2" t="s">
        <v>19</v>
      </c>
      <c r="B232" s="26">
        <v>8470440</v>
      </c>
      <c r="C232" s="3" t="s">
        <v>308</v>
      </c>
      <c r="D232" s="27">
        <v>425761</v>
      </c>
      <c r="E232" s="3" t="s">
        <v>110</v>
      </c>
      <c r="F232" s="3" t="s">
        <v>315</v>
      </c>
      <c r="G232" s="4">
        <v>750000</v>
      </c>
      <c r="H232" s="5">
        <v>750000</v>
      </c>
      <c r="I232" s="6"/>
      <c r="J232" s="7"/>
      <c r="K232" s="8"/>
      <c r="L232" s="9">
        <f t="shared" si="6"/>
        <v>750000</v>
      </c>
      <c r="M232" s="10"/>
      <c r="N232" s="10"/>
      <c r="O232" s="10"/>
      <c r="P232" s="61"/>
      <c r="Q232" s="4">
        <f t="shared" si="7"/>
        <v>750000</v>
      </c>
      <c r="R232" s="61"/>
      <c r="S232" s="1" t="s">
        <v>838</v>
      </c>
    </row>
    <row r="233" spans="1:19" x14ac:dyDescent="0.35">
      <c r="A233" s="2" t="s">
        <v>19</v>
      </c>
      <c r="B233" s="26">
        <v>8470440</v>
      </c>
      <c r="C233" s="3" t="s">
        <v>308</v>
      </c>
      <c r="D233" s="27">
        <v>425770</v>
      </c>
      <c r="E233" s="3" t="s">
        <v>74</v>
      </c>
      <c r="F233" s="3" t="s">
        <v>316</v>
      </c>
      <c r="G233" s="4">
        <v>300000</v>
      </c>
      <c r="H233" s="5">
        <v>170408</v>
      </c>
      <c r="I233" s="11">
        <v>104827.92</v>
      </c>
      <c r="J233" s="7"/>
      <c r="K233" s="8"/>
      <c r="L233" s="9">
        <f t="shared" si="6"/>
        <v>65580.08</v>
      </c>
      <c r="M233" s="10"/>
      <c r="N233" s="10"/>
      <c r="O233" s="10"/>
      <c r="P233" s="61"/>
      <c r="Q233" s="4">
        <f t="shared" si="7"/>
        <v>65580.08</v>
      </c>
      <c r="R233" s="61"/>
      <c r="S233" s="1" t="s">
        <v>838</v>
      </c>
    </row>
    <row r="234" spans="1:19" x14ac:dyDescent="0.35">
      <c r="A234" s="2" t="s">
        <v>19</v>
      </c>
      <c r="B234" s="26">
        <v>8470440</v>
      </c>
      <c r="C234" s="3" t="s">
        <v>308</v>
      </c>
      <c r="D234" s="27">
        <v>425900</v>
      </c>
      <c r="E234" s="3" t="s">
        <v>35</v>
      </c>
      <c r="F234" s="3" t="s">
        <v>317</v>
      </c>
      <c r="G234" s="4">
        <v>24000</v>
      </c>
      <c r="H234" s="5">
        <v>24000</v>
      </c>
      <c r="I234" s="6"/>
      <c r="J234" s="7"/>
      <c r="K234" s="8"/>
      <c r="L234" s="9">
        <f t="shared" si="6"/>
        <v>24000</v>
      </c>
      <c r="M234" s="10"/>
      <c r="N234" s="10"/>
      <c r="O234" s="10"/>
      <c r="P234" s="61"/>
      <c r="Q234" s="4">
        <f t="shared" si="7"/>
        <v>24000</v>
      </c>
      <c r="R234" s="61"/>
      <c r="S234" s="1" t="s">
        <v>838</v>
      </c>
    </row>
    <row r="235" spans="1:19" x14ac:dyDescent="0.35">
      <c r="A235" s="2" t="s">
        <v>19</v>
      </c>
      <c r="B235" s="26">
        <v>8470440</v>
      </c>
      <c r="C235" s="3" t="s">
        <v>308</v>
      </c>
      <c r="D235" s="27">
        <v>426610</v>
      </c>
      <c r="E235" s="3" t="s">
        <v>37</v>
      </c>
      <c r="F235" s="3" t="s">
        <v>318</v>
      </c>
      <c r="G235" s="4">
        <v>120000</v>
      </c>
      <c r="H235" s="5">
        <v>120000</v>
      </c>
      <c r="I235" s="11">
        <v>8988.7800000000007</v>
      </c>
      <c r="J235" s="12">
        <v>0</v>
      </c>
      <c r="K235" s="5">
        <v>0</v>
      </c>
      <c r="L235" s="9">
        <f t="shared" si="6"/>
        <v>111011.22</v>
      </c>
      <c r="M235" s="10"/>
      <c r="N235" s="10"/>
      <c r="O235" s="10"/>
      <c r="P235" s="61"/>
      <c r="Q235" s="4">
        <f t="shared" si="7"/>
        <v>111011.22</v>
      </c>
      <c r="R235" s="61"/>
      <c r="S235" s="1" t="s">
        <v>838</v>
      </c>
    </row>
    <row r="236" spans="1:19" x14ac:dyDescent="0.35">
      <c r="A236" s="2" t="s">
        <v>19</v>
      </c>
      <c r="B236" s="26">
        <v>8470440</v>
      </c>
      <c r="C236" s="3" t="s">
        <v>308</v>
      </c>
      <c r="D236" s="27">
        <v>427710</v>
      </c>
      <c r="E236" s="3" t="s">
        <v>51</v>
      </c>
      <c r="F236" s="3" t="s">
        <v>319</v>
      </c>
      <c r="G236" s="4">
        <v>15000</v>
      </c>
      <c r="H236" s="5">
        <v>15000</v>
      </c>
      <c r="I236" s="6"/>
      <c r="J236" s="7"/>
      <c r="K236" s="8"/>
      <c r="L236" s="9">
        <f t="shared" si="6"/>
        <v>15000</v>
      </c>
      <c r="M236" s="10"/>
      <c r="N236" s="10"/>
      <c r="O236" s="10"/>
      <c r="P236" s="61"/>
      <c r="Q236" s="4">
        <f t="shared" si="7"/>
        <v>15000</v>
      </c>
      <c r="R236" s="61"/>
      <c r="S236" s="1" t="s">
        <v>838</v>
      </c>
    </row>
    <row r="237" spans="1:19" x14ac:dyDescent="0.35">
      <c r="A237" s="2" t="s">
        <v>19</v>
      </c>
      <c r="B237" s="26">
        <v>8470440</v>
      </c>
      <c r="C237" s="3" t="s">
        <v>308</v>
      </c>
      <c r="D237" s="27">
        <v>428090</v>
      </c>
      <c r="E237" s="3" t="s">
        <v>39</v>
      </c>
      <c r="F237" s="3" t="s">
        <v>320</v>
      </c>
      <c r="G237" s="4">
        <v>225000</v>
      </c>
      <c r="H237" s="5">
        <v>61304</v>
      </c>
      <c r="I237" s="6"/>
      <c r="J237" s="7"/>
      <c r="K237" s="8"/>
      <c r="L237" s="9">
        <f t="shared" si="6"/>
        <v>61304</v>
      </c>
      <c r="M237" s="10"/>
      <c r="N237" s="10"/>
      <c r="O237" s="10"/>
      <c r="P237" s="61"/>
      <c r="Q237" s="4">
        <f t="shared" si="7"/>
        <v>61304</v>
      </c>
      <c r="R237" s="61"/>
      <c r="S237" s="1" t="s">
        <v>838</v>
      </c>
    </row>
    <row r="238" spans="1:19" x14ac:dyDescent="0.35">
      <c r="A238" s="2" t="s">
        <v>19</v>
      </c>
      <c r="B238" s="26">
        <v>8470440</v>
      </c>
      <c r="C238" s="3" t="s">
        <v>308</v>
      </c>
      <c r="D238" s="27">
        <v>428640</v>
      </c>
      <c r="E238" s="3" t="s">
        <v>43</v>
      </c>
      <c r="F238" s="3" t="s">
        <v>321</v>
      </c>
      <c r="G238" s="4">
        <v>100000</v>
      </c>
      <c r="H238" s="5">
        <v>50745</v>
      </c>
      <c r="I238" s="6"/>
      <c r="J238" s="7"/>
      <c r="K238" s="8"/>
      <c r="L238" s="9">
        <f t="shared" si="6"/>
        <v>50745</v>
      </c>
      <c r="M238" s="10"/>
      <c r="N238" s="10"/>
      <c r="O238" s="10"/>
      <c r="P238" s="61"/>
      <c r="Q238" s="4">
        <f t="shared" si="7"/>
        <v>50745</v>
      </c>
      <c r="R238" s="61"/>
      <c r="S238" s="1" t="s">
        <v>838</v>
      </c>
    </row>
    <row r="239" spans="1:19" x14ac:dyDescent="0.35">
      <c r="A239" s="2" t="s">
        <v>19</v>
      </c>
      <c r="B239" s="26">
        <v>8470440</v>
      </c>
      <c r="C239" s="3" t="s">
        <v>308</v>
      </c>
      <c r="D239" s="27">
        <v>435340</v>
      </c>
      <c r="E239" s="3" t="s">
        <v>202</v>
      </c>
      <c r="F239" s="3" t="s">
        <v>322</v>
      </c>
      <c r="G239" s="4">
        <v>120000</v>
      </c>
      <c r="H239" s="5">
        <v>120000</v>
      </c>
      <c r="I239" s="6"/>
      <c r="J239" s="7"/>
      <c r="K239" s="8"/>
      <c r="L239" s="9">
        <f t="shared" si="6"/>
        <v>120000</v>
      </c>
      <c r="M239" s="10"/>
      <c r="N239" s="10"/>
      <c r="O239" s="10"/>
      <c r="P239" s="61"/>
      <c r="Q239" s="4">
        <f t="shared" si="7"/>
        <v>120000</v>
      </c>
      <c r="R239" s="61"/>
      <c r="S239" s="1" t="s">
        <v>838</v>
      </c>
    </row>
    <row r="240" spans="1:19" x14ac:dyDescent="0.35">
      <c r="A240" s="2" t="s">
        <v>19</v>
      </c>
      <c r="B240" s="26">
        <v>8470440</v>
      </c>
      <c r="C240" s="3" t="s">
        <v>308</v>
      </c>
      <c r="D240" s="27">
        <v>435350</v>
      </c>
      <c r="E240" s="3" t="s">
        <v>79</v>
      </c>
      <c r="F240" s="3" t="s">
        <v>323</v>
      </c>
      <c r="G240" s="4">
        <v>40000</v>
      </c>
      <c r="H240" s="5">
        <v>45000</v>
      </c>
      <c r="I240" s="11">
        <v>42010</v>
      </c>
      <c r="J240" s="7"/>
      <c r="K240" s="8"/>
      <c r="L240" s="9">
        <f t="shared" si="6"/>
        <v>2990</v>
      </c>
      <c r="M240" s="10"/>
      <c r="N240" s="10"/>
      <c r="O240" s="10"/>
      <c r="P240" s="61"/>
      <c r="Q240" s="4">
        <f t="shared" si="7"/>
        <v>2990</v>
      </c>
      <c r="R240" s="61"/>
      <c r="S240" s="1" t="s">
        <v>838</v>
      </c>
    </row>
    <row r="241" spans="1:19" x14ac:dyDescent="0.35">
      <c r="A241" s="2" t="s">
        <v>19</v>
      </c>
      <c r="B241" s="26">
        <v>8470440</v>
      </c>
      <c r="C241" s="3" t="s">
        <v>308</v>
      </c>
      <c r="D241" s="27">
        <v>436600</v>
      </c>
      <c r="E241" s="3" t="s">
        <v>137</v>
      </c>
      <c r="F241" s="3" t="s">
        <v>324</v>
      </c>
      <c r="G241" s="4">
        <v>22500</v>
      </c>
      <c r="H241" s="5">
        <v>22500</v>
      </c>
      <c r="I241" s="11">
        <v>4195</v>
      </c>
      <c r="J241" s="12">
        <v>0</v>
      </c>
      <c r="K241" s="5">
        <v>0</v>
      </c>
      <c r="L241" s="9">
        <f t="shared" si="6"/>
        <v>18305</v>
      </c>
      <c r="M241" s="10"/>
      <c r="N241" s="10"/>
      <c r="O241" s="10"/>
      <c r="P241" s="61"/>
      <c r="Q241" s="4">
        <f t="shared" si="7"/>
        <v>18305</v>
      </c>
      <c r="R241" s="61"/>
      <c r="S241" s="1" t="s">
        <v>838</v>
      </c>
    </row>
    <row r="242" spans="1:19" x14ac:dyDescent="0.35">
      <c r="A242" s="2" t="s">
        <v>19</v>
      </c>
      <c r="B242" s="26">
        <v>8470445</v>
      </c>
      <c r="C242" s="3" t="s">
        <v>325</v>
      </c>
      <c r="D242" s="27">
        <v>425100</v>
      </c>
      <c r="E242" s="3" t="s">
        <v>55</v>
      </c>
      <c r="F242" s="3" t="s">
        <v>326</v>
      </c>
      <c r="G242" s="4">
        <v>150000</v>
      </c>
      <c r="H242" s="5">
        <v>150000</v>
      </c>
      <c r="I242" s="6"/>
      <c r="J242" s="7"/>
      <c r="K242" s="8"/>
      <c r="L242" s="9">
        <f t="shared" si="6"/>
        <v>150000</v>
      </c>
      <c r="M242" s="10"/>
      <c r="N242" s="10"/>
      <c r="O242" s="10"/>
      <c r="P242" s="61"/>
      <c r="Q242" s="4">
        <f t="shared" si="7"/>
        <v>150000</v>
      </c>
      <c r="R242" s="61"/>
      <c r="S242" s="1" t="s">
        <v>838</v>
      </c>
    </row>
    <row r="243" spans="1:19" x14ac:dyDescent="0.35">
      <c r="A243" s="2" t="s">
        <v>19</v>
      </c>
      <c r="B243" s="26">
        <v>8470445</v>
      </c>
      <c r="C243" s="3" t="s">
        <v>325</v>
      </c>
      <c r="D243" s="27">
        <v>425720</v>
      </c>
      <c r="E243" s="3" t="s">
        <v>224</v>
      </c>
      <c r="F243" s="3" t="s">
        <v>327</v>
      </c>
      <c r="G243" s="4">
        <v>18350</v>
      </c>
      <c r="H243" s="5">
        <v>19350</v>
      </c>
      <c r="I243" s="11">
        <v>825</v>
      </c>
      <c r="J243" s="7"/>
      <c r="K243" s="8"/>
      <c r="L243" s="9">
        <f t="shared" si="6"/>
        <v>18525</v>
      </c>
      <c r="M243" s="10"/>
      <c r="N243" s="10"/>
      <c r="O243" s="10"/>
      <c r="P243" s="61"/>
      <c r="Q243" s="4">
        <f t="shared" si="7"/>
        <v>18525</v>
      </c>
      <c r="R243" s="61"/>
      <c r="S243" s="1" t="s">
        <v>838</v>
      </c>
    </row>
    <row r="244" spans="1:19" x14ac:dyDescent="0.35">
      <c r="A244" s="2" t="s">
        <v>19</v>
      </c>
      <c r="B244" s="26">
        <v>8470445</v>
      </c>
      <c r="C244" s="3" t="s">
        <v>325</v>
      </c>
      <c r="D244" s="27">
        <v>425760</v>
      </c>
      <c r="E244" s="3" t="s">
        <v>142</v>
      </c>
      <c r="F244" s="3" t="s">
        <v>328</v>
      </c>
      <c r="G244" s="4">
        <v>36630</v>
      </c>
      <c r="H244" s="5">
        <v>35630</v>
      </c>
      <c r="I244" s="6"/>
      <c r="J244" s="7"/>
      <c r="K244" s="8"/>
      <c r="L244" s="9">
        <f t="shared" si="6"/>
        <v>35630</v>
      </c>
      <c r="M244" s="10"/>
      <c r="N244" s="10"/>
      <c r="O244" s="10"/>
      <c r="P244" s="61"/>
      <c r="Q244" s="4">
        <f t="shared" si="7"/>
        <v>35630</v>
      </c>
      <c r="R244" s="61"/>
      <c r="S244" s="1" t="s">
        <v>838</v>
      </c>
    </row>
    <row r="245" spans="1:19" x14ac:dyDescent="0.35">
      <c r="A245" s="2" t="s">
        <v>19</v>
      </c>
      <c r="B245" s="26">
        <v>8470445</v>
      </c>
      <c r="C245" s="3" t="s">
        <v>325</v>
      </c>
      <c r="D245" s="27">
        <v>425763</v>
      </c>
      <c r="E245" s="3" t="s">
        <v>59</v>
      </c>
      <c r="F245" s="3" t="s">
        <v>329</v>
      </c>
      <c r="G245" s="4">
        <v>7590</v>
      </c>
      <c r="H245" s="5">
        <v>7590</v>
      </c>
      <c r="I245" s="6"/>
      <c r="J245" s="7"/>
      <c r="K245" s="8"/>
      <c r="L245" s="9">
        <f t="shared" si="6"/>
        <v>7590</v>
      </c>
      <c r="M245" s="10"/>
      <c r="N245" s="10"/>
      <c r="O245" s="10"/>
      <c r="P245" s="61"/>
      <c r="Q245" s="4">
        <f t="shared" si="7"/>
        <v>7590</v>
      </c>
      <c r="R245" s="61"/>
      <c r="S245" s="1" t="s">
        <v>838</v>
      </c>
    </row>
    <row r="246" spans="1:19" x14ac:dyDescent="0.35">
      <c r="A246" s="2" t="s">
        <v>19</v>
      </c>
      <c r="B246" s="26">
        <v>8470445</v>
      </c>
      <c r="C246" s="3" t="s">
        <v>325</v>
      </c>
      <c r="D246" s="27">
        <v>425770</v>
      </c>
      <c r="E246" s="3" t="s">
        <v>74</v>
      </c>
      <c r="F246" s="3" t="s">
        <v>330</v>
      </c>
      <c r="G246" s="4">
        <v>570000</v>
      </c>
      <c r="H246" s="5">
        <v>299950</v>
      </c>
      <c r="I246" s="11">
        <v>141798.62</v>
      </c>
      <c r="J246" s="7"/>
      <c r="K246" s="8"/>
      <c r="L246" s="9">
        <f t="shared" si="6"/>
        <v>158151.38</v>
      </c>
      <c r="M246" s="10"/>
      <c r="N246" s="10"/>
      <c r="O246" s="10"/>
      <c r="P246" s="61"/>
      <c r="Q246" s="4">
        <f t="shared" si="7"/>
        <v>158151.38</v>
      </c>
      <c r="R246" s="61"/>
      <c r="S246" s="1" t="s">
        <v>838</v>
      </c>
    </row>
    <row r="247" spans="1:19" x14ac:dyDescent="0.35">
      <c r="A247" s="2" t="s">
        <v>19</v>
      </c>
      <c r="B247" s="26">
        <v>8470445</v>
      </c>
      <c r="C247" s="3" t="s">
        <v>325</v>
      </c>
      <c r="D247" s="27">
        <v>426610</v>
      </c>
      <c r="E247" s="3" t="s">
        <v>37</v>
      </c>
      <c r="F247" s="3" t="s">
        <v>331</v>
      </c>
      <c r="G247" s="4">
        <v>37650</v>
      </c>
      <c r="H247" s="5">
        <v>37650</v>
      </c>
      <c r="I247" s="11">
        <v>13814.8</v>
      </c>
      <c r="J247" s="12">
        <v>0</v>
      </c>
      <c r="K247" s="5">
        <v>8951.9699999999993</v>
      </c>
      <c r="L247" s="9">
        <f t="shared" si="6"/>
        <v>14883.230000000001</v>
      </c>
      <c r="M247" s="10"/>
      <c r="N247" s="10"/>
      <c r="O247" s="10"/>
      <c r="P247" s="61"/>
      <c r="Q247" s="4">
        <f t="shared" si="7"/>
        <v>14883.230000000001</v>
      </c>
      <c r="R247" s="61"/>
      <c r="S247" s="1" t="s">
        <v>838</v>
      </c>
    </row>
    <row r="248" spans="1:19" x14ac:dyDescent="0.35">
      <c r="A248" s="2" t="s">
        <v>19</v>
      </c>
      <c r="B248" s="26">
        <v>8470445</v>
      </c>
      <c r="C248" s="3" t="s">
        <v>325</v>
      </c>
      <c r="D248" s="27">
        <v>435350</v>
      </c>
      <c r="E248" s="3" t="s">
        <v>79</v>
      </c>
      <c r="F248" s="3" t="s">
        <v>332</v>
      </c>
      <c r="G248" s="4">
        <v>600000</v>
      </c>
      <c r="H248" s="5">
        <v>325029</v>
      </c>
      <c r="I248" s="11">
        <v>101616.56</v>
      </c>
      <c r="J248" s="7"/>
      <c r="K248" s="8"/>
      <c r="L248" s="9">
        <f t="shared" si="6"/>
        <v>223412.44</v>
      </c>
      <c r="M248" s="10"/>
      <c r="N248" s="10"/>
      <c r="O248" s="10"/>
      <c r="P248" s="61"/>
      <c r="Q248" s="4">
        <f t="shared" si="7"/>
        <v>223412.44</v>
      </c>
      <c r="R248" s="61"/>
      <c r="S248" s="1" t="s">
        <v>838</v>
      </c>
    </row>
    <row r="249" spans="1:19" x14ac:dyDescent="0.35">
      <c r="A249" s="2" t="s">
        <v>19</v>
      </c>
      <c r="B249" s="26">
        <v>8470450</v>
      </c>
      <c r="C249" s="3" t="s">
        <v>333</v>
      </c>
      <c r="D249" s="27">
        <v>425761</v>
      </c>
      <c r="E249" s="3" t="s">
        <v>110</v>
      </c>
      <c r="F249" s="3" t="s">
        <v>334</v>
      </c>
      <c r="G249" s="4">
        <v>500000</v>
      </c>
      <c r="H249" s="5">
        <v>500000</v>
      </c>
      <c r="I249" s="11">
        <v>218851.74</v>
      </c>
      <c r="J249" s="7"/>
      <c r="K249" s="8"/>
      <c r="L249" s="9">
        <f t="shared" si="6"/>
        <v>281148.26</v>
      </c>
      <c r="M249" s="10"/>
      <c r="N249" s="10"/>
      <c r="O249" s="10"/>
      <c r="P249" s="61"/>
      <c r="Q249" s="4">
        <f t="shared" si="7"/>
        <v>281148.26</v>
      </c>
      <c r="R249" s="61"/>
      <c r="S249" s="1" t="s">
        <v>838</v>
      </c>
    </row>
    <row r="250" spans="1:19" x14ac:dyDescent="0.35">
      <c r="A250" s="2" t="s">
        <v>19</v>
      </c>
      <c r="B250" s="26">
        <v>8470450</v>
      </c>
      <c r="C250" s="3" t="s">
        <v>333</v>
      </c>
      <c r="D250" s="27">
        <v>425770</v>
      </c>
      <c r="E250" s="3" t="s">
        <v>74</v>
      </c>
      <c r="F250" s="3" t="s">
        <v>335</v>
      </c>
      <c r="G250" s="4">
        <v>180000</v>
      </c>
      <c r="H250" s="5">
        <v>108155</v>
      </c>
      <c r="I250" s="11">
        <v>49460</v>
      </c>
      <c r="J250" s="7"/>
      <c r="K250" s="8"/>
      <c r="L250" s="9">
        <f t="shared" si="6"/>
        <v>58695</v>
      </c>
      <c r="M250" s="10"/>
      <c r="N250" s="10"/>
      <c r="O250" s="10"/>
      <c r="P250" s="61"/>
      <c r="Q250" s="4">
        <f t="shared" si="7"/>
        <v>58695</v>
      </c>
      <c r="R250" s="61"/>
      <c r="S250" s="1" t="s">
        <v>838</v>
      </c>
    </row>
    <row r="251" spans="1:19" x14ac:dyDescent="0.35">
      <c r="A251" s="2" t="s">
        <v>19</v>
      </c>
      <c r="B251" s="26">
        <v>8470450</v>
      </c>
      <c r="C251" s="3" t="s">
        <v>333</v>
      </c>
      <c r="D251" s="27">
        <v>426610</v>
      </c>
      <c r="E251" s="3" t="s">
        <v>37</v>
      </c>
      <c r="F251" s="3" t="s">
        <v>336</v>
      </c>
      <c r="G251" s="4">
        <v>313605</v>
      </c>
      <c r="H251" s="5">
        <v>313605</v>
      </c>
      <c r="I251" s="6"/>
      <c r="J251" s="12">
        <v>0</v>
      </c>
      <c r="K251" s="5">
        <v>35628.1</v>
      </c>
      <c r="L251" s="9">
        <f t="shared" si="6"/>
        <v>277976.90000000002</v>
      </c>
      <c r="M251" s="10"/>
      <c r="N251" s="10"/>
      <c r="O251" s="10"/>
      <c r="P251" s="61"/>
      <c r="Q251" s="4">
        <f t="shared" si="7"/>
        <v>277976.90000000002</v>
      </c>
      <c r="R251" s="61"/>
      <c r="S251" s="1" t="s">
        <v>838</v>
      </c>
    </row>
    <row r="252" spans="1:19" x14ac:dyDescent="0.35">
      <c r="A252" s="2" t="s">
        <v>19</v>
      </c>
      <c r="B252" s="26">
        <v>8470450</v>
      </c>
      <c r="C252" s="3" t="s">
        <v>333</v>
      </c>
      <c r="D252" s="27">
        <v>428090</v>
      </c>
      <c r="E252" s="3" t="s">
        <v>39</v>
      </c>
      <c r="F252" s="3" t="s">
        <v>337</v>
      </c>
      <c r="G252" s="4">
        <v>30000</v>
      </c>
      <c r="H252" s="5">
        <v>2201</v>
      </c>
      <c r="I252" s="11">
        <v>2200</v>
      </c>
      <c r="J252" s="7"/>
      <c r="K252" s="8"/>
      <c r="L252" s="9">
        <f t="shared" si="6"/>
        <v>1</v>
      </c>
      <c r="M252" s="10"/>
      <c r="N252" s="10"/>
      <c r="O252" s="10"/>
      <c r="P252" s="61"/>
      <c r="Q252" s="4">
        <f t="shared" si="7"/>
        <v>1</v>
      </c>
      <c r="R252" s="61"/>
      <c r="S252" s="1" t="s">
        <v>838</v>
      </c>
    </row>
    <row r="253" spans="1:19" x14ac:dyDescent="0.35">
      <c r="A253" s="2" t="s">
        <v>19</v>
      </c>
      <c r="B253" s="26">
        <v>8470450</v>
      </c>
      <c r="C253" s="3" t="s">
        <v>333</v>
      </c>
      <c r="D253" s="27">
        <v>432209</v>
      </c>
      <c r="E253" s="3" t="s">
        <v>132</v>
      </c>
      <c r="F253" s="3" t="s">
        <v>338</v>
      </c>
      <c r="G253" s="4">
        <v>118157</v>
      </c>
      <c r="H253" s="5">
        <v>118157</v>
      </c>
      <c r="I253" s="11">
        <v>5022.49</v>
      </c>
      <c r="J253" s="12">
        <v>39200</v>
      </c>
      <c r="K253" s="5">
        <v>29025.69</v>
      </c>
      <c r="L253" s="9">
        <f t="shared" si="6"/>
        <v>44908.819999999992</v>
      </c>
      <c r="M253" s="10"/>
      <c r="N253" s="10"/>
      <c r="O253" s="10"/>
      <c r="P253" s="61"/>
      <c r="Q253" s="4">
        <f t="shared" si="7"/>
        <v>44908.819999999992</v>
      </c>
      <c r="R253" s="61"/>
      <c r="S253" s="1" t="s">
        <v>838</v>
      </c>
    </row>
    <row r="254" spans="1:19" x14ac:dyDescent="0.35">
      <c r="A254" s="2" t="s">
        <v>19</v>
      </c>
      <c r="B254" s="26">
        <v>8470450</v>
      </c>
      <c r="C254" s="3" t="s">
        <v>333</v>
      </c>
      <c r="D254" s="27">
        <v>435350</v>
      </c>
      <c r="E254" s="3" t="s">
        <v>79</v>
      </c>
      <c r="F254" s="3" t="s">
        <v>339</v>
      </c>
      <c r="G254" s="4">
        <v>40000</v>
      </c>
      <c r="H254" s="5">
        <v>21669</v>
      </c>
      <c r="I254" s="6"/>
      <c r="J254" s="7"/>
      <c r="K254" s="8"/>
      <c r="L254" s="9">
        <f t="shared" si="6"/>
        <v>21669</v>
      </c>
      <c r="M254" s="10"/>
      <c r="N254" s="10"/>
      <c r="O254" s="10"/>
      <c r="P254" s="61"/>
      <c r="Q254" s="4">
        <f t="shared" si="7"/>
        <v>21669</v>
      </c>
      <c r="R254" s="61"/>
      <c r="S254" s="1" t="s">
        <v>838</v>
      </c>
    </row>
    <row r="255" spans="1:19" x14ac:dyDescent="0.35">
      <c r="A255" s="2" t="s">
        <v>19</v>
      </c>
      <c r="B255" s="26">
        <v>8470450</v>
      </c>
      <c r="C255" s="3" t="s">
        <v>333</v>
      </c>
      <c r="D255" s="27">
        <v>435508</v>
      </c>
      <c r="E255" s="3" t="s">
        <v>135</v>
      </c>
      <c r="F255" s="3" t="s">
        <v>340</v>
      </c>
      <c r="G255" s="4">
        <v>6500</v>
      </c>
      <c r="H255" s="5">
        <v>16500</v>
      </c>
      <c r="I255" s="6"/>
      <c r="J255" s="12">
        <v>7272.54</v>
      </c>
      <c r="K255" s="5">
        <v>4700</v>
      </c>
      <c r="L255" s="9">
        <f t="shared" si="6"/>
        <v>4527.4599999999991</v>
      </c>
      <c r="M255" s="10"/>
      <c r="N255" s="10"/>
      <c r="O255" s="10"/>
      <c r="P255" s="61"/>
      <c r="Q255" s="4">
        <f t="shared" si="7"/>
        <v>4527.4599999999991</v>
      </c>
      <c r="R255" s="61"/>
      <c r="S255" s="1" t="s">
        <v>838</v>
      </c>
    </row>
    <row r="256" spans="1:19" x14ac:dyDescent="0.35">
      <c r="A256" s="2" t="s">
        <v>19</v>
      </c>
      <c r="B256" s="26">
        <v>8470455</v>
      </c>
      <c r="C256" s="3" t="s">
        <v>341</v>
      </c>
      <c r="D256" s="27">
        <v>425760</v>
      </c>
      <c r="E256" s="3" t="s">
        <v>142</v>
      </c>
      <c r="F256" s="3" t="s">
        <v>342</v>
      </c>
      <c r="G256" s="4">
        <v>10000</v>
      </c>
      <c r="H256" s="5">
        <v>10000</v>
      </c>
      <c r="I256" s="6"/>
      <c r="J256" s="7"/>
      <c r="K256" s="8"/>
      <c r="L256" s="9">
        <f t="shared" si="6"/>
        <v>10000</v>
      </c>
      <c r="M256" s="10"/>
      <c r="N256" s="10"/>
      <c r="O256" s="10"/>
      <c r="P256" s="61"/>
      <c r="Q256" s="4">
        <f t="shared" si="7"/>
        <v>10000</v>
      </c>
      <c r="R256" s="61"/>
      <c r="S256" s="1" t="s">
        <v>838</v>
      </c>
    </row>
    <row r="257" spans="1:19" x14ac:dyDescent="0.35">
      <c r="A257" s="2" t="s">
        <v>19</v>
      </c>
      <c r="B257" s="26">
        <v>8470455</v>
      </c>
      <c r="C257" s="3" t="s">
        <v>341</v>
      </c>
      <c r="D257" s="27">
        <v>425770</v>
      </c>
      <c r="E257" s="3" t="s">
        <v>74</v>
      </c>
      <c r="F257" s="3" t="s">
        <v>343</v>
      </c>
      <c r="G257" s="4">
        <v>80000</v>
      </c>
      <c r="H257" s="5">
        <v>43337</v>
      </c>
      <c r="I257" s="11">
        <v>14292.39</v>
      </c>
      <c r="J257" s="7"/>
      <c r="K257" s="8"/>
      <c r="L257" s="9">
        <f t="shared" si="6"/>
        <v>29044.61</v>
      </c>
      <c r="M257" s="10"/>
      <c r="N257" s="10"/>
      <c r="O257" s="10"/>
      <c r="P257" s="61"/>
      <c r="Q257" s="4">
        <f t="shared" si="7"/>
        <v>29044.61</v>
      </c>
      <c r="R257" s="61"/>
      <c r="S257" s="1" t="s">
        <v>838</v>
      </c>
    </row>
    <row r="258" spans="1:19" x14ac:dyDescent="0.35">
      <c r="A258" s="2" t="s">
        <v>19</v>
      </c>
      <c r="B258" s="26">
        <v>8470455</v>
      </c>
      <c r="C258" s="3" t="s">
        <v>341</v>
      </c>
      <c r="D258" s="27">
        <v>425900</v>
      </c>
      <c r="E258" s="3" t="s">
        <v>35</v>
      </c>
      <c r="F258" s="3" t="s">
        <v>344</v>
      </c>
      <c r="G258" s="4">
        <v>15000</v>
      </c>
      <c r="H258" s="5">
        <v>15000</v>
      </c>
      <c r="I258" s="11">
        <v>1800</v>
      </c>
      <c r="J258" s="7"/>
      <c r="K258" s="8"/>
      <c r="L258" s="9">
        <f t="shared" si="6"/>
        <v>13200</v>
      </c>
      <c r="M258" s="10"/>
      <c r="N258" s="10"/>
      <c r="O258" s="10"/>
      <c r="P258" s="61"/>
      <c r="Q258" s="4">
        <f t="shared" si="7"/>
        <v>13200</v>
      </c>
      <c r="R258" s="61"/>
      <c r="S258" s="1" t="s">
        <v>838</v>
      </c>
    </row>
    <row r="259" spans="1:19" x14ac:dyDescent="0.35">
      <c r="A259" s="2" t="s">
        <v>19</v>
      </c>
      <c r="B259" s="26">
        <v>8470455</v>
      </c>
      <c r="C259" s="3" t="s">
        <v>341</v>
      </c>
      <c r="D259" s="27">
        <v>426610</v>
      </c>
      <c r="E259" s="3" t="s">
        <v>37</v>
      </c>
      <c r="F259" s="3" t="s">
        <v>345</v>
      </c>
      <c r="G259" s="4">
        <v>50000</v>
      </c>
      <c r="H259" s="5">
        <v>50000</v>
      </c>
      <c r="I259" s="11">
        <v>119.56</v>
      </c>
      <c r="J259" s="12">
        <v>0</v>
      </c>
      <c r="K259" s="5">
        <v>27088.38</v>
      </c>
      <c r="L259" s="9">
        <f t="shared" ref="L259:L322" si="8">H259-I259-J259-K259</f>
        <v>22792.06</v>
      </c>
      <c r="M259" s="10"/>
      <c r="N259" s="10"/>
      <c r="O259" s="10"/>
      <c r="P259" s="61"/>
      <c r="Q259" s="4">
        <f t="shared" ref="Q259:Q322" si="9">L259-M259-N259-O259</f>
        <v>22792.06</v>
      </c>
      <c r="R259" s="61"/>
      <c r="S259" s="1" t="s">
        <v>838</v>
      </c>
    </row>
    <row r="260" spans="1:19" x14ac:dyDescent="0.35">
      <c r="A260" s="2" t="s">
        <v>19</v>
      </c>
      <c r="B260" s="26">
        <v>8470455</v>
      </c>
      <c r="C260" s="3" t="s">
        <v>341</v>
      </c>
      <c r="D260" s="27">
        <v>428090</v>
      </c>
      <c r="E260" s="3" t="s">
        <v>39</v>
      </c>
      <c r="F260" s="3" t="s">
        <v>346</v>
      </c>
      <c r="G260" s="4">
        <v>50000</v>
      </c>
      <c r="H260" s="5">
        <v>48000</v>
      </c>
      <c r="I260" s="6"/>
      <c r="J260" s="7"/>
      <c r="K260" s="8"/>
      <c r="L260" s="9">
        <f t="shared" si="8"/>
        <v>48000</v>
      </c>
      <c r="M260" s="10"/>
      <c r="N260" s="10"/>
      <c r="O260" s="10"/>
      <c r="P260" s="61"/>
      <c r="Q260" s="4">
        <f t="shared" si="9"/>
        <v>48000</v>
      </c>
      <c r="R260" s="61"/>
      <c r="S260" s="1" t="s">
        <v>838</v>
      </c>
    </row>
    <row r="261" spans="1:19" x14ac:dyDescent="0.35">
      <c r="A261" s="2" t="s">
        <v>19</v>
      </c>
      <c r="B261" s="26">
        <v>8470455</v>
      </c>
      <c r="C261" s="3" t="s">
        <v>341</v>
      </c>
      <c r="D261" s="27">
        <v>428640</v>
      </c>
      <c r="E261" s="3" t="s">
        <v>43</v>
      </c>
      <c r="F261" s="3" t="s">
        <v>347</v>
      </c>
      <c r="G261" s="4">
        <v>5000</v>
      </c>
      <c r="H261" s="5">
        <v>2537</v>
      </c>
      <c r="I261" s="6"/>
      <c r="J261" s="7"/>
      <c r="K261" s="8"/>
      <c r="L261" s="9">
        <f t="shared" si="8"/>
        <v>2537</v>
      </c>
      <c r="M261" s="10"/>
      <c r="N261" s="10"/>
      <c r="O261" s="10"/>
      <c r="P261" s="61"/>
      <c r="Q261" s="4">
        <f t="shared" si="9"/>
        <v>2537</v>
      </c>
      <c r="R261" s="61"/>
      <c r="S261" s="1" t="s">
        <v>838</v>
      </c>
    </row>
    <row r="262" spans="1:19" x14ac:dyDescent="0.35">
      <c r="A262" s="2" t="s">
        <v>19</v>
      </c>
      <c r="B262" s="26">
        <v>8470455</v>
      </c>
      <c r="C262" s="3" t="s">
        <v>341</v>
      </c>
      <c r="D262" s="27">
        <v>432209</v>
      </c>
      <c r="E262" s="3" t="s">
        <v>132</v>
      </c>
      <c r="F262" s="3" t="s">
        <v>348</v>
      </c>
      <c r="G262" s="4">
        <v>300000</v>
      </c>
      <c r="H262" s="5">
        <v>300000</v>
      </c>
      <c r="I262" s="6"/>
      <c r="J262" s="7"/>
      <c r="K262" s="8"/>
      <c r="L262" s="9">
        <f t="shared" si="8"/>
        <v>300000</v>
      </c>
      <c r="M262" s="10"/>
      <c r="N262" s="10"/>
      <c r="O262" s="10"/>
      <c r="P262" s="61"/>
      <c r="Q262" s="4">
        <f t="shared" si="9"/>
        <v>300000</v>
      </c>
      <c r="R262" s="61"/>
      <c r="S262" s="1" t="s">
        <v>838</v>
      </c>
    </row>
    <row r="263" spans="1:19" x14ac:dyDescent="0.35">
      <c r="A263" s="2" t="s">
        <v>19</v>
      </c>
      <c r="B263" s="26">
        <v>8470455</v>
      </c>
      <c r="C263" s="3" t="s">
        <v>341</v>
      </c>
      <c r="D263" s="27">
        <v>435350</v>
      </c>
      <c r="E263" s="3" t="s">
        <v>79</v>
      </c>
      <c r="F263" s="3" t="s">
        <v>349</v>
      </c>
      <c r="G263" s="4">
        <v>80000</v>
      </c>
      <c r="H263" s="5">
        <v>80000</v>
      </c>
      <c r="I263" s="11">
        <v>25142.2</v>
      </c>
      <c r="J263" s="7"/>
      <c r="K263" s="8"/>
      <c r="L263" s="9">
        <f t="shared" si="8"/>
        <v>54857.8</v>
      </c>
      <c r="M263" s="10"/>
      <c r="N263" s="10"/>
      <c r="O263" s="10"/>
      <c r="P263" s="61"/>
      <c r="Q263" s="4">
        <f t="shared" si="9"/>
        <v>54857.8</v>
      </c>
      <c r="R263" s="61"/>
      <c r="S263" s="1" t="s">
        <v>838</v>
      </c>
    </row>
    <row r="264" spans="1:19" x14ac:dyDescent="0.35">
      <c r="A264" s="2" t="s">
        <v>19</v>
      </c>
      <c r="B264" s="26">
        <v>8470455</v>
      </c>
      <c r="C264" s="3" t="s">
        <v>341</v>
      </c>
      <c r="D264" s="27">
        <v>435508</v>
      </c>
      <c r="E264" s="3" t="s">
        <v>135</v>
      </c>
      <c r="F264" s="3" t="s">
        <v>350</v>
      </c>
      <c r="G264" s="4">
        <v>675000</v>
      </c>
      <c r="H264" s="5">
        <v>675000</v>
      </c>
      <c r="I264" s="11">
        <v>42948.14</v>
      </c>
      <c r="J264" s="12">
        <v>264300</v>
      </c>
      <c r="K264" s="5">
        <v>189167.27</v>
      </c>
      <c r="L264" s="9">
        <f t="shared" si="8"/>
        <v>178584.59</v>
      </c>
      <c r="M264" s="10"/>
      <c r="N264" s="10"/>
      <c r="O264" s="10"/>
      <c r="P264" s="61"/>
      <c r="Q264" s="4">
        <f t="shared" si="9"/>
        <v>178584.59</v>
      </c>
      <c r="R264" s="61"/>
      <c r="S264" s="1" t="s">
        <v>838</v>
      </c>
    </row>
    <row r="265" spans="1:19" x14ac:dyDescent="0.35">
      <c r="A265" s="2" t="s">
        <v>19</v>
      </c>
      <c r="B265" s="26">
        <v>8470455</v>
      </c>
      <c r="C265" s="3" t="s">
        <v>341</v>
      </c>
      <c r="D265" s="27">
        <v>436110</v>
      </c>
      <c r="E265" s="3" t="s">
        <v>119</v>
      </c>
      <c r="F265" s="3" t="s">
        <v>351</v>
      </c>
      <c r="G265" s="4">
        <v>5000</v>
      </c>
      <c r="H265" s="5">
        <v>5000</v>
      </c>
      <c r="I265" s="6"/>
      <c r="J265" s="7"/>
      <c r="K265" s="8"/>
      <c r="L265" s="9">
        <f t="shared" si="8"/>
        <v>5000</v>
      </c>
      <c r="M265" s="10"/>
      <c r="N265" s="10"/>
      <c r="O265" s="10"/>
      <c r="P265" s="61"/>
      <c r="Q265" s="4">
        <f t="shared" si="9"/>
        <v>5000</v>
      </c>
      <c r="R265" s="61"/>
      <c r="S265" s="1" t="s">
        <v>838</v>
      </c>
    </row>
    <row r="266" spans="1:19" x14ac:dyDescent="0.35">
      <c r="A266" s="98" t="s">
        <v>19</v>
      </c>
      <c r="B266" s="36">
        <v>8470520</v>
      </c>
      <c r="C266" s="37" t="s">
        <v>352</v>
      </c>
      <c r="D266" s="38">
        <v>425510</v>
      </c>
      <c r="E266" s="37" t="s">
        <v>31</v>
      </c>
      <c r="F266" s="37" t="s">
        <v>353</v>
      </c>
      <c r="G266" s="39">
        <v>29519</v>
      </c>
      <c r="H266" s="40">
        <v>29519</v>
      </c>
      <c r="I266" s="41">
        <v>3329.25</v>
      </c>
      <c r="J266" s="45"/>
      <c r="K266" s="46"/>
      <c r="L266" s="9">
        <f t="shared" si="8"/>
        <v>26189.75</v>
      </c>
      <c r="M266" s="44"/>
      <c r="N266" s="44"/>
      <c r="O266" s="44"/>
      <c r="P266" s="67"/>
      <c r="Q266" s="39">
        <f t="shared" si="9"/>
        <v>26189.75</v>
      </c>
      <c r="R266" s="67"/>
      <c r="S266" s="1" t="s">
        <v>722</v>
      </c>
    </row>
    <row r="267" spans="1:19" x14ac:dyDescent="0.35">
      <c r="A267" s="98" t="s">
        <v>19</v>
      </c>
      <c r="B267" s="36">
        <v>8470520</v>
      </c>
      <c r="C267" s="37" t="s">
        <v>352</v>
      </c>
      <c r="D267" s="38">
        <v>426100</v>
      </c>
      <c r="E267" s="37" t="s">
        <v>354</v>
      </c>
      <c r="F267" s="37" t="s">
        <v>355</v>
      </c>
      <c r="G267" s="39">
        <v>20000</v>
      </c>
      <c r="H267" s="40">
        <v>20000</v>
      </c>
      <c r="I267" s="47"/>
      <c r="J267" s="45"/>
      <c r="K267" s="46"/>
      <c r="L267" s="9">
        <f t="shared" si="8"/>
        <v>20000</v>
      </c>
      <c r="M267" s="44"/>
      <c r="N267" s="44"/>
      <c r="O267" s="44"/>
      <c r="P267" s="67"/>
      <c r="Q267" s="39">
        <f t="shared" si="9"/>
        <v>20000</v>
      </c>
      <c r="R267" s="67"/>
      <c r="S267" s="1" t="s">
        <v>722</v>
      </c>
    </row>
    <row r="268" spans="1:19" x14ac:dyDescent="0.35">
      <c r="A268" s="98" t="s">
        <v>19</v>
      </c>
      <c r="B268" s="36">
        <v>8470520</v>
      </c>
      <c r="C268" s="37" t="s">
        <v>352</v>
      </c>
      <c r="D268" s="38">
        <v>427710</v>
      </c>
      <c r="E268" s="37" t="s">
        <v>51</v>
      </c>
      <c r="F268" s="37" t="s">
        <v>356</v>
      </c>
      <c r="G268" s="39">
        <v>42000</v>
      </c>
      <c r="H268" s="40">
        <v>42000</v>
      </c>
      <c r="I268" s="47"/>
      <c r="J268" s="42">
        <v>0</v>
      </c>
      <c r="K268" s="40">
        <v>10510</v>
      </c>
      <c r="L268" s="9">
        <f t="shared" si="8"/>
        <v>31490</v>
      </c>
      <c r="M268" s="44"/>
      <c r="N268" s="44"/>
      <c r="O268" s="44"/>
      <c r="P268" s="67"/>
      <c r="Q268" s="39">
        <f t="shared" si="9"/>
        <v>31490</v>
      </c>
      <c r="R268" s="67"/>
      <c r="S268" s="1" t="s">
        <v>722</v>
      </c>
    </row>
    <row r="269" spans="1:19" x14ac:dyDescent="0.35">
      <c r="A269" s="98" t="s">
        <v>19</v>
      </c>
      <c r="B269" s="36">
        <v>8470520</v>
      </c>
      <c r="C269" s="37" t="s">
        <v>352</v>
      </c>
      <c r="D269" s="38">
        <v>428200</v>
      </c>
      <c r="E269" s="37" t="s">
        <v>357</v>
      </c>
      <c r="F269" s="37" t="s">
        <v>358</v>
      </c>
      <c r="G269" s="39">
        <v>616900</v>
      </c>
      <c r="H269" s="40">
        <v>616900</v>
      </c>
      <c r="I269" s="41">
        <v>303042.33</v>
      </c>
      <c r="J269" s="42">
        <v>28304.5</v>
      </c>
      <c r="K269" s="40">
        <v>248137.28</v>
      </c>
      <c r="L269" s="9">
        <f t="shared" si="8"/>
        <v>37415.889999999985</v>
      </c>
      <c r="M269" s="44">
        <v>23000</v>
      </c>
      <c r="N269" s="44">
        <v>23000</v>
      </c>
      <c r="O269" s="44">
        <v>23000</v>
      </c>
      <c r="P269" s="67"/>
      <c r="Q269" s="39">
        <f t="shared" si="9"/>
        <v>-31584.110000000015</v>
      </c>
      <c r="R269" s="67"/>
      <c r="S269" s="1" t="s">
        <v>722</v>
      </c>
    </row>
    <row r="270" spans="1:19" x14ac:dyDescent="0.35">
      <c r="A270" s="98" t="s">
        <v>19</v>
      </c>
      <c r="B270" s="36">
        <v>8470520</v>
      </c>
      <c r="C270" s="37" t="s">
        <v>352</v>
      </c>
      <c r="D270" s="38">
        <v>428200</v>
      </c>
      <c r="E270" s="37" t="s">
        <v>357</v>
      </c>
      <c r="F270" s="37" t="s">
        <v>359</v>
      </c>
      <c r="G270" s="39">
        <v>23100</v>
      </c>
      <c r="H270" s="40">
        <v>23100</v>
      </c>
      <c r="I270" s="41">
        <v>23100</v>
      </c>
      <c r="J270" s="45"/>
      <c r="K270" s="40">
        <v>0</v>
      </c>
      <c r="L270" s="9">
        <f t="shared" si="8"/>
        <v>0</v>
      </c>
      <c r="M270" s="44"/>
      <c r="N270" s="44"/>
      <c r="O270" s="44"/>
      <c r="P270" s="67"/>
      <c r="Q270" s="39">
        <f t="shared" si="9"/>
        <v>0</v>
      </c>
      <c r="R270" s="67"/>
      <c r="S270" s="1" t="s">
        <v>722</v>
      </c>
    </row>
    <row r="271" spans="1:19" x14ac:dyDescent="0.35">
      <c r="A271" s="98" t="s">
        <v>19</v>
      </c>
      <c r="B271" s="36">
        <v>8470530</v>
      </c>
      <c r="C271" s="37" t="s">
        <v>361</v>
      </c>
      <c r="D271" s="38">
        <v>420310</v>
      </c>
      <c r="E271" s="37" t="s">
        <v>362</v>
      </c>
      <c r="F271" s="37" t="s">
        <v>363</v>
      </c>
      <c r="G271" s="39">
        <v>4056439</v>
      </c>
      <c r="H271" s="40">
        <v>4056439</v>
      </c>
      <c r="I271" s="41">
        <v>2160397.2000000002</v>
      </c>
      <c r="J271" s="42">
        <v>0</v>
      </c>
      <c r="K271" s="40">
        <v>1870859.89</v>
      </c>
      <c r="L271" s="9">
        <f t="shared" si="8"/>
        <v>25181.909999999916</v>
      </c>
      <c r="M271" s="44"/>
      <c r="N271" s="44"/>
      <c r="O271" s="44"/>
      <c r="P271" s="67"/>
      <c r="Q271" s="39">
        <f t="shared" si="9"/>
        <v>25181.909999999916</v>
      </c>
      <c r="R271" s="67"/>
      <c r="S271" s="1" t="s">
        <v>722</v>
      </c>
    </row>
    <row r="272" spans="1:19" x14ac:dyDescent="0.35">
      <c r="A272" s="98" t="s">
        <v>19</v>
      </c>
      <c r="B272" s="36">
        <v>8470530</v>
      </c>
      <c r="C272" s="37" t="s">
        <v>361</v>
      </c>
      <c r="D272" s="38">
        <v>420310</v>
      </c>
      <c r="E272" s="37" t="s">
        <v>362</v>
      </c>
      <c r="F272" s="37" t="s">
        <v>364</v>
      </c>
      <c r="G272" s="39">
        <v>747242</v>
      </c>
      <c r="H272" s="40">
        <v>747242</v>
      </c>
      <c r="I272" s="41">
        <v>403891.03</v>
      </c>
      <c r="J272" s="42">
        <v>0</v>
      </c>
      <c r="K272" s="40">
        <v>343350.97</v>
      </c>
      <c r="L272" s="9">
        <f t="shared" si="8"/>
        <v>0</v>
      </c>
      <c r="M272" s="44"/>
      <c r="N272" s="44"/>
      <c r="O272" s="44"/>
      <c r="P272" s="67"/>
      <c r="Q272" s="39">
        <f t="shared" si="9"/>
        <v>0</v>
      </c>
      <c r="R272" s="67"/>
      <c r="S272" s="1" t="s">
        <v>722</v>
      </c>
    </row>
    <row r="273" spans="1:19" x14ac:dyDescent="0.35">
      <c r="A273" s="98" t="s">
        <v>19</v>
      </c>
      <c r="B273" s="36">
        <v>8470530</v>
      </c>
      <c r="C273" s="37" t="s">
        <v>361</v>
      </c>
      <c r="D273" s="38">
        <v>420310</v>
      </c>
      <c r="E273" s="37" t="s">
        <v>362</v>
      </c>
      <c r="F273" s="37" t="s">
        <v>365</v>
      </c>
      <c r="G273" s="39">
        <v>4118107</v>
      </c>
      <c r="H273" s="40">
        <v>4364107</v>
      </c>
      <c r="I273" s="41">
        <v>2467129.4700000002</v>
      </c>
      <c r="J273" s="42">
        <v>0</v>
      </c>
      <c r="K273" s="40">
        <v>1880748.25</v>
      </c>
      <c r="L273" s="9">
        <f t="shared" si="8"/>
        <v>16229.279999999795</v>
      </c>
      <c r="M273" s="44"/>
      <c r="N273" s="44"/>
      <c r="O273" s="44"/>
      <c r="P273" s="67"/>
      <c r="Q273" s="39">
        <f t="shared" si="9"/>
        <v>16229.279999999795</v>
      </c>
      <c r="R273" s="67"/>
      <c r="S273" s="1" t="s">
        <v>722</v>
      </c>
    </row>
    <row r="274" spans="1:19" x14ac:dyDescent="0.35">
      <c r="A274" s="98" t="s">
        <v>19</v>
      </c>
      <c r="B274" s="36">
        <v>8470530</v>
      </c>
      <c r="C274" s="37" t="s">
        <v>361</v>
      </c>
      <c r="D274" s="38">
        <v>421000</v>
      </c>
      <c r="E274" s="37" t="s">
        <v>27</v>
      </c>
      <c r="F274" s="37" t="s">
        <v>366</v>
      </c>
      <c r="G274" s="39">
        <v>350000</v>
      </c>
      <c r="H274" s="40">
        <v>850000</v>
      </c>
      <c r="I274" s="47"/>
      <c r="J274" s="42">
        <v>0</v>
      </c>
      <c r="K274" s="40">
        <v>850000</v>
      </c>
      <c r="L274" s="9">
        <f t="shared" si="8"/>
        <v>0</v>
      </c>
      <c r="M274" s="44"/>
      <c r="N274" s="44"/>
      <c r="O274" s="44"/>
      <c r="P274" s="67"/>
      <c r="Q274" s="39">
        <f t="shared" si="9"/>
        <v>0</v>
      </c>
      <c r="R274" s="67"/>
      <c r="S274" s="1" t="s">
        <v>722</v>
      </c>
    </row>
    <row r="275" spans="1:19" x14ac:dyDescent="0.35">
      <c r="A275" s="98" t="s">
        <v>19</v>
      </c>
      <c r="B275" s="36">
        <v>8470530</v>
      </c>
      <c r="C275" s="37" t="s">
        <v>361</v>
      </c>
      <c r="D275" s="38">
        <v>421100</v>
      </c>
      <c r="E275" s="37" t="s">
        <v>367</v>
      </c>
      <c r="F275" s="37" t="s">
        <v>368</v>
      </c>
      <c r="G275" s="39">
        <v>0</v>
      </c>
      <c r="H275" s="40">
        <v>-28032</v>
      </c>
      <c r="I275" s="41">
        <v>-42048</v>
      </c>
      <c r="J275" s="45"/>
      <c r="K275" s="46"/>
      <c r="L275" s="9">
        <f t="shared" si="8"/>
        <v>14016</v>
      </c>
      <c r="M275" s="44"/>
      <c r="N275" s="44"/>
      <c r="O275" s="44"/>
      <c r="P275" s="67"/>
      <c r="Q275" s="39">
        <f t="shared" si="9"/>
        <v>14016</v>
      </c>
      <c r="R275" s="67"/>
      <c r="S275" s="1" t="s">
        <v>838</v>
      </c>
    </row>
    <row r="276" spans="1:19" x14ac:dyDescent="0.35">
      <c r="A276" s="98" t="s">
        <v>19</v>
      </c>
      <c r="B276" s="36">
        <v>8470530</v>
      </c>
      <c r="C276" s="37" t="s">
        <v>361</v>
      </c>
      <c r="D276" s="38">
        <v>421600</v>
      </c>
      <c r="E276" s="37" t="s">
        <v>369</v>
      </c>
      <c r="F276" s="37" t="s">
        <v>370</v>
      </c>
      <c r="G276" s="39">
        <v>4137480</v>
      </c>
      <c r="H276" s="40">
        <v>3767662</v>
      </c>
      <c r="I276" s="41">
        <v>2618461.42</v>
      </c>
      <c r="J276" s="42">
        <v>0</v>
      </c>
      <c r="K276" s="40">
        <v>1149200</v>
      </c>
      <c r="L276" s="9">
        <f t="shared" si="8"/>
        <v>0.58000000007450581</v>
      </c>
      <c r="M276" s="44"/>
      <c r="N276" s="44"/>
      <c r="O276" s="44"/>
      <c r="P276" s="67"/>
      <c r="Q276" s="39">
        <f t="shared" si="9"/>
        <v>0.58000000007450581</v>
      </c>
      <c r="R276" s="67"/>
      <c r="S276" s="1" t="s">
        <v>722</v>
      </c>
    </row>
    <row r="277" spans="1:19" x14ac:dyDescent="0.35">
      <c r="A277" s="98" t="s">
        <v>19</v>
      </c>
      <c r="B277" s="36">
        <v>8470530</v>
      </c>
      <c r="C277" s="37" t="s">
        <v>361</v>
      </c>
      <c r="D277" s="38">
        <v>421600</v>
      </c>
      <c r="E277" s="37" t="s">
        <v>369</v>
      </c>
      <c r="F277" s="37" t="s">
        <v>371</v>
      </c>
      <c r="G277" s="39">
        <v>2649480</v>
      </c>
      <c r="H277" s="40">
        <v>2453019</v>
      </c>
      <c r="I277" s="41">
        <v>795109.05</v>
      </c>
      <c r="J277" s="42">
        <v>1634640</v>
      </c>
      <c r="K277" s="40">
        <v>23269.48</v>
      </c>
      <c r="L277" s="9">
        <f t="shared" si="8"/>
        <v>0.46999999995387043</v>
      </c>
      <c r="M277" s="44"/>
      <c r="N277" s="44"/>
      <c r="O277" s="44"/>
      <c r="P277" s="67"/>
      <c r="Q277" s="39">
        <f t="shared" si="9"/>
        <v>0.46999999995387043</v>
      </c>
      <c r="R277" s="67"/>
      <c r="S277" s="1" t="s">
        <v>722</v>
      </c>
    </row>
    <row r="278" spans="1:19" x14ac:dyDescent="0.35">
      <c r="A278" s="98" t="s">
        <v>19</v>
      </c>
      <c r="B278" s="36">
        <v>8470530</v>
      </c>
      <c r="C278" s="37" t="s">
        <v>361</v>
      </c>
      <c r="D278" s="38">
        <v>421600</v>
      </c>
      <c r="E278" s="37" t="s">
        <v>369</v>
      </c>
      <c r="F278" s="37" t="s">
        <v>372</v>
      </c>
      <c r="G278" s="39">
        <v>2601720</v>
      </c>
      <c r="H278" s="40">
        <v>2017720</v>
      </c>
      <c r="I278" s="41">
        <v>470781.74</v>
      </c>
      <c r="J278" s="42">
        <v>1385720</v>
      </c>
      <c r="K278" s="40">
        <v>161217.89000000001</v>
      </c>
      <c r="L278" s="9">
        <f t="shared" si="8"/>
        <v>0.36999999999534339</v>
      </c>
      <c r="M278" s="44"/>
      <c r="N278" s="44"/>
      <c r="O278" s="44"/>
      <c r="P278" s="67"/>
      <c r="Q278" s="39">
        <f t="shared" si="9"/>
        <v>0.36999999999534339</v>
      </c>
      <c r="R278" s="67"/>
      <c r="S278" s="1" t="s">
        <v>722</v>
      </c>
    </row>
    <row r="279" spans="1:19" x14ac:dyDescent="0.35">
      <c r="A279" s="98" t="s">
        <v>19</v>
      </c>
      <c r="B279" s="36">
        <v>8470530</v>
      </c>
      <c r="C279" s="37" t="s">
        <v>361</v>
      </c>
      <c r="D279" s="38">
        <v>421600</v>
      </c>
      <c r="E279" s="37" t="s">
        <v>369</v>
      </c>
      <c r="F279" s="37" t="s">
        <v>373</v>
      </c>
      <c r="G279" s="39">
        <v>0</v>
      </c>
      <c r="H279" s="40">
        <v>635219</v>
      </c>
      <c r="I279" s="41">
        <v>446286.18</v>
      </c>
      <c r="J279" s="45"/>
      <c r="K279" s="46"/>
      <c r="L279" s="9">
        <f t="shared" si="8"/>
        <v>188932.82</v>
      </c>
      <c r="M279" s="44">
        <v>62977</v>
      </c>
      <c r="N279" s="44">
        <v>62977</v>
      </c>
      <c r="O279" s="44">
        <v>62977</v>
      </c>
      <c r="P279" s="67" t="s">
        <v>786</v>
      </c>
      <c r="Q279" s="39">
        <f t="shared" si="9"/>
        <v>1.8200000000069849</v>
      </c>
      <c r="R279" s="67"/>
      <c r="S279" s="1" t="s">
        <v>722</v>
      </c>
    </row>
    <row r="280" spans="1:19" x14ac:dyDescent="0.35">
      <c r="A280" s="98" t="s">
        <v>19</v>
      </c>
      <c r="B280" s="36">
        <v>8470530</v>
      </c>
      <c r="C280" s="37" t="s">
        <v>361</v>
      </c>
      <c r="D280" s="38">
        <v>421700</v>
      </c>
      <c r="E280" s="37" t="s">
        <v>29</v>
      </c>
      <c r="F280" s="37" t="s">
        <v>374</v>
      </c>
      <c r="G280" s="39">
        <v>0</v>
      </c>
      <c r="H280" s="40">
        <v>263000</v>
      </c>
      <c r="I280" s="41">
        <v>49500</v>
      </c>
      <c r="J280" s="42">
        <v>0</v>
      </c>
      <c r="K280" s="40">
        <v>181500</v>
      </c>
      <c r="L280" s="9">
        <f t="shared" si="8"/>
        <v>32000</v>
      </c>
      <c r="M280" s="44"/>
      <c r="N280" s="44"/>
      <c r="O280" s="44"/>
      <c r="P280" s="67"/>
      <c r="Q280" s="39">
        <f t="shared" si="9"/>
        <v>32000</v>
      </c>
      <c r="R280" s="67"/>
      <c r="S280" s="1" t="s">
        <v>722</v>
      </c>
    </row>
    <row r="281" spans="1:19" x14ac:dyDescent="0.35">
      <c r="A281" s="98" t="s">
        <v>19</v>
      </c>
      <c r="B281" s="36">
        <v>8470530</v>
      </c>
      <c r="C281" s="37" t="s">
        <v>361</v>
      </c>
      <c r="D281" s="38">
        <v>425510</v>
      </c>
      <c r="E281" s="37" t="s">
        <v>31</v>
      </c>
      <c r="F281" s="37" t="s">
        <v>375</v>
      </c>
      <c r="G281" s="39">
        <v>20000</v>
      </c>
      <c r="H281" s="40">
        <v>20000</v>
      </c>
      <c r="I281" s="41">
        <v>1280.3699999999999</v>
      </c>
      <c r="J281" s="45"/>
      <c r="K281" s="46"/>
      <c r="L281" s="9">
        <f t="shared" si="8"/>
        <v>18719.63</v>
      </c>
      <c r="M281" s="44"/>
      <c r="N281" s="44"/>
      <c r="O281" s="44"/>
      <c r="P281" s="67"/>
      <c r="Q281" s="39">
        <f t="shared" si="9"/>
        <v>18719.63</v>
      </c>
      <c r="R281" s="67"/>
      <c r="S281" s="1" t="s">
        <v>838</v>
      </c>
    </row>
    <row r="282" spans="1:19" x14ac:dyDescent="0.35">
      <c r="A282" s="98" t="s">
        <v>19</v>
      </c>
      <c r="B282" s="36">
        <v>8470530</v>
      </c>
      <c r="C282" s="37" t="s">
        <v>361</v>
      </c>
      <c r="D282" s="38">
        <v>425900</v>
      </c>
      <c r="E282" s="37" t="s">
        <v>35</v>
      </c>
      <c r="F282" s="37" t="s">
        <v>376</v>
      </c>
      <c r="G282" s="39">
        <v>30000</v>
      </c>
      <c r="H282" s="40">
        <v>30000</v>
      </c>
      <c r="I282" s="41">
        <v>11571</v>
      </c>
      <c r="J282" s="45"/>
      <c r="K282" s="46"/>
      <c r="L282" s="9">
        <f t="shared" si="8"/>
        <v>18429</v>
      </c>
      <c r="M282" s="44"/>
      <c r="N282" s="44"/>
      <c r="O282" s="44"/>
      <c r="P282" s="67"/>
      <c r="Q282" s="39">
        <f t="shared" si="9"/>
        <v>18429</v>
      </c>
      <c r="R282" s="67"/>
      <c r="S282" s="1" t="s">
        <v>722</v>
      </c>
    </row>
    <row r="283" spans="1:19" x14ac:dyDescent="0.35">
      <c r="A283" s="98" t="s">
        <v>19</v>
      </c>
      <c r="B283" s="36">
        <v>8470530</v>
      </c>
      <c r="C283" s="37" t="s">
        <v>361</v>
      </c>
      <c r="D283" s="38">
        <v>426220</v>
      </c>
      <c r="E283" s="37" t="s">
        <v>377</v>
      </c>
      <c r="F283" s="37" t="s">
        <v>378</v>
      </c>
      <c r="G283" s="39">
        <v>960437</v>
      </c>
      <c r="H283" s="40">
        <v>960437</v>
      </c>
      <c r="I283" s="41">
        <v>44981.51</v>
      </c>
      <c r="J283" s="45"/>
      <c r="K283" s="46"/>
      <c r="L283" s="9">
        <f t="shared" si="8"/>
        <v>915455.49</v>
      </c>
      <c r="M283" s="44"/>
      <c r="N283" s="44"/>
      <c r="O283" s="44"/>
      <c r="P283" s="67"/>
      <c r="Q283" s="39">
        <f t="shared" si="9"/>
        <v>915455.49</v>
      </c>
      <c r="R283" s="67"/>
      <c r="S283" s="1" t="s">
        <v>722</v>
      </c>
    </row>
    <row r="284" spans="1:19" x14ac:dyDescent="0.35">
      <c r="A284" s="98" t="s">
        <v>19</v>
      </c>
      <c r="B284" s="36">
        <v>8470530</v>
      </c>
      <c r="C284" s="37" t="s">
        <v>361</v>
      </c>
      <c r="D284" s="38">
        <v>426220</v>
      </c>
      <c r="E284" s="37" t="s">
        <v>377</v>
      </c>
      <c r="F284" s="37" t="s">
        <v>379</v>
      </c>
      <c r="G284" s="39">
        <v>23714</v>
      </c>
      <c r="H284" s="40">
        <v>23714</v>
      </c>
      <c r="I284" s="47"/>
      <c r="J284" s="45"/>
      <c r="K284" s="46"/>
      <c r="L284" s="9">
        <f t="shared" si="8"/>
        <v>23714</v>
      </c>
      <c r="M284" s="44"/>
      <c r="N284" s="44"/>
      <c r="O284" s="44"/>
      <c r="P284" s="67"/>
      <c r="Q284" s="39">
        <f t="shared" si="9"/>
        <v>23714</v>
      </c>
      <c r="R284" s="67"/>
      <c r="S284" s="1" t="s">
        <v>722</v>
      </c>
    </row>
    <row r="285" spans="1:19" x14ac:dyDescent="0.35">
      <c r="A285" s="98" t="s">
        <v>19</v>
      </c>
      <c r="B285" s="36">
        <v>8470530</v>
      </c>
      <c r="C285" s="37" t="s">
        <v>361</v>
      </c>
      <c r="D285" s="38">
        <v>426250</v>
      </c>
      <c r="E285" s="37" t="s">
        <v>380</v>
      </c>
      <c r="F285" s="37" t="s">
        <v>381</v>
      </c>
      <c r="G285" s="39">
        <v>50000</v>
      </c>
      <c r="H285" s="40">
        <v>50000</v>
      </c>
      <c r="I285" s="41">
        <v>14718</v>
      </c>
      <c r="J285" s="45"/>
      <c r="K285" s="46"/>
      <c r="L285" s="9">
        <f t="shared" si="8"/>
        <v>35282</v>
      </c>
      <c r="M285" s="44"/>
      <c r="N285" s="44"/>
      <c r="O285" s="44"/>
      <c r="P285" s="67"/>
      <c r="Q285" s="39">
        <f t="shared" si="9"/>
        <v>35282</v>
      </c>
      <c r="R285" s="67"/>
      <c r="S285" s="1" t="s">
        <v>722</v>
      </c>
    </row>
    <row r="286" spans="1:19" x14ac:dyDescent="0.35">
      <c r="A286" s="98" t="s">
        <v>19</v>
      </c>
      <c r="B286" s="36">
        <v>8470530</v>
      </c>
      <c r="C286" s="37" t="s">
        <v>361</v>
      </c>
      <c r="D286" s="38">
        <v>428090</v>
      </c>
      <c r="E286" s="37" t="s">
        <v>39</v>
      </c>
      <c r="F286" s="37" t="s">
        <v>382</v>
      </c>
      <c r="G286" s="39">
        <v>50000</v>
      </c>
      <c r="H286" s="40">
        <v>13623</v>
      </c>
      <c r="I286" s="47"/>
      <c r="J286" s="45"/>
      <c r="K286" s="46"/>
      <c r="L286" s="9">
        <f t="shared" si="8"/>
        <v>13623</v>
      </c>
      <c r="M286" s="44"/>
      <c r="N286" s="44"/>
      <c r="O286" s="44"/>
      <c r="P286" s="67"/>
      <c r="Q286" s="39">
        <f t="shared" si="9"/>
        <v>13623</v>
      </c>
      <c r="R286" s="67"/>
      <c r="S286" s="1" t="s">
        <v>722</v>
      </c>
    </row>
    <row r="287" spans="1:19" x14ac:dyDescent="0.35">
      <c r="A287" s="98" t="s">
        <v>19</v>
      </c>
      <c r="B287" s="36">
        <v>8470530</v>
      </c>
      <c r="C287" s="37" t="s">
        <v>361</v>
      </c>
      <c r="D287" s="38">
        <v>430110</v>
      </c>
      <c r="E287" s="37" t="s">
        <v>383</v>
      </c>
      <c r="F287" s="37" t="s">
        <v>384</v>
      </c>
      <c r="G287" s="39">
        <v>0</v>
      </c>
      <c r="H287" s="40">
        <v>200211</v>
      </c>
      <c r="I287" s="41">
        <v>199212.79999999999</v>
      </c>
      <c r="J287" s="45"/>
      <c r="K287" s="46"/>
      <c r="L287" s="9">
        <f t="shared" si="8"/>
        <v>998.20000000001164</v>
      </c>
      <c r="M287" s="44"/>
      <c r="N287" s="44"/>
      <c r="O287" s="44"/>
      <c r="P287" s="67"/>
      <c r="Q287" s="39">
        <f t="shared" si="9"/>
        <v>998.20000000001164</v>
      </c>
      <c r="R287" s="67"/>
      <c r="S287" s="1" t="s">
        <v>722</v>
      </c>
    </row>
    <row r="288" spans="1:19" x14ac:dyDescent="0.35">
      <c r="A288" s="98" t="s">
        <v>19</v>
      </c>
      <c r="B288" s="36">
        <v>8470530</v>
      </c>
      <c r="C288" s="37" t="s">
        <v>361</v>
      </c>
      <c r="D288" s="38">
        <v>432120</v>
      </c>
      <c r="E288" s="37" t="s">
        <v>385</v>
      </c>
      <c r="F288" s="37" t="s">
        <v>386</v>
      </c>
      <c r="G288" s="39">
        <v>11946037</v>
      </c>
      <c r="H288" s="40">
        <v>11446037</v>
      </c>
      <c r="I288" s="41">
        <v>5878366.3899999997</v>
      </c>
      <c r="J288" s="42">
        <v>100501</v>
      </c>
      <c r="K288" s="40">
        <v>5181508.41</v>
      </c>
      <c r="L288" s="9">
        <f t="shared" si="8"/>
        <v>285661.20000000019</v>
      </c>
      <c r="M288" s="44"/>
      <c r="N288" s="44"/>
      <c r="O288" s="44">
        <v>285661</v>
      </c>
      <c r="P288" s="67" t="s">
        <v>787</v>
      </c>
      <c r="Q288" s="39">
        <f t="shared" si="9"/>
        <v>0.20000000018626451</v>
      </c>
      <c r="R288" s="67"/>
      <c r="S288" s="1" t="s">
        <v>722</v>
      </c>
    </row>
    <row r="289" spans="1:19" x14ac:dyDescent="0.35">
      <c r="A289" s="98" t="s">
        <v>19</v>
      </c>
      <c r="B289" s="36">
        <v>8470530</v>
      </c>
      <c r="C289" s="37" t="s">
        <v>361</v>
      </c>
      <c r="D289" s="38">
        <v>432120</v>
      </c>
      <c r="E289" s="37" t="s">
        <v>385</v>
      </c>
      <c r="F289" s="37" t="s">
        <v>387</v>
      </c>
      <c r="G289" s="39">
        <v>5071140</v>
      </c>
      <c r="H289" s="40">
        <v>4977140</v>
      </c>
      <c r="I289" s="41">
        <v>2280318.2200000002</v>
      </c>
      <c r="J289" s="42">
        <v>0</v>
      </c>
      <c r="K289" s="40">
        <v>2579272.12</v>
      </c>
      <c r="L289" s="9">
        <f t="shared" si="8"/>
        <v>117549.65999999968</v>
      </c>
      <c r="M289" s="44"/>
      <c r="N289" s="44"/>
      <c r="O289" s="44">
        <v>161404</v>
      </c>
      <c r="P289" s="67" t="s">
        <v>787</v>
      </c>
      <c r="Q289" s="39">
        <f t="shared" si="9"/>
        <v>-43854.340000000317</v>
      </c>
      <c r="R289" s="67"/>
      <c r="S289" s="1" t="s">
        <v>722</v>
      </c>
    </row>
    <row r="290" spans="1:19" x14ac:dyDescent="0.35">
      <c r="A290" s="98" t="s">
        <v>19</v>
      </c>
      <c r="B290" s="36">
        <v>8470530</v>
      </c>
      <c r="C290" s="37" t="s">
        <v>361</v>
      </c>
      <c r="D290" s="38">
        <v>432120</v>
      </c>
      <c r="E290" s="37" t="s">
        <v>385</v>
      </c>
      <c r="F290" s="37" t="s">
        <v>388</v>
      </c>
      <c r="G290" s="39">
        <v>5573134</v>
      </c>
      <c r="H290" s="40">
        <v>5540416</v>
      </c>
      <c r="I290" s="41">
        <v>2537013.4300000002</v>
      </c>
      <c r="J290" s="42">
        <v>57015.000000000502</v>
      </c>
      <c r="K290" s="40">
        <v>2934727.69</v>
      </c>
      <c r="L290" s="9">
        <f t="shared" si="8"/>
        <v>11659.879999999423</v>
      </c>
      <c r="M290" s="44"/>
      <c r="N290" s="44"/>
      <c r="O290" s="44">
        <v>11660</v>
      </c>
      <c r="P290" s="67" t="s">
        <v>787</v>
      </c>
      <c r="Q290" s="39">
        <f t="shared" si="9"/>
        <v>-0.12000000057742</v>
      </c>
      <c r="R290" s="67"/>
      <c r="S290" s="1" t="s">
        <v>722</v>
      </c>
    </row>
    <row r="291" spans="1:19" x14ac:dyDescent="0.35">
      <c r="A291" s="98" t="s">
        <v>19</v>
      </c>
      <c r="B291" s="36">
        <v>8470530</v>
      </c>
      <c r="C291" s="37" t="s">
        <v>361</v>
      </c>
      <c r="D291" s="38">
        <v>432120</v>
      </c>
      <c r="E291" s="37" t="s">
        <v>385</v>
      </c>
      <c r="F291" s="37" t="s">
        <v>389</v>
      </c>
      <c r="G291" s="39">
        <v>1207678</v>
      </c>
      <c r="H291" s="40">
        <v>1207678</v>
      </c>
      <c r="I291" s="41">
        <v>611011.55000000005</v>
      </c>
      <c r="J291" s="42">
        <v>24830</v>
      </c>
      <c r="K291" s="40">
        <v>78120.210000000006</v>
      </c>
      <c r="L291" s="9">
        <f t="shared" si="8"/>
        <v>493716.23999999993</v>
      </c>
      <c r="M291" s="44"/>
      <c r="N291" s="44"/>
      <c r="O291" s="44">
        <v>493716</v>
      </c>
      <c r="P291" s="67" t="s">
        <v>787</v>
      </c>
      <c r="Q291" s="39">
        <f t="shared" si="9"/>
        <v>0.23999999993247911</v>
      </c>
      <c r="R291" s="67"/>
      <c r="S291" s="1" t="s">
        <v>838</v>
      </c>
    </row>
    <row r="292" spans="1:19" x14ac:dyDescent="0.35">
      <c r="A292" s="98" t="s">
        <v>19</v>
      </c>
      <c r="B292" s="36">
        <v>8470530</v>
      </c>
      <c r="C292" s="37" t="s">
        <v>361</v>
      </c>
      <c r="D292" s="38">
        <v>432170</v>
      </c>
      <c r="E292" s="37" t="s">
        <v>390</v>
      </c>
      <c r="F292" s="37" t="s">
        <v>391</v>
      </c>
      <c r="G292" s="39">
        <v>30000</v>
      </c>
      <c r="H292" s="40">
        <v>30000</v>
      </c>
      <c r="I292" s="41">
        <v>12166</v>
      </c>
      <c r="J292" s="42">
        <v>0</v>
      </c>
      <c r="K292" s="40">
        <v>0</v>
      </c>
      <c r="L292" s="9">
        <f t="shared" si="8"/>
        <v>17834</v>
      </c>
      <c r="M292" s="44"/>
      <c r="N292" s="44"/>
      <c r="O292" s="44"/>
      <c r="P292" s="67"/>
      <c r="Q292" s="39">
        <f t="shared" si="9"/>
        <v>17834</v>
      </c>
      <c r="R292" s="67"/>
      <c r="S292" s="1" t="s">
        <v>722</v>
      </c>
    </row>
    <row r="293" spans="1:19" x14ac:dyDescent="0.35">
      <c r="A293" s="98" t="s">
        <v>19</v>
      </c>
      <c r="B293" s="36">
        <v>8470530</v>
      </c>
      <c r="C293" s="37" t="s">
        <v>361</v>
      </c>
      <c r="D293" s="38">
        <v>432320</v>
      </c>
      <c r="E293" s="37" t="s">
        <v>392</v>
      </c>
      <c r="F293" s="37" t="s">
        <v>393</v>
      </c>
      <c r="G293" s="39">
        <v>26000</v>
      </c>
      <c r="H293" s="40">
        <v>26000</v>
      </c>
      <c r="I293" s="41">
        <v>5024</v>
      </c>
      <c r="J293" s="45"/>
      <c r="K293" s="46"/>
      <c r="L293" s="9">
        <f t="shared" si="8"/>
        <v>20976</v>
      </c>
      <c r="M293" s="44"/>
      <c r="N293" s="44"/>
      <c r="O293" s="44"/>
      <c r="P293" s="67"/>
      <c r="Q293" s="39">
        <f t="shared" si="9"/>
        <v>20976</v>
      </c>
      <c r="R293" s="67"/>
      <c r="S293" s="1" t="s">
        <v>722</v>
      </c>
    </row>
    <row r="294" spans="1:19" x14ac:dyDescent="0.35">
      <c r="A294" s="98" t="s">
        <v>19</v>
      </c>
      <c r="B294" s="36">
        <v>8470530</v>
      </c>
      <c r="C294" s="37" t="s">
        <v>361</v>
      </c>
      <c r="D294" s="38">
        <v>436340</v>
      </c>
      <c r="E294" s="37" t="s">
        <v>394</v>
      </c>
      <c r="F294" s="37" t="s">
        <v>395</v>
      </c>
      <c r="G294" s="39">
        <v>0</v>
      </c>
      <c r="H294" s="40">
        <v>20000</v>
      </c>
      <c r="I294" s="47"/>
      <c r="J294" s="45"/>
      <c r="K294" s="46"/>
      <c r="L294" s="9">
        <f t="shared" si="8"/>
        <v>20000</v>
      </c>
      <c r="M294" s="44"/>
      <c r="N294" s="44"/>
      <c r="O294" s="44"/>
      <c r="P294" s="67"/>
      <c r="Q294" s="39">
        <f t="shared" si="9"/>
        <v>20000</v>
      </c>
      <c r="R294" s="67"/>
      <c r="S294" s="1" t="s">
        <v>722</v>
      </c>
    </row>
    <row r="295" spans="1:19" x14ac:dyDescent="0.35">
      <c r="A295" s="98" t="s">
        <v>19</v>
      </c>
      <c r="B295" s="36">
        <v>8470540</v>
      </c>
      <c r="C295" s="37" t="s">
        <v>396</v>
      </c>
      <c r="D295" s="38">
        <v>421100</v>
      </c>
      <c r="E295" s="37" t="s">
        <v>367</v>
      </c>
      <c r="F295" s="37" t="s">
        <v>397</v>
      </c>
      <c r="G295" s="39">
        <v>3589128</v>
      </c>
      <c r="H295" s="40">
        <v>489128</v>
      </c>
      <c r="I295" s="41">
        <v>168512.62</v>
      </c>
      <c r="J295" s="42">
        <v>1</v>
      </c>
      <c r="K295" s="40">
        <v>253016.89</v>
      </c>
      <c r="L295" s="9">
        <f t="shared" si="8"/>
        <v>67597.489999999991</v>
      </c>
      <c r="M295" s="44"/>
      <c r="N295" s="44"/>
      <c r="O295" s="44">
        <v>67597</v>
      </c>
      <c r="P295" s="67" t="s">
        <v>788</v>
      </c>
      <c r="Q295" s="39">
        <f t="shared" si="9"/>
        <v>0.48999999999068677</v>
      </c>
      <c r="R295" s="67"/>
      <c r="S295" s="1" t="s">
        <v>722</v>
      </c>
    </row>
    <row r="296" spans="1:19" x14ac:dyDescent="0.35">
      <c r="A296" s="98" t="s">
        <v>19</v>
      </c>
      <c r="B296" s="36">
        <v>8470540</v>
      </c>
      <c r="C296" s="37" t="s">
        <v>396</v>
      </c>
      <c r="D296" s="38">
        <v>426800</v>
      </c>
      <c r="E296" s="37" t="s">
        <v>398</v>
      </c>
      <c r="F296" s="37" t="s">
        <v>399</v>
      </c>
      <c r="G296" s="39">
        <v>10000</v>
      </c>
      <c r="H296" s="40">
        <v>10000</v>
      </c>
      <c r="I296" s="41">
        <v>848</v>
      </c>
      <c r="J296" s="45"/>
      <c r="K296" s="46"/>
      <c r="L296" s="9">
        <f t="shared" si="8"/>
        <v>9152</v>
      </c>
      <c r="M296" s="44"/>
      <c r="N296" s="44"/>
      <c r="O296" s="44"/>
      <c r="P296" s="67"/>
      <c r="Q296" s="39">
        <f t="shared" si="9"/>
        <v>9152</v>
      </c>
      <c r="R296" s="67"/>
      <c r="S296" s="1" t="s">
        <v>722</v>
      </c>
    </row>
    <row r="297" spans="1:19" x14ac:dyDescent="0.35">
      <c r="A297" s="98" t="s">
        <v>19</v>
      </c>
      <c r="B297" s="36">
        <v>8470540</v>
      </c>
      <c r="C297" s="37" t="s">
        <v>396</v>
      </c>
      <c r="D297" s="38">
        <v>426900</v>
      </c>
      <c r="E297" s="37" t="s">
        <v>400</v>
      </c>
      <c r="F297" s="37" t="s">
        <v>401</v>
      </c>
      <c r="G297" s="39">
        <v>30000</v>
      </c>
      <c r="H297" s="40">
        <v>30000</v>
      </c>
      <c r="I297" s="41">
        <v>3000</v>
      </c>
      <c r="J297" s="45"/>
      <c r="K297" s="46"/>
      <c r="L297" s="9">
        <f t="shared" si="8"/>
        <v>27000</v>
      </c>
      <c r="M297" s="44"/>
      <c r="N297" s="44"/>
      <c r="O297" s="44"/>
      <c r="P297" s="67"/>
      <c r="Q297" s="39">
        <f t="shared" si="9"/>
        <v>27000</v>
      </c>
      <c r="R297" s="67"/>
      <c r="S297" s="1" t="s">
        <v>722</v>
      </c>
    </row>
    <row r="298" spans="1:19" x14ac:dyDescent="0.35">
      <c r="A298" s="98" t="s">
        <v>19</v>
      </c>
      <c r="B298" s="36">
        <v>8470540</v>
      </c>
      <c r="C298" s="37" t="s">
        <v>396</v>
      </c>
      <c r="D298" s="38">
        <v>427710</v>
      </c>
      <c r="E298" s="37" t="s">
        <v>51</v>
      </c>
      <c r="F298" s="37" t="s">
        <v>402</v>
      </c>
      <c r="G298" s="39">
        <v>0</v>
      </c>
      <c r="H298" s="40">
        <v>7000</v>
      </c>
      <c r="I298" s="41">
        <v>5106</v>
      </c>
      <c r="J298" s="42">
        <v>0</v>
      </c>
      <c r="K298" s="40">
        <v>0</v>
      </c>
      <c r="L298" s="9">
        <f t="shared" si="8"/>
        <v>1894</v>
      </c>
      <c r="M298" s="44"/>
      <c r="N298" s="44"/>
      <c r="O298" s="44"/>
      <c r="P298" s="67"/>
      <c r="Q298" s="39">
        <f t="shared" si="9"/>
        <v>1894</v>
      </c>
      <c r="R298" s="67"/>
      <c r="S298" s="1" t="s">
        <v>722</v>
      </c>
    </row>
    <row r="299" spans="1:19" x14ac:dyDescent="0.35">
      <c r="A299" s="98" t="s">
        <v>19</v>
      </c>
      <c r="B299" s="36">
        <v>8470540</v>
      </c>
      <c r="C299" s="37" t="s">
        <v>396</v>
      </c>
      <c r="D299" s="38">
        <v>428111</v>
      </c>
      <c r="E299" s="37" t="s">
        <v>403</v>
      </c>
      <c r="F299" s="37" t="s">
        <v>404</v>
      </c>
      <c r="G299" s="39">
        <v>7349560</v>
      </c>
      <c r="H299" s="40">
        <v>7349560</v>
      </c>
      <c r="I299" s="41">
        <v>5212427.82</v>
      </c>
      <c r="J299" s="45"/>
      <c r="K299" s="46"/>
      <c r="L299" s="9">
        <f t="shared" si="8"/>
        <v>2137132.1799999997</v>
      </c>
      <c r="M299" s="44"/>
      <c r="N299" s="44"/>
      <c r="O299" s="44">
        <v>2137132</v>
      </c>
      <c r="P299" s="67" t="s">
        <v>789</v>
      </c>
      <c r="Q299" s="39">
        <f t="shared" si="9"/>
        <v>0.17999999970197678</v>
      </c>
      <c r="R299" s="67"/>
      <c r="S299" s="1" t="s">
        <v>722</v>
      </c>
    </row>
    <row r="300" spans="1:19" x14ac:dyDescent="0.35">
      <c r="A300" s="98" t="s">
        <v>19</v>
      </c>
      <c r="B300" s="36">
        <v>8470540</v>
      </c>
      <c r="C300" s="37" t="s">
        <v>396</v>
      </c>
      <c r="D300" s="38">
        <v>428111</v>
      </c>
      <c r="E300" s="37" t="s">
        <v>403</v>
      </c>
      <c r="F300" s="37" t="s">
        <v>405</v>
      </c>
      <c r="G300" s="39">
        <v>4615084</v>
      </c>
      <c r="H300" s="40">
        <v>4524084</v>
      </c>
      <c r="I300" s="41">
        <v>3033573.52</v>
      </c>
      <c r="J300" s="45"/>
      <c r="K300" s="46"/>
      <c r="L300" s="9">
        <f t="shared" si="8"/>
        <v>1490510.48</v>
      </c>
      <c r="M300" s="44"/>
      <c r="N300" s="44"/>
      <c r="O300" s="44">
        <v>1490510</v>
      </c>
      <c r="P300" s="67" t="s">
        <v>789</v>
      </c>
      <c r="Q300" s="39">
        <f t="shared" si="9"/>
        <v>0.47999999998137355</v>
      </c>
      <c r="R300" s="67"/>
      <c r="S300" s="1" t="s">
        <v>722</v>
      </c>
    </row>
    <row r="301" spans="1:19" x14ac:dyDescent="0.35">
      <c r="A301" s="98" t="s">
        <v>19</v>
      </c>
      <c r="B301" s="36">
        <v>8470540</v>
      </c>
      <c r="C301" s="37" t="s">
        <v>396</v>
      </c>
      <c r="D301" s="38">
        <v>428111</v>
      </c>
      <c r="E301" s="37" t="s">
        <v>403</v>
      </c>
      <c r="F301" s="37" t="s">
        <v>406</v>
      </c>
      <c r="G301" s="39">
        <v>3058446</v>
      </c>
      <c r="H301" s="40">
        <v>3149446</v>
      </c>
      <c r="I301" s="41">
        <v>3148690.2</v>
      </c>
      <c r="J301" s="45"/>
      <c r="K301" s="46"/>
      <c r="L301" s="9">
        <f t="shared" si="8"/>
        <v>755.79999999981374</v>
      </c>
      <c r="M301" s="44"/>
      <c r="N301" s="44"/>
      <c r="O301" s="44">
        <v>756</v>
      </c>
      <c r="P301" s="67" t="s">
        <v>789</v>
      </c>
      <c r="Q301" s="39">
        <f t="shared" si="9"/>
        <v>-0.20000000018626451</v>
      </c>
      <c r="R301" s="67"/>
      <c r="S301" s="1" t="s">
        <v>722</v>
      </c>
    </row>
    <row r="302" spans="1:19" x14ac:dyDescent="0.35">
      <c r="A302" s="98" t="s">
        <v>19</v>
      </c>
      <c r="B302" s="36">
        <v>8470540</v>
      </c>
      <c r="C302" s="37" t="s">
        <v>396</v>
      </c>
      <c r="D302" s="38">
        <v>428111</v>
      </c>
      <c r="E302" s="37" t="s">
        <v>403</v>
      </c>
      <c r="F302" s="37" t="s">
        <v>407</v>
      </c>
      <c r="G302" s="39">
        <v>442627</v>
      </c>
      <c r="H302" s="40">
        <v>442627</v>
      </c>
      <c r="I302" s="47"/>
      <c r="J302" s="45"/>
      <c r="K302" s="46"/>
      <c r="L302" s="9">
        <f t="shared" si="8"/>
        <v>442627</v>
      </c>
      <c r="M302" s="44"/>
      <c r="N302" s="44"/>
      <c r="O302" s="44">
        <v>442627</v>
      </c>
      <c r="P302" s="67" t="s">
        <v>789</v>
      </c>
      <c r="Q302" s="39">
        <f t="shared" si="9"/>
        <v>0</v>
      </c>
      <c r="R302" s="67"/>
      <c r="S302" s="1" t="s">
        <v>722</v>
      </c>
    </row>
    <row r="303" spans="1:19" x14ac:dyDescent="0.35">
      <c r="A303" s="98" t="s">
        <v>19</v>
      </c>
      <c r="B303" s="36">
        <v>8470540</v>
      </c>
      <c r="C303" s="37" t="s">
        <v>396</v>
      </c>
      <c r="D303" s="38">
        <v>428112</v>
      </c>
      <c r="E303" s="37" t="s">
        <v>408</v>
      </c>
      <c r="F303" s="37" t="s">
        <v>409</v>
      </c>
      <c r="G303" s="39">
        <v>1153128</v>
      </c>
      <c r="H303" s="40">
        <v>1153128</v>
      </c>
      <c r="I303" s="41">
        <v>711620.8</v>
      </c>
      <c r="J303" s="45"/>
      <c r="K303" s="46"/>
      <c r="L303" s="9">
        <f t="shared" si="8"/>
        <v>441507.19999999995</v>
      </c>
      <c r="M303" s="44"/>
      <c r="N303" s="44"/>
      <c r="O303" s="44">
        <v>441507</v>
      </c>
      <c r="P303" s="67" t="s">
        <v>790</v>
      </c>
      <c r="Q303" s="39">
        <f t="shared" si="9"/>
        <v>0.19999999995343387</v>
      </c>
      <c r="R303" s="67"/>
      <c r="S303" s="1" t="s">
        <v>722</v>
      </c>
    </row>
    <row r="304" spans="1:19" x14ac:dyDescent="0.35">
      <c r="A304" s="98" t="s">
        <v>19</v>
      </c>
      <c r="B304" s="36">
        <v>8470540</v>
      </c>
      <c r="C304" s="37" t="s">
        <v>396</v>
      </c>
      <c r="D304" s="38">
        <v>428112</v>
      </c>
      <c r="E304" s="37" t="s">
        <v>408</v>
      </c>
      <c r="F304" s="37" t="s">
        <v>410</v>
      </c>
      <c r="G304" s="39">
        <v>1681399</v>
      </c>
      <c r="H304" s="40">
        <v>1681399</v>
      </c>
      <c r="I304" s="41">
        <v>910484.04</v>
      </c>
      <c r="J304" s="45"/>
      <c r="K304" s="46"/>
      <c r="L304" s="9">
        <f t="shared" si="8"/>
        <v>770914.96</v>
      </c>
      <c r="M304" s="44"/>
      <c r="N304" s="44"/>
      <c r="O304" s="44">
        <v>770915</v>
      </c>
      <c r="P304" s="67" t="s">
        <v>790</v>
      </c>
      <c r="Q304" s="39">
        <f t="shared" si="9"/>
        <v>-4.0000000037252903E-2</v>
      </c>
      <c r="R304" s="67"/>
      <c r="S304" s="1" t="s">
        <v>722</v>
      </c>
    </row>
    <row r="305" spans="1:19" x14ac:dyDescent="0.35">
      <c r="A305" s="98" t="s">
        <v>19</v>
      </c>
      <c r="B305" s="36">
        <v>8470540</v>
      </c>
      <c r="C305" s="37" t="s">
        <v>396</v>
      </c>
      <c r="D305" s="38">
        <v>428112</v>
      </c>
      <c r="E305" s="37" t="s">
        <v>408</v>
      </c>
      <c r="F305" s="37" t="s">
        <v>411</v>
      </c>
      <c r="G305" s="39">
        <v>1703132</v>
      </c>
      <c r="H305" s="40">
        <v>1703132</v>
      </c>
      <c r="I305" s="41">
        <v>961105.55</v>
      </c>
      <c r="J305" s="45"/>
      <c r="K305" s="46"/>
      <c r="L305" s="9">
        <f t="shared" si="8"/>
        <v>742026.45</v>
      </c>
      <c r="M305" s="44"/>
      <c r="N305" s="44"/>
      <c r="O305" s="44">
        <v>742026</v>
      </c>
      <c r="P305" s="67" t="s">
        <v>790</v>
      </c>
      <c r="Q305" s="39">
        <f t="shared" si="9"/>
        <v>0.44999999995343387</v>
      </c>
      <c r="R305" s="67"/>
      <c r="S305" s="1" t="s">
        <v>722</v>
      </c>
    </row>
    <row r="306" spans="1:19" x14ac:dyDescent="0.35">
      <c r="A306" s="98" t="s">
        <v>19</v>
      </c>
      <c r="B306" s="36">
        <v>8470540</v>
      </c>
      <c r="C306" s="37" t="s">
        <v>396</v>
      </c>
      <c r="D306" s="38">
        <v>428112</v>
      </c>
      <c r="E306" s="37" t="s">
        <v>408</v>
      </c>
      <c r="F306" s="37" t="s">
        <v>412</v>
      </c>
      <c r="G306" s="39">
        <v>153570</v>
      </c>
      <c r="H306" s="40">
        <v>153570</v>
      </c>
      <c r="I306" s="47"/>
      <c r="J306" s="45"/>
      <c r="K306" s="46"/>
      <c r="L306" s="9">
        <f t="shared" si="8"/>
        <v>153570</v>
      </c>
      <c r="M306" s="44"/>
      <c r="N306" s="44"/>
      <c r="O306" s="44">
        <v>153570</v>
      </c>
      <c r="P306" s="67" t="s">
        <v>790</v>
      </c>
      <c r="Q306" s="39">
        <f t="shared" si="9"/>
        <v>0</v>
      </c>
      <c r="R306" s="67"/>
      <c r="S306" s="1" t="s">
        <v>722</v>
      </c>
    </row>
    <row r="307" spans="1:19" x14ac:dyDescent="0.35">
      <c r="A307" s="98" t="s">
        <v>19</v>
      </c>
      <c r="B307" s="36">
        <v>8470540</v>
      </c>
      <c r="C307" s="37" t="s">
        <v>396</v>
      </c>
      <c r="D307" s="38">
        <v>429900</v>
      </c>
      <c r="E307" s="37" t="s">
        <v>413</v>
      </c>
      <c r="F307" s="37" t="s">
        <v>414</v>
      </c>
      <c r="G307" s="39">
        <v>44000</v>
      </c>
      <c r="H307" s="40">
        <v>44000</v>
      </c>
      <c r="I307" s="41">
        <v>41250</v>
      </c>
      <c r="J307" s="45"/>
      <c r="K307" s="46"/>
      <c r="L307" s="9">
        <f t="shared" si="8"/>
        <v>2750</v>
      </c>
      <c r="M307" s="44"/>
      <c r="N307" s="44"/>
      <c r="O307" s="44"/>
      <c r="P307" s="67"/>
      <c r="Q307" s="39">
        <f t="shared" si="9"/>
        <v>2750</v>
      </c>
      <c r="R307" s="67"/>
      <c r="S307" s="1" t="s">
        <v>722</v>
      </c>
    </row>
    <row r="308" spans="1:19" x14ac:dyDescent="0.35">
      <c r="A308" s="98" t="s">
        <v>19</v>
      </c>
      <c r="B308" s="36">
        <v>8470540</v>
      </c>
      <c r="C308" s="37" t="s">
        <v>396</v>
      </c>
      <c r="D308" s="38">
        <v>430230</v>
      </c>
      <c r="E308" s="37" t="s">
        <v>416</v>
      </c>
      <c r="F308" s="37" t="s">
        <v>417</v>
      </c>
      <c r="G308" s="39">
        <v>0</v>
      </c>
      <c r="H308" s="40">
        <v>100000</v>
      </c>
      <c r="I308" s="41">
        <v>24415</v>
      </c>
      <c r="J308" s="42">
        <v>0</v>
      </c>
      <c r="K308" s="40">
        <v>0</v>
      </c>
      <c r="L308" s="9">
        <f t="shared" si="8"/>
        <v>75585</v>
      </c>
      <c r="M308" s="44"/>
      <c r="N308" s="44"/>
      <c r="O308" s="44"/>
      <c r="P308" s="67"/>
      <c r="Q308" s="39">
        <f t="shared" si="9"/>
        <v>75585</v>
      </c>
      <c r="R308" s="67"/>
      <c r="S308" s="1" t="s">
        <v>722</v>
      </c>
    </row>
    <row r="309" spans="1:19" x14ac:dyDescent="0.35">
      <c r="A309" s="98" t="s">
        <v>19</v>
      </c>
      <c r="B309" s="36">
        <v>8470540</v>
      </c>
      <c r="C309" s="37" t="s">
        <v>396</v>
      </c>
      <c r="D309" s="38">
        <v>430330</v>
      </c>
      <c r="E309" s="37" t="s">
        <v>418</v>
      </c>
      <c r="F309" s="37" t="s">
        <v>419</v>
      </c>
      <c r="G309" s="39">
        <v>967680</v>
      </c>
      <c r="H309" s="40">
        <v>967680</v>
      </c>
      <c r="I309" s="41">
        <v>14000</v>
      </c>
      <c r="J309" s="42">
        <v>901610</v>
      </c>
      <c r="K309" s="40">
        <v>7000</v>
      </c>
      <c r="L309" s="9">
        <f t="shared" si="8"/>
        <v>45070</v>
      </c>
      <c r="M309" s="44"/>
      <c r="N309" s="44"/>
      <c r="O309" s="44"/>
      <c r="P309" s="67"/>
      <c r="Q309" s="39">
        <f t="shared" si="9"/>
        <v>45070</v>
      </c>
      <c r="R309" s="67"/>
      <c r="S309" s="1" t="s">
        <v>722</v>
      </c>
    </row>
    <row r="310" spans="1:19" x14ac:dyDescent="0.35">
      <c r="A310" s="98" t="s">
        <v>19</v>
      </c>
      <c r="B310" s="36">
        <v>8470540</v>
      </c>
      <c r="C310" s="37" t="s">
        <v>396</v>
      </c>
      <c r="D310" s="38">
        <v>432120</v>
      </c>
      <c r="E310" s="37" t="s">
        <v>385</v>
      </c>
      <c r="F310" s="37" t="s">
        <v>420</v>
      </c>
      <c r="G310" s="39">
        <v>0</v>
      </c>
      <c r="H310" s="40">
        <v>-367211</v>
      </c>
      <c r="I310" s="41">
        <v>-367211.82</v>
      </c>
      <c r="J310" s="45"/>
      <c r="K310" s="40">
        <v>-7.0000000006984905E-2</v>
      </c>
      <c r="L310" s="9">
        <f t="shared" si="8"/>
        <v>0.89000000001396984</v>
      </c>
      <c r="M310" s="44"/>
      <c r="N310" s="44"/>
      <c r="O310" s="44"/>
      <c r="P310" s="67"/>
      <c r="Q310" s="39">
        <f t="shared" si="9"/>
        <v>0.89000000001396984</v>
      </c>
      <c r="R310" s="67"/>
      <c r="S310" s="1" t="s">
        <v>722</v>
      </c>
    </row>
    <row r="311" spans="1:19" x14ac:dyDescent="0.35">
      <c r="A311" s="98" t="s">
        <v>19</v>
      </c>
      <c r="B311" s="36">
        <v>8470540</v>
      </c>
      <c r="C311" s="37" t="s">
        <v>396</v>
      </c>
      <c r="D311" s="38">
        <v>432120</v>
      </c>
      <c r="E311" s="37" t="s">
        <v>385</v>
      </c>
      <c r="F311" s="37" t="s">
        <v>421</v>
      </c>
      <c r="G311" s="39">
        <v>0</v>
      </c>
      <c r="H311" s="40">
        <v>-241882</v>
      </c>
      <c r="I311" s="41">
        <v>-242103.6</v>
      </c>
      <c r="J311" s="42">
        <v>3</v>
      </c>
      <c r="K311" s="40">
        <v>0</v>
      </c>
      <c r="L311" s="9">
        <f t="shared" si="8"/>
        <v>218.60000000000582</v>
      </c>
      <c r="M311" s="44"/>
      <c r="N311" s="44"/>
      <c r="O311" s="44"/>
      <c r="P311" s="67"/>
      <c r="Q311" s="39">
        <f t="shared" si="9"/>
        <v>218.60000000000582</v>
      </c>
      <c r="R311" s="67"/>
      <c r="S311" s="1" t="s">
        <v>722</v>
      </c>
    </row>
    <row r="312" spans="1:19" x14ac:dyDescent="0.35">
      <c r="A312" s="98" t="s">
        <v>19</v>
      </c>
      <c r="B312" s="36">
        <v>8470540</v>
      </c>
      <c r="C312" s="37" t="s">
        <v>396</v>
      </c>
      <c r="D312" s="38">
        <v>432540</v>
      </c>
      <c r="E312" s="37" t="s">
        <v>422</v>
      </c>
      <c r="F312" s="37" t="s">
        <v>423</v>
      </c>
      <c r="G312" s="39">
        <v>140000</v>
      </c>
      <c r="H312" s="40">
        <v>140000</v>
      </c>
      <c r="I312" s="41">
        <v>23171.84</v>
      </c>
      <c r="J312" s="42">
        <v>0</v>
      </c>
      <c r="K312" s="46"/>
      <c r="L312" s="9">
        <f t="shared" si="8"/>
        <v>116828.16</v>
      </c>
      <c r="M312" s="44">
        <v>30000</v>
      </c>
      <c r="N312" s="44">
        <v>30000</v>
      </c>
      <c r="O312" s="44">
        <v>30000</v>
      </c>
      <c r="P312" s="67" t="s">
        <v>791</v>
      </c>
      <c r="Q312" s="39">
        <f t="shared" si="9"/>
        <v>26828.160000000003</v>
      </c>
      <c r="R312" s="67"/>
      <c r="S312" s="1" t="s">
        <v>722</v>
      </c>
    </row>
    <row r="313" spans="1:19" x14ac:dyDescent="0.35">
      <c r="A313" s="98" t="s">
        <v>19</v>
      </c>
      <c r="B313" s="36">
        <v>8470540</v>
      </c>
      <c r="C313" s="37" t="s">
        <v>396</v>
      </c>
      <c r="D313" s="38">
        <v>435410</v>
      </c>
      <c r="E313" s="37" t="s">
        <v>424</v>
      </c>
      <c r="F313" s="37" t="s">
        <v>425</v>
      </c>
      <c r="G313" s="39">
        <v>0</v>
      </c>
      <c r="H313" s="40">
        <v>1112782</v>
      </c>
      <c r="I313" s="41">
        <v>688516.35</v>
      </c>
      <c r="J313" s="42">
        <v>2.0000000000363798</v>
      </c>
      <c r="K313" s="40">
        <v>-3.6379788070917097E-11</v>
      </c>
      <c r="L313" s="9">
        <f t="shared" si="8"/>
        <v>424263.65</v>
      </c>
      <c r="M313" s="44">
        <v>141421</v>
      </c>
      <c r="N313" s="44">
        <v>141421</v>
      </c>
      <c r="O313" s="44">
        <v>141422</v>
      </c>
      <c r="P313" s="67" t="s">
        <v>792</v>
      </c>
      <c r="Q313" s="39">
        <f t="shared" si="9"/>
        <v>-0.34999999997671694</v>
      </c>
      <c r="R313" s="67"/>
      <c r="S313" s="1" t="s">
        <v>722</v>
      </c>
    </row>
    <row r="314" spans="1:19" x14ac:dyDescent="0.35">
      <c r="A314" s="98" t="s">
        <v>19</v>
      </c>
      <c r="B314" s="36">
        <v>8470540</v>
      </c>
      <c r="C314" s="37" t="s">
        <v>396</v>
      </c>
      <c r="D314" s="38">
        <v>435740</v>
      </c>
      <c r="E314" s="37" t="s">
        <v>426</v>
      </c>
      <c r="F314" s="37" t="s">
        <v>427</v>
      </c>
      <c r="G314" s="39">
        <v>336000</v>
      </c>
      <c r="H314" s="40">
        <v>336000</v>
      </c>
      <c r="I314" s="41">
        <v>266719.75</v>
      </c>
      <c r="J314" s="45"/>
      <c r="K314" s="46"/>
      <c r="L314" s="9">
        <f t="shared" si="8"/>
        <v>69280.25</v>
      </c>
      <c r="M314" s="44">
        <v>20000</v>
      </c>
      <c r="N314" s="44">
        <v>20000</v>
      </c>
      <c r="O314" s="44">
        <v>20000</v>
      </c>
      <c r="P314" s="67" t="s">
        <v>793</v>
      </c>
      <c r="Q314" s="39">
        <f t="shared" si="9"/>
        <v>9280.25</v>
      </c>
      <c r="R314" s="67"/>
      <c r="S314" s="1" t="s">
        <v>722</v>
      </c>
    </row>
    <row r="315" spans="1:19" x14ac:dyDescent="0.35">
      <c r="A315" s="98" t="s">
        <v>19</v>
      </c>
      <c r="B315" s="36">
        <v>8470540</v>
      </c>
      <c r="C315" s="37" t="s">
        <v>396</v>
      </c>
      <c r="D315" s="38">
        <v>436110</v>
      </c>
      <c r="E315" s="37" t="s">
        <v>119</v>
      </c>
      <c r="F315" s="37" t="s">
        <v>428</v>
      </c>
      <c r="G315" s="39">
        <v>193910</v>
      </c>
      <c r="H315" s="40">
        <v>193910</v>
      </c>
      <c r="I315" s="41">
        <v>107100.78</v>
      </c>
      <c r="J315" s="42">
        <v>0</v>
      </c>
      <c r="K315" s="40">
        <v>0</v>
      </c>
      <c r="L315" s="9">
        <f t="shared" si="8"/>
        <v>86809.22</v>
      </c>
      <c r="M315" s="44">
        <v>5000</v>
      </c>
      <c r="N315" s="44">
        <v>5000</v>
      </c>
      <c r="O315" s="44">
        <v>5000</v>
      </c>
      <c r="P315" s="67" t="s">
        <v>794</v>
      </c>
      <c r="Q315" s="39">
        <f t="shared" si="9"/>
        <v>71809.22</v>
      </c>
      <c r="R315" s="67"/>
      <c r="S315" s="1" t="s">
        <v>722</v>
      </c>
    </row>
    <row r="316" spans="1:19" x14ac:dyDescent="0.35">
      <c r="A316" s="2" t="s">
        <v>19</v>
      </c>
      <c r="B316" s="48">
        <v>8470610</v>
      </c>
      <c r="C316" s="49" t="s">
        <v>429</v>
      </c>
      <c r="D316" s="50">
        <v>428090</v>
      </c>
      <c r="E316" s="49" t="s">
        <v>39</v>
      </c>
      <c r="F316" s="49" t="s">
        <v>430</v>
      </c>
      <c r="G316" s="51">
        <v>0</v>
      </c>
      <c r="H316" s="52">
        <v>2000</v>
      </c>
      <c r="I316" s="59"/>
      <c r="J316" s="57"/>
      <c r="K316" s="58"/>
      <c r="L316" s="9">
        <f t="shared" si="8"/>
        <v>2000</v>
      </c>
      <c r="M316" s="56">
        <v>350</v>
      </c>
      <c r="N316" s="56"/>
      <c r="O316" s="56"/>
      <c r="P316" s="63"/>
      <c r="Q316" s="51">
        <f t="shared" si="9"/>
        <v>1650</v>
      </c>
      <c r="R316" s="63"/>
      <c r="S316" s="1" t="s">
        <v>722</v>
      </c>
    </row>
    <row r="317" spans="1:19" ht="203" x14ac:dyDescent="0.35">
      <c r="A317" s="2" t="s">
        <v>19</v>
      </c>
      <c r="B317" s="48">
        <v>8470620</v>
      </c>
      <c r="C317" s="49" t="s">
        <v>431</v>
      </c>
      <c r="D317" s="50">
        <v>420130</v>
      </c>
      <c r="E317" s="49" t="s">
        <v>432</v>
      </c>
      <c r="F317" s="49" t="s">
        <v>433</v>
      </c>
      <c r="G317" s="51">
        <v>295000</v>
      </c>
      <c r="H317" s="52">
        <v>295000</v>
      </c>
      <c r="I317" s="53">
        <v>171100</v>
      </c>
      <c r="J317" s="57"/>
      <c r="K317" s="58"/>
      <c r="L317" s="9">
        <f t="shared" si="8"/>
        <v>123900</v>
      </c>
      <c r="M317" s="56">
        <v>75750</v>
      </c>
      <c r="N317" s="56">
        <v>136350</v>
      </c>
      <c r="O317" s="56"/>
      <c r="P317" s="62" t="s">
        <v>732</v>
      </c>
      <c r="Q317" s="51">
        <f t="shared" si="9"/>
        <v>-88200</v>
      </c>
      <c r="R317" s="63" t="s">
        <v>739</v>
      </c>
      <c r="S317" s="1" t="s">
        <v>722</v>
      </c>
    </row>
    <row r="318" spans="1:19" x14ac:dyDescent="0.35">
      <c r="A318" s="2" t="s">
        <v>19</v>
      </c>
      <c r="B318" s="48">
        <v>8470620</v>
      </c>
      <c r="C318" s="49" t="s">
        <v>431</v>
      </c>
      <c r="D318" s="50">
        <v>421100</v>
      </c>
      <c r="E318" s="49" t="s">
        <v>367</v>
      </c>
      <c r="F318" s="49" t="s">
        <v>434</v>
      </c>
      <c r="G318" s="51">
        <v>431160</v>
      </c>
      <c r="H318" s="52">
        <v>31160</v>
      </c>
      <c r="I318" s="53">
        <v>31000</v>
      </c>
      <c r="J318" s="57"/>
      <c r="K318" s="58"/>
      <c r="L318" s="9">
        <f t="shared" si="8"/>
        <v>160</v>
      </c>
      <c r="M318" s="56">
        <v>0</v>
      </c>
      <c r="N318" s="56">
        <v>0</v>
      </c>
      <c r="O318" s="56">
        <v>0</v>
      </c>
      <c r="P318" s="62"/>
      <c r="Q318" s="51">
        <f t="shared" si="9"/>
        <v>160</v>
      </c>
      <c r="R318" s="94" t="s">
        <v>741</v>
      </c>
      <c r="S318" s="1" t="s">
        <v>722</v>
      </c>
    </row>
    <row r="319" spans="1:19" ht="72.5" x14ac:dyDescent="0.35">
      <c r="A319" s="2" t="s">
        <v>19</v>
      </c>
      <c r="B319" s="48">
        <v>8470620</v>
      </c>
      <c r="C319" s="49" t="s">
        <v>431</v>
      </c>
      <c r="D319" s="50">
        <v>422900</v>
      </c>
      <c r="E319" s="49" t="s">
        <v>435</v>
      </c>
      <c r="F319" s="49" t="s">
        <v>436</v>
      </c>
      <c r="G319" s="51">
        <v>310500</v>
      </c>
      <c r="H319" s="52">
        <v>426100</v>
      </c>
      <c r="I319" s="53">
        <v>322075</v>
      </c>
      <c r="J319" s="54">
        <v>0</v>
      </c>
      <c r="K319" s="52">
        <v>104025</v>
      </c>
      <c r="L319" s="9">
        <f t="shared" si="8"/>
        <v>0</v>
      </c>
      <c r="M319" s="56">
        <v>91250</v>
      </c>
      <c r="N319" s="56">
        <v>2880</v>
      </c>
      <c r="O319" s="56">
        <v>0</v>
      </c>
      <c r="P319" s="62" t="s">
        <v>733</v>
      </c>
      <c r="Q319" s="51">
        <f t="shared" si="9"/>
        <v>-94130</v>
      </c>
      <c r="R319" s="95" t="s">
        <v>739</v>
      </c>
      <c r="S319" s="1" t="s">
        <v>722</v>
      </c>
    </row>
    <row r="320" spans="1:19" ht="29" x14ac:dyDescent="0.35">
      <c r="A320" s="2" t="s">
        <v>19</v>
      </c>
      <c r="B320" s="48">
        <v>8470620</v>
      </c>
      <c r="C320" s="49" t="s">
        <v>431</v>
      </c>
      <c r="D320" s="50">
        <v>425300</v>
      </c>
      <c r="E320" s="49" t="s">
        <v>437</v>
      </c>
      <c r="F320" s="49" t="s">
        <v>438</v>
      </c>
      <c r="G320" s="51">
        <v>3600</v>
      </c>
      <c r="H320" s="52">
        <v>3600</v>
      </c>
      <c r="I320" s="53">
        <v>288.14</v>
      </c>
      <c r="J320" s="57"/>
      <c r="K320" s="58"/>
      <c r="L320" s="9">
        <f t="shared" si="8"/>
        <v>3311.86</v>
      </c>
      <c r="M320" s="56">
        <v>100</v>
      </c>
      <c r="N320" s="56">
        <v>100</v>
      </c>
      <c r="O320" s="56">
        <v>100</v>
      </c>
      <c r="P320" s="62" t="s">
        <v>735</v>
      </c>
      <c r="Q320" s="51">
        <f t="shared" si="9"/>
        <v>3011.86</v>
      </c>
      <c r="R320" s="63"/>
      <c r="S320" s="1" t="s">
        <v>838</v>
      </c>
    </row>
    <row r="321" spans="1:19" ht="29" x14ac:dyDescent="0.35">
      <c r="A321" s="2" t="s">
        <v>19</v>
      </c>
      <c r="B321" s="48">
        <v>8470620</v>
      </c>
      <c r="C321" s="49" t="s">
        <v>431</v>
      </c>
      <c r="D321" s="50">
        <v>425350</v>
      </c>
      <c r="E321" s="49" t="s">
        <v>439</v>
      </c>
      <c r="F321" s="49" t="s">
        <v>440</v>
      </c>
      <c r="G321" s="51">
        <v>90000</v>
      </c>
      <c r="H321" s="52">
        <v>90000</v>
      </c>
      <c r="I321" s="53">
        <v>72397.169999999896</v>
      </c>
      <c r="J321" s="57"/>
      <c r="K321" s="58"/>
      <c r="L321" s="9">
        <f t="shared" si="8"/>
        <v>17602.830000000104</v>
      </c>
      <c r="M321" s="56">
        <v>5867</v>
      </c>
      <c r="N321" s="56">
        <v>5867</v>
      </c>
      <c r="O321" s="56">
        <v>5869</v>
      </c>
      <c r="P321" s="62" t="s">
        <v>735</v>
      </c>
      <c r="Q321" s="51">
        <f t="shared" si="9"/>
        <v>-0.16999999989639036</v>
      </c>
      <c r="R321" s="63"/>
      <c r="S321" s="1" t="s">
        <v>722</v>
      </c>
    </row>
    <row r="322" spans="1:19" x14ac:dyDescent="0.35">
      <c r="A322" s="2" t="s">
        <v>19</v>
      </c>
      <c r="B322" s="48">
        <v>8470620</v>
      </c>
      <c r="C322" s="49" t="s">
        <v>431</v>
      </c>
      <c r="D322" s="50">
        <v>426610</v>
      </c>
      <c r="E322" s="49" t="s">
        <v>37</v>
      </c>
      <c r="F322" s="49" t="s">
        <v>441</v>
      </c>
      <c r="G322" s="51">
        <v>31680</v>
      </c>
      <c r="H322" s="52">
        <v>31680</v>
      </c>
      <c r="I322" s="59"/>
      <c r="J322" s="54">
        <v>0</v>
      </c>
      <c r="K322" s="52">
        <v>31680</v>
      </c>
      <c r="L322" s="9">
        <f t="shared" si="8"/>
        <v>0</v>
      </c>
      <c r="M322" s="56">
        <v>0</v>
      </c>
      <c r="N322" s="56">
        <v>0</v>
      </c>
      <c r="O322" s="56">
        <v>0</v>
      </c>
      <c r="P322" s="62"/>
      <c r="Q322" s="51">
        <f t="shared" si="9"/>
        <v>0</v>
      </c>
      <c r="R322" s="63"/>
      <c r="S322" s="1" t="s">
        <v>722</v>
      </c>
    </row>
    <row r="323" spans="1:19" x14ac:dyDescent="0.35">
      <c r="A323" s="2" t="s">
        <v>19</v>
      </c>
      <c r="B323" s="48">
        <v>8470620</v>
      </c>
      <c r="C323" s="49" t="s">
        <v>431</v>
      </c>
      <c r="D323" s="50">
        <v>436110</v>
      </c>
      <c r="E323" s="49" t="s">
        <v>119</v>
      </c>
      <c r="F323" s="49" t="s">
        <v>442</v>
      </c>
      <c r="G323" s="56"/>
      <c r="H323" s="58"/>
      <c r="I323" s="53">
        <v>0</v>
      </c>
      <c r="J323" s="57"/>
      <c r="K323" s="58"/>
      <c r="L323" s="9">
        <f t="shared" ref="L323:L343" si="10">H323-I323-J323-K323</f>
        <v>0</v>
      </c>
      <c r="M323" s="56"/>
      <c r="N323" s="56"/>
      <c r="O323" s="56"/>
      <c r="P323" s="62"/>
      <c r="Q323" s="51">
        <f t="shared" ref="Q323:Q386" si="11">L323-M323-N323-O323</f>
        <v>0</v>
      </c>
      <c r="R323" s="63"/>
      <c r="S323" s="1" t="s">
        <v>722</v>
      </c>
    </row>
    <row r="324" spans="1:19" ht="29" x14ac:dyDescent="0.35">
      <c r="A324" s="2" t="s">
        <v>19</v>
      </c>
      <c r="B324" s="48">
        <v>8470620</v>
      </c>
      <c r="C324" s="49" t="s">
        <v>431</v>
      </c>
      <c r="D324" s="50">
        <v>436120</v>
      </c>
      <c r="E324" s="49" t="s">
        <v>443</v>
      </c>
      <c r="F324" s="49" t="s">
        <v>444</v>
      </c>
      <c r="G324" s="51">
        <v>2500</v>
      </c>
      <c r="H324" s="52">
        <v>13750</v>
      </c>
      <c r="I324" s="59"/>
      <c r="J324" s="57"/>
      <c r="K324" s="58"/>
      <c r="L324" s="9">
        <f t="shared" si="10"/>
        <v>13750</v>
      </c>
      <c r="M324" s="56">
        <v>6150</v>
      </c>
      <c r="N324" s="96">
        <v>4720</v>
      </c>
      <c r="O324" s="56"/>
      <c r="P324" s="62" t="s">
        <v>736</v>
      </c>
      <c r="Q324" s="51">
        <f>L324-M324-N324-O324</f>
        <v>2880</v>
      </c>
      <c r="R324" s="63"/>
      <c r="S324" s="1" t="s">
        <v>722</v>
      </c>
    </row>
    <row r="325" spans="1:19" ht="72.5" x14ac:dyDescent="0.35">
      <c r="A325" s="85" t="s">
        <v>19</v>
      </c>
      <c r="B325" s="86">
        <v>8470620</v>
      </c>
      <c r="C325" s="87" t="s">
        <v>431</v>
      </c>
      <c r="D325" s="88">
        <v>422900</v>
      </c>
      <c r="E325" s="87" t="s">
        <v>435</v>
      </c>
      <c r="F325" s="87" t="s">
        <v>436</v>
      </c>
      <c r="G325" s="89"/>
      <c r="H325" s="89"/>
      <c r="I325" s="90"/>
      <c r="J325" s="91"/>
      <c r="K325" s="91"/>
      <c r="L325" s="9">
        <f t="shared" si="10"/>
        <v>0</v>
      </c>
      <c r="M325" s="91">
        <v>0</v>
      </c>
      <c r="N325" s="92">
        <v>0</v>
      </c>
      <c r="P325" s="97" t="s">
        <v>734</v>
      </c>
      <c r="Q325" s="93">
        <v>-290000</v>
      </c>
      <c r="R325" s="81" t="s">
        <v>739</v>
      </c>
      <c r="S325" s="1" t="s">
        <v>722</v>
      </c>
    </row>
    <row r="326" spans="1:19" ht="29" x14ac:dyDescent="0.35">
      <c r="A326" s="68" t="s">
        <v>19</v>
      </c>
      <c r="B326" s="69">
        <v>8470610</v>
      </c>
      <c r="C326" s="70" t="s">
        <v>429</v>
      </c>
      <c r="D326" s="71">
        <v>425900</v>
      </c>
      <c r="E326" s="70" t="s">
        <v>737</v>
      </c>
      <c r="F326" s="70" t="s">
        <v>738</v>
      </c>
      <c r="G326" s="72"/>
      <c r="H326" s="73"/>
      <c r="I326" s="74"/>
      <c r="J326" s="75"/>
      <c r="K326" s="76"/>
      <c r="L326" s="9">
        <f t="shared" si="10"/>
        <v>0</v>
      </c>
      <c r="M326" s="77">
        <v>2000</v>
      </c>
      <c r="N326" s="78"/>
      <c r="O326" s="79"/>
      <c r="P326" s="80"/>
      <c r="Q326" s="80">
        <f>L326-M326-N326-O326</f>
        <v>-2000</v>
      </c>
      <c r="R326" s="81" t="s">
        <v>739</v>
      </c>
      <c r="S326" s="1" t="s">
        <v>722</v>
      </c>
    </row>
    <row r="327" spans="1:19" ht="52.5" x14ac:dyDescent="0.35">
      <c r="A327" s="68" t="s">
        <v>19</v>
      </c>
      <c r="B327" s="69">
        <v>8470620</v>
      </c>
      <c r="C327" s="70" t="s">
        <v>431</v>
      </c>
      <c r="D327" s="71">
        <v>428090</v>
      </c>
      <c r="E327" s="70" t="s">
        <v>39</v>
      </c>
      <c r="F327" s="70" t="s">
        <v>740</v>
      </c>
      <c r="G327" s="72"/>
      <c r="H327" s="73"/>
      <c r="I327" s="74"/>
      <c r="J327" s="75"/>
      <c r="K327" s="76"/>
      <c r="L327" s="9">
        <f t="shared" si="10"/>
        <v>0</v>
      </c>
      <c r="M327" s="82">
        <v>5080</v>
      </c>
      <c r="N327" s="83">
        <v>0</v>
      </c>
      <c r="O327" s="84"/>
      <c r="P327" s="84" t="s">
        <v>731</v>
      </c>
      <c r="Q327" s="80">
        <f>L327-M327-N327-O327</f>
        <v>-5080</v>
      </c>
      <c r="R327" s="81" t="s">
        <v>739</v>
      </c>
      <c r="S327" s="1" t="s">
        <v>722</v>
      </c>
    </row>
    <row r="328" spans="1:19" x14ac:dyDescent="0.35">
      <c r="A328" s="2" t="s">
        <v>19</v>
      </c>
      <c r="B328" s="26">
        <v>8470720</v>
      </c>
      <c r="C328" s="3" t="s">
        <v>445</v>
      </c>
      <c r="D328" s="27">
        <v>421700</v>
      </c>
      <c r="E328" s="3" t="s">
        <v>29</v>
      </c>
      <c r="F328" s="3" t="s">
        <v>446</v>
      </c>
      <c r="G328" s="4">
        <v>2000</v>
      </c>
      <c r="H328" s="5">
        <v>24000</v>
      </c>
      <c r="I328" s="6"/>
      <c r="J328" s="12">
        <v>20000</v>
      </c>
      <c r="K328" s="8"/>
      <c r="L328" s="9">
        <f t="shared" si="10"/>
        <v>4000</v>
      </c>
      <c r="M328" s="10"/>
      <c r="N328" s="10"/>
      <c r="O328" s="10"/>
      <c r="P328" s="61"/>
      <c r="Q328" s="4">
        <f t="shared" si="11"/>
        <v>4000</v>
      </c>
      <c r="R328" s="61"/>
      <c r="S328" s="1" t="s">
        <v>838</v>
      </c>
    </row>
    <row r="329" spans="1:19" x14ac:dyDescent="0.35">
      <c r="A329" s="2" t="s">
        <v>19</v>
      </c>
      <c r="B329" s="26">
        <v>8470720</v>
      </c>
      <c r="C329" s="3" t="s">
        <v>445</v>
      </c>
      <c r="D329" s="27">
        <v>426610</v>
      </c>
      <c r="E329" s="3" t="s">
        <v>37</v>
      </c>
      <c r="F329" s="3" t="s">
        <v>447</v>
      </c>
      <c r="G329" s="4">
        <v>0</v>
      </c>
      <c r="H329" s="5">
        <v>7300</v>
      </c>
      <c r="I329" s="6"/>
      <c r="J329" s="12">
        <v>6901.65</v>
      </c>
      <c r="K329" s="8"/>
      <c r="L329" s="9">
        <f t="shared" si="10"/>
        <v>398.35000000000036</v>
      </c>
      <c r="M329" s="10"/>
      <c r="N329" s="10"/>
      <c r="O329" s="10"/>
      <c r="P329" s="61"/>
      <c r="Q329" s="4">
        <f t="shared" si="11"/>
        <v>398.35000000000036</v>
      </c>
      <c r="R329" s="61"/>
      <c r="S329" s="1" t="s">
        <v>838</v>
      </c>
    </row>
    <row r="330" spans="1:19" x14ac:dyDescent="0.35">
      <c r="A330" s="2" t="s">
        <v>19</v>
      </c>
      <c r="B330" s="26">
        <v>8470720</v>
      </c>
      <c r="C330" s="3" t="s">
        <v>445</v>
      </c>
      <c r="D330" s="27">
        <v>426900</v>
      </c>
      <c r="E330" s="3" t="s">
        <v>400</v>
      </c>
      <c r="F330" s="3" t="s">
        <v>448</v>
      </c>
      <c r="G330" s="4">
        <v>10000</v>
      </c>
      <c r="H330" s="5">
        <v>15000</v>
      </c>
      <c r="I330" s="11">
        <v>9274.24</v>
      </c>
      <c r="J330" s="7"/>
      <c r="K330" s="8"/>
      <c r="L330" s="9">
        <f t="shared" si="10"/>
        <v>5725.76</v>
      </c>
      <c r="M330" s="10"/>
      <c r="N330" s="10"/>
      <c r="O330" s="10"/>
      <c r="P330" s="61"/>
      <c r="Q330" s="4">
        <f t="shared" si="11"/>
        <v>5725.76</v>
      </c>
      <c r="R330" s="61"/>
      <c r="S330" s="1" t="s">
        <v>838</v>
      </c>
    </row>
    <row r="331" spans="1:19" x14ac:dyDescent="0.35">
      <c r="A331" s="2" t="s">
        <v>19</v>
      </c>
      <c r="B331" s="26">
        <v>8470720</v>
      </c>
      <c r="C331" s="3" t="s">
        <v>445</v>
      </c>
      <c r="D331" s="27">
        <v>428200</v>
      </c>
      <c r="E331" s="3" t="s">
        <v>357</v>
      </c>
      <c r="F331" s="3" t="s">
        <v>449</v>
      </c>
      <c r="G331" s="4">
        <v>250000</v>
      </c>
      <c r="H331" s="5">
        <v>350000</v>
      </c>
      <c r="I331" s="11">
        <v>231002.99</v>
      </c>
      <c r="J331" s="12">
        <v>-7.2759576141834308E-12</v>
      </c>
      <c r="K331" s="5">
        <v>20020</v>
      </c>
      <c r="L331" s="9">
        <f t="shared" si="10"/>
        <v>98977.010000000009</v>
      </c>
      <c r="M331" s="10"/>
      <c r="N331" s="10"/>
      <c r="O331" s="10"/>
      <c r="P331" s="61"/>
      <c r="Q331" s="4">
        <f t="shared" si="11"/>
        <v>98977.010000000009</v>
      </c>
      <c r="R331" s="61"/>
      <c r="S331" s="1" t="s">
        <v>838</v>
      </c>
    </row>
    <row r="332" spans="1:19" x14ac:dyDescent="0.35">
      <c r="A332" s="2" t="s">
        <v>19</v>
      </c>
      <c r="B332" s="26">
        <v>8470720</v>
      </c>
      <c r="C332" s="3" t="s">
        <v>445</v>
      </c>
      <c r="D332" s="27">
        <v>432120</v>
      </c>
      <c r="E332" s="3" t="s">
        <v>385</v>
      </c>
      <c r="F332" s="3" t="s">
        <v>450</v>
      </c>
      <c r="G332" s="4">
        <v>236400</v>
      </c>
      <c r="H332" s="5">
        <v>54400</v>
      </c>
      <c r="I332" s="11">
        <v>1250</v>
      </c>
      <c r="J332" s="12">
        <v>52100</v>
      </c>
      <c r="K332" s="8"/>
      <c r="L332" s="9">
        <f t="shared" si="10"/>
        <v>1050</v>
      </c>
      <c r="M332" s="10"/>
      <c r="N332" s="10"/>
      <c r="O332" s="10"/>
      <c r="P332" s="61"/>
      <c r="Q332" s="4">
        <f t="shared" si="11"/>
        <v>1050</v>
      </c>
      <c r="R332" s="61"/>
      <c r="S332" s="1" t="s">
        <v>838</v>
      </c>
    </row>
    <row r="333" spans="1:19" x14ac:dyDescent="0.35">
      <c r="A333" s="2" t="s">
        <v>19</v>
      </c>
      <c r="B333" s="26">
        <v>8470720</v>
      </c>
      <c r="C333" s="3" t="s">
        <v>445</v>
      </c>
      <c r="D333" s="27">
        <v>435410</v>
      </c>
      <c r="E333" s="3" t="s">
        <v>424</v>
      </c>
      <c r="F333" s="3" t="s">
        <v>451</v>
      </c>
      <c r="G333" s="4">
        <v>840000</v>
      </c>
      <c r="H333" s="5">
        <v>164310</v>
      </c>
      <c r="I333" s="11">
        <v>163340.39000000001</v>
      </c>
      <c r="J333" s="12">
        <v>0</v>
      </c>
      <c r="K333" s="5">
        <v>450</v>
      </c>
      <c r="L333" s="9">
        <f t="shared" si="10"/>
        <v>519.60999999998603</v>
      </c>
      <c r="M333" s="10"/>
      <c r="N333" s="10"/>
      <c r="O333" s="10"/>
      <c r="P333" s="61"/>
      <c r="Q333" s="4">
        <f t="shared" si="11"/>
        <v>519.60999999998603</v>
      </c>
      <c r="R333" s="61"/>
      <c r="S333" s="1" t="s">
        <v>838</v>
      </c>
    </row>
    <row r="334" spans="1:19" x14ac:dyDescent="0.35">
      <c r="A334" s="2" t="s">
        <v>19</v>
      </c>
      <c r="B334" s="26">
        <v>8470720</v>
      </c>
      <c r="C334" s="3" t="s">
        <v>445</v>
      </c>
      <c r="D334" s="27">
        <v>436110</v>
      </c>
      <c r="E334" s="3" t="s">
        <v>119</v>
      </c>
      <c r="F334" s="3" t="s">
        <v>452</v>
      </c>
      <c r="G334" s="4">
        <v>50000</v>
      </c>
      <c r="H334" s="5">
        <v>37700</v>
      </c>
      <c r="I334" s="11">
        <v>12853.5</v>
      </c>
      <c r="J334" s="12">
        <v>0</v>
      </c>
      <c r="K334" s="8"/>
      <c r="L334" s="9">
        <f t="shared" si="10"/>
        <v>24846.5</v>
      </c>
      <c r="M334" s="10"/>
      <c r="N334" s="10"/>
      <c r="O334" s="10"/>
      <c r="P334" s="61"/>
      <c r="Q334" s="4">
        <f t="shared" si="11"/>
        <v>24846.5</v>
      </c>
      <c r="R334" s="61"/>
      <c r="S334" s="1" t="s">
        <v>838</v>
      </c>
    </row>
    <row r="335" spans="1:19" x14ac:dyDescent="0.35">
      <c r="A335" s="2" t="s">
        <v>19</v>
      </c>
      <c r="B335" s="26">
        <v>8470720</v>
      </c>
      <c r="C335" s="3" t="s">
        <v>445</v>
      </c>
      <c r="D335" s="27">
        <v>436120</v>
      </c>
      <c r="E335" s="3" t="s">
        <v>443</v>
      </c>
      <c r="F335" s="3" t="s">
        <v>453</v>
      </c>
      <c r="G335" s="4">
        <v>120000</v>
      </c>
      <c r="H335" s="5">
        <v>180000</v>
      </c>
      <c r="I335" s="11">
        <v>163228.88</v>
      </c>
      <c r="J335" s="12">
        <v>53.010000000002002</v>
      </c>
      <c r="K335" s="5">
        <v>8021.99999999999</v>
      </c>
      <c r="L335" s="9">
        <f t="shared" si="10"/>
        <v>8696.1100000000042</v>
      </c>
      <c r="M335" s="10"/>
      <c r="N335" s="10"/>
      <c r="O335" s="10"/>
      <c r="P335" s="61"/>
      <c r="Q335" s="4">
        <f t="shared" si="11"/>
        <v>8696.1100000000042</v>
      </c>
      <c r="R335" s="61"/>
      <c r="S335" s="1" t="s">
        <v>838</v>
      </c>
    </row>
    <row r="336" spans="1:19" x14ac:dyDescent="0.35">
      <c r="A336" s="2" t="s">
        <v>19</v>
      </c>
      <c r="B336" s="26">
        <v>8470730</v>
      </c>
      <c r="C336" s="3" t="s">
        <v>454</v>
      </c>
      <c r="D336" s="27">
        <v>421000</v>
      </c>
      <c r="E336" s="3" t="s">
        <v>27</v>
      </c>
      <c r="F336" s="3" t="s">
        <v>455</v>
      </c>
      <c r="G336" s="4">
        <v>300000</v>
      </c>
      <c r="H336" s="5">
        <v>600000</v>
      </c>
      <c r="I336" s="11">
        <v>2000</v>
      </c>
      <c r="J336" s="12">
        <v>-2.91038304567337E-11</v>
      </c>
      <c r="K336" s="5">
        <v>345051.9</v>
      </c>
      <c r="L336" s="9">
        <f t="shared" si="10"/>
        <v>252948.09999999998</v>
      </c>
      <c r="M336" s="10"/>
      <c r="N336" s="10"/>
      <c r="O336" s="10"/>
      <c r="P336" s="61"/>
      <c r="Q336" s="4">
        <f t="shared" si="11"/>
        <v>252948.09999999998</v>
      </c>
      <c r="R336" s="61"/>
      <c r="S336" s="1" t="s">
        <v>838</v>
      </c>
    </row>
    <row r="337" spans="1:19" x14ac:dyDescent="0.35">
      <c r="A337" s="2" t="s">
        <v>19</v>
      </c>
      <c r="B337" s="26">
        <v>8470730</v>
      </c>
      <c r="C337" s="3" t="s">
        <v>454</v>
      </c>
      <c r="D337" s="27">
        <v>425510</v>
      </c>
      <c r="E337" s="3" t="s">
        <v>31</v>
      </c>
      <c r="F337" s="3" t="s">
        <v>456</v>
      </c>
      <c r="G337" s="4">
        <v>50000</v>
      </c>
      <c r="H337" s="5">
        <v>42000</v>
      </c>
      <c r="I337" s="11">
        <v>12490</v>
      </c>
      <c r="J337" s="7"/>
      <c r="K337" s="8"/>
      <c r="L337" s="9">
        <f t="shared" si="10"/>
        <v>29510</v>
      </c>
      <c r="M337" s="10"/>
      <c r="N337" s="10"/>
      <c r="O337" s="10"/>
      <c r="P337" s="61"/>
      <c r="Q337" s="4">
        <f t="shared" si="11"/>
        <v>29510</v>
      </c>
      <c r="R337" s="61"/>
      <c r="S337" s="1" t="s">
        <v>838</v>
      </c>
    </row>
    <row r="338" spans="1:19" x14ac:dyDescent="0.35">
      <c r="A338" s="2" t="s">
        <v>19</v>
      </c>
      <c r="B338" s="26">
        <v>8470730</v>
      </c>
      <c r="C338" s="3" t="s">
        <v>454</v>
      </c>
      <c r="D338" s="27">
        <v>425900</v>
      </c>
      <c r="E338" s="3" t="s">
        <v>35</v>
      </c>
      <c r="F338" s="3" t="s">
        <v>457</v>
      </c>
      <c r="G338" s="4">
        <v>250000</v>
      </c>
      <c r="H338" s="5">
        <v>250000</v>
      </c>
      <c r="I338" s="11">
        <v>650</v>
      </c>
      <c r="J338" s="12">
        <v>144600</v>
      </c>
      <c r="K338" s="8"/>
      <c r="L338" s="9">
        <f t="shared" si="10"/>
        <v>104750</v>
      </c>
      <c r="M338" s="10"/>
      <c r="N338" s="10"/>
      <c r="O338" s="10"/>
      <c r="P338" s="61"/>
      <c r="Q338" s="4">
        <f t="shared" si="11"/>
        <v>104750</v>
      </c>
      <c r="R338" s="61"/>
      <c r="S338" s="1" t="s">
        <v>838</v>
      </c>
    </row>
    <row r="339" spans="1:19" x14ac:dyDescent="0.35">
      <c r="A339" s="2" t="s">
        <v>19</v>
      </c>
      <c r="B339" s="26">
        <v>8470730</v>
      </c>
      <c r="C339" s="3" t="s">
        <v>454</v>
      </c>
      <c r="D339" s="27">
        <v>426610</v>
      </c>
      <c r="E339" s="3" t="s">
        <v>37</v>
      </c>
      <c r="F339" s="3" t="s">
        <v>458</v>
      </c>
      <c r="G339" s="4">
        <v>600000</v>
      </c>
      <c r="H339" s="5">
        <v>300000</v>
      </c>
      <c r="I339" s="11">
        <v>165285</v>
      </c>
      <c r="J339" s="12">
        <v>0</v>
      </c>
      <c r="K339" s="5">
        <v>17000</v>
      </c>
      <c r="L339" s="9">
        <f t="shared" si="10"/>
        <v>117715</v>
      </c>
      <c r="M339" s="10"/>
      <c r="N339" s="10"/>
      <c r="O339" s="10"/>
      <c r="P339" s="61"/>
      <c r="Q339" s="4">
        <f t="shared" si="11"/>
        <v>117715</v>
      </c>
      <c r="R339" s="61"/>
      <c r="S339" s="1" t="s">
        <v>838</v>
      </c>
    </row>
    <row r="340" spans="1:19" x14ac:dyDescent="0.35">
      <c r="A340" s="2" t="s">
        <v>19</v>
      </c>
      <c r="B340" s="26">
        <v>8470730</v>
      </c>
      <c r="C340" s="3" t="s">
        <v>454</v>
      </c>
      <c r="D340" s="27">
        <v>427900</v>
      </c>
      <c r="E340" s="3" t="s">
        <v>459</v>
      </c>
      <c r="F340" s="3" t="s">
        <v>460</v>
      </c>
      <c r="G340" s="4">
        <v>10000</v>
      </c>
      <c r="H340" s="5">
        <v>10000</v>
      </c>
      <c r="I340" s="6"/>
      <c r="J340" s="7"/>
      <c r="K340" s="8"/>
      <c r="L340" s="9">
        <f t="shared" si="10"/>
        <v>10000</v>
      </c>
      <c r="M340" s="10"/>
      <c r="N340" s="10"/>
      <c r="O340" s="10"/>
      <c r="P340" s="61"/>
      <c r="Q340" s="4">
        <f t="shared" si="11"/>
        <v>10000</v>
      </c>
      <c r="R340" s="61"/>
      <c r="S340" s="1" t="s">
        <v>838</v>
      </c>
    </row>
    <row r="341" spans="1:19" x14ac:dyDescent="0.35">
      <c r="A341" s="2" t="s">
        <v>19</v>
      </c>
      <c r="B341" s="26">
        <v>8470730</v>
      </c>
      <c r="C341" s="3" t="s">
        <v>454</v>
      </c>
      <c r="D341" s="27">
        <v>428090</v>
      </c>
      <c r="E341" s="3" t="s">
        <v>39</v>
      </c>
      <c r="F341" s="3" t="s">
        <v>461</v>
      </c>
      <c r="G341" s="4">
        <v>0</v>
      </c>
      <c r="H341" s="5">
        <v>8000</v>
      </c>
      <c r="I341" s="11">
        <v>8000</v>
      </c>
      <c r="J341" s="7"/>
      <c r="K341" s="8"/>
      <c r="L341" s="9">
        <f t="shared" si="10"/>
        <v>0</v>
      </c>
      <c r="M341" s="10"/>
      <c r="N341" s="10"/>
      <c r="O341" s="10"/>
      <c r="P341" s="61"/>
      <c r="Q341" s="4">
        <f t="shared" si="11"/>
        <v>0</v>
      </c>
      <c r="R341" s="61"/>
      <c r="S341" s="1" t="s">
        <v>838</v>
      </c>
    </row>
    <row r="342" spans="1:19" x14ac:dyDescent="0.35">
      <c r="A342" s="2" t="s">
        <v>19</v>
      </c>
      <c r="B342" s="26">
        <v>8470730</v>
      </c>
      <c r="C342" s="3" t="s">
        <v>454</v>
      </c>
      <c r="D342" s="27">
        <v>428640</v>
      </c>
      <c r="E342" s="3" t="s">
        <v>43</v>
      </c>
      <c r="F342" s="3" t="s">
        <v>462</v>
      </c>
      <c r="G342" s="4">
        <v>250000</v>
      </c>
      <c r="H342" s="5">
        <v>132134</v>
      </c>
      <c r="I342" s="11">
        <v>47510.1</v>
      </c>
      <c r="J342" s="12">
        <v>0</v>
      </c>
      <c r="K342" s="5">
        <v>0</v>
      </c>
      <c r="L342" s="9">
        <f t="shared" si="10"/>
        <v>84623.9</v>
      </c>
      <c r="M342" s="10"/>
      <c r="N342" s="10"/>
      <c r="O342" s="10"/>
      <c r="P342" s="61"/>
      <c r="Q342" s="4">
        <f t="shared" si="11"/>
        <v>84623.9</v>
      </c>
      <c r="R342" s="61"/>
      <c r="S342" s="1" t="s">
        <v>838</v>
      </c>
    </row>
    <row r="343" spans="1:19" x14ac:dyDescent="0.35">
      <c r="A343" s="2" t="s">
        <v>19</v>
      </c>
      <c r="B343" s="26">
        <v>8470730</v>
      </c>
      <c r="C343" s="3" t="s">
        <v>454</v>
      </c>
      <c r="D343" s="27">
        <v>436110</v>
      </c>
      <c r="E343" s="3" t="s">
        <v>119</v>
      </c>
      <c r="F343" s="3" t="s">
        <v>463</v>
      </c>
      <c r="G343" s="4">
        <v>50000</v>
      </c>
      <c r="H343" s="5">
        <v>50000</v>
      </c>
      <c r="I343" s="11">
        <v>11620</v>
      </c>
      <c r="J343" s="12">
        <v>0</v>
      </c>
      <c r="K343" s="5">
        <v>32500</v>
      </c>
      <c r="L343" s="9">
        <f t="shared" si="10"/>
        <v>5880</v>
      </c>
      <c r="M343" s="10"/>
      <c r="N343" s="10"/>
      <c r="O343" s="10"/>
      <c r="P343" s="61"/>
      <c r="Q343" s="4">
        <f t="shared" si="11"/>
        <v>5880</v>
      </c>
      <c r="R343" s="61"/>
      <c r="S343" s="1" t="s">
        <v>838</v>
      </c>
    </row>
    <row r="344" spans="1:19" x14ac:dyDescent="0.35">
      <c r="A344" s="2" t="s">
        <v>19</v>
      </c>
      <c r="B344" s="36">
        <v>8470810</v>
      </c>
      <c r="C344" s="37" t="s">
        <v>464</v>
      </c>
      <c r="D344" s="38">
        <v>420811</v>
      </c>
      <c r="E344" s="37" t="s">
        <v>469</v>
      </c>
      <c r="F344" s="37" t="s">
        <v>470</v>
      </c>
      <c r="G344" s="39">
        <v>0</v>
      </c>
      <c r="H344" s="40">
        <v>10351793</v>
      </c>
      <c r="I344" s="115">
        <v>10221106</v>
      </c>
      <c r="J344" s="45"/>
      <c r="K344" s="46"/>
      <c r="L344" s="9">
        <f>H344-I344-J344-K344</f>
        <v>130687</v>
      </c>
      <c r="M344" s="116"/>
      <c r="N344" s="44"/>
      <c r="O344" s="44"/>
      <c r="P344" s="67"/>
      <c r="Q344" s="39">
        <f t="shared" si="11"/>
        <v>130687</v>
      </c>
      <c r="R344" s="67" t="s">
        <v>802</v>
      </c>
      <c r="S344" s="1" t="s">
        <v>722</v>
      </c>
    </row>
    <row r="345" spans="1:19" x14ac:dyDescent="0.35">
      <c r="A345" s="2" t="s">
        <v>19</v>
      </c>
      <c r="B345" s="36">
        <v>8470810</v>
      </c>
      <c r="C345" s="37" t="s">
        <v>464</v>
      </c>
      <c r="D345" s="38">
        <v>421100</v>
      </c>
      <c r="E345" s="37" t="s">
        <v>367</v>
      </c>
      <c r="F345" s="37" t="s">
        <v>471</v>
      </c>
      <c r="G345" s="39">
        <v>7465192</v>
      </c>
      <c r="H345" s="40">
        <v>445192</v>
      </c>
      <c r="I345" s="115">
        <v>-189882.07</v>
      </c>
      <c r="J345" s="42">
        <v>0</v>
      </c>
      <c r="K345" s="40">
        <v>563543.22</v>
      </c>
      <c r="L345" s="9">
        <f t="shared" ref="L345:L407" si="12">H345-I345-J345-K345</f>
        <v>71530.850000000093</v>
      </c>
      <c r="M345" s="44"/>
      <c r="N345" s="44"/>
      <c r="O345" s="44"/>
      <c r="P345" s="67"/>
      <c r="Q345" s="39">
        <f t="shared" si="11"/>
        <v>71530.850000000093</v>
      </c>
      <c r="R345" s="67" t="s">
        <v>803</v>
      </c>
      <c r="S345" s="1" t="s">
        <v>722</v>
      </c>
    </row>
    <row r="346" spans="1:19" x14ac:dyDescent="0.35">
      <c r="A346" s="2" t="s">
        <v>19</v>
      </c>
      <c r="B346" s="36">
        <v>8470810</v>
      </c>
      <c r="C346" s="37" t="s">
        <v>464</v>
      </c>
      <c r="D346" s="38">
        <v>426610</v>
      </c>
      <c r="E346" s="37" t="s">
        <v>37</v>
      </c>
      <c r="F346" s="37" t="s">
        <v>472</v>
      </c>
      <c r="G346" s="39">
        <v>8612571</v>
      </c>
      <c r="H346" s="40">
        <v>7589571</v>
      </c>
      <c r="I346" s="115">
        <v>4052414.96</v>
      </c>
      <c r="J346" s="42">
        <v>1146207.08</v>
      </c>
      <c r="K346" s="40">
        <v>2297253.5699999998</v>
      </c>
      <c r="L346" s="9">
        <f t="shared" si="12"/>
        <v>93695.39000000013</v>
      </c>
      <c r="M346" s="44">
        <v>64312.5</v>
      </c>
      <c r="N346" s="44"/>
      <c r="O346" s="44"/>
      <c r="P346" s="67" t="s">
        <v>796</v>
      </c>
      <c r="Q346" s="39">
        <f t="shared" si="11"/>
        <v>29382.89000000013</v>
      </c>
      <c r="R346" s="67" t="s">
        <v>804</v>
      </c>
      <c r="S346" s="1" t="s">
        <v>722</v>
      </c>
    </row>
    <row r="347" spans="1:19" ht="43.5" x14ac:dyDescent="0.35">
      <c r="A347" s="2" t="s">
        <v>19</v>
      </c>
      <c r="B347" s="36">
        <v>8470810</v>
      </c>
      <c r="C347" s="37" t="s">
        <v>464</v>
      </c>
      <c r="D347" s="38">
        <v>427810</v>
      </c>
      <c r="E347" s="37" t="s">
        <v>473</v>
      </c>
      <c r="F347" s="37" t="s">
        <v>474</v>
      </c>
      <c r="G347" s="39">
        <v>800000</v>
      </c>
      <c r="H347" s="40">
        <v>1205000</v>
      </c>
      <c r="I347" s="115">
        <v>946683.89</v>
      </c>
      <c r="J347" s="45"/>
      <c r="K347" s="46"/>
      <c r="L347" s="9">
        <f t="shared" si="12"/>
        <v>258316.11</v>
      </c>
      <c r="M347" s="44">
        <v>1480000</v>
      </c>
      <c r="N347" s="44">
        <v>55000</v>
      </c>
      <c r="O347" s="44">
        <v>55000</v>
      </c>
      <c r="P347" s="67" t="s">
        <v>797</v>
      </c>
      <c r="Q347" s="39">
        <f t="shared" si="11"/>
        <v>-1331683.8900000001</v>
      </c>
      <c r="R347" s="110" t="s">
        <v>805</v>
      </c>
      <c r="S347" s="1" t="s">
        <v>722</v>
      </c>
    </row>
    <row r="348" spans="1:19" x14ac:dyDescent="0.35">
      <c r="A348" s="2" t="s">
        <v>19</v>
      </c>
      <c r="B348" s="36">
        <v>8470810</v>
      </c>
      <c r="C348" s="37" t="s">
        <v>464</v>
      </c>
      <c r="D348" s="38">
        <v>427850</v>
      </c>
      <c r="E348" s="37" t="s">
        <v>475</v>
      </c>
      <c r="F348" s="37" t="s">
        <v>476</v>
      </c>
      <c r="G348" s="39">
        <v>2618028</v>
      </c>
      <c r="H348" s="40">
        <v>2213028</v>
      </c>
      <c r="I348" s="115">
        <v>1465268.54</v>
      </c>
      <c r="J348" s="45"/>
      <c r="K348" s="46"/>
      <c r="L348" s="9">
        <f t="shared" si="12"/>
        <v>747759.46</v>
      </c>
      <c r="M348" s="44">
        <v>387759.45999999996</v>
      </c>
      <c r="N348" s="44">
        <v>180000</v>
      </c>
      <c r="O348" s="44">
        <v>180000</v>
      </c>
      <c r="P348" s="67" t="s">
        <v>798</v>
      </c>
      <c r="Q348" s="39">
        <f t="shared" si="11"/>
        <v>0</v>
      </c>
      <c r="R348" s="67"/>
      <c r="S348" s="1" t="s">
        <v>722</v>
      </c>
    </row>
    <row r="349" spans="1:19" x14ac:dyDescent="0.35">
      <c r="A349" s="2" t="s">
        <v>19</v>
      </c>
      <c r="B349" s="36">
        <v>8470810</v>
      </c>
      <c r="C349" s="37" t="s">
        <v>464</v>
      </c>
      <c r="D349" s="38">
        <v>428090</v>
      </c>
      <c r="E349" s="37" t="s">
        <v>39</v>
      </c>
      <c r="F349" s="37" t="s">
        <v>477</v>
      </c>
      <c r="G349" s="39">
        <v>11500</v>
      </c>
      <c r="H349" s="40">
        <v>6334</v>
      </c>
      <c r="I349" s="115">
        <v>4400</v>
      </c>
      <c r="J349" s="45"/>
      <c r="K349" s="46"/>
      <c r="L349" s="9">
        <f t="shared" si="12"/>
        <v>1934</v>
      </c>
      <c r="M349" s="44">
        <v>1934</v>
      </c>
      <c r="N349" s="44"/>
      <c r="O349" s="44"/>
      <c r="P349" s="67" t="s">
        <v>799</v>
      </c>
      <c r="Q349" s="39">
        <f t="shared" si="11"/>
        <v>0</v>
      </c>
      <c r="R349" s="67"/>
      <c r="S349" s="1" t="s">
        <v>722</v>
      </c>
    </row>
    <row r="350" spans="1:19" x14ac:dyDescent="0.35">
      <c r="A350" s="2" t="s">
        <v>19</v>
      </c>
      <c r="B350" s="36">
        <v>8470810</v>
      </c>
      <c r="C350" s="37" t="s">
        <v>464</v>
      </c>
      <c r="D350" s="38">
        <v>430250</v>
      </c>
      <c r="E350" s="37" t="s">
        <v>479</v>
      </c>
      <c r="F350" s="37" t="s">
        <v>480</v>
      </c>
      <c r="G350" s="39">
        <v>0</v>
      </c>
      <c r="H350" s="40">
        <v>1034317</v>
      </c>
      <c r="I350" s="115">
        <v>754866.67</v>
      </c>
      <c r="J350" s="42">
        <v>-8.7311491370201098E-11</v>
      </c>
      <c r="K350" s="40">
        <v>265899.09999999998</v>
      </c>
      <c r="L350" s="9">
        <f t="shared" si="12"/>
        <v>13551.230000000098</v>
      </c>
      <c r="M350" s="44"/>
      <c r="N350" s="44"/>
      <c r="O350" s="44"/>
      <c r="P350" s="67"/>
      <c r="Q350" s="39">
        <f t="shared" si="11"/>
        <v>13551.230000000098</v>
      </c>
      <c r="R350" s="67"/>
      <c r="S350" s="1" t="s">
        <v>722</v>
      </c>
    </row>
    <row r="351" spans="1:19" x14ac:dyDescent="0.35">
      <c r="A351" s="2" t="s">
        <v>19</v>
      </c>
      <c r="B351" s="36">
        <v>8470810</v>
      </c>
      <c r="C351" s="37" t="s">
        <v>464</v>
      </c>
      <c r="D351" s="38">
        <v>432205</v>
      </c>
      <c r="E351" s="37" t="s">
        <v>95</v>
      </c>
      <c r="F351" s="37" t="s">
        <v>481</v>
      </c>
      <c r="G351" s="39">
        <v>1475000</v>
      </c>
      <c r="H351" s="40">
        <v>1505000</v>
      </c>
      <c r="I351" s="115">
        <v>598441.93999999994</v>
      </c>
      <c r="J351" s="42">
        <v>-2.6193447411060302E-10</v>
      </c>
      <c r="K351" s="40">
        <v>841859.39999999898</v>
      </c>
      <c r="L351" s="9">
        <f t="shared" si="12"/>
        <v>64698.660000001313</v>
      </c>
      <c r="M351" s="44">
        <v>64699</v>
      </c>
      <c r="N351" s="44"/>
      <c r="O351" s="44"/>
      <c r="P351" s="67" t="s">
        <v>800</v>
      </c>
      <c r="Q351" s="39">
        <f t="shared" si="11"/>
        <v>-0.33999999868683517</v>
      </c>
      <c r="R351" s="67" t="s">
        <v>802</v>
      </c>
      <c r="S351" s="1" t="s">
        <v>722</v>
      </c>
    </row>
    <row r="352" spans="1:19" x14ac:dyDescent="0.35">
      <c r="A352" s="2" t="s">
        <v>19</v>
      </c>
      <c r="B352" s="36">
        <v>8470810</v>
      </c>
      <c r="C352" s="37" t="s">
        <v>464</v>
      </c>
      <c r="D352" s="38">
        <v>432226</v>
      </c>
      <c r="E352" s="37" t="s">
        <v>482</v>
      </c>
      <c r="F352" s="37" t="s">
        <v>483</v>
      </c>
      <c r="G352" s="39">
        <v>0</v>
      </c>
      <c r="H352" s="40">
        <v>360000</v>
      </c>
      <c r="I352" s="115">
        <v>266260.51</v>
      </c>
      <c r="J352" s="45"/>
      <c r="K352" s="46"/>
      <c r="L352" s="9">
        <f t="shared" si="12"/>
        <v>93739.489999999991</v>
      </c>
      <c r="M352" s="44">
        <v>31739</v>
      </c>
      <c r="N352" s="44">
        <v>31000</v>
      </c>
      <c r="O352" s="44">
        <v>31000</v>
      </c>
      <c r="P352" s="67" t="s">
        <v>801</v>
      </c>
      <c r="Q352" s="39">
        <f t="shared" si="11"/>
        <v>0.48999999999068677</v>
      </c>
      <c r="R352" s="67"/>
      <c r="S352" s="1" t="s">
        <v>722</v>
      </c>
    </row>
    <row r="353" spans="1:19" x14ac:dyDescent="0.35">
      <c r="A353" s="2" t="s">
        <v>19</v>
      </c>
      <c r="B353" s="48">
        <v>8471010</v>
      </c>
      <c r="C353" s="49" t="s">
        <v>485</v>
      </c>
      <c r="D353" s="50">
        <v>425100</v>
      </c>
      <c r="E353" s="49" t="s">
        <v>55</v>
      </c>
      <c r="F353" s="49" t="s">
        <v>486</v>
      </c>
      <c r="G353" s="51">
        <v>107500</v>
      </c>
      <c r="H353" s="52">
        <v>107500</v>
      </c>
      <c r="I353" s="59"/>
      <c r="J353" s="54">
        <v>0</v>
      </c>
      <c r="K353" s="52">
        <v>105000</v>
      </c>
      <c r="L353" s="9">
        <f t="shared" si="12"/>
        <v>2500</v>
      </c>
      <c r="M353" s="56"/>
      <c r="N353" s="56"/>
      <c r="O353" s="56"/>
      <c r="P353" s="63"/>
      <c r="Q353" s="51">
        <f t="shared" si="11"/>
        <v>2500</v>
      </c>
      <c r="R353" s="62"/>
      <c r="S353" s="1" t="s">
        <v>722</v>
      </c>
    </row>
    <row r="354" spans="1:19" ht="72.5" x14ac:dyDescent="0.35">
      <c r="A354" s="2" t="s">
        <v>19</v>
      </c>
      <c r="B354" s="48">
        <v>8471010</v>
      </c>
      <c r="C354" s="49" t="s">
        <v>485</v>
      </c>
      <c r="D354" s="50">
        <v>425510</v>
      </c>
      <c r="E354" s="49" t="s">
        <v>31</v>
      </c>
      <c r="F354" s="49" t="s">
        <v>487</v>
      </c>
      <c r="G354" s="51">
        <v>100000</v>
      </c>
      <c r="H354" s="52">
        <v>94000</v>
      </c>
      <c r="I354" s="59"/>
      <c r="J354" s="57"/>
      <c r="K354" s="58"/>
      <c r="L354" s="9">
        <f t="shared" si="12"/>
        <v>94000</v>
      </c>
      <c r="M354" s="56"/>
      <c r="N354" s="56"/>
      <c r="O354" s="56"/>
      <c r="P354" s="63"/>
      <c r="Q354" s="51">
        <f t="shared" si="11"/>
        <v>94000</v>
      </c>
      <c r="R354" s="62" t="s">
        <v>726</v>
      </c>
      <c r="S354" s="1" t="s">
        <v>722</v>
      </c>
    </row>
    <row r="355" spans="1:19" ht="43.5" x14ac:dyDescent="0.35">
      <c r="A355" s="2" t="s">
        <v>19</v>
      </c>
      <c r="B355" s="48">
        <v>8471010</v>
      </c>
      <c r="C355" s="49" t="s">
        <v>485</v>
      </c>
      <c r="D355" s="50">
        <v>425550</v>
      </c>
      <c r="E355" s="49" t="s">
        <v>33</v>
      </c>
      <c r="F355" s="49" t="s">
        <v>488</v>
      </c>
      <c r="G355" s="51">
        <v>0</v>
      </c>
      <c r="H355" s="52">
        <v>6000</v>
      </c>
      <c r="I355" s="59"/>
      <c r="J355" s="57"/>
      <c r="K355" s="58"/>
      <c r="L355" s="9">
        <f t="shared" si="12"/>
        <v>6000</v>
      </c>
      <c r="M355" s="56"/>
      <c r="N355" s="56"/>
      <c r="O355" s="56"/>
      <c r="P355" s="63"/>
      <c r="Q355" s="51">
        <f t="shared" si="11"/>
        <v>6000</v>
      </c>
      <c r="R355" s="62" t="s">
        <v>727</v>
      </c>
      <c r="S355" s="1" t="s">
        <v>722</v>
      </c>
    </row>
    <row r="356" spans="1:19" ht="29" x14ac:dyDescent="0.35">
      <c r="A356" s="2" t="s">
        <v>19</v>
      </c>
      <c r="B356" s="48">
        <v>8471010</v>
      </c>
      <c r="C356" s="49" t="s">
        <v>485</v>
      </c>
      <c r="D356" s="50">
        <v>425720</v>
      </c>
      <c r="E356" s="49" t="s">
        <v>224</v>
      </c>
      <c r="F356" s="49" t="s">
        <v>489</v>
      </c>
      <c r="G356" s="51">
        <v>76120</v>
      </c>
      <c r="H356" s="52">
        <v>76120</v>
      </c>
      <c r="I356" s="53">
        <v>62280</v>
      </c>
      <c r="J356" s="57"/>
      <c r="K356" s="58"/>
      <c r="L356" s="9">
        <f t="shared" si="12"/>
        <v>13840</v>
      </c>
      <c r="M356" s="56"/>
      <c r="N356" s="56"/>
      <c r="O356" s="56"/>
      <c r="P356" s="63"/>
      <c r="Q356" s="51">
        <f t="shared" si="11"/>
        <v>13840</v>
      </c>
      <c r="R356" s="62" t="s">
        <v>728</v>
      </c>
      <c r="S356" s="1" t="s">
        <v>722</v>
      </c>
    </row>
    <row r="357" spans="1:19" ht="58" x14ac:dyDescent="0.35">
      <c r="A357" s="2" t="s">
        <v>19</v>
      </c>
      <c r="B357" s="48">
        <v>8471010</v>
      </c>
      <c r="C357" s="49" t="s">
        <v>485</v>
      </c>
      <c r="D357" s="50">
        <v>425900</v>
      </c>
      <c r="E357" s="49" t="s">
        <v>35</v>
      </c>
      <c r="F357" s="49" t="s">
        <v>490</v>
      </c>
      <c r="G357" s="51">
        <v>162500</v>
      </c>
      <c r="H357" s="52">
        <v>162500</v>
      </c>
      <c r="I357" s="59"/>
      <c r="J357" s="57"/>
      <c r="K357" s="58"/>
      <c r="L357" s="9">
        <f t="shared" si="12"/>
        <v>162500</v>
      </c>
      <c r="M357" s="56"/>
      <c r="N357" s="56"/>
      <c r="O357" s="56"/>
      <c r="P357" s="63"/>
      <c r="Q357" s="51">
        <f t="shared" si="11"/>
        <v>162500</v>
      </c>
      <c r="R357" s="62" t="s">
        <v>729</v>
      </c>
      <c r="S357" s="1" t="s">
        <v>722</v>
      </c>
    </row>
    <row r="358" spans="1:19" ht="58" x14ac:dyDescent="0.35">
      <c r="A358" s="2" t="s">
        <v>19</v>
      </c>
      <c r="B358" s="48">
        <v>8471010</v>
      </c>
      <c r="C358" s="49" t="s">
        <v>485</v>
      </c>
      <c r="D358" s="50">
        <v>436110</v>
      </c>
      <c r="E358" s="49" t="s">
        <v>119</v>
      </c>
      <c r="F358" s="49" t="s">
        <v>491</v>
      </c>
      <c r="G358" s="51">
        <v>50625</v>
      </c>
      <c r="H358" s="52">
        <v>50625</v>
      </c>
      <c r="I358" s="59"/>
      <c r="J358" s="57"/>
      <c r="K358" s="58"/>
      <c r="L358" s="9">
        <f t="shared" si="12"/>
        <v>50625</v>
      </c>
      <c r="M358" s="56"/>
      <c r="N358" s="56"/>
      <c r="O358" s="56"/>
      <c r="P358" s="63"/>
      <c r="Q358" s="51">
        <f t="shared" si="11"/>
        <v>50625</v>
      </c>
      <c r="R358" s="62" t="s">
        <v>729</v>
      </c>
      <c r="S358" s="1" t="s">
        <v>722</v>
      </c>
    </row>
    <row r="359" spans="1:19" ht="29" x14ac:dyDescent="0.35">
      <c r="A359" s="2" t="s">
        <v>19</v>
      </c>
      <c r="B359" s="48">
        <v>8471010</v>
      </c>
      <c r="C359" s="49" t="s">
        <v>485</v>
      </c>
      <c r="D359" s="50">
        <v>436120</v>
      </c>
      <c r="E359" s="49" t="s">
        <v>443</v>
      </c>
      <c r="F359" s="49" t="s">
        <v>492</v>
      </c>
      <c r="G359" s="51">
        <v>5625</v>
      </c>
      <c r="H359" s="52">
        <v>5625</v>
      </c>
      <c r="I359" s="59"/>
      <c r="J359" s="57"/>
      <c r="K359" s="58"/>
      <c r="L359" s="9">
        <f t="shared" si="12"/>
        <v>5625</v>
      </c>
      <c r="M359" s="56"/>
      <c r="N359" s="56"/>
      <c r="O359" s="56"/>
      <c r="P359" s="63"/>
      <c r="Q359" s="51">
        <f t="shared" si="11"/>
        <v>5625</v>
      </c>
      <c r="R359" s="62" t="s">
        <v>730</v>
      </c>
      <c r="S359" s="1" t="s">
        <v>722</v>
      </c>
    </row>
    <row r="360" spans="1:19" s="113" customFormat="1" x14ac:dyDescent="0.35">
      <c r="A360" s="98" t="s">
        <v>19</v>
      </c>
      <c r="B360" s="36">
        <v>8471110</v>
      </c>
      <c r="C360" s="37" t="s">
        <v>493</v>
      </c>
      <c r="D360" s="38">
        <v>425900</v>
      </c>
      <c r="E360" s="37" t="s">
        <v>35</v>
      </c>
      <c r="F360" s="37" t="s">
        <v>494</v>
      </c>
      <c r="G360" s="39">
        <v>30000</v>
      </c>
      <c r="H360" s="40">
        <v>28000</v>
      </c>
      <c r="I360" s="47"/>
      <c r="J360" s="45"/>
      <c r="K360" s="46"/>
      <c r="L360" s="43">
        <f t="shared" si="12"/>
        <v>28000</v>
      </c>
      <c r="M360" s="44"/>
      <c r="N360" s="44">
        <v>14000</v>
      </c>
      <c r="O360" s="44">
        <v>14000</v>
      </c>
      <c r="P360" s="67" t="s">
        <v>807</v>
      </c>
      <c r="Q360" s="51">
        <f>L360-M360-N360-O360</f>
        <v>0</v>
      </c>
      <c r="R360" s="67" t="s">
        <v>824</v>
      </c>
      <c r="S360" s="113" t="s">
        <v>722</v>
      </c>
    </row>
    <row r="361" spans="1:19" s="113" customFormat="1" x14ac:dyDescent="0.35">
      <c r="A361" s="98" t="s">
        <v>19</v>
      </c>
      <c r="B361" s="36">
        <v>8471110</v>
      </c>
      <c r="C361" s="37" t="s">
        <v>493</v>
      </c>
      <c r="D361" s="38">
        <v>427710</v>
      </c>
      <c r="E361" s="37" t="s">
        <v>51</v>
      </c>
      <c r="F361" s="37" t="s">
        <v>495</v>
      </c>
      <c r="G361" s="39">
        <v>428951</v>
      </c>
      <c r="H361" s="40">
        <v>428951</v>
      </c>
      <c r="I361" s="41">
        <v>19687.28</v>
      </c>
      <c r="J361" s="42">
        <v>0</v>
      </c>
      <c r="K361" s="40">
        <v>299294.42</v>
      </c>
      <c r="L361" s="43">
        <f t="shared" si="12"/>
        <v>109969.29999999999</v>
      </c>
      <c r="M361" s="44"/>
      <c r="N361" s="44">
        <v>50000</v>
      </c>
      <c r="O361" s="44">
        <v>59368</v>
      </c>
      <c r="P361" s="67" t="s">
        <v>808</v>
      </c>
      <c r="Q361" s="51">
        <f t="shared" si="11"/>
        <v>601.29999999998836</v>
      </c>
      <c r="R361" s="67" t="s">
        <v>824</v>
      </c>
      <c r="S361" s="113" t="s">
        <v>722</v>
      </c>
    </row>
    <row r="362" spans="1:19" s="113" customFormat="1" x14ac:dyDescent="0.35">
      <c r="A362" s="98" t="s">
        <v>19</v>
      </c>
      <c r="B362" s="36">
        <v>8471110</v>
      </c>
      <c r="C362" s="37" t="s">
        <v>493</v>
      </c>
      <c r="D362" s="38">
        <v>428090</v>
      </c>
      <c r="E362" s="37" t="s">
        <v>39</v>
      </c>
      <c r="F362" s="37" t="s">
        <v>496</v>
      </c>
      <c r="G362" s="39">
        <v>100000</v>
      </c>
      <c r="H362" s="40">
        <v>27246</v>
      </c>
      <c r="I362" s="47"/>
      <c r="J362" s="45"/>
      <c r="K362" s="46"/>
      <c r="L362" s="43">
        <f t="shared" si="12"/>
        <v>27246</v>
      </c>
      <c r="M362" s="44"/>
      <c r="N362" s="44"/>
      <c r="O362" s="44">
        <v>27246</v>
      </c>
      <c r="P362" s="67" t="s">
        <v>809</v>
      </c>
      <c r="Q362" s="51">
        <f t="shared" si="11"/>
        <v>0</v>
      </c>
      <c r="R362" s="67" t="s">
        <v>824</v>
      </c>
      <c r="S362" s="113" t="s">
        <v>722</v>
      </c>
    </row>
    <row r="363" spans="1:19" s="113" customFormat="1" x14ac:dyDescent="0.35">
      <c r="A363" s="98" t="s">
        <v>19</v>
      </c>
      <c r="B363" s="36">
        <v>8471110</v>
      </c>
      <c r="C363" s="37" t="s">
        <v>493</v>
      </c>
      <c r="D363" s="38">
        <v>435508</v>
      </c>
      <c r="E363" s="37" t="s">
        <v>135</v>
      </c>
      <c r="F363" s="37" t="s">
        <v>497</v>
      </c>
      <c r="G363" s="39">
        <v>0</v>
      </c>
      <c r="H363" s="40">
        <v>2000</v>
      </c>
      <c r="I363" s="41">
        <v>1875</v>
      </c>
      <c r="J363" s="45"/>
      <c r="K363" s="46"/>
      <c r="L363" s="43">
        <f t="shared" si="12"/>
        <v>125</v>
      </c>
      <c r="M363" s="44"/>
      <c r="N363" s="44"/>
      <c r="O363" s="44"/>
      <c r="P363" s="67"/>
      <c r="Q363" s="51">
        <f t="shared" si="11"/>
        <v>125</v>
      </c>
      <c r="R363" s="67"/>
      <c r="S363" s="113" t="s">
        <v>722</v>
      </c>
    </row>
    <row r="364" spans="1:19" s="113" customFormat="1" x14ac:dyDescent="0.35">
      <c r="A364" s="98" t="s">
        <v>19</v>
      </c>
      <c r="B364" s="36">
        <v>8471120</v>
      </c>
      <c r="C364" s="37" t="s">
        <v>498</v>
      </c>
      <c r="D364" s="38">
        <v>425900</v>
      </c>
      <c r="E364" s="37" t="s">
        <v>35</v>
      </c>
      <c r="F364" s="37" t="s">
        <v>499</v>
      </c>
      <c r="G364" s="39">
        <v>110000</v>
      </c>
      <c r="H364" s="40">
        <v>110000</v>
      </c>
      <c r="I364" s="47"/>
      <c r="J364" s="45"/>
      <c r="K364" s="46"/>
      <c r="L364" s="43">
        <f t="shared" si="12"/>
        <v>110000</v>
      </c>
      <c r="M364" s="44">
        <v>0</v>
      </c>
      <c r="N364" s="44">
        <v>50000</v>
      </c>
      <c r="O364" s="44">
        <v>60000</v>
      </c>
      <c r="P364" s="67" t="s">
        <v>810</v>
      </c>
      <c r="Q364" s="39">
        <f t="shared" si="11"/>
        <v>0</v>
      </c>
      <c r="R364" s="67"/>
      <c r="S364" s="113" t="s">
        <v>722</v>
      </c>
    </row>
    <row r="365" spans="1:19" s="113" customFormat="1" x14ac:dyDescent="0.35">
      <c r="A365" s="98" t="s">
        <v>19</v>
      </c>
      <c r="B365" s="36">
        <v>8471120</v>
      </c>
      <c r="C365" s="37" t="s">
        <v>498</v>
      </c>
      <c r="D365" s="38">
        <v>428090</v>
      </c>
      <c r="E365" s="37" t="s">
        <v>39</v>
      </c>
      <c r="F365" s="37" t="s">
        <v>500</v>
      </c>
      <c r="G365" s="39">
        <v>220000</v>
      </c>
      <c r="H365" s="40">
        <v>59942</v>
      </c>
      <c r="I365" s="47"/>
      <c r="J365" s="45"/>
      <c r="K365" s="46"/>
      <c r="L365" s="43">
        <f t="shared" si="12"/>
        <v>59942</v>
      </c>
      <c r="M365" s="44">
        <v>0</v>
      </c>
      <c r="N365" s="44">
        <v>19000</v>
      </c>
      <c r="O365" s="44">
        <v>40942</v>
      </c>
      <c r="P365" s="67" t="s">
        <v>811</v>
      </c>
      <c r="Q365" s="39">
        <f t="shared" si="11"/>
        <v>0</v>
      </c>
      <c r="R365" s="67"/>
      <c r="S365" s="113" t="s">
        <v>722</v>
      </c>
    </row>
    <row r="366" spans="1:19" s="113" customFormat="1" x14ac:dyDescent="0.35">
      <c r="A366" s="98" t="s">
        <v>19</v>
      </c>
      <c r="B366" s="36">
        <v>8471120</v>
      </c>
      <c r="C366" s="37" t="s">
        <v>498</v>
      </c>
      <c r="D366" s="38">
        <v>429900</v>
      </c>
      <c r="E366" s="37" t="s">
        <v>413</v>
      </c>
      <c r="F366" s="37" t="s">
        <v>501</v>
      </c>
      <c r="G366" s="39">
        <v>55510</v>
      </c>
      <c r="H366" s="40">
        <v>55510</v>
      </c>
      <c r="I366" s="47"/>
      <c r="J366" s="45"/>
      <c r="K366" s="46"/>
      <c r="L366" s="43">
        <f t="shared" si="12"/>
        <v>55510</v>
      </c>
      <c r="M366" s="44">
        <v>10000</v>
      </c>
      <c r="N366" s="44">
        <v>22755</v>
      </c>
      <c r="O366" s="44">
        <v>22755</v>
      </c>
      <c r="P366" s="67" t="s">
        <v>812</v>
      </c>
      <c r="Q366" s="39">
        <f t="shared" si="11"/>
        <v>0</v>
      </c>
      <c r="R366" s="67"/>
      <c r="S366" s="113" t="s">
        <v>722</v>
      </c>
    </row>
    <row r="367" spans="1:19" s="113" customFormat="1" x14ac:dyDescent="0.35">
      <c r="A367" s="98" t="s">
        <v>19</v>
      </c>
      <c r="B367" s="36">
        <v>8471120</v>
      </c>
      <c r="C367" s="37" t="s">
        <v>498</v>
      </c>
      <c r="D367" s="38">
        <v>435523</v>
      </c>
      <c r="E367" s="37" t="s">
        <v>81</v>
      </c>
      <c r="F367" s="37" t="s">
        <v>502</v>
      </c>
      <c r="G367" s="39">
        <v>25510</v>
      </c>
      <c r="H367" s="40">
        <v>0</v>
      </c>
      <c r="I367" s="47"/>
      <c r="J367" s="45"/>
      <c r="K367" s="46"/>
      <c r="L367" s="43">
        <f t="shared" si="12"/>
        <v>0</v>
      </c>
      <c r="M367" s="44"/>
      <c r="N367" s="44"/>
      <c r="O367" s="44"/>
      <c r="P367" s="67"/>
      <c r="Q367" s="39">
        <f t="shared" si="11"/>
        <v>0</v>
      </c>
      <c r="R367" s="67"/>
      <c r="S367" s="113" t="s">
        <v>722</v>
      </c>
    </row>
    <row r="368" spans="1:19" s="113" customFormat="1" x14ac:dyDescent="0.35">
      <c r="A368" s="98" t="s">
        <v>19</v>
      </c>
      <c r="B368" s="36">
        <v>8471121</v>
      </c>
      <c r="C368" s="37" t="s">
        <v>503</v>
      </c>
      <c r="D368" s="38">
        <v>425510</v>
      </c>
      <c r="E368" s="37" t="s">
        <v>31</v>
      </c>
      <c r="F368" s="37" t="s">
        <v>504</v>
      </c>
      <c r="G368" s="39">
        <v>50000</v>
      </c>
      <c r="H368" s="40">
        <v>50000</v>
      </c>
      <c r="I368" s="47"/>
      <c r="J368" s="45"/>
      <c r="K368" s="46"/>
      <c r="L368" s="43">
        <f t="shared" si="12"/>
        <v>50000</v>
      </c>
      <c r="M368" s="44"/>
      <c r="N368" s="44"/>
      <c r="O368" s="44"/>
      <c r="P368" s="67"/>
      <c r="Q368" s="39">
        <f t="shared" si="11"/>
        <v>50000</v>
      </c>
      <c r="R368" s="67"/>
      <c r="S368" s="113" t="s">
        <v>722</v>
      </c>
    </row>
    <row r="369" spans="1:19" s="113" customFormat="1" x14ac:dyDescent="0.35">
      <c r="A369" s="98" t="s">
        <v>19</v>
      </c>
      <c r="B369" s="36">
        <v>8471121</v>
      </c>
      <c r="C369" s="37" t="s">
        <v>503</v>
      </c>
      <c r="D369" s="38">
        <v>425900</v>
      </c>
      <c r="E369" s="37" t="s">
        <v>35</v>
      </c>
      <c r="F369" s="37" t="s">
        <v>505</v>
      </c>
      <c r="G369" s="39">
        <v>15000</v>
      </c>
      <c r="H369" s="40">
        <v>15000</v>
      </c>
      <c r="I369" s="47"/>
      <c r="J369" s="45"/>
      <c r="K369" s="46"/>
      <c r="L369" s="43">
        <f t="shared" si="12"/>
        <v>15000</v>
      </c>
      <c r="M369" s="44"/>
      <c r="N369" s="44"/>
      <c r="O369" s="44"/>
      <c r="P369" s="67"/>
      <c r="Q369" s="39">
        <f t="shared" si="11"/>
        <v>15000</v>
      </c>
      <c r="R369" s="67"/>
      <c r="S369" s="113" t="s">
        <v>722</v>
      </c>
    </row>
    <row r="370" spans="1:19" s="113" customFormat="1" x14ac:dyDescent="0.35">
      <c r="A370" s="98" t="s">
        <v>19</v>
      </c>
      <c r="B370" s="36">
        <v>8471121</v>
      </c>
      <c r="C370" s="37" t="s">
        <v>503</v>
      </c>
      <c r="D370" s="38">
        <v>428090</v>
      </c>
      <c r="E370" s="37" t="s">
        <v>39</v>
      </c>
      <c r="F370" s="37" t="s">
        <v>506</v>
      </c>
      <c r="G370" s="39">
        <v>50000</v>
      </c>
      <c r="H370" s="40">
        <v>13623</v>
      </c>
      <c r="I370" s="47"/>
      <c r="J370" s="45"/>
      <c r="K370" s="46"/>
      <c r="L370" s="43">
        <f t="shared" si="12"/>
        <v>13623</v>
      </c>
      <c r="M370" s="44"/>
      <c r="N370" s="44"/>
      <c r="O370" s="44"/>
      <c r="P370" s="67"/>
      <c r="Q370" s="39">
        <f t="shared" si="11"/>
        <v>13623</v>
      </c>
      <c r="R370" s="67"/>
      <c r="S370" s="113" t="s">
        <v>722</v>
      </c>
    </row>
    <row r="371" spans="1:19" s="113" customFormat="1" x14ac:dyDescent="0.35">
      <c r="A371" s="98" t="s">
        <v>19</v>
      </c>
      <c r="B371" s="36">
        <v>8471121</v>
      </c>
      <c r="C371" s="37" t="s">
        <v>503</v>
      </c>
      <c r="D371" s="38">
        <v>432170</v>
      </c>
      <c r="E371" s="37" t="s">
        <v>390</v>
      </c>
      <c r="F371" s="37" t="s">
        <v>507</v>
      </c>
      <c r="G371" s="39">
        <v>500000</v>
      </c>
      <c r="H371" s="40">
        <v>0</v>
      </c>
      <c r="I371" s="47"/>
      <c r="J371" s="45"/>
      <c r="K371" s="46"/>
      <c r="L371" s="43">
        <f t="shared" si="12"/>
        <v>0</v>
      </c>
      <c r="M371" s="44"/>
      <c r="N371" s="44"/>
      <c r="O371" s="44"/>
      <c r="P371" s="67"/>
      <c r="Q371" s="39">
        <f t="shared" si="11"/>
        <v>0</v>
      </c>
      <c r="R371" s="67"/>
      <c r="S371" s="113" t="s">
        <v>722</v>
      </c>
    </row>
    <row r="372" spans="1:19" s="113" customFormat="1" x14ac:dyDescent="0.35">
      <c r="A372" s="98" t="s">
        <v>19</v>
      </c>
      <c r="B372" s="36">
        <v>8471121</v>
      </c>
      <c r="C372" s="37" t="s">
        <v>503</v>
      </c>
      <c r="D372" s="38">
        <v>435523</v>
      </c>
      <c r="E372" s="37" t="s">
        <v>81</v>
      </c>
      <c r="F372" s="37" t="s">
        <v>508</v>
      </c>
      <c r="G372" s="39">
        <v>926280</v>
      </c>
      <c r="H372" s="40">
        <v>826280</v>
      </c>
      <c r="I372" s="47"/>
      <c r="J372" s="45"/>
      <c r="K372" s="46"/>
      <c r="L372" s="43">
        <f t="shared" si="12"/>
        <v>826280</v>
      </c>
      <c r="M372" s="44"/>
      <c r="N372" s="44"/>
      <c r="O372" s="44"/>
      <c r="P372" s="67"/>
      <c r="Q372" s="39">
        <f t="shared" si="11"/>
        <v>826280</v>
      </c>
      <c r="R372" s="67"/>
      <c r="S372" s="113" t="s">
        <v>722</v>
      </c>
    </row>
    <row r="373" spans="1:19" s="113" customFormat="1" x14ac:dyDescent="0.35">
      <c r="A373" s="98" t="s">
        <v>19</v>
      </c>
      <c r="B373" s="36">
        <v>8471122</v>
      </c>
      <c r="C373" s="37" t="s">
        <v>509</v>
      </c>
      <c r="D373" s="38">
        <v>425900</v>
      </c>
      <c r="E373" s="37" t="s">
        <v>35</v>
      </c>
      <c r="F373" s="37" t="s">
        <v>510</v>
      </c>
      <c r="G373" s="39">
        <v>0</v>
      </c>
      <c r="H373" s="40">
        <v>50000</v>
      </c>
      <c r="I373" s="47"/>
      <c r="J373" s="45"/>
      <c r="K373" s="46"/>
      <c r="L373" s="43">
        <f t="shared" si="12"/>
        <v>50000</v>
      </c>
      <c r="M373" s="44"/>
      <c r="N373" s="44"/>
      <c r="O373" s="44"/>
      <c r="P373" s="67"/>
      <c r="Q373" s="39">
        <f t="shared" si="11"/>
        <v>50000</v>
      </c>
      <c r="R373" s="67"/>
      <c r="S373" s="113" t="s">
        <v>722</v>
      </c>
    </row>
    <row r="374" spans="1:19" s="113" customFormat="1" x14ac:dyDescent="0.35">
      <c r="A374" s="98" t="s">
        <v>19</v>
      </c>
      <c r="B374" s="36">
        <v>8471122</v>
      </c>
      <c r="C374" s="37" t="s">
        <v>509</v>
      </c>
      <c r="D374" s="38">
        <v>428090</v>
      </c>
      <c r="E374" s="37" t="s">
        <v>39</v>
      </c>
      <c r="F374" s="37" t="s">
        <v>511</v>
      </c>
      <c r="G374" s="39">
        <v>0</v>
      </c>
      <c r="H374" s="40">
        <v>13623</v>
      </c>
      <c r="I374" s="47"/>
      <c r="J374" s="45"/>
      <c r="K374" s="46"/>
      <c r="L374" s="43">
        <f t="shared" si="12"/>
        <v>13623</v>
      </c>
      <c r="M374" s="44"/>
      <c r="N374" s="44"/>
      <c r="O374" s="44"/>
      <c r="P374" s="67"/>
      <c r="Q374" s="39">
        <f t="shared" si="11"/>
        <v>13623</v>
      </c>
      <c r="R374" s="67"/>
      <c r="S374" s="113" t="s">
        <v>722</v>
      </c>
    </row>
    <row r="375" spans="1:19" s="113" customFormat="1" x14ac:dyDescent="0.35">
      <c r="A375" s="98" t="s">
        <v>19</v>
      </c>
      <c r="B375" s="36">
        <v>8471130</v>
      </c>
      <c r="C375" s="37" t="s">
        <v>512</v>
      </c>
      <c r="D375" s="38">
        <v>420811</v>
      </c>
      <c r="E375" s="37" t="s">
        <v>469</v>
      </c>
      <c r="F375" s="37" t="s">
        <v>513</v>
      </c>
      <c r="G375" s="39">
        <v>0</v>
      </c>
      <c r="H375" s="40">
        <v>306385</v>
      </c>
      <c r="I375" s="47"/>
      <c r="J375" s="42">
        <v>276944.2</v>
      </c>
      <c r="K375" s="46"/>
      <c r="L375" s="43">
        <f t="shared" si="12"/>
        <v>29440.799999999988</v>
      </c>
      <c r="M375" s="44"/>
      <c r="N375" s="44"/>
      <c r="O375" s="44">
        <v>29440.799999999999</v>
      </c>
      <c r="P375" s="67"/>
      <c r="Q375" s="39">
        <f t="shared" si="11"/>
        <v>0</v>
      </c>
      <c r="R375" s="67" t="s">
        <v>825</v>
      </c>
      <c r="S375" s="113" t="s">
        <v>722</v>
      </c>
    </row>
    <row r="376" spans="1:19" s="113" customFormat="1" x14ac:dyDescent="0.35">
      <c r="A376" s="98" t="s">
        <v>19</v>
      </c>
      <c r="B376" s="36">
        <v>8471130</v>
      </c>
      <c r="C376" s="37" t="s">
        <v>512</v>
      </c>
      <c r="D376" s="38">
        <v>426610</v>
      </c>
      <c r="E376" s="37" t="s">
        <v>37</v>
      </c>
      <c r="F376" s="37" t="s">
        <v>514</v>
      </c>
      <c r="G376" s="39">
        <v>0</v>
      </c>
      <c r="H376" s="40">
        <v>171900</v>
      </c>
      <c r="I376" s="41">
        <v>171712.75</v>
      </c>
      <c r="J376" s="45"/>
      <c r="K376" s="46"/>
      <c r="L376" s="43">
        <f t="shared" si="12"/>
        <v>187.25</v>
      </c>
      <c r="M376" s="44"/>
      <c r="N376" s="44"/>
      <c r="O376" s="44"/>
      <c r="P376" s="67"/>
      <c r="Q376" s="39">
        <f t="shared" si="11"/>
        <v>187.25</v>
      </c>
      <c r="R376" s="67"/>
      <c r="S376" s="113" t="s">
        <v>722</v>
      </c>
    </row>
    <row r="377" spans="1:19" s="113" customFormat="1" x14ac:dyDescent="0.35">
      <c r="A377" s="98" t="s">
        <v>19</v>
      </c>
      <c r="B377" s="36">
        <v>8471130</v>
      </c>
      <c r="C377" s="37" t="s">
        <v>512</v>
      </c>
      <c r="D377" s="38">
        <v>427900</v>
      </c>
      <c r="E377" s="37" t="s">
        <v>459</v>
      </c>
      <c r="F377" s="37" t="s">
        <v>515</v>
      </c>
      <c r="G377" s="39">
        <v>5000</v>
      </c>
      <c r="H377" s="40">
        <v>0</v>
      </c>
      <c r="I377" s="47"/>
      <c r="J377" s="45"/>
      <c r="K377" s="46"/>
      <c r="L377" s="43">
        <f t="shared" si="12"/>
        <v>0</v>
      </c>
      <c r="M377" s="44"/>
      <c r="N377" s="44"/>
      <c r="O377" s="44"/>
      <c r="P377" s="67"/>
      <c r="Q377" s="39">
        <f t="shared" si="11"/>
        <v>0</v>
      </c>
      <c r="R377" s="67"/>
      <c r="S377" s="113" t="s">
        <v>722</v>
      </c>
    </row>
    <row r="378" spans="1:19" s="113" customFormat="1" x14ac:dyDescent="0.35">
      <c r="A378" s="98" t="s">
        <v>19</v>
      </c>
      <c r="B378" s="36">
        <v>8471130</v>
      </c>
      <c r="C378" s="37" t="s">
        <v>512</v>
      </c>
      <c r="D378" s="38">
        <v>428090</v>
      </c>
      <c r="E378" s="37" t="s">
        <v>39</v>
      </c>
      <c r="F378" s="37" t="s">
        <v>516</v>
      </c>
      <c r="G378" s="39">
        <v>70000</v>
      </c>
      <c r="H378" s="40">
        <v>66459</v>
      </c>
      <c r="I378" s="47"/>
      <c r="J378" s="45"/>
      <c r="K378" s="46"/>
      <c r="L378" s="43">
        <f t="shared" si="12"/>
        <v>66459</v>
      </c>
      <c r="M378" s="44"/>
      <c r="N378" s="44">
        <v>22000</v>
      </c>
      <c r="O378" s="44"/>
      <c r="P378" s="67"/>
      <c r="Q378" s="39">
        <f t="shared" si="11"/>
        <v>44459</v>
      </c>
      <c r="R378" s="67" t="s">
        <v>826</v>
      </c>
      <c r="S378" s="113" t="s">
        <v>722</v>
      </c>
    </row>
    <row r="379" spans="1:19" s="113" customFormat="1" x14ac:dyDescent="0.35">
      <c r="A379" s="98" t="s">
        <v>19</v>
      </c>
      <c r="B379" s="36">
        <v>8471130</v>
      </c>
      <c r="C379" s="37" t="s">
        <v>512</v>
      </c>
      <c r="D379" s="38">
        <v>435523</v>
      </c>
      <c r="E379" s="37" t="s">
        <v>81</v>
      </c>
      <c r="F379" s="37" t="s">
        <v>517</v>
      </c>
      <c r="G379" s="39">
        <v>205962</v>
      </c>
      <c r="H379" s="40">
        <v>157190</v>
      </c>
      <c r="I379" s="41">
        <v>157599.53</v>
      </c>
      <c r="J379" s="45"/>
      <c r="K379" s="40">
        <v>-409.91000000000298</v>
      </c>
      <c r="L379" s="43">
        <f t="shared" si="12"/>
        <v>0.38000000000414502</v>
      </c>
      <c r="M379" s="44"/>
      <c r="N379" s="44"/>
      <c r="O379" s="44"/>
      <c r="P379" s="67"/>
      <c r="Q379" s="39">
        <f t="shared" si="11"/>
        <v>0.38000000000414502</v>
      </c>
      <c r="R379" s="67"/>
      <c r="S379" s="113" t="s">
        <v>722</v>
      </c>
    </row>
    <row r="380" spans="1:19" s="113" customFormat="1" x14ac:dyDescent="0.35">
      <c r="A380" s="98" t="s">
        <v>19</v>
      </c>
      <c r="B380" s="36">
        <v>8471140</v>
      </c>
      <c r="C380" s="37" t="s">
        <v>518</v>
      </c>
      <c r="D380" s="38">
        <v>420570</v>
      </c>
      <c r="E380" s="37" t="s">
        <v>23</v>
      </c>
      <c r="F380" s="37" t="s">
        <v>519</v>
      </c>
      <c r="G380" s="39">
        <v>231840</v>
      </c>
      <c r="H380" s="40">
        <v>231840</v>
      </c>
      <c r="I380" s="41">
        <v>103329.59</v>
      </c>
      <c r="J380" s="45"/>
      <c r="K380" s="46"/>
      <c r="L380" s="43">
        <f t="shared" si="12"/>
        <v>128510.41</v>
      </c>
      <c r="M380" s="44"/>
      <c r="N380" s="44"/>
      <c r="O380" s="44"/>
      <c r="P380" s="67"/>
      <c r="Q380" s="39">
        <f t="shared" si="11"/>
        <v>128510.41</v>
      </c>
      <c r="R380" s="67"/>
      <c r="S380" s="113" t="s">
        <v>722</v>
      </c>
    </row>
    <row r="381" spans="1:19" s="113" customFormat="1" x14ac:dyDescent="0.35">
      <c r="A381" s="98" t="s">
        <v>19</v>
      </c>
      <c r="B381" s="36">
        <v>8471140</v>
      </c>
      <c r="C381" s="37" t="s">
        <v>518</v>
      </c>
      <c r="D381" s="38">
        <v>428090</v>
      </c>
      <c r="E381" s="37" t="s">
        <v>39</v>
      </c>
      <c r="F381" s="37" t="s">
        <v>520</v>
      </c>
      <c r="G381" s="39">
        <v>80000</v>
      </c>
      <c r="H381" s="40">
        <v>85693</v>
      </c>
      <c r="I381" s="41">
        <v>35236.71</v>
      </c>
      <c r="J381" s="45"/>
      <c r="K381" s="46"/>
      <c r="L381" s="43">
        <f t="shared" si="12"/>
        <v>50456.29</v>
      </c>
      <c r="M381" s="44"/>
      <c r="N381" s="44"/>
      <c r="O381" s="44"/>
      <c r="P381" s="67"/>
      <c r="Q381" s="39">
        <f t="shared" si="11"/>
        <v>50456.29</v>
      </c>
      <c r="R381" s="67"/>
      <c r="S381" s="113" t="s">
        <v>722</v>
      </c>
    </row>
    <row r="382" spans="1:19" s="113" customFormat="1" x14ac:dyDescent="0.35">
      <c r="A382" s="98" t="s">
        <v>19</v>
      </c>
      <c r="B382" s="36">
        <v>8471140</v>
      </c>
      <c r="C382" s="37" t="s">
        <v>518</v>
      </c>
      <c r="D382" s="38">
        <v>435523</v>
      </c>
      <c r="E382" s="37" t="s">
        <v>81</v>
      </c>
      <c r="F382" s="37" t="s">
        <v>521</v>
      </c>
      <c r="G382" s="39">
        <v>99831748</v>
      </c>
      <c r="H382" s="40">
        <v>90170195</v>
      </c>
      <c r="I382" s="41">
        <v>59036197.060000002</v>
      </c>
      <c r="J382" s="42">
        <v>1302442.29</v>
      </c>
      <c r="K382" s="40">
        <v>2812212.05</v>
      </c>
      <c r="L382" s="43">
        <f t="shared" si="12"/>
        <v>27019343.599999998</v>
      </c>
      <c r="M382" s="44"/>
      <c r="N382" s="44"/>
      <c r="O382" s="44"/>
      <c r="P382" s="67"/>
      <c r="Q382" s="39">
        <f t="shared" si="11"/>
        <v>27019343.599999998</v>
      </c>
      <c r="R382" s="67" t="s">
        <v>827</v>
      </c>
      <c r="S382" s="113" t="s">
        <v>722</v>
      </c>
    </row>
    <row r="383" spans="1:19" s="113" customFormat="1" x14ac:dyDescent="0.35">
      <c r="A383" s="98" t="s">
        <v>19</v>
      </c>
      <c r="B383" s="36">
        <v>8471150</v>
      </c>
      <c r="C383" s="37" t="s">
        <v>522</v>
      </c>
      <c r="D383" s="38">
        <v>420900</v>
      </c>
      <c r="E383" s="37" t="s">
        <v>25</v>
      </c>
      <c r="F383" s="37" t="s">
        <v>523</v>
      </c>
      <c r="G383" s="39">
        <v>3332844</v>
      </c>
      <c r="H383" s="40">
        <v>3332844</v>
      </c>
      <c r="I383" s="41">
        <v>2009692.38</v>
      </c>
      <c r="J383" s="42">
        <v>1099372.21</v>
      </c>
      <c r="K383" s="40">
        <v>-1.01863406598568E-10</v>
      </c>
      <c r="L383" s="43">
        <f t="shared" si="12"/>
        <v>223779.41000000027</v>
      </c>
      <c r="M383" s="44">
        <v>23779.41</v>
      </c>
      <c r="N383" s="44">
        <v>200000</v>
      </c>
      <c r="O383" s="44"/>
      <c r="P383" s="67" t="s">
        <v>813</v>
      </c>
      <c r="Q383" s="39">
        <f t="shared" si="11"/>
        <v>2.6193447411060333E-10</v>
      </c>
      <c r="R383" s="67"/>
      <c r="S383" s="113" t="s">
        <v>722</v>
      </c>
    </row>
    <row r="384" spans="1:19" s="113" customFormat="1" x14ac:dyDescent="0.35">
      <c r="A384" s="98" t="s">
        <v>19</v>
      </c>
      <c r="B384" s="36">
        <v>8471150</v>
      </c>
      <c r="C384" s="37" t="s">
        <v>522</v>
      </c>
      <c r="D384" s="38">
        <v>425510</v>
      </c>
      <c r="E384" s="37" t="s">
        <v>31</v>
      </c>
      <c r="F384" s="37" t="s">
        <v>524</v>
      </c>
      <c r="G384" s="39">
        <v>100002</v>
      </c>
      <c r="H384" s="40">
        <v>100002</v>
      </c>
      <c r="I384" s="47"/>
      <c r="J384" s="45"/>
      <c r="K384" s="46"/>
      <c r="L384" s="43">
        <f t="shared" si="12"/>
        <v>100002</v>
      </c>
      <c r="M384" s="44">
        <v>50000</v>
      </c>
      <c r="N384" s="44">
        <v>50002</v>
      </c>
      <c r="O384" s="44"/>
      <c r="P384" s="67" t="s">
        <v>814</v>
      </c>
      <c r="Q384" s="39">
        <f t="shared" si="11"/>
        <v>0</v>
      </c>
      <c r="R384" s="67"/>
      <c r="S384" s="113" t="s">
        <v>722</v>
      </c>
    </row>
    <row r="385" spans="1:19" s="113" customFormat="1" x14ac:dyDescent="0.35">
      <c r="A385" s="98" t="s">
        <v>19</v>
      </c>
      <c r="B385" s="36">
        <v>8471150</v>
      </c>
      <c r="C385" s="37" t="s">
        <v>522</v>
      </c>
      <c r="D385" s="38">
        <v>425550</v>
      </c>
      <c r="E385" s="37" t="s">
        <v>33</v>
      </c>
      <c r="F385" s="37" t="s">
        <v>525</v>
      </c>
      <c r="G385" s="39">
        <v>100002</v>
      </c>
      <c r="H385" s="40">
        <v>100002</v>
      </c>
      <c r="I385" s="41">
        <v>11745</v>
      </c>
      <c r="J385" s="45"/>
      <c r="K385" s="46"/>
      <c r="L385" s="43">
        <f t="shared" si="12"/>
        <v>88257</v>
      </c>
      <c r="M385" s="44">
        <v>40000</v>
      </c>
      <c r="N385" s="44">
        <v>25000</v>
      </c>
      <c r="O385" s="44">
        <v>23257</v>
      </c>
      <c r="P385" s="67" t="s">
        <v>815</v>
      </c>
      <c r="Q385" s="39">
        <f t="shared" si="11"/>
        <v>0</v>
      </c>
      <c r="R385" s="67"/>
      <c r="S385" s="113" t="s">
        <v>722</v>
      </c>
    </row>
    <row r="386" spans="1:19" s="113" customFormat="1" x14ac:dyDescent="0.35">
      <c r="A386" s="98" t="s">
        <v>19</v>
      </c>
      <c r="B386" s="36">
        <v>8471150</v>
      </c>
      <c r="C386" s="37" t="s">
        <v>522</v>
      </c>
      <c r="D386" s="38">
        <v>425900</v>
      </c>
      <c r="E386" s="37" t="s">
        <v>35</v>
      </c>
      <c r="F386" s="37" t="s">
        <v>526</v>
      </c>
      <c r="G386" s="39">
        <v>0</v>
      </c>
      <c r="H386" s="40">
        <v>2000</v>
      </c>
      <c r="I386" s="41">
        <v>525</v>
      </c>
      <c r="J386" s="45"/>
      <c r="K386" s="46"/>
      <c r="L386" s="43">
        <f t="shared" si="12"/>
        <v>1475</v>
      </c>
      <c r="M386" s="44">
        <v>1475</v>
      </c>
      <c r="N386" s="44"/>
      <c r="O386" s="44"/>
      <c r="P386" s="67" t="s">
        <v>816</v>
      </c>
      <c r="Q386" s="39">
        <f t="shared" si="11"/>
        <v>0</v>
      </c>
      <c r="R386" s="67"/>
      <c r="S386" s="113" t="s">
        <v>722</v>
      </c>
    </row>
    <row r="387" spans="1:19" s="113" customFormat="1" x14ac:dyDescent="0.35">
      <c r="A387" s="98" t="s">
        <v>19</v>
      </c>
      <c r="B387" s="36">
        <v>8471150</v>
      </c>
      <c r="C387" s="37" t="s">
        <v>522</v>
      </c>
      <c r="D387" s="38">
        <v>426610</v>
      </c>
      <c r="E387" s="37" t="s">
        <v>37</v>
      </c>
      <c r="F387" s="37" t="s">
        <v>527</v>
      </c>
      <c r="G387" s="39">
        <v>120000</v>
      </c>
      <c r="H387" s="40">
        <v>118000</v>
      </c>
      <c r="I387" s="47"/>
      <c r="J387" s="42">
        <v>0</v>
      </c>
      <c r="K387" s="46"/>
      <c r="L387" s="43">
        <f t="shared" si="12"/>
        <v>118000</v>
      </c>
      <c r="M387" s="44"/>
      <c r="N387" s="44">
        <v>118000</v>
      </c>
      <c r="O387" s="44"/>
      <c r="P387" s="67" t="s">
        <v>817</v>
      </c>
      <c r="Q387" s="39">
        <f t="shared" ref="Q387:Q448" si="13">L387-M387-N387-O387</f>
        <v>0</v>
      </c>
      <c r="R387" s="67"/>
      <c r="S387" s="113" t="s">
        <v>722</v>
      </c>
    </row>
    <row r="388" spans="1:19" s="113" customFormat="1" x14ac:dyDescent="0.35">
      <c r="A388" s="98" t="s">
        <v>19</v>
      </c>
      <c r="B388" s="36">
        <v>8471150</v>
      </c>
      <c r="C388" s="37" t="s">
        <v>522</v>
      </c>
      <c r="D388" s="38">
        <v>428090</v>
      </c>
      <c r="E388" s="37" t="s">
        <v>39</v>
      </c>
      <c r="F388" s="37" t="s">
        <v>528</v>
      </c>
      <c r="G388" s="39">
        <v>50001</v>
      </c>
      <c r="H388" s="40">
        <v>13623</v>
      </c>
      <c r="I388" s="47"/>
      <c r="J388" s="45"/>
      <c r="K388" s="46"/>
      <c r="L388" s="43">
        <f t="shared" si="12"/>
        <v>13623</v>
      </c>
      <c r="M388" s="44"/>
      <c r="N388" s="44">
        <v>13623</v>
      </c>
      <c r="O388" s="44"/>
      <c r="P388" s="67" t="s">
        <v>818</v>
      </c>
      <c r="Q388" s="39">
        <f t="shared" si="13"/>
        <v>0</v>
      </c>
      <c r="R388" s="67"/>
      <c r="S388" s="113" t="s">
        <v>722</v>
      </c>
    </row>
    <row r="389" spans="1:19" s="113" customFormat="1" x14ac:dyDescent="0.35">
      <c r="A389" s="98" t="s">
        <v>19</v>
      </c>
      <c r="B389" s="36">
        <v>8471160</v>
      </c>
      <c r="C389" s="37" t="s">
        <v>529</v>
      </c>
      <c r="D389" s="38">
        <v>420810</v>
      </c>
      <c r="E389" s="37" t="s">
        <v>466</v>
      </c>
      <c r="F389" s="37" t="s">
        <v>530</v>
      </c>
      <c r="G389" s="39">
        <v>588000</v>
      </c>
      <c r="H389" s="40">
        <v>0</v>
      </c>
      <c r="I389" s="47"/>
      <c r="J389" s="45"/>
      <c r="K389" s="46"/>
      <c r="L389" s="43">
        <f t="shared" si="12"/>
        <v>0</v>
      </c>
      <c r="M389" s="44"/>
      <c r="N389" s="44"/>
      <c r="O389" s="44"/>
      <c r="P389" s="67"/>
      <c r="Q389" s="39">
        <f t="shared" si="13"/>
        <v>0</v>
      </c>
      <c r="R389" s="67"/>
      <c r="S389" s="113" t="s">
        <v>722</v>
      </c>
    </row>
    <row r="390" spans="1:19" s="113" customFormat="1" x14ac:dyDescent="0.35">
      <c r="A390" s="98" t="s">
        <v>19</v>
      </c>
      <c r="B390" s="36">
        <v>8471160</v>
      </c>
      <c r="C390" s="37" t="s">
        <v>529</v>
      </c>
      <c r="D390" s="38">
        <v>420811</v>
      </c>
      <c r="E390" s="37" t="s">
        <v>469</v>
      </c>
      <c r="F390" s="37" t="s">
        <v>531</v>
      </c>
      <c r="G390" s="39">
        <v>0</v>
      </c>
      <c r="H390" s="40">
        <v>588000</v>
      </c>
      <c r="I390" s="47"/>
      <c r="J390" s="45"/>
      <c r="K390" s="46"/>
      <c r="L390" s="43">
        <f t="shared" si="12"/>
        <v>588000</v>
      </c>
      <c r="M390" s="44"/>
      <c r="N390" s="44"/>
      <c r="O390" s="44"/>
      <c r="P390" s="67"/>
      <c r="Q390" s="39">
        <f t="shared" si="13"/>
        <v>588000</v>
      </c>
      <c r="R390" s="67" t="s">
        <v>828</v>
      </c>
      <c r="S390" s="113" t="s">
        <v>722</v>
      </c>
    </row>
    <row r="391" spans="1:19" s="113" customFormat="1" x14ac:dyDescent="0.35">
      <c r="A391" s="98" t="s">
        <v>19</v>
      </c>
      <c r="B391" s="36">
        <v>8471160</v>
      </c>
      <c r="C391" s="37" t="s">
        <v>529</v>
      </c>
      <c r="D391" s="38">
        <v>426610</v>
      </c>
      <c r="E391" s="37" t="s">
        <v>37</v>
      </c>
      <c r="F391" s="37" t="s">
        <v>532</v>
      </c>
      <c r="G391" s="39">
        <v>161375</v>
      </c>
      <c r="H391" s="40">
        <v>507375</v>
      </c>
      <c r="I391" s="41">
        <v>87650</v>
      </c>
      <c r="J391" s="42">
        <v>62561.07</v>
      </c>
      <c r="K391" s="40">
        <v>269559.7</v>
      </c>
      <c r="L391" s="43">
        <f t="shared" si="12"/>
        <v>87604.229999999981</v>
      </c>
      <c r="M391" s="44"/>
      <c r="N391" s="44"/>
      <c r="O391" s="44"/>
      <c r="P391" s="67"/>
      <c r="Q391" s="39">
        <f t="shared" si="13"/>
        <v>87604.229999999981</v>
      </c>
      <c r="R391" s="67" t="s">
        <v>829</v>
      </c>
      <c r="S391" s="113" t="s">
        <v>722</v>
      </c>
    </row>
    <row r="392" spans="1:19" s="113" customFormat="1" x14ac:dyDescent="0.35">
      <c r="A392" s="98" t="s">
        <v>19</v>
      </c>
      <c r="B392" s="36">
        <v>8471160</v>
      </c>
      <c r="C392" s="37" t="s">
        <v>529</v>
      </c>
      <c r="D392" s="38">
        <v>432209</v>
      </c>
      <c r="E392" s="37" t="s">
        <v>132</v>
      </c>
      <c r="F392" s="37" t="s">
        <v>533</v>
      </c>
      <c r="G392" s="39">
        <v>15319303</v>
      </c>
      <c r="H392" s="40">
        <v>13549303</v>
      </c>
      <c r="I392" s="41">
        <v>6443128.0300000003</v>
      </c>
      <c r="J392" s="42">
        <v>2912354.85</v>
      </c>
      <c r="K392" s="40">
        <v>4150387.85</v>
      </c>
      <c r="L392" s="43">
        <f t="shared" si="12"/>
        <v>43432.269999999553</v>
      </c>
      <c r="M392" s="44">
        <v>35000</v>
      </c>
      <c r="N392" s="44">
        <v>7000</v>
      </c>
      <c r="O392" s="44">
        <v>1000</v>
      </c>
      <c r="P392" s="67" t="s">
        <v>819</v>
      </c>
      <c r="Q392" s="39">
        <f t="shared" si="13"/>
        <v>432.26999999955297</v>
      </c>
      <c r="R392" s="67" t="s">
        <v>830</v>
      </c>
      <c r="S392" s="113" t="s">
        <v>722</v>
      </c>
    </row>
    <row r="393" spans="1:19" s="113" customFormat="1" x14ac:dyDescent="0.35">
      <c r="A393" s="98" t="s">
        <v>19</v>
      </c>
      <c r="B393" s="36">
        <v>8471160</v>
      </c>
      <c r="C393" s="37" t="s">
        <v>529</v>
      </c>
      <c r="D393" s="38">
        <v>435508</v>
      </c>
      <c r="E393" s="37" t="s">
        <v>135</v>
      </c>
      <c r="F393" s="37" t="s">
        <v>534</v>
      </c>
      <c r="G393" s="39">
        <v>2753398</v>
      </c>
      <c r="H393" s="40">
        <v>4157398</v>
      </c>
      <c r="I393" s="41">
        <v>831180.13</v>
      </c>
      <c r="J393" s="42">
        <v>1143117.57</v>
      </c>
      <c r="K393" s="40">
        <v>802993.35</v>
      </c>
      <c r="L393" s="43">
        <f t="shared" si="12"/>
        <v>1380106.9499999997</v>
      </c>
      <c r="M393" s="44">
        <v>900000</v>
      </c>
      <c r="N393" s="44">
        <v>40000</v>
      </c>
      <c r="O393" s="44">
        <v>5000</v>
      </c>
      <c r="P393" s="67" t="s">
        <v>820</v>
      </c>
      <c r="Q393" s="39">
        <f t="shared" si="13"/>
        <v>435106.94999999972</v>
      </c>
      <c r="R393" s="67" t="s">
        <v>831</v>
      </c>
      <c r="S393" s="113" t="s">
        <v>722</v>
      </c>
    </row>
    <row r="394" spans="1:19" s="113" customFormat="1" x14ac:dyDescent="0.35">
      <c r="A394" s="98" t="s">
        <v>19</v>
      </c>
      <c r="B394" s="36">
        <v>8471160</v>
      </c>
      <c r="C394" s="37" t="s">
        <v>529</v>
      </c>
      <c r="D394" s="38">
        <v>436600</v>
      </c>
      <c r="E394" s="37" t="s">
        <v>137</v>
      </c>
      <c r="F394" s="37" t="s">
        <v>535</v>
      </c>
      <c r="G394" s="39">
        <v>0</v>
      </c>
      <c r="H394" s="40">
        <v>20000</v>
      </c>
      <c r="I394" s="47"/>
      <c r="J394" s="45"/>
      <c r="K394" s="46"/>
      <c r="L394" s="43">
        <f t="shared" si="12"/>
        <v>20000</v>
      </c>
      <c r="M394" s="44">
        <v>20000</v>
      </c>
      <c r="N394" s="44">
        <v>0</v>
      </c>
      <c r="O394" s="44">
        <v>0</v>
      </c>
      <c r="P394" s="67" t="s">
        <v>821</v>
      </c>
      <c r="Q394" s="39">
        <f t="shared" si="13"/>
        <v>0</v>
      </c>
      <c r="R394" s="67"/>
      <c r="S394" s="113" t="s">
        <v>722</v>
      </c>
    </row>
    <row r="395" spans="1:19" s="113" customFormat="1" x14ac:dyDescent="0.35">
      <c r="A395" s="98" t="s">
        <v>19</v>
      </c>
      <c r="B395" s="36">
        <v>8471170</v>
      </c>
      <c r="C395" s="37" t="s">
        <v>536</v>
      </c>
      <c r="D395" s="38">
        <v>420810</v>
      </c>
      <c r="E395" s="37" t="s">
        <v>466</v>
      </c>
      <c r="F395" s="37" t="s">
        <v>537</v>
      </c>
      <c r="G395" s="39">
        <v>1709607</v>
      </c>
      <c r="H395" s="40">
        <v>319000</v>
      </c>
      <c r="I395" s="47"/>
      <c r="J395" s="45"/>
      <c r="K395" s="46"/>
      <c r="L395" s="43">
        <f t="shared" si="12"/>
        <v>319000</v>
      </c>
      <c r="M395" s="44"/>
      <c r="N395" s="44"/>
      <c r="O395" s="44"/>
      <c r="P395" s="67"/>
      <c r="Q395" s="39">
        <f t="shared" si="13"/>
        <v>319000</v>
      </c>
      <c r="R395" s="67"/>
      <c r="S395" s="113" t="s">
        <v>722</v>
      </c>
    </row>
    <row r="396" spans="1:19" s="113" customFormat="1" x14ac:dyDescent="0.35">
      <c r="A396" s="98" t="s">
        <v>19</v>
      </c>
      <c r="B396" s="36">
        <v>8471170</v>
      </c>
      <c r="C396" s="37" t="s">
        <v>536</v>
      </c>
      <c r="D396" s="38">
        <v>420811</v>
      </c>
      <c r="E396" s="37" t="s">
        <v>469</v>
      </c>
      <c r="F396" s="37" t="s">
        <v>538</v>
      </c>
      <c r="G396" s="39">
        <v>0</v>
      </c>
      <c r="H396" s="40">
        <v>1709607</v>
      </c>
      <c r="I396" s="47"/>
      <c r="J396" s="42">
        <v>871932.8</v>
      </c>
      <c r="K396" s="46"/>
      <c r="L396" s="43">
        <f t="shared" si="12"/>
        <v>837674.2</v>
      </c>
      <c r="M396" s="44"/>
      <c r="N396" s="44"/>
      <c r="O396" s="44"/>
      <c r="P396" s="67"/>
      <c r="Q396" s="39">
        <f t="shared" si="13"/>
        <v>837674.2</v>
      </c>
      <c r="R396" s="67"/>
      <c r="S396" s="113" t="s">
        <v>722</v>
      </c>
    </row>
    <row r="397" spans="1:19" s="113" customFormat="1" x14ac:dyDescent="0.35">
      <c r="A397" s="98" t="s">
        <v>19</v>
      </c>
      <c r="B397" s="36">
        <v>8471170</v>
      </c>
      <c r="C397" s="37" t="s">
        <v>536</v>
      </c>
      <c r="D397" s="38">
        <v>425900</v>
      </c>
      <c r="E397" s="37" t="s">
        <v>35</v>
      </c>
      <c r="F397" s="37" t="s">
        <v>539</v>
      </c>
      <c r="G397" s="39">
        <v>10000</v>
      </c>
      <c r="H397" s="40">
        <v>10000</v>
      </c>
      <c r="I397" s="47"/>
      <c r="J397" s="45"/>
      <c r="K397" s="46"/>
      <c r="L397" s="43">
        <f t="shared" si="12"/>
        <v>10000</v>
      </c>
      <c r="M397" s="44"/>
      <c r="N397" s="44">
        <v>5000</v>
      </c>
      <c r="O397" s="44"/>
      <c r="P397" s="67" t="s">
        <v>822</v>
      </c>
      <c r="Q397" s="39">
        <f t="shared" si="13"/>
        <v>5000</v>
      </c>
      <c r="R397" s="67" t="s">
        <v>832</v>
      </c>
      <c r="S397" s="113" t="s">
        <v>722</v>
      </c>
    </row>
    <row r="398" spans="1:19" s="113" customFormat="1" x14ac:dyDescent="0.35">
      <c r="A398" s="98" t="s">
        <v>19</v>
      </c>
      <c r="B398" s="36">
        <v>8471170</v>
      </c>
      <c r="C398" s="37" t="s">
        <v>536</v>
      </c>
      <c r="D398" s="38">
        <v>426610</v>
      </c>
      <c r="E398" s="37" t="s">
        <v>37</v>
      </c>
      <c r="F398" s="37" t="s">
        <v>540</v>
      </c>
      <c r="G398" s="39">
        <v>2618576</v>
      </c>
      <c r="H398" s="40">
        <v>2299576</v>
      </c>
      <c r="I398" s="41">
        <v>751513.28</v>
      </c>
      <c r="J398" s="42">
        <v>34038.690000000097</v>
      </c>
      <c r="K398" s="40">
        <v>843285.47</v>
      </c>
      <c r="L398" s="43">
        <f t="shared" si="12"/>
        <v>670738.55999999982</v>
      </c>
      <c r="M398" s="44"/>
      <c r="N398" s="44"/>
      <c r="O398" s="44"/>
      <c r="P398" s="67"/>
      <c r="Q398" s="39">
        <f t="shared" si="13"/>
        <v>670738.55999999982</v>
      </c>
      <c r="R398" s="67" t="s">
        <v>833</v>
      </c>
      <c r="S398" s="113" t="s">
        <v>722</v>
      </c>
    </row>
    <row r="399" spans="1:19" s="113" customFormat="1" x14ac:dyDescent="0.35">
      <c r="A399" s="98" t="s">
        <v>19</v>
      </c>
      <c r="B399" s="36">
        <v>8471170</v>
      </c>
      <c r="C399" s="37" t="s">
        <v>536</v>
      </c>
      <c r="D399" s="38">
        <v>428090</v>
      </c>
      <c r="E399" s="37" t="s">
        <v>39</v>
      </c>
      <c r="F399" s="37" t="s">
        <v>541</v>
      </c>
      <c r="G399" s="39">
        <v>45000</v>
      </c>
      <c r="H399" s="40">
        <v>12261</v>
      </c>
      <c r="I399" s="47"/>
      <c r="J399" s="45"/>
      <c r="K399" s="46"/>
      <c r="L399" s="43">
        <f t="shared" si="12"/>
        <v>12261</v>
      </c>
      <c r="M399" s="44">
        <v>12261</v>
      </c>
      <c r="N399" s="44"/>
      <c r="O399" s="44"/>
      <c r="P399" s="67" t="s">
        <v>823</v>
      </c>
      <c r="Q399" s="39">
        <f t="shared" si="13"/>
        <v>0</v>
      </c>
      <c r="R399" s="67"/>
      <c r="S399" s="113" t="s">
        <v>722</v>
      </c>
    </row>
    <row r="400" spans="1:19" x14ac:dyDescent="0.35">
      <c r="A400" s="117" t="s">
        <v>19</v>
      </c>
      <c r="B400" s="118">
        <v>8471210</v>
      </c>
      <c r="C400" s="119" t="s">
        <v>542</v>
      </c>
      <c r="D400" s="120">
        <v>425900</v>
      </c>
      <c r="E400" s="119" t="s">
        <v>35</v>
      </c>
      <c r="F400" s="119" t="s">
        <v>543</v>
      </c>
      <c r="G400" s="121">
        <v>15000</v>
      </c>
      <c r="H400" s="122">
        <v>15000</v>
      </c>
      <c r="I400" s="123">
        <v>13795</v>
      </c>
      <c r="J400" s="124">
        <v>0</v>
      </c>
      <c r="K400" s="122">
        <v>0</v>
      </c>
      <c r="L400" s="125">
        <f t="shared" si="12"/>
        <v>1205</v>
      </c>
      <c r="M400" s="126"/>
      <c r="N400" s="126"/>
      <c r="O400" s="126"/>
      <c r="P400" s="127"/>
      <c r="Q400" s="121">
        <f t="shared" si="13"/>
        <v>1205</v>
      </c>
      <c r="R400" s="127"/>
      <c r="S400" s="128" t="s">
        <v>722</v>
      </c>
    </row>
    <row r="401" spans="1:19" x14ac:dyDescent="0.35">
      <c r="A401" s="117" t="s">
        <v>19</v>
      </c>
      <c r="B401" s="118">
        <v>8471210</v>
      </c>
      <c r="C401" s="119" t="s">
        <v>542</v>
      </c>
      <c r="D401" s="120">
        <v>428090</v>
      </c>
      <c r="E401" s="119" t="s">
        <v>39</v>
      </c>
      <c r="F401" s="119" t="s">
        <v>544</v>
      </c>
      <c r="G401" s="121">
        <v>100000</v>
      </c>
      <c r="H401" s="122">
        <v>57246</v>
      </c>
      <c r="I401" s="123">
        <v>12000</v>
      </c>
      <c r="J401" s="129"/>
      <c r="K401" s="130"/>
      <c r="L401" s="125">
        <f t="shared" si="12"/>
        <v>45246</v>
      </c>
      <c r="M401" s="126"/>
      <c r="N401" s="126"/>
      <c r="O401" s="126"/>
      <c r="P401" s="127" t="s">
        <v>853</v>
      </c>
      <c r="Q401" s="121">
        <f t="shared" si="13"/>
        <v>45246</v>
      </c>
      <c r="R401" s="127"/>
      <c r="S401" s="128" t="s">
        <v>722</v>
      </c>
    </row>
    <row r="402" spans="1:19" x14ac:dyDescent="0.35">
      <c r="A402" s="117" t="s">
        <v>19</v>
      </c>
      <c r="B402" s="118">
        <v>8471210</v>
      </c>
      <c r="C402" s="119" t="s">
        <v>542</v>
      </c>
      <c r="D402" s="120">
        <v>428640</v>
      </c>
      <c r="E402" s="119" t="s">
        <v>43</v>
      </c>
      <c r="F402" s="119" t="s">
        <v>545</v>
      </c>
      <c r="G402" s="121">
        <v>20000</v>
      </c>
      <c r="H402" s="122">
        <v>149</v>
      </c>
      <c r="I402" s="131"/>
      <c r="J402" s="129"/>
      <c r="K402" s="130"/>
      <c r="L402" s="125">
        <f t="shared" si="12"/>
        <v>149</v>
      </c>
      <c r="M402" s="126"/>
      <c r="N402" s="126"/>
      <c r="O402" s="126"/>
      <c r="P402" s="127"/>
      <c r="Q402" s="121">
        <f t="shared" si="13"/>
        <v>149</v>
      </c>
      <c r="R402" s="127"/>
      <c r="S402" s="128" t="s">
        <v>722</v>
      </c>
    </row>
    <row r="403" spans="1:19" x14ac:dyDescent="0.35">
      <c r="A403" s="117" t="s">
        <v>19</v>
      </c>
      <c r="B403" s="118">
        <v>8471220</v>
      </c>
      <c r="C403" s="119" t="s">
        <v>549</v>
      </c>
      <c r="D403" s="120">
        <v>425510</v>
      </c>
      <c r="E403" s="119" t="s">
        <v>31</v>
      </c>
      <c r="F403" s="119" t="s">
        <v>550</v>
      </c>
      <c r="G403" s="121">
        <v>2200</v>
      </c>
      <c r="H403" s="122">
        <v>2200</v>
      </c>
      <c r="I403" s="131"/>
      <c r="J403" s="129"/>
      <c r="K403" s="130"/>
      <c r="L403" s="125">
        <f t="shared" si="12"/>
        <v>2200</v>
      </c>
      <c r="M403" s="126"/>
      <c r="N403" s="126"/>
      <c r="O403" s="126"/>
      <c r="P403" s="127"/>
      <c r="Q403" s="121">
        <f t="shared" si="13"/>
        <v>2200</v>
      </c>
      <c r="R403" s="127"/>
      <c r="S403" s="128" t="s">
        <v>722</v>
      </c>
    </row>
    <row r="404" spans="1:19" x14ac:dyDescent="0.35">
      <c r="A404" s="117" t="s">
        <v>19</v>
      </c>
      <c r="B404" s="118">
        <v>8471220</v>
      </c>
      <c r="C404" s="119" t="s">
        <v>549</v>
      </c>
      <c r="D404" s="120">
        <v>425741</v>
      </c>
      <c r="E404" s="119" t="s">
        <v>551</v>
      </c>
      <c r="F404" s="119" t="s">
        <v>552</v>
      </c>
      <c r="G404" s="121">
        <v>80501600</v>
      </c>
      <c r="H404" s="122">
        <v>80582600</v>
      </c>
      <c r="I404" s="123">
        <v>49281401.380000003</v>
      </c>
      <c r="J404" s="129"/>
      <c r="K404" s="130"/>
      <c r="L404" s="125">
        <f t="shared" si="12"/>
        <v>31301198.619999997</v>
      </c>
      <c r="M404" s="126"/>
      <c r="N404" s="126"/>
      <c r="O404" s="126"/>
      <c r="P404" s="127"/>
      <c r="Q404" s="121">
        <f t="shared" si="13"/>
        <v>31301198.619999997</v>
      </c>
      <c r="R404" s="127" t="s">
        <v>884</v>
      </c>
      <c r="S404" s="128" t="s">
        <v>722</v>
      </c>
    </row>
    <row r="405" spans="1:19" x14ac:dyDescent="0.35">
      <c r="A405" s="117" t="s">
        <v>19</v>
      </c>
      <c r="B405" s="118">
        <v>8471220</v>
      </c>
      <c r="C405" s="119" t="s">
        <v>549</v>
      </c>
      <c r="D405" s="120">
        <v>425745</v>
      </c>
      <c r="E405" s="119" t="s">
        <v>106</v>
      </c>
      <c r="F405" s="119" t="s">
        <v>553</v>
      </c>
      <c r="G405" s="126"/>
      <c r="H405" s="130"/>
      <c r="I405" s="123">
        <v>-11290.12</v>
      </c>
      <c r="J405" s="129"/>
      <c r="K405" s="130"/>
      <c r="L405" s="125">
        <f t="shared" si="12"/>
        <v>11290.12</v>
      </c>
      <c r="M405" s="126"/>
      <c r="N405" s="126"/>
      <c r="O405" s="126"/>
      <c r="P405" s="127"/>
      <c r="Q405" s="121">
        <f t="shared" si="13"/>
        <v>11290.12</v>
      </c>
      <c r="R405" s="127"/>
      <c r="S405" s="128" t="s">
        <v>722</v>
      </c>
    </row>
    <row r="406" spans="1:19" x14ac:dyDescent="0.35">
      <c r="A406" s="117" t="s">
        <v>19</v>
      </c>
      <c r="B406" s="118">
        <v>8471220</v>
      </c>
      <c r="C406" s="119" t="s">
        <v>549</v>
      </c>
      <c r="D406" s="120">
        <v>426900</v>
      </c>
      <c r="E406" s="119" t="s">
        <v>400</v>
      </c>
      <c r="F406" s="119" t="s">
        <v>554</v>
      </c>
      <c r="G406" s="121">
        <v>11000</v>
      </c>
      <c r="H406" s="122">
        <v>11000</v>
      </c>
      <c r="I406" s="131"/>
      <c r="J406" s="129"/>
      <c r="K406" s="130"/>
      <c r="L406" s="125">
        <f t="shared" si="12"/>
        <v>11000</v>
      </c>
      <c r="M406" s="126"/>
      <c r="N406" s="126"/>
      <c r="O406" s="126"/>
      <c r="P406" s="127"/>
      <c r="Q406" s="121">
        <f t="shared" si="13"/>
        <v>11000</v>
      </c>
      <c r="R406" s="127"/>
      <c r="S406" s="128" t="s">
        <v>722</v>
      </c>
    </row>
    <row r="407" spans="1:19" x14ac:dyDescent="0.35">
      <c r="A407" s="117" t="s">
        <v>19</v>
      </c>
      <c r="B407" s="118">
        <v>8471220</v>
      </c>
      <c r="C407" s="119" t="s">
        <v>549</v>
      </c>
      <c r="D407" s="120">
        <v>435340</v>
      </c>
      <c r="E407" s="119" t="s">
        <v>202</v>
      </c>
      <c r="F407" s="119" t="s">
        <v>555</v>
      </c>
      <c r="G407" s="121">
        <v>9500000</v>
      </c>
      <c r="H407" s="122">
        <v>9500000</v>
      </c>
      <c r="I407" s="123">
        <v>4279841.18</v>
      </c>
      <c r="J407" s="124">
        <v>4852865.17</v>
      </c>
      <c r="K407" s="122">
        <v>0</v>
      </c>
      <c r="L407" s="125">
        <f t="shared" si="12"/>
        <v>367293.65000000037</v>
      </c>
      <c r="M407" s="126"/>
      <c r="N407" s="126"/>
      <c r="O407" s="126"/>
      <c r="P407" s="127"/>
      <c r="Q407" s="121">
        <f t="shared" si="13"/>
        <v>367293.65000000037</v>
      </c>
      <c r="R407" s="127" t="s">
        <v>885</v>
      </c>
      <c r="S407" s="128" t="s">
        <v>722</v>
      </c>
    </row>
    <row r="408" spans="1:19" x14ac:dyDescent="0.35">
      <c r="A408" s="117" t="s">
        <v>19</v>
      </c>
      <c r="B408" s="118">
        <v>8471220</v>
      </c>
      <c r="C408" s="119" t="s">
        <v>549</v>
      </c>
      <c r="D408" s="120">
        <v>436110</v>
      </c>
      <c r="E408" s="119" t="s">
        <v>119</v>
      </c>
      <c r="F408" s="119" t="s">
        <v>556</v>
      </c>
      <c r="G408" s="121">
        <v>300000</v>
      </c>
      <c r="H408" s="122">
        <v>300000</v>
      </c>
      <c r="I408" s="123">
        <v>115500</v>
      </c>
      <c r="J408" s="124">
        <v>0</v>
      </c>
      <c r="K408" s="122">
        <v>0</v>
      </c>
      <c r="L408" s="125">
        <f t="shared" ref="L408:L470" si="14">H408-I408-J408-K408</f>
        <v>184500</v>
      </c>
      <c r="M408" s="126"/>
      <c r="N408" s="126"/>
      <c r="O408" s="126"/>
      <c r="P408" s="127"/>
      <c r="Q408" s="121">
        <f t="shared" si="13"/>
        <v>184500</v>
      </c>
      <c r="R408" s="127" t="s">
        <v>886</v>
      </c>
      <c r="S408" s="128" t="s">
        <v>722</v>
      </c>
    </row>
    <row r="409" spans="1:19" x14ac:dyDescent="0.35">
      <c r="A409" s="117" t="s">
        <v>19</v>
      </c>
      <c r="B409" s="118">
        <v>8471220</v>
      </c>
      <c r="C409" s="119" t="s">
        <v>549</v>
      </c>
      <c r="D409" s="120">
        <v>436120</v>
      </c>
      <c r="E409" s="119" t="s">
        <v>443</v>
      </c>
      <c r="F409" s="119" t="s">
        <v>557</v>
      </c>
      <c r="G409" s="121">
        <v>6000</v>
      </c>
      <c r="H409" s="122">
        <v>6000</v>
      </c>
      <c r="I409" s="131"/>
      <c r="J409" s="129"/>
      <c r="K409" s="130"/>
      <c r="L409" s="125">
        <f t="shared" si="14"/>
        <v>6000</v>
      </c>
      <c r="M409" s="126"/>
      <c r="N409" s="126"/>
      <c r="O409" s="126"/>
      <c r="P409" s="127"/>
      <c r="Q409" s="121">
        <f t="shared" si="13"/>
        <v>6000</v>
      </c>
      <c r="R409" s="127"/>
      <c r="S409" s="128" t="s">
        <v>722</v>
      </c>
    </row>
    <row r="410" spans="1:19" x14ac:dyDescent="0.35">
      <c r="A410" s="117" t="s">
        <v>19</v>
      </c>
      <c r="B410" s="118">
        <v>8471230</v>
      </c>
      <c r="C410" s="119" t="s">
        <v>558</v>
      </c>
      <c r="D410" s="120">
        <v>425742</v>
      </c>
      <c r="E410" s="119" t="s">
        <v>559</v>
      </c>
      <c r="F410" s="119" t="s">
        <v>560</v>
      </c>
      <c r="G410" s="121">
        <v>2000000</v>
      </c>
      <c r="H410" s="122">
        <v>1247000</v>
      </c>
      <c r="I410" s="123">
        <v>691086.57</v>
      </c>
      <c r="J410" s="124">
        <v>92515.74</v>
      </c>
      <c r="K410" s="122">
        <v>161631.32999999999</v>
      </c>
      <c r="L410" s="133">
        <f t="shared" si="14"/>
        <v>301766.3600000001</v>
      </c>
      <c r="M410" s="126"/>
      <c r="N410" s="126"/>
      <c r="O410" s="126"/>
      <c r="P410" s="127" t="s">
        <v>854</v>
      </c>
      <c r="Q410" s="132">
        <f t="shared" si="13"/>
        <v>301766.3600000001</v>
      </c>
      <c r="R410" s="127"/>
      <c r="S410" s="128" t="s">
        <v>722</v>
      </c>
    </row>
    <row r="411" spans="1:19" x14ac:dyDescent="0.35">
      <c r="A411" s="117" t="s">
        <v>19</v>
      </c>
      <c r="B411" s="118">
        <v>8471230</v>
      </c>
      <c r="C411" s="119" t="s">
        <v>558</v>
      </c>
      <c r="D411" s="120">
        <v>426610</v>
      </c>
      <c r="E411" s="119" t="s">
        <v>37</v>
      </c>
      <c r="F411" s="119" t="s">
        <v>561</v>
      </c>
      <c r="G411" s="121">
        <v>120000</v>
      </c>
      <c r="H411" s="122">
        <v>120000</v>
      </c>
      <c r="I411" s="123">
        <v>14479.23</v>
      </c>
      <c r="J411" s="129"/>
      <c r="K411" s="130"/>
      <c r="L411" s="125">
        <f t="shared" si="14"/>
        <v>105520.77</v>
      </c>
      <c r="M411" s="126"/>
      <c r="N411" s="126"/>
      <c r="O411" s="126"/>
      <c r="P411" s="127" t="s">
        <v>854</v>
      </c>
      <c r="Q411" s="121">
        <f t="shared" si="13"/>
        <v>105520.77</v>
      </c>
      <c r="R411" s="127"/>
      <c r="S411" s="128" t="s">
        <v>722</v>
      </c>
    </row>
    <row r="412" spans="1:19" x14ac:dyDescent="0.35">
      <c r="A412" s="117" t="s">
        <v>19</v>
      </c>
      <c r="B412" s="118">
        <v>8471240</v>
      </c>
      <c r="C412" s="119" t="s">
        <v>562</v>
      </c>
      <c r="D412" s="120">
        <v>425510</v>
      </c>
      <c r="E412" s="119" t="s">
        <v>31</v>
      </c>
      <c r="F412" s="119" t="s">
        <v>563</v>
      </c>
      <c r="G412" s="121">
        <v>220000</v>
      </c>
      <c r="H412" s="122">
        <v>220000</v>
      </c>
      <c r="I412" s="123">
        <v>51401.25</v>
      </c>
      <c r="J412" s="124">
        <v>0</v>
      </c>
      <c r="K412" s="122">
        <v>0</v>
      </c>
      <c r="L412" s="125">
        <f t="shared" si="14"/>
        <v>168598.75</v>
      </c>
      <c r="M412" s="126"/>
      <c r="N412" s="126"/>
      <c r="O412" s="126"/>
      <c r="P412" s="127"/>
      <c r="Q412" s="121">
        <f t="shared" si="13"/>
        <v>168598.75</v>
      </c>
      <c r="R412" s="127" t="s">
        <v>887</v>
      </c>
      <c r="S412" s="128" t="s">
        <v>722</v>
      </c>
    </row>
    <row r="413" spans="1:19" x14ac:dyDescent="0.35">
      <c r="A413" s="117" t="s">
        <v>19</v>
      </c>
      <c r="B413" s="118">
        <v>8471240</v>
      </c>
      <c r="C413" s="119" t="s">
        <v>562</v>
      </c>
      <c r="D413" s="120">
        <v>425720</v>
      </c>
      <c r="E413" s="119" t="s">
        <v>224</v>
      </c>
      <c r="F413" s="119" t="s">
        <v>564</v>
      </c>
      <c r="G413" s="121">
        <v>128000</v>
      </c>
      <c r="H413" s="122">
        <v>128000</v>
      </c>
      <c r="I413" s="131"/>
      <c r="J413" s="129"/>
      <c r="K413" s="130"/>
      <c r="L413" s="125">
        <f t="shared" si="14"/>
        <v>128000</v>
      </c>
      <c r="M413" s="126"/>
      <c r="N413" s="126"/>
      <c r="O413" s="126"/>
      <c r="P413" s="127" t="s">
        <v>855</v>
      </c>
      <c r="Q413" s="121">
        <f t="shared" si="13"/>
        <v>128000</v>
      </c>
      <c r="R413" s="127"/>
      <c r="S413" s="128" t="s">
        <v>722</v>
      </c>
    </row>
    <row r="414" spans="1:19" x14ac:dyDescent="0.35">
      <c r="A414" s="117" t="s">
        <v>19</v>
      </c>
      <c r="B414" s="118">
        <v>8471240</v>
      </c>
      <c r="C414" s="119" t="s">
        <v>562</v>
      </c>
      <c r="D414" s="120">
        <v>425750</v>
      </c>
      <c r="E414" s="119" t="s">
        <v>565</v>
      </c>
      <c r="F414" s="119" t="s">
        <v>566</v>
      </c>
      <c r="G414" s="121">
        <v>23000</v>
      </c>
      <c r="H414" s="122">
        <v>23000</v>
      </c>
      <c r="I414" s="131"/>
      <c r="J414" s="129"/>
      <c r="K414" s="130"/>
      <c r="L414" s="125">
        <f t="shared" si="14"/>
        <v>23000</v>
      </c>
      <c r="M414" s="126"/>
      <c r="N414" s="126"/>
      <c r="O414" s="126"/>
      <c r="P414" s="127"/>
      <c r="Q414" s="121">
        <f t="shared" si="13"/>
        <v>23000</v>
      </c>
      <c r="R414" s="127"/>
      <c r="S414" s="128" t="s">
        <v>722</v>
      </c>
    </row>
    <row r="415" spans="1:19" x14ac:dyDescent="0.35">
      <c r="A415" s="117" t="s">
        <v>19</v>
      </c>
      <c r="B415" s="118">
        <v>8471240</v>
      </c>
      <c r="C415" s="119" t="s">
        <v>562</v>
      </c>
      <c r="D415" s="120">
        <v>425761</v>
      </c>
      <c r="E415" s="119" t="s">
        <v>110</v>
      </c>
      <c r="F415" s="119" t="s">
        <v>567</v>
      </c>
      <c r="G415" s="121">
        <v>800000</v>
      </c>
      <c r="H415" s="122">
        <v>800000</v>
      </c>
      <c r="I415" s="123">
        <v>325555.34999999998</v>
      </c>
      <c r="J415" s="129"/>
      <c r="K415" s="130"/>
      <c r="L415" s="125">
        <f t="shared" si="14"/>
        <v>474444.65</v>
      </c>
      <c r="M415" s="126"/>
      <c r="N415" s="126"/>
      <c r="O415" s="126"/>
      <c r="P415" s="127" t="s">
        <v>856</v>
      </c>
      <c r="Q415" s="132">
        <f t="shared" si="13"/>
        <v>474444.65</v>
      </c>
      <c r="R415" s="127"/>
      <c r="S415" s="128" t="s">
        <v>722</v>
      </c>
    </row>
    <row r="416" spans="1:19" x14ac:dyDescent="0.35">
      <c r="A416" s="117" t="s">
        <v>19</v>
      </c>
      <c r="B416" s="118">
        <v>8471240</v>
      </c>
      <c r="C416" s="119" t="s">
        <v>562</v>
      </c>
      <c r="D416" s="120">
        <v>425900</v>
      </c>
      <c r="E416" s="119" t="s">
        <v>35</v>
      </c>
      <c r="F416" s="119" t="s">
        <v>568</v>
      </c>
      <c r="G416" s="121">
        <v>24000</v>
      </c>
      <c r="H416" s="122">
        <v>24000</v>
      </c>
      <c r="I416" s="123">
        <v>2294.25</v>
      </c>
      <c r="J416" s="129"/>
      <c r="K416" s="130"/>
      <c r="L416" s="125">
        <f t="shared" si="14"/>
        <v>21705.75</v>
      </c>
      <c r="M416" s="126"/>
      <c r="N416" s="126"/>
      <c r="O416" s="126"/>
      <c r="P416" s="127"/>
      <c r="Q416" s="121">
        <f t="shared" si="13"/>
        <v>21705.75</v>
      </c>
      <c r="R416" s="127"/>
      <c r="S416" s="128" t="s">
        <v>722</v>
      </c>
    </row>
    <row r="417" spans="1:19" x14ac:dyDescent="0.35">
      <c r="A417" s="117" t="s">
        <v>19</v>
      </c>
      <c r="B417" s="118">
        <v>8471240</v>
      </c>
      <c r="C417" s="119" t="s">
        <v>562</v>
      </c>
      <c r="D417" s="120">
        <v>426610</v>
      </c>
      <c r="E417" s="119" t="s">
        <v>37</v>
      </c>
      <c r="F417" s="119" t="s">
        <v>569</v>
      </c>
      <c r="G417" s="121">
        <v>0</v>
      </c>
      <c r="H417" s="122">
        <v>363000</v>
      </c>
      <c r="I417" s="131"/>
      <c r="J417" s="124">
        <v>0</v>
      </c>
      <c r="K417" s="122">
        <v>362782.21</v>
      </c>
      <c r="L417" s="125">
        <f t="shared" si="14"/>
        <v>217.78999999997905</v>
      </c>
      <c r="M417" s="126"/>
      <c r="N417" s="126"/>
      <c r="O417" s="126"/>
      <c r="P417" s="127"/>
      <c r="Q417" s="121">
        <f t="shared" si="13"/>
        <v>217.78999999997905</v>
      </c>
      <c r="R417" s="127"/>
      <c r="S417" s="128" t="s">
        <v>722</v>
      </c>
    </row>
    <row r="418" spans="1:19" x14ac:dyDescent="0.35">
      <c r="A418" s="117" t="s">
        <v>19</v>
      </c>
      <c r="B418" s="118">
        <v>8471240</v>
      </c>
      <c r="C418" s="119" t="s">
        <v>562</v>
      </c>
      <c r="D418" s="120">
        <v>427710</v>
      </c>
      <c r="E418" s="119" t="s">
        <v>51</v>
      </c>
      <c r="F418" s="119" t="s">
        <v>570</v>
      </c>
      <c r="G418" s="121">
        <v>0</v>
      </c>
      <c r="H418" s="122">
        <v>11020</v>
      </c>
      <c r="I418" s="123">
        <v>11019</v>
      </c>
      <c r="J418" s="129"/>
      <c r="K418" s="130"/>
      <c r="L418" s="125">
        <f t="shared" si="14"/>
        <v>1</v>
      </c>
      <c r="M418" s="126"/>
      <c r="N418" s="126"/>
      <c r="O418" s="126"/>
      <c r="P418" s="127"/>
      <c r="Q418" s="121">
        <f t="shared" si="13"/>
        <v>1</v>
      </c>
      <c r="R418" s="127"/>
      <c r="S418" s="128" t="s">
        <v>722</v>
      </c>
    </row>
    <row r="419" spans="1:19" x14ac:dyDescent="0.35">
      <c r="A419" s="117" t="s">
        <v>19</v>
      </c>
      <c r="B419" s="118">
        <v>8471240</v>
      </c>
      <c r="C419" s="119" t="s">
        <v>562</v>
      </c>
      <c r="D419" s="120">
        <v>428090</v>
      </c>
      <c r="E419" s="119" t="s">
        <v>39</v>
      </c>
      <c r="F419" s="119" t="s">
        <v>571</v>
      </c>
      <c r="G419" s="121">
        <v>60000</v>
      </c>
      <c r="H419" s="122">
        <v>12382</v>
      </c>
      <c r="I419" s="123">
        <v>12381.18</v>
      </c>
      <c r="J419" s="129"/>
      <c r="K419" s="130"/>
      <c r="L419" s="125">
        <f t="shared" si="14"/>
        <v>0.81999999999970896</v>
      </c>
      <c r="M419" s="126"/>
      <c r="N419" s="126"/>
      <c r="O419" s="126"/>
      <c r="P419" s="127"/>
      <c r="Q419" s="121">
        <f t="shared" si="13"/>
        <v>0.81999999999970896</v>
      </c>
      <c r="R419" s="127"/>
      <c r="S419" s="128" t="s">
        <v>722</v>
      </c>
    </row>
    <row r="420" spans="1:19" x14ac:dyDescent="0.35">
      <c r="A420" s="117" t="s">
        <v>19</v>
      </c>
      <c r="B420" s="118">
        <v>8471240</v>
      </c>
      <c r="C420" s="119" t="s">
        <v>562</v>
      </c>
      <c r="D420" s="120">
        <v>428640</v>
      </c>
      <c r="E420" s="119" t="s">
        <v>43</v>
      </c>
      <c r="F420" s="119" t="s">
        <v>572</v>
      </c>
      <c r="G420" s="121">
        <v>14000</v>
      </c>
      <c r="H420" s="122">
        <v>7104</v>
      </c>
      <c r="I420" s="131"/>
      <c r="J420" s="129"/>
      <c r="K420" s="130"/>
      <c r="L420" s="125">
        <f t="shared" si="14"/>
        <v>7104</v>
      </c>
      <c r="M420" s="126"/>
      <c r="N420" s="126"/>
      <c r="O420" s="126"/>
      <c r="P420" s="127"/>
      <c r="Q420" s="121">
        <f t="shared" si="13"/>
        <v>7104</v>
      </c>
      <c r="R420" s="127"/>
      <c r="S420" s="128" t="s">
        <v>722</v>
      </c>
    </row>
    <row r="421" spans="1:19" x14ac:dyDescent="0.35">
      <c r="A421" s="117" t="s">
        <v>19</v>
      </c>
      <c r="B421" s="118">
        <v>8471240</v>
      </c>
      <c r="C421" s="119" t="s">
        <v>562</v>
      </c>
      <c r="D421" s="120">
        <v>435330</v>
      </c>
      <c r="E421" s="119" t="s">
        <v>573</v>
      </c>
      <c r="F421" s="119" t="s">
        <v>574</v>
      </c>
      <c r="G421" s="121">
        <v>4750</v>
      </c>
      <c r="H421" s="122">
        <v>4750</v>
      </c>
      <c r="I421" s="131"/>
      <c r="J421" s="129"/>
      <c r="K421" s="130"/>
      <c r="L421" s="125">
        <f t="shared" si="14"/>
        <v>4750</v>
      </c>
      <c r="M421" s="126"/>
      <c r="N421" s="126"/>
      <c r="O421" s="126"/>
      <c r="P421" s="127"/>
      <c r="Q421" s="121">
        <f t="shared" si="13"/>
        <v>4750</v>
      </c>
      <c r="R421" s="127"/>
      <c r="S421" s="128" t="s">
        <v>722</v>
      </c>
    </row>
    <row r="422" spans="1:19" x14ac:dyDescent="0.35">
      <c r="A422" s="117" t="s">
        <v>19</v>
      </c>
      <c r="B422" s="118">
        <v>8471240</v>
      </c>
      <c r="C422" s="119" t="s">
        <v>562</v>
      </c>
      <c r="D422" s="120">
        <v>436110</v>
      </c>
      <c r="E422" s="119" t="s">
        <v>119</v>
      </c>
      <c r="F422" s="119" t="s">
        <v>575</v>
      </c>
      <c r="G422" s="121">
        <v>42000</v>
      </c>
      <c r="H422" s="122">
        <v>42000</v>
      </c>
      <c r="I422" s="131"/>
      <c r="J422" s="129"/>
      <c r="K422" s="130"/>
      <c r="L422" s="125">
        <f t="shared" si="14"/>
        <v>42000</v>
      </c>
      <c r="M422" s="126"/>
      <c r="N422" s="126"/>
      <c r="O422" s="126"/>
      <c r="P422" s="127"/>
      <c r="Q422" s="121">
        <f t="shared" si="13"/>
        <v>42000</v>
      </c>
      <c r="R422" s="127"/>
      <c r="S422" s="128" t="s">
        <v>722</v>
      </c>
    </row>
    <row r="423" spans="1:19" x14ac:dyDescent="0.35">
      <c r="A423" s="117" t="s">
        <v>19</v>
      </c>
      <c r="B423" s="118">
        <v>8471240</v>
      </c>
      <c r="C423" s="119" t="s">
        <v>562</v>
      </c>
      <c r="D423" s="120">
        <v>436120</v>
      </c>
      <c r="E423" s="119" t="s">
        <v>443</v>
      </c>
      <c r="F423" s="119" t="s">
        <v>576</v>
      </c>
      <c r="G423" s="121">
        <v>35000</v>
      </c>
      <c r="H423" s="122">
        <v>25000</v>
      </c>
      <c r="I423" s="131"/>
      <c r="J423" s="129"/>
      <c r="K423" s="130"/>
      <c r="L423" s="125">
        <f t="shared" si="14"/>
        <v>25000</v>
      </c>
      <c r="M423" s="126"/>
      <c r="N423" s="126"/>
      <c r="O423" s="126"/>
      <c r="P423" s="127"/>
      <c r="Q423" s="121">
        <f t="shared" si="13"/>
        <v>25000</v>
      </c>
      <c r="R423" s="127"/>
      <c r="S423" s="128" t="s">
        <v>722</v>
      </c>
    </row>
    <row r="424" spans="1:19" x14ac:dyDescent="0.35">
      <c r="A424" s="117" t="s">
        <v>19</v>
      </c>
      <c r="B424" s="118">
        <v>8471250</v>
      </c>
      <c r="C424" s="119" t="s">
        <v>577</v>
      </c>
      <c r="D424" s="120">
        <v>425510</v>
      </c>
      <c r="E424" s="119" t="s">
        <v>31</v>
      </c>
      <c r="F424" s="119" t="s">
        <v>578</v>
      </c>
      <c r="G424" s="121">
        <v>317500</v>
      </c>
      <c r="H424" s="122">
        <v>830600</v>
      </c>
      <c r="I424" s="123">
        <v>67500</v>
      </c>
      <c r="J424" s="124">
        <v>734500</v>
      </c>
      <c r="K424" s="122">
        <v>0</v>
      </c>
      <c r="L424" s="125">
        <f t="shared" si="14"/>
        <v>28600</v>
      </c>
      <c r="M424" s="126"/>
      <c r="N424" s="126">
        <v>28600</v>
      </c>
      <c r="O424" s="126"/>
      <c r="P424" s="127" t="s">
        <v>857</v>
      </c>
      <c r="Q424" s="121">
        <f t="shared" si="13"/>
        <v>0</v>
      </c>
      <c r="R424" s="127"/>
      <c r="S424" s="128" t="s">
        <v>722</v>
      </c>
    </row>
    <row r="425" spans="1:19" x14ac:dyDescent="0.35">
      <c r="A425" s="117" t="s">
        <v>19</v>
      </c>
      <c r="B425" s="118">
        <v>8471250</v>
      </c>
      <c r="C425" s="119" t="s">
        <v>577</v>
      </c>
      <c r="D425" s="120">
        <v>425762</v>
      </c>
      <c r="E425" s="119" t="s">
        <v>112</v>
      </c>
      <c r="F425" s="119" t="s">
        <v>580</v>
      </c>
      <c r="G425" s="121">
        <v>520000</v>
      </c>
      <c r="H425" s="122">
        <v>520000</v>
      </c>
      <c r="I425" s="123">
        <v>398977.51</v>
      </c>
      <c r="J425" s="129"/>
      <c r="K425" s="130"/>
      <c r="L425" s="125">
        <f t="shared" si="14"/>
        <v>121022.48999999999</v>
      </c>
      <c r="M425" s="126"/>
      <c r="N425" s="126">
        <v>127674.49</v>
      </c>
      <c r="O425" s="126"/>
      <c r="P425" s="127" t="s">
        <v>858</v>
      </c>
      <c r="Q425" s="121">
        <f t="shared" si="13"/>
        <v>-6652.0000000000146</v>
      </c>
      <c r="R425" s="127"/>
      <c r="S425" s="128" t="s">
        <v>722</v>
      </c>
    </row>
    <row r="426" spans="1:19" x14ac:dyDescent="0.35">
      <c r="A426" s="117" t="s">
        <v>19</v>
      </c>
      <c r="B426" s="118">
        <v>8471250</v>
      </c>
      <c r="C426" s="119" t="s">
        <v>577</v>
      </c>
      <c r="D426" s="120">
        <v>425900</v>
      </c>
      <c r="E426" s="119" t="s">
        <v>35</v>
      </c>
      <c r="F426" s="119" t="s">
        <v>581</v>
      </c>
      <c r="G426" s="121">
        <v>51000</v>
      </c>
      <c r="H426" s="122">
        <v>51000</v>
      </c>
      <c r="I426" s="131"/>
      <c r="J426" s="129"/>
      <c r="K426" s="130"/>
      <c r="L426" s="125">
        <f t="shared" si="14"/>
        <v>51000</v>
      </c>
      <c r="M426" s="126"/>
      <c r="N426" s="126">
        <v>51000</v>
      </c>
      <c r="O426" s="126"/>
      <c r="P426" s="127" t="s">
        <v>859</v>
      </c>
      <c r="Q426" s="121">
        <f t="shared" si="13"/>
        <v>0</v>
      </c>
      <c r="R426" s="127"/>
      <c r="S426" s="128" t="s">
        <v>722</v>
      </c>
    </row>
    <row r="427" spans="1:19" x14ac:dyDescent="0.35">
      <c r="A427" s="117" t="s">
        <v>19</v>
      </c>
      <c r="B427" s="118">
        <v>8471250</v>
      </c>
      <c r="C427" s="119" t="s">
        <v>577</v>
      </c>
      <c r="D427" s="120">
        <v>426610</v>
      </c>
      <c r="E427" s="119" t="s">
        <v>37</v>
      </c>
      <c r="F427" s="119" t="s">
        <v>582</v>
      </c>
      <c r="G427" s="121">
        <v>60608</v>
      </c>
      <c r="H427" s="122">
        <v>60608</v>
      </c>
      <c r="I427" s="131"/>
      <c r="J427" s="124">
        <v>0</v>
      </c>
      <c r="K427" s="122">
        <v>60604.5</v>
      </c>
      <c r="L427" s="125">
        <f t="shared" si="14"/>
        <v>3.5</v>
      </c>
      <c r="M427" s="126"/>
      <c r="N427" s="126"/>
      <c r="O427" s="126"/>
      <c r="P427" s="127"/>
      <c r="Q427" s="121">
        <f t="shared" si="13"/>
        <v>3.5</v>
      </c>
      <c r="R427" s="127" t="s">
        <v>888</v>
      </c>
      <c r="S427" s="128" t="s">
        <v>722</v>
      </c>
    </row>
    <row r="428" spans="1:19" x14ac:dyDescent="0.35">
      <c r="A428" s="117" t="s">
        <v>19</v>
      </c>
      <c r="B428" s="118">
        <v>8471250</v>
      </c>
      <c r="C428" s="119" t="s">
        <v>577</v>
      </c>
      <c r="D428" s="120">
        <v>428090</v>
      </c>
      <c r="E428" s="119" t="s">
        <v>39</v>
      </c>
      <c r="F428" s="119" t="s">
        <v>583</v>
      </c>
      <c r="G428" s="121">
        <v>0</v>
      </c>
      <c r="H428" s="122">
        <v>10000</v>
      </c>
      <c r="I428" s="123">
        <v>4400</v>
      </c>
      <c r="J428" s="129"/>
      <c r="K428" s="130"/>
      <c r="L428" s="125">
        <f t="shared" si="14"/>
        <v>5600</v>
      </c>
      <c r="M428" s="126"/>
      <c r="N428" s="126"/>
      <c r="O428" s="126">
        <v>5600</v>
      </c>
      <c r="P428" s="127" t="s">
        <v>860</v>
      </c>
      <c r="Q428" s="121">
        <f t="shared" si="13"/>
        <v>0</v>
      </c>
      <c r="R428" s="127"/>
      <c r="S428" s="128" t="s">
        <v>722</v>
      </c>
    </row>
    <row r="429" spans="1:19" x14ac:dyDescent="0.35">
      <c r="A429" s="117" t="s">
        <v>19</v>
      </c>
      <c r="B429" s="118">
        <v>8471250</v>
      </c>
      <c r="C429" s="119" t="s">
        <v>577</v>
      </c>
      <c r="D429" s="120">
        <v>428640</v>
      </c>
      <c r="E429" s="119" t="s">
        <v>43</v>
      </c>
      <c r="F429" s="119" t="s">
        <v>584</v>
      </c>
      <c r="G429" s="121">
        <v>46500</v>
      </c>
      <c r="H429" s="122">
        <v>70001</v>
      </c>
      <c r="I429" s="131"/>
      <c r="J429" s="129"/>
      <c r="K429" s="130"/>
      <c r="L429" s="125">
        <f t="shared" si="14"/>
        <v>70001</v>
      </c>
      <c r="M429" s="126"/>
      <c r="N429" s="126">
        <v>70001</v>
      </c>
      <c r="O429" s="126"/>
      <c r="P429" s="127" t="s">
        <v>861</v>
      </c>
      <c r="Q429" s="121">
        <f t="shared" si="13"/>
        <v>0</v>
      </c>
      <c r="R429" s="127"/>
      <c r="S429" s="128" t="s">
        <v>722</v>
      </c>
    </row>
    <row r="430" spans="1:19" x14ac:dyDescent="0.35">
      <c r="A430" s="117" t="s">
        <v>19</v>
      </c>
      <c r="B430" s="118">
        <v>8471250</v>
      </c>
      <c r="C430" s="119" t="s">
        <v>577</v>
      </c>
      <c r="D430" s="120">
        <v>436110</v>
      </c>
      <c r="E430" s="119" t="s">
        <v>119</v>
      </c>
      <c r="F430" s="119" t="s">
        <v>585</v>
      </c>
      <c r="G430" s="121">
        <v>10000</v>
      </c>
      <c r="H430" s="122">
        <v>10000</v>
      </c>
      <c r="I430" s="131"/>
      <c r="J430" s="129"/>
      <c r="K430" s="130"/>
      <c r="L430" s="125">
        <f t="shared" si="14"/>
        <v>10000</v>
      </c>
      <c r="M430" s="126"/>
      <c r="N430" s="126"/>
      <c r="O430" s="126">
        <v>10000</v>
      </c>
      <c r="P430" s="127" t="s">
        <v>862</v>
      </c>
      <c r="Q430" s="121">
        <f t="shared" si="13"/>
        <v>0</v>
      </c>
      <c r="R430" s="127"/>
      <c r="S430" s="128" t="s">
        <v>722</v>
      </c>
    </row>
    <row r="431" spans="1:19" x14ac:dyDescent="0.35">
      <c r="A431" s="117" t="s">
        <v>19</v>
      </c>
      <c r="B431" s="118">
        <v>8471260</v>
      </c>
      <c r="C431" s="119" t="s">
        <v>586</v>
      </c>
      <c r="D431" s="120">
        <v>421100</v>
      </c>
      <c r="E431" s="119" t="s">
        <v>367</v>
      </c>
      <c r="F431" s="119" t="s">
        <v>587</v>
      </c>
      <c r="G431" s="121">
        <v>2058000</v>
      </c>
      <c r="H431" s="122">
        <v>353000</v>
      </c>
      <c r="I431" s="123">
        <v>352238.57</v>
      </c>
      <c r="J431" s="129"/>
      <c r="K431" s="130"/>
      <c r="L431" s="125">
        <f t="shared" si="14"/>
        <v>761.42999999999302</v>
      </c>
      <c r="M431" s="126">
        <v>0</v>
      </c>
      <c r="N431" s="126">
        <v>0</v>
      </c>
      <c r="O431" s="126">
        <v>0</v>
      </c>
      <c r="P431" s="127">
        <v>0</v>
      </c>
      <c r="Q431" s="121">
        <f t="shared" si="13"/>
        <v>761.42999999999302</v>
      </c>
      <c r="R431" s="127" t="s">
        <v>889</v>
      </c>
      <c r="S431" s="128" t="s">
        <v>722</v>
      </c>
    </row>
    <row r="432" spans="1:19" x14ac:dyDescent="0.35">
      <c r="A432" s="117" t="s">
        <v>19</v>
      </c>
      <c r="B432" s="118">
        <v>8471260</v>
      </c>
      <c r="C432" s="119" t="s">
        <v>586</v>
      </c>
      <c r="D432" s="120">
        <v>425510</v>
      </c>
      <c r="E432" s="119" t="s">
        <v>31</v>
      </c>
      <c r="F432" s="119" t="s">
        <v>588</v>
      </c>
      <c r="G432" s="121">
        <v>205000</v>
      </c>
      <c r="H432" s="122">
        <v>105000</v>
      </c>
      <c r="I432" s="123">
        <v>77273.75</v>
      </c>
      <c r="J432" s="124">
        <v>0</v>
      </c>
      <c r="K432" s="122">
        <v>0</v>
      </c>
      <c r="L432" s="125">
        <f t="shared" si="14"/>
        <v>27726.25</v>
      </c>
      <c r="M432" s="126">
        <v>0</v>
      </c>
      <c r="N432" s="126">
        <v>27726</v>
      </c>
      <c r="O432" s="126">
        <v>0</v>
      </c>
      <c r="P432" s="127" t="s">
        <v>863</v>
      </c>
      <c r="Q432" s="121">
        <f t="shared" si="13"/>
        <v>0.25</v>
      </c>
      <c r="R432" s="127"/>
      <c r="S432" s="128" t="s">
        <v>722</v>
      </c>
    </row>
    <row r="433" spans="1:19" x14ac:dyDescent="0.35">
      <c r="A433" s="117" t="s">
        <v>19</v>
      </c>
      <c r="B433" s="118">
        <v>8471260</v>
      </c>
      <c r="C433" s="119" t="s">
        <v>586</v>
      </c>
      <c r="D433" s="120">
        <v>425746</v>
      </c>
      <c r="E433" s="119" t="s">
        <v>589</v>
      </c>
      <c r="F433" s="119" t="s">
        <v>590</v>
      </c>
      <c r="G433" s="121">
        <v>9349361</v>
      </c>
      <c r="H433" s="122">
        <v>9349361</v>
      </c>
      <c r="I433" s="123">
        <v>-58814.48</v>
      </c>
      <c r="J433" s="129"/>
      <c r="K433" s="122">
        <v>662298.51</v>
      </c>
      <c r="L433" s="125">
        <f t="shared" si="14"/>
        <v>8745876.9700000007</v>
      </c>
      <c r="M433" s="126">
        <v>9967605.25</v>
      </c>
      <c r="N433" s="126">
        <v>1143175.75</v>
      </c>
      <c r="O433" s="126">
        <v>1143175.75</v>
      </c>
      <c r="P433" s="127" t="s">
        <v>864</v>
      </c>
      <c r="Q433" s="121">
        <f t="shared" si="13"/>
        <v>-3508079.7799999993</v>
      </c>
      <c r="R433" s="127" t="s">
        <v>890</v>
      </c>
      <c r="S433" s="128" t="s">
        <v>722</v>
      </c>
    </row>
    <row r="434" spans="1:19" x14ac:dyDescent="0.35">
      <c r="A434" s="117" t="s">
        <v>19</v>
      </c>
      <c r="B434" s="118">
        <v>8471260</v>
      </c>
      <c r="C434" s="119" t="s">
        <v>586</v>
      </c>
      <c r="D434" s="120">
        <v>425747</v>
      </c>
      <c r="E434" s="119" t="s">
        <v>591</v>
      </c>
      <c r="F434" s="119" t="s">
        <v>592</v>
      </c>
      <c r="G434" s="121">
        <v>225000</v>
      </c>
      <c r="H434" s="122">
        <v>410000</v>
      </c>
      <c r="I434" s="123">
        <v>85680</v>
      </c>
      <c r="J434" s="124">
        <v>230400</v>
      </c>
      <c r="K434" s="122">
        <v>81632</v>
      </c>
      <c r="L434" s="125">
        <f t="shared" si="14"/>
        <v>12288</v>
      </c>
      <c r="M434" s="126"/>
      <c r="N434" s="126">
        <v>12288</v>
      </c>
      <c r="O434" s="126"/>
      <c r="P434" s="127" t="s">
        <v>865</v>
      </c>
      <c r="Q434" s="121">
        <f t="shared" si="13"/>
        <v>0</v>
      </c>
      <c r="R434" s="127" t="s">
        <v>889</v>
      </c>
      <c r="S434" s="128" t="s">
        <v>722</v>
      </c>
    </row>
    <row r="435" spans="1:19" x14ac:dyDescent="0.35">
      <c r="A435" s="117" t="s">
        <v>19</v>
      </c>
      <c r="B435" s="118">
        <v>8471260</v>
      </c>
      <c r="C435" s="119" t="s">
        <v>586</v>
      </c>
      <c r="D435" s="120">
        <v>425760</v>
      </c>
      <c r="E435" s="119" t="s">
        <v>142</v>
      </c>
      <c r="F435" s="119" t="s">
        <v>593</v>
      </c>
      <c r="G435" s="121">
        <v>936870</v>
      </c>
      <c r="H435" s="122">
        <v>703970</v>
      </c>
      <c r="I435" s="123">
        <v>279636.98</v>
      </c>
      <c r="J435" s="124">
        <v>238050</v>
      </c>
      <c r="K435" s="122">
        <v>62469.05</v>
      </c>
      <c r="L435" s="125">
        <f t="shared" si="14"/>
        <v>123813.97000000002</v>
      </c>
      <c r="M435" s="126">
        <v>56907</v>
      </c>
      <c r="N435" s="126">
        <v>61907</v>
      </c>
      <c r="O435" s="126">
        <v>5000</v>
      </c>
      <c r="P435" s="127" t="s">
        <v>866</v>
      </c>
      <c r="Q435" s="121">
        <f t="shared" si="13"/>
        <v>-2.9999999984283932E-2</v>
      </c>
      <c r="R435" s="127" t="s">
        <v>889</v>
      </c>
      <c r="S435" s="128" t="s">
        <v>722</v>
      </c>
    </row>
    <row r="436" spans="1:19" x14ac:dyDescent="0.35">
      <c r="A436" s="117" t="s">
        <v>19</v>
      </c>
      <c r="B436" s="118">
        <v>8471260</v>
      </c>
      <c r="C436" s="119" t="s">
        <v>586</v>
      </c>
      <c r="D436" s="120">
        <v>425900</v>
      </c>
      <c r="E436" s="119" t="s">
        <v>35</v>
      </c>
      <c r="F436" s="119" t="s">
        <v>594</v>
      </c>
      <c r="G436" s="121">
        <v>70800</v>
      </c>
      <c r="H436" s="122">
        <v>126700</v>
      </c>
      <c r="I436" s="123">
        <v>117403.98</v>
      </c>
      <c r="J436" s="124">
        <v>0</v>
      </c>
      <c r="K436" s="122">
        <v>0</v>
      </c>
      <c r="L436" s="125">
        <f t="shared" si="14"/>
        <v>9296.0200000000041</v>
      </c>
      <c r="M436" s="126">
        <v>4634.5</v>
      </c>
      <c r="N436" s="126">
        <v>4662</v>
      </c>
      <c r="O436" s="126">
        <v>0</v>
      </c>
      <c r="P436" s="127" t="s">
        <v>867</v>
      </c>
      <c r="Q436" s="121">
        <f t="shared" si="13"/>
        <v>-0.47999999999592546</v>
      </c>
      <c r="R436" s="127" t="s">
        <v>889</v>
      </c>
      <c r="S436" s="128" t="s">
        <v>722</v>
      </c>
    </row>
    <row r="437" spans="1:19" x14ac:dyDescent="0.35">
      <c r="A437" s="117" t="s">
        <v>19</v>
      </c>
      <c r="B437" s="118">
        <v>8471260</v>
      </c>
      <c r="C437" s="119" t="s">
        <v>586</v>
      </c>
      <c r="D437" s="120">
        <v>428640</v>
      </c>
      <c r="E437" s="119" t="s">
        <v>43</v>
      </c>
      <c r="F437" s="119" t="s">
        <v>595</v>
      </c>
      <c r="G437" s="121">
        <v>32500</v>
      </c>
      <c r="H437" s="122">
        <v>63492</v>
      </c>
      <c r="I437" s="123">
        <v>53454.94</v>
      </c>
      <c r="J437" s="124">
        <v>0</v>
      </c>
      <c r="K437" s="122">
        <v>0</v>
      </c>
      <c r="L437" s="125">
        <f t="shared" si="14"/>
        <v>10037.059999999998</v>
      </c>
      <c r="M437" s="126">
        <v>5000</v>
      </c>
      <c r="N437" s="126">
        <v>5037</v>
      </c>
      <c r="O437" s="126"/>
      <c r="P437" s="127" t="s">
        <v>868</v>
      </c>
      <c r="Q437" s="121">
        <f t="shared" si="13"/>
        <v>5.9999999997671694E-2</v>
      </c>
      <c r="R437" s="127" t="s">
        <v>889</v>
      </c>
      <c r="S437" s="128" t="s">
        <v>722</v>
      </c>
    </row>
    <row r="438" spans="1:19" x14ac:dyDescent="0.35">
      <c r="A438" s="117" t="s">
        <v>19</v>
      </c>
      <c r="B438" s="118">
        <v>8471260</v>
      </c>
      <c r="C438" s="119" t="s">
        <v>586</v>
      </c>
      <c r="D438" s="120">
        <v>435530</v>
      </c>
      <c r="E438" s="119" t="s">
        <v>547</v>
      </c>
      <c r="F438" s="119" t="s">
        <v>596</v>
      </c>
      <c r="G438" s="121">
        <v>12000</v>
      </c>
      <c r="H438" s="122">
        <v>117000</v>
      </c>
      <c r="I438" s="123">
        <v>54546.5</v>
      </c>
      <c r="J438" s="124">
        <v>0</v>
      </c>
      <c r="K438" s="122">
        <v>48600</v>
      </c>
      <c r="L438" s="125">
        <f t="shared" si="14"/>
        <v>13853.5</v>
      </c>
      <c r="M438" s="126">
        <v>6926.75</v>
      </c>
      <c r="N438" s="126">
        <v>6926.75</v>
      </c>
      <c r="O438" s="126"/>
      <c r="P438" s="127" t="s">
        <v>869</v>
      </c>
      <c r="Q438" s="121">
        <f t="shared" si="13"/>
        <v>0</v>
      </c>
      <c r="R438" s="127" t="s">
        <v>889</v>
      </c>
      <c r="S438" s="128" t="s">
        <v>722</v>
      </c>
    </row>
    <row r="439" spans="1:19" x14ac:dyDescent="0.35">
      <c r="A439" s="117" t="s">
        <v>19</v>
      </c>
      <c r="B439" s="118">
        <v>8471260</v>
      </c>
      <c r="C439" s="119" t="s">
        <v>586</v>
      </c>
      <c r="D439" s="120">
        <v>436110</v>
      </c>
      <c r="E439" s="119" t="s">
        <v>119</v>
      </c>
      <c r="F439" s="119" t="s">
        <v>597</v>
      </c>
      <c r="G439" s="121">
        <v>13500</v>
      </c>
      <c r="H439" s="122">
        <v>13500</v>
      </c>
      <c r="I439" s="123">
        <v>1620.23</v>
      </c>
      <c r="J439" s="129"/>
      <c r="K439" s="130"/>
      <c r="L439" s="125">
        <f t="shared" si="14"/>
        <v>11879.77</v>
      </c>
      <c r="M439" s="126">
        <v>7800</v>
      </c>
      <c r="N439" s="126">
        <v>4080</v>
      </c>
      <c r="O439" s="126"/>
      <c r="P439" s="127" t="s">
        <v>870</v>
      </c>
      <c r="Q439" s="121">
        <f t="shared" si="13"/>
        <v>-0.22999999999956344</v>
      </c>
      <c r="R439" s="127" t="s">
        <v>889</v>
      </c>
      <c r="S439" s="128" t="s">
        <v>722</v>
      </c>
    </row>
    <row r="440" spans="1:19" x14ac:dyDescent="0.35">
      <c r="A440" s="117" t="s">
        <v>19</v>
      </c>
      <c r="B440" s="118">
        <v>8471270</v>
      </c>
      <c r="C440" s="119" t="s">
        <v>598</v>
      </c>
      <c r="D440" s="120">
        <v>425900</v>
      </c>
      <c r="E440" s="119" t="s">
        <v>35</v>
      </c>
      <c r="F440" s="119" t="s">
        <v>599</v>
      </c>
      <c r="G440" s="121">
        <v>50000</v>
      </c>
      <c r="H440" s="122">
        <v>50000</v>
      </c>
      <c r="I440" s="131"/>
      <c r="J440" s="129"/>
      <c r="K440" s="130"/>
      <c r="L440" s="125">
        <f t="shared" si="14"/>
        <v>50000</v>
      </c>
      <c r="M440" s="126"/>
      <c r="N440" s="126"/>
      <c r="O440" s="126"/>
      <c r="P440" s="127"/>
      <c r="Q440" s="121">
        <f t="shared" si="13"/>
        <v>50000</v>
      </c>
      <c r="R440" s="127" t="s">
        <v>880</v>
      </c>
      <c r="S440" s="128" t="s">
        <v>722</v>
      </c>
    </row>
    <row r="441" spans="1:19" x14ac:dyDescent="0.35">
      <c r="A441" s="117" t="s">
        <v>19</v>
      </c>
      <c r="B441" s="118">
        <v>8471270</v>
      </c>
      <c r="C441" s="119" t="s">
        <v>598</v>
      </c>
      <c r="D441" s="120">
        <v>428090</v>
      </c>
      <c r="E441" s="119" t="s">
        <v>39</v>
      </c>
      <c r="F441" s="119" t="s">
        <v>600</v>
      </c>
      <c r="G441" s="121">
        <v>300000</v>
      </c>
      <c r="H441" s="122">
        <v>81738</v>
      </c>
      <c r="I441" s="131"/>
      <c r="J441" s="129"/>
      <c r="K441" s="130"/>
      <c r="L441" s="125">
        <f t="shared" si="14"/>
        <v>81738</v>
      </c>
      <c r="M441" s="126"/>
      <c r="N441" s="126"/>
      <c r="O441" s="126"/>
      <c r="P441" s="127"/>
      <c r="Q441" s="121">
        <f t="shared" si="13"/>
        <v>81738</v>
      </c>
      <c r="R441" s="127" t="s">
        <v>881</v>
      </c>
      <c r="S441" s="128" t="s">
        <v>722</v>
      </c>
    </row>
    <row r="442" spans="1:19" x14ac:dyDescent="0.35">
      <c r="A442" s="117" t="s">
        <v>19</v>
      </c>
      <c r="B442" s="118">
        <v>8471270</v>
      </c>
      <c r="C442" s="119" t="s">
        <v>598</v>
      </c>
      <c r="D442" s="120">
        <v>435330</v>
      </c>
      <c r="E442" s="119" t="s">
        <v>573</v>
      </c>
      <c r="F442" s="119" t="s">
        <v>601</v>
      </c>
      <c r="G442" s="121">
        <v>15199430</v>
      </c>
      <c r="H442" s="122">
        <v>15139430</v>
      </c>
      <c r="I442" s="123">
        <v>12767176.51</v>
      </c>
      <c r="J442" s="124">
        <v>1073562.97</v>
      </c>
      <c r="K442" s="122">
        <v>1053366.4099999999</v>
      </c>
      <c r="L442" s="125">
        <f t="shared" si="14"/>
        <v>245324.11000000034</v>
      </c>
      <c r="M442" s="126"/>
      <c r="N442" s="126"/>
      <c r="O442" s="126"/>
      <c r="P442" s="127"/>
      <c r="Q442" s="121">
        <f t="shared" si="13"/>
        <v>245324.11000000034</v>
      </c>
      <c r="R442" s="127" t="s">
        <v>882</v>
      </c>
      <c r="S442" s="128" t="s">
        <v>722</v>
      </c>
    </row>
    <row r="443" spans="1:19" x14ac:dyDescent="0.35">
      <c r="A443" s="117" t="s">
        <v>19</v>
      </c>
      <c r="B443" s="118">
        <v>8471270</v>
      </c>
      <c r="C443" s="119" t="s">
        <v>598</v>
      </c>
      <c r="D443" s="120">
        <v>436110</v>
      </c>
      <c r="E443" s="119" t="s">
        <v>119</v>
      </c>
      <c r="F443" s="119" t="s">
        <v>602</v>
      </c>
      <c r="G443" s="121">
        <v>50000</v>
      </c>
      <c r="H443" s="122">
        <v>50000</v>
      </c>
      <c r="I443" s="131"/>
      <c r="J443" s="129"/>
      <c r="K443" s="130"/>
      <c r="L443" s="125">
        <f t="shared" si="14"/>
        <v>50000</v>
      </c>
      <c r="M443" s="126"/>
      <c r="N443" s="126"/>
      <c r="O443" s="126"/>
      <c r="P443" s="127"/>
      <c r="Q443" s="121">
        <f t="shared" si="13"/>
        <v>50000</v>
      </c>
      <c r="R443" s="127" t="s">
        <v>883</v>
      </c>
      <c r="S443" s="128" t="s">
        <v>722</v>
      </c>
    </row>
    <row r="444" spans="1:19" x14ac:dyDescent="0.35">
      <c r="A444" s="117" t="s">
        <v>19</v>
      </c>
      <c r="B444" s="118">
        <v>8471280</v>
      </c>
      <c r="C444" s="119" t="s">
        <v>603</v>
      </c>
      <c r="D444" s="120">
        <v>425100</v>
      </c>
      <c r="E444" s="119" t="s">
        <v>55</v>
      </c>
      <c r="F444" s="119" t="s">
        <v>604</v>
      </c>
      <c r="G444" s="121">
        <v>2500</v>
      </c>
      <c r="H444" s="122">
        <v>2500</v>
      </c>
      <c r="I444" s="131"/>
      <c r="J444" s="129"/>
      <c r="K444" s="130"/>
      <c r="L444" s="125">
        <f t="shared" si="14"/>
        <v>2500</v>
      </c>
      <c r="M444" s="126">
        <v>2500</v>
      </c>
      <c r="N444" s="126"/>
      <c r="O444" s="126"/>
      <c r="P444" s="127" t="s">
        <v>871</v>
      </c>
      <c r="Q444" s="121">
        <f t="shared" si="13"/>
        <v>0</v>
      </c>
      <c r="R444" s="127"/>
      <c r="S444" s="128" t="s">
        <v>722</v>
      </c>
    </row>
    <row r="445" spans="1:19" x14ac:dyDescent="0.35">
      <c r="A445" s="117" t="s">
        <v>19</v>
      </c>
      <c r="B445" s="118">
        <v>8471280</v>
      </c>
      <c r="C445" s="119" t="s">
        <v>603</v>
      </c>
      <c r="D445" s="120">
        <v>425510</v>
      </c>
      <c r="E445" s="119" t="s">
        <v>31</v>
      </c>
      <c r="F445" s="119" t="s">
        <v>605</v>
      </c>
      <c r="G445" s="121">
        <v>30000</v>
      </c>
      <c r="H445" s="122">
        <v>98500</v>
      </c>
      <c r="I445" s="123">
        <v>27665.17</v>
      </c>
      <c r="J445" s="129"/>
      <c r="K445" s="130"/>
      <c r="L445" s="125">
        <f t="shared" si="14"/>
        <v>70834.83</v>
      </c>
      <c r="M445" s="126">
        <v>75840</v>
      </c>
      <c r="N445" s="126"/>
      <c r="O445" s="126"/>
      <c r="P445" s="127" t="s">
        <v>872</v>
      </c>
      <c r="Q445" s="121">
        <f t="shared" si="13"/>
        <v>-5005.1699999999983</v>
      </c>
      <c r="R445" s="127" t="s">
        <v>891</v>
      </c>
      <c r="S445" s="128" t="s">
        <v>722</v>
      </c>
    </row>
    <row r="446" spans="1:19" x14ac:dyDescent="0.35">
      <c r="A446" s="117" t="s">
        <v>19</v>
      </c>
      <c r="B446" s="118">
        <v>8471280</v>
      </c>
      <c r="C446" s="119" t="s">
        <v>603</v>
      </c>
      <c r="D446" s="120">
        <v>425550</v>
      </c>
      <c r="E446" s="119" t="s">
        <v>33</v>
      </c>
      <c r="F446" s="119" t="s">
        <v>606</v>
      </c>
      <c r="G446" s="121">
        <v>60000</v>
      </c>
      <c r="H446" s="122">
        <v>60000</v>
      </c>
      <c r="I446" s="123">
        <v>28416.86</v>
      </c>
      <c r="J446" s="129"/>
      <c r="K446" s="130"/>
      <c r="L446" s="125">
        <f t="shared" si="14"/>
        <v>31583.14</v>
      </c>
      <c r="M446" s="126">
        <v>25700</v>
      </c>
      <c r="N446" s="126">
        <v>21683.14</v>
      </c>
      <c r="O446" s="126"/>
      <c r="P446" s="127" t="s">
        <v>873</v>
      </c>
      <c r="Q446" s="121">
        <f t="shared" si="13"/>
        <v>-15800</v>
      </c>
      <c r="R446" s="127"/>
      <c r="S446" s="128" t="s">
        <v>722</v>
      </c>
    </row>
    <row r="447" spans="1:19" x14ac:dyDescent="0.35">
      <c r="A447" s="117" t="s">
        <v>19</v>
      </c>
      <c r="B447" s="118">
        <v>8471280</v>
      </c>
      <c r="C447" s="119" t="s">
        <v>603</v>
      </c>
      <c r="D447" s="120">
        <v>425710</v>
      </c>
      <c r="E447" s="119" t="s">
        <v>607</v>
      </c>
      <c r="F447" s="119" t="s">
        <v>608</v>
      </c>
      <c r="G447" s="121">
        <v>0</v>
      </c>
      <c r="H447" s="122">
        <v>300000</v>
      </c>
      <c r="I447" s="131"/>
      <c r="J447" s="129"/>
      <c r="K447" s="130"/>
      <c r="L447" s="125">
        <f t="shared" si="14"/>
        <v>300000</v>
      </c>
      <c r="M447" s="126">
        <v>366666</v>
      </c>
      <c r="N447" s="126"/>
      <c r="O447" s="126"/>
      <c r="P447" s="127" t="s">
        <v>874</v>
      </c>
      <c r="Q447" s="121">
        <f t="shared" si="13"/>
        <v>-66666</v>
      </c>
      <c r="R447" s="127" t="s">
        <v>892</v>
      </c>
      <c r="S447" s="128" t="s">
        <v>722</v>
      </c>
    </row>
    <row r="448" spans="1:19" x14ac:dyDescent="0.35">
      <c r="A448" s="117" t="s">
        <v>19</v>
      </c>
      <c r="B448" s="118">
        <v>8471280</v>
      </c>
      <c r="C448" s="119" t="s">
        <v>603</v>
      </c>
      <c r="D448" s="120">
        <v>425760</v>
      </c>
      <c r="E448" s="119" t="s">
        <v>142</v>
      </c>
      <c r="F448" s="119" t="s">
        <v>609</v>
      </c>
      <c r="G448" s="121">
        <v>30000</v>
      </c>
      <c r="H448" s="122">
        <v>30000</v>
      </c>
      <c r="I448" s="131"/>
      <c r="J448" s="129"/>
      <c r="K448" s="130"/>
      <c r="L448" s="125">
        <f t="shared" si="14"/>
        <v>30000</v>
      </c>
      <c r="M448" s="126">
        <v>20000</v>
      </c>
      <c r="N448" s="126">
        <v>10000</v>
      </c>
      <c r="O448" s="126"/>
      <c r="P448" s="127" t="s">
        <v>875</v>
      </c>
      <c r="Q448" s="121">
        <f t="shared" si="13"/>
        <v>0</v>
      </c>
      <c r="R448" s="127"/>
      <c r="S448" s="128" t="s">
        <v>722</v>
      </c>
    </row>
    <row r="449" spans="1:19" x14ac:dyDescent="0.35">
      <c r="A449" s="117" t="s">
        <v>19</v>
      </c>
      <c r="B449" s="118">
        <v>8471280</v>
      </c>
      <c r="C449" s="119" t="s">
        <v>603</v>
      </c>
      <c r="D449" s="120">
        <v>425770</v>
      </c>
      <c r="E449" s="119" t="s">
        <v>74</v>
      </c>
      <c r="F449" s="119" t="s">
        <v>610</v>
      </c>
      <c r="G449" s="121">
        <v>500000</v>
      </c>
      <c r="H449" s="122">
        <v>141321</v>
      </c>
      <c r="I449" s="123">
        <v>82742.5</v>
      </c>
      <c r="J449" s="124">
        <v>0</v>
      </c>
      <c r="K449" s="122">
        <v>0</v>
      </c>
      <c r="L449" s="125">
        <f t="shared" si="14"/>
        <v>58578.5</v>
      </c>
      <c r="M449" s="126"/>
      <c r="N449" s="126"/>
      <c r="O449" s="126"/>
      <c r="P449" s="127"/>
      <c r="Q449" s="121">
        <f t="shared" ref="Q449:Q509" si="15">L449-M449-N449-O449</f>
        <v>58578.5</v>
      </c>
      <c r="R449" s="127" t="s">
        <v>893</v>
      </c>
      <c r="S449" s="128" t="s">
        <v>722</v>
      </c>
    </row>
    <row r="450" spans="1:19" x14ac:dyDescent="0.35">
      <c r="A450" s="117" t="s">
        <v>19</v>
      </c>
      <c r="B450" s="118">
        <v>8471280</v>
      </c>
      <c r="C450" s="119" t="s">
        <v>603</v>
      </c>
      <c r="D450" s="120">
        <v>426610</v>
      </c>
      <c r="E450" s="119" t="s">
        <v>37</v>
      </c>
      <c r="F450" s="119" t="s">
        <v>611</v>
      </c>
      <c r="G450" s="121">
        <v>321000</v>
      </c>
      <c r="H450" s="122">
        <v>321000</v>
      </c>
      <c r="I450" s="123">
        <v>201651.64</v>
      </c>
      <c r="J450" s="124">
        <v>14692</v>
      </c>
      <c r="K450" s="122">
        <v>59481</v>
      </c>
      <c r="L450" s="125">
        <f t="shared" si="14"/>
        <v>45175.359999999986</v>
      </c>
      <c r="M450" s="126"/>
      <c r="N450" s="126">
        <v>45175</v>
      </c>
      <c r="O450" s="126"/>
      <c r="P450" s="127" t="s">
        <v>876</v>
      </c>
      <c r="Q450" s="121">
        <f t="shared" si="15"/>
        <v>0.35999999998603016</v>
      </c>
      <c r="R450" s="127"/>
      <c r="S450" s="128" t="s">
        <v>722</v>
      </c>
    </row>
    <row r="451" spans="1:19" x14ac:dyDescent="0.35">
      <c r="A451" s="117" t="s">
        <v>19</v>
      </c>
      <c r="B451" s="118">
        <v>8471280</v>
      </c>
      <c r="C451" s="119" t="s">
        <v>603</v>
      </c>
      <c r="D451" s="120">
        <v>428640</v>
      </c>
      <c r="E451" s="119" t="s">
        <v>43</v>
      </c>
      <c r="F451" s="119" t="s">
        <v>612</v>
      </c>
      <c r="G451" s="121">
        <v>15000</v>
      </c>
      <c r="H451" s="122">
        <v>7612</v>
      </c>
      <c r="I451" s="131"/>
      <c r="J451" s="129"/>
      <c r="K451" s="130"/>
      <c r="L451" s="125">
        <f t="shared" si="14"/>
        <v>7612</v>
      </c>
      <c r="M451" s="126"/>
      <c r="N451" s="126">
        <v>7612</v>
      </c>
      <c r="O451" s="126"/>
      <c r="P451" s="127" t="s">
        <v>877</v>
      </c>
      <c r="Q451" s="121">
        <f t="shared" si="15"/>
        <v>0</v>
      </c>
      <c r="R451" s="127"/>
      <c r="S451" s="128" t="s">
        <v>722</v>
      </c>
    </row>
    <row r="452" spans="1:19" x14ac:dyDescent="0.35">
      <c r="A452" s="117" t="s">
        <v>19</v>
      </c>
      <c r="B452" s="118">
        <v>8471280</v>
      </c>
      <c r="C452" s="119" t="s">
        <v>603</v>
      </c>
      <c r="D452" s="120">
        <v>432170</v>
      </c>
      <c r="E452" s="119" t="s">
        <v>390</v>
      </c>
      <c r="F452" s="119" t="s">
        <v>613</v>
      </c>
      <c r="G452" s="121">
        <v>200000</v>
      </c>
      <c r="H452" s="122">
        <v>200000</v>
      </c>
      <c r="I452" s="131"/>
      <c r="J452" s="129"/>
      <c r="K452" s="130"/>
      <c r="L452" s="125">
        <f t="shared" si="14"/>
        <v>200000</v>
      </c>
      <c r="M452" s="126"/>
      <c r="N452" s="126"/>
      <c r="O452" s="126"/>
      <c r="P452" s="127"/>
      <c r="Q452" s="121">
        <f t="shared" si="15"/>
        <v>200000</v>
      </c>
      <c r="R452" s="127" t="s">
        <v>894</v>
      </c>
      <c r="S452" s="128" t="s">
        <v>722</v>
      </c>
    </row>
    <row r="453" spans="1:19" x14ac:dyDescent="0.35">
      <c r="A453" s="117" t="s">
        <v>19</v>
      </c>
      <c r="B453" s="118">
        <v>8471280</v>
      </c>
      <c r="C453" s="119" t="s">
        <v>603</v>
      </c>
      <c r="D453" s="120">
        <v>435340</v>
      </c>
      <c r="E453" s="119" t="s">
        <v>202</v>
      </c>
      <c r="F453" s="119" t="s">
        <v>614</v>
      </c>
      <c r="G453" s="121">
        <v>10000</v>
      </c>
      <c r="H453" s="122">
        <v>10000</v>
      </c>
      <c r="I453" s="131"/>
      <c r="J453" s="129"/>
      <c r="K453" s="130"/>
      <c r="L453" s="125">
        <f t="shared" si="14"/>
        <v>10000</v>
      </c>
      <c r="M453" s="126"/>
      <c r="N453" s="126">
        <v>10000</v>
      </c>
      <c r="O453" s="126"/>
      <c r="P453" s="127" t="s">
        <v>878</v>
      </c>
      <c r="Q453" s="121">
        <f t="shared" si="15"/>
        <v>0</v>
      </c>
      <c r="R453" s="127"/>
      <c r="S453" s="128" t="s">
        <v>722</v>
      </c>
    </row>
    <row r="454" spans="1:19" x14ac:dyDescent="0.35">
      <c r="A454" s="117" t="s">
        <v>19</v>
      </c>
      <c r="B454" s="118">
        <v>8471280</v>
      </c>
      <c r="C454" s="119" t="s">
        <v>603</v>
      </c>
      <c r="D454" s="120">
        <v>435530</v>
      </c>
      <c r="E454" s="119" t="s">
        <v>547</v>
      </c>
      <c r="F454" s="119" t="s">
        <v>615</v>
      </c>
      <c r="G454" s="121">
        <v>5000</v>
      </c>
      <c r="H454" s="122">
        <v>5000</v>
      </c>
      <c r="I454" s="131"/>
      <c r="J454" s="129"/>
      <c r="K454" s="130"/>
      <c r="L454" s="125">
        <f t="shared" si="14"/>
        <v>5000</v>
      </c>
      <c r="M454" s="126">
        <v>2500</v>
      </c>
      <c r="N454" s="126">
        <v>2500</v>
      </c>
      <c r="O454" s="126"/>
      <c r="P454" s="127" t="s">
        <v>879</v>
      </c>
      <c r="Q454" s="121">
        <f t="shared" si="15"/>
        <v>0</v>
      </c>
      <c r="R454" s="127"/>
      <c r="S454" s="128" t="s">
        <v>722</v>
      </c>
    </row>
    <row r="455" spans="1:19" ht="145" x14ac:dyDescent="0.35">
      <c r="A455" s="98" t="s">
        <v>19</v>
      </c>
      <c r="B455" s="36">
        <v>8471305</v>
      </c>
      <c r="C455" s="37" t="s">
        <v>616</v>
      </c>
      <c r="D455" s="38">
        <v>420570</v>
      </c>
      <c r="E455" s="37" t="s">
        <v>23</v>
      </c>
      <c r="F455" s="37" t="s">
        <v>617</v>
      </c>
      <c r="G455" s="39">
        <v>21895944</v>
      </c>
      <c r="H455" s="40">
        <v>21895944</v>
      </c>
      <c r="I455" s="41">
        <v>6288810</v>
      </c>
      <c r="J455" s="45"/>
      <c r="K455" s="46"/>
      <c r="L455" s="9">
        <f t="shared" si="14"/>
        <v>15607134</v>
      </c>
      <c r="M455" s="44">
        <v>5202378</v>
      </c>
      <c r="N455" s="44">
        <v>5202378</v>
      </c>
      <c r="O455" s="44">
        <v>5202378</v>
      </c>
      <c r="P455" s="67" t="s">
        <v>742</v>
      </c>
      <c r="Q455" s="39">
        <f t="shared" si="15"/>
        <v>0</v>
      </c>
      <c r="R455" s="110" t="s">
        <v>770</v>
      </c>
      <c r="S455" s="1" t="s">
        <v>722</v>
      </c>
    </row>
    <row r="456" spans="1:19" ht="87" x14ac:dyDescent="0.35">
      <c r="A456" s="98" t="s">
        <v>19</v>
      </c>
      <c r="B456" s="36">
        <v>8471305</v>
      </c>
      <c r="C456" s="37" t="s">
        <v>616</v>
      </c>
      <c r="D456" s="38">
        <v>421000</v>
      </c>
      <c r="E456" s="37" t="s">
        <v>27</v>
      </c>
      <c r="F456" s="37" t="s">
        <v>620</v>
      </c>
      <c r="G456" s="39">
        <v>271000</v>
      </c>
      <c r="H456" s="40">
        <v>271000</v>
      </c>
      <c r="I456" s="41">
        <v>147834.06</v>
      </c>
      <c r="J456" s="42">
        <v>0</v>
      </c>
      <c r="K456" s="40">
        <v>0</v>
      </c>
      <c r="L456" s="9">
        <f t="shared" si="14"/>
        <v>123165.94</v>
      </c>
      <c r="M456" s="44">
        <v>41056</v>
      </c>
      <c r="N456" s="44">
        <v>41055</v>
      </c>
      <c r="O456" s="44">
        <v>41055</v>
      </c>
      <c r="P456" s="67" t="s">
        <v>743</v>
      </c>
      <c r="Q456" s="39">
        <f t="shared" si="15"/>
        <v>-5.9999999997671694E-2</v>
      </c>
      <c r="R456" s="110" t="s">
        <v>771</v>
      </c>
      <c r="S456" s="1" t="s">
        <v>722</v>
      </c>
    </row>
    <row r="457" spans="1:19" ht="43.5" x14ac:dyDescent="0.35">
      <c r="A457" s="98" t="s">
        <v>19</v>
      </c>
      <c r="B457" s="36">
        <v>8471305</v>
      </c>
      <c r="C457" s="37" t="s">
        <v>616</v>
      </c>
      <c r="D457" s="38">
        <v>421700</v>
      </c>
      <c r="E457" s="37" t="s">
        <v>29</v>
      </c>
      <c r="F457" s="37" t="s">
        <v>621</v>
      </c>
      <c r="G457" s="39">
        <v>170000</v>
      </c>
      <c r="H457" s="40">
        <v>170000</v>
      </c>
      <c r="I457" s="41">
        <v>73837.02</v>
      </c>
      <c r="J457" s="45"/>
      <c r="K457" s="46"/>
      <c r="L457" s="9">
        <f t="shared" si="14"/>
        <v>96162.98</v>
      </c>
      <c r="M457" s="44">
        <v>0</v>
      </c>
      <c r="N457" s="44">
        <v>48081</v>
      </c>
      <c r="O457" s="44">
        <v>48082</v>
      </c>
      <c r="P457" s="67" t="s">
        <v>744</v>
      </c>
      <c r="Q457" s="39">
        <f t="shared" si="15"/>
        <v>-2.0000000004074536E-2</v>
      </c>
      <c r="R457" s="110" t="s">
        <v>772</v>
      </c>
      <c r="S457" s="1" t="s">
        <v>722</v>
      </c>
    </row>
    <row r="458" spans="1:19" ht="29" x14ac:dyDescent="0.35">
      <c r="A458" s="98" t="s">
        <v>19</v>
      </c>
      <c r="B458" s="36">
        <v>8471305</v>
      </c>
      <c r="C458" s="37" t="s">
        <v>616</v>
      </c>
      <c r="D458" s="38">
        <v>422100</v>
      </c>
      <c r="E458" s="37" t="s">
        <v>622</v>
      </c>
      <c r="F458" s="37" t="s">
        <v>623</v>
      </c>
      <c r="G458" s="39">
        <v>12000</v>
      </c>
      <c r="H458" s="40">
        <v>12000</v>
      </c>
      <c r="I458" s="47"/>
      <c r="J458" s="45"/>
      <c r="K458" s="46"/>
      <c r="L458" s="9">
        <f t="shared" si="14"/>
        <v>12000</v>
      </c>
      <c r="M458" s="44"/>
      <c r="N458" s="44"/>
      <c r="O458" s="44">
        <v>12000</v>
      </c>
      <c r="P458" s="67" t="s">
        <v>745</v>
      </c>
      <c r="Q458" s="39">
        <f t="shared" si="15"/>
        <v>0</v>
      </c>
      <c r="R458" s="110" t="s">
        <v>766</v>
      </c>
      <c r="S458" s="1" t="s">
        <v>722</v>
      </c>
    </row>
    <row r="459" spans="1:19" ht="232" x14ac:dyDescent="0.35">
      <c r="A459" s="98" t="s">
        <v>19</v>
      </c>
      <c r="B459" s="36">
        <v>8471305</v>
      </c>
      <c r="C459" s="37" t="s">
        <v>616</v>
      </c>
      <c r="D459" s="38">
        <v>425510</v>
      </c>
      <c r="E459" s="37" t="s">
        <v>31</v>
      </c>
      <c r="F459" s="37" t="s">
        <v>624</v>
      </c>
      <c r="G459" s="39">
        <v>820000</v>
      </c>
      <c r="H459" s="40">
        <v>601500</v>
      </c>
      <c r="I459" s="41">
        <v>224036.23</v>
      </c>
      <c r="J459" s="42">
        <v>0</v>
      </c>
      <c r="K459" s="40">
        <v>76000</v>
      </c>
      <c r="L459" s="9">
        <f t="shared" si="14"/>
        <v>301463.77</v>
      </c>
      <c r="M459" s="44">
        <v>75000</v>
      </c>
      <c r="N459" s="44">
        <v>126000</v>
      </c>
      <c r="O459" s="44">
        <v>100676</v>
      </c>
      <c r="P459" s="67" t="s">
        <v>746</v>
      </c>
      <c r="Q459" s="39">
        <f t="shared" si="15"/>
        <v>-212.22999999998137</v>
      </c>
      <c r="R459" s="110" t="s">
        <v>773</v>
      </c>
      <c r="S459" s="1" t="s">
        <v>722</v>
      </c>
    </row>
    <row r="460" spans="1:19" ht="101.5" x14ac:dyDescent="0.35">
      <c r="A460" s="98" t="s">
        <v>19</v>
      </c>
      <c r="B460" s="36">
        <v>8471305</v>
      </c>
      <c r="C460" s="37" t="s">
        <v>616</v>
      </c>
      <c r="D460" s="38">
        <v>425550</v>
      </c>
      <c r="E460" s="37" t="s">
        <v>33</v>
      </c>
      <c r="F460" s="37" t="s">
        <v>625</v>
      </c>
      <c r="G460" s="39">
        <v>780000</v>
      </c>
      <c r="H460" s="40">
        <v>622000</v>
      </c>
      <c r="I460" s="41">
        <v>85529.62</v>
      </c>
      <c r="J460" s="45"/>
      <c r="K460" s="46"/>
      <c r="L460" s="9">
        <f t="shared" si="14"/>
        <v>536470.38</v>
      </c>
      <c r="M460" s="44">
        <v>136000</v>
      </c>
      <c r="N460" s="44">
        <v>200000</v>
      </c>
      <c r="O460" s="44">
        <v>100000</v>
      </c>
      <c r="P460" s="67" t="s">
        <v>747</v>
      </c>
      <c r="Q460" s="39">
        <f t="shared" si="15"/>
        <v>100470.38</v>
      </c>
      <c r="R460" s="110" t="s">
        <v>774</v>
      </c>
      <c r="S460" s="1" t="s">
        <v>722</v>
      </c>
    </row>
    <row r="461" spans="1:19" ht="29" x14ac:dyDescent="0.35">
      <c r="A461" s="98" t="s">
        <v>19</v>
      </c>
      <c r="B461" s="36">
        <v>8471305</v>
      </c>
      <c r="C461" s="37" t="s">
        <v>616</v>
      </c>
      <c r="D461" s="38">
        <v>425720</v>
      </c>
      <c r="E461" s="37" t="s">
        <v>224</v>
      </c>
      <c r="F461" s="37" t="s">
        <v>626</v>
      </c>
      <c r="G461" s="39">
        <v>2494345</v>
      </c>
      <c r="H461" s="40">
        <v>2424345</v>
      </c>
      <c r="I461" s="41">
        <v>1394432.45</v>
      </c>
      <c r="J461" s="42">
        <v>0</v>
      </c>
      <c r="K461" s="40">
        <v>692500</v>
      </c>
      <c r="L461" s="9">
        <f t="shared" si="14"/>
        <v>337412.55000000005</v>
      </c>
      <c r="M461" s="44">
        <v>138000</v>
      </c>
      <c r="N461" s="44">
        <v>100000</v>
      </c>
      <c r="O461" s="44"/>
      <c r="P461" s="67" t="s">
        <v>748</v>
      </c>
      <c r="Q461" s="39">
        <f t="shared" si="15"/>
        <v>99412.550000000047</v>
      </c>
      <c r="R461" s="110" t="s">
        <v>775</v>
      </c>
      <c r="S461" s="1" t="s">
        <v>722</v>
      </c>
    </row>
    <row r="462" spans="1:19" ht="29" x14ac:dyDescent="0.35">
      <c r="A462" s="98" t="s">
        <v>19</v>
      </c>
      <c r="B462" s="36">
        <v>8471305</v>
      </c>
      <c r="C462" s="37" t="s">
        <v>616</v>
      </c>
      <c r="D462" s="38">
        <v>425742</v>
      </c>
      <c r="E462" s="37" t="s">
        <v>559</v>
      </c>
      <c r="F462" s="37" t="s">
        <v>627</v>
      </c>
      <c r="G462" s="39">
        <v>180000</v>
      </c>
      <c r="H462" s="40">
        <v>180000</v>
      </c>
      <c r="I462" s="41">
        <v>168989.59</v>
      </c>
      <c r="J462" s="45"/>
      <c r="K462" s="46"/>
      <c r="L462" s="9">
        <f t="shared" si="14"/>
        <v>11010.410000000003</v>
      </c>
      <c r="M462" s="44">
        <v>0</v>
      </c>
      <c r="N462" s="44">
        <v>11010.41</v>
      </c>
      <c r="O462" s="44">
        <v>0</v>
      </c>
      <c r="P462" s="67" t="s">
        <v>749</v>
      </c>
      <c r="Q462" s="39">
        <f t="shared" si="15"/>
        <v>3.637978807091713E-12</v>
      </c>
      <c r="R462" s="110" t="s">
        <v>749</v>
      </c>
      <c r="S462" s="1" t="s">
        <v>722</v>
      </c>
    </row>
    <row r="463" spans="1:19" ht="29" x14ac:dyDescent="0.35">
      <c r="A463" s="98" t="s">
        <v>19</v>
      </c>
      <c r="B463" s="36">
        <v>8471305</v>
      </c>
      <c r="C463" s="37" t="s">
        <v>616</v>
      </c>
      <c r="D463" s="38">
        <v>425744</v>
      </c>
      <c r="E463" s="37" t="s">
        <v>104</v>
      </c>
      <c r="F463" s="37" t="s">
        <v>628</v>
      </c>
      <c r="G463" s="39">
        <v>0</v>
      </c>
      <c r="H463" s="40">
        <v>100694</v>
      </c>
      <c r="I463" s="41">
        <v>100002</v>
      </c>
      <c r="J463" s="45"/>
      <c r="K463" s="46"/>
      <c r="L463" s="9">
        <f t="shared" si="14"/>
        <v>692</v>
      </c>
      <c r="M463" s="44">
        <v>0</v>
      </c>
      <c r="N463" s="44">
        <v>0</v>
      </c>
      <c r="O463" s="44">
        <v>692</v>
      </c>
      <c r="P463" s="67" t="s">
        <v>749</v>
      </c>
      <c r="Q463" s="39">
        <f t="shared" si="15"/>
        <v>0</v>
      </c>
      <c r="R463" s="110" t="s">
        <v>749</v>
      </c>
      <c r="S463" s="1" t="s">
        <v>722</v>
      </c>
    </row>
    <row r="464" spans="1:19" ht="29" x14ac:dyDescent="0.35">
      <c r="A464" s="98" t="s">
        <v>19</v>
      </c>
      <c r="B464" s="36">
        <v>8471305</v>
      </c>
      <c r="C464" s="37" t="s">
        <v>616</v>
      </c>
      <c r="D464" s="38">
        <v>425745</v>
      </c>
      <c r="E464" s="37" t="s">
        <v>106</v>
      </c>
      <c r="F464" s="37" t="s">
        <v>629</v>
      </c>
      <c r="G464" s="39">
        <v>0</v>
      </c>
      <c r="H464" s="40">
        <v>40400</v>
      </c>
      <c r="I464" s="41">
        <v>39340</v>
      </c>
      <c r="J464" s="45"/>
      <c r="K464" s="46"/>
      <c r="L464" s="9">
        <f t="shared" si="14"/>
        <v>1060</v>
      </c>
      <c r="M464" s="44"/>
      <c r="N464" s="44"/>
      <c r="O464" s="44">
        <v>1060</v>
      </c>
      <c r="P464" s="67" t="s">
        <v>749</v>
      </c>
      <c r="Q464" s="39">
        <f t="shared" si="15"/>
        <v>0</v>
      </c>
      <c r="R464" s="110" t="s">
        <v>749</v>
      </c>
      <c r="S464" s="1" t="s">
        <v>722</v>
      </c>
    </row>
    <row r="465" spans="1:19" ht="43.5" x14ac:dyDescent="0.35">
      <c r="A465" s="98" t="s">
        <v>19</v>
      </c>
      <c r="B465" s="36">
        <v>8471305</v>
      </c>
      <c r="C465" s="37" t="s">
        <v>616</v>
      </c>
      <c r="D465" s="38">
        <v>425746</v>
      </c>
      <c r="E465" s="37" t="s">
        <v>589</v>
      </c>
      <c r="F465" s="37" t="s">
        <v>630</v>
      </c>
      <c r="G465" s="39">
        <v>312600</v>
      </c>
      <c r="H465" s="40">
        <v>292600</v>
      </c>
      <c r="I465" s="47"/>
      <c r="J465" s="45"/>
      <c r="K465" s="46"/>
      <c r="L465" s="9">
        <f t="shared" si="14"/>
        <v>292600</v>
      </c>
      <c r="M465" s="44">
        <v>100000</v>
      </c>
      <c r="N465" s="44">
        <v>100000</v>
      </c>
      <c r="O465" s="44">
        <v>92600</v>
      </c>
      <c r="P465" s="67" t="s">
        <v>750</v>
      </c>
      <c r="Q465" s="39">
        <f t="shared" si="15"/>
        <v>0</v>
      </c>
      <c r="R465" s="110" t="s">
        <v>750</v>
      </c>
      <c r="S465" s="1" t="s">
        <v>722</v>
      </c>
    </row>
    <row r="466" spans="1:19" ht="58" x14ac:dyDescent="0.35">
      <c r="A466" s="98" t="s">
        <v>19</v>
      </c>
      <c r="B466" s="36">
        <v>8471305</v>
      </c>
      <c r="C466" s="37" t="s">
        <v>616</v>
      </c>
      <c r="D466" s="38">
        <v>425749</v>
      </c>
      <c r="E466" s="37" t="s">
        <v>108</v>
      </c>
      <c r="F466" s="37" t="s">
        <v>631</v>
      </c>
      <c r="G466" s="39">
        <v>24213178</v>
      </c>
      <c r="H466" s="40">
        <v>24213178</v>
      </c>
      <c r="I466" s="41">
        <v>17903200.030000001</v>
      </c>
      <c r="J466" s="45"/>
      <c r="K466" s="46"/>
      <c r="L466" s="9">
        <f t="shared" si="14"/>
        <v>6309977.9699999988</v>
      </c>
      <c r="M466" s="44">
        <v>2103326</v>
      </c>
      <c r="N466" s="44">
        <v>2103326</v>
      </c>
      <c r="O466" s="44">
        <v>2103326</v>
      </c>
      <c r="P466" s="67" t="s">
        <v>751</v>
      </c>
      <c r="Q466" s="39">
        <f t="shared" si="15"/>
        <v>-3.0000001192092896E-2</v>
      </c>
      <c r="R466" s="110" t="s">
        <v>776</v>
      </c>
      <c r="S466" s="1" t="s">
        <v>722</v>
      </c>
    </row>
    <row r="467" spans="1:19" ht="145" x14ac:dyDescent="0.35">
      <c r="A467" s="98" t="s">
        <v>19</v>
      </c>
      <c r="B467" s="36">
        <v>8471305</v>
      </c>
      <c r="C467" s="37" t="s">
        <v>616</v>
      </c>
      <c r="D467" s="38">
        <v>425750</v>
      </c>
      <c r="E467" s="37" t="s">
        <v>565</v>
      </c>
      <c r="F467" s="37" t="s">
        <v>632</v>
      </c>
      <c r="G467" s="39">
        <v>864069</v>
      </c>
      <c r="H467" s="40">
        <v>864069</v>
      </c>
      <c r="I467" s="41">
        <v>120718.5</v>
      </c>
      <c r="J467" s="45"/>
      <c r="K467" s="46"/>
      <c r="L467" s="9">
        <f t="shared" si="14"/>
        <v>743350.5</v>
      </c>
      <c r="M467" s="44"/>
      <c r="N467" s="44"/>
      <c r="O467" s="44"/>
      <c r="P467" s="67" t="s">
        <v>752</v>
      </c>
      <c r="Q467" s="39">
        <f t="shared" si="15"/>
        <v>743350.5</v>
      </c>
      <c r="R467" s="110" t="s">
        <v>777</v>
      </c>
      <c r="S467" s="1" t="s">
        <v>722</v>
      </c>
    </row>
    <row r="468" spans="1:19" x14ac:dyDescent="0.35">
      <c r="A468" s="98" t="s">
        <v>19</v>
      </c>
      <c r="B468" s="36">
        <v>8471305</v>
      </c>
      <c r="C468" s="37" t="s">
        <v>616</v>
      </c>
      <c r="D468" s="38">
        <v>425762</v>
      </c>
      <c r="E468" s="37" t="s">
        <v>112</v>
      </c>
      <c r="F468" s="37" t="s">
        <v>633</v>
      </c>
      <c r="G468" s="39">
        <v>2759974</v>
      </c>
      <c r="H468" s="40">
        <v>2088974</v>
      </c>
      <c r="I468" s="41">
        <v>4000.47</v>
      </c>
      <c r="J468" s="45"/>
      <c r="K468" s="46"/>
      <c r="L468" s="9">
        <f t="shared" si="14"/>
        <v>2084973.53</v>
      </c>
      <c r="M468" s="44">
        <v>500000</v>
      </c>
      <c r="N468" s="44">
        <v>1000000</v>
      </c>
      <c r="O468" s="44">
        <v>500000</v>
      </c>
      <c r="P468" s="67" t="s">
        <v>753</v>
      </c>
      <c r="Q468" s="39">
        <f t="shared" si="15"/>
        <v>84973.530000000028</v>
      </c>
      <c r="R468" s="110" t="s">
        <v>778</v>
      </c>
      <c r="S468" s="1" t="s">
        <v>722</v>
      </c>
    </row>
    <row r="469" spans="1:19" ht="29" x14ac:dyDescent="0.35">
      <c r="A469" s="98" t="s">
        <v>19</v>
      </c>
      <c r="B469" s="36">
        <v>8471305</v>
      </c>
      <c r="C469" s="37" t="s">
        <v>616</v>
      </c>
      <c r="D469" s="38">
        <v>425763</v>
      </c>
      <c r="E469" s="37" t="s">
        <v>59</v>
      </c>
      <c r="F469" s="37" t="s">
        <v>634</v>
      </c>
      <c r="G469" s="39">
        <v>200000</v>
      </c>
      <c r="H469" s="40">
        <v>200000</v>
      </c>
      <c r="I469" s="41">
        <v>2940</v>
      </c>
      <c r="J469" s="45"/>
      <c r="K469" s="46"/>
      <c r="L469" s="9">
        <f t="shared" si="14"/>
        <v>197060</v>
      </c>
      <c r="M469" s="44">
        <v>75000</v>
      </c>
      <c r="N469" s="44">
        <v>75000</v>
      </c>
      <c r="O469" s="44">
        <v>47060</v>
      </c>
      <c r="P469" s="67" t="s">
        <v>754</v>
      </c>
      <c r="Q469" s="39">
        <f t="shared" si="15"/>
        <v>0</v>
      </c>
      <c r="R469" s="110" t="s">
        <v>766</v>
      </c>
      <c r="S469" s="1" t="s">
        <v>722</v>
      </c>
    </row>
    <row r="470" spans="1:19" ht="29" x14ac:dyDescent="0.35">
      <c r="A470" s="98" t="s">
        <v>19</v>
      </c>
      <c r="B470" s="36">
        <v>8471305</v>
      </c>
      <c r="C470" s="37" t="s">
        <v>616</v>
      </c>
      <c r="D470" s="38">
        <v>425900</v>
      </c>
      <c r="E470" s="37" t="s">
        <v>35</v>
      </c>
      <c r="F470" s="37" t="s">
        <v>635</v>
      </c>
      <c r="G470" s="39">
        <v>185000</v>
      </c>
      <c r="H470" s="40">
        <v>185000</v>
      </c>
      <c r="I470" s="41">
        <v>25446.28</v>
      </c>
      <c r="J470" s="42">
        <v>0</v>
      </c>
      <c r="K470" s="40">
        <v>0</v>
      </c>
      <c r="L470" s="9">
        <f t="shared" si="14"/>
        <v>159553.72</v>
      </c>
      <c r="M470" s="44">
        <v>60407</v>
      </c>
      <c r="N470" s="44">
        <v>50000</v>
      </c>
      <c r="O470" s="44">
        <v>50000</v>
      </c>
      <c r="P470" s="67" t="s">
        <v>755</v>
      </c>
      <c r="Q470" s="39">
        <f t="shared" si="15"/>
        <v>-853.27999999999884</v>
      </c>
      <c r="R470" s="110" t="s">
        <v>766</v>
      </c>
      <c r="S470" s="1" t="s">
        <v>722</v>
      </c>
    </row>
    <row r="471" spans="1:19" ht="29" x14ac:dyDescent="0.35">
      <c r="A471" s="98" t="s">
        <v>19</v>
      </c>
      <c r="B471" s="36">
        <v>8471305</v>
      </c>
      <c r="C471" s="37" t="s">
        <v>616</v>
      </c>
      <c r="D471" s="38">
        <v>426100</v>
      </c>
      <c r="E471" s="37" t="s">
        <v>354</v>
      </c>
      <c r="F471" s="37" t="s">
        <v>636</v>
      </c>
      <c r="G471" s="39">
        <v>90000</v>
      </c>
      <c r="H471" s="40">
        <v>90000</v>
      </c>
      <c r="I471" s="47"/>
      <c r="J471" s="45"/>
      <c r="K471" s="46"/>
      <c r="L471" s="9">
        <f t="shared" ref="L471:L479" si="16">H471-I471-J471-K471</f>
        <v>90000</v>
      </c>
      <c r="M471" s="44">
        <v>50000</v>
      </c>
      <c r="N471" s="44">
        <v>30000</v>
      </c>
      <c r="O471" s="44">
        <v>10000</v>
      </c>
      <c r="P471" s="67" t="s">
        <v>756</v>
      </c>
      <c r="Q471" s="39">
        <f t="shared" si="15"/>
        <v>0</v>
      </c>
      <c r="R471" s="110" t="s">
        <v>766</v>
      </c>
      <c r="S471" s="1" t="s">
        <v>722</v>
      </c>
    </row>
    <row r="472" spans="1:19" ht="29" x14ac:dyDescent="0.35">
      <c r="A472" s="98" t="s">
        <v>19</v>
      </c>
      <c r="B472" s="36">
        <v>8471305</v>
      </c>
      <c r="C472" s="37" t="s">
        <v>616</v>
      </c>
      <c r="D472" s="38">
        <v>426610</v>
      </c>
      <c r="E472" s="37" t="s">
        <v>37</v>
      </c>
      <c r="F472" s="37" t="s">
        <v>637</v>
      </c>
      <c r="G472" s="39">
        <v>777363</v>
      </c>
      <c r="H472" s="40">
        <v>977363</v>
      </c>
      <c r="I472" s="41">
        <v>855977.21</v>
      </c>
      <c r="J472" s="42">
        <v>-7.2759576141834308E-12</v>
      </c>
      <c r="K472" s="40">
        <v>10916.08</v>
      </c>
      <c r="L472" s="9">
        <f t="shared" si="16"/>
        <v>110469.71000000004</v>
      </c>
      <c r="M472" s="44">
        <v>80000</v>
      </c>
      <c r="N472" s="44">
        <v>15000</v>
      </c>
      <c r="O472" s="44">
        <v>15470</v>
      </c>
      <c r="P472" s="67" t="s">
        <v>757</v>
      </c>
      <c r="Q472" s="39">
        <f t="shared" si="15"/>
        <v>-0.28999999996449333</v>
      </c>
      <c r="R472" s="110" t="s">
        <v>779</v>
      </c>
      <c r="S472" s="1" t="s">
        <v>722</v>
      </c>
    </row>
    <row r="473" spans="1:19" ht="29" x14ac:dyDescent="0.35">
      <c r="A473" s="98" t="s">
        <v>19</v>
      </c>
      <c r="B473" s="36">
        <v>8471305</v>
      </c>
      <c r="C473" s="37" t="s">
        <v>616</v>
      </c>
      <c r="D473" s="38">
        <v>426900</v>
      </c>
      <c r="E473" s="37" t="s">
        <v>400</v>
      </c>
      <c r="F473" s="37" t="s">
        <v>638</v>
      </c>
      <c r="G473" s="39">
        <v>21000</v>
      </c>
      <c r="H473" s="40">
        <v>21000</v>
      </c>
      <c r="I473" s="41">
        <v>235</v>
      </c>
      <c r="J473" s="45"/>
      <c r="K473" s="46"/>
      <c r="L473" s="9">
        <f t="shared" si="16"/>
        <v>20765</v>
      </c>
      <c r="M473" s="44">
        <v>5000</v>
      </c>
      <c r="N473" s="44">
        <v>8000</v>
      </c>
      <c r="O473" s="44">
        <v>7000</v>
      </c>
      <c r="P473" s="67" t="s">
        <v>758</v>
      </c>
      <c r="Q473" s="39">
        <f t="shared" si="15"/>
        <v>765</v>
      </c>
      <c r="R473" s="110" t="s">
        <v>780</v>
      </c>
      <c r="S473" s="1" t="s">
        <v>722</v>
      </c>
    </row>
    <row r="474" spans="1:19" ht="29" x14ac:dyDescent="0.35">
      <c r="A474" s="98" t="s">
        <v>19</v>
      </c>
      <c r="B474" s="36">
        <v>8471305</v>
      </c>
      <c r="C474" s="37" t="s">
        <v>616</v>
      </c>
      <c r="D474" s="38">
        <v>427200</v>
      </c>
      <c r="E474" s="37" t="s">
        <v>63</v>
      </c>
      <c r="F474" s="37" t="s">
        <v>639</v>
      </c>
      <c r="G474" s="39">
        <v>903674</v>
      </c>
      <c r="H474" s="40">
        <v>81210</v>
      </c>
      <c r="I474" s="47"/>
      <c r="J474" s="45"/>
      <c r="K474" s="46"/>
      <c r="L474" s="9">
        <f t="shared" si="16"/>
        <v>81210</v>
      </c>
      <c r="M474" s="44">
        <v>40000</v>
      </c>
      <c r="N474" s="44">
        <v>20000</v>
      </c>
      <c r="O474" s="44">
        <v>20000</v>
      </c>
      <c r="P474" s="67" t="s">
        <v>759</v>
      </c>
      <c r="Q474" s="39">
        <f t="shared" si="15"/>
        <v>1210</v>
      </c>
      <c r="R474" s="110" t="s">
        <v>780</v>
      </c>
      <c r="S474" s="1" t="s">
        <v>722</v>
      </c>
    </row>
    <row r="475" spans="1:19" ht="29" x14ac:dyDescent="0.35">
      <c r="A475" s="98" t="s">
        <v>19</v>
      </c>
      <c r="B475" s="36">
        <v>8471305</v>
      </c>
      <c r="C475" s="37" t="s">
        <v>616</v>
      </c>
      <c r="D475" s="38">
        <v>427710</v>
      </c>
      <c r="E475" s="37" t="s">
        <v>51</v>
      </c>
      <c r="F475" s="37" t="s">
        <v>640</v>
      </c>
      <c r="G475" s="39">
        <v>153178</v>
      </c>
      <c r="H475" s="40">
        <v>153178</v>
      </c>
      <c r="I475" s="41">
        <v>24512.25</v>
      </c>
      <c r="J475" s="42">
        <v>0</v>
      </c>
      <c r="K475" s="40">
        <v>25711</v>
      </c>
      <c r="L475" s="9">
        <f t="shared" si="16"/>
        <v>102954.75</v>
      </c>
      <c r="M475" s="44">
        <v>30000</v>
      </c>
      <c r="N475" s="44">
        <v>50000</v>
      </c>
      <c r="O475" s="44">
        <v>15000</v>
      </c>
      <c r="P475" s="67" t="s">
        <v>760</v>
      </c>
      <c r="Q475" s="39">
        <f t="shared" si="15"/>
        <v>7954.75</v>
      </c>
      <c r="R475" s="110" t="s">
        <v>780</v>
      </c>
      <c r="S475" s="1" t="s">
        <v>722</v>
      </c>
    </row>
    <row r="476" spans="1:19" ht="29" x14ac:dyDescent="0.35">
      <c r="A476" s="98" t="s">
        <v>19</v>
      </c>
      <c r="B476" s="36">
        <v>8471305</v>
      </c>
      <c r="C476" s="37" t="s">
        <v>616</v>
      </c>
      <c r="D476" s="38">
        <v>427810</v>
      </c>
      <c r="E476" s="37" t="s">
        <v>473</v>
      </c>
      <c r="F476" s="37" t="s">
        <v>641</v>
      </c>
      <c r="G476" s="39">
        <v>10000</v>
      </c>
      <c r="H476" s="40">
        <v>10000</v>
      </c>
      <c r="I476" s="47"/>
      <c r="J476" s="45"/>
      <c r="K476" s="46"/>
      <c r="L476" s="9">
        <f t="shared" si="16"/>
        <v>10000</v>
      </c>
      <c r="M476" s="44">
        <v>3000</v>
      </c>
      <c r="N476" s="44">
        <v>3000</v>
      </c>
      <c r="O476" s="44">
        <v>3000</v>
      </c>
      <c r="P476" s="67" t="s">
        <v>761</v>
      </c>
      <c r="Q476" s="39">
        <f t="shared" si="15"/>
        <v>1000</v>
      </c>
      <c r="R476" s="110" t="s">
        <v>780</v>
      </c>
      <c r="S476" s="1" t="s">
        <v>722</v>
      </c>
    </row>
    <row r="477" spans="1:19" ht="29" x14ac:dyDescent="0.35">
      <c r="A477" s="98" t="s">
        <v>19</v>
      </c>
      <c r="B477" s="36">
        <v>8471305</v>
      </c>
      <c r="C477" s="37" t="s">
        <v>616</v>
      </c>
      <c r="D477" s="38">
        <v>428090</v>
      </c>
      <c r="E477" s="37" t="s">
        <v>39</v>
      </c>
      <c r="F477" s="37" t="s">
        <v>642</v>
      </c>
      <c r="G477" s="39">
        <v>419000</v>
      </c>
      <c r="H477" s="40">
        <v>69339</v>
      </c>
      <c r="I477" s="41">
        <v>523.75</v>
      </c>
      <c r="J477" s="45"/>
      <c r="K477" s="46"/>
      <c r="L477" s="9">
        <f t="shared" si="16"/>
        <v>68815.25</v>
      </c>
      <c r="M477" s="44">
        <v>20000</v>
      </c>
      <c r="N477" s="44">
        <v>20000</v>
      </c>
      <c r="O477" s="44">
        <v>20000</v>
      </c>
      <c r="P477" s="67" t="s">
        <v>746</v>
      </c>
      <c r="Q477" s="39">
        <f t="shared" si="15"/>
        <v>8815.25</v>
      </c>
      <c r="R477" s="110" t="s">
        <v>780</v>
      </c>
      <c r="S477" s="1" t="s">
        <v>722</v>
      </c>
    </row>
    <row r="478" spans="1:19" x14ac:dyDescent="0.35">
      <c r="A478" s="98" t="s">
        <v>19</v>
      </c>
      <c r="B478" s="36">
        <v>8471305</v>
      </c>
      <c r="C478" s="37" t="s">
        <v>616</v>
      </c>
      <c r="D478" s="38">
        <v>428640</v>
      </c>
      <c r="E478" s="37" t="s">
        <v>43</v>
      </c>
      <c r="F478" s="37" t="s">
        <v>643</v>
      </c>
      <c r="G478" s="39">
        <v>5000</v>
      </c>
      <c r="H478" s="40">
        <v>2887</v>
      </c>
      <c r="I478" s="41">
        <v>2819.61</v>
      </c>
      <c r="J478" s="45"/>
      <c r="K478" s="46"/>
      <c r="L478" s="9">
        <f t="shared" si="16"/>
        <v>67.389999999999873</v>
      </c>
      <c r="M478" s="44"/>
      <c r="N478" s="44"/>
      <c r="O478" s="44">
        <v>67.389999999999901</v>
      </c>
      <c r="P478" s="67"/>
      <c r="Q478" s="39">
        <f t="shared" si="15"/>
        <v>0</v>
      </c>
      <c r="R478" s="110" t="s">
        <v>781</v>
      </c>
      <c r="S478" s="1" t="s">
        <v>722</v>
      </c>
    </row>
    <row r="479" spans="1:19" ht="29" x14ac:dyDescent="0.35">
      <c r="A479" s="98" t="s">
        <v>19</v>
      </c>
      <c r="B479" s="36">
        <v>8471305</v>
      </c>
      <c r="C479" s="37" t="s">
        <v>616</v>
      </c>
      <c r="D479" s="38">
        <v>432205</v>
      </c>
      <c r="E479" s="37" t="s">
        <v>95</v>
      </c>
      <c r="F479" s="37" t="s">
        <v>644</v>
      </c>
      <c r="G479" s="39">
        <v>26000</v>
      </c>
      <c r="H479" s="40">
        <v>565385</v>
      </c>
      <c r="I479" s="41">
        <v>522981</v>
      </c>
      <c r="J479" s="42">
        <v>0</v>
      </c>
      <c r="K479" s="40">
        <v>0</v>
      </c>
      <c r="L479" s="9">
        <f t="shared" si="16"/>
        <v>42404</v>
      </c>
      <c r="M479" s="44">
        <v>0</v>
      </c>
      <c r="N479" s="44">
        <v>20000</v>
      </c>
      <c r="O479" s="44">
        <v>0</v>
      </c>
      <c r="P479" s="67" t="s">
        <v>762</v>
      </c>
      <c r="Q479" s="39">
        <f t="shared" si="15"/>
        <v>22404</v>
      </c>
      <c r="R479" s="110" t="s">
        <v>780</v>
      </c>
      <c r="S479" s="1" t="s">
        <v>722</v>
      </c>
    </row>
    <row r="480" spans="1:19" ht="29" x14ac:dyDescent="0.35">
      <c r="A480" s="98" t="s">
        <v>19</v>
      </c>
      <c r="B480" s="36">
        <v>8471305</v>
      </c>
      <c r="C480" s="37" t="s">
        <v>616</v>
      </c>
      <c r="D480" s="38">
        <v>432209</v>
      </c>
      <c r="E480" s="37" t="s">
        <v>132</v>
      </c>
      <c r="F480" s="37" t="s">
        <v>645</v>
      </c>
      <c r="G480" s="39">
        <v>516900</v>
      </c>
      <c r="H480" s="40">
        <v>586900</v>
      </c>
      <c r="I480" s="41">
        <v>332442.61</v>
      </c>
      <c r="J480" s="42">
        <v>0</v>
      </c>
      <c r="K480" s="40">
        <v>242373.5</v>
      </c>
      <c r="L480" s="9">
        <f>H480-I480-J480-K480</f>
        <v>12083.890000000014</v>
      </c>
      <c r="M480" s="44"/>
      <c r="N480" s="44">
        <v>12083.89</v>
      </c>
      <c r="O480" s="44"/>
      <c r="P480" s="67" t="s">
        <v>763</v>
      </c>
      <c r="Q480" s="39">
        <f t="shared" si="15"/>
        <v>1.4551915228366852E-11</v>
      </c>
      <c r="R480" s="110" t="s">
        <v>782</v>
      </c>
      <c r="S480" s="1" t="s">
        <v>722</v>
      </c>
    </row>
    <row r="481" spans="1:19" ht="43.5" x14ac:dyDescent="0.35">
      <c r="A481" s="98" t="s">
        <v>19</v>
      </c>
      <c r="B481" s="36">
        <v>8471305</v>
      </c>
      <c r="C481" s="37" t="s">
        <v>616</v>
      </c>
      <c r="D481" s="38">
        <v>432210</v>
      </c>
      <c r="E481" s="37" t="s">
        <v>646</v>
      </c>
      <c r="F481" s="37" t="s">
        <v>647</v>
      </c>
      <c r="G481" s="39">
        <v>35000</v>
      </c>
      <c r="H481" s="40">
        <v>35000</v>
      </c>
      <c r="I481" s="47"/>
      <c r="J481" s="45"/>
      <c r="K481" s="46"/>
      <c r="L481" s="9">
        <f t="shared" ref="L481:L487" si="17">H481-I481-J481-K481</f>
        <v>35000</v>
      </c>
      <c r="M481" s="44"/>
      <c r="N481" s="44"/>
      <c r="O481" s="44">
        <v>10000</v>
      </c>
      <c r="P481" s="67" t="s">
        <v>764</v>
      </c>
      <c r="Q481" s="39">
        <f t="shared" si="15"/>
        <v>25000</v>
      </c>
      <c r="R481" s="110" t="s">
        <v>783</v>
      </c>
      <c r="S481" s="1" t="s">
        <v>722</v>
      </c>
    </row>
    <row r="482" spans="1:19" ht="43.5" x14ac:dyDescent="0.35">
      <c r="A482" s="98" t="s">
        <v>19</v>
      </c>
      <c r="B482" s="36">
        <v>8471305</v>
      </c>
      <c r="C482" s="37" t="s">
        <v>616</v>
      </c>
      <c r="D482" s="38">
        <v>435330</v>
      </c>
      <c r="E482" s="37" t="s">
        <v>573</v>
      </c>
      <c r="F482" s="37" t="s">
        <v>648</v>
      </c>
      <c r="G482" s="39">
        <v>72000</v>
      </c>
      <c r="H482" s="40">
        <v>1312390</v>
      </c>
      <c r="I482" s="47"/>
      <c r="J482" s="42">
        <v>1054944.71</v>
      </c>
      <c r="K482" s="46"/>
      <c r="L482" s="9">
        <f t="shared" si="17"/>
        <v>257445.29000000004</v>
      </c>
      <c r="M482" s="44">
        <v>257445</v>
      </c>
      <c r="N482" s="44"/>
      <c r="O482" s="44"/>
      <c r="P482" s="67" t="s">
        <v>765</v>
      </c>
      <c r="Q482" s="39">
        <f t="shared" si="15"/>
        <v>0.2900000000372529</v>
      </c>
      <c r="R482" s="110" t="s">
        <v>784</v>
      </c>
      <c r="S482" s="1" t="s">
        <v>722</v>
      </c>
    </row>
    <row r="483" spans="1:19" ht="29" x14ac:dyDescent="0.35">
      <c r="A483" s="98" t="s">
        <v>19</v>
      </c>
      <c r="B483" s="36">
        <v>8471305</v>
      </c>
      <c r="C483" s="37" t="s">
        <v>616</v>
      </c>
      <c r="D483" s="38">
        <v>435340</v>
      </c>
      <c r="E483" s="37" t="s">
        <v>202</v>
      </c>
      <c r="F483" s="37" t="s">
        <v>649</v>
      </c>
      <c r="G483" s="39">
        <v>591905</v>
      </c>
      <c r="H483" s="40">
        <v>6515</v>
      </c>
      <c r="I483" s="41">
        <v>305.68</v>
      </c>
      <c r="J483" s="45"/>
      <c r="K483" s="46"/>
      <c r="L483" s="9">
        <f t="shared" si="17"/>
        <v>6209.32</v>
      </c>
      <c r="M483" s="44"/>
      <c r="N483" s="44"/>
      <c r="O483" s="44">
        <v>6209.32</v>
      </c>
      <c r="P483" s="67" t="s">
        <v>766</v>
      </c>
      <c r="Q483" s="39">
        <f t="shared" si="15"/>
        <v>0</v>
      </c>
      <c r="R483" s="110" t="s">
        <v>766</v>
      </c>
      <c r="S483" s="1" t="s">
        <v>722</v>
      </c>
    </row>
    <row r="484" spans="1:19" ht="43.5" x14ac:dyDescent="0.35">
      <c r="A484" s="98" t="s">
        <v>19</v>
      </c>
      <c r="B484" s="36">
        <v>8471305</v>
      </c>
      <c r="C484" s="37" t="s">
        <v>616</v>
      </c>
      <c r="D484" s="38">
        <v>435350</v>
      </c>
      <c r="E484" s="37" t="s">
        <v>79</v>
      </c>
      <c r="F484" s="37" t="s">
        <v>650</v>
      </c>
      <c r="G484" s="39">
        <v>120000</v>
      </c>
      <c r="H484" s="40">
        <v>345499</v>
      </c>
      <c r="I484" s="41">
        <v>273623.65999999997</v>
      </c>
      <c r="J484" s="45"/>
      <c r="K484" s="46"/>
      <c r="L484" s="9">
        <f t="shared" si="17"/>
        <v>71875.340000000026</v>
      </c>
      <c r="M484" s="44">
        <v>20000</v>
      </c>
      <c r="N484" s="44">
        <v>30000</v>
      </c>
      <c r="O484" s="44">
        <v>20000</v>
      </c>
      <c r="P484" s="67" t="s">
        <v>759</v>
      </c>
      <c r="Q484" s="39">
        <f t="shared" si="15"/>
        <v>1875.3400000000256</v>
      </c>
      <c r="R484" s="110" t="s">
        <v>769</v>
      </c>
      <c r="S484" s="1" t="s">
        <v>722</v>
      </c>
    </row>
    <row r="485" spans="1:19" ht="43.5" x14ac:dyDescent="0.35">
      <c r="A485" s="98" t="s">
        <v>19</v>
      </c>
      <c r="B485" s="36">
        <v>8471305</v>
      </c>
      <c r="C485" s="37" t="s">
        <v>616</v>
      </c>
      <c r="D485" s="38">
        <v>435508</v>
      </c>
      <c r="E485" s="37" t="s">
        <v>135</v>
      </c>
      <c r="F485" s="37" t="s">
        <v>651</v>
      </c>
      <c r="G485" s="39">
        <v>1592072</v>
      </c>
      <c r="H485" s="40">
        <v>1892072</v>
      </c>
      <c r="I485" s="41">
        <v>994657.7</v>
      </c>
      <c r="J485" s="42">
        <v>5630.0000000002301</v>
      </c>
      <c r="K485" s="40">
        <v>672718.88</v>
      </c>
      <c r="L485" s="9">
        <f t="shared" si="17"/>
        <v>219065.41999999981</v>
      </c>
      <c r="M485" s="44">
        <v>100000</v>
      </c>
      <c r="N485" s="44">
        <v>119065</v>
      </c>
      <c r="O485" s="44"/>
      <c r="P485" s="67" t="s">
        <v>765</v>
      </c>
      <c r="Q485" s="39">
        <f t="shared" si="15"/>
        <v>0.41999999980907887</v>
      </c>
      <c r="R485" s="110" t="s">
        <v>769</v>
      </c>
      <c r="S485" s="1" t="s">
        <v>722</v>
      </c>
    </row>
    <row r="486" spans="1:19" ht="43.5" x14ac:dyDescent="0.35">
      <c r="A486" s="98" t="s">
        <v>19</v>
      </c>
      <c r="B486" s="36">
        <v>8471305</v>
      </c>
      <c r="C486" s="37" t="s">
        <v>616</v>
      </c>
      <c r="D486" s="38">
        <v>435530</v>
      </c>
      <c r="E486" s="37" t="s">
        <v>547</v>
      </c>
      <c r="F486" s="37" t="s">
        <v>652</v>
      </c>
      <c r="G486" s="39">
        <v>10000</v>
      </c>
      <c r="H486" s="40">
        <v>10000</v>
      </c>
      <c r="I486" s="41">
        <v>80</v>
      </c>
      <c r="J486" s="45"/>
      <c r="K486" s="46"/>
      <c r="L486" s="9">
        <f t="shared" si="17"/>
        <v>9920</v>
      </c>
      <c r="M486" s="112">
        <v>4000</v>
      </c>
      <c r="N486" s="112">
        <v>4000</v>
      </c>
      <c r="O486" s="44">
        <v>0</v>
      </c>
      <c r="P486" s="111" t="s">
        <v>767</v>
      </c>
      <c r="Q486" s="39">
        <f t="shared" si="15"/>
        <v>1920</v>
      </c>
      <c r="R486" s="110" t="s">
        <v>769</v>
      </c>
      <c r="S486" s="1" t="s">
        <v>722</v>
      </c>
    </row>
    <row r="487" spans="1:19" ht="43.5" x14ac:dyDescent="0.35">
      <c r="A487" s="98" t="s">
        <v>19</v>
      </c>
      <c r="B487" s="36">
        <v>8471305</v>
      </c>
      <c r="C487" s="37" t="s">
        <v>616</v>
      </c>
      <c r="D487" s="38">
        <v>436120</v>
      </c>
      <c r="E487" s="37" t="s">
        <v>443</v>
      </c>
      <c r="F487" s="37" t="s">
        <v>654</v>
      </c>
      <c r="G487" s="39">
        <v>112000</v>
      </c>
      <c r="H487" s="40">
        <v>112000</v>
      </c>
      <c r="I487" s="41">
        <v>1055.25</v>
      </c>
      <c r="J487" s="45"/>
      <c r="K487" s="46"/>
      <c r="L487" s="9">
        <f t="shared" si="17"/>
        <v>110944.75</v>
      </c>
      <c r="M487" s="44">
        <v>8000</v>
      </c>
      <c r="N487" s="44">
        <v>20000</v>
      </c>
      <c r="O487" s="44">
        <v>60000</v>
      </c>
      <c r="P487" s="67" t="s">
        <v>768</v>
      </c>
      <c r="Q487" s="39">
        <f t="shared" si="15"/>
        <v>22944.75</v>
      </c>
      <c r="R487" s="110" t="s">
        <v>769</v>
      </c>
      <c r="S487" s="1" t="s">
        <v>722</v>
      </c>
    </row>
    <row r="488" spans="1:19" x14ac:dyDescent="0.35">
      <c r="A488" s="13" t="s">
        <v>655</v>
      </c>
      <c r="B488" s="14"/>
      <c r="C488" s="15"/>
      <c r="D488" s="15"/>
      <c r="E488" s="15"/>
      <c r="F488" s="15"/>
      <c r="G488" s="16">
        <v>592955000</v>
      </c>
      <c r="H488" s="17">
        <v>579850000</v>
      </c>
      <c r="I488" s="18">
        <v>321675274.61000103</v>
      </c>
      <c r="J488" s="19">
        <v>27533031.460000001</v>
      </c>
      <c r="K488" s="17">
        <v>39813473.490000002</v>
      </c>
      <c r="L488" s="20">
        <f>SUM(L2:L487)</f>
        <v>190828220.43999988</v>
      </c>
      <c r="M488" s="21"/>
      <c r="N488" s="21"/>
      <c r="O488" s="21"/>
      <c r="P488" s="64"/>
      <c r="Q488" s="4">
        <f t="shared" si="15"/>
        <v>190828220.43999988</v>
      </c>
      <c r="R488" s="64"/>
    </row>
    <row r="489" spans="1:19" x14ac:dyDescent="0.35">
      <c r="A489" s="2" t="s">
        <v>656</v>
      </c>
      <c r="B489" s="26">
        <v>8470110</v>
      </c>
      <c r="C489" s="3" t="s">
        <v>20</v>
      </c>
      <c r="D489" s="27">
        <v>492316</v>
      </c>
      <c r="E489" s="3" t="s">
        <v>132</v>
      </c>
      <c r="F489" s="3" t="s">
        <v>657</v>
      </c>
      <c r="G489" s="4">
        <v>1220302</v>
      </c>
      <c r="H489" s="5">
        <v>1220302</v>
      </c>
      <c r="I489" s="11">
        <v>1220301.8</v>
      </c>
      <c r="J489" s="7"/>
      <c r="K489" s="5">
        <v>0</v>
      </c>
      <c r="L489" s="9">
        <v>0.19999999995343401</v>
      </c>
      <c r="M489" s="10"/>
      <c r="N489" s="10"/>
      <c r="O489" s="10"/>
      <c r="P489" s="61"/>
      <c r="Q489" s="4">
        <f t="shared" si="15"/>
        <v>0.19999999995343401</v>
      </c>
      <c r="R489" s="61"/>
      <c r="S489" s="1" t="s">
        <v>838</v>
      </c>
    </row>
    <row r="490" spans="1:19" x14ac:dyDescent="0.35">
      <c r="A490" s="2" t="s">
        <v>656</v>
      </c>
      <c r="B490" s="26">
        <v>8470120</v>
      </c>
      <c r="C490" s="3" t="s">
        <v>45</v>
      </c>
      <c r="D490" s="27">
        <v>495113</v>
      </c>
      <c r="E490" s="3" t="s">
        <v>658</v>
      </c>
      <c r="F490" s="3" t="s">
        <v>659</v>
      </c>
      <c r="G490" s="4">
        <v>0</v>
      </c>
      <c r="H490" s="5">
        <v>56000</v>
      </c>
      <c r="I490" s="6"/>
      <c r="J490" s="12">
        <v>0</v>
      </c>
      <c r="K490" s="5">
        <v>44351.48</v>
      </c>
      <c r="L490" s="9">
        <v>11648.52</v>
      </c>
      <c r="M490" s="10"/>
      <c r="N490" s="10"/>
      <c r="O490" s="10"/>
      <c r="P490" s="61"/>
      <c r="Q490" s="4">
        <f t="shared" si="15"/>
        <v>11648.52</v>
      </c>
      <c r="R490" s="61"/>
      <c r="S490" s="1" t="s">
        <v>838</v>
      </c>
    </row>
    <row r="491" spans="1:19" x14ac:dyDescent="0.35">
      <c r="A491" s="65" t="s">
        <v>656</v>
      </c>
      <c r="B491" s="48">
        <v>8470140</v>
      </c>
      <c r="C491" s="49" t="s">
        <v>54</v>
      </c>
      <c r="D491" s="50">
        <v>492310</v>
      </c>
      <c r="E491" s="49" t="s">
        <v>660</v>
      </c>
      <c r="F491" s="49" t="s">
        <v>661</v>
      </c>
      <c r="G491" s="51">
        <v>137589</v>
      </c>
      <c r="H491" s="52">
        <v>27589</v>
      </c>
      <c r="I491" s="59"/>
      <c r="J491" s="57"/>
      <c r="K491" s="58"/>
      <c r="L491" s="55">
        <v>27589</v>
      </c>
      <c r="M491" s="56"/>
      <c r="N491" s="56"/>
      <c r="O491" s="56"/>
      <c r="P491" s="63"/>
      <c r="Q491" s="51">
        <f t="shared" si="15"/>
        <v>27589</v>
      </c>
      <c r="R491" s="63"/>
      <c r="S491" s="1" t="s">
        <v>722</v>
      </c>
    </row>
    <row r="492" spans="1:19" x14ac:dyDescent="0.35">
      <c r="A492" s="2" t="s">
        <v>656</v>
      </c>
      <c r="B492" s="26">
        <v>8470230</v>
      </c>
      <c r="C492" s="3" t="s">
        <v>97</v>
      </c>
      <c r="D492" s="27">
        <v>492310</v>
      </c>
      <c r="E492" s="3" t="s">
        <v>660</v>
      </c>
      <c r="F492" s="3" t="s">
        <v>662</v>
      </c>
      <c r="G492" s="4">
        <v>1380709</v>
      </c>
      <c r="H492" s="5">
        <v>1380709</v>
      </c>
      <c r="I492" s="11">
        <v>1333260</v>
      </c>
      <c r="J492" s="12">
        <v>0</v>
      </c>
      <c r="K492" s="5">
        <v>0</v>
      </c>
      <c r="L492" s="9">
        <v>47449</v>
      </c>
      <c r="M492" s="10"/>
      <c r="N492" s="10"/>
      <c r="O492" s="10"/>
      <c r="P492" s="61"/>
      <c r="Q492" s="4">
        <f t="shared" si="15"/>
        <v>47449</v>
      </c>
      <c r="R492" s="61"/>
      <c r="S492" s="1" t="s">
        <v>838</v>
      </c>
    </row>
    <row r="493" spans="1:19" x14ac:dyDescent="0.35">
      <c r="A493" s="2" t="s">
        <v>656</v>
      </c>
      <c r="B493" s="26">
        <v>8470310</v>
      </c>
      <c r="C493" s="3" t="s">
        <v>139</v>
      </c>
      <c r="D493" s="27">
        <v>492316</v>
      </c>
      <c r="E493" s="3" t="s">
        <v>132</v>
      </c>
      <c r="F493" s="3" t="s">
        <v>663</v>
      </c>
      <c r="G493" s="4">
        <v>1174460</v>
      </c>
      <c r="H493" s="5">
        <v>1174460</v>
      </c>
      <c r="I493" s="11">
        <v>364703.32</v>
      </c>
      <c r="J493" s="12">
        <v>805100</v>
      </c>
      <c r="K493" s="5">
        <v>0</v>
      </c>
      <c r="L493" s="9">
        <v>4656.6799999999303</v>
      </c>
      <c r="M493" s="10"/>
      <c r="N493" s="10"/>
      <c r="O493" s="10"/>
      <c r="P493" s="61"/>
      <c r="Q493" s="4">
        <f t="shared" si="15"/>
        <v>4656.6799999999303</v>
      </c>
      <c r="R493" s="61"/>
      <c r="S493" s="1" t="s">
        <v>838</v>
      </c>
    </row>
    <row r="494" spans="1:19" x14ac:dyDescent="0.35">
      <c r="A494" s="2" t="s">
        <v>656</v>
      </c>
      <c r="B494" s="26">
        <v>8470315</v>
      </c>
      <c r="C494" s="3" t="s">
        <v>154</v>
      </c>
      <c r="D494" s="27">
        <v>492316</v>
      </c>
      <c r="E494" s="3" t="s">
        <v>132</v>
      </c>
      <c r="F494" s="3" t="s">
        <v>664</v>
      </c>
      <c r="G494" s="4">
        <v>700693</v>
      </c>
      <c r="H494" s="5">
        <v>700693</v>
      </c>
      <c r="I494" s="11">
        <v>657144.79</v>
      </c>
      <c r="J494" s="12">
        <v>-8.0035533756017698E-11</v>
      </c>
      <c r="K494" s="5">
        <v>-15631.86</v>
      </c>
      <c r="L494" s="9">
        <v>59180.070000000102</v>
      </c>
      <c r="M494" s="10"/>
      <c r="N494" s="10"/>
      <c r="O494" s="10"/>
      <c r="P494" s="61"/>
      <c r="Q494" s="4">
        <f t="shared" si="15"/>
        <v>59180.070000000102</v>
      </c>
      <c r="R494" s="61"/>
      <c r="S494" s="1" t="s">
        <v>838</v>
      </c>
    </row>
    <row r="495" spans="1:19" x14ac:dyDescent="0.35">
      <c r="A495" s="2" t="s">
        <v>656</v>
      </c>
      <c r="B495" s="26">
        <v>8470320</v>
      </c>
      <c r="C495" s="3" t="s">
        <v>168</v>
      </c>
      <c r="D495" s="27">
        <v>492316</v>
      </c>
      <c r="E495" s="3" t="s">
        <v>132</v>
      </c>
      <c r="F495" s="3" t="s">
        <v>665</v>
      </c>
      <c r="G495" s="4">
        <v>1813427</v>
      </c>
      <c r="H495" s="5">
        <v>931427</v>
      </c>
      <c r="I495" s="11">
        <v>203900</v>
      </c>
      <c r="J495" s="12">
        <v>519300</v>
      </c>
      <c r="K495" s="5">
        <v>109938</v>
      </c>
      <c r="L495" s="9">
        <v>98289</v>
      </c>
      <c r="M495" s="10"/>
      <c r="N495" s="10"/>
      <c r="O495" s="10"/>
      <c r="P495" s="61"/>
      <c r="Q495" s="4">
        <f t="shared" si="15"/>
        <v>98289</v>
      </c>
      <c r="R495" s="61"/>
      <c r="S495" s="1" t="s">
        <v>838</v>
      </c>
    </row>
    <row r="496" spans="1:19" x14ac:dyDescent="0.35">
      <c r="A496" s="2" t="s">
        <v>656</v>
      </c>
      <c r="B496" s="26">
        <v>8470320</v>
      </c>
      <c r="C496" s="3" t="s">
        <v>168</v>
      </c>
      <c r="D496" s="27">
        <v>495140</v>
      </c>
      <c r="E496" s="3" t="s">
        <v>666</v>
      </c>
      <c r="F496" s="3" t="s">
        <v>667</v>
      </c>
      <c r="G496" s="4">
        <v>16097</v>
      </c>
      <c r="H496" s="5">
        <v>16097</v>
      </c>
      <c r="I496" s="6"/>
      <c r="J496" s="7"/>
      <c r="K496" s="8"/>
      <c r="L496" s="9">
        <v>16097</v>
      </c>
      <c r="M496" s="10"/>
      <c r="N496" s="10"/>
      <c r="O496" s="10"/>
      <c r="P496" s="61"/>
      <c r="Q496" s="4">
        <f t="shared" si="15"/>
        <v>16097</v>
      </c>
      <c r="R496" s="61"/>
      <c r="S496" s="1" t="s">
        <v>838</v>
      </c>
    </row>
    <row r="497" spans="1:19" x14ac:dyDescent="0.35">
      <c r="A497" s="2" t="s">
        <v>656</v>
      </c>
      <c r="B497" s="26">
        <v>8470325</v>
      </c>
      <c r="C497" s="3" t="s">
        <v>181</v>
      </c>
      <c r="D497" s="27">
        <v>492316</v>
      </c>
      <c r="E497" s="3" t="s">
        <v>132</v>
      </c>
      <c r="F497" s="3" t="s">
        <v>668</v>
      </c>
      <c r="G497" s="4">
        <v>611783</v>
      </c>
      <c r="H497" s="5">
        <v>611783</v>
      </c>
      <c r="I497" s="11">
        <v>487360</v>
      </c>
      <c r="J497" s="12">
        <v>0</v>
      </c>
      <c r="K497" s="5">
        <v>85460</v>
      </c>
      <c r="L497" s="9">
        <v>38963</v>
      </c>
      <c r="M497" s="10"/>
      <c r="N497" s="10"/>
      <c r="O497" s="10"/>
      <c r="P497" s="61"/>
      <c r="Q497" s="4">
        <f t="shared" si="15"/>
        <v>38963</v>
      </c>
      <c r="R497" s="61"/>
      <c r="S497" s="1" t="s">
        <v>838</v>
      </c>
    </row>
    <row r="498" spans="1:19" x14ac:dyDescent="0.35">
      <c r="A498" s="2" t="s">
        <v>656</v>
      </c>
      <c r="B498" s="26">
        <v>8470330</v>
      </c>
      <c r="C498" s="3" t="s">
        <v>192</v>
      </c>
      <c r="D498" s="27">
        <v>492316</v>
      </c>
      <c r="E498" s="3" t="s">
        <v>132</v>
      </c>
      <c r="F498" s="3" t="s">
        <v>669</v>
      </c>
      <c r="G498" s="4">
        <v>456796</v>
      </c>
      <c r="H498" s="5">
        <v>456796</v>
      </c>
      <c r="I498" s="11">
        <v>38500</v>
      </c>
      <c r="J498" s="12">
        <v>0</v>
      </c>
      <c r="K498" s="5">
        <v>355300</v>
      </c>
      <c r="L498" s="9">
        <v>62996</v>
      </c>
      <c r="M498" s="10"/>
      <c r="N498" s="10"/>
      <c r="O498" s="10"/>
      <c r="P498" s="61"/>
      <c r="Q498" s="4">
        <f t="shared" si="15"/>
        <v>62996</v>
      </c>
      <c r="R498" s="61"/>
      <c r="S498" s="1" t="s">
        <v>838</v>
      </c>
    </row>
    <row r="499" spans="1:19" x14ac:dyDescent="0.35">
      <c r="A499" s="2" t="s">
        <v>656</v>
      </c>
      <c r="B499" s="26">
        <v>8470335</v>
      </c>
      <c r="C499" s="3" t="s">
        <v>207</v>
      </c>
      <c r="D499" s="27">
        <v>492316</v>
      </c>
      <c r="E499" s="3" t="s">
        <v>132</v>
      </c>
      <c r="F499" s="3" t="s">
        <v>670</v>
      </c>
      <c r="G499" s="4">
        <v>234334</v>
      </c>
      <c r="H499" s="5">
        <v>234334</v>
      </c>
      <c r="I499" s="11">
        <v>11026.05</v>
      </c>
      <c r="J499" s="12">
        <v>0</v>
      </c>
      <c r="K499" s="5">
        <v>223066</v>
      </c>
      <c r="L499" s="9">
        <v>241.95000000001201</v>
      </c>
      <c r="M499" s="10"/>
      <c r="N499" s="10"/>
      <c r="O499" s="10"/>
      <c r="P499" s="61"/>
      <c r="Q499" s="4">
        <f t="shared" si="15"/>
        <v>241.95000000001201</v>
      </c>
      <c r="R499" s="61"/>
      <c r="S499" s="1" t="s">
        <v>838</v>
      </c>
    </row>
    <row r="500" spans="1:19" x14ac:dyDescent="0.35">
      <c r="A500" s="2" t="s">
        <v>656</v>
      </c>
      <c r="B500" s="26">
        <v>8470340</v>
      </c>
      <c r="C500" s="3" t="s">
        <v>220</v>
      </c>
      <c r="D500" s="27">
        <v>492316</v>
      </c>
      <c r="E500" s="3" t="s">
        <v>132</v>
      </c>
      <c r="F500" s="3" t="s">
        <v>671</v>
      </c>
      <c r="G500" s="4">
        <v>533159</v>
      </c>
      <c r="H500" s="5">
        <v>533159</v>
      </c>
      <c r="I500" s="6"/>
      <c r="J500" s="12">
        <v>0</v>
      </c>
      <c r="K500" s="5">
        <v>532460</v>
      </c>
      <c r="L500" s="9">
        <v>699</v>
      </c>
      <c r="M500" s="10"/>
      <c r="N500" s="10"/>
      <c r="O500" s="10"/>
      <c r="P500" s="61"/>
      <c r="Q500" s="4">
        <f t="shared" si="15"/>
        <v>699</v>
      </c>
      <c r="R500" s="61"/>
      <c r="S500" s="1" t="s">
        <v>838</v>
      </c>
    </row>
    <row r="501" spans="1:19" x14ac:dyDescent="0.35">
      <c r="A501" s="2" t="s">
        <v>656</v>
      </c>
      <c r="B501" s="26">
        <v>8470345</v>
      </c>
      <c r="C501" s="3" t="s">
        <v>234</v>
      </c>
      <c r="D501" s="27">
        <v>492316</v>
      </c>
      <c r="E501" s="3" t="s">
        <v>132</v>
      </c>
      <c r="F501" s="3" t="s">
        <v>672</v>
      </c>
      <c r="G501" s="4">
        <v>551330</v>
      </c>
      <c r="H501" s="5">
        <v>551330</v>
      </c>
      <c r="I501" s="11">
        <v>279820</v>
      </c>
      <c r="J501" s="12">
        <v>63000</v>
      </c>
      <c r="K501" s="5">
        <v>207881</v>
      </c>
      <c r="L501" s="9">
        <v>629</v>
      </c>
      <c r="M501" s="10"/>
      <c r="N501" s="10"/>
      <c r="O501" s="10"/>
      <c r="P501" s="61"/>
      <c r="Q501" s="4">
        <f t="shared" si="15"/>
        <v>629</v>
      </c>
      <c r="R501" s="61"/>
      <c r="S501" s="1" t="s">
        <v>838</v>
      </c>
    </row>
    <row r="502" spans="1:19" x14ac:dyDescent="0.35">
      <c r="A502" s="2" t="s">
        <v>656</v>
      </c>
      <c r="B502" s="26">
        <v>8470350</v>
      </c>
      <c r="C502" s="3" t="s">
        <v>246</v>
      </c>
      <c r="D502" s="27">
        <v>492316</v>
      </c>
      <c r="E502" s="3" t="s">
        <v>132</v>
      </c>
      <c r="F502" s="3" t="s">
        <v>673</v>
      </c>
      <c r="G502" s="4">
        <v>1446520</v>
      </c>
      <c r="H502" s="5">
        <v>1446520</v>
      </c>
      <c r="I502" s="11">
        <v>862373.2</v>
      </c>
      <c r="J502" s="12">
        <v>578702.18000000005</v>
      </c>
      <c r="K502" s="5">
        <v>0</v>
      </c>
      <c r="L502" s="9">
        <v>5444.62</v>
      </c>
      <c r="M502" s="10"/>
      <c r="N502" s="10"/>
      <c r="O502" s="10"/>
      <c r="P502" s="61"/>
      <c r="Q502" s="4">
        <f t="shared" si="15"/>
        <v>5444.62</v>
      </c>
      <c r="R502" s="61"/>
      <c r="S502" s="1" t="s">
        <v>838</v>
      </c>
    </row>
    <row r="503" spans="1:19" x14ac:dyDescent="0.35">
      <c r="A503" s="2" t="s">
        <v>656</v>
      </c>
      <c r="B503" s="26">
        <v>8470415</v>
      </c>
      <c r="C503" s="3" t="s">
        <v>274</v>
      </c>
      <c r="D503" s="27">
        <v>492316</v>
      </c>
      <c r="E503" s="3" t="s">
        <v>132</v>
      </c>
      <c r="F503" s="3" t="s">
        <v>674</v>
      </c>
      <c r="G503" s="4">
        <v>1891417</v>
      </c>
      <c r="H503" s="5">
        <v>1891417</v>
      </c>
      <c r="I503" s="11">
        <v>71367</v>
      </c>
      <c r="J503" s="12">
        <v>50038.6</v>
      </c>
      <c r="K503" s="5">
        <v>1758059</v>
      </c>
      <c r="L503" s="9">
        <v>11952.3999999999</v>
      </c>
      <c r="M503" s="10"/>
      <c r="N503" s="10"/>
      <c r="O503" s="10"/>
      <c r="P503" s="61"/>
      <c r="Q503" s="4">
        <f t="shared" si="15"/>
        <v>11952.3999999999</v>
      </c>
      <c r="R503" s="61"/>
      <c r="S503" s="1" t="s">
        <v>838</v>
      </c>
    </row>
    <row r="504" spans="1:19" x14ac:dyDescent="0.35">
      <c r="A504" s="2" t="s">
        <v>656</v>
      </c>
      <c r="B504" s="26">
        <v>8470425</v>
      </c>
      <c r="C504" s="3" t="s">
        <v>287</v>
      </c>
      <c r="D504" s="27">
        <v>492310</v>
      </c>
      <c r="E504" s="3" t="s">
        <v>660</v>
      </c>
      <c r="F504" s="3" t="s">
        <v>675</v>
      </c>
      <c r="G504" s="4">
        <v>151348</v>
      </c>
      <c r="H504" s="5">
        <v>127348</v>
      </c>
      <c r="I504" s="11">
        <v>35280</v>
      </c>
      <c r="J504" s="12">
        <v>0</v>
      </c>
      <c r="K504" s="5">
        <v>0</v>
      </c>
      <c r="L504" s="9">
        <v>92068</v>
      </c>
      <c r="M504" s="10"/>
      <c r="N504" s="10"/>
      <c r="O504" s="10"/>
      <c r="P504" s="61"/>
      <c r="Q504" s="4">
        <f t="shared" si="15"/>
        <v>92068</v>
      </c>
      <c r="R504" s="61"/>
      <c r="S504" s="1" t="s">
        <v>838</v>
      </c>
    </row>
    <row r="505" spans="1:19" x14ac:dyDescent="0.35">
      <c r="A505" s="2" t="s">
        <v>656</v>
      </c>
      <c r="B505" s="26">
        <v>8470425</v>
      </c>
      <c r="C505" s="3" t="s">
        <v>287</v>
      </c>
      <c r="D505" s="27">
        <v>492316</v>
      </c>
      <c r="E505" s="3" t="s">
        <v>132</v>
      </c>
      <c r="F505" s="3" t="s">
        <v>676</v>
      </c>
      <c r="G505" s="4">
        <v>1551340</v>
      </c>
      <c r="H505" s="5">
        <v>732340</v>
      </c>
      <c r="I505" s="11">
        <v>286598.5</v>
      </c>
      <c r="J505" s="12">
        <v>243881.73</v>
      </c>
      <c r="K505" s="5">
        <v>119350.08</v>
      </c>
      <c r="L505" s="9">
        <v>82509.6899999999</v>
      </c>
      <c r="M505" s="10"/>
      <c r="N505" s="10"/>
      <c r="O505" s="10"/>
      <c r="P505" s="61"/>
      <c r="Q505" s="4">
        <f t="shared" si="15"/>
        <v>82509.6899999999</v>
      </c>
      <c r="R505" s="61"/>
      <c r="S505" s="1" t="s">
        <v>838</v>
      </c>
    </row>
    <row r="506" spans="1:19" x14ac:dyDescent="0.35">
      <c r="A506" s="2" t="s">
        <v>656</v>
      </c>
      <c r="B506" s="26">
        <v>8470450</v>
      </c>
      <c r="C506" s="3" t="s">
        <v>333</v>
      </c>
      <c r="D506" s="27">
        <v>492310</v>
      </c>
      <c r="E506" s="3" t="s">
        <v>660</v>
      </c>
      <c r="F506" s="3" t="s">
        <v>677</v>
      </c>
      <c r="G506" s="4">
        <v>126346</v>
      </c>
      <c r="H506" s="5">
        <v>126346</v>
      </c>
      <c r="I506" s="11">
        <v>80205</v>
      </c>
      <c r="J506" s="12">
        <v>0</v>
      </c>
      <c r="K506" s="5">
        <v>0</v>
      </c>
      <c r="L506" s="9">
        <v>46141</v>
      </c>
      <c r="M506" s="10"/>
      <c r="N506" s="10"/>
      <c r="O506" s="10"/>
      <c r="P506" s="61"/>
      <c r="Q506" s="4">
        <f t="shared" si="15"/>
        <v>46141</v>
      </c>
      <c r="R506" s="61"/>
      <c r="S506" s="1" t="s">
        <v>838</v>
      </c>
    </row>
    <row r="507" spans="1:19" x14ac:dyDescent="0.35">
      <c r="A507" s="2" t="s">
        <v>656</v>
      </c>
      <c r="B507" s="26">
        <v>8470450</v>
      </c>
      <c r="C507" s="3" t="s">
        <v>333</v>
      </c>
      <c r="D507" s="27">
        <v>492316</v>
      </c>
      <c r="E507" s="3" t="s">
        <v>132</v>
      </c>
      <c r="F507" s="3" t="s">
        <v>678</v>
      </c>
      <c r="G507" s="4">
        <v>146498</v>
      </c>
      <c r="H507" s="5">
        <v>146498</v>
      </c>
      <c r="I507" s="11">
        <v>309.52</v>
      </c>
      <c r="J507" s="12">
        <v>117930</v>
      </c>
      <c r="K507" s="8"/>
      <c r="L507" s="9">
        <v>28258.48</v>
      </c>
      <c r="M507" s="10"/>
      <c r="N507" s="10"/>
      <c r="O507" s="10"/>
      <c r="P507" s="61"/>
      <c r="Q507" s="4">
        <f t="shared" si="15"/>
        <v>28258.48</v>
      </c>
      <c r="R507" s="61"/>
      <c r="S507" s="1" t="s">
        <v>838</v>
      </c>
    </row>
    <row r="508" spans="1:19" x14ac:dyDescent="0.35">
      <c r="A508" s="2" t="s">
        <v>656</v>
      </c>
      <c r="B508" s="26">
        <v>8470455</v>
      </c>
      <c r="C508" s="3" t="s">
        <v>341</v>
      </c>
      <c r="D508" s="27">
        <v>492316</v>
      </c>
      <c r="E508" s="3" t="s">
        <v>132</v>
      </c>
      <c r="F508" s="3" t="s">
        <v>679</v>
      </c>
      <c r="G508" s="4">
        <v>1754263</v>
      </c>
      <c r="H508" s="5">
        <v>1489263</v>
      </c>
      <c r="I508" s="11">
        <v>127095</v>
      </c>
      <c r="J508" s="12">
        <v>1</v>
      </c>
      <c r="K508" s="5">
        <v>1296072.5</v>
      </c>
      <c r="L508" s="9">
        <v>66094.5</v>
      </c>
      <c r="M508" s="10"/>
      <c r="N508" s="10"/>
      <c r="O508" s="10"/>
      <c r="P508" s="61"/>
      <c r="Q508" s="4">
        <f t="shared" si="15"/>
        <v>66094.5</v>
      </c>
      <c r="R508" s="61"/>
      <c r="S508" s="1" t="s">
        <v>838</v>
      </c>
    </row>
    <row r="509" spans="1:19" x14ac:dyDescent="0.35">
      <c r="A509" s="98" t="s">
        <v>656</v>
      </c>
      <c r="B509" s="36">
        <v>8470520</v>
      </c>
      <c r="C509" s="37" t="s">
        <v>352</v>
      </c>
      <c r="D509" s="38">
        <v>492316</v>
      </c>
      <c r="E509" s="37" t="s">
        <v>132</v>
      </c>
      <c r="F509" s="37" t="s">
        <v>680</v>
      </c>
      <c r="G509" s="39">
        <v>171987</v>
      </c>
      <c r="H509" s="40">
        <v>987</v>
      </c>
      <c r="I509" s="47"/>
      <c r="J509" s="42">
        <v>0</v>
      </c>
      <c r="K509" s="46"/>
      <c r="L509" s="43">
        <v>987</v>
      </c>
      <c r="M509" s="44"/>
      <c r="N509" s="44"/>
      <c r="O509" s="44"/>
      <c r="P509" s="67"/>
      <c r="Q509" s="39">
        <f t="shared" si="15"/>
        <v>987</v>
      </c>
      <c r="R509" s="67"/>
      <c r="S509" s="1" t="s">
        <v>722</v>
      </c>
    </row>
    <row r="510" spans="1:19" x14ac:dyDescent="0.35">
      <c r="A510" s="98" t="s">
        <v>656</v>
      </c>
      <c r="B510" s="36">
        <v>8470530</v>
      </c>
      <c r="C510" s="37" t="s">
        <v>361</v>
      </c>
      <c r="D510" s="38">
        <v>492200</v>
      </c>
      <c r="E510" s="37" t="s">
        <v>682</v>
      </c>
      <c r="F510" s="37" t="s">
        <v>683</v>
      </c>
      <c r="G510" s="39">
        <v>2910350</v>
      </c>
      <c r="H510" s="40">
        <v>2724350</v>
      </c>
      <c r="I510" s="47"/>
      <c r="J510" s="42">
        <v>1100000</v>
      </c>
      <c r="K510" s="40">
        <v>1624208</v>
      </c>
      <c r="L510" s="43">
        <v>142</v>
      </c>
      <c r="M510" s="44"/>
      <c r="N510" s="44"/>
      <c r="O510" s="44"/>
      <c r="P510" s="67"/>
      <c r="Q510" s="39">
        <f t="shared" ref="Q510:Q540" si="18">L510-M510-N510-O510</f>
        <v>142</v>
      </c>
      <c r="R510" s="67"/>
      <c r="S510" s="1" t="s">
        <v>722</v>
      </c>
    </row>
    <row r="511" spans="1:19" x14ac:dyDescent="0.35">
      <c r="A511" s="98" t="s">
        <v>656</v>
      </c>
      <c r="B511" s="36">
        <v>8470530</v>
      </c>
      <c r="C511" s="37" t="s">
        <v>361</v>
      </c>
      <c r="D511" s="38">
        <v>492200</v>
      </c>
      <c r="E511" s="37" t="s">
        <v>682</v>
      </c>
      <c r="F511" s="37" t="s">
        <v>684</v>
      </c>
      <c r="G511" s="39">
        <v>18425319</v>
      </c>
      <c r="H511" s="40">
        <v>25123643</v>
      </c>
      <c r="I511" s="41">
        <v>14827479.25</v>
      </c>
      <c r="J511" s="42">
        <v>3000000</v>
      </c>
      <c r="K511" s="40">
        <v>7249922.9299999997</v>
      </c>
      <c r="L511" s="43">
        <v>46240.820000000298</v>
      </c>
      <c r="M511" s="44"/>
      <c r="N511" s="44"/>
      <c r="O511" s="44"/>
      <c r="P511" s="67"/>
      <c r="Q511" s="39">
        <f t="shared" si="18"/>
        <v>46240.820000000298</v>
      </c>
      <c r="R511" s="67"/>
      <c r="S511" s="1" t="s">
        <v>722</v>
      </c>
    </row>
    <row r="512" spans="1:19" x14ac:dyDescent="0.35">
      <c r="A512" s="98" t="s">
        <v>656</v>
      </c>
      <c r="B512" s="36">
        <v>8470530</v>
      </c>
      <c r="C512" s="37" t="s">
        <v>361</v>
      </c>
      <c r="D512" s="38">
        <v>492200</v>
      </c>
      <c r="E512" s="37" t="s">
        <v>682</v>
      </c>
      <c r="F512" s="37" t="s">
        <v>686</v>
      </c>
      <c r="G512" s="39">
        <v>19458929</v>
      </c>
      <c r="H512" s="40">
        <v>20771949</v>
      </c>
      <c r="I512" s="41">
        <v>8794789.4000000004</v>
      </c>
      <c r="J512" s="42">
        <v>2966819.5</v>
      </c>
      <c r="K512" s="40">
        <v>8974286.5999999996</v>
      </c>
      <c r="L512" s="43">
        <v>36053.5</v>
      </c>
      <c r="M512" s="44"/>
      <c r="N512" s="44"/>
      <c r="O512" s="44"/>
      <c r="P512" s="67"/>
      <c r="Q512" s="39">
        <f t="shared" si="18"/>
        <v>36053.5</v>
      </c>
      <c r="R512" s="67"/>
      <c r="S512" s="1" t="s">
        <v>722</v>
      </c>
    </row>
    <row r="513" spans="1:19" ht="29" x14ac:dyDescent="0.35">
      <c r="A513" s="98" t="s">
        <v>656</v>
      </c>
      <c r="B513" s="36">
        <v>8470530</v>
      </c>
      <c r="C513" s="37" t="s">
        <v>361</v>
      </c>
      <c r="D513" s="38">
        <v>492610</v>
      </c>
      <c r="E513" s="37" t="s">
        <v>687</v>
      </c>
      <c r="F513" s="37" t="s">
        <v>688</v>
      </c>
      <c r="G513" s="39">
        <v>1136050</v>
      </c>
      <c r="H513" s="40">
        <v>3102209</v>
      </c>
      <c r="I513" s="41">
        <v>92200</v>
      </c>
      <c r="J513" s="42">
        <v>0</v>
      </c>
      <c r="K513" s="40">
        <v>223994</v>
      </c>
      <c r="L513" s="43">
        <v>2786015</v>
      </c>
      <c r="M513" s="44"/>
      <c r="N513" s="44"/>
      <c r="O513" s="44"/>
      <c r="P513" s="110" t="s">
        <v>795</v>
      </c>
      <c r="Q513" s="39">
        <f t="shared" si="18"/>
        <v>2786015</v>
      </c>
      <c r="R513" s="67"/>
      <c r="S513" s="1" t="s">
        <v>722</v>
      </c>
    </row>
    <row r="514" spans="1:19" x14ac:dyDescent="0.35">
      <c r="A514" s="98" t="s">
        <v>656</v>
      </c>
      <c r="B514" s="36">
        <v>8470530</v>
      </c>
      <c r="C514" s="37" t="s">
        <v>361</v>
      </c>
      <c r="D514" s="38">
        <v>492610</v>
      </c>
      <c r="E514" s="37" t="s">
        <v>687</v>
      </c>
      <c r="F514" s="37" t="s">
        <v>689</v>
      </c>
      <c r="G514" s="39">
        <v>32800</v>
      </c>
      <c r="H514" s="40">
        <v>32800</v>
      </c>
      <c r="I514" s="41">
        <v>31488</v>
      </c>
      <c r="J514" s="45"/>
      <c r="K514" s="40">
        <v>0</v>
      </c>
      <c r="L514" s="43">
        <v>1312</v>
      </c>
      <c r="M514" s="44"/>
      <c r="N514" s="44"/>
      <c r="O514" s="44"/>
      <c r="P514" s="67"/>
      <c r="Q514" s="39">
        <f t="shared" si="18"/>
        <v>1312</v>
      </c>
      <c r="R514" s="67"/>
      <c r="S514" s="1" t="s">
        <v>722</v>
      </c>
    </row>
    <row r="515" spans="1:19" x14ac:dyDescent="0.35">
      <c r="A515" s="98" t="s">
        <v>656</v>
      </c>
      <c r="B515" s="36">
        <v>8470530</v>
      </c>
      <c r="C515" s="37" t="s">
        <v>361</v>
      </c>
      <c r="D515" s="38">
        <v>492610</v>
      </c>
      <c r="E515" s="37" t="s">
        <v>687</v>
      </c>
      <c r="F515" s="37" t="s">
        <v>690</v>
      </c>
      <c r="G515" s="39">
        <v>1375893</v>
      </c>
      <c r="H515" s="40">
        <v>82893</v>
      </c>
      <c r="I515" s="41">
        <v>41141</v>
      </c>
      <c r="J515" s="42">
        <v>0</v>
      </c>
      <c r="K515" s="40">
        <v>41141</v>
      </c>
      <c r="L515" s="43">
        <v>611</v>
      </c>
      <c r="M515" s="44"/>
      <c r="N515" s="44"/>
      <c r="O515" s="44"/>
      <c r="P515" s="67"/>
      <c r="Q515" s="39">
        <f t="shared" si="18"/>
        <v>611</v>
      </c>
      <c r="R515" s="67"/>
      <c r="S515" s="1" t="s">
        <v>722</v>
      </c>
    </row>
    <row r="516" spans="1:19" x14ac:dyDescent="0.35">
      <c r="A516" s="98" t="s">
        <v>656</v>
      </c>
      <c r="B516" s="36">
        <v>8470530</v>
      </c>
      <c r="C516" s="37" t="s">
        <v>361</v>
      </c>
      <c r="D516" s="38">
        <v>495113</v>
      </c>
      <c r="E516" s="37" t="s">
        <v>658</v>
      </c>
      <c r="F516" s="37" t="s">
        <v>691</v>
      </c>
      <c r="G516" s="39">
        <v>0</v>
      </c>
      <c r="H516" s="40">
        <v>1000000</v>
      </c>
      <c r="I516" s="47"/>
      <c r="J516" s="42">
        <v>1000000</v>
      </c>
      <c r="K516" s="46"/>
      <c r="L516" s="43">
        <v>0</v>
      </c>
      <c r="M516" s="44"/>
      <c r="N516" s="44"/>
      <c r="O516" s="44"/>
      <c r="P516" s="67"/>
      <c r="Q516" s="39">
        <f t="shared" si="18"/>
        <v>0</v>
      </c>
      <c r="R516" s="67"/>
      <c r="S516" s="1" t="s">
        <v>722</v>
      </c>
    </row>
    <row r="517" spans="1:19" x14ac:dyDescent="0.35">
      <c r="A517" s="98" t="s">
        <v>656</v>
      </c>
      <c r="B517" s="36">
        <v>8470530</v>
      </c>
      <c r="C517" s="37" t="s">
        <v>361</v>
      </c>
      <c r="D517" s="38">
        <v>495140</v>
      </c>
      <c r="E517" s="37" t="s">
        <v>666</v>
      </c>
      <c r="F517" s="37" t="s">
        <v>692</v>
      </c>
      <c r="G517" s="39">
        <v>30302</v>
      </c>
      <c r="H517" s="40">
        <v>30312</v>
      </c>
      <c r="I517" s="47"/>
      <c r="J517" s="45"/>
      <c r="K517" s="40">
        <v>30302.25</v>
      </c>
      <c r="L517" s="43">
        <v>9.75</v>
      </c>
      <c r="M517" s="44"/>
      <c r="N517" s="44"/>
      <c r="O517" s="44"/>
      <c r="P517" s="67"/>
      <c r="Q517" s="39">
        <f t="shared" si="18"/>
        <v>9.75</v>
      </c>
      <c r="R517" s="67"/>
      <c r="S517" s="1" t="s">
        <v>722</v>
      </c>
    </row>
    <row r="518" spans="1:19" x14ac:dyDescent="0.35">
      <c r="A518" s="2" t="s">
        <v>656</v>
      </c>
      <c r="B518" s="26">
        <v>8470720</v>
      </c>
      <c r="C518" s="3" t="s">
        <v>445</v>
      </c>
      <c r="D518" s="27">
        <v>495110</v>
      </c>
      <c r="E518" s="3" t="s">
        <v>693</v>
      </c>
      <c r="F518" s="3" t="s">
        <v>694</v>
      </c>
      <c r="G518" s="4">
        <v>69286</v>
      </c>
      <c r="H518" s="5">
        <v>0</v>
      </c>
      <c r="I518" s="6"/>
      <c r="J518" s="7"/>
      <c r="K518" s="8"/>
      <c r="L518" s="9">
        <v>0</v>
      </c>
      <c r="M518" s="10"/>
      <c r="N518" s="10"/>
      <c r="O518" s="10"/>
      <c r="P518" s="61"/>
      <c r="Q518" s="4">
        <f t="shared" si="18"/>
        <v>0</v>
      </c>
      <c r="R518" s="61"/>
      <c r="S518" s="1" t="s">
        <v>838</v>
      </c>
    </row>
    <row r="519" spans="1:19" x14ac:dyDescent="0.35">
      <c r="A519" s="2" t="s">
        <v>656</v>
      </c>
      <c r="B519" s="26">
        <v>8470720</v>
      </c>
      <c r="C519" s="3" t="s">
        <v>445</v>
      </c>
      <c r="D519" s="27">
        <v>495113</v>
      </c>
      <c r="E519" s="3" t="s">
        <v>658</v>
      </c>
      <c r="F519" s="3" t="s">
        <v>695</v>
      </c>
      <c r="G519" s="4">
        <v>0</v>
      </c>
      <c r="H519" s="5">
        <v>69286</v>
      </c>
      <c r="I519" s="11">
        <v>69286</v>
      </c>
      <c r="J519" s="12">
        <v>0</v>
      </c>
      <c r="K519" s="5">
        <v>0</v>
      </c>
      <c r="L519" s="9">
        <v>0</v>
      </c>
      <c r="M519" s="10"/>
      <c r="N519" s="10"/>
      <c r="O519" s="10"/>
      <c r="P519" s="61"/>
      <c r="Q519" s="4">
        <f t="shared" si="18"/>
        <v>0</v>
      </c>
      <c r="R519" s="61"/>
      <c r="S519" s="1" t="s">
        <v>838</v>
      </c>
    </row>
    <row r="520" spans="1:19" x14ac:dyDescent="0.35">
      <c r="A520" s="2" t="s">
        <v>656</v>
      </c>
      <c r="B520" s="26">
        <v>8470730</v>
      </c>
      <c r="C520" s="3" t="s">
        <v>454</v>
      </c>
      <c r="D520" s="27">
        <v>492610</v>
      </c>
      <c r="E520" s="3" t="s">
        <v>687</v>
      </c>
      <c r="F520" s="3" t="s">
        <v>696</v>
      </c>
      <c r="G520" s="4">
        <v>1135112</v>
      </c>
      <c r="H520" s="5">
        <v>0</v>
      </c>
      <c r="I520" s="6"/>
      <c r="J520" s="7"/>
      <c r="K520" s="8"/>
      <c r="L520" s="9">
        <v>0</v>
      </c>
      <c r="M520" s="10"/>
      <c r="N520" s="10"/>
      <c r="O520" s="10"/>
      <c r="P520" s="61"/>
      <c r="Q520" s="4">
        <f t="shared" si="18"/>
        <v>0</v>
      </c>
      <c r="R520" s="61"/>
      <c r="S520" s="1" t="s">
        <v>838</v>
      </c>
    </row>
    <row r="521" spans="1:19" x14ac:dyDescent="0.35">
      <c r="A521" s="98" t="s">
        <v>656</v>
      </c>
      <c r="B521" s="36">
        <v>8470810</v>
      </c>
      <c r="C521" s="37" t="s">
        <v>464</v>
      </c>
      <c r="D521" s="38">
        <v>492310</v>
      </c>
      <c r="E521" s="37" t="s">
        <v>660</v>
      </c>
      <c r="F521" s="37" t="s">
        <v>697</v>
      </c>
      <c r="G521" s="39">
        <v>2800802</v>
      </c>
      <c r="H521" s="40">
        <v>175000</v>
      </c>
      <c r="I521" s="115">
        <v>162000</v>
      </c>
      <c r="J521" s="42">
        <v>10335</v>
      </c>
      <c r="K521" s="40">
        <v>0</v>
      </c>
      <c r="L521" s="43">
        <v>2665</v>
      </c>
      <c r="M521" s="44"/>
      <c r="N521" s="44"/>
      <c r="O521" s="44"/>
      <c r="P521" s="67"/>
      <c r="Q521" s="39">
        <f t="shared" si="18"/>
        <v>2665</v>
      </c>
      <c r="R521" s="67" t="s">
        <v>802</v>
      </c>
      <c r="S521" s="1" t="s">
        <v>722</v>
      </c>
    </row>
    <row r="522" spans="1:19" x14ac:dyDescent="0.35">
      <c r="A522" s="98" t="s">
        <v>656</v>
      </c>
      <c r="B522" s="36">
        <v>8470810</v>
      </c>
      <c r="C522" s="37" t="s">
        <v>464</v>
      </c>
      <c r="D522" s="38">
        <v>492352</v>
      </c>
      <c r="E522" s="37" t="s">
        <v>698</v>
      </c>
      <c r="F522" s="37" t="s">
        <v>699</v>
      </c>
      <c r="G522" s="39">
        <v>0</v>
      </c>
      <c r="H522" s="40">
        <v>2016302</v>
      </c>
      <c r="I522" s="114"/>
      <c r="J522" s="42">
        <v>9.4587448984384498E-11</v>
      </c>
      <c r="K522" s="40">
        <v>1999372.61</v>
      </c>
      <c r="L522" s="43">
        <v>16929.389999999901</v>
      </c>
      <c r="M522" s="44"/>
      <c r="N522" s="44"/>
      <c r="O522" s="44"/>
      <c r="P522" s="67"/>
      <c r="Q522" s="39">
        <f t="shared" si="18"/>
        <v>16929.389999999901</v>
      </c>
      <c r="R522" s="67" t="s">
        <v>802</v>
      </c>
      <c r="S522" s="1" t="s">
        <v>722</v>
      </c>
    </row>
    <row r="523" spans="1:19" x14ac:dyDescent="0.35">
      <c r="A523" s="98" t="s">
        <v>656</v>
      </c>
      <c r="B523" s="36">
        <v>8470810</v>
      </c>
      <c r="C523" s="37" t="s">
        <v>464</v>
      </c>
      <c r="D523" s="38">
        <v>492354</v>
      </c>
      <c r="E523" s="37" t="s">
        <v>700</v>
      </c>
      <c r="F523" s="37" t="s">
        <v>701</v>
      </c>
      <c r="G523" s="39">
        <v>0</v>
      </c>
      <c r="H523" s="40">
        <v>321500</v>
      </c>
      <c r="I523" s="114"/>
      <c r="J523" s="42">
        <v>0</v>
      </c>
      <c r="K523" s="40">
        <v>321320</v>
      </c>
      <c r="L523" s="43">
        <v>180</v>
      </c>
      <c r="M523" s="44"/>
      <c r="N523" s="44"/>
      <c r="O523" s="44"/>
      <c r="P523" s="67"/>
      <c r="Q523" s="39">
        <f t="shared" si="18"/>
        <v>180</v>
      </c>
      <c r="R523" s="67" t="s">
        <v>802</v>
      </c>
      <c r="S523" s="1" t="s">
        <v>722</v>
      </c>
    </row>
    <row r="524" spans="1:19" ht="29" x14ac:dyDescent="0.35">
      <c r="A524" s="98" t="s">
        <v>656</v>
      </c>
      <c r="B524" s="36">
        <v>8470810</v>
      </c>
      <c r="C524" s="37" t="s">
        <v>464</v>
      </c>
      <c r="D524" s="38">
        <v>492356</v>
      </c>
      <c r="E524" s="37" t="s">
        <v>702</v>
      </c>
      <c r="F524" s="37" t="s">
        <v>703</v>
      </c>
      <c r="G524" s="39">
        <v>0</v>
      </c>
      <c r="H524" s="40">
        <v>650000</v>
      </c>
      <c r="I524" s="115">
        <v>84728</v>
      </c>
      <c r="J524" s="42">
        <v>0</v>
      </c>
      <c r="K524" s="40">
        <v>499108</v>
      </c>
      <c r="L524" s="43">
        <v>66164</v>
      </c>
      <c r="M524" s="44"/>
      <c r="N524" s="44"/>
      <c r="O524" s="44"/>
      <c r="P524" s="67"/>
      <c r="Q524" s="39">
        <f t="shared" si="18"/>
        <v>66164</v>
      </c>
      <c r="R524" s="110" t="s">
        <v>806</v>
      </c>
      <c r="S524" s="1" t="s">
        <v>722</v>
      </c>
    </row>
    <row r="525" spans="1:19" x14ac:dyDescent="0.35">
      <c r="A525" s="98" t="s">
        <v>656</v>
      </c>
      <c r="B525" s="36">
        <v>8470810</v>
      </c>
      <c r="C525" s="37" t="s">
        <v>464</v>
      </c>
      <c r="D525" s="38">
        <v>495110</v>
      </c>
      <c r="E525" s="37" t="s">
        <v>693</v>
      </c>
      <c r="F525" s="37" t="s">
        <v>704</v>
      </c>
      <c r="G525" s="39">
        <v>646670</v>
      </c>
      <c r="H525" s="40">
        <v>0</v>
      </c>
      <c r="I525" s="114"/>
      <c r="J525" s="45"/>
      <c r="K525" s="46"/>
      <c r="L525" s="43">
        <v>0</v>
      </c>
      <c r="M525" s="44"/>
      <c r="N525" s="44"/>
      <c r="O525" s="44"/>
      <c r="P525" s="67"/>
      <c r="Q525" s="39">
        <f t="shared" si="18"/>
        <v>0</v>
      </c>
      <c r="R525" s="67"/>
      <c r="S525" s="1" t="s">
        <v>722</v>
      </c>
    </row>
    <row r="526" spans="1:19" x14ac:dyDescent="0.35">
      <c r="A526" s="98" t="s">
        <v>656</v>
      </c>
      <c r="B526" s="36">
        <v>8470810</v>
      </c>
      <c r="C526" s="37" t="s">
        <v>464</v>
      </c>
      <c r="D526" s="38">
        <v>495113</v>
      </c>
      <c r="E526" s="37" t="s">
        <v>658</v>
      </c>
      <c r="F526" s="37" t="s">
        <v>705</v>
      </c>
      <c r="G526" s="39">
        <v>0</v>
      </c>
      <c r="H526" s="40">
        <v>104670</v>
      </c>
      <c r="I526" s="114"/>
      <c r="J526" s="42">
        <v>97737.21</v>
      </c>
      <c r="K526" s="46"/>
      <c r="L526" s="43">
        <v>6932.78999999999</v>
      </c>
      <c r="M526" s="44"/>
      <c r="N526" s="44"/>
      <c r="O526" s="44"/>
      <c r="P526" s="67"/>
      <c r="Q526" s="39">
        <f t="shared" si="18"/>
        <v>6932.78999999999</v>
      </c>
      <c r="R526" s="67" t="s">
        <v>802</v>
      </c>
      <c r="S526" s="1" t="s">
        <v>722</v>
      </c>
    </row>
    <row r="527" spans="1:19" x14ac:dyDescent="0.35">
      <c r="A527" s="98" t="s">
        <v>656</v>
      </c>
      <c r="B527" s="99">
        <v>8471110</v>
      </c>
      <c r="C527" s="100" t="s">
        <v>493</v>
      </c>
      <c r="D527" s="101">
        <v>492316</v>
      </c>
      <c r="E527" s="100" t="s">
        <v>132</v>
      </c>
      <c r="F527" s="100" t="s">
        <v>706</v>
      </c>
      <c r="G527" s="102">
        <v>2998678</v>
      </c>
      <c r="H527" s="103">
        <v>2998678</v>
      </c>
      <c r="I527" s="104">
        <v>2998678.09</v>
      </c>
      <c r="J527" s="105"/>
      <c r="K527" s="103">
        <v>-3750</v>
      </c>
      <c r="L527" s="107">
        <v>3749.9100000001499</v>
      </c>
      <c r="M527" s="44"/>
      <c r="N527" s="44"/>
      <c r="O527" s="44"/>
      <c r="P527" s="67"/>
      <c r="Q527" s="39">
        <f t="shared" si="18"/>
        <v>3749.9100000001499</v>
      </c>
      <c r="R527" s="110" t="s">
        <v>835</v>
      </c>
      <c r="S527" s="1" t="s">
        <v>722</v>
      </c>
    </row>
    <row r="528" spans="1:19" x14ac:dyDescent="0.35">
      <c r="A528" s="98" t="s">
        <v>656</v>
      </c>
      <c r="B528" s="99">
        <v>8471140</v>
      </c>
      <c r="C528" s="100" t="s">
        <v>518</v>
      </c>
      <c r="D528" s="101">
        <v>492316</v>
      </c>
      <c r="E528" s="100" t="s">
        <v>132</v>
      </c>
      <c r="F528" s="100" t="s">
        <v>707</v>
      </c>
      <c r="G528" s="102">
        <v>358538</v>
      </c>
      <c r="H528" s="103">
        <v>358538</v>
      </c>
      <c r="I528" s="104">
        <v>353642.9</v>
      </c>
      <c r="J528" s="109">
        <v>0</v>
      </c>
      <c r="K528" s="103">
        <v>-1.45519152283669E-11</v>
      </c>
      <c r="L528" s="107">
        <v>4895.0999999999804</v>
      </c>
      <c r="M528" s="44"/>
      <c r="N528" s="44"/>
      <c r="O528" s="44"/>
      <c r="P528" s="67"/>
      <c r="Q528" s="39">
        <f t="shared" si="18"/>
        <v>4895.0999999999804</v>
      </c>
      <c r="R528" s="110"/>
      <c r="S528" s="1" t="s">
        <v>722</v>
      </c>
    </row>
    <row r="529" spans="1:19" x14ac:dyDescent="0.35">
      <c r="A529" s="98" t="s">
        <v>656</v>
      </c>
      <c r="B529" s="99">
        <v>8471160</v>
      </c>
      <c r="C529" s="100" t="s">
        <v>529</v>
      </c>
      <c r="D529" s="101">
        <v>492200</v>
      </c>
      <c r="E529" s="100" t="s">
        <v>682</v>
      </c>
      <c r="F529" s="100" t="s">
        <v>708</v>
      </c>
      <c r="G529" s="102">
        <v>1304891</v>
      </c>
      <c r="H529" s="103">
        <v>1304891</v>
      </c>
      <c r="I529" s="104">
        <v>1176684.6299999999</v>
      </c>
      <c r="J529" s="105"/>
      <c r="K529" s="103">
        <v>128205.87</v>
      </c>
      <c r="L529" s="107">
        <v>0.50000000011641499</v>
      </c>
      <c r="M529" s="44"/>
      <c r="N529" s="44"/>
      <c r="O529" s="44"/>
      <c r="P529" s="67"/>
      <c r="Q529" s="39">
        <f t="shared" si="18"/>
        <v>0.50000000011641499</v>
      </c>
      <c r="R529" s="110"/>
      <c r="S529" s="1" t="s">
        <v>722</v>
      </c>
    </row>
    <row r="530" spans="1:19" ht="145" x14ac:dyDescent="0.35">
      <c r="A530" s="98" t="s">
        <v>656</v>
      </c>
      <c r="B530" s="99">
        <v>8471160</v>
      </c>
      <c r="C530" s="100" t="s">
        <v>529</v>
      </c>
      <c r="D530" s="101">
        <v>492316</v>
      </c>
      <c r="E530" s="100" t="s">
        <v>132</v>
      </c>
      <c r="F530" s="100" t="s">
        <v>709</v>
      </c>
      <c r="G530" s="102">
        <v>15928069</v>
      </c>
      <c r="H530" s="103">
        <v>16096069</v>
      </c>
      <c r="I530" s="104">
        <v>3807722.48</v>
      </c>
      <c r="J530" s="109">
        <v>10861838.17</v>
      </c>
      <c r="K530" s="103">
        <v>1359075.17</v>
      </c>
      <c r="L530" s="107">
        <v>67433.179999999702</v>
      </c>
      <c r="M530" s="44">
        <v>60000</v>
      </c>
      <c r="N530" s="44">
        <v>0</v>
      </c>
      <c r="O530" s="44">
        <v>0</v>
      </c>
      <c r="P530" s="110" t="s">
        <v>834</v>
      </c>
      <c r="Q530" s="39">
        <f t="shared" si="18"/>
        <v>7433.179999999702</v>
      </c>
      <c r="R530" s="110" t="s">
        <v>836</v>
      </c>
      <c r="S530" s="1" t="s">
        <v>722</v>
      </c>
    </row>
    <row r="531" spans="1:19" ht="43.5" x14ac:dyDescent="0.35">
      <c r="A531" s="98" t="s">
        <v>656</v>
      </c>
      <c r="B531" s="99">
        <v>8471170</v>
      </c>
      <c r="C531" s="100" t="s">
        <v>536</v>
      </c>
      <c r="D531" s="101">
        <v>492316</v>
      </c>
      <c r="E531" s="100" t="s">
        <v>132</v>
      </c>
      <c r="F531" s="100" t="s">
        <v>710</v>
      </c>
      <c r="G531" s="102">
        <v>2751786</v>
      </c>
      <c r="H531" s="103">
        <v>1118618</v>
      </c>
      <c r="I531" s="108"/>
      <c r="J531" s="105"/>
      <c r="K531" s="106"/>
      <c r="L531" s="107">
        <v>1118618</v>
      </c>
      <c r="M531" s="44"/>
      <c r="N531" s="44"/>
      <c r="O531" s="44"/>
      <c r="P531" s="67"/>
      <c r="Q531" s="39">
        <f t="shared" si="18"/>
        <v>1118618</v>
      </c>
      <c r="R531" s="110" t="s">
        <v>837</v>
      </c>
      <c r="S531" s="1" t="s">
        <v>722</v>
      </c>
    </row>
    <row r="532" spans="1:19" x14ac:dyDescent="0.35">
      <c r="A532" s="98" t="s">
        <v>656</v>
      </c>
      <c r="B532" s="99">
        <v>8471170</v>
      </c>
      <c r="C532" s="100" t="s">
        <v>536</v>
      </c>
      <c r="D532" s="101">
        <v>495110</v>
      </c>
      <c r="E532" s="100" t="s">
        <v>693</v>
      </c>
      <c r="F532" s="100" t="s">
        <v>711</v>
      </c>
      <c r="G532" s="102">
        <v>833665</v>
      </c>
      <c r="H532" s="103">
        <v>0</v>
      </c>
      <c r="I532" s="104">
        <v>0</v>
      </c>
      <c r="J532" s="105"/>
      <c r="K532" s="103">
        <v>0</v>
      </c>
      <c r="L532" s="107">
        <v>0</v>
      </c>
      <c r="M532" s="44"/>
      <c r="N532" s="44"/>
      <c r="O532" s="44"/>
      <c r="P532" s="67"/>
      <c r="Q532" s="39">
        <f t="shared" si="18"/>
        <v>0</v>
      </c>
      <c r="R532" s="67"/>
      <c r="S532" s="1" t="s">
        <v>722</v>
      </c>
    </row>
    <row r="533" spans="1:19" x14ac:dyDescent="0.35">
      <c r="A533" s="98" t="s">
        <v>656</v>
      </c>
      <c r="B533" s="99">
        <v>8471170</v>
      </c>
      <c r="C533" s="100" t="s">
        <v>536</v>
      </c>
      <c r="D533" s="101">
        <v>495113</v>
      </c>
      <c r="E533" s="100" t="s">
        <v>658</v>
      </c>
      <c r="F533" s="100" t="s">
        <v>712</v>
      </c>
      <c r="G533" s="102">
        <v>0</v>
      </c>
      <c r="H533" s="103">
        <v>138509</v>
      </c>
      <c r="I533" s="104">
        <v>138508.82999999999</v>
      </c>
      <c r="J533" s="105"/>
      <c r="K533" s="106"/>
      <c r="L533" s="107">
        <v>0.16999999998370199</v>
      </c>
      <c r="M533" s="44"/>
      <c r="N533" s="44"/>
      <c r="O533" s="44"/>
      <c r="P533" s="67"/>
      <c r="Q533" s="39">
        <f t="shared" si="18"/>
        <v>0.16999999998370199</v>
      </c>
      <c r="R533" s="67"/>
      <c r="S533" s="1" t="s">
        <v>722</v>
      </c>
    </row>
    <row r="534" spans="1:19" x14ac:dyDescent="0.35">
      <c r="A534" s="98" t="s">
        <v>656</v>
      </c>
      <c r="B534" s="36">
        <v>8471280</v>
      </c>
      <c r="C534" s="37" t="s">
        <v>603</v>
      </c>
      <c r="D534" s="38">
        <v>492316</v>
      </c>
      <c r="E534" s="37" t="s">
        <v>132</v>
      </c>
      <c r="F534" s="37" t="s">
        <v>713</v>
      </c>
      <c r="G534" s="39">
        <v>6879</v>
      </c>
      <c r="H534" s="40">
        <v>6879</v>
      </c>
      <c r="I534" s="47"/>
      <c r="J534" s="45"/>
      <c r="K534" s="46"/>
      <c r="L534" s="43">
        <v>6879</v>
      </c>
      <c r="M534" s="44"/>
      <c r="N534" s="44"/>
      <c r="O534" s="44"/>
      <c r="P534" s="67"/>
      <c r="Q534" s="39">
        <f t="shared" si="18"/>
        <v>6879</v>
      </c>
      <c r="R534" s="67"/>
      <c r="S534" s="1" t="s">
        <v>722</v>
      </c>
    </row>
    <row r="535" spans="1:19" ht="29" x14ac:dyDescent="0.35">
      <c r="A535" s="98" t="s">
        <v>656</v>
      </c>
      <c r="B535" s="36">
        <v>8471305</v>
      </c>
      <c r="C535" s="37" t="s">
        <v>616</v>
      </c>
      <c r="D535" s="38">
        <v>492310</v>
      </c>
      <c r="E535" s="37" t="s">
        <v>660</v>
      </c>
      <c r="F535" s="37" t="s">
        <v>714</v>
      </c>
      <c r="G535" s="39">
        <v>466679</v>
      </c>
      <c r="H535" s="40">
        <v>913656</v>
      </c>
      <c r="I535" s="41">
        <v>810672</v>
      </c>
      <c r="J535" s="42">
        <v>0</v>
      </c>
      <c r="K535" s="40">
        <v>13412</v>
      </c>
      <c r="L535" s="43">
        <v>89572</v>
      </c>
      <c r="M535" s="44"/>
      <c r="N535" s="44"/>
      <c r="O535" s="44"/>
      <c r="P535" s="67"/>
      <c r="Q535" s="39">
        <f t="shared" si="18"/>
        <v>89572</v>
      </c>
      <c r="R535" s="110" t="s">
        <v>785</v>
      </c>
      <c r="S535" s="1" t="s">
        <v>722</v>
      </c>
    </row>
    <row r="536" spans="1:19" ht="29" x14ac:dyDescent="0.35">
      <c r="A536" s="98" t="s">
        <v>656</v>
      </c>
      <c r="B536" s="36">
        <v>8471305</v>
      </c>
      <c r="C536" s="37" t="s">
        <v>616</v>
      </c>
      <c r="D536" s="38">
        <v>492316</v>
      </c>
      <c r="E536" s="37" t="s">
        <v>132</v>
      </c>
      <c r="F536" s="37" t="s">
        <v>715</v>
      </c>
      <c r="G536" s="39">
        <v>17788291</v>
      </c>
      <c r="H536" s="40">
        <v>17285244</v>
      </c>
      <c r="I536" s="41">
        <v>10910225.220000001</v>
      </c>
      <c r="J536" s="42">
        <v>414200</v>
      </c>
      <c r="K536" s="40">
        <v>5948511.2199999997</v>
      </c>
      <c r="L536" s="43">
        <v>12307.560000002401</v>
      </c>
      <c r="M536" s="44"/>
      <c r="N536" s="44"/>
      <c r="O536" s="44"/>
      <c r="P536" s="67"/>
      <c r="Q536" s="39">
        <f t="shared" si="18"/>
        <v>12307.560000002401</v>
      </c>
      <c r="R536" s="110" t="s">
        <v>785</v>
      </c>
      <c r="S536" s="1" t="s">
        <v>722</v>
      </c>
    </row>
    <row r="537" spans="1:19" ht="29" x14ac:dyDescent="0.35">
      <c r="A537" s="98" t="s">
        <v>656</v>
      </c>
      <c r="B537" s="36">
        <v>8471305</v>
      </c>
      <c r="C537" s="37" t="s">
        <v>616</v>
      </c>
      <c r="D537" s="38">
        <v>492610</v>
      </c>
      <c r="E537" s="37" t="s">
        <v>687</v>
      </c>
      <c r="F537" s="37" t="s">
        <v>716</v>
      </c>
      <c r="G537" s="39">
        <v>19606</v>
      </c>
      <c r="H537" s="40">
        <v>19606</v>
      </c>
      <c r="I537" s="41">
        <v>728.67</v>
      </c>
      <c r="J537" s="45"/>
      <c r="K537" s="46"/>
      <c r="L537" s="43">
        <v>18877.330000000002</v>
      </c>
      <c r="M537" s="44"/>
      <c r="N537" s="44"/>
      <c r="O537" s="44"/>
      <c r="P537" s="67"/>
      <c r="Q537" s="39">
        <f t="shared" si="18"/>
        <v>18877.330000000002</v>
      </c>
      <c r="R537" s="110" t="s">
        <v>785</v>
      </c>
      <c r="S537" s="1" t="s">
        <v>722</v>
      </c>
    </row>
    <row r="538" spans="1:19" x14ac:dyDescent="0.35">
      <c r="A538" s="2" t="s">
        <v>656</v>
      </c>
      <c r="B538" s="26">
        <v>8471305</v>
      </c>
      <c r="C538" s="3" t="s">
        <v>616</v>
      </c>
      <c r="D538" s="27">
        <v>495140</v>
      </c>
      <c r="E538" s="3" t="s">
        <v>666</v>
      </c>
      <c r="F538" s="3" t="s">
        <v>717</v>
      </c>
      <c r="G538" s="4">
        <v>171987</v>
      </c>
      <c r="H538" s="5">
        <v>0</v>
      </c>
      <c r="I538" s="6"/>
      <c r="J538" s="7"/>
      <c r="K538" s="8"/>
      <c r="L538" s="9">
        <v>0</v>
      </c>
      <c r="M538" s="10"/>
      <c r="N538" s="10"/>
      <c r="O538" s="10"/>
      <c r="P538" s="61"/>
      <c r="Q538" s="4">
        <f t="shared" si="18"/>
        <v>0</v>
      </c>
      <c r="R538" s="61"/>
      <c r="S538" s="1" t="s">
        <v>722</v>
      </c>
    </row>
    <row r="539" spans="1:19" x14ac:dyDescent="0.35">
      <c r="A539" s="13" t="s">
        <v>718</v>
      </c>
      <c r="B539" s="14"/>
      <c r="C539" s="15"/>
      <c r="D539" s="15"/>
      <c r="E539" s="15"/>
      <c r="F539" s="15"/>
      <c r="G539" s="16">
        <v>110301000</v>
      </c>
      <c r="H539" s="17">
        <v>110301000</v>
      </c>
      <c r="I539" s="18">
        <v>50359218.649999999</v>
      </c>
      <c r="J539" s="19">
        <v>21828883.390000001</v>
      </c>
      <c r="K539" s="17">
        <v>33125415.850000001</v>
      </c>
      <c r="L539" s="20">
        <v>4987482.1099999798</v>
      </c>
      <c r="M539" s="21"/>
      <c r="N539" s="21"/>
      <c r="O539" s="21"/>
      <c r="P539" s="64"/>
      <c r="Q539" s="4">
        <f t="shared" si="18"/>
        <v>4987482.1099999798</v>
      </c>
      <c r="R539" s="64"/>
    </row>
    <row r="540" spans="1:19" x14ac:dyDescent="0.35">
      <c r="A540" s="22" t="s">
        <v>719</v>
      </c>
      <c r="B540" s="23"/>
      <c r="C540" s="23"/>
      <c r="D540" s="23"/>
      <c r="E540" s="23"/>
      <c r="F540" s="23"/>
      <c r="G540" s="16">
        <v>703256000</v>
      </c>
      <c r="H540" s="17">
        <v>690151000</v>
      </c>
      <c r="I540" s="18">
        <v>372034493.260001</v>
      </c>
      <c r="J540" s="19">
        <v>49361914.850000001</v>
      </c>
      <c r="K540" s="17">
        <v>72938889.340000004</v>
      </c>
      <c r="L540" s="20">
        <v>195693991.25999901</v>
      </c>
      <c r="M540" s="21"/>
      <c r="N540" s="21"/>
      <c r="O540" s="21"/>
      <c r="P540" s="64"/>
      <c r="Q540" s="4">
        <f t="shared" si="18"/>
        <v>195693991.25999901</v>
      </c>
      <c r="R540" s="64"/>
    </row>
    <row r="541" spans="1:19" x14ac:dyDescent="0.35">
      <c r="A541" s="24" t="s">
        <v>720</v>
      </c>
      <c r="B541" s="24"/>
      <c r="C541" s="24"/>
      <c r="D541" s="24"/>
      <c r="E541" s="24"/>
      <c r="F541" s="24"/>
      <c r="G541" s="24"/>
      <c r="H541" s="24"/>
      <c r="I541" s="24"/>
      <c r="J541" s="24"/>
      <c r="K541" s="24"/>
      <c r="L541" s="24"/>
      <c r="M541" s="24"/>
      <c r="N541" s="24"/>
      <c r="O541" s="24"/>
      <c r="P541" s="24"/>
      <c r="Q541" s="24"/>
      <c r="R541" s="24"/>
    </row>
    <row r="542" spans="1:19" x14ac:dyDescent="0.35">
      <c r="A542" s="25" t="s">
        <v>0</v>
      </c>
    </row>
  </sheetData>
  <autoFilter ref="A1:S542" xr:uid="{00000000-0009-0000-0000-000010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Capex 06-12-2022</vt:lpstr>
      <vt:lpstr>Opex &amp; Capex summary - +</vt:lpstr>
      <vt:lpstr>PPT</vt:lpstr>
      <vt:lpstr>Sheet2</vt:lpstr>
      <vt:lpstr>Sheet3</vt:lpstr>
      <vt:lpstr>Ch-02 SVP PPT</vt:lpstr>
      <vt:lpstr>Surplus</vt:lpstr>
      <vt:lpstr>Sheet1</vt:lpstr>
      <vt:lpstr>Q3 OPEX_Detail</vt:lpstr>
      <vt:lpstr>Ch-03 SVP PPT</vt:lpstr>
      <vt:lpstr>Q3 CAPEX_Detail</vt:lpstr>
      <vt:lpstr>CAPEX funding KUST and KUX</vt:lpstr>
      <vt:lpstr>White Crescent </vt:lpstr>
      <vt:lpstr>Q3 Opex Sep-22 Account Leve - +</vt:lpstr>
      <vt:lpstr>Q3 Capex Sep-22</vt:lpstr>
      <vt:lpstr>Q3 Opex Sep-22 Account Level</vt:lpstr>
      <vt:lpstr>Q3 Opex Nov -22</vt:lpstr>
      <vt:lpstr>Q3 Capex. Nov-22</vt:lpstr>
      <vt:lpstr>Q3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2022-10-21T13:05:02Z</dcterms:created>
  <dcterms:modified xsi:type="dcterms:W3CDTF">2023-10-05T09:30:51Z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