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defaultThemeVersion="124226"/>
  <xr:revisionPtr revIDLastSave="2" documentId="11_1B61361F956A9ADA7DBD2051FC71ECC021210E1A" xr6:coauthVersionLast="47" xr6:coauthVersionMax="47" xr10:uidLastSave="{D549C469-7C01-41BE-9079-5E50F6D0C625}"/>
  <bookViews>
    <workbookView xWindow="-110" yWindow="-110" windowWidth="19420" windowHeight="10420" tabRatio="871" xr2:uid="{00000000-000D-0000-FFFF-FFFF00000000}"/>
  </bookViews>
  <sheets>
    <sheet name="opex summary" sheetId="3" r:id="rId1"/>
    <sheet name="XX Sheet1" sheetId="11" r:id="rId2"/>
    <sheet name="Opex no feeback" sheetId="12" r:id="rId3"/>
    <sheet name="Opex - No Feedback Fin Comments" sheetId="13" r:id="rId4"/>
    <sheet name="Ch2 Consolidation Q2 opex" sheetId="1" r:id="rId5"/>
    <sheet name="Ch3 Consolidation Q2 capex" sheetId="5" r:id="rId6"/>
  </sheets>
  <definedNames>
    <definedName name="_xlnm._FilterDatabase" localSheetId="4" hidden="1">'Ch2 Consolidation Q2 opex'!$A$3:$T$478</definedName>
    <definedName name="_xlnm._FilterDatabase" localSheetId="5" hidden="1">'Ch3 Consolidation Q2 capex'!$A$3:$Q$55</definedName>
  </definedNames>
  <calcPr calcId="191029"/>
  <pivotCaches>
    <pivotCache cacheId="4"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1" l="1"/>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11" i="13"/>
  <c r="G3" i="13"/>
  <c r="G4" i="13"/>
  <c r="G5" i="13"/>
  <c r="G11" i="13"/>
  <c r="G12" i="13"/>
  <c r="G13" i="13"/>
  <c r="G19" i="13"/>
  <c r="G20" i="13"/>
  <c r="G21" i="13"/>
  <c r="G27" i="13"/>
  <c r="G28" i="13"/>
  <c r="G29" i="13"/>
  <c r="G35" i="13"/>
  <c r="G36" i="13"/>
  <c r="G37" i="13"/>
  <c r="G43" i="13"/>
  <c r="G44" i="13"/>
  <c r="G45" i="13"/>
  <c r="G51" i="13"/>
  <c r="G52" i="13"/>
  <c r="G53" i="13"/>
  <c r="G59" i="13"/>
  <c r="G60" i="13"/>
  <c r="G61" i="13"/>
  <c r="G67" i="13"/>
  <c r="G68" i="13"/>
  <c r="G69" i="13"/>
  <c r="G75" i="13"/>
  <c r="G76" i="13"/>
  <c r="G77" i="13"/>
  <c r="G83" i="13"/>
  <c r="G84" i="13"/>
  <c r="G85" i="13"/>
  <c r="G91" i="13"/>
  <c r="G92" i="13"/>
  <c r="G93" i="13"/>
  <c r="G99" i="13"/>
  <c r="G100" i="13"/>
  <c r="G101" i="13"/>
  <c r="G107" i="13"/>
  <c r="G111" i="13"/>
  <c r="F3" i="13"/>
  <c r="F4" i="13"/>
  <c r="F5" i="13"/>
  <c r="F6" i="13"/>
  <c r="G6" i="13" s="1"/>
  <c r="F7" i="13"/>
  <c r="G7" i="13" s="1"/>
  <c r="F8" i="13"/>
  <c r="G8" i="13" s="1"/>
  <c r="F9" i="13"/>
  <c r="G9" i="13" s="1"/>
  <c r="F10" i="13"/>
  <c r="G10" i="13" s="1"/>
  <c r="F11" i="13"/>
  <c r="F12" i="13"/>
  <c r="F13" i="13"/>
  <c r="F14" i="13"/>
  <c r="G14" i="13" s="1"/>
  <c r="F15" i="13"/>
  <c r="G15" i="13" s="1"/>
  <c r="F16" i="13"/>
  <c r="G16" i="13" s="1"/>
  <c r="F17" i="13"/>
  <c r="G17" i="13" s="1"/>
  <c r="F18" i="13"/>
  <c r="G18" i="13" s="1"/>
  <c r="F19" i="13"/>
  <c r="F20" i="13"/>
  <c r="F21" i="13"/>
  <c r="F22" i="13"/>
  <c r="G22" i="13" s="1"/>
  <c r="F23" i="13"/>
  <c r="G23" i="13" s="1"/>
  <c r="F24" i="13"/>
  <c r="G24" i="13" s="1"/>
  <c r="F25" i="13"/>
  <c r="G25" i="13" s="1"/>
  <c r="F26" i="13"/>
  <c r="G26" i="13" s="1"/>
  <c r="F27" i="13"/>
  <c r="F28" i="13"/>
  <c r="F29" i="13"/>
  <c r="F30" i="13"/>
  <c r="G30" i="13" s="1"/>
  <c r="F31" i="13"/>
  <c r="G31" i="13" s="1"/>
  <c r="F32" i="13"/>
  <c r="G32" i="13" s="1"/>
  <c r="F33" i="13"/>
  <c r="G33" i="13" s="1"/>
  <c r="F34" i="13"/>
  <c r="G34" i="13" s="1"/>
  <c r="F35" i="13"/>
  <c r="F36" i="13"/>
  <c r="F37" i="13"/>
  <c r="F38" i="13"/>
  <c r="G38" i="13" s="1"/>
  <c r="F39" i="13"/>
  <c r="G39" i="13" s="1"/>
  <c r="F40" i="13"/>
  <c r="G40" i="13" s="1"/>
  <c r="F41" i="13"/>
  <c r="G41" i="13" s="1"/>
  <c r="F42" i="13"/>
  <c r="G42" i="13" s="1"/>
  <c r="F43" i="13"/>
  <c r="F44" i="13"/>
  <c r="F45" i="13"/>
  <c r="F46" i="13"/>
  <c r="G46" i="13" s="1"/>
  <c r="F47" i="13"/>
  <c r="G47" i="13" s="1"/>
  <c r="F48" i="13"/>
  <c r="G48" i="13" s="1"/>
  <c r="F49" i="13"/>
  <c r="G49" i="13" s="1"/>
  <c r="F50" i="13"/>
  <c r="G50" i="13" s="1"/>
  <c r="F51" i="13"/>
  <c r="F52" i="13"/>
  <c r="F53" i="13"/>
  <c r="F54" i="13"/>
  <c r="G54" i="13" s="1"/>
  <c r="F55" i="13"/>
  <c r="G55" i="13" s="1"/>
  <c r="F56" i="13"/>
  <c r="G56" i="13" s="1"/>
  <c r="F57" i="13"/>
  <c r="G57" i="13" s="1"/>
  <c r="F58" i="13"/>
  <c r="G58" i="13" s="1"/>
  <c r="F59" i="13"/>
  <c r="F60" i="13"/>
  <c r="F61" i="13"/>
  <c r="F62" i="13"/>
  <c r="G62" i="13" s="1"/>
  <c r="F63" i="13"/>
  <c r="G63" i="13" s="1"/>
  <c r="F64" i="13"/>
  <c r="G64" i="13" s="1"/>
  <c r="F65" i="13"/>
  <c r="G65" i="13" s="1"/>
  <c r="F66" i="13"/>
  <c r="G66" i="13" s="1"/>
  <c r="F67" i="13"/>
  <c r="F68" i="13"/>
  <c r="F69" i="13"/>
  <c r="F70" i="13"/>
  <c r="G70" i="13" s="1"/>
  <c r="F71" i="13"/>
  <c r="G71" i="13" s="1"/>
  <c r="F72" i="13"/>
  <c r="G72" i="13" s="1"/>
  <c r="F73" i="13"/>
  <c r="G73" i="13" s="1"/>
  <c r="F74" i="13"/>
  <c r="G74" i="13" s="1"/>
  <c r="F75" i="13"/>
  <c r="F76" i="13"/>
  <c r="F77" i="13"/>
  <c r="F78" i="13"/>
  <c r="G78" i="13" s="1"/>
  <c r="F79" i="13"/>
  <c r="G79" i="13" s="1"/>
  <c r="F80" i="13"/>
  <c r="G80" i="13" s="1"/>
  <c r="F81" i="13"/>
  <c r="G81" i="13" s="1"/>
  <c r="F82" i="13"/>
  <c r="G82" i="13" s="1"/>
  <c r="F83" i="13"/>
  <c r="F84" i="13"/>
  <c r="F85" i="13"/>
  <c r="F86" i="13"/>
  <c r="G86" i="13" s="1"/>
  <c r="F87" i="13"/>
  <c r="G87" i="13" s="1"/>
  <c r="F88" i="13"/>
  <c r="G88" i="13" s="1"/>
  <c r="F89" i="13"/>
  <c r="G89" i="13" s="1"/>
  <c r="F90" i="13"/>
  <c r="G90" i="13" s="1"/>
  <c r="F91" i="13"/>
  <c r="F92" i="13"/>
  <c r="F93" i="13"/>
  <c r="F94" i="13"/>
  <c r="G94" i="13" s="1"/>
  <c r="F95" i="13"/>
  <c r="G95" i="13" s="1"/>
  <c r="F96" i="13"/>
  <c r="G96" i="13" s="1"/>
  <c r="F97" i="13"/>
  <c r="G97" i="13" s="1"/>
  <c r="F98" i="13"/>
  <c r="G98" i="13" s="1"/>
  <c r="F99" i="13"/>
  <c r="F100" i="13"/>
  <c r="F101" i="13"/>
  <c r="F102" i="13"/>
  <c r="G102" i="13" s="1"/>
  <c r="F103" i="13"/>
  <c r="G103" i="13" s="1"/>
  <c r="F104" i="13"/>
  <c r="G104" i="13" s="1"/>
  <c r="F105" i="13"/>
  <c r="G105" i="13" s="1"/>
  <c r="F106" i="13"/>
  <c r="G106" i="13" s="1"/>
  <c r="F107" i="13"/>
  <c r="F111" i="13"/>
  <c r="F2" i="13"/>
  <c r="G2" i="13" s="1"/>
  <c r="E2" i="13"/>
  <c r="R4" i="1"/>
  <c r="G3" i="11" l="1"/>
  <c r="J3" i="11" s="1"/>
  <c r="O21" i="5" l="1"/>
  <c r="O22" i="5" l="1"/>
  <c r="O52" i="5" l="1"/>
  <c r="O18" i="5"/>
  <c r="O4" i="5"/>
  <c r="O6" i="5"/>
  <c r="O23" i="5"/>
  <c r="O51" i="5"/>
  <c r="O50" i="5"/>
  <c r="O49" i="5"/>
  <c r="O48" i="5"/>
  <c r="O54" i="5"/>
  <c r="O17" i="5"/>
  <c r="O53" i="5"/>
  <c r="O28" i="5"/>
  <c r="O47" i="5"/>
  <c r="O7" i="5"/>
  <c r="O29" i="5"/>
  <c r="O19" i="5"/>
  <c r="O46" i="5"/>
  <c r="O45" i="5"/>
  <c r="O44" i="5"/>
  <c r="O31" i="5"/>
  <c r="O43" i="5"/>
  <c r="O42" i="5"/>
  <c r="O41" i="5"/>
  <c r="O40" i="5"/>
  <c r="O39" i="5"/>
  <c r="O38" i="5"/>
  <c r="O37" i="5"/>
  <c r="O36" i="5"/>
  <c r="O35" i="5"/>
  <c r="O10" i="5"/>
  <c r="O12" i="5"/>
  <c r="O9" i="5"/>
  <c r="O16" i="5"/>
  <c r="O5" i="5"/>
  <c r="O32" i="5"/>
  <c r="O25" i="5"/>
  <c r="O15" i="5"/>
  <c r="O27" i="5"/>
  <c r="O30" i="5"/>
  <c r="O24" i="5"/>
  <c r="O11" i="5"/>
  <c r="O20" i="5"/>
  <c r="O14" i="5"/>
  <c r="O13" i="5"/>
  <c r="O26" i="5"/>
  <c r="O8" i="5"/>
  <c r="O34" i="5"/>
  <c r="O33" i="5"/>
  <c r="N336" i="1" l="1"/>
  <c r="O430" i="1" l="1"/>
  <c r="O56" i="1"/>
  <c r="N56" i="1"/>
  <c r="O55" i="1"/>
  <c r="N55" i="1"/>
  <c r="O54" i="1"/>
  <c r="N54" i="1"/>
  <c r="O52" i="1"/>
  <c r="N52" i="1"/>
  <c r="O51" i="1"/>
  <c r="N51" i="1"/>
  <c r="O49" i="1"/>
  <c r="N49" i="1"/>
  <c r="O48" i="1"/>
  <c r="O47" i="1"/>
  <c r="O46" i="1"/>
  <c r="N46" i="1"/>
  <c r="O45" i="1"/>
  <c r="N45" i="1"/>
  <c r="O44" i="1"/>
  <c r="N44" i="1"/>
  <c r="O42" i="1"/>
  <c r="N42" i="1"/>
  <c r="N383" i="1" l="1"/>
  <c r="N314" i="1" l="1"/>
  <c r="N313" i="1"/>
  <c r="O313" i="1" s="1"/>
  <c r="N312" i="1"/>
  <c r="O312" i="1" s="1"/>
  <c r="O309" i="1"/>
  <c r="N309" i="1"/>
  <c r="R56" i="1" l="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alcChain>
</file>

<file path=xl/sharedStrings.xml><?xml version="1.0" encoding="utf-8"?>
<sst xmlns="http://schemas.openxmlformats.org/spreadsheetml/2006/main" count="5413" uniqueCount="1193">
  <si>
    <t/>
  </si>
  <si>
    <t>Cost Center Code</t>
  </si>
  <si>
    <t>Cost Center Description</t>
  </si>
  <si>
    <t>Account Code</t>
  </si>
  <si>
    <t>Account Description</t>
  </si>
  <si>
    <t>GL Account Combination</t>
  </si>
  <si>
    <t>Budget</t>
  </si>
  <si>
    <t>Actual Amount</t>
  </si>
  <si>
    <t>PR</t>
  </si>
  <si>
    <t>PO</t>
  </si>
  <si>
    <t>Fund Available</t>
  </si>
  <si>
    <t>Utilization Justification</t>
  </si>
  <si>
    <t>8470110</t>
  </si>
  <si>
    <t>KUST - Office of the President</t>
  </si>
  <si>
    <t>420550</t>
  </si>
  <si>
    <t>Academic Advisory Service</t>
  </si>
  <si>
    <t>847.8470110.1.420550.000000.847001.200179</t>
  </si>
  <si>
    <t>420570</t>
  </si>
  <si>
    <t>Academic Collaborative Partnership Services</t>
  </si>
  <si>
    <t>847.8470110.1.420570.000000.847001.200179</t>
  </si>
  <si>
    <t>420900</t>
  </si>
  <si>
    <t>Legal services</t>
  </si>
  <si>
    <t>847.8470110.1.420900.000000.847001.200179</t>
  </si>
  <si>
    <t>421000</t>
  </si>
  <si>
    <t>Management consultancy</t>
  </si>
  <si>
    <t>847.8470110.1.421000.000000.847001.200179</t>
  </si>
  <si>
    <t>421700</t>
  </si>
  <si>
    <t>Standards Certification Services (e.g. ISO)</t>
  </si>
  <si>
    <t>847.8470110.1.421700.000000.847001.200179</t>
  </si>
  <si>
    <t>425510</t>
  </si>
  <si>
    <t>Conferences, seminars and exhibitions and other events: - Local Events</t>
  </si>
  <si>
    <t>847.8470110.1.425510.000000.847001.200179</t>
  </si>
  <si>
    <t>425550</t>
  </si>
  <si>
    <t>Conferences, seminars and exhibitions and other events: - Overseas event</t>
  </si>
  <si>
    <t>847.8470110.1.425550.000000.847001.200179</t>
  </si>
  <si>
    <t>425900</t>
  </si>
  <si>
    <t>Entertainment and hospitality</t>
  </si>
  <si>
    <t>847.8470110.1.425900.000000.847001.200179</t>
  </si>
  <si>
    <t>426610</t>
  </si>
  <si>
    <t>Computer software licenses-Software License Renewal</t>
  </si>
  <si>
    <t>847.8470110.1.426610.000000.847001.200179</t>
  </si>
  <si>
    <t>428090</t>
  </si>
  <si>
    <t>Business Travel - Combined expenses</t>
  </si>
  <si>
    <t>847.8470110.1.428090.000000.847001.200179</t>
  </si>
  <si>
    <t>428400</t>
  </si>
  <si>
    <t>Sponsorship expenses/contributions</t>
  </si>
  <si>
    <t>847.8470110.1.428400.000000.847001.200179</t>
  </si>
  <si>
    <t>428640</t>
  </si>
  <si>
    <t>Events - Awards, prizes &amp; gifts</t>
  </si>
  <si>
    <t>847.8470110.1.428640.000000.847001.200179</t>
  </si>
  <si>
    <t>8470120</t>
  </si>
  <si>
    <t>KUST - Audit</t>
  </si>
  <si>
    <t>420120</t>
  </si>
  <si>
    <t>Internal Audit service</t>
  </si>
  <si>
    <t>847.8470120.1.420120.000000.847001.200179</t>
  </si>
  <si>
    <t>8470130</t>
  </si>
  <si>
    <t>KUST - Institutional Research &amp; Planning</t>
  </si>
  <si>
    <t>847.8470130.1.421000.000000.847001.200179</t>
  </si>
  <si>
    <t>847.8470130.1.426610.000000.847001.200179</t>
  </si>
  <si>
    <t>427710</t>
  </si>
  <si>
    <t>Subscriptions and membership fees: Trade organisations</t>
  </si>
  <si>
    <t>847.8470130.1.427710.000000.847001.200179</t>
  </si>
  <si>
    <t>847.8470130.1.428090.000000.847001.200179</t>
  </si>
  <si>
    <t>8470140</t>
  </si>
  <si>
    <t>KUST - Communication</t>
  </si>
  <si>
    <t>425100</t>
  </si>
  <si>
    <t>Advertising Services (General)</t>
  </si>
  <si>
    <t>847.8470140.1.425100.000000.847001.200179</t>
  </si>
  <si>
    <t>847.8470140.1.425510.000000.847001.200179</t>
  </si>
  <si>
    <t>847.8470140.1.425550.000000.847001.200179</t>
  </si>
  <si>
    <t>425763</t>
  </si>
  <si>
    <t>Student Project Expenses</t>
  </si>
  <si>
    <t>847.8470140.1.425763.000000.847050.200179</t>
  </si>
  <si>
    <t>427100</t>
  </si>
  <si>
    <t>Public relations</t>
  </si>
  <si>
    <t>847.8470140.1.427100.000000.847001.200179</t>
  </si>
  <si>
    <t>427200</t>
  </si>
  <si>
    <t>Printing and publishing</t>
  </si>
  <si>
    <t>847.8470140.1.427200.000000.847001.200179</t>
  </si>
  <si>
    <t>847.8470140.1.428640.000000.847001.200179</t>
  </si>
  <si>
    <t>435310</t>
  </si>
  <si>
    <t>Newspapers, magazines, journals, etc</t>
  </si>
  <si>
    <t>847.8470140.1.435310.000000.847001.200179</t>
  </si>
  <si>
    <t>435519</t>
  </si>
  <si>
    <t>Photography - Consumable materials /Tools</t>
  </si>
  <si>
    <t>847.8470140.1.435519.000000.847001.200179</t>
  </si>
  <si>
    <t>8470150</t>
  </si>
  <si>
    <t>KUST - General Counsel</t>
  </si>
  <si>
    <t>847.8470150.1.420900.000000.847001.200179</t>
  </si>
  <si>
    <t>8470220</t>
  </si>
  <si>
    <t>KUST - Office of the Provost</t>
  </si>
  <si>
    <t>847.8470220.1.420550.000000.847001.200179</t>
  </si>
  <si>
    <t>847.8470220.1.420570.000000.847001.200179</t>
  </si>
  <si>
    <t>847.8470220.1.421700.000000.847001.200179</t>
  </si>
  <si>
    <t>847.8470220.1.425510.000000.847001.200179</t>
  </si>
  <si>
    <t>847.8470220.1.425550.000000.847001.200179</t>
  </si>
  <si>
    <t>425740</t>
  </si>
  <si>
    <t>Scholarships &amp; other financial aid</t>
  </si>
  <si>
    <t>847.8470220.1.425740.000000.847001.200179</t>
  </si>
  <si>
    <t>847.8470220.1.425900.000000.847001.200179</t>
  </si>
  <si>
    <t>847.8470220.1.426610.000000.847001.200179</t>
  </si>
  <si>
    <t>847.8470220.1.428090.000000.847001.200179</t>
  </si>
  <si>
    <t>847.8470220.1.428640.000000.847001.200179</t>
  </si>
  <si>
    <t>432205</t>
  </si>
  <si>
    <t>Computers and peripherals-End user and Infrastructure components maintenance and support</t>
  </si>
  <si>
    <t>847.8470220.1.432205.000000.847001.200179</t>
  </si>
  <si>
    <t>8470230</t>
  </si>
  <si>
    <t>KUST - Graduate Studies</t>
  </si>
  <si>
    <t>847.8470230.1.420550.000000.847001.200179</t>
  </si>
  <si>
    <t>847.8470230.1.425100.000000.847001.200179</t>
  </si>
  <si>
    <t>847.8470230.1.425510.000000.847001.200179</t>
  </si>
  <si>
    <t>847.8470230.1.425550.000000.847001.200179</t>
  </si>
  <si>
    <t>425743</t>
  </si>
  <si>
    <t>Graduation rewards</t>
  </si>
  <si>
    <t>847.8470230.1.425743.000000.847001.200179</t>
  </si>
  <si>
    <t>425744</t>
  </si>
  <si>
    <t>Student medical insurance</t>
  </si>
  <si>
    <t>847.8470230.1.425744.000000.847001.200179</t>
  </si>
  <si>
    <t>425745</t>
  </si>
  <si>
    <t>Student relocation &amp; travel exps</t>
  </si>
  <si>
    <t>847.8470230.1.425745.000000.847001.200179</t>
  </si>
  <si>
    <t>425749</t>
  </si>
  <si>
    <t>Postgraduate Student Salaries</t>
  </si>
  <si>
    <t>847.8470230.1.425749.000000.847001.200179</t>
  </si>
  <si>
    <t>425761</t>
  </si>
  <si>
    <t>Student Field trips</t>
  </si>
  <si>
    <t>847.8470230.1.425761.000000.847001.200179</t>
  </si>
  <si>
    <t>425762</t>
  </si>
  <si>
    <t>Student Internship</t>
  </si>
  <si>
    <t>847.8470230.1.425762.000000.847001.200179</t>
  </si>
  <si>
    <t>847.8470230.1.425900.000000.847001.200179</t>
  </si>
  <si>
    <t>847.8470230.1.426610.000000.847001.200179</t>
  </si>
  <si>
    <t>847.8470230.1.428090.000000.847001.200179</t>
  </si>
  <si>
    <t>847.8470230.1.428640.000000.847001.200179</t>
  </si>
  <si>
    <t>436110</t>
  </si>
  <si>
    <t>Printing supplies</t>
  </si>
  <si>
    <t>847.8470230.1.436110.000000.847001.200179</t>
  </si>
  <si>
    <t>8470305</t>
  </si>
  <si>
    <t>KUST - Dean Of Engineering</t>
  </si>
  <si>
    <t>847.8470305.1.420550.000000.847001.200179</t>
  </si>
  <si>
    <t>847.8470305.1.420570.000000.847001.200179</t>
  </si>
  <si>
    <t>847.8470305.1.421700.000000.847001.200179</t>
  </si>
  <si>
    <t>847.8470305.1.425510.000000.847001.200179</t>
  </si>
  <si>
    <t>847.8470305.1.425763.000000.847001.200179</t>
  </si>
  <si>
    <t>425770</t>
  </si>
  <si>
    <t>Academic Missions - Combined expenses</t>
  </si>
  <si>
    <t>847.8470305.1.425770.000000.847001.200179</t>
  </si>
  <si>
    <t>847.8470305.1.425900.000000.847001.200179</t>
  </si>
  <si>
    <t>847.8470305.1.426610.000000.847001.200179</t>
  </si>
  <si>
    <t>847.8470305.1.428090.000000.847001.200179</t>
  </si>
  <si>
    <t>847.8470305.1.428640.000000.847001.200179</t>
  </si>
  <si>
    <t>432209</t>
  </si>
  <si>
    <t>Laboratory equipment</t>
  </si>
  <si>
    <t>847.8470305.1.432209.000000.847001.200179</t>
  </si>
  <si>
    <t>435350</t>
  </si>
  <si>
    <t>Academic Publications</t>
  </si>
  <si>
    <t>847.8470305.1.435350.000000.847001.200179</t>
  </si>
  <si>
    <t>435508</t>
  </si>
  <si>
    <t>Laboratory - Scientific</t>
  </si>
  <si>
    <t>847.8470305.1.435508.000000.847001.200179</t>
  </si>
  <si>
    <t>436600</t>
  </si>
  <si>
    <t>Training/Teaching equipment and other educational aid</t>
  </si>
  <si>
    <t>847.8470305.1.436600.000000.847001.200179</t>
  </si>
  <si>
    <t>8470310</t>
  </si>
  <si>
    <t>KUST - Aerospace Engineering</t>
  </si>
  <si>
    <t>847.8470310.1.420550.000000.847001.200179</t>
  </si>
  <si>
    <t>847.8470310.1.425510.000000.847001.200179</t>
  </si>
  <si>
    <t>425760</t>
  </si>
  <si>
    <t>Student activities &amp; field trip expenses</t>
  </si>
  <si>
    <t>847.8470310.1.425760.000000.847001.200179</t>
  </si>
  <si>
    <t>847.8470310.1.425763.000000.847001.200179</t>
  </si>
  <si>
    <t>847.8470310.1.425770.000000.847001.200179</t>
  </si>
  <si>
    <t>847.8470310.1.425900.000000.847001.200179</t>
  </si>
  <si>
    <t>847.8470310.1.426610.000000.847001.200179</t>
  </si>
  <si>
    <t>847.8470310.1.428090.000000.847001.200179</t>
  </si>
  <si>
    <t>847.8470310.1.432209.000000.847001.200179</t>
  </si>
  <si>
    <t>847.8470310.1.435350.000000.847001.200179</t>
  </si>
  <si>
    <t>847.8470310.1.435508.000000.847001.200179</t>
  </si>
  <si>
    <t>847.8470310.1.436110.000000.847001.200179</t>
  </si>
  <si>
    <t>847.8470310.1.436600.000000.847001.200179</t>
  </si>
  <si>
    <t>8470315</t>
  </si>
  <si>
    <t>KUST - Biomedical Engineering</t>
  </si>
  <si>
    <t>847.8470315.1.420550.000000.847001.200179</t>
  </si>
  <si>
    <t>847.8470315.1.425510.000000.847001.200179</t>
  </si>
  <si>
    <t>847.8470315.1.425760.000000.847001.200179</t>
  </si>
  <si>
    <t>847.8470315.1.425763.000000.847001.200179</t>
  </si>
  <si>
    <t>847.8470315.1.425770.000000.847001.200179</t>
  </si>
  <si>
    <t>847.8470315.1.425900.000000.847001.200179</t>
  </si>
  <si>
    <t>847.8470315.1.426610.000000.847001.200179</t>
  </si>
  <si>
    <t>847.8470315.1.428090.000000.847001.200179</t>
  </si>
  <si>
    <t>847.8470315.1.432209.000000.847001.200179</t>
  </si>
  <si>
    <t>847.8470315.1.435350.000000.847001.200179</t>
  </si>
  <si>
    <t>847.8470315.1.435508.000000.847001.200179</t>
  </si>
  <si>
    <t>847.8470315.1.436110.000000.847001.200179</t>
  </si>
  <si>
    <t>847.8470315.1.436600.000000.847001.200179</t>
  </si>
  <si>
    <t>8470320</t>
  </si>
  <si>
    <t>KUST - Chemical Engineering</t>
  </si>
  <si>
    <t>847.8470320.1.420550.000000.847001.200179</t>
  </si>
  <si>
    <t>847.8470320.1.425510.000000.847001.200179</t>
  </si>
  <si>
    <t>847.8470320.1.425760.000000.847001.200179</t>
  </si>
  <si>
    <t>847.8470320.1.425763.000000.847001.200179</t>
  </si>
  <si>
    <t>847.8470320.1.425770.000000.847001.200179</t>
  </si>
  <si>
    <t>847.8470320.1.425900.000000.847001.200179</t>
  </si>
  <si>
    <t>847.8470320.1.426610.000000.847001.200179</t>
  </si>
  <si>
    <t>847.8470320.1.428090.000000.847001.200179</t>
  </si>
  <si>
    <t>847.8470320.1.435350.000000.847001.200179</t>
  </si>
  <si>
    <t>847.8470320.1.435508.000000.847001.200179</t>
  </si>
  <si>
    <t>847.8470320.1.436110.000000.847001.200179</t>
  </si>
  <si>
    <t>847.8470320.1.436600.000000.847001.200179</t>
  </si>
  <si>
    <t>8470325</t>
  </si>
  <si>
    <t>KUST - Civil Engineering</t>
  </si>
  <si>
    <t>847.8470325.1.420550.000000.847001.200179</t>
  </si>
  <si>
    <t>847.8470325.1.425510.000000.847001.200179</t>
  </si>
  <si>
    <t>847.8470325.1.425760.000000.847001.200179</t>
  </si>
  <si>
    <t>847.8470325.1.425763.000000.847001.200179</t>
  </si>
  <si>
    <t>847.8470325.1.425770.000000.847001.200179</t>
  </si>
  <si>
    <t>847.8470325.1.426610.000000.847001.200179</t>
  </si>
  <si>
    <t>847.8470325.1.428090.000000.847001.200179</t>
  </si>
  <si>
    <t>847.8470325.1.432209.000000.847001.200179</t>
  </si>
  <si>
    <t>847.8470325.1.435350.000000.847001.200179</t>
  </si>
  <si>
    <t>847.8470325.1.435508.000000.847001.200179</t>
  </si>
  <si>
    <t>8470330</t>
  </si>
  <si>
    <t>KUST - Electrical &amp; Computer Engineering</t>
  </si>
  <si>
    <t>847.8470330.1.420550.000000.847001.200179</t>
  </si>
  <si>
    <t>847.8470330.1.425510.000000.847001.200179</t>
  </si>
  <si>
    <t>847.8470330.1.425760.000000.847001.200179</t>
  </si>
  <si>
    <t>847.8470330.1.425763.000000.847001.200179</t>
  </si>
  <si>
    <t>847.8470330.1.425770.000000.847001.200179</t>
  </si>
  <si>
    <t>847.8470330.1.425900.000000.847001.200179</t>
  </si>
  <si>
    <t>847.8470330.1.426610.000000.847001.200179</t>
  </si>
  <si>
    <t>847.8470330.1.428640.000000.847001.200179</t>
  </si>
  <si>
    <t>847.8470330.1.432209.000000.847001.200179</t>
  </si>
  <si>
    <t>847.8470330.1.435350.000000.847001.200179</t>
  </si>
  <si>
    <t>847.8470330.1.435508.000000.847001.200179</t>
  </si>
  <si>
    <t>847.8470330.1.436600.000000.847001.200179</t>
  </si>
  <si>
    <t>8470335</t>
  </si>
  <si>
    <t>KUST - Industrial &amp; Systems Engineering</t>
  </si>
  <si>
    <t>847.8470335.1.420550.000000.847001.200179</t>
  </si>
  <si>
    <t>847.8470335.1.425510.000000.847001.200179</t>
  </si>
  <si>
    <t>847.8470335.1.425760.000000.847001.200179</t>
  </si>
  <si>
    <t>847.8470335.1.425763.000000.847001.200179</t>
  </si>
  <si>
    <t>847.8470335.1.425770.000000.847001.200179</t>
  </si>
  <si>
    <t>847.8470335.1.425900.000000.847001.200179</t>
  </si>
  <si>
    <t>847.8470335.1.426610.000000.847001.200179</t>
  </si>
  <si>
    <t>847.8470335.1.428090.000000.847001.200179</t>
  </si>
  <si>
    <t>847.8470335.1.435350.000000.847001.200179</t>
  </si>
  <si>
    <t>847.8470335.1.435508.000000.847001.200179</t>
  </si>
  <si>
    <t>847.8470335.1.436110.000000.847001.200179</t>
  </si>
  <si>
    <t>847.8470335.1.436600.000000.847001.200179</t>
  </si>
  <si>
    <t>8470340</t>
  </si>
  <si>
    <t>KUST - Mechanical Engineering</t>
  </si>
  <si>
    <t>847.8470340.1.420550.000000.847001.200179</t>
  </si>
  <si>
    <t>847.8470340.1.425510.000000.847001.200179</t>
  </si>
  <si>
    <t>425720</t>
  </si>
  <si>
    <t>Education-Outsourced training service</t>
  </si>
  <si>
    <t>847.8470340.1.425720.000000.847001.200179</t>
  </si>
  <si>
    <t>847.8470340.1.425760.000000.847001.200179</t>
  </si>
  <si>
    <t>847.8470340.1.425763.000000.847001.200179</t>
  </si>
  <si>
    <t>847.8470340.1.425770.000000.847001.200179</t>
  </si>
  <si>
    <t>847.8470340.1.425900.000000.847001.200179</t>
  </si>
  <si>
    <t>847.8470340.1.426610.000000.847001.200179</t>
  </si>
  <si>
    <t>847.8470340.1.432209.000000.847001.200179</t>
  </si>
  <si>
    <t>847.8470340.1.435350.000000.847001.200179</t>
  </si>
  <si>
    <t>847.8470340.1.435508.000000.847001.200179</t>
  </si>
  <si>
    <t>8470345</t>
  </si>
  <si>
    <t>KUST - Nuclear Engineering</t>
  </si>
  <si>
    <t>847.8470345.1.420550.000000.847001.200179</t>
  </si>
  <si>
    <t>847.8470345.1.425510.000000.847001.200179</t>
  </si>
  <si>
    <t>847.8470345.1.425760.000000.847001.200179</t>
  </si>
  <si>
    <t>847.8470345.1.425770.000000.847001.200179</t>
  </si>
  <si>
    <t>847.8470345.1.425900.000000.847001.200179</t>
  </si>
  <si>
    <t>847.8470345.1.426610.000000.847001.200179</t>
  </si>
  <si>
    <t>847.8470345.1.428090.000000.847001.200179</t>
  </si>
  <si>
    <t>847.8470345.1.435350.000000.847001.200179</t>
  </si>
  <si>
    <t>847.8470345.1.435508.000000.847001.200179</t>
  </si>
  <si>
    <t>847.8470345.1.436110.000000.847001.200179</t>
  </si>
  <si>
    <t>847.8470345.1.436600.000000.847001.200179</t>
  </si>
  <si>
    <t>8470350</t>
  </si>
  <si>
    <t>KUST - Petroleum Engineering</t>
  </si>
  <si>
    <t>847.8470350.1.425510.000000.847001.200179</t>
  </si>
  <si>
    <t>847.8470350.1.425760.000000.847001.200179</t>
  </si>
  <si>
    <t>847.8470350.1.425763.000000.847001.200179</t>
  </si>
  <si>
    <t>847.8470350.1.425770.000000.847001.200179</t>
  </si>
  <si>
    <t>847.8470350.1.425900.000000.847001.200179</t>
  </si>
  <si>
    <t>847.8470350.1.426610.000000.847001.200179</t>
  </si>
  <si>
    <t>847.8470350.1.432209.000000.847001.200179</t>
  </si>
  <si>
    <t>435340</t>
  </si>
  <si>
    <t>Text books and library books</t>
  </si>
  <si>
    <t>847.8470350.1.435340.000000.847001.200179</t>
  </si>
  <si>
    <t>847.8470350.1.435350.000000.847001.200179</t>
  </si>
  <si>
    <t>847.8470350.1.435508.000000.847001.200179</t>
  </si>
  <si>
    <t>847.8470350.1.436110.000000.847001.200179</t>
  </si>
  <si>
    <t>847.8470350.1.436600.000000.847001.200179</t>
  </si>
  <si>
    <t>8470405</t>
  </si>
  <si>
    <t>KUST - Dean Of Arts &amp; Science</t>
  </si>
  <si>
    <t>847.8470405.1.420550.000000.847001.200179</t>
  </si>
  <si>
    <t>847.8470405.1.421700.000000.847001.200179</t>
  </si>
  <si>
    <t>847.8470405.1.425510.000000.847001.200179</t>
  </si>
  <si>
    <t>847.8470405.1.425550.000000.847001.200179</t>
  </si>
  <si>
    <t>847.8470405.1.425770.000000.847001.200179</t>
  </si>
  <si>
    <t>847.8470405.1.427710.000000.847001.200179</t>
  </si>
  <si>
    <t>847.8470405.1.432209.000000.847001.200179</t>
  </si>
  <si>
    <t>847.8470405.1.435350.000000.847001.200179</t>
  </si>
  <si>
    <t>8470410</t>
  </si>
  <si>
    <t>KUST - Institute of International &amp; Civil Security</t>
  </si>
  <si>
    <t>847.8470410.1.425761.000000.847001.200179</t>
  </si>
  <si>
    <t>847.8470410.1.425770.000000.847001.200179</t>
  </si>
  <si>
    <t>847.8470410.1.426610.000000.847001.200179</t>
  </si>
  <si>
    <t>847.8470410.1.435310.000000.847001.200179</t>
  </si>
  <si>
    <t>847.8470410.1.435350.000000.847001.200179</t>
  </si>
  <si>
    <t>8470415</t>
  </si>
  <si>
    <t>KUST - Chemistry</t>
  </si>
  <si>
    <t>847.8470415.1.421700.000000.847001.200179</t>
  </si>
  <si>
    <t>847.8470415.1.425100.000000.847001.200179</t>
  </si>
  <si>
    <t>847.8470415.1.425760.000000.847001.200179</t>
  </si>
  <si>
    <t>847.8470415.1.425763.000000.847001.200179</t>
  </si>
  <si>
    <t>847.8470415.1.425770.000000.847001.200179</t>
  </si>
  <si>
    <t>847.8470415.1.425900.000000.847001.200179</t>
  </si>
  <si>
    <t>847.8470415.1.426610.000000.847001.200179</t>
  </si>
  <si>
    <t>847.8470415.1.428640.000000.847001.200179</t>
  </si>
  <si>
    <t>847.8470415.1.432209.000000.847001.200179</t>
  </si>
  <si>
    <t>847.8470415.1.435350.000000.847001.200179</t>
  </si>
  <si>
    <t>847.8470415.1.435508.000000.847001.200179</t>
  </si>
  <si>
    <t>847.8470415.1.435519.000000.847001.200179</t>
  </si>
  <si>
    <t>8470425</t>
  </si>
  <si>
    <t>KUST - Physics</t>
  </si>
  <si>
    <t>847.8470425.1.425510.000000.847001.200179</t>
  </si>
  <si>
    <t>847.8470425.1.425550.000000.847001.200179</t>
  </si>
  <si>
    <t>847.8470425.1.425770.000000.847001.200179</t>
  </si>
  <si>
    <t>847.8470425.1.425900.000000.847001.200179</t>
  </si>
  <si>
    <t>847.8470425.1.426610.000000.847001.200179</t>
  </si>
  <si>
    <t>847.8470425.1.428090.000000.847001.200179</t>
  </si>
  <si>
    <t>847.8470425.1.435350.000000.847001.200179</t>
  </si>
  <si>
    <t>847.8470425.1.435508.000000.847001.200179</t>
  </si>
  <si>
    <t>8470430</t>
  </si>
  <si>
    <t>KUST - Preparatory Program</t>
  </si>
  <si>
    <t>847.8470430.1.425761.000000.847001.200179</t>
  </si>
  <si>
    <t>847.8470430.1.425770.000000.847001.200179</t>
  </si>
  <si>
    <t>847.8470430.1.425900.000000.847001.200179</t>
  </si>
  <si>
    <t>847.8470430.1.426610.000000.847001.200179</t>
  </si>
  <si>
    <t>847.8470430.1.432209.000000.847001.200179</t>
  </si>
  <si>
    <t>847.8470430.1.435508.000000.847001.200179</t>
  </si>
  <si>
    <t>8470435</t>
  </si>
  <si>
    <t>KUST - Department of English</t>
  </si>
  <si>
    <t>847.8470435.1.425770.000000.847001.200179</t>
  </si>
  <si>
    <t>847.8470435.1.426610.000000.847001.200179</t>
  </si>
  <si>
    <t>847.8470435.1.435340.000000.847001.200179</t>
  </si>
  <si>
    <t>847.8470435.1.436600.000000.847001.200179</t>
  </si>
  <si>
    <t>8470440</t>
  </si>
  <si>
    <t>KUST - Humanities &amp; Social Sciences</t>
  </si>
  <si>
    <t>847.8470440.1.420550.000000.847001.200179</t>
  </si>
  <si>
    <t>847.8470440.1.420570.000000.847001.200179</t>
  </si>
  <si>
    <t>847.8470440.1.421700.000000.847001.200179</t>
  </si>
  <si>
    <t>847.8470440.1.425100.000000.847001.200179</t>
  </si>
  <si>
    <t>847.8470440.1.425510.000000.847001.200179</t>
  </si>
  <si>
    <t>847.8470440.1.425550.000000.847001.200179</t>
  </si>
  <si>
    <t>847.8470440.1.425761.000000.847001.200179</t>
  </si>
  <si>
    <t>847.8470440.1.425770.000000.847001.200179</t>
  </si>
  <si>
    <t>847.8470440.1.425900.000000.847001.200179</t>
  </si>
  <si>
    <t>847.8470440.1.426610.000000.847001.200179</t>
  </si>
  <si>
    <t>847.8470440.1.427710.000000.847001.200179</t>
  </si>
  <si>
    <t>847.8470440.1.428090.000000.847001.200179</t>
  </si>
  <si>
    <t>847.8470440.1.428640.000000.847001.200179</t>
  </si>
  <si>
    <t>847.8470440.1.435340.000000.847001.200179</t>
  </si>
  <si>
    <t>847.8470440.1.435350.000000.847001.200179</t>
  </si>
  <si>
    <t>847.8470440.1.436600.000000.847001.200179</t>
  </si>
  <si>
    <t>8470445</t>
  </si>
  <si>
    <t>KUST - Mathematics</t>
  </si>
  <si>
    <t>847.8470445.1.425100.000000.847001.200179</t>
  </si>
  <si>
    <t>847.8470445.1.425720.000000.847001.200179</t>
  </si>
  <si>
    <t>847.8470445.1.425760.000000.847001.200179</t>
  </si>
  <si>
    <t>847.8470445.1.425763.000000.847001.200179</t>
  </si>
  <si>
    <t>847.8470445.1.425770.000000.847001.200179</t>
  </si>
  <si>
    <t>847.8470445.1.426610.000000.847001.200179</t>
  </si>
  <si>
    <t>847.8470445.1.435350.000000.847001.200179</t>
  </si>
  <si>
    <t>8470450</t>
  </si>
  <si>
    <t>KUST - Earth Science</t>
  </si>
  <si>
    <t>847.8470450.1.425761.000000.847001.200179</t>
  </si>
  <si>
    <t>847.8470450.1.425770.000000.847001.200179</t>
  </si>
  <si>
    <t>847.8470450.1.426610.000000.847001.200179</t>
  </si>
  <si>
    <t>847.8470450.1.428090.000000.847001.200179</t>
  </si>
  <si>
    <t>847.8470450.1.432209.000000.847001.200179</t>
  </si>
  <si>
    <t>847.8470450.1.435350.000000.847001.200179</t>
  </si>
  <si>
    <t>847.8470450.1.435508.000000.847001.200179</t>
  </si>
  <si>
    <t>8470455</t>
  </si>
  <si>
    <t>KUST – Biology</t>
  </si>
  <si>
    <t>847.8470455.1.425760.000000.847001.200179</t>
  </si>
  <si>
    <t>847.8470455.1.425770.000000.847001.200179</t>
  </si>
  <si>
    <t>847.8470455.1.425900.000000.847001.200179</t>
  </si>
  <si>
    <t>847.8470455.1.426610.000000.847001.200179</t>
  </si>
  <si>
    <t>847.8470455.1.428090.000000.847001.200179</t>
  </si>
  <si>
    <t>847.8470455.1.428640.000000.847001.200179</t>
  </si>
  <si>
    <t>847.8470455.1.432209.000000.847001.200179</t>
  </si>
  <si>
    <t>847.8470455.1.435350.000000.847001.200179</t>
  </si>
  <si>
    <t>847.8470455.1.435508.000000.847001.200179</t>
  </si>
  <si>
    <t>847.8470455.1.436110.000000.847001.200179</t>
  </si>
  <si>
    <t>8470520</t>
  </si>
  <si>
    <t>KUST - Environment, Health &amp; Safety</t>
  </si>
  <si>
    <t>847.8470520.1.425510.000000.847001.200179</t>
  </si>
  <si>
    <t>426100</t>
  </si>
  <si>
    <t>Freight and shipping costs, not included elsewhere under purchase costs</t>
  </si>
  <si>
    <t>847.8470520.1.426100.000000.847001.200179</t>
  </si>
  <si>
    <t>847.8470520.1.427710.000000.847001.200179</t>
  </si>
  <si>
    <t>428200</t>
  </si>
  <si>
    <t>Health,safety&amp;environment awareness</t>
  </si>
  <si>
    <t>847.8470520.1.428200.000000.847001.200179</t>
  </si>
  <si>
    <t>847.8470520.1.428200.000000.847951.200179</t>
  </si>
  <si>
    <t>8470530</t>
  </si>
  <si>
    <t>KUST - Facilities Management</t>
  </si>
  <si>
    <t>420310</t>
  </si>
  <si>
    <t>Cleaning Services: Business premises</t>
  </si>
  <si>
    <t>847.8470530.1.420310.000000.847010.200179</t>
  </si>
  <si>
    <t>847.8470530.1.420310.000000.847015.200179</t>
  </si>
  <si>
    <t>847.8470530.1.420310.000000.847020.200179</t>
  </si>
  <si>
    <t>847.8470530.1.421000.000000.847010.200179</t>
  </si>
  <si>
    <t>421100</t>
  </si>
  <si>
    <t>Manpower supply "Other Than IT Related"</t>
  </si>
  <si>
    <t>847.8470530.1.421100.000000.847010.200179</t>
  </si>
  <si>
    <t>421600</t>
  </si>
  <si>
    <t>Security service</t>
  </si>
  <si>
    <t>847.8470530.1.421600.000000.847010.200179</t>
  </si>
  <si>
    <t>847.8470530.1.421600.000000.847015.200179</t>
  </si>
  <si>
    <t>847.8470530.1.421600.000000.847020.200179</t>
  </si>
  <si>
    <t>847.8470530.1.421600.000000.847030.200179</t>
  </si>
  <si>
    <t>847.8470530.1.421700.000000.847010.200179</t>
  </si>
  <si>
    <t>847.8470530.1.425510.000000.847010.200179</t>
  </si>
  <si>
    <t>847.8470530.1.425900.000000.847010.200179</t>
  </si>
  <si>
    <t>426220</t>
  </si>
  <si>
    <t>Insurance - Fire and allied perils</t>
  </si>
  <si>
    <t>847.8470530.1.426220.000000.847010.200179</t>
  </si>
  <si>
    <t>847.8470530.1.426220.000000.847030.200179</t>
  </si>
  <si>
    <t>426250</t>
  </si>
  <si>
    <t>Insurance - Motor vehicles</t>
  </si>
  <si>
    <t>847.8470530.1.426250.000000.847010.200179</t>
  </si>
  <si>
    <t>847.8470530.1.428090.000000.847001.200179</t>
  </si>
  <si>
    <t>430110</t>
  </si>
  <si>
    <t>Rental - Land</t>
  </si>
  <si>
    <t>847.8470530.1.430110.000000.847020.200179</t>
  </si>
  <si>
    <t>432120</t>
  </si>
  <si>
    <t>Bldg maintenance-Business premises</t>
  </si>
  <si>
    <t>847.8470530.1.432120.000000.847010.200179</t>
  </si>
  <si>
    <t>847.8470530.1.432120.000000.847015.200179</t>
  </si>
  <si>
    <t>847.8470530.1.432120.000000.847020.200179</t>
  </si>
  <si>
    <t>847.8470530.1.432120.000000.847030.200179</t>
  </si>
  <si>
    <t>432170</t>
  </si>
  <si>
    <t>Bldg decoration &amp; minor improvements</t>
  </si>
  <si>
    <t>847.8470530.1.432170.000000.847010.200179</t>
  </si>
  <si>
    <t>432320</t>
  </si>
  <si>
    <t>Residential Furniture and fixtures</t>
  </si>
  <si>
    <t>847.8470530.1.432320.000000.847010.200179</t>
  </si>
  <si>
    <t>436340</t>
  </si>
  <si>
    <t>Sports and other recreational supplies: Students</t>
  </si>
  <si>
    <t>847.8470530.1.436340.000000.847001.200179</t>
  </si>
  <si>
    <t>8470540</t>
  </si>
  <si>
    <t>KUST - Administration</t>
  </si>
  <si>
    <t>847.8470540.1.421100.000000.847010.200179</t>
  </si>
  <si>
    <t>426800</t>
  </si>
  <si>
    <t>Motor vehicle registration and inspection charges</t>
  </si>
  <si>
    <t>847.8470540.1.426800.000000.847010.200179</t>
  </si>
  <si>
    <t>426900</t>
  </si>
  <si>
    <t>Postal, courier and other document delivery expenses</t>
  </si>
  <si>
    <t>847.8470540.1.426900.000000.847010.200179</t>
  </si>
  <si>
    <t>847.8470540.1.427710.000000.847001.200179</t>
  </si>
  <si>
    <t>428111</t>
  </si>
  <si>
    <t>Electricity consumption charges</t>
  </si>
  <si>
    <t>847.8470540.1.428111.000000.847010.200179</t>
  </si>
  <si>
    <t>847.8470540.1.428111.000000.847015.200179</t>
  </si>
  <si>
    <t>847.8470540.1.428111.000000.847020.200179</t>
  </si>
  <si>
    <t>847.8470540.1.428111.000000.847030.200179</t>
  </si>
  <si>
    <t>428112</t>
  </si>
  <si>
    <t>Water consumption charges</t>
  </si>
  <si>
    <t>847.8470540.1.428112.000000.847010.200179</t>
  </si>
  <si>
    <t>847.8470540.1.428112.000000.847015.200179</t>
  </si>
  <si>
    <t>847.8470540.1.428112.000000.847020.200179</t>
  </si>
  <si>
    <t>847.8470540.1.428112.000000.847030.200179</t>
  </si>
  <si>
    <t>429900</t>
  </si>
  <si>
    <t>Other services, not specifically mentioned elsewhere</t>
  </si>
  <si>
    <t>847.8470540.1.429900.000000.847010.200179</t>
  </si>
  <si>
    <t>430330</t>
  </si>
  <si>
    <t>Rental - Motor vehicles</t>
  </si>
  <si>
    <t>847.8470540.1.430330.000000.847010.200179</t>
  </si>
  <si>
    <t>847.8470540.1.432120.000000.847010.200179</t>
  </si>
  <si>
    <t>847.8470540.1.432120.000000.847020.200179</t>
  </si>
  <si>
    <t>432540</t>
  </si>
  <si>
    <t>Motor vehicles (non-military)</t>
  </si>
  <si>
    <t>847.8470540.1.432540.000000.847010.200179</t>
  </si>
  <si>
    <t>435410</t>
  </si>
  <si>
    <t>Catering supplies: Offices</t>
  </si>
  <si>
    <t>847.8470540.1.435410.000000.847020.200179</t>
  </si>
  <si>
    <t>435740</t>
  </si>
  <si>
    <t>Fuel, oil and lubricants: Motor vehicles</t>
  </si>
  <si>
    <t>847.8470540.1.435740.000000.847010.200179</t>
  </si>
  <si>
    <t>847.8470540.1.436110.000000.847010.200179</t>
  </si>
  <si>
    <t>8470620</t>
  </si>
  <si>
    <t>KUST - Finance Operations</t>
  </si>
  <si>
    <t>420130</t>
  </si>
  <si>
    <t>External Audit service</t>
  </si>
  <si>
    <t>847.8470620.1.420130.000000.847001.200179</t>
  </si>
  <si>
    <t>847.8470620.1.421100.000000.847001.200179</t>
  </si>
  <si>
    <t>422900</t>
  </si>
  <si>
    <t>Other specialised professional services, not mentioned elsewhere</t>
  </si>
  <si>
    <t>847.8470620.1.422900.000000.847001.200179</t>
  </si>
  <si>
    <t>425300</t>
  </si>
  <si>
    <t>Banking service charges / Fees</t>
  </si>
  <si>
    <t>847.8470620.1.425300.000000.847001.200179</t>
  </si>
  <si>
    <t>425350</t>
  </si>
  <si>
    <t>Fees for processing e-payments-e-Payment operation</t>
  </si>
  <si>
    <t>847.8470620.1.425350.000000.847001.200179</t>
  </si>
  <si>
    <t>847.8470620.1.426610.000000.847001.200179</t>
  </si>
  <si>
    <t>847.8470620.1.436110.000000.847001.200179</t>
  </si>
  <si>
    <t>436120</t>
  </si>
  <si>
    <t>Stationery</t>
  </si>
  <si>
    <t>847.8470620.1.436120.000000.847001.200179</t>
  </si>
  <si>
    <t>8470720</t>
  </si>
  <si>
    <t>KUST - Procurement and Contracts</t>
  </si>
  <si>
    <t>847.8470720.1.421700.000000.847001.200179</t>
  </si>
  <si>
    <t>847.8470720.1.426900.000000.847001.200179</t>
  </si>
  <si>
    <t>847.8470720.1.428200.000000.847001.200179</t>
  </si>
  <si>
    <t>847.8470720.1.432120.000000.847001.200179</t>
  </si>
  <si>
    <t>847.8470720.1.435410.000000.847001.200179</t>
  </si>
  <si>
    <t>847.8470720.1.436110.000000.847001.200179</t>
  </si>
  <si>
    <t>847.8470720.1.436120.000000.847001.200179</t>
  </si>
  <si>
    <t>8470730</t>
  </si>
  <si>
    <t>KUST - Human Resources</t>
  </si>
  <si>
    <t>847.8470730.1.421000.000000.847001.200179</t>
  </si>
  <si>
    <t>847.8470730.1.425510.000000.847001.200179</t>
  </si>
  <si>
    <t>847.8470730.1.425900.000000.847001.200179</t>
  </si>
  <si>
    <t>847.8470730.1.426610.000000.847001.200179</t>
  </si>
  <si>
    <t>427900</t>
  </si>
  <si>
    <t>Translation and interpretation service</t>
  </si>
  <si>
    <t>847.8470730.1.427900.000000.847001.200179</t>
  </si>
  <si>
    <t>847.8470730.1.428090.000000.847001.200179</t>
  </si>
  <si>
    <t>847.8470730.1.428640.000000.847001.200179</t>
  </si>
  <si>
    <t>847.8470730.1.436110.000000.847001.200179</t>
  </si>
  <si>
    <t>8470810</t>
  </si>
  <si>
    <t>KUST - Ankabut office</t>
  </si>
  <si>
    <t>420810</t>
  </si>
  <si>
    <t>IT Systems &amp; Support expenses</t>
  </si>
  <si>
    <t>847.8470810.1.420810.000000.847001.200179</t>
  </si>
  <si>
    <t>420811</t>
  </si>
  <si>
    <t>IT Systems &amp; Support expenses-Application/Systems Operation</t>
  </si>
  <si>
    <t>847.8470810.1.420811.000000.847001.200179</t>
  </si>
  <si>
    <t>847.8470810.1.421100.000000.847001.200179</t>
  </si>
  <si>
    <t>847.8470810.1.426610.000000.847001.200179</t>
  </si>
  <si>
    <t>427810</t>
  </si>
  <si>
    <t>Telephone and telefax charges-Telecommunication, Satellite services</t>
  </si>
  <si>
    <t>847.8470810.1.427810.000000.847001.200179</t>
  </si>
  <si>
    <t>427850</t>
  </si>
  <si>
    <t>Data Transmission charges-Data Transmission charges</t>
  </si>
  <si>
    <t>847.8470810.1.427850.000000.847001.200179</t>
  </si>
  <si>
    <t>847.8470810.1.428090.000000.847001.200179</t>
  </si>
  <si>
    <t>430230</t>
  </si>
  <si>
    <t>Rental - Equipment</t>
  </si>
  <si>
    <t>847.8470810.1.430230.000000.847001.200179</t>
  </si>
  <si>
    <t>430250</t>
  </si>
  <si>
    <t>Rental - Computer hardware-Rental/Subscription - Computer hardware</t>
  </si>
  <si>
    <t>847.8470810.1.430250.000000.847001.200179</t>
  </si>
  <si>
    <t>847.8470810.1.432205.000000.847001.200179</t>
  </si>
  <si>
    <t>432226</t>
  </si>
  <si>
    <t>Computers and peripherals-Printers maintenance and support</t>
  </si>
  <si>
    <t>847.8470810.1.432226.000000.847001.200179</t>
  </si>
  <si>
    <t>847.8470810.1.436110.000000.847001.200179</t>
  </si>
  <si>
    <t>8471010</t>
  </si>
  <si>
    <t>KUST - Continuing Education Office</t>
  </si>
  <si>
    <t>847.8471010.1.425100.000000.847001.200179</t>
  </si>
  <si>
    <t>847.8471010.1.425510.000000.847001.200179</t>
  </si>
  <si>
    <t>847.8471010.1.425720.000000.847001.200179</t>
  </si>
  <si>
    <t>847.8471010.1.425900.000000.847001.200179</t>
  </si>
  <si>
    <t>847.8471010.1.436110.000000.847001.200179</t>
  </si>
  <si>
    <t>847.8471010.1.436120.000000.847001.200179</t>
  </si>
  <si>
    <t>8471110</t>
  </si>
  <si>
    <t>KUST - SVP/ Research &amp; Development Office</t>
  </si>
  <si>
    <t>847.8471110.1.425900.000000.847001.200179</t>
  </si>
  <si>
    <t>847.8471110.1.427710.000000.847001.200179</t>
  </si>
  <si>
    <t>847.8471110.1.428090.000000.847001.200179</t>
  </si>
  <si>
    <t>8471120</t>
  </si>
  <si>
    <t>KUST - Institute for Automation, Information Science &amp; Communication</t>
  </si>
  <si>
    <t>847.8471120.1.425900.000000.847001.200179</t>
  </si>
  <si>
    <t>847.8471120.1.428090.000000.847001.200179</t>
  </si>
  <si>
    <t>847.8471120.1.429900.000000.847001.200179</t>
  </si>
  <si>
    <t>435523</t>
  </si>
  <si>
    <t>Scientific</t>
  </si>
  <si>
    <t>847.8471120.1.435523.000000.847001.200179</t>
  </si>
  <si>
    <t>8471121</t>
  </si>
  <si>
    <t>KUST - Petroleum Institute</t>
  </si>
  <si>
    <t>847.8471121.1.425510.000000.847001.200179</t>
  </si>
  <si>
    <t>847.8471121.1.425900.000000.847001.200179</t>
  </si>
  <si>
    <t>847.8471121.1.428090.000000.847001.200179</t>
  </si>
  <si>
    <t>847.8471121.1.432170.000000.847001.200179</t>
  </si>
  <si>
    <t>847.8471121.1.435523.000000.847001.200179</t>
  </si>
  <si>
    <t>8471122</t>
  </si>
  <si>
    <t>KUST - Masdar Institute</t>
  </si>
  <si>
    <t>847.8471122.1.425900.000000.847001.200179</t>
  </si>
  <si>
    <t>847.8471122.1.428090.000000.847001.200179</t>
  </si>
  <si>
    <t>8471130</t>
  </si>
  <si>
    <t>KUST - Research Service</t>
  </si>
  <si>
    <t>847.8471130.1.420811.000000.847001.200179</t>
  </si>
  <si>
    <t>847.8471130.1.426610.000000.847001.200179</t>
  </si>
  <si>
    <t>847.8471130.1.427900.000000.847001.200179</t>
  </si>
  <si>
    <t>847.8471130.1.428090.000000.847001.200179</t>
  </si>
  <si>
    <t>847.8471130.1.435523.000000.847001.200179</t>
  </si>
  <si>
    <t>8471140</t>
  </si>
  <si>
    <t>KUST - University Sponsored Research</t>
  </si>
  <si>
    <t>847.8471140.1.420570.000000.847001.200179</t>
  </si>
  <si>
    <t>847.8471140.1.428090.000000.847001.200179</t>
  </si>
  <si>
    <t>847.8471140.1.435523.000000.847001.200179</t>
  </si>
  <si>
    <t>8471150</t>
  </si>
  <si>
    <t>KUST - Technology Management &amp; Innovation</t>
  </si>
  <si>
    <t>847.8471150.1.420900.000000.847001.200179</t>
  </si>
  <si>
    <t>847.8471150.1.425510.000000.847001.200179</t>
  </si>
  <si>
    <t>847.8471150.1.425550.000000.847001.200179</t>
  </si>
  <si>
    <t>847.8471150.1.426610.000000.847001.200179</t>
  </si>
  <si>
    <t>847.8471150.1.428090.000000.847001.200179</t>
  </si>
  <si>
    <t>8471160</t>
  </si>
  <si>
    <t>KUST - Research Laboratories</t>
  </si>
  <si>
    <t>847.8471160.1.420810.000000.847001.200179</t>
  </si>
  <si>
    <t>847.8471160.1.420811.000000.847001.200179</t>
  </si>
  <si>
    <t>847.8471160.1.426610.000000.847001.200179</t>
  </si>
  <si>
    <t>847.8471160.1.432209.000000.847001.200179</t>
  </si>
  <si>
    <t>847.8471160.1.435508.000000.847001.200179</t>
  </si>
  <si>
    <t>8471170</t>
  </si>
  <si>
    <t>KUST - Research Computing</t>
  </si>
  <si>
    <t>847.8471170.1.420810.000000.847001.200179</t>
  </si>
  <si>
    <t>847.8471170.1.420811.000000.847001.200179</t>
  </si>
  <si>
    <t>847.8471170.1.425900.000000.847001.200179</t>
  </si>
  <si>
    <t>847.8471170.1.426610.000000.847001.200179</t>
  </si>
  <si>
    <t>847.8471170.1.428090.000000.847001.200179</t>
  </si>
  <si>
    <t>8471210</t>
  </si>
  <si>
    <t>KUST - SVP/ Academic &amp; Student Services Office</t>
  </si>
  <si>
    <t>847.8471210.1.425900.000000.847001.200179</t>
  </si>
  <si>
    <t>847.8471210.1.428090.000000.847001.200179</t>
  </si>
  <si>
    <t>847.8471210.1.428640.000000.847001.200179</t>
  </si>
  <si>
    <t>435530</t>
  </si>
  <si>
    <t>School consumables, not specifically mentioned elsewhere</t>
  </si>
  <si>
    <t>847.8471210.1.435530.000000.847001.200179</t>
  </si>
  <si>
    <t>8471220</t>
  </si>
  <si>
    <t>KUST - Registrar</t>
  </si>
  <si>
    <t>847.8471220.1.425510.000000.847001.200179</t>
  </si>
  <si>
    <t>425741</t>
  </si>
  <si>
    <t>Student stipend</t>
  </si>
  <si>
    <t>847.8471220.1.425741.000000.847001.200179</t>
  </si>
  <si>
    <t>847.8471220.1.426900.000000.847001.200179</t>
  </si>
  <si>
    <t>847.8471220.1.435340.000000.847001.200179</t>
  </si>
  <si>
    <t>847.8471220.1.436110.000000.847001.200179</t>
  </si>
  <si>
    <t>847.8471220.1.436120.000000.847001.200179</t>
  </si>
  <si>
    <t>8471230</t>
  </si>
  <si>
    <t>KUST - Student Enrollment</t>
  </si>
  <si>
    <t>425742</t>
  </si>
  <si>
    <t>Enrollment expenses</t>
  </si>
  <si>
    <t>847.8471230.1.425742.000000.847001.200179</t>
  </si>
  <si>
    <t>847.8471230.1.426610.000000.847001.200179</t>
  </si>
  <si>
    <t>8471240</t>
  </si>
  <si>
    <t>KUST - Student Success</t>
  </si>
  <si>
    <t>847.8471240.1.425510.000000.847001.200179</t>
  </si>
  <si>
    <t>847.8471240.1.425720.000000.847001.200179</t>
  </si>
  <si>
    <t>425750</t>
  </si>
  <si>
    <t>Skill assessment service</t>
  </si>
  <si>
    <t>847.8471240.1.425750.000000.847001.200179</t>
  </si>
  <si>
    <t>847.8471240.1.425761.000000.847001.200179</t>
  </si>
  <si>
    <t>847.8471240.1.425900.000000.847001.200179</t>
  </si>
  <si>
    <t>847.8471240.1.426610.000000.847001.200179</t>
  </si>
  <si>
    <t>847.8471240.1.427710.000000.847001.200179</t>
  </si>
  <si>
    <t>847.8471240.1.428090.000000.847001.200179</t>
  </si>
  <si>
    <t>847.8471240.1.428640.000000.847001.200179</t>
  </si>
  <si>
    <t>435330</t>
  </si>
  <si>
    <t>Library books</t>
  </si>
  <si>
    <t>847.8471240.1.435330.000000.847001.200179</t>
  </si>
  <si>
    <t>847.8471240.1.436110.000000.847001.200179</t>
  </si>
  <si>
    <t>847.8471240.1.436120.000000.847001.200179</t>
  </si>
  <si>
    <t>8471250</t>
  </si>
  <si>
    <t>KUST - Career Services</t>
  </si>
  <si>
    <t>847.8471250.1.425510.000000.847001.200179</t>
  </si>
  <si>
    <t>847.8471250.1.425720.000000.847001.200179</t>
  </si>
  <si>
    <t>847.8471250.1.425762.000000.847001.200179</t>
  </si>
  <si>
    <t>847.8471250.1.425900.000000.847001.200179</t>
  </si>
  <si>
    <t>847.8471250.1.426610.000000.847001.200179</t>
  </si>
  <si>
    <t>847.8471250.1.428090.000000.847001.200179</t>
  </si>
  <si>
    <t>847.8471250.1.428640.000000.847001.200179</t>
  </si>
  <si>
    <t>847.8471250.1.436110.000000.847001.200179</t>
  </si>
  <si>
    <t>8471260</t>
  </si>
  <si>
    <t>KUST - Student Life</t>
  </si>
  <si>
    <t>847.8471260.1.421100.000000.847001.200179</t>
  </si>
  <si>
    <t>847.8471260.1.425510.000000.847001.200179</t>
  </si>
  <si>
    <t>425746</t>
  </si>
  <si>
    <t>Student Transport</t>
  </si>
  <si>
    <t>847.8471260.1.425746.000000.847001.200179</t>
  </si>
  <si>
    <t>425747</t>
  </si>
  <si>
    <t>Student Accommodation</t>
  </si>
  <si>
    <t>847.8471260.1.425747.000000.847001.200179</t>
  </si>
  <si>
    <t>847.8471260.1.425760.000000.847001.200179</t>
  </si>
  <si>
    <t>847.8471260.1.425900.000000.847001.200179</t>
  </si>
  <si>
    <t>847.8471260.1.428640.000000.847001.200179</t>
  </si>
  <si>
    <t>847.8471260.1.435530.000000.847001.200179</t>
  </si>
  <si>
    <t>847.8471260.1.436110.000000.847001.200179</t>
  </si>
  <si>
    <t>8471270</t>
  </si>
  <si>
    <t>KUST - Libraries</t>
  </si>
  <si>
    <t>847.8471270.1.425900.000000.847001.200179</t>
  </si>
  <si>
    <t>847.8471270.1.428090.000000.847001.200179</t>
  </si>
  <si>
    <t>847.8471270.1.435330.000000.847001.200179</t>
  </si>
  <si>
    <t>847.8471270.1.436110.000000.847001.200179</t>
  </si>
  <si>
    <t>8471280</t>
  </si>
  <si>
    <t>KUST - Center for Teaching &amp; Learning</t>
  </si>
  <si>
    <t>847.8471280.1.425100.000000.847001.200179</t>
  </si>
  <si>
    <t>847.8471280.1.425510.000000.847001.200179</t>
  </si>
  <si>
    <t>847.8471280.1.425550.000000.847001.200179</t>
  </si>
  <si>
    <t>425710</t>
  </si>
  <si>
    <t>Higher education and specialisation incentives</t>
  </si>
  <si>
    <t>847.8471280.1.425710.000000.847001.200179</t>
  </si>
  <si>
    <t>847.8471280.1.425760.000000.847001.200179</t>
  </si>
  <si>
    <t>847.8471280.1.425770.000000.847001.200179</t>
  </si>
  <si>
    <t>847.8471280.1.426610.000000.847001.200179</t>
  </si>
  <si>
    <t>847.8471280.1.428640.000000.847001.200179</t>
  </si>
  <si>
    <t>847.8471280.1.432170.000000.847001.200179</t>
  </si>
  <si>
    <t>847.8471280.1.435340.000000.847001.200179</t>
  </si>
  <si>
    <t>847.8471280.1.435530.000000.847001.200179</t>
  </si>
  <si>
    <t>8471305</t>
  </si>
  <si>
    <t>KUST - Dean Of Medicine</t>
  </si>
  <si>
    <t>847.8471305.1.420570.000000.847001.200179</t>
  </si>
  <si>
    <t>847.8471305.1.420810.000000.847001.200179</t>
  </si>
  <si>
    <t>847.8471305.1.420811.000000.847001.200179</t>
  </si>
  <si>
    <t>847.8471305.1.421000.000000.847001.200179</t>
  </si>
  <si>
    <t>847.8471305.1.421700.000000.847001.200179</t>
  </si>
  <si>
    <t>422100</t>
  </si>
  <si>
    <t>Waste management service</t>
  </si>
  <si>
    <t>847.8471305.1.422100.000000.847001.200179</t>
  </si>
  <si>
    <t>847.8471305.1.425510.000000.847001.200179</t>
  </si>
  <si>
    <t>847.8471305.1.425550.000000.847001.200179</t>
  </si>
  <si>
    <t>847.8471305.1.425720.000000.847001.200179</t>
  </si>
  <si>
    <t>847.8471305.1.425742.000000.847001.200179</t>
  </si>
  <si>
    <t>847.8471305.1.425745.000000.847001.200179</t>
  </si>
  <si>
    <t>847.8471305.1.425746.000000.847001.200179</t>
  </si>
  <si>
    <t>847.8471305.1.425749.000000.847001.200179</t>
  </si>
  <si>
    <t>847.8471305.1.425750.000000.847001.200179</t>
  </si>
  <si>
    <t>847.8471305.1.425762.000000.847001.200179</t>
  </si>
  <si>
    <t>847.8471305.1.425763.000000.847001.200179</t>
  </si>
  <si>
    <t>847.8471305.1.425900.000000.847001.200179</t>
  </si>
  <si>
    <t>847.8471305.1.426100.000000.847001.200179</t>
  </si>
  <si>
    <t>847.8471305.1.426610.000000.847001.200179</t>
  </si>
  <si>
    <t>847.8471305.1.426900.000000.847001.200179</t>
  </si>
  <si>
    <t>847.8471305.1.427200.000000.847001.200179</t>
  </si>
  <si>
    <t>847.8471305.1.427710.000000.847001.200179</t>
  </si>
  <si>
    <t>847.8471305.1.427810.000000.847001.200179</t>
  </si>
  <si>
    <t>847.8471305.1.428090.000000.847001.200179</t>
  </si>
  <si>
    <t>847.8471305.1.428640.000000.847001.200179</t>
  </si>
  <si>
    <t>847.8471305.1.432205.000000.847001.200179</t>
  </si>
  <si>
    <t>847.8471305.1.432209.000000.847001.200179</t>
  </si>
  <si>
    <t>432210</t>
  </si>
  <si>
    <t>Medical equipment</t>
  </si>
  <si>
    <t>847.8471305.1.432210.000000.847001.200179</t>
  </si>
  <si>
    <t>847.8471305.1.435330.000000.847001.200179</t>
  </si>
  <si>
    <t>847.8471305.1.435340.000000.847001.200179</t>
  </si>
  <si>
    <t>847.8471305.1.435350.000000.847001.200179</t>
  </si>
  <si>
    <t>847.8471305.1.435508.000000.847001.200179</t>
  </si>
  <si>
    <t>847.8471305.1.435530.000000.847001.200179</t>
  </si>
  <si>
    <t>847.8471305.1.436110.000000.847001.200179</t>
  </si>
  <si>
    <t>847.8471305.1.436120.000000.847001.200179</t>
  </si>
  <si>
    <t>492316</t>
  </si>
  <si>
    <t>847.8470110.1.492316.000000.847001.300180</t>
  </si>
  <si>
    <t>495113</t>
  </si>
  <si>
    <t>Computer software-Application, Platform</t>
  </si>
  <si>
    <t>847.8470120.1.495113.000000.847001.300180</t>
  </si>
  <si>
    <t>492310</t>
  </si>
  <si>
    <t>Hardware &amp; peripherals</t>
  </si>
  <si>
    <t>847.8470140.1.492310.000000.847001.300180</t>
  </si>
  <si>
    <t>847.8470230.1.492310.000000.847001.300180</t>
  </si>
  <si>
    <t>847.8470310.1.492316.000000.847001.300180</t>
  </si>
  <si>
    <t>847.8470315.1.492316.000000.847001.300180</t>
  </si>
  <si>
    <t>847.8470320.1.492316.000000.847001.300180</t>
  </si>
  <si>
    <t>495140</t>
  </si>
  <si>
    <t>Copyrights, patents and licenses</t>
  </si>
  <si>
    <t>847.8470320.1.495140.000000.847001.300180</t>
  </si>
  <si>
    <t>847.8470325.1.492316.000000.847001.300180</t>
  </si>
  <si>
    <t>847.8470330.1.492316.000000.847001.300180</t>
  </si>
  <si>
    <t>847.8470335.1.492316.000000.847001.300180</t>
  </si>
  <si>
    <t>847.8470340.1.492316.000000.847001.300180</t>
  </si>
  <si>
    <t>847.8470345.1.492316.000000.847001.300180</t>
  </si>
  <si>
    <t>847.8470350.1.492316.000000.847001.300180</t>
  </si>
  <si>
    <t>847.8470415.1.492316.000000.847001.300180</t>
  </si>
  <si>
    <t>847.8470425.1.492310.000000.847001.300180</t>
  </si>
  <si>
    <t>847.8470425.1.492316.000000.847001.300180</t>
  </si>
  <si>
    <t>847.8470450.1.492310.000000.847001.300180</t>
  </si>
  <si>
    <t>847.8470450.1.492316.000000.847001.300180</t>
  </si>
  <si>
    <t>847.8470455.1.492316.000000.847001.300180</t>
  </si>
  <si>
    <t>847.8470520.1.492316.000000.847001.300180</t>
  </si>
  <si>
    <t>492200</t>
  </si>
  <si>
    <t>Capital expense - Buildings</t>
  </si>
  <si>
    <t>847.8470530.1.492200.000000.847001.300180</t>
  </si>
  <si>
    <t>847.8470530.1.492200.000000.847010.300180</t>
  </si>
  <si>
    <t>847.8470530.1.492200.000000.847015.300180</t>
  </si>
  <si>
    <t>847.8470530.1.492200.000000.847020.300180</t>
  </si>
  <si>
    <t>492610</t>
  </si>
  <si>
    <t>Furniture &amp; Fixtures - Offices</t>
  </si>
  <si>
    <t>847.8470530.1.492610.000000.847010.300180</t>
  </si>
  <si>
    <t>847.8470530.1.492610.000000.847015.300180</t>
  </si>
  <si>
    <t>847.8470530.1.492610.000000.847020.300180</t>
  </si>
  <si>
    <t>847.8470530.1.495113.000000.847010.300180</t>
  </si>
  <si>
    <t>847.8470530.1.495140.000000.847010.300180</t>
  </si>
  <si>
    <t>495110</t>
  </si>
  <si>
    <t>Computer software</t>
  </si>
  <si>
    <t>847.8470720.1.495110.000000.847001.300180</t>
  </si>
  <si>
    <t>847.8470720.1.495113.000000.847001.300180</t>
  </si>
  <si>
    <t>847.8470730.1.492610.000000.847001.300180</t>
  </si>
  <si>
    <t>847.8470810.1.492310.000000.847001.300180</t>
  </si>
  <si>
    <t>492352</t>
  </si>
  <si>
    <t>Hardware &amp; peripherals-Network Devices</t>
  </si>
  <si>
    <t>847.8470810.1.492352.000000.847001.300180</t>
  </si>
  <si>
    <t>492354</t>
  </si>
  <si>
    <t>Hardware &amp; peripherals-Peripherals &amp; Infrastructure Components</t>
  </si>
  <si>
    <t>847.8470810.1.492354.000000.847001.300180</t>
  </si>
  <si>
    <t>492356</t>
  </si>
  <si>
    <t>Hardware &amp; peripherals-Conferencing &amp; AV</t>
  </si>
  <si>
    <t>847.8470810.1.492356.000000.847001.300180</t>
  </si>
  <si>
    <t>847.8470810.1.495110.000000.847001.300180</t>
  </si>
  <si>
    <t>847.8470810.1.495113.000000.847001.300180</t>
  </si>
  <si>
    <t>847.8471110.1.492316.000000.847001.300180</t>
  </si>
  <si>
    <t>847.8471140.1.492316.000000.847001.300180</t>
  </si>
  <si>
    <t>847.8471160.1.492200.000000.847001.300180</t>
  </si>
  <si>
    <t>847.8471160.1.492316.000000.847001.300180</t>
  </si>
  <si>
    <t>847.8471170.1.492316.000000.847001.300180</t>
  </si>
  <si>
    <t>847.8471170.1.495110.000000.847001.300180</t>
  </si>
  <si>
    <t>847.8471170.1.495113.000000.847001.300180</t>
  </si>
  <si>
    <t>847.8471280.1.492316.000000.847001.300180</t>
  </si>
  <si>
    <t>847.8471305.1.492310.000000.847001.300180</t>
  </si>
  <si>
    <t>847.8471305.1.492316.000000.847001.300180</t>
  </si>
  <si>
    <t>847.8471305.1.492610.000000.847001.300180</t>
  </si>
  <si>
    <t>847.8471305.1.495140.000000.847001.300180</t>
  </si>
  <si>
    <t xml:space="preserve">Budget Performance Quarter 02 - 2022 </t>
  </si>
  <si>
    <t>Q3 Utilization Plan</t>
  </si>
  <si>
    <t>Expected Surplus Justification</t>
  </si>
  <si>
    <t>Expected Budget Surplus Amount</t>
  </si>
  <si>
    <t>HSE Day Yearly Event &amp; Flu Vaccination Program</t>
  </si>
  <si>
    <t xml:space="preserve">no related foreseeable expenses </t>
  </si>
  <si>
    <t xml:space="preserve">
Possible subscription of EHS awards  entry form for 2023.
EHS Team members International membership 
(Capacity Building) 
</t>
  </si>
  <si>
    <t>First Aider training implementation for PhD/ Grad Students working in Labs, Lab Supplies &amp; EHS Components not in blanket system,  EHS Signs, Energy Management System standard requirements- Third party validation</t>
  </si>
  <si>
    <t>Remaining amount is small. Could not purchase any lab equipment</t>
  </si>
  <si>
    <t xml:space="preserve">Moving services </t>
  </si>
  <si>
    <t>Catering services needed</t>
  </si>
  <si>
    <t>MASDER payments</t>
  </si>
  <si>
    <t xml:space="preserve">ISO certificates </t>
  </si>
  <si>
    <t>planned events</t>
  </si>
  <si>
    <t>planned</t>
  </si>
  <si>
    <t>insurance</t>
  </si>
  <si>
    <t>Three vehicles insurance</t>
  </si>
  <si>
    <t xml:space="preserve">Adhoc Operational requirement </t>
  </si>
  <si>
    <t>Petty Cash</t>
  </si>
  <si>
    <t>sports supplies</t>
  </si>
  <si>
    <t xml:space="preserve">Pending payments </t>
  </si>
  <si>
    <t xml:space="preserve">need to raise BT to catering services account </t>
  </si>
  <si>
    <t>Extra funds due to 2 cars right off</t>
  </si>
  <si>
    <t xml:space="preserve">extra funds </t>
  </si>
  <si>
    <t>Transfer to Manpower account 413310</t>
  </si>
  <si>
    <t>cars renewal</t>
  </si>
  <si>
    <t>Renewal of the post box and expenses of the courier services  </t>
  </si>
  <si>
    <t xml:space="preserve">Payment of shuttle bus drivers </t>
  </si>
  <si>
    <t>Vehicle maintenance and Tayer change for the fleet  </t>
  </si>
  <si>
    <t>Catering supplies</t>
  </si>
  <si>
    <t>Fuel,Oil</t>
  </si>
  <si>
    <t xml:space="preserve">Extra funds </t>
  </si>
  <si>
    <t>extra funds due to 2 cars right off</t>
  </si>
  <si>
    <r>
      <t>Actual needed is 900,000 AED until end of the current year</t>
    </r>
    <r>
      <rPr>
        <sz val="11"/>
        <color rgb="FF000000"/>
        <rFont val="Calibri"/>
        <family val="2"/>
      </rPr>
      <t> </t>
    </r>
  </si>
  <si>
    <t>Extra funds in awarded PR</t>
  </si>
  <si>
    <t>Required to pay using PMR</t>
  </si>
  <si>
    <t>To pay clearance charges</t>
  </si>
  <si>
    <t>To reorder stock items against Blanket PO</t>
  </si>
  <si>
    <t>PR to be submitted next week by FM</t>
  </si>
  <si>
    <t>To reorder Print consumables</t>
  </si>
  <si>
    <t>25000 only available now, which will be used for reordering stationery stock items, PO issued for 36248.00</t>
  </si>
  <si>
    <t>Part of the scope has been covered by FM using FM Budget</t>
  </si>
  <si>
    <t>Handed over to FM Admin</t>
  </si>
  <si>
    <t>No surplus</t>
  </si>
  <si>
    <t>Will coordinate expenditure with CoAS management</t>
  </si>
  <si>
    <t>Field trips will occur in semester (Oct - Dec)</t>
  </si>
  <si>
    <t>Project expenditure in Semester 2 (Oct - Dec)</t>
  </si>
  <si>
    <t>Most conference expenditure occurs in Summer - Q3</t>
  </si>
  <si>
    <t>PR has been issued recently</t>
  </si>
  <si>
    <t>Purchases to be made</t>
  </si>
  <si>
    <t>Further purchases to be made</t>
  </si>
  <si>
    <t>Papers continue to be published all year</t>
  </si>
  <si>
    <t>Videoing to be done in Q4 (Semester 2)</t>
  </si>
  <si>
    <t>We will try to spend the balance in Q3</t>
  </si>
  <si>
    <t>Expected application to CAA for nerw Masters degree will not go ahead.</t>
  </si>
  <si>
    <t>Advisory board unlikely to be held</t>
  </si>
  <si>
    <t xml:space="preserve">*full year audit 2021 50% remaining payment AED 45,450 expected in Q3
*ICFR year 2021 50% remaining payment AED 30,300 expected in Q3.
*Mid year 2022 AED 35,350 in Q3
* full year audit 2022 50% advance AED 70,700 in Q4
*ICFR year 2022 50% advance AED 30,300 in Q4
</t>
  </si>
  <si>
    <t>bank auto charges for the daily transaction</t>
  </si>
  <si>
    <t>renewal of SPAN tagging system.  PR is under process this month</t>
  </si>
  <si>
    <t>fund required to cover the deficit AED 85,540</t>
  </si>
  <si>
    <t>to be moved to A/C 420130 to cover part of the deficit</t>
  </si>
  <si>
    <t>This will be used for upcoming workshops</t>
  </si>
  <si>
    <t>This will be used for department Subscrpitions due for renewal</t>
  </si>
  <si>
    <t>Business travels and conferences in Q3 &amp; Q4</t>
  </si>
  <si>
    <t>Set up the first meeting of the Institute's Advisory Board and for visiting positions</t>
  </si>
  <si>
    <t>Participation in regional and international events and research collaborations</t>
  </si>
  <si>
    <t>Institute-wide software platforms</t>
  </si>
  <si>
    <t>Non-utlized amounts can be transferred to 435523 as it will likely fall short.</t>
  </si>
  <si>
    <t xml:space="preserve">hosting potential sponsors, and Q4 MI institute retreat </t>
  </si>
  <si>
    <t>planned visits of project partner institutions, and meeting VRI advisory board</t>
  </si>
  <si>
    <t>Non-utlized amounts can be transferred to either 435523 or 432209 as both will likely fall short.</t>
  </si>
  <si>
    <t>This is for external review payments, normally consumed late in the fiscal year at the end of a funding call cycle</t>
  </si>
  <si>
    <t>Staff have identified professional development conferences in Aug &amp; Oct 2022</t>
  </si>
  <si>
    <t>Funds will be fully consumed by exisiting projects and new FSU/CIRA/Center awards starting during 2022</t>
  </si>
  <si>
    <t>Most likely more funds will be needed</t>
  </si>
  <si>
    <t>Arranging technology showcase around 4th quarter</t>
  </si>
  <si>
    <t>One member will attend international conference by 4th Quarter</t>
  </si>
  <si>
    <t>PR submitted for annual license subscription</t>
  </si>
  <si>
    <t>It was considered in case is needed if not will be transferred to other ledger lines where it will be used</t>
  </si>
  <si>
    <t>If no software renewal requests received from Research Centers remaining fund to be transferred to account 432209 for utilization in Q3, 2022.</t>
  </si>
  <si>
    <t>Remaining fund to be transferred to account 432209 for utilization in Q3, 2022.</t>
  </si>
  <si>
    <t>(i) Costs for removal of the most dangerous/expired toxic gases in the RL cleanroom in process of being finalized with vendor (~AED 1.00 MM, initial estimate AED 2.20 M). (ii) MIDAS gas detector maintenance costing for cleanroom under review AED 200 k. (iii) Delays in Arzanah rectification works have delayed operationalizing labs which will subsequently establish remaining needs (i.e. such as equipment repairs).</t>
  </si>
  <si>
    <t>(i) Procurement Department (PCD) requested RL to check submitted vendor invoices for liquid nitrogen consumption in the cleanroom. Consumption accuracy was confirmed. PCD  to revert back to RL on how to process both billed and remaining expected expenditure for 2022 (~AED 0.9 MM). (ii) Unable to source a suitable vendor to provide specialized gases (C4F8) for cleanroom (~AED 200 k). (iii) (i) Costs for removal of most dangerous/expired toxic gases in the RL cleanroom in process of being finalized with vendor (~AED 1.00 MM, initial estimate AED 2.20 M). (ii) MIDAS gas detector maintenance costing for cleanroom under review AED 200 k. (iii) Delays in Arzanah rectification works have delayed operationalizing labs which will subsequently establish remaining needs (i.e. such as consumables).</t>
  </si>
  <si>
    <t>Raised two PRs in august. One for HPC software support and maintence and one for AWS professional services. Balance of funds should be used to pay for RC SLA with Ankabut</t>
  </si>
  <si>
    <t>Outreach event to be held</t>
  </si>
  <si>
    <t>Some funds were transferred IT services budget account to pay for AWS professional services. Balance of funds should be used to pay for SLA with Ankabut</t>
  </si>
  <si>
    <t>two members of staff planning on attending conferences in November</t>
  </si>
  <si>
    <t>Funds for Animal Research Facility, BSL2 Laboratory, Cleanroom and Wind Tunnel infrastructure projects being provided via Office of SVP Support Services.</t>
  </si>
  <si>
    <t>Remaining funds to utilized by August 10, 2022 based on finalized equipment specifications.</t>
  </si>
  <si>
    <t>None</t>
  </si>
  <si>
    <t>None, I expect we will need additonal funds in 2022.</t>
  </si>
  <si>
    <t>Do not expect a surplus as all funds to be utilized in Quarter 3.</t>
  </si>
  <si>
    <t>Do not expect a surplus, as all funds should be used to pay for PRs in the system or to pay for SLA with Ankabut</t>
  </si>
  <si>
    <t>Do not expect a surplus, as balance of funds should be used to pay for SLA with Ankabut</t>
  </si>
  <si>
    <t xml:space="preserve">CAPEX is a carryforward from 2021.  The remaining funds are unlikley to be consumed in 2022 now. </t>
  </si>
  <si>
    <t>If funds for SLA with Ankabut agreed, the balance of this budget would be transferred to Reseach Labs</t>
  </si>
  <si>
    <t>Brochure to finalized on Fall 2022</t>
  </si>
  <si>
    <t>PD week guest speakers' honorarium, food catering for Fall 2022</t>
  </si>
  <si>
    <t>Conferences in the Fall 2022</t>
  </si>
  <si>
    <t>Accreditation and Faculty Fellowship (ADVANCE HE), and Faculty awards</t>
  </si>
  <si>
    <t>Experiential Learning Symposium (website, fliers, and prizes)</t>
  </si>
  <si>
    <t>WebsEdge - American Society for Engineering Education Annual Conference - KU Advertising Video &amp; Mini-grant awards</t>
  </si>
  <si>
    <t>Qwickly Attendance Tool in BB, and other BB Assessment &amp; Project Management Tools</t>
  </si>
  <si>
    <t>PD week, tutoring and mentoring supports and activities collaboration with other student services department, Teaching Certificate for Tas</t>
  </si>
  <si>
    <t>FM will implement Phase 2 - workshop room enclosed, IT cable and wiring updates.</t>
  </si>
  <si>
    <t>E-books to be recommended by CTL team/integrate in Bb so faculty can access it, to purchase by Library for CTL.</t>
  </si>
  <si>
    <t>Stationery not included in FM storeroom, staff offices' material requirements</t>
  </si>
  <si>
    <t>amount already consumed on bicycle project by project owner</t>
  </si>
  <si>
    <t>Will be used for paying the external examiners of PhD defenses. This is usually done by end of Spring 2022, Summer 2022 and Fall 2022 and will depend on the number of students graduating in these semesters.  Please note that many external examiners contracts payment were raised by end of Summer 2022</t>
  </si>
  <si>
    <t>Will be used to advertise for Spring 2023 Admission graduate programs.</t>
  </si>
  <si>
    <t>Will be used to cover the expenses of students attending local conferences and events.</t>
  </si>
  <si>
    <t>Will be used to cover the expenses of students attending International conferences and events.</t>
  </si>
  <si>
    <t>Were used to pay MI legacy students who are eligible for graduation award as per their contract.</t>
  </si>
  <si>
    <t>Will be used to pay students medical insurance.  The payment will be made mainly in Fall 2022 semester and for students whom visas are expired and need to be renewed.  There is also a proposal to upgrade the insurance plan for graduate students.</t>
  </si>
  <si>
    <t>The amount will be used for mobilization (mainly overseas students who will join in Fall 2022) and demobilization of students (who graduated in Spring 2022 and Summer 2022), as well as annual travel allowance payments in April and November.</t>
  </si>
  <si>
    <t>More than 50% of funds is already consumed during Q1 and Q2 to pay student stipends. The remaining 50% will be divided in the remaining quarters (Q3 and Q4).  There might be a shortage of stipend that needs to be covered since wer are expecting good number of students to join in Fall 2022</t>
  </si>
  <si>
    <t>To cover field trips for graduate students.</t>
  </si>
  <si>
    <t>Will be used to cover the expenses of student internships. The internship program was launched recently and many students already applied for internship programs</t>
  </si>
  <si>
    <t>Some social events will take place after Ramadan. The amount will be used to cover the expenses of these events.</t>
  </si>
  <si>
    <t>For S/W licenses renewal.</t>
  </si>
  <si>
    <t>Will be used to cover expenses related to events either locally or internationally.</t>
  </si>
  <si>
    <t>Will be used for some initiatives related to graduate student recruitment, prizes for best thesis award, gifts for external examiners visiting KU in person.</t>
  </si>
  <si>
    <t>Mainly for graduate catalog but can be used for other publication materials.</t>
  </si>
  <si>
    <t xml:space="preserve">attending ELUCISON conference </t>
  </si>
  <si>
    <t>Will be used in Fall 2022</t>
  </si>
  <si>
    <t>PR will be raised in Fall semester against contract with Magrudy</t>
  </si>
  <si>
    <t>PR will be raised in Q4</t>
  </si>
  <si>
    <t>can be transferred to another account</t>
  </si>
  <si>
    <t>We have National and international Recruitment events for Fall 2022</t>
  </si>
  <si>
    <t>Awaiting the new CRM solution implementation</t>
  </si>
  <si>
    <t>To be used for student International Internship (to cover airfare, accommodation, travel insurance and admission fees if any)</t>
  </si>
  <si>
    <t>To be used to cover events and other expenses</t>
  </si>
  <si>
    <t>to be used for Alumni reunion event for 2022</t>
  </si>
  <si>
    <t xml:space="preserve">_AED 100,000 will be transferred to Student Accommodation_ AED 24,806 for Resident Life Gathering Events and Celebrations </t>
  </si>
  <si>
    <t>_AED 8824429.50  is the estimated cost for Q1, Q2 &amp; Q3. AED 3287442.25 is the estimated cost for Q4+ Fuel AED 142,085</t>
  </si>
  <si>
    <t xml:space="preserve">_AED 54,400 is for fixing/moving furniture into living/study rooms in Spring 2022_AED 230,400 for renting 18 beds in ADU Accommodation_ AED 16000 is for New TVs in the Dorms_AED 185,000 will be transferred into this account. </t>
  </si>
  <si>
    <t>_AED 50,000 is for PR for KU Club Fair 2022_AED 225,600 is for PR related to Sport Coaching Services for Sports Activities _AED 100,000 will be transferred to other account"School Consumable..etc_AED 45,000 + AED 12,000 + AED 12,000 will be transferred to Entertainment and Hospitality to raise request for Catering for the Orientation &amp; National Day &amp; RL Gathering _AED 30,000 is advance cash for students activities to support UAE National Day_AED 15000 is advance petty cash for KU Club Day_ AED 15,000 is for sport activity (races on the screens through out the session..etc)_AED 15,000 Clubs events and activities_ AED 12,000 Group Painting Session For Flag Day.</t>
  </si>
  <si>
    <t xml:space="preserve">_AED 22,800 is for welcome gift for KU Resident Student on their first day of arrival in the dorm_ Remaining amount will be used for catering requests for small events_AED 69,000 will be transferred into this account to cover catering cost fro National Day, Social Gathering Event &amp; Orientation </t>
  </si>
  <si>
    <t xml:space="preserve">_Will used to purchase gifts and prizes, trophies and medals for competitions and events </t>
  </si>
  <si>
    <t xml:space="preserve">_AED 100,000 will be transferred into this account from Student Activities Account to raise PR for Sports Uniforms, tools and equipment. </t>
  </si>
  <si>
    <t xml:space="preserve">_Will be used to print out welcoming notes to KU Residents_ Roll-ups and Flyers for the Orientation Printing Materials &amp; posters for Club Day and National Day </t>
  </si>
  <si>
    <t>The library will host open access campaigns, author workshops, and publication events.</t>
  </si>
  <si>
    <t xml:space="preserve">The library team will attend courses and workshops during the summer and fall semesters. </t>
  </si>
  <si>
    <t xml:space="preserve">To renew the existing subscription and pending PRs, extend open access , Almo system, credit card payment </t>
  </si>
  <si>
    <t>Publication KPI  - We are planning for multiple staff to attend international conferences</t>
  </si>
  <si>
    <t>Related to executing the publication KPI - We are planning for paid consultants in academic advising practices and research</t>
  </si>
  <si>
    <t>Financial support for the Study Abroad program - Funds are allocated for stipends and additional costs for the fall 2022 study abroad student</t>
  </si>
  <si>
    <t xml:space="preserve">In-house refreshments for the CSSR and SDG courses </t>
  </si>
  <si>
    <t>International certification for the CSSR and SDG courses</t>
  </si>
  <si>
    <t>International travel for conference presentation</t>
  </si>
  <si>
    <t xml:space="preserve">Community service hours reward - Award students with the highest number of community service hours </t>
  </si>
  <si>
    <t>Student Success related literature - Counseling, academic advising, and student engagement and development literature will be purchased</t>
  </si>
  <si>
    <t xml:space="preserve">Honors Day - Printing certificates for the Golden Key ceremony </t>
  </si>
  <si>
    <t xml:space="preserve">We don't currently have plans for assessment services  </t>
  </si>
  <si>
    <t xml:space="preserve">The allocated funding for EAB Navigate has been paid, and the 218 is the remaining </t>
  </si>
  <si>
    <t xml:space="preserve">We don't currently have plans for additional stationary  </t>
  </si>
  <si>
    <t>SLA KU Ankabut signed in July 2022</t>
  </si>
  <si>
    <t>Software PR being processed</t>
  </si>
  <si>
    <t>Process Etisalat/DU invoices</t>
  </si>
  <si>
    <t>Process Etisalat/DU invoices. 405K transferred to 427810 pay 2022 Mobile/Tel bills</t>
  </si>
  <si>
    <t>Travel for events or DR site in  Al Ain</t>
  </si>
  <si>
    <t>PRs processed in July (Remaining 18K for PRs related to spare parts and accessories)</t>
  </si>
  <si>
    <t>Processing Printing invoices</t>
  </si>
  <si>
    <t xml:space="preserve">File Sharing Software PR </t>
  </si>
  <si>
    <t>Initial budget estimation</t>
  </si>
  <si>
    <t>Outstanding amount after transfer of manpower reourses to Chapt1 as per DGS contract</t>
  </si>
  <si>
    <t>Amount needed to process old Etisalat Invoices ex.PI for 2019-20-21</t>
  </si>
  <si>
    <t>Feedback status</t>
  </si>
  <si>
    <t>no</t>
  </si>
  <si>
    <t>yes</t>
  </si>
  <si>
    <t>CC group</t>
  </si>
  <si>
    <t>office of the president</t>
  </si>
  <si>
    <t>EVP office</t>
  </si>
  <si>
    <t>Provost office</t>
  </si>
  <si>
    <t>Academic &amp; student service office</t>
  </si>
  <si>
    <t>College of engineering</t>
  </si>
  <si>
    <t>College of Art &amp; science</t>
  </si>
  <si>
    <t>Administrations, Facilities &amp; EHS office</t>
  </si>
  <si>
    <t>Finane &amp; Business development office</t>
  </si>
  <si>
    <t>Procurement office</t>
  </si>
  <si>
    <t>HR office</t>
  </si>
  <si>
    <t>Ankabut office</t>
  </si>
  <si>
    <t>Continuing Education office</t>
  </si>
  <si>
    <t>Research &amp; development office</t>
  </si>
  <si>
    <t>College of medicine</t>
  </si>
  <si>
    <t>Row Labels</t>
  </si>
  <si>
    <t>Grand Total</t>
  </si>
  <si>
    <t xml:space="preserve"> Expected Budget Surplus Amount</t>
  </si>
  <si>
    <t xml:space="preserve"> Budget</t>
  </si>
  <si>
    <t xml:space="preserve"> Actual Amount</t>
  </si>
  <si>
    <t xml:space="preserve"> PR</t>
  </si>
  <si>
    <t xml:space="preserve"> PO</t>
  </si>
  <si>
    <t xml:space="preserve"> Q3 Utilization Plan</t>
  </si>
  <si>
    <t xml:space="preserve"> q4 Utilization Plan</t>
  </si>
  <si>
    <t>Sum of Budget</t>
  </si>
  <si>
    <t>(All)</t>
  </si>
  <si>
    <t>Fund Status Surplus/Deficit</t>
  </si>
  <si>
    <t>Q4 Utilization Plan</t>
  </si>
  <si>
    <t>Acoount level</t>
  </si>
  <si>
    <t>Act</t>
  </si>
  <si>
    <t xml:space="preserve">PR </t>
  </si>
  <si>
    <t>Fund</t>
  </si>
  <si>
    <t>Suplus/Deficit</t>
  </si>
  <si>
    <t>Justification</t>
  </si>
  <si>
    <t>Cost center</t>
  </si>
  <si>
    <t>42xxx</t>
  </si>
  <si>
    <t>847xx</t>
  </si>
  <si>
    <t>Details</t>
  </si>
  <si>
    <t>Sumamary chpter</t>
  </si>
  <si>
    <t>As per Dr.John advised it will be paid  fully</t>
  </si>
  <si>
    <t>Yes</t>
  </si>
  <si>
    <t>No</t>
  </si>
  <si>
    <t>Sum of Fund Available</t>
  </si>
  <si>
    <t>Cost Center Description with Code</t>
  </si>
  <si>
    <t>xx</t>
  </si>
  <si>
    <t xml:space="preserve"> Office of the President - 8470110</t>
  </si>
  <si>
    <t xml:space="preserve"> Audit - 8470120</t>
  </si>
  <si>
    <t xml:space="preserve"> Institutional Research &amp; Planning - 8470130</t>
  </si>
  <si>
    <t xml:space="preserve"> Communication - 8470140</t>
  </si>
  <si>
    <t xml:space="preserve"> General Counsel - 8470150</t>
  </si>
  <si>
    <t xml:space="preserve"> Office of the Provost - 8470220</t>
  </si>
  <si>
    <t xml:space="preserve"> Graduate Studies - 8470230</t>
  </si>
  <si>
    <t xml:space="preserve"> Dean Of Engineering - 8470305</t>
  </si>
  <si>
    <t xml:space="preserve"> Aerospace Engineering - 8470310</t>
  </si>
  <si>
    <t xml:space="preserve"> Biomedical Engineering - 8470315</t>
  </si>
  <si>
    <t xml:space="preserve"> Chemical Engineering - 8470320</t>
  </si>
  <si>
    <t xml:space="preserve"> Civil Engineering - 8470325</t>
  </si>
  <si>
    <t xml:space="preserve"> Electrical &amp; Computer Engineering - 8470330</t>
  </si>
  <si>
    <t xml:space="preserve"> Industrial &amp; Systems Engineering - 8470335</t>
  </si>
  <si>
    <t xml:space="preserve"> Mechanical Engineering - 8470340</t>
  </si>
  <si>
    <t xml:space="preserve"> Nuclear Engineering - 8470345</t>
  </si>
  <si>
    <t xml:space="preserve"> Petroleum Engineering - 8470350</t>
  </si>
  <si>
    <t xml:space="preserve"> Dean Of Arts &amp; Science - 8470405</t>
  </si>
  <si>
    <t xml:space="preserve"> Institute of International &amp; Civil Security - 8470410</t>
  </si>
  <si>
    <t xml:space="preserve"> Chemistry - 8470415</t>
  </si>
  <si>
    <t xml:space="preserve"> Physics - 8470425</t>
  </si>
  <si>
    <t xml:space="preserve"> Preparatory Program - 8470430</t>
  </si>
  <si>
    <t xml:space="preserve"> Department of English - 8470435</t>
  </si>
  <si>
    <t xml:space="preserve"> Humanities &amp; Social Sciences - 8470440</t>
  </si>
  <si>
    <t xml:space="preserve"> Mathematics - 8470445</t>
  </si>
  <si>
    <t xml:space="preserve"> Earth Science - 8470450</t>
  </si>
  <si>
    <t xml:space="preserve"> Biology - 8470455</t>
  </si>
  <si>
    <t xml:space="preserve"> Environment, Health &amp; Safety - 8470520</t>
  </si>
  <si>
    <t xml:space="preserve"> Facilities Management - 8470530</t>
  </si>
  <si>
    <t xml:space="preserve"> Administration - 8470540</t>
  </si>
  <si>
    <t xml:space="preserve"> Finance Operations - 8470620</t>
  </si>
  <si>
    <t xml:space="preserve"> Procurement and Contracts - 8470720</t>
  </si>
  <si>
    <t xml:space="preserve"> Human Resources - 8470730</t>
  </si>
  <si>
    <t xml:space="preserve"> Ankabut office - 8470810</t>
  </si>
  <si>
    <t xml:space="preserve"> Continuing Education Office - 8471010</t>
  </si>
  <si>
    <t xml:space="preserve"> SVP/ Research &amp; Development Office - 8471110</t>
  </si>
  <si>
    <t xml:space="preserve"> Institute for Automation, Information Science &amp; Communication - 8471120</t>
  </si>
  <si>
    <t xml:space="preserve"> Petroleum Institute - 8471121</t>
  </si>
  <si>
    <t xml:space="preserve"> Masdar Institute - 8471122</t>
  </si>
  <si>
    <t xml:space="preserve"> Research Service - 8471130</t>
  </si>
  <si>
    <t xml:space="preserve"> University Sponsored Research - 8471140</t>
  </si>
  <si>
    <t xml:space="preserve"> Technology Management &amp; Innovation - 8471150</t>
  </si>
  <si>
    <t xml:space="preserve"> Research Laboratories - 8471160</t>
  </si>
  <si>
    <t xml:space="preserve"> Research Computing - 8471170</t>
  </si>
  <si>
    <t xml:space="preserve"> SVP/ Academic &amp; Student Services Office - 8471210</t>
  </si>
  <si>
    <t xml:space="preserve"> Registrar - 8471220</t>
  </si>
  <si>
    <t xml:space="preserve"> Student Enrollment - 8471230</t>
  </si>
  <si>
    <t xml:space="preserve"> Student Success - 8471240</t>
  </si>
  <si>
    <t xml:space="preserve"> Career Services - 8471250</t>
  </si>
  <si>
    <t xml:space="preserve"> Student Life - 8471260</t>
  </si>
  <si>
    <t xml:space="preserve"> Libraries - 8471270</t>
  </si>
  <si>
    <t xml:space="preserve"> Center for Teaching &amp; Learning - 8471280</t>
  </si>
  <si>
    <t xml:space="preserve"> Dean Of Medicine - 8471305</t>
  </si>
  <si>
    <t xml:space="preserve"> - </t>
  </si>
  <si>
    <t>Account Description with Code</t>
  </si>
  <si>
    <t>Academic Advisory Service - 420550</t>
  </si>
  <si>
    <t>Academic Collaborative Partnership Services - 420570</t>
  </si>
  <si>
    <t>Legal services - 420900</t>
  </si>
  <si>
    <t>Management consultancy - 421000</t>
  </si>
  <si>
    <t>Standards Certification Services (e.g. ISO) - 421700</t>
  </si>
  <si>
    <t>Conferences, seminars and exhibitions and other events: - Local Events - 425510</t>
  </si>
  <si>
    <t>Conferences, seminars and exhibitions and other events: - Overseas event - 425550</t>
  </si>
  <si>
    <t>Entertainment and hospitality - 425900</t>
  </si>
  <si>
    <t>Computer software licenses-Software License Renewal - 426610</t>
  </si>
  <si>
    <t>Business Travel - Combined expenses - 428090</t>
  </si>
  <si>
    <t>Sponsorship expenses/contributions - 428400</t>
  </si>
  <si>
    <t>Events - Awards, prizes &amp; gifts - 428640</t>
  </si>
  <si>
    <t>Internal Audit service - 420120</t>
  </si>
  <si>
    <t>Subscriptions and membership fees: Trade organisations - 427710</t>
  </si>
  <si>
    <t>Advertising Services (General) - 425100</t>
  </si>
  <si>
    <t>Student Project Expenses - 425763</t>
  </si>
  <si>
    <t>Public relations - 427100</t>
  </si>
  <si>
    <t>Printing and publishing - 427200</t>
  </si>
  <si>
    <t>Newspapers, magazines, journals, etc - 435310</t>
  </si>
  <si>
    <t>Photography - Consumable materials /Tools - 435519</t>
  </si>
  <si>
    <t>Scholarships &amp; other financial aid - 425740</t>
  </si>
  <si>
    <t>Computers and peripherals-End user and Infrastructure components maintenance and support - 432205</t>
  </si>
  <si>
    <t>Graduation rewards - 425743</t>
  </si>
  <si>
    <t>Student medical insurance - 425744</t>
  </si>
  <si>
    <t>Student relocation &amp; travel exps - 425745</t>
  </si>
  <si>
    <t>Postgraduate Student Salaries - 425749</t>
  </si>
  <si>
    <t>Student Field trips - 425761</t>
  </si>
  <si>
    <t>Student Internship - 425762</t>
  </si>
  <si>
    <t>Printing supplies - 436110</t>
  </si>
  <si>
    <t>Academic Missions - Combined expenses - 425770</t>
  </si>
  <si>
    <t>Laboratory equipment - 432209</t>
  </si>
  <si>
    <t>Academic Publications - 435350</t>
  </si>
  <si>
    <t>Laboratory - Scientific - 435508</t>
  </si>
  <si>
    <t>Training/Teaching equipment and other educational aid - 436600</t>
  </si>
  <si>
    <t>Student activities &amp; field trip expenses - 425760</t>
  </si>
  <si>
    <t>Education-Outsourced training service - 425720</t>
  </si>
  <si>
    <t>Text books and library books - 435340</t>
  </si>
  <si>
    <t>Freight and shipping costs, not included elsewhere under purchase costs - 426100</t>
  </si>
  <si>
    <t>Health,safety&amp;environment awareness - 428200</t>
  </si>
  <si>
    <t>Cleaning Services: Business premises - 420310</t>
  </si>
  <si>
    <t>Manpower supply "Other Than IT Related" - 421100</t>
  </si>
  <si>
    <t>Security service - 421600</t>
  </si>
  <si>
    <t>Insurance - Fire and allied perils - 426220</t>
  </si>
  <si>
    <t>Insurance - Motor vehicles - 426250</t>
  </si>
  <si>
    <t>Rental - Land - 430110</t>
  </si>
  <si>
    <t>Bldg maintenance-Business premises - 432120</t>
  </si>
  <si>
    <t>Bldg decoration &amp; minor improvements - 432170</t>
  </si>
  <si>
    <t>Residential Furniture and fixtures - 432320</t>
  </si>
  <si>
    <t>Sports and other recreational supplies: Students - 436340</t>
  </si>
  <si>
    <t>Motor vehicle registration and inspection charges - 426800</t>
  </si>
  <si>
    <t>Postal, courier and other document delivery expenses - 426900</t>
  </si>
  <si>
    <t>Electricity consumption charges - 428111</t>
  </si>
  <si>
    <t>Water consumption charges - 428112</t>
  </si>
  <si>
    <t>Other services, not specifically mentioned elsewhere - 429900</t>
  </si>
  <si>
    <t>Rental - Motor vehicles - 430330</t>
  </si>
  <si>
    <t>Motor vehicles (non-military) - 432540</t>
  </si>
  <si>
    <t>Catering supplies: Offices - 435410</t>
  </si>
  <si>
    <t>Fuel, oil and lubricants: Motor vehicles - 435740</t>
  </si>
  <si>
    <t>External Audit service - 420130</t>
  </si>
  <si>
    <t>Other specialised professional services, not mentioned elsewhere - 422900</t>
  </si>
  <si>
    <t>Banking service charges / Fees - 425300</t>
  </si>
  <si>
    <t>Fees for processing e-payments-e-Payment operation - 425350</t>
  </si>
  <si>
    <t>Stationery - 436120</t>
  </si>
  <si>
    <t>Translation and interpretation service - 427900</t>
  </si>
  <si>
    <t>IT Systems &amp; Support expenses - 420810</t>
  </si>
  <si>
    <t>IT Systems &amp; Support expenses-Application/Systems Operation - 420811</t>
  </si>
  <si>
    <t>Telephone and telefax charges-Telecommunication, Satellite services - 427810</t>
  </si>
  <si>
    <t>Data Transmission charges-Data Transmission charges - 427850</t>
  </si>
  <si>
    <t>Rental - Equipment - 430230</t>
  </si>
  <si>
    <t>Rental - Computer hardware-Rental/Subscription - Computer hardware - 430250</t>
  </si>
  <si>
    <t>Computers and peripherals-Printers maintenance and support - 432226</t>
  </si>
  <si>
    <t>Scientific - 435523</t>
  </si>
  <si>
    <t>School consumables, not specifically mentioned elsewhere - 435530</t>
  </si>
  <si>
    <t>Student stipend - 425741</t>
  </si>
  <si>
    <t>Enrollment expenses - 425742</t>
  </si>
  <si>
    <t>Skill assessment service - 425750</t>
  </si>
  <si>
    <t>Library books - 435330</t>
  </si>
  <si>
    <t>Student Transport - 425746</t>
  </si>
  <si>
    <t>Student Accommodation - 425747</t>
  </si>
  <si>
    <t>Higher education and specialisation incentives - 425710</t>
  </si>
  <si>
    <t>Waste management service - 422100</t>
  </si>
  <si>
    <t>Medical equipment - 432210</t>
  </si>
  <si>
    <t>Finance Comment</t>
  </si>
  <si>
    <t>Surplus/Unused</t>
  </si>
  <si>
    <t>XX</t>
  </si>
  <si>
    <t>YY</t>
  </si>
  <si>
    <t>Sumamary Cost Center group and Account levelLevel</t>
  </si>
  <si>
    <t>Eng</t>
  </si>
  <si>
    <t>Fund Q2</t>
  </si>
  <si>
    <t>Forecast</t>
  </si>
  <si>
    <t>No justification provided for unused budger 123M 88%</t>
  </si>
  <si>
    <t>budget Transfer</t>
  </si>
  <si>
    <t xml:space="preserve">Academic Missions - Combined expenses:CoE multiple cost centers unused the budget in percentage 88% no plan or justification provided </t>
  </si>
  <si>
    <t xml:space="preserve">Academic Missions - Combined expenses: CoAS multiple cost centers unused the budget in percentage 92% no plan or justification provided </t>
  </si>
  <si>
    <t xml:space="preserve">Academic Missions - Combined expenses:CoE multiple cost centers unused the budget in percentage 88% &amp; No utilization plan or justification provided </t>
  </si>
  <si>
    <t xml:space="preserve">Academic Missions - Combined expenses: CoAS multiple cost centers unused the budget in percentage 92% &amp; No utlization plan or justification provided </t>
  </si>
  <si>
    <t>Forcast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</si>
</sst>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2" x14ac:knownFonts="1">
    <font>
      <sz val="11"/>
      <color theme="1"/>
      <name val="Calibri"/>
    </font>
    <font>
      <b/>
      <sz val="12"/>
      <color theme="1"/>
      <name val="Calibri"/>
      <family val="2"/>
    </font>
    <font>
      <sz val="8"/>
      <color theme="1"/>
      <name val="Calibri"/>
      <family val="2"/>
    </font>
    <font>
      <sz val="11"/>
      <color theme="1"/>
      <name val="Calibri"/>
      <family val="2"/>
    </font>
    <font>
      <sz val="8"/>
      <color theme="1"/>
      <name val="Calibri"/>
      <family val="2"/>
    </font>
    <font>
      <sz val="11"/>
      <color rgb="FF000000"/>
      <name val="Calibri"/>
      <family val="2"/>
    </font>
    <font>
      <sz val="11"/>
      <color theme="1"/>
      <name val="Calibri"/>
      <family val="2"/>
    </font>
    <font>
      <sz val="9"/>
      <color theme="1"/>
      <name val="Calibri"/>
      <family val="2"/>
    </font>
    <font>
      <sz val="8"/>
      <name val="Calibri"/>
      <family val="2"/>
    </font>
    <font>
      <sz val="10"/>
      <color theme="1"/>
      <name val="Calibri"/>
      <family val="2"/>
    </font>
    <font>
      <b/>
      <sz val="10"/>
      <color rgb="FF000000"/>
      <name val="Calibri"/>
      <family val="2"/>
    </font>
    <font>
      <b/>
      <sz val="10"/>
      <color theme="1"/>
      <name val="Calibri"/>
      <family val="2"/>
    </font>
  </fonts>
  <fills count="8">
    <fill>
      <patternFill patternType="none"/>
    </fill>
    <fill>
      <patternFill patternType="gray125"/>
    </fill>
    <fill>
      <patternFill patternType="solid">
        <fgColor rgb="FFF0F4FA"/>
      </patternFill>
    </fill>
    <fill>
      <patternFill patternType="solid">
        <fgColor rgb="FFFFFFFF"/>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4.9989318521683403E-2"/>
        <bgColor indexed="64"/>
      </patternFill>
    </fill>
  </fills>
  <borders count="1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style="thin">
        <color rgb="FF979991"/>
      </left>
      <right/>
      <top style="thin">
        <color rgb="FF979991"/>
      </top>
      <bottom style="thin">
        <color rgb="FF979991"/>
      </bottom>
      <diagonal/>
    </border>
  </borders>
  <cellStyleXfs count="4">
    <xf numFmtId="0" fontId="0" fillId="0" borderId="0"/>
    <xf numFmtId="43" fontId="6" fillId="0" borderId="0" applyFont="0" applyFill="0" applyBorder="0" applyAlignment="0" applyProtection="0"/>
    <xf numFmtId="0" fontId="6" fillId="0" borderId="0"/>
    <xf numFmtId="9" fontId="6" fillId="0" borderId="0" applyFont="0" applyFill="0" applyBorder="0" applyAlignment="0" applyProtection="0"/>
  </cellStyleXfs>
  <cellXfs count="101">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applyAlignment="1">
      <alignment horizontal="center" vertical="top"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7" xfId="0" applyFont="1" applyFill="1" applyBorder="1" applyAlignment="1">
      <alignment horizontal="left" vertical="top" wrapText="1"/>
    </xf>
    <xf numFmtId="3" fontId="2" fillId="3" borderId="8" xfId="0" applyNumberFormat="1" applyFont="1" applyFill="1" applyBorder="1" applyAlignment="1">
      <alignment horizontal="right" vertical="top" wrapText="1"/>
    </xf>
    <xf numFmtId="0" fontId="0" fillId="3" borderId="5" xfId="0" applyFill="1" applyBorder="1" applyAlignment="1">
      <alignment horizontal="right" vertical="top" wrapText="1"/>
    </xf>
    <xf numFmtId="0" fontId="0" fillId="3" borderId="6" xfId="0" applyFill="1" applyBorder="1" applyAlignment="1">
      <alignment horizontal="right" vertical="top" wrapText="1"/>
    </xf>
    <xf numFmtId="0" fontId="0" fillId="3" borderId="8" xfId="0" applyFill="1" applyBorder="1" applyAlignment="1">
      <alignment horizontal="right" vertical="top" wrapText="1"/>
    </xf>
    <xf numFmtId="3" fontId="2" fillId="3" borderId="6" xfId="0" applyNumberFormat="1" applyFont="1" applyFill="1" applyBorder="1" applyAlignment="1">
      <alignment horizontal="right" vertical="top" wrapText="1"/>
    </xf>
    <xf numFmtId="0" fontId="0" fillId="3" borderId="7" xfId="0" applyFill="1" applyBorder="1" applyAlignment="1">
      <alignment horizontal="right" vertical="top" wrapText="1"/>
    </xf>
    <xf numFmtId="3" fontId="2" fillId="3" borderId="7" xfId="0" applyNumberFormat="1" applyFont="1" applyFill="1" applyBorder="1" applyAlignment="1">
      <alignment horizontal="right" vertical="top" wrapText="1"/>
    </xf>
    <xf numFmtId="3" fontId="2" fillId="3" borderId="5" xfId="0" applyNumberFormat="1" applyFont="1" applyFill="1" applyBorder="1" applyAlignment="1">
      <alignment horizontal="right" vertical="top" wrapText="1"/>
    </xf>
    <xf numFmtId="1" fontId="2" fillId="3" borderId="6" xfId="0" applyNumberFormat="1" applyFont="1" applyFill="1" applyBorder="1" applyAlignment="1">
      <alignment horizontal="right" vertical="top" wrapText="1"/>
    </xf>
    <xf numFmtId="3" fontId="0" fillId="3" borderId="6" xfId="0" applyNumberFormat="1" applyFill="1" applyBorder="1" applyAlignment="1">
      <alignment horizontal="right" vertical="top" wrapText="1"/>
    </xf>
    <xf numFmtId="3" fontId="0" fillId="3" borderId="7" xfId="0" applyNumberFormat="1" applyFill="1" applyBorder="1" applyAlignment="1">
      <alignment horizontal="right" vertical="top" wrapText="1"/>
    </xf>
    <xf numFmtId="0" fontId="3" fillId="3" borderId="7" xfId="0" applyFont="1" applyFill="1" applyBorder="1" applyAlignment="1">
      <alignment horizontal="right" vertical="top" wrapText="1"/>
    </xf>
    <xf numFmtId="3" fontId="0" fillId="3" borderId="8" xfId="0" applyNumberFormat="1" applyFill="1" applyBorder="1" applyAlignment="1">
      <alignment horizontal="right" vertical="top" wrapText="1"/>
    </xf>
    <xf numFmtId="3" fontId="4" fillId="3" borderId="7" xfId="0" applyNumberFormat="1" applyFont="1" applyFill="1" applyBorder="1" applyAlignment="1">
      <alignment horizontal="right" vertical="top" wrapText="1"/>
    </xf>
    <xf numFmtId="3" fontId="4" fillId="3" borderId="6" xfId="0" applyNumberFormat="1" applyFont="1" applyFill="1" applyBorder="1" applyAlignment="1">
      <alignment horizontal="right" vertical="top" wrapText="1"/>
    </xf>
    <xf numFmtId="0" fontId="4" fillId="3" borderId="7" xfId="0" applyFont="1" applyFill="1" applyBorder="1" applyAlignment="1">
      <alignment horizontal="left" vertical="top" wrapText="1"/>
    </xf>
    <xf numFmtId="0" fontId="3" fillId="3" borderId="8" xfId="0" applyFont="1" applyFill="1" applyBorder="1" applyAlignment="1">
      <alignment horizontal="right" vertical="top" wrapText="1"/>
    </xf>
    <xf numFmtId="3" fontId="4" fillId="3" borderId="6" xfId="0" applyNumberFormat="1" applyFont="1" applyFill="1" applyBorder="1" applyAlignment="1">
      <alignment horizontal="left" vertical="top" wrapText="1"/>
    </xf>
    <xf numFmtId="3" fontId="2" fillId="3" borderId="6" xfId="0" applyNumberFormat="1" applyFont="1" applyFill="1" applyBorder="1" applyAlignment="1">
      <alignment horizontal="left" vertical="center" wrapText="1"/>
    </xf>
    <xf numFmtId="3" fontId="2" fillId="3" borderId="7" xfId="0" applyNumberFormat="1" applyFont="1" applyFill="1" applyBorder="1" applyAlignment="1">
      <alignment horizontal="left" vertical="center" wrapText="1"/>
    </xf>
    <xf numFmtId="0" fontId="0" fillId="0" borderId="8" xfId="0" applyFill="1" applyBorder="1" applyAlignment="1">
      <alignment horizontal="right" vertical="top" wrapText="1"/>
    </xf>
    <xf numFmtId="3" fontId="2" fillId="0" borderId="6" xfId="0" applyNumberFormat="1" applyFont="1" applyFill="1" applyBorder="1" applyAlignment="1">
      <alignment horizontal="right" vertical="top" wrapText="1"/>
    </xf>
    <xf numFmtId="0" fontId="7" fillId="0" borderId="7" xfId="0" applyFont="1" applyFill="1" applyBorder="1" applyAlignment="1">
      <alignment horizontal="left" vertical="top" wrapText="1"/>
    </xf>
    <xf numFmtId="0" fontId="4" fillId="0" borderId="7" xfId="0" applyFont="1" applyFill="1" applyBorder="1" applyAlignment="1">
      <alignment vertical="top" wrapText="1"/>
    </xf>
    <xf numFmtId="3" fontId="4" fillId="0" borderId="8" xfId="0" applyNumberFormat="1" applyFont="1" applyFill="1" applyBorder="1" applyAlignment="1">
      <alignment horizontal="right" vertical="top" wrapText="1"/>
    </xf>
    <xf numFmtId="3" fontId="4" fillId="0" borderId="6" xfId="0" applyNumberFormat="1" applyFont="1" applyFill="1" applyBorder="1" applyAlignment="1">
      <alignment horizontal="right" vertical="top" wrapText="1"/>
    </xf>
    <xf numFmtId="0" fontId="4" fillId="0" borderId="8" xfId="0" applyFont="1" applyFill="1" applyBorder="1" applyAlignment="1">
      <alignment horizontal="right" vertical="top" wrapText="1"/>
    </xf>
    <xf numFmtId="0" fontId="4" fillId="0" borderId="6" xfId="0" applyFont="1" applyFill="1" applyBorder="1" applyAlignment="1">
      <alignment horizontal="right" vertical="top" wrapText="1"/>
    </xf>
    <xf numFmtId="0" fontId="0" fillId="0" borderId="0" xfId="0" applyAlignment="1">
      <alignment wrapText="1"/>
    </xf>
    <xf numFmtId="0" fontId="0" fillId="0" borderId="6" xfId="0" applyFill="1" applyBorder="1" applyAlignment="1">
      <alignment horizontal="right" vertical="top" wrapText="1"/>
    </xf>
    <xf numFmtId="0" fontId="0" fillId="0" borderId="7" xfId="0" applyFill="1" applyBorder="1" applyAlignment="1">
      <alignment horizontal="right" vertical="top" wrapText="1"/>
    </xf>
    <xf numFmtId="164" fontId="4" fillId="0" borderId="6" xfId="1" applyNumberFormat="1" applyFont="1" applyFill="1" applyBorder="1" applyAlignment="1">
      <alignment horizontal="center" vertical="center" wrapText="1"/>
    </xf>
    <xf numFmtId="3" fontId="2" fillId="4" borderId="7" xfId="0" applyNumberFormat="1" applyFont="1" applyFill="1" applyBorder="1" applyAlignment="1">
      <alignment horizontal="right" vertical="top" wrapText="1"/>
    </xf>
    <xf numFmtId="0" fontId="0" fillId="4" borderId="6" xfId="0" applyFill="1" applyBorder="1" applyAlignment="1">
      <alignment horizontal="right" vertical="top" wrapText="1"/>
    </xf>
    <xf numFmtId="0" fontId="4" fillId="4" borderId="7" xfId="0" applyFont="1" applyFill="1" applyBorder="1" applyAlignment="1">
      <alignment horizontal="left" vertical="top" wrapText="1"/>
    </xf>
    <xf numFmtId="0" fontId="4" fillId="0" borderId="7" xfId="0" applyFont="1" applyFill="1" applyBorder="1" applyAlignment="1">
      <alignment horizontal="left" vertical="top" wrapText="1"/>
    </xf>
    <xf numFmtId="0" fontId="0" fillId="4" borderId="7" xfId="0" applyFill="1" applyBorder="1" applyAlignment="1">
      <alignment horizontal="right" vertical="top" wrapText="1"/>
    </xf>
    <xf numFmtId="3" fontId="4" fillId="4" borderId="6" xfId="0" applyNumberFormat="1" applyFont="1" applyFill="1" applyBorder="1" applyAlignment="1">
      <alignment horizontal="right" vertical="top" wrapText="1"/>
    </xf>
    <xf numFmtId="0" fontId="4" fillId="3" borderId="7" xfId="0" applyFont="1" applyFill="1" applyBorder="1" applyAlignment="1">
      <alignment horizontal="left" vertical="center" wrapText="1"/>
    </xf>
    <xf numFmtId="3" fontId="2" fillId="5" borderId="6" xfId="0" applyNumberFormat="1" applyFont="1" applyFill="1" applyBorder="1" applyAlignment="1">
      <alignment horizontal="right" vertical="top" wrapText="1"/>
    </xf>
    <xf numFmtId="0" fontId="8" fillId="0" borderId="7" xfId="0" applyFont="1" applyFill="1" applyBorder="1" applyAlignment="1">
      <alignment horizontal="left" vertical="top" wrapText="1"/>
    </xf>
    <xf numFmtId="0" fontId="2" fillId="0" borderId="7" xfId="0" applyFont="1" applyFill="1" applyBorder="1" applyAlignment="1">
      <alignment horizontal="left" vertical="top" wrapText="1"/>
    </xf>
    <xf numFmtId="0" fontId="4" fillId="4" borderId="8" xfId="0" applyFont="1" applyFill="1" applyBorder="1" applyAlignment="1">
      <alignment horizontal="right" vertical="top" wrapText="1"/>
    </xf>
    <xf numFmtId="0" fontId="4" fillId="4" borderId="6" xfId="0" applyFont="1" applyFill="1" applyBorder="1" applyAlignment="1">
      <alignment horizontal="right" vertical="top" wrapText="1"/>
    </xf>
    <xf numFmtId="0" fontId="4" fillId="0" borderId="7" xfId="0" applyFont="1" applyFill="1" applyBorder="1" applyAlignment="1">
      <alignment horizontal="right" vertical="top" wrapText="1"/>
    </xf>
    <xf numFmtId="0" fontId="4" fillId="4" borderId="7" xfId="2" applyFont="1" applyFill="1" applyBorder="1" applyAlignment="1">
      <alignment horizontal="left" vertical="top" wrapText="1"/>
    </xf>
    <xf numFmtId="43" fontId="0" fillId="3" borderId="6" xfId="1" applyFont="1" applyFill="1" applyBorder="1" applyAlignment="1">
      <alignment horizontal="right" vertical="top" wrapText="1"/>
    </xf>
    <xf numFmtId="0" fontId="9" fillId="4" borderId="7" xfId="0" applyFont="1" applyFill="1" applyBorder="1" applyAlignment="1">
      <alignment horizontal="right" vertical="top" wrapText="1"/>
    </xf>
    <xf numFmtId="3" fontId="4" fillId="4" borderId="8" xfId="0" applyNumberFormat="1" applyFont="1" applyFill="1" applyBorder="1" applyAlignment="1">
      <alignment horizontal="right" vertical="top" wrapText="1"/>
    </xf>
    <xf numFmtId="43" fontId="10" fillId="0" borderId="9" xfId="1" applyFont="1" applyBorder="1" applyAlignment="1">
      <alignment horizontal="center" vertical="center" wrapText="1"/>
    </xf>
    <xf numFmtId="43" fontId="11" fillId="3" borderId="7" xfId="1" applyFont="1" applyFill="1" applyBorder="1" applyAlignment="1">
      <alignment horizontal="right" vertical="center" wrapText="1"/>
    </xf>
    <xf numFmtId="0" fontId="11" fillId="3" borderId="7" xfId="0" applyFont="1" applyFill="1" applyBorder="1" applyAlignment="1">
      <alignment horizontal="left" vertical="center" wrapText="1"/>
    </xf>
    <xf numFmtId="43" fontId="11" fillId="3" borderId="9" xfId="1" applyFont="1" applyFill="1" applyBorder="1" applyAlignment="1">
      <alignment horizontal="right" vertical="center" wrapText="1"/>
    </xf>
    <xf numFmtId="43" fontId="11" fillId="3" borderId="6" xfId="1" applyFont="1" applyFill="1" applyBorder="1" applyAlignment="1">
      <alignment horizontal="right" vertical="center" wrapText="1"/>
    </xf>
    <xf numFmtId="43" fontId="11" fillId="3" borderId="8" xfId="1" applyFont="1" applyFill="1" applyBorder="1" applyAlignment="1">
      <alignment horizontal="right" vertical="center" wrapText="1"/>
    </xf>
    <xf numFmtId="0" fontId="2" fillId="2" borderId="9"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8" xfId="0" applyFont="1" applyFill="1" applyBorder="1" applyAlignment="1">
      <alignment horizontal="left" vertical="top" wrapText="1"/>
    </xf>
    <xf numFmtId="0" fontId="4" fillId="3" borderId="0" xfId="0" applyFont="1" applyFill="1" applyBorder="1" applyAlignment="1">
      <alignment horizontal="left" vertical="top" wrapText="1"/>
    </xf>
    <xf numFmtId="0" fontId="4" fillId="3" borderId="10" xfId="0" applyFont="1" applyFill="1" applyBorder="1" applyAlignment="1">
      <alignment horizontal="left" vertical="top" wrapText="1"/>
    </xf>
    <xf numFmtId="0" fontId="4" fillId="2" borderId="4" xfId="0" applyFont="1" applyFill="1" applyBorder="1" applyAlignment="1">
      <alignment horizontal="left" vertical="top" wrapText="1"/>
    </xf>
    <xf numFmtId="0" fontId="0" fillId="3" borderId="8" xfId="0" applyFill="1" applyBorder="1" applyAlignment="1">
      <alignment horizontal="center" vertical="center" wrapText="1"/>
    </xf>
    <xf numFmtId="0" fontId="0" fillId="3" borderId="8" xfId="0" applyFill="1" applyBorder="1" applyAlignment="1">
      <alignment horizontal="center" vertical="top" wrapText="1"/>
    </xf>
    <xf numFmtId="3" fontId="4" fillId="3" borderId="5" xfId="0" applyNumberFormat="1" applyFont="1" applyFill="1" applyBorder="1" applyAlignment="1">
      <alignment horizontal="left" vertical="top" wrapText="1"/>
    </xf>
    <xf numFmtId="0" fontId="11" fillId="3" borderId="8" xfId="0" applyFont="1" applyFill="1" applyBorder="1" applyAlignment="1">
      <alignment horizontal="left" vertical="center" wrapText="1"/>
    </xf>
    <xf numFmtId="0" fontId="7" fillId="4" borderId="11" xfId="0" applyFont="1" applyFill="1" applyBorder="1" applyAlignment="1">
      <alignment vertical="top" wrapText="1"/>
    </xf>
    <xf numFmtId="0" fontId="0" fillId="3" borderId="10" xfId="0" applyFill="1" applyBorder="1" applyAlignment="1">
      <alignment horizontal="right" vertical="top" wrapText="1"/>
    </xf>
    <xf numFmtId="0" fontId="7" fillId="0" borderId="8" xfId="0" applyFont="1" applyFill="1" applyBorder="1" applyAlignment="1">
      <alignment horizontal="left" vertical="top" wrapText="1"/>
    </xf>
    <xf numFmtId="0" fontId="0" fillId="4" borderId="8" xfId="0" applyFill="1" applyBorder="1" applyAlignment="1">
      <alignment horizontal="right" vertical="top" wrapText="1"/>
    </xf>
    <xf numFmtId="0" fontId="4" fillId="4" borderId="8" xfId="0" applyFont="1" applyFill="1" applyBorder="1" applyAlignment="1">
      <alignment horizontal="left" vertical="top" wrapText="1"/>
    </xf>
    <xf numFmtId="0" fontId="4" fillId="0" borderId="8"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43" fontId="0" fillId="0" borderId="0" xfId="1" applyFont="1"/>
    <xf numFmtId="3" fontId="2" fillId="4" borderId="6" xfId="0" applyNumberFormat="1" applyFont="1" applyFill="1" applyBorder="1" applyAlignment="1">
      <alignment horizontal="right" vertical="top" wrapText="1"/>
    </xf>
    <xf numFmtId="43" fontId="2" fillId="3" borderId="12" xfId="1" applyFont="1" applyFill="1" applyBorder="1" applyAlignment="1">
      <alignment horizontal="right" vertical="top" wrapText="1"/>
    </xf>
    <xf numFmtId="43" fontId="0" fillId="0" borderId="0" xfId="0" applyNumberFormat="1"/>
    <xf numFmtId="3" fontId="4" fillId="4" borderId="7" xfId="0" applyNumberFormat="1" applyFont="1" applyFill="1" applyBorder="1" applyAlignment="1">
      <alignment horizontal="right" vertical="top" wrapText="1"/>
    </xf>
    <xf numFmtId="43" fontId="2" fillId="2" borderId="3" xfId="1" applyFont="1" applyFill="1" applyBorder="1" applyAlignment="1">
      <alignment horizontal="left" vertical="top" wrapText="1"/>
    </xf>
    <xf numFmtId="43" fontId="2" fillId="3" borderId="7" xfId="1" applyFont="1" applyFill="1" applyBorder="1" applyAlignment="1">
      <alignment horizontal="right" vertical="top" wrapText="1"/>
    </xf>
    <xf numFmtId="3" fontId="4" fillId="3" borderId="7" xfId="0" applyNumberFormat="1" applyFont="1" applyFill="1" applyBorder="1" applyAlignment="1">
      <alignment horizontal="left" vertical="top" wrapText="1"/>
    </xf>
    <xf numFmtId="0" fontId="0" fillId="6" borderId="0" xfId="0" applyFill="1"/>
    <xf numFmtId="9" fontId="0" fillId="0" borderId="0" xfId="3" applyFont="1"/>
    <xf numFmtId="43" fontId="0" fillId="6" borderId="0" xfId="1" applyFont="1" applyFill="1"/>
    <xf numFmtId="0" fontId="0" fillId="7" borderId="0" xfId="0" applyFill="1"/>
    <xf numFmtId="9" fontId="0" fillId="7" borderId="0" xfId="3" applyFont="1" applyFill="1"/>
    <xf numFmtId="0" fontId="0" fillId="3" borderId="7" xfId="0" applyFill="1" applyBorder="1" applyAlignment="1">
      <alignment horizontal="left" vertical="top" wrapText="1"/>
    </xf>
  </cellXfs>
  <cellStyles count="4">
    <cellStyle name="Comma" xfId="1" builtinId="3"/>
    <cellStyle name="Normal" xfId="0" builtinId="0"/>
    <cellStyle name="Normal 2" xfId="2" xr:uid="{00000000-0005-0000-0000-000002000000}"/>
    <cellStyle name="Percent" xfId="3" builtinId="5"/>
  </cellStyles>
  <dxfs count="3">
    <dxf>
      <numFmt numFmtId="35" formatCode="_(* #,##0.00_);_(* \(#,##0.00\);_(* &quot;-&quot;??_);_(@_)"/>
    </dxf>
    <dxf>
      <numFmt numFmtId="35" formatCode="_(* #,##0.00_);_(* \(#,##0.00\);_(* &quot;-&quot;??_);_(@_)"/>
    </dxf>
    <dxf>
      <numFmt numFmtId="35" formatCode="_(* #,##0.00_);_(* \(#,##0.0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6350</xdr:rowOff>
    </xdr:from>
    <xdr:ext cx="2409825" cy="609600"/>
    <xdr:pic>
      <xdr:nvPicPr>
        <xdr:cNvPr id="2" name="image1.jpeg" descr="image1.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twoCellAnchor editAs="oneCell">
    <xdr:from>
      <xdr:col>0</xdr:col>
      <xdr:colOff>0</xdr:colOff>
      <xdr:row>0</xdr:row>
      <xdr:rowOff>9525</xdr:rowOff>
    </xdr:from>
    <xdr:to>
      <xdr:col>3</xdr:col>
      <xdr:colOff>90961</xdr:colOff>
      <xdr:row>1</xdr:row>
      <xdr:rowOff>9525</xdr:rowOff>
    </xdr:to>
    <xdr:pic>
      <xdr:nvPicPr>
        <xdr:cNvPr id="1025" name="image1.jpeg" descr="image1.jpeg">
          <a:extLst>
            <a:ext uri="{FF2B5EF4-FFF2-40B4-BE49-F238E27FC236}">
              <a16:creationId xmlns:a16="http://schemas.microsoft.com/office/drawing/2014/main" id="{00000000-0008-0000-0400-000001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9525"/>
          <a:ext cx="240982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6350</xdr:rowOff>
    </xdr:from>
    <xdr:ext cx="2409825" cy="609600"/>
    <xdr:pic>
      <xdr:nvPicPr>
        <xdr:cNvPr id="2" name="image1.jpeg" descr="image1.jpe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6350"/>
          <a:ext cx="2409825" cy="609600"/>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88.510248379629" createdVersion="6" refreshedVersion="6" minRefreshableVersion="3" recordCount="474" xr:uid="{00000000-000A-0000-FFFF-FFFF15000000}">
  <cacheSource type="worksheet">
    <worksheetSource ref="A3:T477" sheet="Ch2 Consolidation Q2 opex"/>
  </cacheSource>
  <cacheFields count="19">
    <cacheField name="CC group" numFmtId="0">
      <sharedItems count="14">
        <s v="office of the president"/>
        <s v="EVP office"/>
        <s v="Provost office"/>
        <s v="Academic &amp; student service office"/>
        <s v="College of engineering"/>
        <s v="College of Art &amp; science"/>
        <s v="Administrations, Facilities &amp; EHS office"/>
        <s v="Finane &amp; Business development office"/>
        <s v="Procurement office"/>
        <s v="HR office"/>
        <s v="Ankabut office"/>
        <s v="Continuing Education office"/>
        <s v="Research &amp; development office"/>
        <s v="College of medicine"/>
      </sharedItems>
    </cacheField>
    <cacheField name="Cost Center Code" numFmtId="0">
      <sharedItems/>
    </cacheField>
    <cacheField name="Cost Center Description" numFmtId="0">
      <sharedItems/>
    </cacheField>
    <cacheField name="Cost Center Description with Code" numFmtId="0">
      <sharedItems count="53">
        <s v=" Office of the President - 8470110"/>
        <s v=" Audit - 8470120"/>
        <s v=" Institutional Research &amp; Planning - 8470130"/>
        <s v=" Communication - 8470140"/>
        <s v=" General Counsel - 8470150"/>
        <s v=" Office of the Provost - 8470220"/>
        <s v=" Graduate Studies - 8470230"/>
        <s v=" Dean Of Engineering - 8470305"/>
        <s v=" Aerospace Engineering - 8470310"/>
        <s v=" Biomedical Engineering - 8470315"/>
        <s v=" Chemical Engineering - 8470320"/>
        <s v=" Civil Engineering - 8470325"/>
        <s v=" Electrical &amp; Computer Engineering - 8470330"/>
        <s v=" Industrial &amp; Systems Engineering - 8470335"/>
        <s v=" Mechanical Engineering - 8470340"/>
        <s v=" Nuclear Engineering - 8470345"/>
        <s v=" Petroleum Engineering - 8470350"/>
        <s v=" Dean Of Arts &amp; Science - 8470405"/>
        <s v=" Institute of International &amp; Civil Security - 8470410"/>
        <s v=" Chemistry - 8470415"/>
        <s v=" Physics - 8470425"/>
        <s v=" Preparatory Program - 8470430"/>
        <s v=" Department of English - 8470435"/>
        <s v=" Humanities &amp; Social Sciences - 8470440"/>
        <s v=" Mathematics - 8470445"/>
        <s v=" Earth Science - 8470450"/>
        <s v=" Biology - 8470455"/>
        <s v=" Environment, Health &amp; Safety - 8470520"/>
        <s v=" Facilities Management - 8470530"/>
        <s v=" Administration - 8470540"/>
        <s v=" Finance Operations - 8470620"/>
        <s v=" Procurement and Contracts - 8470720"/>
        <s v=" Human Resources - 8470730"/>
        <s v=" Ankabut office - 8470810"/>
        <s v=" Continuing Education Office - 8471010"/>
        <s v=" SVP/ Research &amp; Development Office - 8471110"/>
        <s v=" Institute for Automation, Information Science &amp; Communication - 8471120"/>
        <s v=" Petroleum Institute - 8471121"/>
        <s v=" Masdar Institute - 8471122"/>
        <s v=" Research Service - 8471130"/>
        <s v=" University Sponsored Research - 8471140"/>
        <s v=" Technology Management &amp; Innovation - 8471150"/>
        <s v=" Research Laboratories - 8471160"/>
        <s v=" Research Computing - 8471170"/>
        <s v=" SVP/ Academic &amp; Student Services Office - 8471210"/>
        <s v=" Registrar - 8471220"/>
        <s v=" Student Enrollment - 8471230"/>
        <s v=" Student Success - 8471240"/>
        <s v=" Career Services - 8471250"/>
        <s v=" Student Life - 8471260"/>
        <s v=" Libraries - 8471270"/>
        <s v=" Center for Teaching &amp; Learning - 8471280"/>
        <s v=" Dean Of Medicine - 8471305"/>
      </sharedItems>
    </cacheField>
    <cacheField name="Account Code" numFmtId="0">
      <sharedItems count="82">
        <s v="420550"/>
        <s v="420570"/>
        <s v="420900"/>
        <s v="421000"/>
        <s v="421700"/>
        <s v="425510"/>
        <s v="425550"/>
        <s v="425900"/>
        <s v="426610"/>
        <s v="428090"/>
        <s v="428400"/>
        <s v="428640"/>
        <s v="420120"/>
        <s v="427710"/>
        <s v="425100"/>
        <s v="425763"/>
        <s v="427100"/>
        <s v="427200"/>
        <s v="435310"/>
        <s v="435519"/>
        <s v="425740"/>
        <s v="432205"/>
        <s v="425743"/>
        <s v="425744"/>
        <s v="425745"/>
        <s v="425749"/>
        <s v="425761"/>
        <s v="425762"/>
        <s v="436110"/>
        <s v="425770"/>
        <s v="432209"/>
        <s v="435350"/>
        <s v="435508"/>
        <s v="436600"/>
        <s v="425760"/>
        <s v="425720"/>
        <s v="435340"/>
        <s v="426100"/>
        <s v="428200"/>
        <s v="420310"/>
        <s v="421100"/>
        <s v="421600"/>
        <s v="426220"/>
        <s v="426250"/>
        <s v="430110"/>
        <s v="432120"/>
        <s v="432170"/>
        <s v="432320"/>
        <s v="436340"/>
        <s v="426800"/>
        <s v="426900"/>
        <s v="428111"/>
        <s v="428112"/>
        <s v="429900"/>
        <s v="430330"/>
        <s v="432540"/>
        <s v="435410"/>
        <s v="435740"/>
        <s v="420130"/>
        <s v="422900"/>
        <s v="425300"/>
        <s v="425350"/>
        <s v="436120"/>
        <s v="427900"/>
        <s v="420810"/>
        <s v="420811"/>
        <s v="427810"/>
        <s v="427850"/>
        <s v="430230"/>
        <s v="430250"/>
        <s v="432226"/>
        <s v="435523"/>
        <s v="435530"/>
        <s v="425741"/>
        <s v="425742"/>
        <s v="425750"/>
        <s v="435330"/>
        <s v="425746"/>
        <s v="425747"/>
        <s v="425710"/>
        <s v="422100"/>
        <s v="432210"/>
      </sharedItems>
    </cacheField>
    <cacheField name="Account Description" numFmtId="0">
      <sharedItems/>
    </cacheField>
    <cacheField name="Account Description with Code" numFmtId="0">
      <sharedItems count="82">
        <s v="Academic Advisory Service - 420550"/>
        <s v="Academic Collaborative Partnership Services - 420570"/>
        <s v="Legal services - 420900"/>
        <s v="Management consultancy - 421000"/>
        <s v="Standards Certification Services (e.g. ISO) - 421700"/>
        <s v="Conferences, seminars and exhibitions and other events: - Local Events - 425510"/>
        <s v="Conferences, seminars and exhibitions and other events: - Overseas event - 425550"/>
        <s v="Entertainment and hospitality - 425900"/>
        <s v="Computer software licenses-Software License Renewal - 426610"/>
        <s v="Business Travel - Combined expenses - 428090"/>
        <s v="Sponsorship expenses/contributions - 428400"/>
        <s v="Events - Awards, prizes &amp; gifts - 428640"/>
        <s v="Internal Audit service - 420120"/>
        <s v="Subscriptions and membership fees: Trade organisations - 427710"/>
        <s v="Advertising Services (General) - 425100"/>
        <s v="Student Project Expenses - 425763"/>
        <s v="Public relations - 427100"/>
        <s v="Printing and publishing - 427200"/>
        <s v="Newspapers, magazines, journals, etc - 435310"/>
        <s v="Photography - Consumable materials /Tools - 435519"/>
        <s v="Scholarships &amp; other financial aid - 425740"/>
        <s v="Computers and peripherals-End user and Infrastructure components maintenance and support - 432205"/>
        <s v="Graduation rewards - 425743"/>
        <s v="Student medical insurance - 425744"/>
        <s v="Student relocation &amp; travel exps - 425745"/>
        <s v="Postgraduate Student Salaries - 425749"/>
        <s v="Student Field trips - 425761"/>
        <s v="Student Internship - 425762"/>
        <s v="Printing supplies - 436110"/>
        <s v="Academic Missions - Combined expenses - 425770"/>
        <s v="Laboratory equipment - 432209"/>
        <s v="Academic Publications - 435350"/>
        <s v="Laboratory - Scientific - 435508"/>
        <s v="Training/Teaching equipment and other educational aid - 436600"/>
        <s v="Student activities &amp; field trip expenses - 425760"/>
        <s v="Education-Outsourced training service - 425720"/>
        <s v="Text books and library books - 435340"/>
        <s v="Freight and shipping costs, not included elsewhere under purchase costs - 426100"/>
        <s v="Health,safety&amp;environment awareness - 428200"/>
        <s v="Cleaning Services: Business premises - 420310"/>
        <s v="Manpower supply &quot;Other Than IT Related&quot; - 421100"/>
        <s v="Security service - 421600"/>
        <s v="Insurance - Fire and allied perils - 426220"/>
        <s v="Insurance - Motor vehicles - 426250"/>
        <s v="Rental - Land - 430110"/>
        <s v="Bldg maintenance-Business premises - 432120"/>
        <s v="Bldg decoration &amp; minor improvements - 432170"/>
        <s v="Residential Furniture and fixtures - 432320"/>
        <s v="Sports and other recreational supplies: Students - 436340"/>
        <s v="Motor vehicle registration and inspection charges - 426800"/>
        <s v="Postal, courier and other document delivery expenses - 426900"/>
        <s v="Electricity consumption charges - 428111"/>
        <s v="Water consumption charges - 428112"/>
        <s v="Other services, not specifically mentioned elsewhere - 429900"/>
        <s v="Rental - Motor vehicles - 430330"/>
        <s v="Motor vehicles (non-military) - 432540"/>
        <s v="Catering supplies: Offices - 435410"/>
        <s v="Fuel, oil and lubricants: Motor vehicles - 435740"/>
        <s v="External Audit service - 420130"/>
        <s v="Other specialised professional services, not mentioned elsewhere - 422900"/>
        <s v="Banking service charges / Fees - 425300"/>
        <s v="Fees for processing e-payments-e-Payment operation - 425350"/>
        <s v="Stationery - 436120"/>
        <s v="Translation and interpretation service - 427900"/>
        <s v="IT Systems &amp; Support expenses - 420810"/>
        <s v="IT Systems &amp; Support expenses-Application/Systems Operation - 420811"/>
        <s v="Telephone and telefax charges-Telecommunication, Satellite services - 427810"/>
        <s v="Data Transmission charges-Data Transmission charges - 427850"/>
        <s v="Rental - Equipment - 430230"/>
        <s v="Rental - Computer hardware-Rental/Subscription - Computer hardware - 430250"/>
        <s v="Computers and peripherals-Printers maintenance and support - 432226"/>
        <s v="Scientific - 435523"/>
        <s v="School consumables, not specifically mentioned elsewhere - 435530"/>
        <s v="Student stipend - 425741"/>
        <s v="Enrollment expenses - 425742"/>
        <s v="Skill assessment service - 425750"/>
        <s v="Library books - 435330"/>
        <s v="Student Transport - 425746"/>
        <s v="Student Accommodation - 425747"/>
        <s v="Higher education and specialisation incentives - 425710"/>
        <s v="Waste management service - 422100"/>
        <s v="Medical equipment - 432210"/>
      </sharedItems>
    </cacheField>
    <cacheField name="GL Account Combination" numFmtId="0">
      <sharedItems/>
    </cacheField>
    <cacheField name="Budget" numFmtId="0">
      <sharedItems containsString="0" containsBlank="1" containsNumber="1" containsInteger="1" minValue="-367211" maxValue="110824684"/>
    </cacheField>
    <cacheField name="Actual Amount" numFmtId="0">
      <sharedItems containsString="0" containsBlank="1" containsNumber="1" minValue="-367211.82" maxValue="55737661.979999997"/>
    </cacheField>
    <cacheField name="PR" numFmtId="0">
      <sharedItems containsString="0" containsBlank="1" containsNumber="1" minValue="-2.6193447411060302E-10" maxValue="4111561.65"/>
    </cacheField>
    <cacheField name="PO" numFmtId="0">
      <sharedItems containsString="0" containsBlank="1" containsNumber="1" minValue="-7.0000000006984905E-2" maxValue="7495917.6399999997"/>
    </cacheField>
    <cacheField name="Fund Available" numFmtId="3">
      <sharedItems containsSemiMixedTypes="0" containsString="0" containsNumber="1" minValue="-1416.32" maxValue="59194295.899999999"/>
    </cacheField>
    <cacheField name="Q3 Utilization Plan" numFmtId="0">
      <sharedItems containsString="0" containsBlank="1" containsNumber="1" minValue="0" maxValue="29597147.949999999"/>
    </cacheField>
    <cacheField name="Q4 Utilization Plan" numFmtId="0">
      <sharedItems containsString="0" containsBlank="1" containsNumber="1" minValue="0" maxValue="42359172.68"/>
    </cacheField>
    <cacheField name="Utilization Justification" numFmtId="0">
      <sharedItems containsBlank="1" longText="1"/>
    </cacheField>
    <cacheField name="Expected Budget Surplus Amount" numFmtId="3">
      <sharedItems containsSemiMixedTypes="0" containsString="0" containsNumber="1" minValue="-3508079.7799999993" maxValue="3684121"/>
    </cacheField>
    <cacheField name="Expected Surplus Justification" numFmtId="0">
      <sharedItems containsBlank="1" containsMixedTypes="1" containsNumber="1" containsInteger="1" minValue="0" maxValue="0"/>
    </cacheField>
    <cacheField name="Feedback status" numFmtId="0">
      <sharedItems containsBlank="1" count="3">
        <s v="No"/>
        <s v="Yes"/>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74">
  <r>
    <x v="0"/>
    <s v="8470110"/>
    <s v="KUST - Office of the President"/>
    <x v="0"/>
    <x v="0"/>
    <s v="Academic Advisory Service"/>
    <x v="0"/>
    <s v="847.8470110.1.420550.000000.847001.200179"/>
    <n v="30000"/>
    <m/>
    <m/>
    <m/>
    <n v="30000"/>
    <m/>
    <m/>
    <m/>
    <n v="30000"/>
    <n v="0"/>
    <x v="0"/>
  </r>
  <r>
    <x v="0"/>
    <s v="8470110"/>
    <s v="KUST - Office of the President"/>
    <x v="0"/>
    <x v="1"/>
    <s v="Academic Collaborative Partnership Services"/>
    <x v="1"/>
    <s v="847.8470110.1.420570.000000.847001.200179"/>
    <n v="3684121"/>
    <m/>
    <m/>
    <m/>
    <n v="3684121"/>
    <m/>
    <m/>
    <m/>
    <n v="3684121"/>
    <n v="0"/>
    <x v="0"/>
  </r>
  <r>
    <x v="0"/>
    <s v="8470110"/>
    <s v="KUST - Office of the President"/>
    <x v="0"/>
    <x v="2"/>
    <s v="Legal services"/>
    <x v="2"/>
    <s v="847.8470110.1.420900.000000.847001.200179"/>
    <n v="1500"/>
    <m/>
    <m/>
    <m/>
    <n v="1500"/>
    <m/>
    <m/>
    <m/>
    <n v="1500"/>
    <n v="0"/>
    <x v="0"/>
  </r>
  <r>
    <x v="0"/>
    <s v="8470110"/>
    <s v="KUST - Office of the President"/>
    <x v="0"/>
    <x v="3"/>
    <s v="Management consultancy"/>
    <x v="3"/>
    <s v="847.8470110.1.421000.000000.847001.200179"/>
    <n v="200000"/>
    <m/>
    <m/>
    <m/>
    <n v="200000"/>
    <m/>
    <m/>
    <m/>
    <n v="200000"/>
    <n v="0"/>
    <x v="0"/>
  </r>
  <r>
    <x v="0"/>
    <s v="8470110"/>
    <s v="KUST - Office of the President"/>
    <x v="0"/>
    <x v="4"/>
    <s v="Standards Certification Services (e.g. ISO)"/>
    <x v="4"/>
    <s v="847.8470110.1.421700.000000.847001.200179"/>
    <n v="25000"/>
    <m/>
    <m/>
    <m/>
    <n v="25000"/>
    <m/>
    <m/>
    <m/>
    <n v="25000"/>
    <n v="0"/>
    <x v="0"/>
  </r>
  <r>
    <x v="0"/>
    <s v="8470110"/>
    <s v="KUST - Office of the President"/>
    <x v="0"/>
    <x v="5"/>
    <s v="Conferences, seminars and exhibitions and other events: - Local Events"/>
    <x v="5"/>
    <s v="847.8470110.1.425510.000000.847001.200179"/>
    <n v="300000"/>
    <m/>
    <m/>
    <m/>
    <n v="300000"/>
    <m/>
    <m/>
    <m/>
    <n v="300000"/>
    <n v="0"/>
    <x v="0"/>
  </r>
  <r>
    <x v="0"/>
    <s v="8470110"/>
    <s v="KUST - Office of the President"/>
    <x v="0"/>
    <x v="6"/>
    <s v="Conferences, seminars and exhibitions and other events: - Overseas event"/>
    <x v="6"/>
    <s v="847.8470110.1.425550.000000.847001.200179"/>
    <n v="300000"/>
    <m/>
    <m/>
    <m/>
    <n v="300000"/>
    <m/>
    <m/>
    <m/>
    <n v="300000"/>
    <n v="0"/>
    <x v="0"/>
  </r>
  <r>
    <x v="0"/>
    <s v="8470110"/>
    <s v="KUST - Office of the President"/>
    <x v="0"/>
    <x v="7"/>
    <s v="Entertainment and hospitality"/>
    <x v="7"/>
    <s v="847.8470110.1.425900.000000.847001.200179"/>
    <n v="10000"/>
    <n v="5302.5"/>
    <m/>
    <m/>
    <n v="4697.5"/>
    <m/>
    <m/>
    <m/>
    <n v="4697.5"/>
    <n v="0"/>
    <x v="0"/>
  </r>
  <r>
    <x v="0"/>
    <s v="8470110"/>
    <s v="KUST - Office of the President"/>
    <x v="0"/>
    <x v="8"/>
    <s v="Computer software licenses-Software License Renewal"/>
    <x v="8"/>
    <s v="847.8470110.1.426610.000000.847001.200179"/>
    <n v="518388"/>
    <n v="42239.5"/>
    <m/>
    <m/>
    <n v="476148.5"/>
    <m/>
    <m/>
    <m/>
    <n v="476148.5"/>
    <n v="0"/>
    <x v="0"/>
  </r>
  <r>
    <x v="0"/>
    <s v="8470110"/>
    <s v="KUST - Office of the President"/>
    <x v="0"/>
    <x v="9"/>
    <s v="Business Travel - Combined expenses"/>
    <x v="9"/>
    <s v="847.8470110.1.428090.000000.847001.200179"/>
    <n v="1000000"/>
    <n v="31960"/>
    <m/>
    <m/>
    <n v="968040"/>
    <m/>
    <m/>
    <m/>
    <n v="968040"/>
    <n v="0"/>
    <x v="0"/>
  </r>
  <r>
    <x v="0"/>
    <s v="8470110"/>
    <s v="KUST - Office of the President"/>
    <x v="0"/>
    <x v="10"/>
    <s v="Sponsorship expenses/contributions"/>
    <x v="10"/>
    <s v="847.8470110.1.428400.000000.847001.200179"/>
    <n v="50000"/>
    <m/>
    <m/>
    <m/>
    <n v="50000"/>
    <m/>
    <m/>
    <m/>
    <n v="50000"/>
    <n v="0"/>
    <x v="0"/>
  </r>
  <r>
    <x v="0"/>
    <s v="8470110"/>
    <s v="KUST - Office of the President"/>
    <x v="0"/>
    <x v="11"/>
    <s v="Events - Awards, prizes &amp; gifts"/>
    <x v="11"/>
    <s v="847.8470110.1.428640.000000.847001.200179"/>
    <n v="100000"/>
    <m/>
    <m/>
    <m/>
    <n v="100000"/>
    <m/>
    <m/>
    <m/>
    <n v="100000"/>
    <n v="0"/>
    <x v="0"/>
  </r>
  <r>
    <x v="0"/>
    <s v="8470120"/>
    <s v="KUST - Audit"/>
    <x v="1"/>
    <x v="12"/>
    <s v="Internal Audit service"/>
    <x v="12"/>
    <s v="847.8470120.1.420120.000000.847001.200179"/>
    <n v="500000"/>
    <m/>
    <n v="500000"/>
    <m/>
    <n v="0"/>
    <m/>
    <m/>
    <m/>
    <n v="0"/>
    <n v="0"/>
    <x v="0"/>
  </r>
  <r>
    <x v="1"/>
    <s v="8470130"/>
    <s v="KUST - Institutional Research &amp; Planning"/>
    <x v="2"/>
    <x v="3"/>
    <s v="Management consultancy"/>
    <x v="3"/>
    <s v="847.8470130.1.421000.000000.847001.200179"/>
    <n v="604900"/>
    <m/>
    <m/>
    <m/>
    <n v="604900"/>
    <m/>
    <m/>
    <m/>
    <n v="604900"/>
    <n v="0"/>
    <x v="0"/>
  </r>
  <r>
    <x v="1"/>
    <s v="8470130"/>
    <s v="KUST - Institutional Research &amp; Planning"/>
    <x v="2"/>
    <x v="8"/>
    <s v="Computer software licenses-Software License Renewal"/>
    <x v="8"/>
    <s v="847.8470130.1.426610.000000.847001.200179"/>
    <n v="735000"/>
    <m/>
    <m/>
    <m/>
    <n v="735000"/>
    <m/>
    <m/>
    <m/>
    <n v="735000"/>
    <n v="0"/>
    <x v="0"/>
  </r>
  <r>
    <x v="1"/>
    <s v="8470130"/>
    <s v="KUST - Institutional Research &amp; Planning"/>
    <x v="2"/>
    <x v="13"/>
    <s v="Subscriptions and membership fees: Trade organisations"/>
    <x v="13"/>
    <s v="847.8470130.1.427710.000000.847001.200179"/>
    <n v="115000"/>
    <n v="114759"/>
    <m/>
    <m/>
    <n v="241"/>
    <m/>
    <m/>
    <m/>
    <n v="241"/>
    <n v="0"/>
    <x v="0"/>
  </r>
  <r>
    <x v="1"/>
    <s v="8470130"/>
    <s v="KUST - Institutional Research &amp; Planning"/>
    <x v="2"/>
    <x v="9"/>
    <s v="Business Travel - Combined expenses"/>
    <x v="9"/>
    <s v="847.8470130.1.428090.000000.847001.200179"/>
    <n v="180000"/>
    <n v="1650"/>
    <m/>
    <m/>
    <n v="178350"/>
    <m/>
    <m/>
    <m/>
    <n v="178350"/>
    <n v="0"/>
    <x v="0"/>
  </r>
  <r>
    <x v="1"/>
    <s v="8470140"/>
    <s v="KUST - Communication"/>
    <x v="3"/>
    <x v="14"/>
    <s v="Advertising Services (General)"/>
    <x v="14"/>
    <s v="847.8470140.1.425100.000000.847001.200179"/>
    <n v="5827464"/>
    <n v="1140555.96"/>
    <n v="3357368"/>
    <n v="234463.48"/>
    <n v="1095076.56"/>
    <n v="1000000"/>
    <n v="95077"/>
    <m/>
    <n v="-0.43999999994412065"/>
    <m/>
    <x v="1"/>
  </r>
  <r>
    <x v="1"/>
    <s v="8470140"/>
    <s v="KUST - Communication"/>
    <x v="3"/>
    <x v="5"/>
    <s v="Conferences, seminars and exhibitions and other events: - Local Events"/>
    <x v="5"/>
    <s v="847.8470140.1.425510.000000.847001.200179"/>
    <n v="5525358"/>
    <n v="1832119.97"/>
    <n v="2745800"/>
    <n v="405340"/>
    <n v="542098.03"/>
    <n v="257500"/>
    <n v="284598"/>
    <m/>
    <n v="3.0000000027939677E-2"/>
    <m/>
    <x v="1"/>
  </r>
  <r>
    <x v="1"/>
    <s v="8470140"/>
    <s v="KUST - Communication"/>
    <x v="3"/>
    <x v="6"/>
    <s v="Conferences, seminars and exhibitions and other events: - Overseas event"/>
    <x v="6"/>
    <s v="847.8470140.1.425550.000000.847001.200179"/>
    <n v="2955"/>
    <n v="2942.71"/>
    <m/>
    <m/>
    <n v="12.29"/>
    <m/>
    <m/>
    <m/>
    <n v="12.29"/>
    <m/>
    <x v="1"/>
  </r>
  <r>
    <x v="1"/>
    <s v="8470140"/>
    <s v="KUST - Communication"/>
    <x v="3"/>
    <x v="15"/>
    <s v="Student Project Expenses"/>
    <x v="15"/>
    <s v="847.8470140.1.425763.000000.847050.200179"/>
    <n v="400000"/>
    <n v="42319.6"/>
    <n v="0"/>
    <n v="45809.52"/>
    <n v="300723.24"/>
    <m/>
    <n v="300723.24"/>
    <s v="amount already consumed on bicycle project by project owner"/>
    <n v="0"/>
    <m/>
    <x v="1"/>
  </r>
  <r>
    <x v="1"/>
    <s v="8470140"/>
    <s v="KUST - Communication"/>
    <x v="3"/>
    <x v="16"/>
    <s v="Public relations"/>
    <x v="16"/>
    <s v="847.8470140.1.427100.000000.847001.200179"/>
    <n v="1157850"/>
    <m/>
    <n v="909458.75"/>
    <m/>
    <n v="248391.25"/>
    <m/>
    <n v="248391"/>
    <m/>
    <n v="0.25"/>
    <m/>
    <x v="1"/>
  </r>
  <r>
    <x v="1"/>
    <s v="8470140"/>
    <s v="KUST - Communication"/>
    <x v="3"/>
    <x v="17"/>
    <s v="Printing and publishing"/>
    <x v="17"/>
    <s v="847.8470140.1.427200.000000.847001.200179"/>
    <n v="250000"/>
    <n v="17150.009999999998"/>
    <m/>
    <m/>
    <n v="232849.99"/>
    <n v="116425"/>
    <n v="116425"/>
    <m/>
    <n v="-1.0000000009313226E-2"/>
    <m/>
    <x v="1"/>
  </r>
  <r>
    <x v="1"/>
    <s v="8470140"/>
    <s v="KUST - Communication"/>
    <x v="3"/>
    <x v="11"/>
    <s v="Events - Awards, prizes &amp; gifts"/>
    <x v="11"/>
    <s v="847.8470140.1.428640.000000.847001.200179"/>
    <n v="538000"/>
    <n v="4594"/>
    <n v="0"/>
    <n v="177011"/>
    <n v="356395"/>
    <n v="178198"/>
    <n v="178197"/>
    <m/>
    <n v="0"/>
    <m/>
    <x v="1"/>
  </r>
  <r>
    <x v="1"/>
    <s v="8470140"/>
    <s v="KUST - Communication"/>
    <x v="3"/>
    <x v="18"/>
    <s v="Newspapers, magazines, journals, etc"/>
    <x v="18"/>
    <s v="847.8470140.1.435310.000000.847001.200179"/>
    <n v="10000"/>
    <m/>
    <m/>
    <m/>
    <n v="10000"/>
    <m/>
    <n v="10000"/>
    <m/>
    <n v="0"/>
    <m/>
    <x v="1"/>
  </r>
  <r>
    <x v="1"/>
    <s v="8470140"/>
    <s v="KUST - Communication"/>
    <x v="3"/>
    <x v="19"/>
    <s v="Photography - Consumable materials /Tools"/>
    <x v="19"/>
    <s v="847.8470140.1.435519.000000.847001.200179"/>
    <n v="135000"/>
    <n v="43812"/>
    <n v="0"/>
    <n v="0"/>
    <n v="91188"/>
    <n v="91188"/>
    <m/>
    <m/>
    <n v="0"/>
    <m/>
    <x v="1"/>
  </r>
  <r>
    <x v="0"/>
    <s v="8470150"/>
    <s v="KUST - General Counsel"/>
    <x v="4"/>
    <x v="2"/>
    <s v="Legal services"/>
    <x v="2"/>
    <s v="847.8470150.1.420900.000000.847001.200179"/>
    <n v="21100"/>
    <n v="22516.32"/>
    <m/>
    <m/>
    <n v="-1416.32"/>
    <m/>
    <m/>
    <m/>
    <n v="-1416.32"/>
    <n v="0"/>
    <x v="0"/>
  </r>
  <r>
    <x v="2"/>
    <s v="8470220"/>
    <s v="KUST - Office of the Provost"/>
    <x v="5"/>
    <x v="0"/>
    <s v="Academic Advisory Service"/>
    <x v="0"/>
    <s v="847.8470220.1.420550.000000.847001.200179"/>
    <n v="60000"/>
    <m/>
    <m/>
    <m/>
    <n v="60000"/>
    <m/>
    <m/>
    <m/>
    <n v="60000"/>
    <n v="0"/>
    <x v="0"/>
  </r>
  <r>
    <x v="2"/>
    <s v="8470220"/>
    <s v="KUST - Office of the Provost"/>
    <x v="5"/>
    <x v="1"/>
    <s v="Academic Collaborative Partnership Services"/>
    <x v="1"/>
    <s v="847.8470220.1.420570.000000.847001.200179"/>
    <n v="378637"/>
    <n v="0"/>
    <n v="0"/>
    <n v="0"/>
    <n v="378637"/>
    <m/>
    <m/>
    <m/>
    <n v="378637"/>
    <n v="0"/>
    <x v="0"/>
  </r>
  <r>
    <x v="2"/>
    <s v="8470220"/>
    <s v="KUST - Office of the Provost"/>
    <x v="5"/>
    <x v="4"/>
    <s v="Standards Certification Services (e.g. ISO)"/>
    <x v="4"/>
    <s v="847.8470220.1.421700.000000.847001.200179"/>
    <n v="375000"/>
    <m/>
    <m/>
    <m/>
    <n v="375000"/>
    <m/>
    <m/>
    <m/>
    <n v="375000"/>
    <n v="0"/>
    <x v="0"/>
  </r>
  <r>
    <x v="2"/>
    <s v="8470220"/>
    <s v="KUST - Office of the Provost"/>
    <x v="5"/>
    <x v="5"/>
    <s v="Conferences, seminars and exhibitions and other events: - Local Events"/>
    <x v="5"/>
    <s v="847.8470220.1.425510.000000.847001.200179"/>
    <n v="23750"/>
    <n v="13750"/>
    <m/>
    <m/>
    <n v="10000"/>
    <m/>
    <m/>
    <m/>
    <n v="10000"/>
    <n v="0"/>
    <x v="0"/>
  </r>
  <r>
    <x v="2"/>
    <s v="8470220"/>
    <s v="KUST - Office of the Provost"/>
    <x v="5"/>
    <x v="6"/>
    <s v="Conferences, seminars and exhibitions and other events: - Overseas event"/>
    <x v="6"/>
    <s v="847.8470220.1.425550.000000.847001.200179"/>
    <n v="25000"/>
    <m/>
    <m/>
    <m/>
    <n v="25000"/>
    <m/>
    <m/>
    <m/>
    <n v="25000"/>
    <n v="0"/>
    <x v="0"/>
  </r>
  <r>
    <x v="2"/>
    <s v="8470220"/>
    <s v="KUST - Office of the Provost"/>
    <x v="5"/>
    <x v="20"/>
    <s v="Scholarships &amp; other financial aid"/>
    <x v="20"/>
    <s v="847.8470220.1.425740.000000.847001.200179"/>
    <n v="694710"/>
    <m/>
    <m/>
    <m/>
    <n v="694710"/>
    <m/>
    <m/>
    <m/>
    <n v="694710"/>
    <n v="0"/>
    <x v="0"/>
  </r>
  <r>
    <x v="2"/>
    <s v="8470220"/>
    <s v="KUST - Office of the Provost"/>
    <x v="5"/>
    <x v="7"/>
    <s v="Entertainment and hospitality"/>
    <x v="7"/>
    <s v="847.8470220.1.425900.000000.847001.200179"/>
    <n v="12000"/>
    <n v="7053"/>
    <m/>
    <m/>
    <n v="4947"/>
    <m/>
    <m/>
    <m/>
    <n v="4947"/>
    <n v="0"/>
    <x v="0"/>
  </r>
  <r>
    <x v="2"/>
    <s v="8470220"/>
    <s v="KUST - Office of the Provost"/>
    <x v="5"/>
    <x v="8"/>
    <s v="Computer software licenses-Software License Renewal"/>
    <x v="8"/>
    <s v="847.8470220.1.426610.000000.847001.200179"/>
    <n v="50000"/>
    <m/>
    <m/>
    <m/>
    <n v="50000"/>
    <m/>
    <m/>
    <m/>
    <n v="50000"/>
    <n v="0"/>
    <x v="0"/>
  </r>
  <r>
    <x v="2"/>
    <s v="8470220"/>
    <s v="KUST - Office of the Provost"/>
    <x v="5"/>
    <x v="9"/>
    <s v="Business Travel - Combined expenses"/>
    <x v="9"/>
    <s v="847.8470220.1.428090.000000.847001.200179"/>
    <n v="165500"/>
    <n v="19500"/>
    <m/>
    <m/>
    <n v="146000"/>
    <m/>
    <m/>
    <m/>
    <n v="146000"/>
    <n v="0"/>
    <x v="0"/>
  </r>
  <r>
    <x v="2"/>
    <s v="8470220"/>
    <s v="KUST - Office of the Provost"/>
    <x v="5"/>
    <x v="11"/>
    <s v="Events - Awards, prizes &amp; gifts"/>
    <x v="11"/>
    <s v="847.8470220.1.428640.000000.847001.200179"/>
    <n v="20000"/>
    <n v="6320"/>
    <n v="0"/>
    <n v="0"/>
    <n v="13680"/>
    <m/>
    <m/>
    <m/>
    <n v="13680"/>
    <n v="0"/>
    <x v="0"/>
  </r>
  <r>
    <x v="2"/>
    <s v="8470220"/>
    <s v="KUST - Office of the Provost"/>
    <x v="5"/>
    <x v="21"/>
    <s v="Computers and peripherals-End user and Infrastructure components maintenance and support"/>
    <x v="21"/>
    <s v="847.8470220.1.432205.000000.847001.200179"/>
    <n v="10000"/>
    <m/>
    <m/>
    <m/>
    <n v="10000"/>
    <m/>
    <m/>
    <m/>
    <n v="10000"/>
    <n v="0"/>
    <x v="0"/>
  </r>
  <r>
    <x v="3"/>
    <s v="8470230"/>
    <s v="KUST - Graduate Studies"/>
    <x v="6"/>
    <x v="0"/>
    <s v="Academic Advisory Service"/>
    <x v="0"/>
    <s v="847.8470230.1.420550.000000.847001.200179"/>
    <n v="1020620"/>
    <m/>
    <m/>
    <m/>
    <n v="1020620"/>
    <n v="510310"/>
    <n v="510310"/>
    <s v="Will be used for paying the external examiners of PhD defenses. This is usually done by end of Spring 2022, Summer 2022 and Fall 2022 and will depend on the number of students graduating in these semesters.  Please note that many external examiners contracts payment were raised by end of Summer 2022"/>
    <n v="0"/>
    <m/>
    <x v="1"/>
  </r>
  <r>
    <x v="3"/>
    <s v="8470230"/>
    <s v="KUST - Graduate Studies"/>
    <x v="6"/>
    <x v="14"/>
    <s v="Advertising Services (General)"/>
    <x v="14"/>
    <s v="847.8470230.1.425100.000000.847001.200179"/>
    <n v="300000"/>
    <m/>
    <m/>
    <m/>
    <n v="300000"/>
    <n v="0"/>
    <n v="300000"/>
    <s v="Will be used to advertise for Spring 2023 Admission graduate programs."/>
    <n v="0"/>
    <m/>
    <x v="1"/>
  </r>
  <r>
    <x v="3"/>
    <s v="8470230"/>
    <s v="KUST - Graduate Studies"/>
    <x v="6"/>
    <x v="5"/>
    <s v="Conferences, seminars and exhibitions and other events: - Local Events"/>
    <x v="5"/>
    <s v="847.8470230.1.425510.000000.847001.200179"/>
    <n v="34000"/>
    <m/>
    <m/>
    <m/>
    <n v="34000"/>
    <n v="17000"/>
    <n v="17000"/>
    <s v="Will be used to cover the expenses of students attending local conferences and events."/>
    <n v="0"/>
    <m/>
    <x v="1"/>
  </r>
  <r>
    <x v="3"/>
    <s v="8470230"/>
    <s v="KUST - Graduate Studies"/>
    <x v="6"/>
    <x v="6"/>
    <s v="Conferences, seminars and exhibitions and other events: - Overseas event"/>
    <x v="6"/>
    <s v="847.8470230.1.425550.000000.847001.200179"/>
    <n v="222000"/>
    <n v="30944.3"/>
    <m/>
    <m/>
    <n v="191055.7"/>
    <n v="95527.85"/>
    <n v="95527.85"/>
    <s v="Will be used to cover the expenses of students attending International conferences and events."/>
    <n v="0"/>
    <m/>
    <x v="1"/>
  </r>
  <r>
    <x v="3"/>
    <s v="8470230"/>
    <s v="KUST - Graduate Studies"/>
    <x v="6"/>
    <x v="22"/>
    <s v="Graduation rewards"/>
    <x v="22"/>
    <s v="847.8470230.1.425743.000000.847001.200179"/>
    <n v="240000"/>
    <n v="240000"/>
    <m/>
    <m/>
    <n v="0"/>
    <n v="0"/>
    <n v="0"/>
    <s v="Were used to pay MI legacy students who are eligible for graduation award as per their contract."/>
    <n v="0"/>
    <m/>
    <x v="1"/>
  </r>
  <r>
    <x v="3"/>
    <s v="8470230"/>
    <s v="KUST - Graduate Studies"/>
    <x v="6"/>
    <x v="23"/>
    <s v="Student medical insurance"/>
    <x v="23"/>
    <s v="847.8470230.1.425744.000000.847001.200179"/>
    <n v="4816800"/>
    <n v="588624.56999999995"/>
    <m/>
    <m/>
    <n v="4228175.43"/>
    <n v="500000"/>
    <n v="3728175.4299999997"/>
    <s v="Will be used to pay students medical insurance.  The payment will be made mainly in Fall 2022 semester and for students whom visas are expired and need to be renewed.  There is also a proposal to upgrade the insurance plan for graduate students."/>
    <n v="0"/>
    <m/>
    <x v="1"/>
  </r>
  <r>
    <x v="3"/>
    <s v="8470230"/>
    <s v="KUST - Graduate Studies"/>
    <x v="6"/>
    <x v="24"/>
    <s v="Student relocation &amp; travel exps"/>
    <x v="24"/>
    <s v="847.8470230.1.425745.000000.847001.200179"/>
    <n v="1971263"/>
    <n v="816911.08"/>
    <m/>
    <m/>
    <n v="1154351.92"/>
    <n v="250000"/>
    <n v="904351.91999999993"/>
    <s v="The amount will be used for mobilization (mainly overseas students who will join in Fall 2022) and demobilization of students (who graduated in Spring 2022 and Summer 2022), as well as annual travel allowance payments in April and November."/>
    <n v="0"/>
    <m/>
    <x v="1"/>
  </r>
  <r>
    <x v="3"/>
    <s v="8470230"/>
    <s v="KUST - Graduate Studies"/>
    <x v="6"/>
    <x v="25"/>
    <s v="Postgraduate Student Salaries"/>
    <x v="25"/>
    <s v="847.8470230.1.425749.000000.847001.200179"/>
    <n v="110824684"/>
    <n v="55737661.979999997"/>
    <m/>
    <m/>
    <n v="55087022.020000003"/>
    <n v="27543511.010000002"/>
    <n v="27543511.010000002"/>
    <s v="More than 50% of funds is already consumed during Q1 and Q2 to pay student stipends. The remaining 50% will be divided in the remaining quarters (Q3 and Q4).  There might be a shortage of stipend that needs to be covered since wer are expecting good number of students to join in Fall 2022"/>
    <n v="0"/>
    <m/>
    <x v="1"/>
  </r>
  <r>
    <x v="3"/>
    <s v="8470230"/>
    <s v="KUST - Graduate Studies"/>
    <x v="6"/>
    <x v="26"/>
    <s v="Student Field trips"/>
    <x v="26"/>
    <s v="847.8470230.1.425761.000000.847001.200179"/>
    <n v="150000"/>
    <m/>
    <m/>
    <m/>
    <n v="150000"/>
    <n v="0"/>
    <n v="150000"/>
    <s v="To cover field trips for graduate students."/>
    <n v="0"/>
    <m/>
    <x v="1"/>
  </r>
  <r>
    <x v="3"/>
    <s v="8470230"/>
    <s v="KUST - Graduate Studies"/>
    <x v="6"/>
    <x v="27"/>
    <s v="Student Internship"/>
    <x v="27"/>
    <s v="847.8470230.1.425762.000000.847001.200179"/>
    <n v="150000"/>
    <m/>
    <m/>
    <m/>
    <n v="150000"/>
    <n v="75000"/>
    <n v="75000"/>
    <s v="Will be used to cover the expenses of student internships. The internship program was launched recently and many students already applied for internship programs"/>
    <n v="0"/>
    <m/>
    <x v="1"/>
  </r>
  <r>
    <x v="3"/>
    <s v="8470230"/>
    <s v="KUST - Graduate Studies"/>
    <x v="6"/>
    <x v="7"/>
    <s v="Entertainment and hospitality"/>
    <x v="7"/>
    <s v="847.8470230.1.425900.000000.847001.200179"/>
    <n v="45648"/>
    <m/>
    <m/>
    <m/>
    <n v="45648"/>
    <n v="22824"/>
    <n v="22824"/>
    <s v="Some social events will take place after Ramadan. The amount will be used to cover the expenses of these events."/>
    <n v="0"/>
    <m/>
    <x v="1"/>
  </r>
  <r>
    <x v="3"/>
    <s v="8470230"/>
    <s v="KUST - Graduate Studies"/>
    <x v="6"/>
    <x v="8"/>
    <s v="Computer software licenses-Software License Renewal"/>
    <x v="8"/>
    <s v="847.8470230.1.426610.000000.847001.200179"/>
    <n v="10000"/>
    <m/>
    <m/>
    <m/>
    <n v="10000"/>
    <n v="0"/>
    <n v="10000"/>
    <s v="For S/W licenses renewal."/>
    <n v="0"/>
    <m/>
    <x v="1"/>
  </r>
  <r>
    <x v="3"/>
    <s v="8470230"/>
    <s v="KUST - Graduate Studies"/>
    <x v="6"/>
    <x v="9"/>
    <s v="Business Travel - Combined expenses"/>
    <x v="9"/>
    <s v="847.8470230.1.428090.000000.847001.200179"/>
    <n v="97000"/>
    <m/>
    <m/>
    <m/>
    <n v="97000"/>
    <n v="48500"/>
    <n v="48500"/>
    <s v="Will be used to cover expenses related to events either locally or internationally."/>
    <n v="0"/>
    <m/>
    <x v="1"/>
  </r>
  <r>
    <x v="3"/>
    <s v="8470230"/>
    <s v="KUST - Graduate Studies"/>
    <x v="6"/>
    <x v="11"/>
    <s v="Events - Awards, prizes &amp; gifts"/>
    <x v="11"/>
    <s v="847.8470230.1.428640.000000.847001.200179"/>
    <n v="80000"/>
    <m/>
    <m/>
    <m/>
    <n v="80000"/>
    <n v="40000"/>
    <n v="40000"/>
    <s v="Will be used for some initiatives related to graduate student recruitment, prizes for best thesis award, gifts for external examiners visiting KU in person."/>
    <n v="0"/>
    <m/>
    <x v="1"/>
  </r>
  <r>
    <x v="3"/>
    <s v="8470230"/>
    <s v="KUST - Graduate Studies"/>
    <x v="6"/>
    <x v="28"/>
    <s v="Printing supplies"/>
    <x v="28"/>
    <s v="847.8470230.1.436110.000000.847001.200179"/>
    <n v="5000"/>
    <m/>
    <m/>
    <m/>
    <n v="5000"/>
    <n v="2500"/>
    <n v="2500"/>
    <s v="Mainly for graduate catalog but can be used for other publication materials."/>
    <n v="0"/>
    <m/>
    <x v="1"/>
  </r>
  <r>
    <x v="4"/>
    <s v="8470305"/>
    <s v="KUST - Dean Of Engineering"/>
    <x v="7"/>
    <x v="0"/>
    <s v="Academic Advisory Service"/>
    <x v="0"/>
    <s v="847.8470305.1.420550.000000.847001.200179"/>
    <n v="100000"/>
    <n v="92165.34"/>
    <m/>
    <m/>
    <n v="7834.6599999999899"/>
    <m/>
    <m/>
    <m/>
    <n v="7834.6599999999899"/>
    <n v="0"/>
    <x v="0"/>
  </r>
  <r>
    <x v="4"/>
    <s v="8470305"/>
    <s v="KUST - Dean Of Engineering"/>
    <x v="7"/>
    <x v="1"/>
    <s v="Academic Collaborative Partnership Services"/>
    <x v="1"/>
    <s v="847.8470305.1.420570.000000.847001.200179"/>
    <n v="10000"/>
    <m/>
    <m/>
    <m/>
    <n v="10000"/>
    <m/>
    <m/>
    <m/>
    <n v="10000"/>
    <n v="0"/>
    <x v="0"/>
  </r>
  <r>
    <x v="4"/>
    <s v="8470305"/>
    <s v="KUST - Dean Of Engineering"/>
    <x v="7"/>
    <x v="4"/>
    <s v="Standards Certification Services (e.g. ISO)"/>
    <x v="4"/>
    <s v="847.8470305.1.421700.000000.847001.200179"/>
    <n v="506004"/>
    <n v="32000"/>
    <m/>
    <m/>
    <n v="474004"/>
    <m/>
    <m/>
    <m/>
    <n v="474004"/>
    <n v="0"/>
    <x v="0"/>
  </r>
  <r>
    <x v="4"/>
    <s v="8470305"/>
    <s v="KUST - Dean Of Engineering"/>
    <x v="7"/>
    <x v="5"/>
    <s v="Conferences, seminars and exhibitions and other events: - Local Events"/>
    <x v="5"/>
    <s v="847.8470305.1.425510.000000.847001.200179"/>
    <n v="20000"/>
    <n v="5286"/>
    <m/>
    <m/>
    <n v="14714"/>
    <m/>
    <m/>
    <m/>
    <n v="14714"/>
    <n v="0"/>
    <x v="0"/>
  </r>
  <r>
    <x v="4"/>
    <s v="8470305"/>
    <s v="KUST - Dean Of Engineering"/>
    <x v="7"/>
    <x v="15"/>
    <s v="Student Project Expenses"/>
    <x v="15"/>
    <s v="847.8470305.1.425763.000000.847001.200179"/>
    <n v="170000"/>
    <n v="20000"/>
    <n v="112260.3"/>
    <m/>
    <n v="37739.699999999997"/>
    <m/>
    <m/>
    <m/>
    <n v="37739.699999999997"/>
    <n v="0"/>
    <x v="0"/>
  </r>
  <r>
    <x v="4"/>
    <s v="8470305"/>
    <s v="KUST - Dean Of Engineering"/>
    <x v="7"/>
    <x v="29"/>
    <s v="Academic Missions - Combined expenses"/>
    <x v="29"/>
    <s v="847.8470305.1.425770.000000.847001.200179"/>
    <n v="579499"/>
    <n v="51565"/>
    <m/>
    <m/>
    <n v="527934"/>
    <m/>
    <m/>
    <m/>
    <n v="527934"/>
    <n v="0"/>
    <x v="0"/>
  </r>
  <r>
    <x v="4"/>
    <s v="8470305"/>
    <s v="KUST - Dean Of Engineering"/>
    <x v="7"/>
    <x v="7"/>
    <s v="Entertainment and hospitality"/>
    <x v="7"/>
    <s v="847.8470305.1.425900.000000.847001.200179"/>
    <n v="18000"/>
    <n v="5512.5"/>
    <m/>
    <m/>
    <n v="12487.5"/>
    <m/>
    <m/>
    <m/>
    <n v="12487.5"/>
    <n v="0"/>
    <x v="0"/>
  </r>
  <r>
    <x v="4"/>
    <s v="8470305"/>
    <s v="KUST - Dean Of Engineering"/>
    <x v="7"/>
    <x v="8"/>
    <s v="Computer software licenses-Software License Renewal"/>
    <x v="8"/>
    <s v="847.8470305.1.426610.000000.847001.200179"/>
    <n v="100000"/>
    <n v="3874.85"/>
    <n v="0"/>
    <n v="39668.400000000001"/>
    <n v="56456.75"/>
    <m/>
    <m/>
    <m/>
    <n v="56456.75"/>
    <n v="0"/>
    <x v="0"/>
  </r>
  <r>
    <x v="4"/>
    <s v="8470305"/>
    <s v="KUST - Dean Of Engineering"/>
    <x v="7"/>
    <x v="9"/>
    <s v="Business Travel - Combined expenses"/>
    <x v="9"/>
    <s v="847.8470305.1.428090.000000.847001.200179"/>
    <n v="35000"/>
    <m/>
    <m/>
    <m/>
    <n v="35000"/>
    <m/>
    <m/>
    <m/>
    <n v="35000"/>
    <n v="0"/>
    <x v="0"/>
  </r>
  <r>
    <x v="4"/>
    <s v="8470305"/>
    <s v="KUST - Dean Of Engineering"/>
    <x v="7"/>
    <x v="11"/>
    <s v="Events - Awards, prizes &amp; gifts"/>
    <x v="11"/>
    <s v="847.8470305.1.428640.000000.847001.200179"/>
    <n v="45000"/>
    <m/>
    <m/>
    <m/>
    <n v="45000"/>
    <m/>
    <m/>
    <m/>
    <n v="45000"/>
    <n v="0"/>
    <x v="0"/>
  </r>
  <r>
    <x v="4"/>
    <s v="8470305"/>
    <s v="KUST - Dean Of Engineering"/>
    <x v="7"/>
    <x v="30"/>
    <s v="Laboratory equipment"/>
    <x v="30"/>
    <s v="847.8470305.1.432209.000000.847001.200179"/>
    <n v="45292"/>
    <n v="35796.32"/>
    <m/>
    <n v="8000"/>
    <n v="1495.68"/>
    <m/>
    <m/>
    <m/>
    <n v="1495.68"/>
    <n v="0"/>
    <x v="0"/>
  </r>
  <r>
    <x v="4"/>
    <s v="8470305"/>
    <s v="KUST - Dean Of Engineering"/>
    <x v="7"/>
    <x v="31"/>
    <s v="Academic Publications"/>
    <x v="31"/>
    <s v="847.8470305.1.435350.000000.847001.200179"/>
    <n v="260000"/>
    <n v="20510.169999999998"/>
    <m/>
    <m/>
    <n v="239489.83"/>
    <m/>
    <m/>
    <m/>
    <n v="239489.83"/>
    <n v="0"/>
    <x v="0"/>
  </r>
  <r>
    <x v="4"/>
    <s v="8470305"/>
    <s v="KUST - Dean Of Engineering"/>
    <x v="7"/>
    <x v="32"/>
    <s v="Laboratory - Scientific"/>
    <x v="32"/>
    <s v="847.8470305.1.435508.000000.847001.200179"/>
    <n v="65000"/>
    <n v="20000"/>
    <n v="0"/>
    <m/>
    <n v="45000"/>
    <m/>
    <m/>
    <m/>
    <n v="45000"/>
    <n v="0"/>
    <x v="0"/>
  </r>
  <r>
    <x v="4"/>
    <s v="8470305"/>
    <s v="KUST - Dean Of Engineering"/>
    <x v="7"/>
    <x v="33"/>
    <s v="Training/Teaching equipment and other educational aid"/>
    <x v="33"/>
    <s v="847.8470305.1.436600.000000.847001.200179"/>
    <n v="25000"/>
    <m/>
    <m/>
    <m/>
    <n v="25000"/>
    <m/>
    <m/>
    <m/>
    <n v="25000"/>
    <n v="0"/>
    <x v="0"/>
  </r>
  <r>
    <x v="4"/>
    <s v="8470310"/>
    <s v="KUST - Aerospace Engineering"/>
    <x v="8"/>
    <x v="0"/>
    <s v="Academic Advisory Service"/>
    <x v="0"/>
    <s v="847.8470310.1.420550.000000.847001.200179"/>
    <n v="20000"/>
    <m/>
    <m/>
    <m/>
    <n v="20000"/>
    <m/>
    <m/>
    <m/>
    <n v="20000"/>
    <n v="0"/>
    <x v="0"/>
  </r>
  <r>
    <x v="4"/>
    <s v="8470310"/>
    <s v="KUST - Aerospace Engineering"/>
    <x v="8"/>
    <x v="5"/>
    <s v="Conferences, seminars and exhibitions and other events: - Local Events"/>
    <x v="5"/>
    <s v="847.8470310.1.425510.000000.847001.200179"/>
    <n v="15000"/>
    <n v="5330"/>
    <m/>
    <m/>
    <n v="9670"/>
    <m/>
    <m/>
    <m/>
    <n v="9670"/>
    <n v="0"/>
    <x v="0"/>
  </r>
  <r>
    <x v="4"/>
    <s v="8470310"/>
    <s v="KUST - Aerospace Engineering"/>
    <x v="8"/>
    <x v="34"/>
    <s v="Student activities &amp; field trip expenses"/>
    <x v="34"/>
    <s v="847.8470310.1.425760.000000.847001.200179"/>
    <n v="150000"/>
    <m/>
    <m/>
    <m/>
    <n v="150000"/>
    <m/>
    <m/>
    <m/>
    <n v="150000"/>
    <n v="0"/>
    <x v="0"/>
  </r>
  <r>
    <x v="4"/>
    <s v="8470310"/>
    <s v="KUST - Aerospace Engineering"/>
    <x v="8"/>
    <x v="15"/>
    <s v="Student Project Expenses"/>
    <x v="15"/>
    <s v="847.8470310.1.425763.000000.847001.200179"/>
    <n v="350000"/>
    <n v="160000"/>
    <m/>
    <m/>
    <n v="190000"/>
    <m/>
    <m/>
    <m/>
    <n v="190000"/>
    <n v="0"/>
    <x v="0"/>
  </r>
  <r>
    <x v="4"/>
    <s v="8470310"/>
    <s v="KUST - Aerospace Engineering"/>
    <x v="8"/>
    <x v="29"/>
    <s v="Academic Missions - Combined expenses"/>
    <x v="29"/>
    <s v="847.8470310.1.425770.000000.847001.200179"/>
    <n v="210000"/>
    <n v="14375.27"/>
    <m/>
    <m/>
    <n v="195624.73"/>
    <m/>
    <m/>
    <m/>
    <n v="195624.73"/>
    <n v="0"/>
    <x v="0"/>
  </r>
  <r>
    <x v="4"/>
    <s v="8470310"/>
    <s v="KUST - Aerospace Engineering"/>
    <x v="8"/>
    <x v="7"/>
    <s v="Entertainment and hospitality"/>
    <x v="7"/>
    <s v="847.8470310.1.425900.000000.847001.200179"/>
    <n v="8500"/>
    <m/>
    <m/>
    <m/>
    <n v="8500"/>
    <m/>
    <m/>
    <m/>
    <n v="8500"/>
    <n v="0"/>
    <x v="0"/>
  </r>
  <r>
    <x v="4"/>
    <s v="8470310"/>
    <s v="KUST - Aerospace Engineering"/>
    <x v="8"/>
    <x v="8"/>
    <s v="Computer software licenses-Software License Renewal"/>
    <x v="8"/>
    <s v="847.8470310.1.426610.000000.847001.200179"/>
    <n v="9114"/>
    <n v="8895.2800000000007"/>
    <m/>
    <m/>
    <n v="218.72000000000099"/>
    <m/>
    <m/>
    <m/>
    <n v="218.72000000000099"/>
    <n v="0"/>
    <x v="0"/>
  </r>
  <r>
    <x v="4"/>
    <s v="8470310"/>
    <s v="KUST - Aerospace Engineering"/>
    <x v="8"/>
    <x v="9"/>
    <s v="Business Travel - Combined expenses"/>
    <x v="9"/>
    <s v="847.8470310.1.428090.000000.847001.200179"/>
    <n v="40000"/>
    <m/>
    <m/>
    <m/>
    <n v="40000"/>
    <m/>
    <m/>
    <m/>
    <n v="40000"/>
    <n v="0"/>
    <x v="0"/>
  </r>
  <r>
    <x v="4"/>
    <s v="8470310"/>
    <s v="KUST - Aerospace Engineering"/>
    <x v="8"/>
    <x v="30"/>
    <s v="Laboratory equipment"/>
    <x v="30"/>
    <s v="847.8470310.1.432209.000000.847001.200179"/>
    <n v="5000"/>
    <m/>
    <m/>
    <m/>
    <n v="5000"/>
    <m/>
    <m/>
    <m/>
    <n v="5000"/>
    <n v="0"/>
    <x v="0"/>
  </r>
  <r>
    <x v="4"/>
    <s v="8470310"/>
    <s v="KUST - Aerospace Engineering"/>
    <x v="8"/>
    <x v="31"/>
    <s v="Academic Publications"/>
    <x v="31"/>
    <s v="847.8470310.1.435350.000000.847001.200179"/>
    <n v="182000"/>
    <n v="23762.18"/>
    <m/>
    <m/>
    <n v="158237.82"/>
    <m/>
    <m/>
    <m/>
    <n v="158237.82"/>
    <n v="0"/>
    <x v="0"/>
  </r>
  <r>
    <x v="4"/>
    <s v="8470310"/>
    <s v="KUST - Aerospace Engineering"/>
    <x v="8"/>
    <x v="32"/>
    <s v="Laboratory - Scientific"/>
    <x v="32"/>
    <s v="847.8470310.1.435508.000000.847001.200179"/>
    <n v="155000"/>
    <n v="31585"/>
    <n v="122810"/>
    <n v="0"/>
    <n v="605"/>
    <m/>
    <m/>
    <m/>
    <n v="605"/>
    <n v="0"/>
    <x v="0"/>
  </r>
  <r>
    <x v="4"/>
    <s v="8470310"/>
    <s v="KUST - Aerospace Engineering"/>
    <x v="8"/>
    <x v="28"/>
    <s v="Printing supplies"/>
    <x v="28"/>
    <s v="847.8470310.1.436110.000000.847001.200179"/>
    <n v="4000"/>
    <m/>
    <m/>
    <m/>
    <n v="4000"/>
    <m/>
    <m/>
    <m/>
    <n v="4000"/>
    <n v="0"/>
    <x v="0"/>
  </r>
  <r>
    <x v="4"/>
    <s v="8470310"/>
    <s v="KUST - Aerospace Engineering"/>
    <x v="8"/>
    <x v="33"/>
    <s v="Training/Teaching equipment and other educational aid"/>
    <x v="33"/>
    <s v="847.8470310.1.436600.000000.847001.200179"/>
    <n v="5000"/>
    <m/>
    <m/>
    <m/>
    <n v="5000"/>
    <m/>
    <m/>
    <m/>
    <n v="5000"/>
    <n v="0"/>
    <x v="0"/>
  </r>
  <r>
    <x v="4"/>
    <s v="8470315"/>
    <s v="KUST - Biomedical Engineering"/>
    <x v="9"/>
    <x v="0"/>
    <s v="Academic Advisory Service"/>
    <x v="0"/>
    <s v="847.8470315.1.420550.000000.847001.200179"/>
    <n v="1000"/>
    <m/>
    <m/>
    <m/>
    <n v="1000"/>
    <m/>
    <m/>
    <m/>
    <n v="1000"/>
    <n v="0"/>
    <x v="0"/>
  </r>
  <r>
    <x v="4"/>
    <s v="8470315"/>
    <s v="KUST - Biomedical Engineering"/>
    <x v="9"/>
    <x v="5"/>
    <s v="Conferences, seminars and exhibitions and other events: - Local Events"/>
    <x v="5"/>
    <s v="847.8470315.1.425510.000000.847001.200179"/>
    <n v="4000"/>
    <m/>
    <m/>
    <m/>
    <n v="4000"/>
    <m/>
    <m/>
    <m/>
    <n v="4000"/>
    <n v="0"/>
    <x v="0"/>
  </r>
  <r>
    <x v="4"/>
    <s v="8470315"/>
    <s v="KUST - Biomedical Engineering"/>
    <x v="9"/>
    <x v="34"/>
    <s v="Student activities &amp; field trip expenses"/>
    <x v="34"/>
    <s v="847.8470315.1.425760.000000.847001.200179"/>
    <n v="20000"/>
    <n v="1496.04"/>
    <m/>
    <m/>
    <n v="18503.96"/>
    <m/>
    <m/>
    <m/>
    <n v="18503.96"/>
    <n v="0"/>
    <x v="0"/>
  </r>
  <r>
    <x v="4"/>
    <s v="8470315"/>
    <s v="KUST - Biomedical Engineering"/>
    <x v="9"/>
    <x v="15"/>
    <s v="Student Project Expenses"/>
    <x v="15"/>
    <s v="847.8470315.1.425763.000000.847001.200179"/>
    <n v="180000"/>
    <n v="44702.59"/>
    <m/>
    <m/>
    <n v="135297.41"/>
    <m/>
    <m/>
    <m/>
    <n v="135297.41"/>
    <n v="0"/>
    <x v="0"/>
  </r>
  <r>
    <x v="4"/>
    <s v="8470315"/>
    <s v="KUST - Biomedical Engineering"/>
    <x v="9"/>
    <x v="29"/>
    <s v="Academic Missions - Combined expenses"/>
    <x v="29"/>
    <s v="847.8470315.1.425770.000000.847001.200179"/>
    <n v="180000"/>
    <n v="14384.66"/>
    <m/>
    <m/>
    <n v="165615.34"/>
    <m/>
    <m/>
    <m/>
    <n v="165615.34"/>
    <n v="0"/>
    <x v="0"/>
  </r>
  <r>
    <x v="4"/>
    <s v="8470315"/>
    <s v="KUST - Biomedical Engineering"/>
    <x v="9"/>
    <x v="7"/>
    <s v="Entertainment and hospitality"/>
    <x v="7"/>
    <s v="847.8470315.1.425900.000000.847001.200179"/>
    <n v="10000"/>
    <n v="8004"/>
    <m/>
    <m/>
    <n v="1996"/>
    <m/>
    <m/>
    <m/>
    <n v="1996"/>
    <n v="0"/>
    <x v="0"/>
  </r>
  <r>
    <x v="4"/>
    <s v="8470315"/>
    <s v="KUST - Biomedical Engineering"/>
    <x v="9"/>
    <x v="8"/>
    <s v="Computer software licenses-Software License Renewal"/>
    <x v="8"/>
    <s v="847.8470315.1.426610.000000.847001.200179"/>
    <n v="54576"/>
    <n v="6253.28"/>
    <n v="0"/>
    <n v="0"/>
    <n v="48322.720000000001"/>
    <m/>
    <m/>
    <m/>
    <n v="48322.720000000001"/>
    <n v="0"/>
    <x v="0"/>
  </r>
  <r>
    <x v="4"/>
    <s v="8470315"/>
    <s v="KUST - Biomedical Engineering"/>
    <x v="9"/>
    <x v="9"/>
    <s v="Business Travel - Combined expenses"/>
    <x v="9"/>
    <s v="847.8470315.1.428090.000000.847001.200179"/>
    <n v="10000"/>
    <m/>
    <m/>
    <m/>
    <n v="10000"/>
    <m/>
    <m/>
    <m/>
    <n v="10000"/>
    <n v="0"/>
    <x v="0"/>
  </r>
  <r>
    <x v="4"/>
    <s v="8470315"/>
    <s v="KUST - Biomedical Engineering"/>
    <x v="9"/>
    <x v="30"/>
    <s v="Laboratory equipment"/>
    <x v="30"/>
    <s v="847.8470315.1.432209.000000.847001.200179"/>
    <n v="90250"/>
    <m/>
    <n v="0"/>
    <n v="71500"/>
    <n v="18750"/>
    <m/>
    <m/>
    <m/>
    <n v="18750"/>
    <n v="0"/>
    <x v="0"/>
  </r>
  <r>
    <x v="4"/>
    <s v="8470315"/>
    <s v="KUST - Biomedical Engineering"/>
    <x v="9"/>
    <x v="31"/>
    <s v="Academic Publications"/>
    <x v="31"/>
    <s v="847.8470315.1.435350.000000.847001.200179"/>
    <n v="38400"/>
    <n v="24646.04"/>
    <m/>
    <m/>
    <n v="13753.96"/>
    <m/>
    <m/>
    <m/>
    <n v="13753.96"/>
    <n v="0"/>
    <x v="0"/>
  </r>
  <r>
    <x v="4"/>
    <s v="8470315"/>
    <s v="KUST - Biomedical Engineering"/>
    <x v="9"/>
    <x v="32"/>
    <s v="Laboratory - Scientific"/>
    <x v="32"/>
    <s v="847.8470315.1.435508.000000.847001.200179"/>
    <n v="195000"/>
    <n v="103819.54"/>
    <n v="7511.12"/>
    <n v="39416.46"/>
    <n v="44252.88"/>
    <m/>
    <m/>
    <m/>
    <n v="44252.88"/>
    <n v="0"/>
    <x v="0"/>
  </r>
  <r>
    <x v="4"/>
    <s v="8470315"/>
    <s v="KUST - Biomedical Engineering"/>
    <x v="9"/>
    <x v="28"/>
    <s v="Printing supplies"/>
    <x v="28"/>
    <s v="847.8470315.1.436110.000000.847001.200179"/>
    <n v="2000"/>
    <m/>
    <m/>
    <m/>
    <n v="2000"/>
    <m/>
    <m/>
    <m/>
    <n v="2000"/>
    <n v="0"/>
    <x v="0"/>
  </r>
  <r>
    <x v="4"/>
    <s v="8470315"/>
    <s v="KUST - Biomedical Engineering"/>
    <x v="9"/>
    <x v="33"/>
    <s v="Training/Teaching equipment and other educational aid"/>
    <x v="33"/>
    <s v="847.8470315.1.436600.000000.847001.200179"/>
    <n v="3000"/>
    <m/>
    <m/>
    <m/>
    <n v="3000"/>
    <m/>
    <m/>
    <m/>
    <n v="3000"/>
    <n v="0"/>
    <x v="0"/>
  </r>
  <r>
    <x v="4"/>
    <s v="8470320"/>
    <s v="KUST - Chemical Engineering"/>
    <x v="10"/>
    <x v="0"/>
    <s v="Academic Advisory Service"/>
    <x v="0"/>
    <s v="847.8470320.1.420550.000000.847001.200179"/>
    <n v="20000"/>
    <m/>
    <m/>
    <m/>
    <n v="20000"/>
    <m/>
    <m/>
    <m/>
    <n v="20000"/>
    <n v="0"/>
    <x v="0"/>
  </r>
  <r>
    <x v="4"/>
    <s v="8470320"/>
    <s v="KUST - Chemical Engineering"/>
    <x v="10"/>
    <x v="5"/>
    <s v="Conferences, seminars and exhibitions and other events: - Local Events"/>
    <x v="5"/>
    <s v="847.8470320.1.425510.000000.847001.200179"/>
    <n v="30000"/>
    <m/>
    <m/>
    <m/>
    <n v="30000"/>
    <m/>
    <m/>
    <m/>
    <n v="30000"/>
    <n v="0"/>
    <x v="0"/>
  </r>
  <r>
    <x v="4"/>
    <s v="8470320"/>
    <s v="KUST - Chemical Engineering"/>
    <x v="10"/>
    <x v="34"/>
    <s v="Student activities &amp; field trip expenses"/>
    <x v="34"/>
    <s v="847.8470320.1.425760.000000.847001.200179"/>
    <n v="25000"/>
    <m/>
    <m/>
    <m/>
    <n v="25000"/>
    <m/>
    <m/>
    <m/>
    <n v="25000"/>
    <n v="0"/>
    <x v="0"/>
  </r>
  <r>
    <x v="4"/>
    <s v="8470320"/>
    <s v="KUST - Chemical Engineering"/>
    <x v="10"/>
    <x v="15"/>
    <s v="Student Project Expenses"/>
    <x v="15"/>
    <s v="847.8470320.1.425763.000000.847001.200179"/>
    <n v="100000"/>
    <n v="65000"/>
    <n v="0"/>
    <n v="1226.5"/>
    <n v="33773.5"/>
    <m/>
    <m/>
    <m/>
    <n v="33773.5"/>
    <n v="0"/>
    <x v="0"/>
  </r>
  <r>
    <x v="4"/>
    <s v="8470320"/>
    <s v="KUST - Chemical Engineering"/>
    <x v="10"/>
    <x v="29"/>
    <s v="Academic Missions - Combined expenses"/>
    <x v="29"/>
    <s v="847.8470320.1.425770.000000.847001.200179"/>
    <n v="437869"/>
    <n v="26535"/>
    <m/>
    <m/>
    <n v="411334"/>
    <m/>
    <m/>
    <m/>
    <n v="411334"/>
    <n v="0"/>
    <x v="0"/>
  </r>
  <r>
    <x v="4"/>
    <s v="8470320"/>
    <s v="KUST - Chemical Engineering"/>
    <x v="10"/>
    <x v="7"/>
    <s v="Entertainment and hospitality"/>
    <x v="7"/>
    <s v="847.8470320.1.425900.000000.847001.200179"/>
    <n v="20000"/>
    <n v="4750"/>
    <m/>
    <m/>
    <n v="15250"/>
    <m/>
    <m/>
    <m/>
    <n v="15250"/>
    <n v="0"/>
    <x v="0"/>
  </r>
  <r>
    <x v="4"/>
    <s v="8470320"/>
    <s v="KUST - Chemical Engineering"/>
    <x v="10"/>
    <x v="8"/>
    <s v="Computer software licenses-Software License Renewal"/>
    <x v="8"/>
    <s v="847.8470320.1.426610.000000.847001.200179"/>
    <n v="75000"/>
    <n v="54466.92"/>
    <n v="-2.7284841053187799E-12"/>
    <n v="5917.2"/>
    <n v="14615.88"/>
    <m/>
    <m/>
    <m/>
    <n v="14615.88"/>
    <n v="0"/>
    <x v="0"/>
  </r>
  <r>
    <x v="4"/>
    <s v="8470320"/>
    <s v="KUST - Chemical Engineering"/>
    <x v="10"/>
    <x v="9"/>
    <s v="Business Travel - Combined expenses"/>
    <x v="9"/>
    <s v="847.8470320.1.428090.000000.847001.200179"/>
    <n v="35000"/>
    <n v="10400"/>
    <m/>
    <m/>
    <n v="24600"/>
    <m/>
    <m/>
    <m/>
    <n v="24600"/>
    <n v="0"/>
    <x v="0"/>
  </r>
  <r>
    <x v="4"/>
    <s v="8470320"/>
    <s v="KUST - Chemical Engineering"/>
    <x v="10"/>
    <x v="31"/>
    <s v="Academic Publications"/>
    <x v="31"/>
    <s v="847.8470320.1.435350.000000.847001.200179"/>
    <n v="50000"/>
    <n v="13797.64"/>
    <m/>
    <m/>
    <n v="36202.36"/>
    <m/>
    <m/>
    <m/>
    <n v="36202.36"/>
    <n v="0"/>
    <x v="0"/>
  </r>
  <r>
    <x v="4"/>
    <s v="8470320"/>
    <s v="KUST - Chemical Engineering"/>
    <x v="10"/>
    <x v="32"/>
    <s v="Laboratory - Scientific"/>
    <x v="32"/>
    <s v="847.8470320.1.435508.000000.847001.200179"/>
    <n v="212131"/>
    <m/>
    <n v="199588"/>
    <m/>
    <n v="12543"/>
    <m/>
    <m/>
    <m/>
    <n v="12543"/>
    <n v="0"/>
    <x v="0"/>
  </r>
  <r>
    <x v="4"/>
    <s v="8470320"/>
    <s v="KUST - Chemical Engineering"/>
    <x v="10"/>
    <x v="28"/>
    <s v="Printing supplies"/>
    <x v="28"/>
    <s v="847.8470320.1.436110.000000.847001.200179"/>
    <n v="35000"/>
    <m/>
    <m/>
    <m/>
    <n v="35000"/>
    <m/>
    <m/>
    <m/>
    <n v="35000"/>
    <n v="0"/>
    <x v="0"/>
  </r>
  <r>
    <x v="4"/>
    <s v="8470320"/>
    <s v="KUST - Chemical Engineering"/>
    <x v="10"/>
    <x v="33"/>
    <s v="Training/Teaching equipment and other educational aid"/>
    <x v="33"/>
    <s v="847.8470320.1.436600.000000.847001.200179"/>
    <n v="45000"/>
    <n v="12485"/>
    <m/>
    <m/>
    <n v="32515"/>
    <m/>
    <m/>
    <m/>
    <n v="32515"/>
    <n v="0"/>
    <x v="0"/>
  </r>
  <r>
    <x v="4"/>
    <s v="8470325"/>
    <s v="KUST - Civil Engineering"/>
    <x v="11"/>
    <x v="0"/>
    <s v="Academic Advisory Service"/>
    <x v="0"/>
    <s v="847.8470325.1.420550.000000.847001.200179"/>
    <n v="4000"/>
    <m/>
    <m/>
    <m/>
    <n v="4000"/>
    <m/>
    <m/>
    <m/>
    <n v="4000"/>
    <n v="0"/>
    <x v="0"/>
  </r>
  <r>
    <x v="4"/>
    <s v="8470325"/>
    <s v="KUST - Civil Engineering"/>
    <x v="11"/>
    <x v="5"/>
    <s v="Conferences, seminars and exhibitions and other events: - Local Events"/>
    <x v="5"/>
    <s v="847.8470325.1.425510.000000.847001.200179"/>
    <n v="6600"/>
    <n v="2550"/>
    <m/>
    <m/>
    <n v="4050"/>
    <m/>
    <m/>
    <m/>
    <n v="4050"/>
    <n v="0"/>
    <x v="0"/>
  </r>
  <r>
    <x v="4"/>
    <s v="8470325"/>
    <s v="KUST - Civil Engineering"/>
    <x v="11"/>
    <x v="34"/>
    <s v="Student activities &amp; field trip expenses"/>
    <x v="34"/>
    <s v="847.8470325.1.425760.000000.847001.200179"/>
    <n v="5000"/>
    <m/>
    <m/>
    <m/>
    <n v="5000"/>
    <m/>
    <m/>
    <m/>
    <n v="5000"/>
    <n v="0"/>
    <x v="0"/>
  </r>
  <r>
    <x v="4"/>
    <s v="8470325"/>
    <s v="KUST - Civil Engineering"/>
    <x v="11"/>
    <x v="15"/>
    <s v="Student Project Expenses"/>
    <x v="15"/>
    <s v="847.8470325.1.425763.000000.847001.200179"/>
    <n v="370000"/>
    <n v="202824.33"/>
    <m/>
    <m/>
    <n v="167175.67000000001"/>
    <m/>
    <m/>
    <m/>
    <n v="167175.67000000001"/>
    <n v="0"/>
    <x v="0"/>
  </r>
  <r>
    <x v="4"/>
    <s v="8470325"/>
    <s v="KUST - Civil Engineering"/>
    <x v="11"/>
    <x v="29"/>
    <s v="Academic Missions - Combined expenses"/>
    <x v="29"/>
    <s v="847.8470325.1.425770.000000.847001.200179"/>
    <n v="165000"/>
    <n v="11251"/>
    <m/>
    <m/>
    <n v="153749"/>
    <m/>
    <m/>
    <m/>
    <n v="153749"/>
    <n v="0"/>
    <x v="0"/>
  </r>
  <r>
    <x v="4"/>
    <s v="8470325"/>
    <s v="KUST - Civil Engineering"/>
    <x v="11"/>
    <x v="8"/>
    <s v="Computer software licenses-Software License Renewal"/>
    <x v="8"/>
    <s v="847.8470325.1.426610.000000.847001.200179"/>
    <n v="34910"/>
    <n v="5509.5"/>
    <n v="0"/>
    <n v="11753.6"/>
    <n v="17646.900000000001"/>
    <m/>
    <m/>
    <m/>
    <n v="17646.900000000001"/>
    <n v="0"/>
    <x v="0"/>
  </r>
  <r>
    <x v="4"/>
    <s v="8470325"/>
    <s v="KUST - Civil Engineering"/>
    <x v="11"/>
    <x v="9"/>
    <s v="Business Travel - Combined expenses"/>
    <x v="9"/>
    <s v="847.8470325.1.428090.000000.847001.200179"/>
    <n v="0"/>
    <m/>
    <m/>
    <m/>
    <n v="0"/>
    <m/>
    <m/>
    <m/>
    <n v="0"/>
    <n v="0"/>
    <x v="0"/>
  </r>
  <r>
    <x v="4"/>
    <s v="8470325"/>
    <s v="KUST - Civil Engineering"/>
    <x v="11"/>
    <x v="30"/>
    <s v="Laboratory equipment"/>
    <x v="30"/>
    <s v="847.8470325.1.432209.000000.847001.200179"/>
    <n v="201550"/>
    <n v="92722"/>
    <n v="-9.0949470177292808E-12"/>
    <n v="80950"/>
    <n v="27878"/>
    <m/>
    <m/>
    <m/>
    <n v="27878"/>
    <n v="0"/>
    <x v="0"/>
  </r>
  <r>
    <x v="4"/>
    <s v="8470325"/>
    <s v="KUST - Civil Engineering"/>
    <x v="11"/>
    <x v="31"/>
    <s v="Academic Publications"/>
    <x v="31"/>
    <s v="847.8470325.1.435350.000000.847001.200179"/>
    <n v="80000"/>
    <n v="8517"/>
    <m/>
    <m/>
    <n v="71483"/>
    <m/>
    <m/>
    <m/>
    <n v="71483"/>
    <n v="0"/>
    <x v="0"/>
  </r>
  <r>
    <x v="4"/>
    <s v="8470325"/>
    <s v="KUST - Civil Engineering"/>
    <x v="11"/>
    <x v="32"/>
    <s v="Laboratory - Scientific"/>
    <x v="32"/>
    <s v="847.8470325.1.435508.000000.847001.200179"/>
    <n v="92573"/>
    <n v="11489.42"/>
    <n v="0"/>
    <n v="60944.26"/>
    <n v="20139.32"/>
    <m/>
    <m/>
    <m/>
    <n v="20139.32"/>
    <n v="0"/>
    <x v="0"/>
  </r>
  <r>
    <x v="4"/>
    <s v="8470330"/>
    <s v="KUST - Electrical &amp; Computer Engineering"/>
    <x v="12"/>
    <x v="0"/>
    <s v="Academic Advisory Service"/>
    <x v="0"/>
    <s v="847.8470330.1.420550.000000.847001.200179"/>
    <n v="3000"/>
    <m/>
    <m/>
    <m/>
    <n v="3000"/>
    <m/>
    <m/>
    <m/>
    <n v="3000"/>
    <n v="0"/>
    <x v="0"/>
  </r>
  <r>
    <x v="4"/>
    <s v="8470330"/>
    <s v="KUST - Electrical &amp; Computer Engineering"/>
    <x v="12"/>
    <x v="5"/>
    <s v="Conferences, seminars and exhibitions and other events: - Local Events"/>
    <x v="5"/>
    <s v="847.8470330.1.425510.000000.847001.200179"/>
    <n v="42000"/>
    <n v="4400"/>
    <m/>
    <m/>
    <n v="37600"/>
    <m/>
    <m/>
    <m/>
    <n v="37600"/>
    <n v="0"/>
    <x v="0"/>
  </r>
  <r>
    <x v="4"/>
    <s v="8470330"/>
    <s v="KUST - Electrical &amp; Computer Engineering"/>
    <x v="12"/>
    <x v="34"/>
    <s v="Student activities &amp; field trip expenses"/>
    <x v="34"/>
    <s v="847.8470330.1.425760.000000.847001.200179"/>
    <n v="72000"/>
    <m/>
    <m/>
    <m/>
    <n v="72000"/>
    <m/>
    <m/>
    <m/>
    <n v="72000"/>
    <n v="0"/>
    <x v="0"/>
  </r>
  <r>
    <x v="4"/>
    <s v="8470330"/>
    <s v="KUST - Electrical &amp; Computer Engineering"/>
    <x v="12"/>
    <x v="15"/>
    <s v="Student Project Expenses"/>
    <x v="15"/>
    <s v="847.8470330.1.425763.000000.847001.200179"/>
    <n v="405000"/>
    <n v="50000"/>
    <m/>
    <m/>
    <n v="355000"/>
    <m/>
    <m/>
    <m/>
    <n v="355000"/>
    <n v="0"/>
    <x v="0"/>
  </r>
  <r>
    <x v="4"/>
    <s v="8470330"/>
    <s v="KUST - Electrical &amp; Computer Engineering"/>
    <x v="12"/>
    <x v="29"/>
    <s v="Academic Missions - Combined expenses"/>
    <x v="29"/>
    <s v="847.8470330.1.425770.000000.847001.200179"/>
    <n v="650000"/>
    <n v="33370.639999999999"/>
    <m/>
    <m/>
    <n v="616629.36"/>
    <m/>
    <m/>
    <m/>
    <n v="616629.36"/>
    <n v="0"/>
    <x v="0"/>
  </r>
  <r>
    <x v="4"/>
    <s v="8470330"/>
    <s v="KUST - Electrical &amp; Computer Engineering"/>
    <x v="12"/>
    <x v="7"/>
    <s v="Entertainment and hospitality"/>
    <x v="7"/>
    <s v="847.8470330.1.425900.000000.847001.200179"/>
    <n v="16000"/>
    <m/>
    <m/>
    <m/>
    <n v="16000"/>
    <m/>
    <m/>
    <m/>
    <n v="16000"/>
    <n v="0"/>
    <x v="0"/>
  </r>
  <r>
    <x v="4"/>
    <s v="8470330"/>
    <s v="KUST - Electrical &amp; Computer Engineering"/>
    <x v="12"/>
    <x v="8"/>
    <s v="Computer software licenses-Software License Renewal"/>
    <x v="8"/>
    <s v="847.8470330.1.426610.000000.847001.200179"/>
    <n v="720500"/>
    <n v="17333.8"/>
    <n v="5.8207660913467401E-11"/>
    <n v="366838"/>
    <n v="336328.2"/>
    <m/>
    <m/>
    <m/>
    <n v="336328.2"/>
    <n v="0"/>
    <x v="0"/>
  </r>
  <r>
    <x v="4"/>
    <s v="8470330"/>
    <s v="KUST - Electrical &amp; Computer Engineering"/>
    <x v="12"/>
    <x v="11"/>
    <s v="Events - Awards, prizes &amp; gifts"/>
    <x v="11"/>
    <s v="847.8470330.1.428640.000000.847001.200179"/>
    <n v="302000"/>
    <m/>
    <m/>
    <m/>
    <n v="302000"/>
    <m/>
    <m/>
    <m/>
    <n v="302000"/>
    <n v="0"/>
    <x v="0"/>
  </r>
  <r>
    <x v="4"/>
    <s v="8470330"/>
    <s v="KUST - Electrical &amp; Computer Engineering"/>
    <x v="12"/>
    <x v="30"/>
    <s v="Laboratory equipment"/>
    <x v="30"/>
    <s v="847.8470330.1.432209.000000.847001.200179"/>
    <n v="67400"/>
    <m/>
    <m/>
    <m/>
    <n v="67400"/>
    <m/>
    <m/>
    <m/>
    <n v="67400"/>
    <n v="0"/>
    <x v="0"/>
  </r>
  <r>
    <x v="4"/>
    <s v="8470330"/>
    <s v="KUST - Electrical &amp; Computer Engineering"/>
    <x v="12"/>
    <x v="31"/>
    <s v="Academic Publications"/>
    <x v="31"/>
    <s v="847.8470330.1.435350.000000.847001.200179"/>
    <n v="420000"/>
    <n v="45465.919999999998"/>
    <m/>
    <m/>
    <n v="343918.96"/>
    <m/>
    <m/>
    <m/>
    <n v="343918.96"/>
    <n v="0"/>
    <x v="0"/>
  </r>
  <r>
    <x v="4"/>
    <s v="8470330"/>
    <s v="KUST - Electrical &amp; Computer Engineering"/>
    <x v="12"/>
    <x v="32"/>
    <s v="Laboratory - Scientific"/>
    <x v="32"/>
    <s v="847.8470330.1.435508.000000.847001.200179"/>
    <n v="20000"/>
    <m/>
    <n v="17347.59"/>
    <m/>
    <n v="2652.41"/>
    <m/>
    <m/>
    <m/>
    <n v="2652.41"/>
    <n v="0"/>
    <x v="0"/>
  </r>
  <r>
    <x v="4"/>
    <s v="8470330"/>
    <s v="KUST - Electrical &amp; Computer Engineering"/>
    <x v="12"/>
    <x v="33"/>
    <s v="Training/Teaching equipment and other educational aid"/>
    <x v="33"/>
    <s v="847.8470330.1.436600.000000.847001.200179"/>
    <n v="60000"/>
    <m/>
    <m/>
    <n v="15740"/>
    <n v="44260"/>
    <m/>
    <m/>
    <m/>
    <n v="44260"/>
    <n v="0"/>
    <x v="0"/>
  </r>
  <r>
    <x v="4"/>
    <s v="8470335"/>
    <s v="KUST - Industrial &amp; Systems Engineering"/>
    <x v="13"/>
    <x v="0"/>
    <s v="Academic Advisory Service"/>
    <x v="0"/>
    <s v="847.8470335.1.420550.000000.847001.200179"/>
    <n v="10000"/>
    <m/>
    <m/>
    <m/>
    <n v="10000"/>
    <m/>
    <m/>
    <m/>
    <n v="10000"/>
    <n v="0"/>
    <x v="0"/>
  </r>
  <r>
    <x v="4"/>
    <s v="8470335"/>
    <s v="KUST - Industrial &amp; Systems Engineering"/>
    <x v="13"/>
    <x v="5"/>
    <s v="Conferences, seminars and exhibitions and other events: - Local Events"/>
    <x v="5"/>
    <s v="847.8470335.1.425510.000000.847001.200179"/>
    <n v="20000"/>
    <m/>
    <m/>
    <m/>
    <n v="20000"/>
    <m/>
    <m/>
    <m/>
    <n v="20000"/>
    <n v="0"/>
    <x v="0"/>
  </r>
  <r>
    <x v="4"/>
    <s v="8470335"/>
    <s v="KUST - Industrial &amp; Systems Engineering"/>
    <x v="13"/>
    <x v="34"/>
    <s v="Student activities &amp; field trip expenses"/>
    <x v="34"/>
    <s v="847.8470335.1.425760.000000.847001.200179"/>
    <n v="10000"/>
    <m/>
    <m/>
    <m/>
    <n v="10000"/>
    <m/>
    <m/>
    <m/>
    <n v="10000"/>
    <n v="0"/>
    <x v="0"/>
  </r>
  <r>
    <x v="4"/>
    <s v="8470335"/>
    <s v="KUST - Industrial &amp; Systems Engineering"/>
    <x v="13"/>
    <x v="15"/>
    <s v="Student Project Expenses"/>
    <x v="15"/>
    <s v="847.8470335.1.425763.000000.847001.200179"/>
    <n v="50000"/>
    <n v="30000"/>
    <m/>
    <m/>
    <n v="20000"/>
    <m/>
    <m/>
    <m/>
    <n v="20000"/>
    <n v="0"/>
    <x v="0"/>
  </r>
  <r>
    <x v="4"/>
    <s v="8470335"/>
    <s v="KUST - Industrial &amp; Systems Engineering"/>
    <x v="13"/>
    <x v="29"/>
    <s v="Academic Missions - Combined expenses"/>
    <x v="29"/>
    <s v="847.8470335.1.425770.000000.847001.200179"/>
    <n v="166000"/>
    <n v="27284.28"/>
    <m/>
    <m/>
    <n v="136731.93"/>
    <m/>
    <m/>
    <m/>
    <n v="136731.93"/>
    <n v="0"/>
    <x v="0"/>
  </r>
  <r>
    <x v="4"/>
    <s v="8470335"/>
    <s v="KUST - Industrial &amp; Systems Engineering"/>
    <x v="13"/>
    <x v="7"/>
    <s v="Entertainment and hospitality"/>
    <x v="7"/>
    <s v="847.8470335.1.425900.000000.847001.200179"/>
    <n v="20000"/>
    <m/>
    <m/>
    <m/>
    <n v="20000"/>
    <m/>
    <m/>
    <m/>
    <n v="20000"/>
    <n v="0"/>
    <x v="0"/>
  </r>
  <r>
    <x v="4"/>
    <s v="8470335"/>
    <s v="KUST - Industrial &amp; Systems Engineering"/>
    <x v="13"/>
    <x v="8"/>
    <s v="Computer software licenses-Software License Renewal"/>
    <x v="8"/>
    <s v="847.8470335.1.426610.000000.847001.200179"/>
    <n v="150257"/>
    <n v="68753.19"/>
    <n v="15473.61"/>
    <n v="64773.69"/>
    <n v="1181.8499999999799"/>
    <m/>
    <m/>
    <m/>
    <n v="1181.8499999999799"/>
    <n v="0"/>
    <x v="0"/>
  </r>
  <r>
    <x v="4"/>
    <s v="8470335"/>
    <s v="KUST - Industrial &amp; Systems Engineering"/>
    <x v="13"/>
    <x v="9"/>
    <s v="Business Travel - Combined expenses"/>
    <x v="9"/>
    <s v="847.8470335.1.428090.000000.847001.200179"/>
    <n v="40000"/>
    <m/>
    <m/>
    <m/>
    <n v="40000"/>
    <m/>
    <m/>
    <m/>
    <n v="40000"/>
    <n v="0"/>
    <x v="0"/>
  </r>
  <r>
    <x v="4"/>
    <s v="8470335"/>
    <s v="KUST - Industrial &amp; Systems Engineering"/>
    <x v="13"/>
    <x v="31"/>
    <s v="Academic Publications"/>
    <x v="31"/>
    <s v="847.8470335.1.435350.000000.847001.200179"/>
    <n v="51520"/>
    <n v="5617.51"/>
    <m/>
    <m/>
    <n v="45902.49"/>
    <m/>
    <m/>
    <m/>
    <n v="45902.49"/>
    <n v="0"/>
    <x v="0"/>
  </r>
  <r>
    <x v="4"/>
    <s v="8470335"/>
    <s v="KUST - Industrial &amp; Systems Engineering"/>
    <x v="13"/>
    <x v="32"/>
    <s v="Laboratory - Scientific"/>
    <x v="32"/>
    <s v="847.8470335.1.435508.000000.847001.200179"/>
    <n v="243000"/>
    <n v="73398.899999999994"/>
    <n v="11037.37"/>
    <n v="156924.71"/>
    <n v="1639.02000000002"/>
    <m/>
    <m/>
    <m/>
    <n v="1639.02000000002"/>
    <n v="0"/>
    <x v="0"/>
  </r>
  <r>
    <x v="4"/>
    <s v="8470335"/>
    <s v="KUST - Industrial &amp; Systems Engineering"/>
    <x v="13"/>
    <x v="28"/>
    <s v="Printing supplies"/>
    <x v="28"/>
    <s v="847.8470335.1.436110.000000.847001.200179"/>
    <n v="4000"/>
    <m/>
    <m/>
    <m/>
    <n v="4000"/>
    <m/>
    <m/>
    <m/>
    <n v="4000"/>
    <n v="0"/>
    <x v="0"/>
  </r>
  <r>
    <x v="4"/>
    <s v="8470335"/>
    <s v="KUST - Industrial &amp; Systems Engineering"/>
    <x v="13"/>
    <x v="33"/>
    <s v="Training/Teaching equipment and other educational aid"/>
    <x v="33"/>
    <s v="847.8470335.1.436600.000000.847001.200179"/>
    <n v="12000"/>
    <n v="11500"/>
    <n v="0"/>
    <n v="0"/>
    <n v="500"/>
    <m/>
    <m/>
    <m/>
    <n v="500"/>
    <n v="0"/>
    <x v="0"/>
  </r>
  <r>
    <x v="4"/>
    <s v="8470340"/>
    <s v="KUST - Mechanical Engineering"/>
    <x v="14"/>
    <x v="0"/>
    <s v="Academic Advisory Service"/>
    <x v="0"/>
    <s v="847.8470340.1.420550.000000.847001.200179"/>
    <n v="3000"/>
    <m/>
    <m/>
    <m/>
    <n v="3000"/>
    <m/>
    <m/>
    <m/>
    <n v="3000"/>
    <n v="0"/>
    <x v="0"/>
  </r>
  <r>
    <x v="4"/>
    <s v="8470340"/>
    <s v="KUST - Mechanical Engineering"/>
    <x v="14"/>
    <x v="5"/>
    <s v="Conferences, seminars and exhibitions and other events: - Local Events"/>
    <x v="5"/>
    <s v="847.8470340.1.425510.000000.847001.200179"/>
    <n v="10000"/>
    <m/>
    <m/>
    <m/>
    <n v="10000"/>
    <m/>
    <m/>
    <m/>
    <n v="10000"/>
    <n v="0"/>
    <x v="0"/>
  </r>
  <r>
    <x v="4"/>
    <s v="8470340"/>
    <s v="KUST - Mechanical Engineering"/>
    <x v="14"/>
    <x v="35"/>
    <s v="Education-Outsourced training service"/>
    <x v="35"/>
    <s v="847.8470340.1.425720.000000.847001.200179"/>
    <n v="30000"/>
    <m/>
    <m/>
    <m/>
    <n v="30000"/>
    <m/>
    <m/>
    <m/>
    <n v="30000"/>
    <n v="0"/>
    <x v="0"/>
  </r>
  <r>
    <x v="4"/>
    <s v="8470340"/>
    <s v="KUST - Mechanical Engineering"/>
    <x v="14"/>
    <x v="34"/>
    <s v="Student activities &amp; field trip expenses"/>
    <x v="34"/>
    <s v="847.8470340.1.425760.000000.847001.200179"/>
    <n v="12000"/>
    <m/>
    <m/>
    <m/>
    <n v="12000"/>
    <m/>
    <m/>
    <m/>
    <n v="12000"/>
    <n v="0"/>
    <x v="0"/>
  </r>
  <r>
    <x v="4"/>
    <s v="8470340"/>
    <s v="KUST - Mechanical Engineering"/>
    <x v="14"/>
    <x v="15"/>
    <s v="Student Project Expenses"/>
    <x v="15"/>
    <s v="847.8470340.1.425763.000000.847001.200179"/>
    <n v="460000"/>
    <n v="248508.27"/>
    <m/>
    <m/>
    <n v="211491.73"/>
    <m/>
    <m/>
    <m/>
    <n v="211491.73"/>
    <n v="0"/>
    <x v="0"/>
  </r>
  <r>
    <x v="4"/>
    <s v="8470340"/>
    <s v="KUST - Mechanical Engineering"/>
    <x v="14"/>
    <x v="29"/>
    <s v="Academic Missions - Combined expenses"/>
    <x v="29"/>
    <s v="847.8470340.1.425770.000000.847001.200179"/>
    <n v="630000"/>
    <n v="43966.75"/>
    <m/>
    <m/>
    <n v="586033.25"/>
    <m/>
    <m/>
    <m/>
    <n v="586033.25"/>
    <n v="0"/>
    <x v="0"/>
  </r>
  <r>
    <x v="4"/>
    <s v="8470340"/>
    <s v="KUST - Mechanical Engineering"/>
    <x v="14"/>
    <x v="7"/>
    <s v="Entertainment and hospitality"/>
    <x v="7"/>
    <s v="847.8470340.1.425900.000000.847001.200179"/>
    <n v="54000"/>
    <n v="8800"/>
    <n v="8800"/>
    <n v="0"/>
    <n v="36400"/>
    <m/>
    <m/>
    <m/>
    <n v="36400"/>
    <n v="0"/>
    <x v="0"/>
  </r>
  <r>
    <x v="4"/>
    <s v="8470340"/>
    <s v="KUST - Mechanical Engineering"/>
    <x v="14"/>
    <x v="8"/>
    <s v="Computer software licenses-Software License Renewal"/>
    <x v="8"/>
    <s v="847.8470340.1.426610.000000.847001.200179"/>
    <n v="210000"/>
    <n v="48399.35"/>
    <n v="75567.38"/>
    <n v="41508.99"/>
    <n v="44524.28"/>
    <m/>
    <m/>
    <m/>
    <n v="44524.28"/>
    <n v="0"/>
    <x v="0"/>
  </r>
  <r>
    <x v="4"/>
    <s v="8470340"/>
    <s v="KUST - Mechanical Engineering"/>
    <x v="14"/>
    <x v="30"/>
    <s v="Laboratory equipment"/>
    <x v="30"/>
    <s v="847.8470340.1.432209.000000.847001.200179"/>
    <n v="100000"/>
    <m/>
    <n v="80000"/>
    <n v="20000"/>
    <n v="0"/>
    <m/>
    <m/>
    <m/>
    <n v="0"/>
    <n v="0"/>
    <x v="0"/>
  </r>
  <r>
    <x v="4"/>
    <s v="8470340"/>
    <s v="KUST - Mechanical Engineering"/>
    <x v="14"/>
    <x v="31"/>
    <s v="Academic Publications"/>
    <x v="31"/>
    <s v="847.8470340.1.435350.000000.847001.200179"/>
    <n v="336000"/>
    <n v="88904.72"/>
    <m/>
    <m/>
    <n v="218898.88"/>
    <m/>
    <m/>
    <m/>
    <n v="218898.88"/>
    <n v="0"/>
    <x v="0"/>
  </r>
  <r>
    <x v="4"/>
    <s v="8470340"/>
    <s v="KUST - Mechanical Engineering"/>
    <x v="14"/>
    <x v="32"/>
    <s v="Laboratory - Scientific"/>
    <x v="32"/>
    <s v="847.8470340.1.435508.000000.847001.200179"/>
    <n v="264000"/>
    <n v="140267.41"/>
    <n v="0"/>
    <n v="94645.3"/>
    <n v="29087.290000000099"/>
    <m/>
    <m/>
    <m/>
    <n v="29087.290000000099"/>
    <n v="0"/>
    <x v="0"/>
  </r>
  <r>
    <x v="4"/>
    <s v="8470345"/>
    <s v="KUST - Nuclear Engineering"/>
    <x v="15"/>
    <x v="0"/>
    <s v="Academic Advisory Service"/>
    <x v="0"/>
    <s v="847.8470345.1.420550.000000.847001.200179"/>
    <n v="20000"/>
    <m/>
    <m/>
    <m/>
    <n v="20000"/>
    <m/>
    <m/>
    <m/>
    <n v="20000"/>
    <n v="0"/>
    <x v="0"/>
  </r>
  <r>
    <x v="4"/>
    <s v="8470345"/>
    <s v="KUST - Nuclear Engineering"/>
    <x v="15"/>
    <x v="5"/>
    <s v="Conferences, seminars and exhibitions and other events: - Local Events"/>
    <x v="5"/>
    <s v="847.8470345.1.425510.000000.847001.200179"/>
    <n v="30000"/>
    <n v="6485"/>
    <m/>
    <m/>
    <n v="23515"/>
    <m/>
    <m/>
    <m/>
    <n v="23515"/>
    <n v="0"/>
    <x v="0"/>
  </r>
  <r>
    <x v="4"/>
    <s v="8470345"/>
    <s v="KUST - Nuclear Engineering"/>
    <x v="15"/>
    <x v="34"/>
    <s v="Student activities &amp; field trip expenses"/>
    <x v="34"/>
    <s v="847.8470345.1.425760.000000.847001.200179"/>
    <n v="120000"/>
    <m/>
    <m/>
    <m/>
    <n v="120000"/>
    <m/>
    <m/>
    <m/>
    <n v="120000"/>
    <n v="0"/>
    <x v="0"/>
  </r>
  <r>
    <x v="4"/>
    <s v="8470345"/>
    <s v="KUST - Nuclear Engineering"/>
    <x v="15"/>
    <x v="29"/>
    <s v="Academic Missions - Combined expenses"/>
    <x v="29"/>
    <s v="847.8470345.1.425770.000000.847001.200179"/>
    <n v="105000"/>
    <n v="4972.7700000000004"/>
    <m/>
    <m/>
    <n v="100027.23"/>
    <m/>
    <m/>
    <m/>
    <n v="100027.23"/>
    <n v="0"/>
    <x v="0"/>
  </r>
  <r>
    <x v="4"/>
    <s v="8470345"/>
    <s v="KUST - Nuclear Engineering"/>
    <x v="15"/>
    <x v="7"/>
    <s v="Entertainment and hospitality"/>
    <x v="7"/>
    <s v="847.8470345.1.425900.000000.847001.200179"/>
    <n v="3000"/>
    <m/>
    <m/>
    <m/>
    <n v="3000"/>
    <m/>
    <m/>
    <m/>
    <n v="3000"/>
    <n v="0"/>
    <x v="0"/>
  </r>
  <r>
    <x v="4"/>
    <s v="8470345"/>
    <s v="KUST - Nuclear Engineering"/>
    <x v="15"/>
    <x v="8"/>
    <s v="Computer software licenses-Software License Renewal"/>
    <x v="8"/>
    <s v="847.8470345.1.426610.000000.847001.200179"/>
    <n v="146983"/>
    <n v="25723.59"/>
    <n v="7346"/>
    <n v="49585.5"/>
    <n v="64327.91"/>
    <m/>
    <m/>
    <m/>
    <n v="64327.91"/>
    <n v="0"/>
    <x v="0"/>
  </r>
  <r>
    <x v="4"/>
    <s v="8470345"/>
    <s v="KUST - Nuclear Engineering"/>
    <x v="15"/>
    <x v="9"/>
    <s v="Business Travel - Combined expenses"/>
    <x v="9"/>
    <s v="847.8470345.1.428090.000000.847001.200179"/>
    <n v="44592"/>
    <n v="992.62"/>
    <m/>
    <m/>
    <n v="43599.38"/>
    <m/>
    <m/>
    <m/>
    <n v="43599.38"/>
    <n v="0"/>
    <x v="0"/>
  </r>
  <r>
    <x v="4"/>
    <s v="8470345"/>
    <s v="KUST - Nuclear Engineering"/>
    <x v="15"/>
    <x v="31"/>
    <s v="Academic Publications"/>
    <x v="31"/>
    <s v="847.8470345.1.435350.000000.847001.200179"/>
    <n v="70000"/>
    <n v="22395.83"/>
    <m/>
    <m/>
    <n v="47604.17"/>
    <m/>
    <m/>
    <m/>
    <n v="47604.17"/>
    <n v="0"/>
    <x v="0"/>
  </r>
  <r>
    <x v="4"/>
    <s v="8470345"/>
    <s v="KUST - Nuclear Engineering"/>
    <x v="15"/>
    <x v="32"/>
    <s v="Laboratory - Scientific"/>
    <x v="32"/>
    <s v="847.8470345.1.435508.000000.847001.200179"/>
    <n v="197477"/>
    <n v="1859.35"/>
    <n v="1156"/>
    <n v="60119.77"/>
    <n v="134341.88"/>
    <m/>
    <m/>
    <m/>
    <n v="134341.88"/>
    <n v="0"/>
    <x v="0"/>
  </r>
  <r>
    <x v="4"/>
    <s v="8470345"/>
    <s v="KUST - Nuclear Engineering"/>
    <x v="15"/>
    <x v="28"/>
    <s v="Printing supplies"/>
    <x v="28"/>
    <s v="847.8470345.1.436110.000000.847001.200179"/>
    <n v="5742"/>
    <n v="3328"/>
    <n v="0"/>
    <n v="0"/>
    <n v="2414"/>
    <m/>
    <m/>
    <m/>
    <n v="2414"/>
    <n v="0"/>
    <x v="0"/>
  </r>
  <r>
    <x v="4"/>
    <s v="8470345"/>
    <s v="KUST - Nuclear Engineering"/>
    <x v="15"/>
    <x v="33"/>
    <s v="Training/Teaching equipment and other educational aid"/>
    <x v="33"/>
    <s v="847.8470345.1.436600.000000.847001.200179"/>
    <n v="9640"/>
    <m/>
    <m/>
    <m/>
    <n v="9640"/>
    <m/>
    <m/>
    <m/>
    <n v="9640"/>
    <n v="0"/>
    <x v="0"/>
  </r>
  <r>
    <x v="4"/>
    <s v="8470350"/>
    <s v="KUST - Petroleum Engineering"/>
    <x v="16"/>
    <x v="5"/>
    <s v="Conferences, seminars and exhibitions and other events: - Local Events"/>
    <x v="5"/>
    <s v="847.8470350.1.425510.000000.847001.200179"/>
    <n v="16000"/>
    <n v="4017"/>
    <m/>
    <m/>
    <n v="11983"/>
    <m/>
    <m/>
    <m/>
    <n v="11983"/>
    <n v="0"/>
    <x v="0"/>
  </r>
  <r>
    <x v="4"/>
    <s v="8470350"/>
    <s v="KUST - Petroleum Engineering"/>
    <x v="16"/>
    <x v="34"/>
    <s v="Student activities &amp; field trip expenses"/>
    <x v="34"/>
    <s v="847.8470350.1.425760.000000.847001.200179"/>
    <n v="25000"/>
    <n v="682"/>
    <m/>
    <m/>
    <n v="24318"/>
    <m/>
    <m/>
    <m/>
    <n v="24318"/>
    <n v="0"/>
    <x v="0"/>
  </r>
  <r>
    <x v="4"/>
    <s v="8470350"/>
    <s v="KUST - Petroleum Engineering"/>
    <x v="16"/>
    <x v="15"/>
    <s v="Student Project Expenses"/>
    <x v="15"/>
    <s v="847.8470350.1.425763.000000.847001.200179"/>
    <n v="30000"/>
    <m/>
    <m/>
    <m/>
    <n v="30000"/>
    <m/>
    <m/>
    <m/>
    <n v="30000"/>
    <n v="0"/>
    <x v="0"/>
  </r>
  <r>
    <x v="4"/>
    <s v="8470350"/>
    <s v="KUST - Petroleum Engineering"/>
    <x v="16"/>
    <x v="29"/>
    <s v="Academic Missions - Combined expenses"/>
    <x v="29"/>
    <s v="847.8470350.1.425770.000000.847001.200179"/>
    <n v="150000"/>
    <n v="37476.78"/>
    <m/>
    <m/>
    <n v="112523.22"/>
    <m/>
    <m/>
    <m/>
    <n v="112523.22"/>
    <n v="0"/>
    <x v="0"/>
  </r>
  <r>
    <x v="4"/>
    <s v="8470350"/>
    <s v="KUST - Petroleum Engineering"/>
    <x v="16"/>
    <x v="7"/>
    <s v="Entertainment and hospitality"/>
    <x v="7"/>
    <s v="847.8470350.1.425900.000000.847001.200179"/>
    <n v="8500"/>
    <n v="1782"/>
    <m/>
    <m/>
    <n v="6718"/>
    <m/>
    <m/>
    <m/>
    <n v="6718"/>
    <n v="0"/>
    <x v="0"/>
  </r>
  <r>
    <x v="4"/>
    <s v="8470350"/>
    <s v="KUST - Petroleum Engineering"/>
    <x v="16"/>
    <x v="8"/>
    <s v="Computer software licenses-Software License Renewal"/>
    <x v="8"/>
    <s v="847.8470350.1.426610.000000.847001.200179"/>
    <n v="210200"/>
    <n v="23666.76"/>
    <n v="0"/>
    <n v="172888.11"/>
    <n v="13645.13"/>
    <m/>
    <m/>
    <m/>
    <n v="13645.13"/>
    <n v="0"/>
    <x v="0"/>
  </r>
  <r>
    <x v="4"/>
    <s v="8470350"/>
    <s v="KUST - Petroleum Engineering"/>
    <x v="16"/>
    <x v="30"/>
    <s v="Laboratory equipment"/>
    <x v="30"/>
    <s v="847.8470350.1.432209.000000.847001.200179"/>
    <n v="305000"/>
    <m/>
    <n v="0"/>
    <n v="143841.45000000001"/>
    <n v="161158.54999999999"/>
    <m/>
    <m/>
    <m/>
    <n v="161158.54999999999"/>
    <n v="0"/>
    <x v="0"/>
  </r>
  <r>
    <x v="4"/>
    <s v="8470350"/>
    <s v="KUST - Petroleum Engineering"/>
    <x v="16"/>
    <x v="36"/>
    <s v="Text books and library books"/>
    <x v="36"/>
    <s v="847.8470350.1.435340.000000.847001.200179"/>
    <n v="10000"/>
    <m/>
    <m/>
    <m/>
    <n v="10000"/>
    <m/>
    <m/>
    <m/>
    <n v="10000"/>
    <n v="0"/>
    <x v="0"/>
  </r>
  <r>
    <x v="4"/>
    <s v="8470350"/>
    <s v="KUST - Petroleum Engineering"/>
    <x v="16"/>
    <x v="31"/>
    <s v="Academic Publications"/>
    <x v="31"/>
    <s v="847.8470350.1.435350.000000.847001.200179"/>
    <n v="50000"/>
    <m/>
    <m/>
    <m/>
    <n v="50000"/>
    <m/>
    <m/>
    <m/>
    <n v="50000"/>
    <n v="0"/>
    <x v="0"/>
  </r>
  <r>
    <x v="4"/>
    <s v="8470350"/>
    <s v="KUST - Petroleum Engineering"/>
    <x v="16"/>
    <x v="32"/>
    <s v="Laboratory - Scientific"/>
    <x v="32"/>
    <s v="847.8470350.1.435508.000000.847001.200179"/>
    <n v="100000"/>
    <n v="14966.9"/>
    <n v="1.8189894035458601E-12"/>
    <n v="13002.42"/>
    <n v="72030.679999999993"/>
    <m/>
    <m/>
    <m/>
    <n v="72030.679999999993"/>
    <n v="0"/>
    <x v="0"/>
  </r>
  <r>
    <x v="4"/>
    <s v="8470350"/>
    <s v="KUST - Petroleum Engineering"/>
    <x v="16"/>
    <x v="28"/>
    <s v="Printing supplies"/>
    <x v="28"/>
    <s v="847.8470350.1.436110.000000.847001.200179"/>
    <n v="7500"/>
    <m/>
    <m/>
    <m/>
    <n v="7500"/>
    <m/>
    <m/>
    <m/>
    <n v="7500"/>
    <n v="0"/>
    <x v="0"/>
  </r>
  <r>
    <x v="4"/>
    <s v="8470350"/>
    <s v="KUST - Petroleum Engineering"/>
    <x v="16"/>
    <x v="33"/>
    <s v="Training/Teaching equipment and other educational aid"/>
    <x v="33"/>
    <s v="847.8470350.1.436600.000000.847001.200179"/>
    <n v="60000"/>
    <m/>
    <m/>
    <m/>
    <n v="60000"/>
    <m/>
    <m/>
    <m/>
    <n v="60000"/>
    <n v="0"/>
    <x v="0"/>
  </r>
  <r>
    <x v="5"/>
    <s v="8470405"/>
    <s v="KUST - Dean Of Arts &amp; Science"/>
    <x v="17"/>
    <x v="0"/>
    <s v="Academic Advisory Service"/>
    <x v="0"/>
    <s v="847.8470405.1.420550.000000.847001.200179"/>
    <n v="65692"/>
    <n v="64718.46"/>
    <m/>
    <m/>
    <n v="973.53999999999405"/>
    <m/>
    <m/>
    <m/>
    <n v="973.53999999999405"/>
    <n v="0"/>
    <x v="0"/>
  </r>
  <r>
    <x v="5"/>
    <s v="8470405"/>
    <s v="KUST - Dean Of Arts &amp; Science"/>
    <x v="17"/>
    <x v="4"/>
    <s v="Standards Certification Services (e.g. ISO)"/>
    <x v="4"/>
    <s v="847.8470405.1.421700.000000.847001.200179"/>
    <n v="500308"/>
    <n v="61934.26"/>
    <m/>
    <m/>
    <n v="438373.74"/>
    <m/>
    <m/>
    <m/>
    <n v="438373.74"/>
    <n v="0"/>
    <x v="0"/>
  </r>
  <r>
    <x v="5"/>
    <s v="8470405"/>
    <s v="KUST - Dean Of Arts &amp; Science"/>
    <x v="17"/>
    <x v="5"/>
    <s v="Conferences, seminars and exhibitions and other events: - Local Events"/>
    <x v="5"/>
    <s v="847.8470405.1.425510.000000.847001.200179"/>
    <n v="15000"/>
    <n v="4967"/>
    <m/>
    <m/>
    <n v="10033"/>
    <m/>
    <m/>
    <m/>
    <n v="10033"/>
    <n v="0"/>
    <x v="0"/>
  </r>
  <r>
    <x v="5"/>
    <s v="8470405"/>
    <s v="KUST - Dean Of Arts &amp; Science"/>
    <x v="17"/>
    <x v="6"/>
    <s v="Conferences, seminars and exhibitions and other events: - Overseas event"/>
    <x v="6"/>
    <s v="847.8470405.1.425550.000000.847001.200179"/>
    <n v="15000"/>
    <n v="13957.9"/>
    <m/>
    <m/>
    <n v="1042.0999999999999"/>
    <m/>
    <m/>
    <m/>
    <n v="1042.0999999999999"/>
    <n v="0"/>
    <x v="0"/>
  </r>
  <r>
    <x v="5"/>
    <s v="8470405"/>
    <s v="KUST - Dean Of Arts &amp; Science"/>
    <x v="17"/>
    <x v="29"/>
    <s v="Academic Missions - Combined expenses"/>
    <x v="29"/>
    <s v="847.8470405.1.425770.000000.847001.200179"/>
    <n v="35825"/>
    <n v="15471.72"/>
    <m/>
    <m/>
    <n v="2978.38"/>
    <m/>
    <m/>
    <m/>
    <n v="2978.38"/>
    <n v="0"/>
    <x v="0"/>
  </r>
  <r>
    <x v="5"/>
    <s v="8470405"/>
    <s v="KUST - Dean Of Arts &amp; Science"/>
    <x v="17"/>
    <x v="13"/>
    <s v="Subscriptions and membership fees: Trade organisations"/>
    <x v="13"/>
    <s v="847.8470405.1.427710.000000.847001.200179"/>
    <n v="20175"/>
    <n v="20174.88"/>
    <m/>
    <m/>
    <n v="0.11999999999898101"/>
    <m/>
    <m/>
    <m/>
    <n v="0.11999999999898101"/>
    <n v="0"/>
    <x v="0"/>
  </r>
  <r>
    <x v="5"/>
    <s v="8470405"/>
    <s v="KUST - Dean Of Arts &amp; Science"/>
    <x v="17"/>
    <x v="30"/>
    <s v="Laboratory equipment"/>
    <x v="30"/>
    <s v="847.8470405.1.432209.000000.847001.200179"/>
    <n v="200000"/>
    <m/>
    <m/>
    <m/>
    <n v="200000"/>
    <m/>
    <m/>
    <m/>
    <n v="200000"/>
    <n v="0"/>
    <x v="0"/>
  </r>
  <r>
    <x v="5"/>
    <s v="8470405"/>
    <s v="KUST - Dean Of Arts &amp; Science"/>
    <x v="17"/>
    <x v="31"/>
    <s v="Academic Publications"/>
    <x v="31"/>
    <s v="847.8470405.1.435350.000000.847001.200179"/>
    <n v="30000"/>
    <n v="28033.25"/>
    <m/>
    <m/>
    <n v="1966.75"/>
    <m/>
    <m/>
    <m/>
    <n v="1966.75"/>
    <n v="0"/>
    <x v="0"/>
  </r>
  <r>
    <x v="5"/>
    <s v="8470410"/>
    <s v="KUST - Institute of International &amp; Civil Security"/>
    <x v="18"/>
    <x v="26"/>
    <s v="Student Field trips"/>
    <x v="26"/>
    <s v="847.8470410.1.425761.000000.847001.200179"/>
    <n v="162000"/>
    <m/>
    <m/>
    <m/>
    <n v="162000"/>
    <m/>
    <m/>
    <m/>
    <n v="162000"/>
    <n v="0"/>
    <x v="0"/>
  </r>
  <r>
    <x v="5"/>
    <s v="8470410"/>
    <s v="KUST - Institute of International &amp; Civil Security"/>
    <x v="18"/>
    <x v="29"/>
    <s v="Academic Missions - Combined expenses"/>
    <x v="29"/>
    <s v="847.8470410.1.425770.000000.847001.200179"/>
    <n v="120000"/>
    <n v="25132"/>
    <m/>
    <m/>
    <n v="94868"/>
    <m/>
    <m/>
    <m/>
    <n v="94868"/>
    <n v="0"/>
    <x v="0"/>
  </r>
  <r>
    <x v="5"/>
    <s v="8470410"/>
    <s v="KUST - Institute of International &amp; Civil Security"/>
    <x v="18"/>
    <x v="8"/>
    <s v="Computer software licenses-Software License Renewal"/>
    <x v="8"/>
    <s v="847.8470410.1.426610.000000.847001.200179"/>
    <n v="5600"/>
    <n v="1612"/>
    <m/>
    <m/>
    <n v="3988"/>
    <m/>
    <m/>
    <m/>
    <n v="3988"/>
    <n v="0"/>
    <x v="0"/>
  </r>
  <r>
    <x v="5"/>
    <s v="8470410"/>
    <s v="KUST - Institute of International &amp; Civil Security"/>
    <x v="18"/>
    <x v="18"/>
    <s v="Newspapers, magazines, journals, etc"/>
    <x v="18"/>
    <s v="847.8470410.1.435310.000000.847001.200179"/>
    <n v="85229"/>
    <n v="12957.33"/>
    <n v="8447.9"/>
    <m/>
    <n v="63823.77"/>
    <m/>
    <m/>
    <m/>
    <n v="63823.77"/>
    <n v="0"/>
    <x v="0"/>
  </r>
  <r>
    <x v="5"/>
    <s v="8470410"/>
    <s v="KUST - Institute of International &amp; Civil Security"/>
    <x v="18"/>
    <x v="31"/>
    <s v="Academic Publications"/>
    <x v="31"/>
    <s v="847.8470410.1.435350.000000.847001.200179"/>
    <n v="17900"/>
    <n v="1500"/>
    <m/>
    <m/>
    <n v="16400"/>
    <m/>
    <m/>
    <m/>
    <n v="16400"/>
    <n v="0"/>
    <x v="0"/>
  </r>
  <r>
    <x v="5"/>
    <s v="8470415"/>
    <s v="KUST - Chemistry"/>
    <x v="19"/>
    <x v="4"/>
    <s v="Standards Certification Services (e.g. ISO)"/>
    <x v="4"/>
    <s v="847.8470415.1.421700.000000.847001.200179"/>
    <n v="150000"/>
    <m/>
    <m/>
    <m/>
    <n v="150000"/>
    <m/>
    <m/>
    <m/>
    <n v="150000"/>
    <s v="Expected application to CAA for nerw Masters degree will not go ahead."/>
    <x v="1"/>
  </r>
  <r>
    <x v="5"/>
    <s v="8470415"/>
    <s v="KUST - Chemistry"/>
    <x v="19"/>
    <x v="14"/>
    <s v="Advertising Services (General)"/>
    <x v="14"/>
    <s v="847.8470415.1.425100.000000.847001.200179"/>
    <n v="50000"/>
    <m/>
    <m/>
    <m/>
    <n v="50000"/>
    <m/>
    <n v="50000"/>
    <s v="Will coordinate expenditure with CoAS management"/>
    <n v="0"/>
    <m/>
    <x v="1"/>
  </r>
  <r>
    <x v="5"/>
    <s v="8470415"/>
    <s v="KUST - Chemistry"/>
    <x v="19"/>
    <x v="34"/>
    <s v="Student activities &amp; field trip expenses"/>
    <x v="34"/>
    <s v="847.8470415.1.425760.000000.847001.200179"/>
    <n v="5000"/>
    <m/>
    <m/>
    <m/>
    <n v="5000"/>
    <m/>
    <n v="5000"/>
    <s v="Field trips will occur in semester (Oct - Dec)"/>
    <n v="0"/>
    <m/>
    <x v="1"/>
  </r>
  <r>
    <x v="5"/>
    <s v="8470415"/>
    <s v="KUST - Chemistry"/>
    <x v="19"/>
    <x v="15"/>
    <s v="Student Project Expenses"/>
    <x v="15"/>
    <s v="847.8470415.1.425763.000000.847001.200179"/>
    <n v="80000"/>
    <n v="3365"/>
    <n v="0"/>
    <n v="17820"/>
    <n v="58815"/>
    <m/>
    <n v="58000"/>
    <s v="Project expenditure in Semester 2 (Oct - Dec)"/>
    <n v="815"/>
    <m/>
    <x v="1"/>
  </r>
  <r>
    <x v="5"/>
    <s v="8470415"/>
    <s v="KUST - Chemistry"/>
    <x v="19"/>
    <x v="29"/>
    <s v="Academic Missions - Combined expenses"/>
    <x v="29"/>
    <s v="847.8470415.1.425770.000000.847001.200179"/>
    <n v="285000"/>
    <n v="67495.960000000006"/>
    <m/>
    <m/>
    <n v="217504.04"/>
    <n v="150000"/>
    <n v="50000"/>
    <s v="Most conference expenditure occurs in Summer - Q3"/>
    <n v="17504.040000000008"/>
    <m/>
    <x v="1"/>
  </r>
  <r>
    <x v="5"/>
    <s v="8470415"/>
    <s v="KUST - Chemistry"/>
    <x v="19"/>
    <x v="7"/>
    <s v="Entertainment and hospitality"/>
    <x v="7"/>
    <s v="847.8470415.1.425900.000000.847001.200179"/>
    <n v="140000"/>
    <n v="7839.73"/>
    <m/>
    <m/>
    <n v="132160.26999999999"/>
    <m/>
    <m/>
    <m/>
    <n v="132160.26999999999"/>
    <s v="Advisory board unlikely to be held"/>
    <x v="1"/>
  </r>
  <r>
    <x v="5"/>
    <s v="8470415"/>
    <s v="KUST - Chemistry"/>
    <x v="19"/>
    <x v="8"/>
    <s v="Computer software licenses-Software License Renewal"/>
    <x v="8"/>
    <s v="847.8470415.1.426610.000000.847001.200179"/>
    <n v="229511"/>
    <n v="30164.11"/>
    <n v="0"/>
    <n v="31220.5"/>
    <n v="168126.39"/>
    <n v="150000"/>
    <m/>
    <s v="PR has been issued recently"/>
    <n v="18126.390000000014"/>
    <m/>
    <x v="1"/>
  </r>
  <r>
    <x v="5"/>
    <s v="8470415"/>
    <s v="KUST - Chemistry"/>
    <x v="19"/>
    <x v="11"/>
    <s v="Events - Awards, prizes &amp; gifts"/>
    <x v="11"/>
    <s v="847.8470415.1.428640.000000.847001.200179"/>
    <n v="15000"/>
    <m/>
    <m/>
    <m/>
    <n v="15000"/>
    <n v="15000"/>
    <m/>
    <s v="Purchases to be made"/>
    <n v="0"/>
    <m/>
    <x v="1"/>
  </r>
  <r>
    <x v="5"/>
    <s v="8470415"/>
    <s v="KUST - Chemistry"/>
    <x v="19"/>
    <x v="30"/>
    <s v="Laboratory equipment"/>
    <x v="30"/>
    <s v="847.8470415.1.432209.000000.847001.200179"/>
    <n v="301000"/>
    <n v="39104"/>
    <n v="82964.100000000006"/>
    <n v="82628.61"/>
    <n v="96303.29"/>
    <n v="60000"/>
    <n v="36303"/>
    <s v="Further purchases to be made"/>
    <n v="0.28999999999359716"/>
    <m/>
    <x v="1"/>
  </r>
  <r>
    <x v="5"/>
    <s v="8470415"/>
    <s v="KUST - Chemistry"/>
    <x v="19"/>
    <x v="31"/>
    <s v="Academic Publications"/>
    <x v="31"/>
    <s v="847.8470415.1.435350.000000.847001.200179"/>
    <n v="70000"/>
    <n v="5138"/>
    <m/>
    <m/>
    <n v="64862"/>
    <n v="30000"/>
    <n v="30000"/>
    <s v="Papers continue to be published all year"/>
    <n v="4862"/>
    <m/>
    <x v="1"/>
  </r>
  <r>
    <x v="5"/>
    <s v="8470415"/>
    <s v="KUST - Chemistry"/>
    <x v="19"/>
    <x v="32"/>
    <s v="Laboratory - Scientific"/>
    <x v="32"/>
    <s v="847.8470415.1.435508.000000.847001.200179"/>
    <n v="525000"/>
    <n v="89206.58"/>
    <n v="36675"/>
    <n v="76210"/>
    <n v="322908.42"/>
    <n v="300000"/>
    <n v="22908"/>
    <s v="Further purchases to be made"/>
    <n v="0.41999999998370185"/>
    <m/>
    <x v="1"/>
  </r>
  <r>
    <x v="5"/>
    <s v="8470415"/>
    <s v="KUST - Chemistry"/>
    <x v="19"/>
    <x v="19"/>
    <s v="Photography - Consumable materials /Tools"/>
    <x v="19"/>
    <s v="847.8470415.1.435519.000000.847001.200179"/>
    <n v="20000"/>
    <m/>
    <m/>
    <m/>
    <n v="20000"/>
    <m/>
    <n v="20000"/>
    <s v="Videoing to be done in Q4 (Semester 2)"/>
    <n v="0"/>
    <m/>
    <x v="1"/>
  </r>
  <r>
    <x v="5"/>
    <s v="8470425"/>
    <s v="KUST - Physics"/>
    <x v="20"/>
    <x v="5"/>
    <s v="Conferences, seminars and exhibitions and other events: - Local Events"/>
    <x v="5"/>
    <s v="847.8470425.1.425510.000000.847001.200179"/>
    <n v="45000"/>
    <m/>
    <m/>
    <m/>
    <n v="45000"/>
    <m/>
    <m/>
    <m/>
    <n v="45000"/>
    <n v="0"/>
    <x v="0"/>
  </r>
  <r>
    <x v="5"/>
    <s v="8470425"/>
    <s v="KUST - Physics"/>
    <x v="20"/>
    <x v="6"/>
    <s v="Conferences, seminars and exhibitions and other events: - Overseas event"/>
    <x v="6"/>
    <s v="847.8470425.1.425550.000000.847001.200179"/>
    <n v="225000"/>
    <m/>
    <m/>
    <m/>
    <n v="225000"/>
    <m/>
    <m/>
    <m/>
    <n v="225000"/>
    <n v="0"/>
    <x v="0"/>
  </r>
  <r>
    <x v="5"/>
    <s v="8470425"/>
    <s v="KUST - Physics"/>
    <x v="20"/>
    <x v="29"/>
    <s v="Academic Missions - Combined expenses"/>
    <x v="29"/>
    <s v="847.8470425.1.425770.000000.847001.200179"/>
    <n v="60000"/>
    <n v="19885"/>
    <m/>
    <m/>
    <n v="40115"/>
    <m/>
    <m/>
    <m/>
    <n v="40115"/>
    <n v="0"/>
    <x v="0"/>
  </r>
  <r>
    <x v="5"/>
    <s v="8470425"/>
    <s v="KUST - Physics"/>
    <x v="20"/>
    <x v="7"/>
    <s v="Entertainment and hospitality"/>
    <x v="7"/>
    <s v="847.8470425.1.425900.000000.847001.200179"/>
    <n v="10116"/>
    <m/>
    <m/>
    <m/>
    <n v="10116"/>
    <m/>
    <m/>
    <m/>
    <n v="10116"/>
    <n v="0"/>
    <x v="0"/>
  </r>
  <r>
    <x v="5"/>
    <s v="8470425"/>
    <s v="KUST - Physics"/>
    <x v="20"/>
    <x v="8"/>
    <s v="Computer software licenses-Software License Renewal"/>
    <x v="8"/>
    <s v="847.8470425.1.426610.000000.847001.200179"/>
    <n v="212000"/>
    <m/>
    <n v="0"/>
    <n v="22497.13"/>
    <n v="189502.87"/>
    <m/>
    <m/>
    <m/>
    <n v="189502.87"/>
    <n v="0"/>
    <x v="0"/>
  </r>
  <r>
    <x v="5"/>
    <s v="8470425"/>
    <s v="KUST - Physics"/>
    <x v="20"/>
    <x v="9"/>
    <s v="Business Travel - Combined expenses"/>
    <x v="9"/>
    <s v="847.8470425.1.428090.000000.847001.200179"/>
    <n v="128000"/>
    <m/>
    <m/>
    <m/>
    <n v="128000"/>
    <m/>
    <m/>
    <m/>
    <n v="128000"/>
    <n v="0"/>
    <x v="0"/>
  </r>
  <r>
    <x v="5"/>
    <s v="8470425"/>
    <s v="KUST - Physics"/>
    <x v="20"/>
    <x v="31"/>
    <s v="Academic Publications"/>
    <x v="31"/>
    <s v="847.8470425.1.435350.000000.847001.200179"/>
    <n v="120000"/>
    <n v="21287.77"/>
    <m/>
    <m/>
    <n v="39665.660000000003"/>
    <m/>
    <m/>
    <m/>
    <n v="39665.660000000003"/>
    <n v="0"/>
    <x v="0"/>
  </r>
  <r>
    <x v="5"/>
    <s v="8470425"/>
    <s v="KUST - Physics"/>
    <x v="20"/>
    <x v="32"/>
    <s v="Laboratory - Scientific"/>
    <x v="32"/>
    <s v="847.8470425.1.435508.000000.847001.200179"/>
    <n v="551566"/>
    <m/>
    <n v="0"/>
    <n v="152675"/>
    <n v="398891"/>
    <m/>
    <m/>
    <m/>
    <n v="398891"/>
    <n v="0"/>
    <x v="0"/>
  </r>
  <r>
    <x v="5"/>
    <s v="8470430"/>
    <s v="KUST - Preparatory Program"/>
    <x v="21"/>
    <x v="26"/>
    <s v="Student Field trips"/>
    <x v="26"/>
    <s v="847.8470430.1.425761.000000.847001.200179"/>
    <n v="8500"/>
    <m/>
    <m/>
    <m/>
    <n v="8500"/>
    <m/>
    <m/>
    <m/>
    <n v="8500"/>
    <n v="0"/>
    <x v="0"/>
  </r>
  <r>
    <x v="5"/>
    <s v="8470430"/>
    <s v="KUST - Preparatory Program"/>
    <x v="21"/>
    <x v="29"/>
    <s v="Academic Missions - Combined expenses"/>
    <x v="29"/>
    <s v="847.8470430.1.425770.000000.847001.200179"/>
    <n v="373425"/>
    <n v="5500"/>
    <m/>
    <m/>
    <n v="367925"/>
    <m/>
    <m/>
    <m/>
    <n v="367925"/>
    <n v="0"/>
    <x v="0"/>
  </r>
  <r>
    <x v="5"/>
    <s v="8470430"/>
    <s v="KUST - Preparatory Program"/>
    <x v="21"/>
    <x v="7"/>
    <s v="Entertainment and hospitality"/>
    <x v="7"/>
    <s v="847.8470430.1.425900.000000.847001.200179"/>
    <n v="12000"/>
    <m/>
    <m/>
    <m/>
    <n v="12000"/>
    <m/>
    <m/>
    <m/>
    <n v="12000"/>
    <n v="0"/>
    <x v="0"/>
  </r>
  <r>
    <x v="5"/>
    <s v="8470430"/>
    <s v="KUST - Preparatory Program"/>
    <x v="21"/>
    <x v="8"/>
    <s v="Computer software licenses-Software License Renewal"/>
    <x v="8"/>
    <s v="847.8470430.1.426610.000000.847001.200179"/>
    <n v="26152"/>
    <n v="7462.28"/>
    <n v="0"/>
    <n v="15518.43"/>
    <n v="3171.29"/>
    <m/>
    <m/>
    <m/>
    <n v="3171.29"/>
    <n v="0"/>
    <x v="0"/>
  </r>
  <r>
    <x v="5"/>
    <s v="8470430"/>
    <s v="KUST - Preparatory Program"/>
    <x v="21"/>
    <x v="30"/>
    <s v="Laboratory equipment"/>
    <x v="30"/>
    <s v="847.8470430.1.432209.000000.847001.200179"/>
    <n v="1575"/>
    <n v="1500"/>
    <m/>
    <m/>
    <n v="75"/>
    <m/>
    <m/>
    <m/>
    <n v="75"/>
    <n v="0"/>
    <x v="0"/>
  </r>
  <r>
    <x v="5"/>
    <s v="8470430"/>
    <s v="KUST - Preparatory Program"/>
    <x v="21"/>
    <x v="32"/>
    <s v="Laboratory - Scientific"/>
    <x v="32"/>
    <s v="847.8470430.1.435508.000000.847001.200179"/>
    <n v="84600"/>
    <m/>
    <m/>
    <m/>
    <n v="84600"/>
    <m/>
    <m/>
    <m/>
    <n v="84600"/>
    <n v="0"/>
    <x v="0"/>
  </r>
  <r>
    <x v="5"/>
    <s v="8470435"/>
    <s v="KUST - Department of English"/>
    <x v="22"/>
    <x v="29"/>
    <s v="Academic Missions - Combined expenses"/>
    <x v="29"/>
    <s v="847.8470435.1.425770.000000.847001.200179"/>
    <n v="100000"/>
    <n v="24695.9"/>
    <m/>
    <m/>
    <n v="75304.100000000006"/>
    <m/>
    <m/>
    <m/>
    <n v="75304.100000000006"/>
    <n v="0"/>
    <x v="0"/>
  </r>
  <r>
    <x v="5"/>
    <s v="8470435"/>
    <s v="KUST - Department of English"/>
    <x v="22"/>
    <x v="8"/>
    <s v="Computer software licenses-Software License Renewal"/>
    <x v="8"/>
    <s v="847.8470435.1.426610.000000.847001.200179"/>
    <n v="30000"/>
    <n v="1156"/>
    <m/>
    <m/>
    <n v="28844"/>
    <m/>
    <m/>
    <m/>
    <n v="28844"/>
    <n v="0"/>
    <x v="0"/>
  </r>
  <r>
    <x v="5"/>
    <s v="8470435"/>
    <s v="KUST - Department of English"/>
    <x v="22"/>
    <x v="36"/>
    <s v="Text books and library books"/>
    <x v="36"/>
    <s v="847.8470435.1.435340.000000.847001.200179"/>
    <n v="35000"/>
    <m/>
    <m/>
    <m/>
    <n v="35000"/>
    <m/>
    <m/>
    <m/>
    <n v="35000"/>
    <n v="0"/>
    <x v="0"/>
  </r>
  <r>
    <x v="5"/>
    <s v="8470435"/>
    <s v="KUST - Department of English"/>
    <x v="22"/>
    <x v="33"/>
    <s v="Training/Teaching equipment and other educational aid"/>
    <x v="33"/>
    <s v="847.8470435.1.436600.000000.847001.200179"/>
    <n v="30000"/>
    <m/>
    <m/>
    <m/>
    <n v="30000"/>
    <m/>
    <m/>
    <m/>
    <n v="30000"/>
    <n v="0"/>
    <x v="0"/>
  </r>
  <r>
    <x v="5"/>
    <s v="8470440"/>
    <s v="KUST - Humanities &amp; Social Sciences"/>
    <x v="23"/>
    <x v="0"/>
    <s v="Academic Advisory Service"/>
    <x v="0"/>
    <s v="847.8470440.1.420550.000000.847001.200179"/>
    <n v="560000"/>
    <m/>
    <m/>
    <m/>
    <n v="560000"/>
    <m/>
    <m/>
    <m/>
    <n v="560000"/>
    <n v="0"/>
    <x v="0"/>
  </r>
  <r>
    <x v="5"/>
    <s v="8470440"/>
    <s v="KUST - Humanities &amp; Social Sciences"/>
    <x v="23"/>
    <x v="1"/>
    <s v="Academic Collaborative Partnership Services"/>
    <x v="1"/>
    <s v="847.8470440.1.420570.000000.847001.200179"/>
    <n v="150000"/>
    <m/>
    <m/>
    <m/>
    <n v="150000"/>
    <m/>
    <m/>
    <m/>
    <n v="150000"/>
    <n v="0"/>
    <x v="0"/>
  </r>
  <r>
    <x v="5"/>
    <s v="8470440"/>
    <s v="KUST - Humanities &amp; Social Sciences"/>
    <x v="23"/>
    <x v="4"/>
    <s v="Standards Certification Services (e.g. ISO)"/>
    <x v="4"/>
    <s v="847.8470440.1.421700.000000.847001.200179"/>
    <n v="280000"/>
    <m/>
    <m/>
    <m/>
    <n v="280000"/>
    <m/>
    <m/>
    <m/>
    <n v="280000"/>
    <n v="0"/>
    <x v="0"/>
  </r>
  <r>
    <x v="5"/>
    <s v="8470440"/>
    <s v="KUST - Humanities &amp; Social Sciences"/>
    <x v="23"/>
    <x v="14"/>
    <s v="Advertising Services (General)"/>
    <x v="14"/>
    <s v="847.8470440.1.425100.000000.847001.200179"/>
    <n v="10000"/>
    <m/>
    <m/>
    <m/>
    <n v="10000"/>
    <m/>
    <m/>
    <m/>
    <n v="10000"/>
    <n v="0"/>
    <x v="0"/>
  </r>
  <r>
    <x v="5"/>
    <s v="8470440"/>
    <s v="KUST - Humanities &amp; Social Sciences"/>
    <x v="23"/>
    <x v="5"/>
    <s v="Conferences, seminars and exhibitions and other events: - Local Events"/>
    <x v="5"/>
    <s v="847.8470440.1.425510.000000.847001.200179"/>
    <n v="225000"/>
    <m/>
    <m/>
    <m/>
    <n v="225000"/>
    <m/>
    <m/>
    <m/>
    <n v="225000"/>
    <n v="0"/>
    <x v="0"/>
  </r>
  <r>
    <x v="5"/>
    <s v="8470440"/>
    <s v="KUST - Humanities &amp; Social Sciences"/>
    <x v="23"/>
    <x v="6"/>
    <s v="Conferences, seminars and exhibitions and other events: - Overseas event"/>
    <x v="6"/>
    <s v="847.8470440.1.425550.000000.847001.200179"/>
    <n v="225000"/>
    <m/>
    <m/>
    <m/>
    <n v="225000"/>
    <m/>
    <m/>
    <m/>
    <n v="225000"/>
    <n v="0"/>
    <x v="0"/>
  </r>
  <r>
    <x v="5"/>
    <s v="8470440"/>
    <s v="KUST - Humanities &amp; Social Sciences"/>
    <x v="23"/>
    <x v="26"/>
    <s v="Student Field trips"/>
    <x v="26"/>
    <s v="847.8470440.1.425761.000000.847001.200179"/>
    <n v="750000"/>
    <m/>
    <m/>
    <m/>
    <n v="750000"/>
    <m/>
    <m/>
    <m/>
    <n v="750000"/>
    <n v="0"/>
    <x v="0"/>
  </r>
  <r>
    <x v="5"/>
    <s v="8470440"/>
    <s v="KUST - Humanities &amp; Social Sciences"/>
    <x v="23"/>
    <x v="29"/>
    <s v="Academic Missions - Combined expenses"/>
    <x v="29"/>
    <s v="847.8470440.1.425770.000000.847001.200179"/>
    <n v="300000"/>
    <n v="40814.400000000001"/>
    <m/>
    <m/>
    <n v="259185.6"/>
    <m/>
    <m/>
    <m/>
    <n v="259185.6"/>
    <n v="0"/>
    <x v="0"/>
  </r>
  <r>
    <x v="5"/>
    <s v="8470440"/>
    <s v="KUST - Humanities &amp; Social Sciences"/>
    <x v="23"/>
    <x v="7"/>
    <s v="Entertainment and hospitality"/>
    <x v="7"/>
    <s v="847.8470440.1.425900.000000.847001.200179"/>
    <n v="24000"/>
    <m/>
    <m/>
    <m/>
    <n v="24000"/>
    <m/>
    <m/>
    <m/>
    <n v="24000"/>
    <n v="0"/>
    <x v="0"/>
  </r>
  <r>
    <x v="5"/>
    <s v="8470440"/>
    <s v="KUST - Humanities &amp; Social Sciences"/>
    <x v="23"/>
    <x v="8"/>
    <s v="Computer software licenses-Software License Renewal"/>
    <x v="8"/>
    <s v="847.8470440.1.426610.000000.847001.200179"/>
    <n v="120000"/>
    <m/>
    <n v="6398.78"/>
    <m/>
    <n v="113601.22"/>
    <m/>
    <m/>
    <m/>
    <n v="113601.22"/>
    <n v="0"/>
    <x v="0"/>
  </r>
  <r>
    <x v="5"/>
    <s v="8470440"/>
    <s v="KUST - Humanities &amp; Social Sciences"/>
    <x v="23"/>
    <x v="13"/>
    <s v="Subscriptions and membership fees: Trade organisations"/>
    <x v="13"/>
    <s v="847.8470440.1.427710.000000.847001.200179"/>
    <n v="15000"/>
    <m/>
    <m/>
    <m/>
    <n v="15000"/>
    <m/>
    <m/>
    <m/>
    <n v="15000"/>
    <n v="0"/>
    <x v="0"/>
  </r>
  <r>
    <x v="5"/>
    <s v="8470440"/>
    <s v="KUST - Humanities &amp; Social Sciences"/>
    <x v="23"/>
    <x v="9"/>
    <s v="Business Travel - Combined expenses"/>
    <x v="9"/>
    <s v="847.8470440.1.428090.000000.847001.200179"/>
    <n v="225000"/>
    <m/>
    <m/>
    <m/>
    <n v="225000"/>
    <m/>
    <m/>
    <m/>
    <n v="225000"/>
    <n v="0"/>
    <x v="0"/>
  </r>
  <r>
    <x v="5"/>
    <s v="8470440"/>
    <s v="KUST - Humanities &amp; Social Sciences"/>
    <x v="23"/>
    <x v="11"/>
    <s v="Events - Awards, prizes &amp; gifts"/>
    <x v="11"/>
    <s v="847.8470440.1.428640.000000.847001.200179"/>
    <n v="100000"/>
    <m/>
    <m/>
    <m/>
    <n v="100000"/>
    <m/>
    <m/>
    <m/>
    <n v="100000"/>
    <n v="0"/>
    <x v="0"/>
  </r>
  <r>
    <x v="5"/>
    <s v="8470440"/>
    <s v="KUST - Humanities &amp; Social Sciences"/>
    <x v="23"/>
    <x v="36"/>
    <s v="Text books and library books"/>
    <x v="36"/>
    <s v="847.8470440.1.435340.000000.847001.200179"/>
    <n v="120000"/>
    <m/>
    <m/>
    <m/>
    <n v="120000"/>
    <m/>
    <m/>
    <m/>
    <n v="120000"/>
    <n v="0"/>
    <x v="0"/>
  </r>
  <r>
    <x v="5"/>
    <s v="8470440"/>
    <s v="KUST - Humanities &amp; Social Sciences"/>
    <x v="23"/>
    <x v="31"/>
    <s v="Academic Publications"/>
    <x v="31"/>
    <s v="847.8470440.1.435350.000000.847001.200179"/>
    <n v="40000"/>
    <n v="29889.1"/>
    <m/>
    <m/>
    <n v="10110.9"/>
    <m/>
    <m/>
    <m/>
    <n v="10110.9"/>
    <n v="0"/>
    <x v="0"/>
  </r>
  <r>
    <x v="5"/>
    <s v="8470440"/>
    <s v="KUST - Humanities &amp; Social Sciences"/>
    <x v="23"/>
    <x v="33"/>
    <s v="Training/Teaching equipment and other educational aid"/>
    <x v="33"/>
    <s v="847.8470440.1.436600.000000.847001.200179"/>
    <n v="22500"/>
    <n v="4195"/>
    <n v="0"/>
    <n v="0"/>
    <n v="18305"/>
    <m/>
    <m/>
    <m/>
    <n v="18305"/>
    <n v="0"/>
    <x v="0"/>
  </r>
  <r>
    <x v="5"/>
    <s v="8470445"/>
    <s v="KUST - Mathematics"/>
    <x v="24"/>
    <x v="14"/>
    <s v="Advertising Services (General)"/>
    <x v="14"/>
    <s v="847.8470445.1.425100.000000.847001.200179"/>
    <n v="150000"/>
    <m/>
    <m/>
    <m/>
    <n v="150000"/>
    <m/>
    <m/>
    <m/>
    <n v="150000"/>
    <n v="0"/>
    <x v="0"/>
  </r>
  <r>
    <x v="5"/>
    <s v="8470445"/>
    <s v="KUST - Mathematics"/>
    <x v="24"/>
    <x v="35"/>
    <s v="Education-Outsourced training service"/>
    <x v="35"/>
    <s v="847.8470445.1.425720.000000.847001.200179"/>
    <n v="19350"/>
    <n v="825"/>
    <m/>
    <m/>
    <n v="18525"/>
    <m/>
    <m/>
    <m/>
    <n v="18525"/>
    <n v="0"/>
    <x v="0"/>
  </r>
  <r>
    <x v="5"/>
    <s v="8470445"/>
    <s v="KUST - Mathematics"/>
    <x v="24"/>
    <x v="34"/>
    <s v="Student activities &amp; field trip expenses"/>
    <x v="34"/>
    <s v="847.8470445.1.425760.000000.847001.200179"/>
    <n v="35630"/>
    <m/>
    <m/>
    <m/>
    <n v="35630"/>
    <m/>
    <m/>
    <m/>
    <n v="35630"/>
    <n v="0"/>
    <x v="0"/>
  </r>
  <r>
    <x v="5"/>
    <s v="8470445"/>
    <s v="KUST - Mathematics"/>
    <x v="24"/>
    <x v="15"/>
    <s v="Student Project Expenses"/>
    <x v="15"/>
    <s v="847.8470445.1.425763.000000.847001.200179"/>
    <n v="7590"/>
    <m/>
    <m/>
    <m/>
    <n v="7590"/>
    <m/>
    <m/>
    <m/>
    <n v="7590"/>
    <n v="0"/>
    <x v="0"/>
  </r>
  <r>
    <x v="5"/>
    <s v="8470445"/>
    <s v="KUST - Mathematics"/>
    <x v="24"/>
    <x v="29"/>
    <s v="Academic Missions - Combined expenses"/>
    <x v="29"/>
    <s v="847.8470445.1.425770.000000.847001.200179"/>
    <n v="570000"/>
    <n v="29898.67"/>
    <m/>
    <m/>
    <n v="540101.32999999996"/>
    <m/>
    <m/>
    <m/>
    <n v="540101.32999999996"/>
    <n v="0"/>
    <x v="0"/>
  </r>
  <r>
    <x v="5"/>
    <s v="8470445"/>
    <s v="KUST - Mathematics"/>
    <x v="24"/>
    <x v="8"/>
    <s v="Computer software licenses-Software License Renewal"/>
    <x v="8"/>
    <s v="847.8470445.1.426610.000000.847001.200179"/>
    <n v="37650"/>
    <n v="12040.74"/>
    <n v="8983.82"/>
    <n v="1774.06"/>
    <n v="14851.38"/>
    <m/>
    <m/>
    <m/>
    <n v="14851.38"/>
    <n v="0"/>
    <x v="0"/>
  </r>
  <r>
    <x v="5"/>
    <s v="8470445"/>
    <s v="KUST - Mathematics"/>
    <x v="24"/>
    <x v="31"/>
    <s v="Academic Publications"/>
    <x v="31"/>
    <s v="847.8470445.1.435350.000000.847001.200179"/>
    <n v="600000"/>
    <n v="32895.089999999997"/>
    <m/>
    <m/>
    <n v="567104.91"/>
    <m/>
    <m/>
    <m/>
    <n v="567104.91"/>
    <n v="0"/>
    <x v="0"/>
  </r>
  <r>
    <x v="5"/>
    <s v="8470450"/>
    <s v="KUST - Earth Science"/>
    <x v="25"/>
    <x v="26"/>
    <s v="Student Field trips"/>
    <x v="26"/>
    <s v="847.8470450.1.425761.000000.847001.200179"/>
    <n v="500000"/>
    <n v="87286.74"/>
    <m/>
    <m/>
    <n v="412713.26"/>
    <m/>
    <m/>
    <m/>
    <n v="412713.26"/>
    <n v="0"/>
    <x v="0"/>
  </r>
  <r>
    <x v="5"/>
    <s v="8470450"/>
    <s v="KUST - Earth Science"/>
    <x v="25"/>
    <x v="29"/>
    <s v="Academic Missions - Combined expenses"/>
    <x v="29"/>
    <s v="847.8470450.1.425770.000000.847001.200179"/>
    <n v="180000"/>
    <n v="36310"/>
    <m/>
    <m/>
    <n v="143690"/>
    <m/>
    <m/>
    <m/>
    <n v="143690"/>
    <n v="0"/>
    <x v="0"/>
  </r>
  <r>
    <x v="5"/>
    <s v="8470450"/>
    <s v="KUST - Earth Science"/>
    <x v="25"/>
    <x v="8"/>
    <s v="Computer software licenses-Software License Renewal"/>
    <x v="8"/>
    <s v="847.8470450.1.426610.000000.847001.200179"/>
    <n v="313605"/>
    <m/>
    <n v="0"/>
    <n v="35628.1"/>
    <n v="277976.90000000002"/>
    <m/>
    <m/>
    <m/>
    <n v="277976.90000000002"/>
    <n v="0"/>
    <x v="0"/>
  </r>
  <r>
    <x v="5"/>
    <s v="8470450"/>
    <s v="KUST - Earth Science"/>
    <x v="25"/>
    <x v="9"/>
    <s v="Business Travel - Combined expenses"/>
    <x v="9"/>
    <s v="847.8470450.1.428090.000000.847001.200179"/>
    <n v="20000"/>
    <n v="2200"/>
    <m/>
    <m/>
    <n v="17800"/>
    <m/>
    <m/>
    <m/>
    <n v="17800"/>
    <n v="0"/>
    <x v="0"/>
  </r>
  <r>
    <x v="5"/>
    <s v="8470450"/>
    <s v="KUST - Earth Science"/>
    <x v="25"/>
    <x v="30"/>
    <s v="Laboratory equipment"/>
    <x v="30"/>
    <s v="847.8470450.1.432209.000000.847001.200179"/>
    <n v="118157"/>
    <n v="4093.92"/>
    <n v="46480.73"/>
    <n v="21900"/>
    <n v="45682.35"/>
    <m/>
    <m/>
    <m/>
    <n v="45682.35"/>
    <n v="0"/>
    <x v="0"/>
  </r>
  <r>
    <x v="5"/>
    <s v="8470450"/>
    <s v="KUST - Earth Science"/>
    <x v="25"/>
    <x v="31"/>
    <s v="Academic Publications"/>
    <x v="31"/>
    <s v="847.8470450.1.435350.000000.847001.200179"/>
    <n v="40000"/>
    <m/>
    <m/>
    <m/>
    <n v="40000"/>
    <m/>
    <m/>
    <m/>
    <n v="40000"/>
    <n v="0"/>
    <x v="0"/>
  </r>
  <r>
    <x v="5"/>
    <s v="8470450"/>
    <s v="KUST - Earth Science"/>
    <x v="25"/>
    <x v="32"/>
    <s v="Laboratory - Scientific"/>
    <x v="32"/>
    <s v="847.8470450.1.435508.000000.847001.200179"/>
    <n v="16500"/>
    <m/>
    <n v="7272.54"/>
    <n v="4700"/>
    <n v="4527.46"/>
    <m/>
    <m/>
    <m/>
    <n v="4527.46"/>
    <n v="0"/>
    <x v="0"/>
  </r>
  <r>
    <x v="5"/>
    <s v="8470455"/>
    <s v="KUST – Biology"/>
    <x v="26"/>
    <x v="34"/>
    <s v="Student activities &amp; field trip expenses"/>
    <x v="34"/>
    <s v="847.8470455.1.425760.000000.847001.200179"/>
    <n v="10000"/>
    <m/>
    <m/>
    <m/>
    <n v="10000"/>
    <m/>
    <m/>
    <m/>
    <n v="10000"/>
    <n v="0"/>
    <x v="0"/>
  </r>
  <r>
    <x v="5"/>
    <s v="8470455"/>
    <s v="KUST – Biology"/>
    <x v="26"/>
    <x v="29"/>
    <s v="Academic Missions - Combined expenses"/>
    <x v="29"/>
    <s v="847.8470455.1.425770.000000.847001.200179"/>
    <n v="80000"/>
    <m/>
    <m/>
    <m/>
    <n v="80000"/>
    <m/>
    <m/>
    <m/>
    <n v="80000"/>
    <n v="0"/>
    <x v="0"/>
  </r>
  <r>
    <x v="5"/>
    <s v="8470455"/>
    <s v="KUST – Biology"/>
    <x v="26"/>
    <x v="7"/>
    <s v="Entertainment and hospitality"/>
    <x v="7"/>
    <s v="847.8470455.1.425900.000000.847001.200179"/>
    <n v="15000"/>
    <n v="1800"/>
    <m/>
    <m/>
    <n v="13200"/>
    <m/>
    <m/>
    <m/>
    <n v="13200"/>
    <n v="0"/>
    <x v="0"/>
  </r>
  <r>
    <x v="5"/>
    <s v="8470455"/>
    <s v="KUST – Biology"/>
    <x v="26"/>
    <x v="8"/>
    <s v="Computer software licenses-Software License Renewal"/>
    <x v="8"/>
    <s v="847.8470455.1.426610.000000.847001.200179"/>
    <n v="50000"/>
    <n v="119.56"/>
    <m/>
    <m/>
    <n v="49880.44"/>
    <m/>
    <m/>
    <m/>
    <n v="49880.44"/>
    <n v="0"/>
    <x v="0"/>
  </r>
  <r>
    <x v="5"/>
    <s v="8470455"/>
    <s v="KUST – Biology"/>
    <x v="26"/>
    <x v="9"/>
    <s v="Business Travel - Combined expenses"/>
    <x v="9"/>
    <s v="847.8470455.1.428090.000000.847001.200179"/>
    <n v="50000"/>
    <m/>
    <m/>
    <m/>
    <n v="50000"/>
    <m/>
    <m/>
    <m/>
    <n v="50000"/>
    <n v="0"/>
    <x v="0"/>
  </r>
  <r>
    <x v="5"/>
    <s v="8470455"/>
    <s v="KUST – Biology"/>
    <x v="26"/>
    <x v="11"/>
    <s v="Events - Awards, prizes &amp; gifts"/>
    <x v="11"/>
    <s v="847.8470455.1.428640.000000.847001.200179"/>
    <n v="5000"/>
    <m/>
    <m/>
    <m/>
    <n v="5000"/>
    <m/>
    <m/>
    <m/>
    <n v="5000"/>
    <n v="0"/>
    <x v="0"/>
  </r>
  <r>
    <x v="5"/>
    <s v="8470455"/>
    <s v="KUST – Biology"/>
    <x v="26"/>
    <x v="30"/>
    <s v="Laboratory equipment"/>
    <x v="30"/>
    <s v="847.8470455.1.432209.000000.847001.200179"/>
    <n v="300000"/>
    <m/>
    <m/>
    <m/>
    <n v="300000"/>
    <m/>
    <m/>
    <m/>
    <n v="300000"/>
    <n v="0"/>
    <x v="0"/>
  </r>
  <r>
    <x v="5"/>
    <s v="8470455"/>
    <s v="KUST – Biology"/>
    <x v="26"/>
    <x v="31"/>
    <s v="Academic Publications"/>
    <x v="31"/>
    <s v="847.8470455.1.435350.000000.847001.200179"/>
    <n v="80000"/>
    <n v="25142.2"/>
    <m/>
    <m/>
    <n v="54857.8"/>
    <m/>
    <m/>
    <m/>
    <n v="54857.8"/>
    <n v="0"/>
    <x v="0"/>
  </r>
  <r>
    <x v="5"/>
    <s v="8470455"/>
    <s v="KUST – Biology"/>
    <x v="26"/>
    <x v="32"/>
    <s v="Laboratory - Scientific"/>
    <x v="32"/>
    <s v="847.8470455.1.435508.000000.847001.200179"/>
    <n v="675000"/>
    <n v="9208.4500000000007"/>
    <n v="432250"/>
    <m/>
    <n v="233541.55"/>
    <m/>
    <m/>
    <m/>
    <n v="233541.55"/>
    <n v="0"/>
    <x v="0"/>
  </r>
  <r>
    <x v="5"/>
    <s v="8470455"/>
    <s v="KUST – Biology"/>
    <x v="26"/>
    <x v="28"/>
    <s v="Printing supplies"/>
    <x v="28"/>
    <s v="847.8470455.1.436110.000000.847001.200179"/>
    <n v="5000"/>
    <m/>
    <m/>
    <m/>
    <n v="5000"/>
    <m/>
    <m/>
    <m/>
    <n v="5000"/>
    <n v="0"/>
    <x v="0"/>
  </r>
  <r>
    <x v="6"/>
    <s v="8470520"/>
    <s v="KUST - Environment, Health &amp; Safety"/>
    <x v="27"/>
    <x v="5"/>
    <s v="Conferences, seminars and exhibitions and other events: - Local Events"/>
    <x v="5"/>
    <s v="847.8470520.1.425510.000000.847001.200179"/>
    <n v="29519"/>
    <n v="3329.25"/>
    <m/>
    <m/>
    <n v="26189.75"/>
    <m/>
    <n v="26190"/>
    <s v="HSE Day Yearly Event &amp; Flu Vaccination Program"/>
    <n v="-0.25"/>
    <m/>
    <x v="1"/>
  </r>
  <r>
    <x v="6"/>
    <s v="8470520"/>
    <s v="KUST - Environment, Health &amp; Safety"/>
    <x v="27"/>
    <x v="37"/>
    <s v="Freight and shipping costs, not included elsewhere under purchase costs"/>
    <x v="37"/>
    <s v="847.8470520.1.426100.000000.847001.200179"/>
    <n v="20000"/>
    <m/>
    <m/>
    <m/>
    <n v="20000"/>
    <m/>
    <m/>
    <m/>
    <n v="20000"/>
    <s v="no related foreseeable expenses "/>
    <x v="1"/>
  </r>
  <r>
    <x v="6"/>
    <s v="8470520"/>
    <s v="KUST - Environment, Health &amp; Safety"/>
    <x v="27"/>
    <x v="13"/>
    <s v="Subscriptions and membership fees: Trade organisations"/>
    <x v="13"/>
    <s v="847.8470520.1.427710.000000.847001.200179"/>
    <n v="42000"/>
    <m/>
    <n v="0"/>
    <n v="10510"/>
    <n v="31490"/>
    <m/>
    <n v="31490"/>
    <s v="_x000a_Possible subscription of EHS awards  entry form for 2023._x000a_EHS Team members International membership _x000a_(Capacity Building) _x000a_"/>
    <n v="0"/>
    <m/>
    <x v="1"/>
  </r>
  <r>
    <x v="6"/>
    <s v="8470520"/>
    <s v="KUST - Environment, Health &amp; Safety"/>
    <x v="27"/>
    <x v="38"/>
    <s v="Health,safety&amp;environment awareness"/>
    <x v="38"/>
    <s v="847.8470520.1.428200.000000.847001.200179"/>
    <n v="616900"/>
    <n v="212659.97"/>
    <n v="87400"/>
    <n v="182537.58"/>
    <n v="134302.45000000001"/>
    <n v="30000"/>
    <n v="104302"/>
    <s v="First Aider training implementation for PhD/ Grad Students working in Labs, Lab Supplies &amp; EHS Components not in blanket system,  EHS Signs, Energy Management System standard requirements- Third party validation"/>
    <n v="0.45000000001164153"/>
    <m/>
    <x v="1"/>
  </r>
  <r>
    <x v="6"/>
    <s v="8470520"/>
    <s v="KUST - Environment, Health &amp; Safety"/>
    <x v="27"/>
    <x v="38"/>
    <s v="Health,safety&amp;environment awareness"/>
    <x v="38"/>
    <s v="847.8470520.1.428200.000000.847951.200179"/>
    <n v="23100"/>
    <m/>
    <m/>
    <n v="23100"/>
    <n v="0"/>
    <m/>
    <m/>
    <m/>
    <n v="0"/>
    <m/>
    <x v="1"/>
  </r>
  <r>
    <x v="6"/>
    <s v="8470530"/>
    <s v="KUST - Facilities Management"/>
    <x v="28"/>
    <x v="39"/>
    <s v="Cleaning Services: Business premises"/>
    <x v="39"/>
    <s v="847.8470530.1.420310.000000.847010.200179"/>
    <n v="4056439"/>
    <n v="1465947.25"/>
    <n v="84900"/>
    <n v="2480409.84"/>
    <n v="25181.910000000102"/>
    <n v="10000"/>
    <n v="15182"/>
    <s v="Moving services "/>
    <n v="-8.9999999898282113E-2"/>
    <m/>
    <x v="1"/>
  </r>
  <r>
    <x v="6"/>
    <s v="8470530"/>
    <s v="KUST - Facilities Management"/>
    <x v="28"/>
    <x v="39"/>
    <s v="Cleaning Services: Business premises"/>
    <x v="39"/>
    <s v="847.8470530.1.420310.000000.847015.200179"/>
    <n v="747242"/>
    <n v="403891.03"/>
    <n v="0"/>
    <n v="343350.97"/>
    <n v="0"/>
    <m/>
    <m/>
    <m/>
    <n v="0"/>
    <m/>
    <x v="1"/>
  </r>
  <r>
    <x v="6"/>
    <s v="8470530"/>
    <s v="KUST - Facilities Management"/>
    <x v="28"/>
    <x v="39"/>
    <s v="Cleaning Services: Business premises"/>
    <x v="39"/>
    <s v="847.8470530.1.420310.000000.847020.200179"/>
    <n v="4364107"/>
    <n v="1666659.12"/>
    <n v="245882"/>
    <n v="2435336.6"/>
    <n v="16229.279999999801"/>
    <m/>
    <n v="16229"/>
    <s v="Moving services "/>
    <n v="0.279999999800566"/>
    <m/>
    <x v="1"/>
  </r>
  <r>
    <x v="6"/>
    <s v="8470530"/>
    <s v="KUST - Facilities Management"/>
    <x v="28"/>
    <x v="3"/>
    <s v="Management consultancy"/>
    <x v="3"/>
    <s v="847.8470530.1.421000.000000.847010.200179"/>
    <n v="850000"/>
    <m/>
    <n v="0"/>
    <n v="850000"/>
    <n v="0"/>
    <m/>
    <m/>
    <m/>
    <n v="0"/>
    <m/>
    <x v="1"/>
  </r>
  <r>
    <x v="6"/>
    <s v="8470530"/>
    <s v="KUST - Facilities Management"/>
    <x v="28"/>
    <x v="40"/>
    <s v="Manpower supply &quot;Other Than IT Related&quot;"/>
    <x v="40"/>
    <s v="847.8470530.1.421100.000000.847010.200179"/>
    <m/>
    <n v="-28032"/>
    <m/>
    <m/>
    <n v="28032"/>
    <m/>
    <n v="28032"/>
    <s v="Catering services needed"/>
    <n v="0"/>
    <s v="need to raise BT to catering services account "/>
    <x v="1"/>
  </r>
  <r>
    <x v="6"/>
    <s v="8470530"/>
    <s v="KUST - Facilities Management"/>
    <x v="28"/>
    <x v="41"/>
    <s v="Security service"/>
    <x v="41"/>
    <s v="847.8470530.1.421600.000000.847010.200179"/>
    <n v="3948261"/>
    <n v="1289661.42"/>
    <n v="2478000"/>
    <n v="0"/>
    <n v="180599.58"/>
    <m/>
    <n v="180599.58"/>
    <s v="Catering services needed"/>
    <n v="0"/>
    <s v="need to raise BT to catering services account "/>
    <x v="1"/>
  </r>
  <r>
    <x v="6"/>
    <s v="8470530"/>
    <s v="KUST - Facilities Management"/>
    <x v="28"/>
    <x v="41"/>
    <s v="Security service"/>
    <x v="41"/>
    <s v="847.8470530.1.421600.000000.847015.200179"/>
    <n v="2543480"/>
    <n v="795109.05"/>
    <n v="1634640"/>
    <n v="23269.48"/>
    <n v="90461.469999999696"/>
    <m/>
    <n v="90461.469999999696"/>
    <s v="Catering services needed"/>
    <n v="0"/>
    <s v="need to raise BT to catering services account "/>
    <x v="1"/>
  </r>
  <r>
    <x v="6"/>
    <s v="8470530"/>
    <s v="KUST - Facilities Management"/>
    <x v="28"/>
    <x v="41"/>
    <s v="Security service"/>
    <x v="41"/>
    <s v="847.8470530.1.421600.000000.847020.200179"/>
    <n v="2155720"/>
    <n v="470781.74"/>
    <n v="1385720"/>
    <n v="161217.89000000001"/>
    <n v="138000.37"/>
    <m/>
    <n v="138000.37"/>
    <s v="Catering services needed"/>
    <n v="0"/>
    <s v="need to raise BT to catering services account "/>
    <x v="1"/>
  </r>
  <r>
    <x v="6"/>
    <s v="8470530"/>
    <s v="KUST - Facilities Management"/>
    <x v="28"/>
    <x v="41"/>
    <s v="Security service"/>
    <x v="41"/>
    <s v="847.8470530.1.421600.000000.847030.200179"/>
    <n v="635219"/>
    <n v="413460.88"/>
    <m/>
    <m/>
    <n v="221758.12"/>
    <n v="110879"/>
    <n v="110879"/>
    <s v="MASDER payments"/>
    <n v="0.11999999999534339"/>
    <m/>
    <x v="1"/>
  </r>
  <r>
    <x v="6"/>
    <s v="8470530"/>
    <s v="KUST - Facilities Management"/>
    <x v="28"/>
    <x v="4"/>
    <s v="Standards Certification Services (e.g. ISO)"/>
    <x v="4"/>
    <s v="847.8470530.1.421700.000000.847010.200179"/>
    <n v="263000"/>
    <m/>
    <n v="0"/>
    <n v="231000"/>
    <n v="32000"/>
    <n v="16000"/>
    <n v="16000"/>
    <s v="ISO certificates "/>
    <n v="0"/>
    <m/>
    <x v="1"/>
  </r>
  <r>
    <x v="6"/>
    <s v="8470530"/>
    <s v="KUST - Facilities Management"/>
    <x v="28"/>
    <x v="5"/>
    <s v="Conferences, seminars and exhibitions and other events: - Local Events"/>
    <x v="5"/>
    <s v="847.8470530.1.425510.000000.847010.200179"/>
    <n v="20000"/>
    <m/>
    <m/>
    <m/>
    <n v="20000"/>
    <n v="10000"/>
    <n v="10000"/>
    <s v="planned events"/>
    <n v="0"/>
    <m/>
    <x v="1"/>
  </r>
  <r>
    <x v="6"/>
    <s v="8470530"/>
    <s v="KUST - Facilities Management"/>
    <x v="28"/>
    <x v="7"/>
    <s v="Entertainment and hospitality"/>
    <x v="7"/>
    <s v="847.8470530.1.425900.000000.847010.200179"/>
    <n v="30000"/>
    <m/>
    <m/>
    <m/>
    <n v="30000"/>
    <n v="12000"/>
    <n v="18000"/>
    <s v="planned"/>
    <n v="0"/>
    <m/>
    <x v="1"/>
  </r>
  <r>
    <x v="6"/>
    <s v="8470530"/>
    <s v="KUST - Facilities Management"/>
    <x v="28"/>
    <x v="42"/>
    <s v="Insurance - Fire and allied perils"/>
    <x v="42"/>
    <s v="847.8470530.1.426220.000000.847010.200179"/>
    <n v="960437"/>
    <n v="44981.51"/>
    <m/>
    <m/>
    <n v="915455.49"/>
    <n v="915455"/>
    <m/>
    <s v="insurance"/>
    <n v="0.48999999999068677"/>
    <m/>
    <x v="1"/>
  </r>
  <r>
    <x v="6"/>
    <s v="8470530"/>
    <s v="KUST - Facilities Management"/>
    <x v="28"/>
    <x v="42"/>
    <s v="Insurance - Fire and allied perils"/>
    <x v="42"/>
    <s v="847.8470530.1.426220.000000.847030.200179"/>
    <n v="23714"/>
    <m/>
    <m/>
    <m/>
    <n v="23714"/>
    <n v="23714"/>
    <m/>
    <s v="insurance"/>
    <n v="0"/>
    <m/>
    <x v="1"/>
  </r>
  <r>
    <x v="6"/>
    <s v="8470530"/>
    <s v="KUST - Facilities Management"/>
    <x v="28"/>
    <x v="43"/>
    <s v="Insurance - Motor vehicles"/>
    <x v="43"/>
    <s v="847.8470530.1.426250.000000.847010.200179"/>
    <n v="50000"/>
    <n v="14718"/>
    <m/>
    <m/>
    <n v="35282"/>
    <n v="15000"/>
    <m/>
    <s v="Three vehicles insurance"/>
    <n v="20282"/>
    <s v="Extra funds due to 2 cars right off"/>
    <x v="1"/>
  </r>
  <r>
    <x v="6"/>
    <s v="8470530"/>
    <s v="KUST - Facilities Management"/>
    <x v="28"/>
    <x v="9"/>
    <s v="Business Travel - Combined expenses"/>
    <x v="9"/>
    <s v="847.8470530.1.428090.000000.847001.200179"/>
    <n v="50000"/>
    <m/>
    <m/>
    <m/>
    <n v="50000"/>
    <m/>
    <n v="50000"/>
    <s v="planned"/>
    <n v="0"/>
    <m/>
    <x v="1"/>
  </r>
  <r>
    <x v="6"/>
    <s v="8470530"/>
    <s v="KUST - Facilities Management"/>
    <x v="28"/>
    <x v="44"/>
    <s v="Rental - Land"/>
    <x v="44"/>
    <s v="847.8470530.1.430110.000000.847020.200179"/>
    <n v="200211"/>
    <n v="199212.79999999999"/>
    <m/>
    <m/>
    <n v="998.19999999998299"/>
    <m/>
    <m/>
    <m/>
    <n v="998.19999999998299"/>
    <m/>
    <x v="1"/>
  </r>
  <r>
    <x v="6"/>
    <s v="8470530"/>
    <s v="KUST - Facilities Management"/>
    <x v="28"/>
    <x v="45"/>
    <s v="Bldg maintenance-Business premises"/>
    <x v="45"/>
    <s v="847.8470530.1.432120.000000.847010.200179"/>
    <n v="11446037"/>
    <n v="3209297.03"/>
    <n v="439431"/>
    <n v="7495917.6399999997"/>
    <n v="301391.33"/>
    <n v="128195"/>
    <n v="173196"/>
    <s v="Adhoc Operational requirement "/>
    <n v="0.33000000001629815"/>
    <m/>
    <x v="1"/>
  </r>
  <r>
    <x v="6"/>
    <s v="8470530"/>
    <s v="KUST - Facilities Management"/>
    <x v="28"/>
    <x v="45"/>
    <s v="Bldg maintenance-Business premises"/>
    <x v="45"/>
    <s v="847.8470530.1.432120.000000.847015.200179"/>
    <n v="5071140"/>
    <n v="899276.15"/>
    <n v="0"/>
    <n v="3843546.59"/>
    <n v="328317.260000001"/>
    <n v="116659"/>
    <n v="211658"/>
    <s v="Adhoc Operational requirement "/>
    <n v="0.26000000099884346"/>
    <m/>
    <x v="1"/>
  </r>
  <r>
    <x v="6"/>
    <s v="8470530"/>
    <s v="KUST - Facilities Management"/>
    <x v="28"/>
    <x v="45"/>
    <s v="Bldg maintenance-Business premises"/>
    <x v="45"/>
    <s v="847.8470530.1.432120.000000.847020.200179"/>
    <n v="5446416"/>
    <n v="1102237.25"/>
    <n v="20000.000000000498"/>
    <n v="3962170.74"/>
    <n v="362008.00999999902"/>
    <n v="163004"/>
    <n v="199004"/>
    <s v="Adhoc Operational requirement "/>
    <n v="9.9999990197829902E-3"/>
    <m/>
    <x v="1"/>
  </r>
  <r>
    <x v="6"/>
    <s v="8470530"/>
    <s v="KUST - Facilities Management"/>
    <x v="28"/>
    <x v="45"/>
    <s v="Bldg maintenance-Business premises"/>
    <x v="45"/>
    <s v="847.8470530.1.432120.000000.847030.200179"/>
    <n v="1207678"/>
    <n v="342982.58"/>
    <n v="8000"/>
    <n v="74950"/>
    <n v="781745.42"/>
    <n v="390873"/>
    <n v="390872"/>
    <s v="Adhoc Operational requirement "/>
    <n v="0.42000000004190952"/>
    <m/>
    <x v="1"/>
  </r>
  <r>
    <x v="6"/>
    <s v="8470530"/>
    <s v="KUST - Facilities Management"/>
    <x v="28"/>
    <x v="46"/>
    <s v="Bldg decoration &amp; minor improvements"/>
    <x v="46"/>
    <s v="847.8470530.1.432170.000000.847010.200179"/>
    <n v="30000"/>
    <n v="7416"/>
    <n v="0"/>
    <n v="0"/>
    <n v="22584"/>
    <n v="5000"/>
    <n v="5000"/>
    <m/>
    <n v="12584"/>
    <s v="extra funds "/>
    <x v="1"/>
  </r>
  <r>
    <x v="6"/>
    <s v="8470530"/>
    <s v="KUST - Facilities Management"/>
    <x v="28"/>
    <x v="47"/>
    <s v="Residential Furniture and fixtures"/>
    <x v="47"/>
    <s v="847.8470530.1.432320.000000.847010.200179"/>
    <n v="26000"/>
    <n v="5024"/>
    <m/>
    <m/>
    <n v="20976"/>
    <n v="5000"/>
    <n v="5000"/>
    <s v="Petty Cash"/>
    <n v="10976"/>
    <s v="extra funds "/>
    <x v="1"/>
  </r>
  <r>
    <x v="6"/>
    <s v="8470530"/>
    <s v="KUST - Facilities Management"/>
    <x v="28"/>
    <x v="48"/>
    <s v="Sports and other recreational supplies: Students"/>
    <x v="48"/>
    <s v="847.8470530.1.436340.000000.847001.200179"/>
    <n v="20000"/>
    <m/>
    <m/>
    <m/>
    <n v="20000"/>
    <n v="10000"/>
    <n v="10000"/>
    <s v="sports supplies"/>
    <n v="0"/>
    <m/>
    <x v="1"/>
  </r>
  <r>
    <x v="6"/>
    <s v="8470540"/>
    <s v="KUST - Administration"/>
    <x v="29"/>
    <x v="40"/>
    <s v="Manpower supply &quot;Other Than IT Related&quot;"/>
    <x v="40"/>
    <s v="847.8470540.1.421100.000000.847010.200179"/>
    <n v="589128"/>
    <n v="168512.62"/>
    <n v="1"/>
    <n v="253016.89"/>
    <n v="167597.49"/>
    <n v="167597"/>
    <m/>
    <s v="Transfer to Manpower account 413310"/>
    <n v="0.48999999999068677"/>
    <m/>
    <x v="1"/>
  </r>
  <r>
    <x v="6"/>
    <s v="8470540"/>
    <s v="KUST - Administration"/>
    <x v="29"/>
    <x v="49"/>
    <s v="Motor vehicle registration and inspection charges"/>
    <x v="49"/>
    <s v="847.8470540.1.426800.000000.847010.200179"/>
    <n v="10000"/>
    <n v="848"/>
    <m/>
    <m/>
    <n v="9152"/>
    <n v="2000"/>
    <m/>
    <s v="cars renewal"/>
    <n v="7152"/>
    <m/>
    <x v="1"/>
  </r>
  <r>
    <x v="6"/>
    <s v="8470540"/>
    <s v="KUST - Administration"/>
    <x v="29"/>
    <x v="50"/>
    <s v="Postal, courier and other document delivery expenses"/>
    <x v="50"/>
    <s v="847.8470540.1.426900.000000.847010.200179"/>
    <n v="30000"/>
    <n v="3000"/>
    <m/>
    <m/>
    <n v="27000"/>
    <m/>
    <n v="10000"/>
    <s v="Renewal of the post box and expenses of the courier services  "/>
    <n v="17000"/>
    <s v="extra funds "/>
    <x v="1"/>
  </r>
  <r>
    <x v="6"/>
    <s v="8470540"/>
    <s v="KUST - Administration"/>
    <x v="29"/>
    <x v="13"/>
    <s v="Subscriptions and membership fees: Trade organisations"/>
    <x v="13"/>
    <s v="847.8470540.1.427710.000000.847001.200179"/>
    <n v="7000"/>
    <m/>
    <n v="5106"/>
    <m/>
    <n v="1894"/>
    <m/>
    <m/>
    <m/>
    <n v="1894"/>
    <m/>
    <x v="1"/>
  </r>
  <r>
    <x v="6"/>
    <s v="8470540"/>
    <s v="KUST - Administration"/>
    <x v="29"/>
    <x v="51"/>
    <s v="Electricity consumption charges"/>
    <x v="51"/>
    <s v="847.8470540.1.428111.000000.847010.200179"/>
    <n v="7349560"/>
    <n v="2620774.8199999998"/>
    <m/>
    <m/>
    <n v="4728785.18"/>
    <n v="2364392.5"/>
    <n v="2364393"/>
    <s v="Electricity consumption charges"/>
    <n v="-0.32000000029802322"/>
    <m/>
    <x v="1"/>
  </r>
  <r>
    <x v="6"/>
    <s v="8470540"/>
    <s v="KUST - Administration"/>
    <x v="29"/>
    <x v="51"/>
    <s v="Electricity consumption charges"/>
    <x v="51"/>
    <s v="847.8470540.1.428111.000000.847015.200179"/>
    <n v="4615084"/>
    <n v="1376394.75"/>
    <m/>
    <m/>
    <n v="3238689.25"/>
    <n v="1619344.5"/>
    <n v="1619345"/>
    <s v="Electricity consumption charges"/>
    <n v="-0.25"/>
    <m/>
    <x v="1"/>
  </r>
  <r>
    <x v="6"/>
    <s v="8470540"/>
    <s v="KUST - Administration"/>
    <x v="29"/>
    <x v="51"/>
    <s v="Electricity consumption charges"/>
    <x v="51"/>
    <s v="847.8470540.1.428111.000000.847020.200179"/>
    <n v="3058446"/>
    <n v="1483564.4"/>
    <m/>
    <m/>
    <n v="1574881.6"/>
    <n v="787441"/>
    <n v="787441"/>
    <s v="Electricity consumption charges"/>
    <n v="-0.39999999990686774"/>
    <m/>
    <x v="1"/>
  </r>
  <r>
    <x v="6"/>
    <s v="8470540"/>
    <s v="KUST - Administration"/>
    <x v="29"/>
    <x v="51"/>
    <s v="Electricity consumption charges"/>
    <x v="51"/>
    <s v="847.8470540.1.428111.000000.847030.200179"/>
    <n v="442627"/>
    <m/>
    <m/>
    <m/>
    <n v="442627"/>
    <n v="221313"/>
    <n v="221314"/>
    <s v="Electricity consumption charges"/>
    <n v="0"/>
    <m/>
    <x v="1"/>
  </r>
  <r>
    <x v="6"/>
    <s v="8470540"/>
    <s v="KUST - Administration"/>
    <x v="29"/>
    <x v="52"/>
    <s v="Water consumption charges"/>
    <x v="52"/>
    <s v="847.8470540.1.428112.000000.847010.200179"/>
    <n v="1153128"/>
    <n v="363111.99"/>
    <m/>
    <m/>
    <n v="790016.01"/>
    <n v="395008"/>
    <n v="395008"/>
    <s v="Water consumption charges"/>
    <n v="1.0000000009313226E-2"/>
    <m/>
    <x v="1"/>
  </r>
  <r>
    <x v="6"/>
    <s v="8470540"/>
    <s v="KUST - Administration"/>
    <x v="29"/>
    <x v="52"/>
    <s v="Water consumption charges"/>
    <x v="52"/>
    <s v="847.8470540.1.428112.000000.847015.200179"/>
    <n v="1681399"/>
    <n v="545565.76"/>
    <m/>
    <m/>
    <n v="1135833.24"/>
    <n v="567916.5"/>
    <n v="567917"/>
    <s v="Water consumption charges"/>
    <n v="-0.26000000000931323"/>
    <m/>
    <x v="1"/>
  </r>
  <r>
    <x v="6"/>
    <s v="8470540"/>
    <s v="KUST - Administration"/>
    <x v="29"/>
    <x v="52"/>
    <s v="Water consumption charges"/>
    <x v="52"/>
    <s v="847.8470540.1.428112.000000.847020.200179"/>
    <n v="1703132"/>
    <n v="532986.73"/>
    <m/>
    <m/>
    <n v="1170145.27"/>
    <n v="585072.5"/>
    <n v="585073"/>
    <s v="Water consumption charges"/>
    <n v="-0.22999999998137355"/>
    <m/>
    <x v="1"/>
  </r>
  <r>
    <x v="6"/>
    <s v="8470540"/>
    <s v="KUST - Administration"/>
    <x v="29"/>
    <x v="52"/>
    <s v="Water consumption charges"/>
    <x v="52"/>
    <s v="847.8470540.1.428112.000000.847030.200179"/>
    <n v="153570"/>
    <m/>
    <m/>
    <m/>
    <n v="153570"/>
    <n v="76785"/>
    <n v="76785"/>
    <s v="Water consumption charges"/>
    <n v="0"/>
    <m/>
    <x v="1"/>
  </r>
  <r>
    <x v="6"/>
    <s v="8470540"/>
    <s v="KUST - Administration"/>
    <x v="29"/>
    <x v="53"/>
    <s v="Other services, not specifically mentioned elsewhere"/>
    <x v="53"/>
    <s v="847.8470540.1.429900.000000.847010.200179"/>
    <n v="44000"/>
    <n v="41250"/>
    <m/>
    <m/>
    <n v="2750"/>
    <m/>
    <m/>
    <m/>
    <n v="2750"/>
    <m/>
    <x v="1"/>
  </r>
  <r>
    <x v="6"/>
    <s v="8470540"/>
    <s v="KUST - Administration"/>
    <x v="29"/>
    <x v="54"/>
    <s v="Rental - Motor vehicles"/>
    <x v="54"/>
    <s v="847.8470540.1.430330.000000.847010.200179"/>
    <n v="967680"/>
    <m/>
    <n v="750960"/>
    <n v="21000"/>
    <n v="195720"/>
    <n v="195720"/>
    <m/>
    <s v="Payment of shuttle bus drivers "/>
    <n v="0"/>
    <m/>
    <x v="1"/>
  </r>
  <r>
    <x v="6"/>
    <s v="8470540"/>
    <s v="KUST - Administration"/>
    <x v="29"/>
    <x v="45"/>
    <s v="Bldg maintenance-Business premises"/>
    <x v="45"/>
    <s v="847.8470540.1.432120.000000.847010.200179"/>
    <n v="-367211"/>
    <n v="-367211.82"/>
    <m/>
    <n v="-7.0000000006984905E-2"/>
    <n v="0.89000000001396995"/>
    <m/>
    <m/>
    <m/>
    <n v="0.89000000001396995"/>
    <m/>
    <x v="1"/>
  </r>
  <r>
    <x v="6"/>
    <s v="8470540"/>
    <s v="KUST - Administration"/>
    <x v="29"/>
    <x v="45"/>
    <s v="Bldg maintenance-Business premises"/>
    <x v="45"/>
    <s v="847.8470540.1.432120.000000.847020.200179"/>
    <n v="-241882"/>
    <n v="-242103.6"/>
    <m/>
    <n v="0"/>
    <n v="221.60000000000599"/>
    <m/>
    <m/>
    <m/>
    <n v="221.60000000000599"/>
    <m/>
    <x v="1"/>
  </r>
  <r>
    <x v="6"/>
    <s v="8470540"/>
    <s v="KUST - Administration"/>
    <x v="29"/>
    <x v="55"/>
    <s v="Motor vehicles (non-military)"/>
    <x v="55"/>
    <s v="847.8470540.1.432540.000000.847010.200179"/>
    <n v="140000"/>
    <n v="20576.84"/>
    <n v="2"/>
    <m/>
    <n v="119421.16"/>
    <n v="25000"/>
    <n v="25000"/>
    <s v="Vehicle maintenance and Tayer change for the fleet  "/>
    <n v="69421.16"/>
    <s v="Extra funds due to 2 cars right off"/>
    <x v="1"/>
  </r>
  <r>
    <x v="6"/>
    <s v="8470540"/>
    <s v="KUST - Administration"/>
    <x v="29"/>
    <x v="56"/>
    <s v="Catering supplies: Offices"/>
    <x v="56"/>
    <s v="847.8470540.1.435410.000000.847020.200179"/>
    <n v="675690"/>
    <n v="194173.19"/>
    <n v="0"/>
    <n v="0"/>
    <n v="481516.81"/>
    <n v="240758.5"/>
    <n v="240758.5"/>
    <s v="Catering supplies"/>
    <n v="-0.19000000000232831"/>
    <s v="Actual needed is 900,000 AED until end of the current year "/>
    <x v="1"/>
  </r>
  <r>
    <x v="6"/>
    <s v="8470540"/>
    <s v="KUST - Administration"/>
    <x v="29"/>
    <x v="57"/>
    <s v="Fuel, oil and lubricants: Motor vehicles"/>
    <x v="57"/>
    <s v="847.8470540.1.435740.000000.847010.200179"/>
    <n v="336000"/>
    <n v="266719.75"/>
    <m/>
    <m/>
    <n v="69280.25"/>
    <n v="34000"/>
    <n v="34000"/>
    <s v="Fuel,Oil"/>
    <n v="1280.25"/>
    <m/>
    <x v="1"/>
  </r>
  <r>
    <x v="6"/>
    <s v="8470540"/>
    <s v="KUST - Administration"/>
    <x v="29"/>
    <x v="28"/>
    <s v="Printing supplies"/>
    <x v="28"/>
    <s v="847.8470540.1.436110.000000.847010.200179"/>
    <n v="193910"/>
    <n v="70118.78"/>
    <n v="0"/>
    <n v="0"/>
    <n v="123791.22"/>
    <n v="20000"/>
    <n v="20000"/>
    <s v="Printing supplies"/>
    <n v="83791.22"/>
    <s v="Extra funds in awarded PR"/>
    <x v="1"/>
  </r>
  <r>
    <x v="7"/>
    <s v="8470620"/>
    <s v="KUST - Finance Operations"/>
    <x v="30"/>
    <x v="58"/>
    <s v="External Audit service"/>
    <x v="58"/>
    <s v="847.8470620.1.420130.000000.847001.200179"/>
    <n v="295000"/>
    <n v="171100"/>
    <m/>
    <m/>
    <n v="123900"/>
    <n v="111100"/>
    <n v="101000"/>
    <s v="*full year audit 2021 50% remaining payment AED 45,450 expected in Q3_x000a__x000a_*ICFR year 2021 50% remaining payment AED 30,300 expected in Q3._x000a_*Mid year 2022 AED 35,350 in Q3_x000a_* full year audit 2022 50% advance AED 70,700 in Q4_x000a_*ICFR year 2022 50% advance AED 30,300 in Q4_x000a_"/>
    <n v="-88200"/>
    <s v="fund required to cover the deficit AED 85,540"/>
    <x v="1"/>
  </r>
  <r>
    <x v="7"/>
    <s v="8470620"/>
    <s v="KUST - Finance Operations"/>
    <x v="30"/>
    <x v="40"/>
    <s v="Manpower supply &quot;Other Than IT Related&quot;"/>
    <x v="40"/>
    <s v="847.8470620.1.421100.000000.847001.200179"/>
    <n v="31160"/>
    <n v="31000"/>
    <m/>
    <m/>
    <n v="160"/>
    <m/>
    <m/>
    <m/>
    <n v="160"/>
    <s v="to be moved to A/C 420130 to cover part of the deficit"/>
    <x v="1"/>
  </r>
  <r>
    <x v="7"/>
    <s v="8470620"/>
    <s v="KUST - Finance Operations"/>
    <x v="30"/>
    <x v="59"/>
    <s v="Other specialised professional services, not mentioned elsewhere"/>
    <x v="59"/>
    <s v="847.8470620.1.422900.000000.847001.200179"/>
    <n v="416100"/>
    <n v="62415"/>
    <n v="0"/>
    <n v="353685"/>
    <n v="0"/>
    <m/>
    <m/>
    <m/>
    <n v="0"/>
    <m/>
    <x v="1"/>
  </r>
  <r>
    <x v="7"/>
    <s v="8470620"/>
    <s v="KUST - Finance Operations"/>
    <x v="30"/>
    <x v="60"/>
    <s v="Banking service charges / Fees"/>
    <x v="60"/>
    <s v="847.8470620.1.425300.000000.847001.200179"/>
    <n v="3600"/>
    <n v="256.64"/>
    <m/>
    <m/>
    <n v="3343.36"/>
    <n v="1671.68"/>
    <n v="1671.68"/>
    <s v="bank auto charges for the daily transaction"/>
    <n v="0"/>
    <m/>
    <x v="1"/>
  </r>
  <r>
    <x v="7"/>
    <s v="8470620"/>
    <s v="KUST - Finance Operations"/>
    <x v="30"/>
    <x v="61"/>
    <s v="Fees for processing e-payments-e-Payment operation"/>
    <x v="61"/>
    <s v="847.8470620.1.425350.000000.847001.200179"/>
    <n v="90000"/>
    <n v="50265.559999999903"/>
    <m/>
    <m/>
    <n v="39734.440000000097"/>
    <n v="19867.220000000048"/>
    <n v="19867.220000000048"/>
    <s v="bank auto charges for the daily transaction"/>
    <n v="0"/>
    <m/>
    <x v="1"/>
  </r>
  <r>
    <x v="7"/>
    <s v="8470620"/>
    <s v="KUST - Finance Operations"/>
    <x v="30"/>
    <x v="8"/>
    <s v="Computer software licenses-Software License Renewal"/>
    <x v="8"/>
    <s v="847.8470620.1.426610.000000.847001.200179"/>
    <n v="31680"/>
    <m/>
    <m/>
    <m/>
    <n v="31680"/>
    <n v="31680"/>
    <m/>
    <s v="renewal of SPAN tagging system.  PR is under process this month"/>
    <n v="0"/>
    <m/>
    <x v="1"/>
  </r>
  <r>
    <x v="7"/>
    <s v="8470620"/>
    <s v="KUST - Finance Operations"/>
    <x v="30"/>
    <x v="28"/>
    <s v="Printing supplies"/>
    <x v="28"/>
    <s v="847.8470620.1.436110.000000.847001.200179"/>
    <m/>
    <n v="0"/>
    <m/>
    <m/>
    <n v="0"/>
    <m/>
    <m/>
    <m/>
    <n v="0"/>
    <m/>
    <x v="1"/>
  </r>
  <r>
    <x v="7"/>
    <s v="8470620"/>
    <s v="KUST - Finance Operations"/>
    <x v="30"/>
    <x v="62"/>
    <s v="Stationery"/>
    <x v="62"/>
    <s v="847.8470620.1.436120.000000.847001.200179"/>
    <n v="2500"/>
    <m/>
    <m/>
    <m/>
    <n v="2500"/>
    <m/>
    <m/>
    <m/>
    <n v="2500"/>
    <s v="to be moved to A/C 420130 to cover part of the deficit"/>
    <x v="1"/>
  </r>
  <r>
    <x v="8"/>
    <s v="8470720"/>
    <s v="KUST - Procurement and Contracts"/>
    <x v="31"/>
    <x v="4"/>
    <s v="Standards Certification Services (e.g. ISO)"/>
    <x v="4"/>
    <s v="847.8470720.1.421700.000000.847001.200179"/>
    <n v="2000"/>
    <m/>
    <m/>
    <m/>
    <n v="2000"/>
    <m/>
    <n v="2000"/>
    <s v="Required to pay using PMR"/>
    <n v="0"/>
    <m/>
    <x v="1"/>
  </r>
  <r>
    <x v="8"/>
    <s v="8470720"/>
    <s v="KUST - Procurement and Contracts"/>
    <x v="31"/>
    <x v="50"/>
    <s v="Postal, courier and other document delivery expenses"/>
    <x v="50"/>
    <s v="847.8470720.1.426900.000000.847001.200179"/>
    <n v="15000"/>
    <n v="8725.68"/>
    <m/>
    <m/>
    <n v="6274.32"/>
    <n v="3000"/>
    <n v="3274"/>
    <s v="To pay clearance charges"/>
    <n v="0.31999999999970896"/>
    <m/>
    <x v="1"/>
  </r>
  <r>
    <x v="8"/>
    <s v="8470720"/>
    <s v="KUST - Procurement and Contracts"/>
    <x v="31"/>
    <x v="38"/>
    <s v="Health,safety&amp;environment awareness"/>
    <x v="38"/>
    <s v="847.8470720.1.428200.000000.847001.200179"/>
    <n v="250000"/>
    <n v="132395.32"/>
    <n v="-7.2759576141834308E-12"/>
    <n v="0"/>
    <n v="117604.68"/>
    <n v="50000"/>
    <n v="67605"/>
    <s v="To reorder stock items against Blanket PO"/>
    <n v="-0.32000000000698492"/>
    <m/>
    <x v="1"/>
  </r>
  <r>
    <x v="8"/>
    <s v="8470720"/>
    <s v="KUST - Procurement and Contracts"/>
    <x v="31"/>
    <x v="45"/>
    <s v="Bldg maintenance-Business premises"/>
    <x v="45"/>
    <s v="847.8470720.1.432120.000000.847001.200179"/>
    <n v="176400"/>
    <m/>
    <m/>
    <m/>
    <n v="176400"/>
    <n v="105000"/>
    <m/>
    <s v="PR to be submitted next week by FM"/>
    <n v="71400"/>
    <s v="Part of the scope has been covered by FM using FM Budget"/>
    <x v="1"/>
  </r>
  <r>
    <x v="8"/>
    <s v="8470720"/>
    <s v="KUST - Procurement and Contracts"/>
    <x v="31"/>
    <x v="56"/>
    <s v="Catering supplies: Offices"/>
    <x v="56"/>
    <s v="847.8470720.1.435410.000000.847001.200179"/>
    <n v="164310"/>
    <n v="163340.39000000001"/>
    <n v="0"/>
    <n v="450"/>
    <n v="519.60999999998603"/>
    <m/>
    <m/>
    <m/>
    <n v="519.60999999998603"/>
    <s v="Handed over to FM Admin"/>
    <x v="1"/>
  </r>
  <r>
    <x v="8"/>
    <s v="8470720"/>
    <s v="KUST - Procurement and Contracts"/>
    <x v="31"/>
    <x v="28"/>
    <s v="Printing supplies"/>
    <x v="28"/>
    <s v="847.8470720.1.436110.000000.847001.200179"/>
    <n v="45000"/>
    <m/>
    <m/>
    <m/>
    <n v="45000"/>
    <n v="30000"/>
    <m/>
    <s v="To reorder Print consumables"/>
    <n v="15000"/>
    <m/>
    <x v="1"/>
  </r>
  <r>
    <x v="8"/>
    <s v="8470720"/>
    <s v="KUST - Procurement and Contracts"/>
    <x v="31"/>
    <x v="62"/>
    <s v="Stationery"/>
    <x v="62"/>
    <s v="847.8470720.1.436120.000000.847001.200179"/>
    <n v="180000"/>
    <n v="117163.08"/>
    <n v="54.010000000002002"/>
    <n v="-1.45519152283669E-11"/>
    <n v="62782.91"/>
    <n v="25000"/>
    <m/>
    <s v="25000 only available now, which will be used for reordering stationery stock items, PO issued for 36248.00"/>
    <n v="37782.910000000003"/>
    <s v="No surplus"/>
    <x v="1"/>
  </r>
  <r>
    <x v="9"/>
    <s v="8470730"/>
    <s v="KUST - Human Resources"/>
    <x v="32"/>
    <x v="3"/>
    <s v="Management consultancy"/>
    <x v="3"/>
    <s v="847.8470730.1.421000.000000.847001.200179"/>
    <n v="600000"/>
    <n v="2000"/>
    <n v="590000"/>
    <m/>
    <n v="8000"/>
    <m/>
    <m/>
    <m/>
    <n v="8000"/>
    <m/>
    <x v="1"/>
  </r>
  <r>
    <x v="9"/>
    <s v="8470730"/>
    <s v="KUST - Human Resources"/>
    <x v="32"/>
    <x v="5"/>
    <s v="Conferences, seminars and exhibitions and other events: - Local Events"/>
    <x v="5"/>
    <s v="847.8470730.1.425510.000000.847001.200179"/>
    <n v="42000"/>
    <n v="12490"/>
    <m/>
    <m/>
    <n v="29510"/>
    <m/>
    <m/>
    <m/>
    <n v="29510"/>
    <m/>
    <x v="1"/>
  </r>
  <r>
    <x v="9"/>
    <s v="8470730"/>
    <s v="KUST - Human Resources"/>
    <x v="32"/>
    <x v="7"/>
    <s v="Entertainment and hospitality"/>
    <x v="7"/>
    <s v="847.8470730.1.425900.000000.847001.200179"/>
    <n v="250000"/>
    <n v="650"/>
    <m/>
    <m/>
    <n v="249350"/>
    <n v="50000"/>
    <n v="200000"/>
    <m/>
    <n v="-650"/>
    <m/>
    <x v="1"/>
  </r>
  <r>
    <x v="9"/>
    <s v="8470730"/>
    <s v="KUST - Human Resources"/>
    <x v="32"/>
    <x v="8"/>
    <s v="Computer software licenses-Software License Renewal"/>
    <x v="8"/>
    <s v="847.8470730.1.426610.000000.847001.200179"/>
    <n v="300000"/>
    <m/>
    <n v="0"/>
    <n v="17000"/>
    <n v="283000"/>
    <n v="174000"/>
    <n v="100000"/>
    <m/>
    <n v="9000"/>
    <m/>
    <x v="1"/>
  </r>
  <r>
    <x v="9"/>
    <s v="8470730"/>
    <s v="KUST - Human Resources"/>
    <x v="32"/>
    <x v="63"/>
    <s v="Translation and interpretation service"/>
    <x v="63"/>
    <s v="847.8470730.1.427900.000000.847001.200179"/>
    <n v="10000"/>
    <m/>
    <m/>
    <m/>
    <n v="10000"/>
    <m/>
    <m/>
    <m/>
    <n v="10000"/>
    <m/>
    <x v="1"/>
  </r>
  <r>
    <x v="9"/>
    <s v="8470730"/>
    <s v="KUST - Human Resources"/>
    <x v="32"/>
    <x v="9"/>
    <s v="Business Travel - Combined expenses"/>
    <x v="9"/>
    <s v="847.8470730.1.428090.000000.847001.200179"/>
    <n v="8000"/>
    <n v="8000"/>
    <m/>
    <m/>
    <n v="0"/>
    <m/>
    <m/>
    <m/>
    <n v="0"/>
    <m/>
    <x v="1"/>
  </r>
  <r>
    <x v="9"/>
    <s v="8470730"/>
    <s v="KUST - Human Resources"/>
    <x v="32"/>
    <x v="11"/>
    <s v="Events - Awards, prizes &amp; gifts"/>
    <x v="11"/>
    <s v="847.8470730.1.428640.000000.847001.200179"/>
    <n v="250000"/>
    <n v="19047.55"/>
    <n v="27108"/>
    <n v="0"/>
    <n v="203844.45"/>
    <n v="100000"/>
    <n v="100000"/>
    <m/>
    <n v="3844.4500000000116"/>
    <m/>
    <x v="1"/>
  </r>
  <r>
    <x v="9"/>
    <s v="8470730"/>
    <s v="KUST - Human Resources"/>
    <x v="32"/>
    <x v="28"/>
    <s v="Printing supplies"/>
    <x v="28"/>
    <s v="847.8470730.1.436110.000000.847001.200179"/>
    <n v="50000"/>
    <m/>
    <m/>
    <m/>
    <n v="50000"/>
    <n v="25000"/>
    <n v="25000"/>
    <m/>
    <n v="0"/>
    <m/>
    <x v="1"/>
  </r>
  <r>
    <x v="10"/>
    <s v="8470810"/>
    <s v="KUST - Ankabut office"/>
    <x v="33"/>
    <x v="64"/>
    <s v="IT Systems &amp; Support expenses"/>
    <x v="64"/>
    <s v="847.8470810.1.420810.000000.847001.200179"/>
    <n v="0"/>
    <m/>
    <m/>
    <m/>
    <n v="0"/>
    <m/>
    <m/>
    <m/>
    <n v="0"/>
    <n v="0"/>
    <x v="0"/>
  </r>
  <r>
    <x v="10"/>
    <s v="8470810"/>
    <s v="KUST - Ankabut office"/>
    <x v="33"/>
    <x v="65"/>
    <s v="IT Systems &amp; Support expenses-Application/Systems Operation"/>
    <x v="65"/>
    <s v="847.8470810.1.420811.000000.847001.200179"/>
    <n v="10351793"/>
    <m/>
    <m/>
    <m/>
    <n v="10351793"/>
    <n v="10221106"/>
    <m/>
    <s v="SLA KU Ankabut signed in July 2022"/>
    <n v="130687"/>
    <s v="Initial budget estimation"/>
    <x v="1"/>
  </r>
  <r>
    <x v="10"/>
    <s v="8470810"/>
    <s v="KUST - Ankabut office"/>
    <x v="33"/>
    <x v="40"/>
    <s v="Manpower supply &quot;Other Than IT Related&quot;"/>
    <x v="40"/>
    <s v="847.8470810.1.421100.000000.847001.200179"/>
    <n v="445192"/>
    <n v="-246835.07"/>
    <n v="0"/>
    <n v="620496.22"/>
    <n v="71530.850000000006"/>
    <n v="0"/>
    <m/>
    <m/>
    <n v="71530.850000000006"/>
    <s v="Outstanding amount after transfer of manpower reourses to Chapt1 as per DGS contract"/>
    <x v="1"/>
  </r>
  <r>
    <x v="10"/>
    <s v="8470810"/>
    <s v="KUST - Ankabut office"/>
    <x v="33"/>
    <x v="8"/>
    <s v="Computer software licenses-Software License Renewal"/>
    <x v="8"/>
    <s v="847.8470810.1.426610.000000.847001.200179"/>
    <n v="7602571"/>
    <n v="2930039.24"/>
    <n v="2247207.46"/>
    <n v="1497716.46"/>
    <n v="915993.32"/>
    <n v="815993.32"/>
    <n v="100000"/>
    <s v="Software PR being processed"/>
    <n v="0"/>
    <m/>
    <x v="1"/>
  </r>
  <r>
    <x v="10"/>
    <s v="8470810"/>
    <s v="KUST - Ankabut office"/>
    <x v="33"/>
    <x v="66"/>
    <s v="Telephone and telefax charges-Telecommunication, Satellite services"/>
    <x v="66"/>
    <s v="847.8470810.1.427810.000000.847001.200179"/>
    <n v="800000"/>
    <n v="718525.65"/>
    <m/>
    <m/>
    <n v="79328.390000000101"/>
    <n v="1449328.3900000001"/>
    <m/>
    <s v="Process Etisalat/DU invoices"/>
    <n v="-1370000"/>
    <s v="Amount needed to process old Etisalat Invoices ex.PI for 2019-20-21"/>
    <x v="1"/>
  </r>
  <r>
    <x v="10"/>
    <s v="8470810"/>
    <s v="KUST - Ankabut office"/>
    <x v="33"/>
    <x v="67"/>
    <s v="Data Transmission charges-Data Transmission charges"/>
    <x v="67"/>
    <s v="847.8470810.1.427850.000000.847001.200179"/>
    <n v="2618028"/>
    <n v="744317"/>
    <m/>
    <m/>
    <n v="1873711"/>
    <n v="1873711"/>
    <m/>
    <s v="Process Etisalat/DU invoices. 405K transferred to 427810 pay 2022 Mobile/Tel bills"/>
    <n v="0"/>
    <m/>
    <x v="1"/>
  </r>
  <r>
    <x v="10"/>
    <s v="8470810"/>
    <s v="KUST - Ankabut office"/>
    <x v="33"/>
    <x v="9"/>
    <s v="Business Travel - Combined expenses"/>
    <x v="9"/>
    <s v="847.8470810.1.428090.000000.847001.200179"/>
    <n v="11500"/>
    <n v="4400"/>
    <m/>
    <m/>
    <n v="7100"/>
    <n v="3000"/>
    <n v="4100"/>
    <s v="Travel for events or DR site in  Al Ain"/>
    <n v="0"/>
    <m/>
    <x v="1"/>
  </r>
  <r>
    <x v="10"/>
    <s v="8470810"/>
    <s v="KUST - Ankabut office"/>
    <x v="33"/>
    <x v="68"/>
    <s v="Rental - Equipment"/>
    <x v="68"/>
    <s v="847.8470810.1.430230.000000.847001.200179"/>
    <n v="0"/>
    <m/>
    <m/>
    <m/>
    <n v="0"/>
    <m/>
    <m/>
    <m/>
    <n v="0"/>
    <m/>
    <x v="1"/>
  </r>
  <r>
    <x v="10"/>
    <s v="8470810"/>
    <s v="KUST - Ankabut office"/>
    <x v="33"/>
    <x v="69"/>
    <s v="Rental - Computer hardware-Rental/Subscription - Computer hardware"/>
    <x v="69"/>
    <s v="847.8470810.1.430250.000000.847001.200179"/>
    <n v="1021317"/>
    <m/>
    <n v="264407.12"/>
    <n v="754866.67"/>
    <n v="2043.20999999996"/>
    <m/>
    <m/>
    <m/>
    <n v="2043.20999999996"/>
    <s v="Initial budget estimation"/>
    <x v="1"/>
  </r>
  <r>
    <x v="10"/>
    <s v="8470810"/>
    <s v="KUST - Ankabut office"/>
    <x v="33"/>
    <x v="21"/>
    <s v="Computers and peripherals-End user and Infrastructure components maintenance and support"/>
    <x v="21"/>
    <s v="847.8470810.1.432205.000000.847001.200179"/>
    <n v="1505000"/>
    <n v="578553.93999999994"/>
    <n v="-2.6193447411060302E-10"/>
    <n v="859247.39999999898"/>
    <n v="67198.660000000702"/>
    <n v="49000"/>
    <n v="18199"/>
    <s v="PRs processed in July (Remaining 18K for PRs related to spare parts and accessories)"/>
    <n v="-0.33999999929801561"/>
    <m/>
    <x v="1"/>
  </r>
  <r>
    <x v="10"/>
    <s v="8470810"/>
    <s v="KUST - Ankabut office"/>
    <x v="33"/>
    <x v="70"/>
    <s v="Computers and peripherals-Printers maintenance and support"/>
    <x v="70"/>
    <s v="847.8470810.1.432226.000000.847001.200179"/>
    <n v="360000"/>
    <n v="109115.62"/>
    <m/>
    <m/>
    <n v="250884.38"/>
    <n v="120000"/>
    <n v="130884"/>
    <s v="Processing Printing invoices"/>
    <n v="0.38000000000465661"/>
    <m/>
    <x v="1"/>
  </r>
  <r>
    <x v="10"/>
    <s v="8470810"/>
    <s v="KUST - Ankabut office"/>
    <x v="33"/>
    <x v="28"/>
    <s v="Printing supplies"/>
    <x v="28"/>
    <s v="847.8470810.1.436110.000000.847001.200179"/>
    <n v="0"/>
    <m/>
    <m/>
    <m/>
    <n v="0"/>
    <m/>
    <m/>
    <m/>
    <n v="0"/>
    <m/>
    <x v="1"/>
  </r>
  <r>
    <x v="11"/>
    <s v="8471010"/>
    <s v="KUST - Continuing Education Office"/>
    <x v="34"/>
    <x v="14"/>
    <s v="Advertising Services (General)"/>
    <x v="14"/>
    <s v="847.8471010.1.425100.000000.847001.200179"/>
    <n v="107500"/>
    <m/>
    <m/>
    <m/>
    <n v="107500"/>
    <m/>
    <m/>
    <m/>
    <n v="107500"/>
    <n v="0"/>
    <x v="0"/>
  </r>
  <r>
    <x v="11"/>
    <s v="8471010"/>
    <s v="KUST - Continuing Education Office"/>
    <x v="34"/>
    <x v="5"/>
    <s v="Conferences, seminars and exhibitions and other events: - Local Events"/>
    <x v="5"/>
    <s v="847.8471010.1.425510.000000.847001.200179"/>
    <n v="100000"/>
    <m/>
    <m/>
    <m/>
    <n v="100000"/>
    <m/>
    <m/>
    <m/>
    <n v="100000"/>
    <n v="0"/>
    <x v="0"/>
  </r>
  <r>
    <x v="11"/>
    <s v="8471010"/>
    <s v="KUST - Continuing Education Office"/>
    <x v="34"/>
    <x v="35"/>
    <s v="Education-Outsourced training service"/>
    <x v="35"/>
    <s v="847.8471010.1.425720.000000.847001.200179"/>
    <n v="76120"/>
    <n v="20760"/>
    <m/>
    <m/>
    <n v="55360"/>
    <m/>
    <m/>
    <m/>
    <n v="55360"/>
    <n v="0"/>
    <x v="0"/>
  </r>
  <r>
    <x v="11"/>
    <s v="8471010"/>
    <s v="KUST - Continuing Education Office"/>
    <x v="34"/>
    <x v="7"/>
    <s v="Entertainment and hospitality"/>
    <x v="7"/>
    <s v="847.8471010.1.425900.000000.847001.200179"/>
    <n v="162500"/>
    <m/>
    <m/>
    <m/>
    <n v="162500"/>
    <m/>
    <m/>
    <m/>
    <n v="162500"/>
    <n v="0"/>
    <x v="0"/>
  </r>
  <r>
    <x v="11"/>
    <s v="8471010"/>
    <s v="KUST - Continuing Education Office"/>
    <x v="34"/>
    <x v="28"/>
    <s v="Printing supplies"/>
    <x v="28"/>
    <s v="847.8471010.1.436110.000000.847001.200179"/>
    <n v="50625"/>
    <m/>
    <m/>
    <m/>
    <n v="50625"/>
    <m/>
    <m/>
    <m/>
    <n v="50625"/>
    <n v="0"/>
    <x v="0"/>
  </r>
  <r>
    <x v="11"/>
    <s v="8471010"/>
    <s v="KUST - Continuing Education Office"/>
    <x v="34"/>
    <x v="62"/>
    <s v="Stationery"/>
    <x v="62"/>
    <s v="847.8471010.1.436120.000000.847001.200179"/>
    <n v="5625"/>
    <m/>
    <m/>
    <m/>
    <n v="5625"/>
    <m/>
    <m/>
    <m/>
    <n v="5625"/>
    <n v="0"/>
    <x v="0"/>
  </r>
  <r>
    <x v="12"/>
    <s v="8471110"/>
    <s v="KUST - SVP/ Research &amp; Development Office"/>
    <x v="35"/>
    <x v="7"/>
    <s v="Entertainment and hospitality"/>
    <x v="7"/>
    <s v="847.8471110.1.425900.000000.847001.200179"/>
    <n v="30000"/>
    <m/>
    <m/>
    <m/>
    <n v="30000"/>
    <m/>
    <n v="30000"/>
    <s v="This will be used for upcoming workshops"/>
    <n v="0"/>
    <m/>
    <x v="1"/>
  </r>
  <r>
    <x v="12"/>
    <s v="8471110"/>
    <s v="KUST - SVP/ Research &amp; Development Office"/>
    <x v="35"/>
    <x v="13"/>
    <s v="Subscriptions and membership fees: Trade organisations"/>
    <x v="13"/>
    <s v="847.8471110.1.427710.000000.847001.200179"/>
    <n v="428951"/>
    <n v="3526.08"/>
    <n v="332272.18"/>
    <n v="16161.2"/>
    <n v="76991.539999999994"/>
    <m/>
    <n v="76991.539999999994"/>
    <s v="This will be used for department Subscrpitions due for renewal"/>
    <n v="0"/>
    <m/>
    <x v="1"/>
  </r>
  <r>
    <x v="12"/>
    <s v="8471110"/>
    <s v="KUST - SVP/ Research &amp; Development Office"/>
    <x v="35"/>
    <x v="9"/>
    <s v="Business Travel - Combined expenses"/>
    <x v="9"/>
    <s v="847.8471110.1.428090.000000.847001.200179"/>
    <n v="100000"/>
    <m/>
    <m/>
    <m/>
    <n v="100000"/>
    <m/>
    <n v="100000"/>
    <s v="Business travels and conferences in Q3 &amp; Q4"/>
    <n v="0"/>
    <m/>
    <x v="1"/>
  </r>
  <r>
    <x v="12"/>
    <s v="8471120"/>
    <s v="KUST - Institute for Automation, Information Science &amp; Communication"/>
    <x v="36"/>
    <x v="7"/>
    <s v="Entertainment and hospitality"/>
    <x v="7"/>
    <s v="847.8471120.1.425900.000000.847001.200179"/>
    <n v="110000"/>
    <m/>
    <m/>
    <m/>
    <n v="110000"/>
    <n v="50000"/>
    <n v="60000"/>
    <s v="Set up the first meeting of the Institute's Advisory Board and for visiting positions"/>
    <n v="0"/>
    <m/>
    <x v="1"/>
  </r>
  <r>
    <x v="12"/>
    <s v="8471120"/>
    <s v="KUST - Institute for Automation, Information Science &amp; Communication"/>
    <x v="36"/>
    <x v="9"/>
    <s v="Business Travel - Combined expenses"/>
    <x v="9"/>
    <s v="847.8471120.1.428090.000000.847001.200179"/>
    <n v="220000"/>
    <m/>
    <m/>
    <m/>
    <n v="220000"/>
    <n v="110000"/>
    <n v="110000"/>
    <s v="Participation in regional and international events and research collaborations"/>
    <n v="0"/>
    <m/>
    <x v="1"/>
  </r>
  <r>
    <x v="12"/>
    <s v="8471120"/>
    <s v="KUST - Institute for Automation, Information Science &amp; Communication"/>
    <x v="36"/>
    <x v="53"/>
    <s v="Other services, not specifically mentioned elsewhere"/>
    <x v="53"/>
    <s v="847.8471120.1.429900.000000.847001.200179"/>
    <n v="55510"/>
    <m/>
    <m/>
    <m/>
    <n v="55510"/>
    <n v="27755"/>
    <n v="27755"/>
    <s v="Institute-wide software platforms"/>
    <n v="0"/>
    <m/>
    <x v="1"/>
  </r>
  <r>
    <x v="12"/>
    <s v="8471120"/>
    <s v="KUST - Institute for Automation, Information Science &amp; Communication"/>
    <x v="36"/>
    <x v="71"/>
    <s v="Scientific"/>
    <x v="71"/>
    <s v="847.8471120.1.435523.000000.847001.200179"/>
    <n v="0"/>
    <m/>
    <m/>
    <m/>
    <n v="0"/>
    <n v="0"/>
    <n v="0"/>
    <m/>
    <n v="0"/>
    <m/>
    <x v="1"/>
  </r>
  <r>
    <x v="12"/>
    <s v="8471121"/>
    <s v="KUST - Petroleum Institute"/>
    <x v="37"/>
    <x v="5"/>
    <s v="Conferences, seminars and exhibitions and other events: - Local Events"/>
    <x v="5"/>
    <s v="847.8471121.1.425510.000000.847001.200179"/>
    <n v="50000"/>
    <m/>
    <m/>
    <m/>
    <n v="50000"/>
    <m/>
    <m/>
    <m/>
    <n v="50000"/>
    <s v="Non-utlized amounts can be transferred to 435523 as it will likely fall short."/>
    <x v="1"/>
  </r>
  <r>
    <x v="12"/>
    <s v="8471121"/>
    <s v="KUST - Petroleum Institute"/>
    <x v="37"/>
    <x v="7"/>
    <s v="Entertainment and hospitality"/>
    <x v="7"/>
    <s v="847.8471121.1.425900.000000.847001.200179"/>
    <n v="15000"/>
    <m/>
    <m/>
    <m/>
    <n v="15000"/>
    <m/>
    <m/>
    <m/>
    <n v="15000"/>
    <s v="Non-utlized amounts can be transferred to 435523 as it will likely fall short."/>
    <x v="1"/>
  </r>
  <r>
    <x v="12"/>
    <s v="8471121"/>
    <s v="KUST - Petroleum Institute"/>
    <x v="37"/>
    <x v="9"/>
    <s v="Business Travel - Combined expenses"/>
    <x v="9"/>
    <s v="847.8471121.1.428090.000000.847001.200179"/>
    <n v="50000"/>
    <m/>
    <m/>
    <m/>
    <n v="50000"/>
    <m/>
    <m/>
    <m/>
    <n v="50000"/>
    <s v="Non-utlized amounts can be transferred to 435523 as it will likely fall short."/>
    <x v="1"/>
  </r>
  <r>
    <x v="12"/>
    <s v="8471121"/>
    <s v="KUST - Petroleum Institute"/>
    <x v="37"/>
    <x v="46"/>
    <s v="Bldg decoration &amp; minor improvements"/>
    <x v="46"/>
    <s v="847.8471121.1.432170.000000.847001.200179"/>
    <n v="0"/>
    <m/>
    <m/>
    <m/>
    <n v="0"/>
    <m/>
    <m/>
    <m/>
    <n v="0"/>
    <s v="Non-utlized amounts can be transferred to 435523 as it will likely fall short."/>
    <x v="1"/>
  </r>
  <r>
    <x v="12"/>
    <s v="8471121"/>
    <s v="KUST - Petroleum Institute"/>
    <x v="37"/>
    <x v="71"/>
    <s v="Scientific"/>
    <x v="71"/>
    <s v="847.8471121.1.435523.000000.847001.200179"/>
    <n v="826280"/>
    <m/>
    <m/>
    <m/>
    <n v="826280"/>
    <m/>
    <m/>
    <m/>
    <n v="826280"/>
    <s v="Non-utlized amounts can be transferred to 435523 as it will likely fall short."/>
    <x v="1"/>
  </r>
  <r>
    <x v="12"/>
    <s v="8471122"/>
    <s v="KUST - Masdar Institute"/>
    <x v="38"/>
    <x v="7"/>
    <s v="Entertainment and hospitality"/>
    <x v="7"/>
    <s v="847.8471122.1.425900.000000.847001.200179"/>
    <n v="50000"/>
    <m/>
    <m/>
    <m/>
    <n v="50000"/>
    <n v="5000"/>
    <n v="45000"/>
    <s v="hosting potential sponsors, and Q4 MI institute retreat "/>
    <n v="0"/>
    <m/>
    <x v="1"/>
  </r>
  <r>
    <x v="12"/>
    <s v="8471122"/>
    <s v="KUST - Masdar Institute"/>
    <x v="38"/>
    <x v="9"/>
    <s v="Business Travel - Combined expenses"/>
    <x v="9"/>
    <s v="847.8471122.1.428090.000000.847001.200179"/>
    <n v="50000"/>
    <m/>
    <m/>
    <m/>
    <n v="50000"/>
    <n v="15000"/>
    <n v="35000"/>
    <s v="planned visits of project partner institutions, and meeting VRI advisory board"/>
    <n v="0"/>
    <m/>
    <x v="1"/>
  </r>
  <r>
    <x v="12"/>
    <s v="8471130"/>
    <s v="KUST - Research Service"/>
    <x v="39"/>
    <x v="65"/>
    <s v="IT Systems &amp; Support expenses-Application/Systems Operation"/>
    <x v="65"/>
    <s v="847.8471130.1.420811.000000.847001.200179"/>
    <n v="306385"/>
    <m/>
    <n v="276944.2"/>
    <m/>
    <n v="29440.799999999999"/>
    <m/>
    <n v="29440.799999999999"/>
    <m/>
    <n v="0"/>
    <m/>
    <x v="1"/>
  </r>
  <r>
    <x v="12"/>
    <s v="8471130"/>
    <s v="KUST - Research Service"/>
    <x v="39"/>
    <x v="8"/>
    <s v="Computer software licenses-Software License Renewal"/>
    <x v="8"/>
    <s v="847.8471130.1.426610.000000.847001.200179"/>
    <n v="171900"/>
    <n v="171712.75"/>
    <m/>
    <m/>
    <n v="187.25"/>
    <m/>
    <m/>
    <m/>
    <n v="187.25"/>
    <s v="Non-utlized amounts can be transferred to 435523 as it will likely fall short."/>
    <x v="1"/>
  </r>
  <r>
    <x v="12"/>
    <s v="8471130"/>
    <s v="KUST - Research Service"/>
    <x v="39"/>
    <x v="63"/>
    <s v="Translation and interpretation service"/>
    <x v="63"/>
    <s v="847.8471130.1.427900.000000.847001.200179"/>
    <n v="5000"/>
    <m/>
    <m/>
    <m/>
    <n v="5000"/>
    <m/>
    <m/>
    <m/>
    <n v="5000"/>
    <s v="Non-utlized amounts can be transferred to either 435523 or 432209 as both will likely fall short."/>
    <x v="1"/>
  </r>
  <r>
    <x v="12"/>
    <s v="8471130"/>
    <s v="KUST - Research Service"/>
    <x v="39"/>
    <x v="9"/>
    <s v="Business Travel - Combined expenses"/>
    <x v="9"/>
    <s v="847.8471130.1.428090.000000.847001.200179"/>
    <n v="70000"/>
    <m/>
    <m/>
    <m/>
    <n v="70000"/>
    <m/>
    <n v="70000"/>
    <m/>
    <n v="0"/>
    <m/>
    <x v="1"/>
  </r>
  <r>
    <x v="12"/>
    <s v="8471130"/>
    <s v="KUST - Research Service"/>
    <x v="39"/>
    <x v="71"/>
    <s v="Scientific"/>
    <x v="71"/>
    <s v="847.8471130.1.435523.000000.847001.200179"/>
    <n v="199577"/>
    <n v="127599.53"/>
    <m/>
    <n v="29590.09"/>
    <n v="42387.38"/>
    <n v="21000"/>
    <n v="21000"/>
    <m/>
    <n v="387.37999999999738"/>
    <m/>
    <x v="1"/>
  </r>
  <r>
    <x v="12"/>
    <s v="8471140"/>
    <s v="KUST - University Sponsored Research"/>
    <x v="40"/>
    <x v="1"/>
    <s v="Academic Collaborative Partnership Services"/>
    <x v="1"/>
    <s v="847.8471140.1.420570.000000.847001.200179"/>
    <n v="231840"/>
    <n v="64153.81"/>
    <m/>
    <m/>
    <n v="167686.19"/>
    <m/>
    <n v="167686.19"/>
    <s v="This is for external review payments, normally consumed late in the fiscal year at the end of a funding call cycle"/>
    <n v="0"/>
    <s v="None"/>
    <x v="1"/>
  </r>
  <r>
    <x v="12"/>
    <s v="8471140"/>
    <s v="KUST - University Sponsored Research"/>
    <x v="40"/>
    <x v="9"/>
    <s v="Business Travel - Combined expenses"/>
    <x v="9"/>
    <s v="847.8471140.1.428090.000000.847001.200179"/>
    <n v="80000"/>
    <n v="2605.5"/>
    <m/>
    <m/>
    <n v="77394.5"/>
    <m/>
    <n v="77394.5"/>
    <s v="Staff have identified professional development conferences in Aug &amp; Oct 2022"/>
    <n v="0"/>
    <s v="None"/>
    <x v="1"/>
  </r>
  <r>
    <x v="12"/>
    <s v="8471140"/>
    <s v="KUST - University Sponsored Research"/>
    <x v="40"/>
    <x v="71"/>
    <s v="Scientific"/>
    <x v="71"/>
    <s v="847.8471140.1.435523.000000.847001.200179"/>
    <n v="99885358"/>
    <n v="35643266.560000002"/>
    <n v="1138201.52"/>
    <n v="3809863.76"/>
    <n v="59194295.899999999"/>
    <n v="29597147.949999999"/>
    <n v="29597147.949999999"/>
    <s v="Funds will be fully consumed by exisiting projects and new FSU/CIRA/Center awards starting during 2022"/>
    <n v="0"/>
    <s v="None, I expect we will need additonal funds in 2022."/>
    <x v="1"/>
  </r>
  <r>
    <x v="12"/>
    <s v="8471150"/>
    <s v="KUST - Technology Management &amp; Innovation"/>
    <x v="41"/>
    <x v="2"/>
    <s v="Legal services"/>
    <x v="2"/>
    <s v="847.8471150.1.420900.000000.847001.200179"/>
    <n v="3332844"/>
    <n v="1834018.15"/>
    <n v="568570.87"/>
    <n v="74855.889999999898"/>
    <n v="855399.09"/>
    <m/>
    <n v="855399.09"/>
    <s v="Most likely more funds will be needed"/>
    <n v="0"/>
    <m/>
    <x v="1"/>
  </r>
  <r>
    <x v="12"/>
    <s v="8471150"/>
    <s v="KUST - Technology Management &amp; Innovation"/>
    <x v="41"/>
    <x v="5"/>
    <s v="Conferences, seminars and exhibitions and other events: - Local Events"/>
    <x v="5"/>
    <s v="847.8471150.1.425510.000000.847001.200179"/>
    <n v="100002"/>
    <m/>
    <m/>
    <m/>
    <n v="100002"/>
    <m/>
    <n v="100002"/>
    <s v="Arranging technology showcase around 4th quarter"/>
    <n v="0"/>
    <m/>
    <x v="1"/>
  </r>
  <r>
    <x v="12"/>
    <s v="8471150"/>
    <s v="KUST - Technology Management &amp; Innovation"/>
    <x v="41"/>
    <x v="6"/>
    <s v="Conferences, seminars and exhibitions and other events: - Overseas event"/>
    <x v="6"/>
    <s v="847.8471150.1.425550.000000.847001.200179"/>
    <n v="100002"/>
    <n v="11745"/>
    <m/>
    <m/>
    <n v="88257"/>
    <m/>
    <n v="88257"/>
    <s v="One member will attend international conference by 4th Quarter"/>
    <n v="0"/>
    <m/>
    <x v="1"/>
  </r>
  <r>
    <x v="12"/>
    <s v="8471150"/>
    <s v="KUST - Technology Management &amp; Innovation"/>
    <x v="41"/>
    <x v="8"/>
    <s v="Computer software licenses-Software License Renewal"/>
    <x v="8"/>
    <s v="847.8471150.1.426610.000000.847001.200179"/>
    <n v="120000"/>
    <m/>
    <n v="0"/>
    <m/>
    <n v="120000"/>
    <n v="120000"/>
    <m/>
    <s v="PR submitted for annual license subscription"/>
    <n v="0"/>
    <m/>
    <x v="1"/>
  </r>
  <r>
    <x v="12"/>
    <s v="8471150"/>
    <s v="KUST - Technology Management &amp; Innovation"/>
    <x v="41"/>
    <x v="9"/>
    <s v="Business Travel - Combined expenses"/>
    <x v="9"/>
    <s v="847.8471150.1.428090.000000.847001.200179"/>
    <n v="50001"/>
    <m/>
    <m/>
    <m/>
    <n v="50001"/>
    <m/>
    <n v="50001"/>
    <s v="It was considered in case is needed if not will be transferred to other ledger lines where it will be used"/>
    <n v="0"/>
    <m/>
    <x v="1"/>
  </r>
  <r>
    <x v="12"/>
    <s v="8471160"/>
    <s v="KUST - Research Laboratories"/>
    <x v="42"/>
    <x v="64"/>
    <s v="IT Systems &amp; Support expenses"/>
    <x v="64"/>
    <s v="847.8471160.1.420810.000000.847001.200179"/>
    <n v="0"/>
    <m/>
    <m/>
    <m/>
    <n v="0"/>
    <m/>
    <m/>
    <m/>
    <n v="0"/>
    <m/>
    <x v="1"/>
  </r>
  <r>
    <x v="12"/>
    <s v="8471160"/>
    <s v="KUST - Research Laboratories"/>
    <x v="42"/>
    <x v="65"/>
    <s v="IT Systems &amp; Support expenses-Application/Systems Operation"/>
    <x v="65"/>
    <s v="847.8471160.1.420811.000000.847001.200179"/>
    <n v="588000"/>
    <m/>
    <m/>
    <m/>
    <n v="588000"/>
    <n v="588000"/>
    <n v="0"/>
    <s v="If no software renewal requests received from Research Centers remaining fund to be transferred to account 432209 for utilization in Q3, 2022."/>
    <n v="0"/>
    <s v="Do not expect a surplus as all funds to be utilized in Quarter 3."/>
    <x v="1"/>
  </r>
  <r>
    <x v="12"/>
    <s v="8471160"/>
    <s v="KUST - Research Laboratories"/>
    <x v="42"/>
    <x v="8"/>
    <s v="Computer software licenses-Software License Renewal"/>
    <x v="8"/>
    <s v="847.8471160.1.426610.000000.847001.200179"/>
    <n v="362375"/>
    <n v="68000"/>
    <n v="269963.64"/>
    <n v="19650"/>
    <n v="4761.3599999999897"/>
    <n v="4761.3599999999897"/>
    <n v="0"/>
    <s v="Remaining fund to be transferred to account 432209 for utilization in Q3, 2022."/>
    <n v="0"/>
    <s v="Do not expect a surplus as all funds to be utilized in Quarter 3."/>
    <x v="1"/>
  </r>
  <r>
    <x v="12"/>
    <s v="8471160"/>
    <s v="KUST - Research Laboratories"/>
    <x v="42"/>
    <x v="30"/>
    <s v="Laboratory equipment"/>
    <x v="30"/>
    <s v="847.8471160.1.432209.000000.847001.200179"/>
    <n v="15119303"/>
    <n v="1992986.67"/>
    <n v="4111561.65"/>
    <n v="6077598.2999999998"/>
    <n v="2937156.38"/>
    <n v="2937156.38"/>
    <n v="0"/>
    <s v="(i) Costs for removal of the most dangerous/expired toxic gases in the RL cleanroom in process of being finalized with vendor (~AED 1.00 MM, initial estimate AED 2.20 M). (ii) MIDAS gas detector maintenance costing for cleanroom under review AED 200 k. (iii) Delays in Arzanah rectification works have delayed operationalizing labs which will subsequently establish remaining needs (i.e. such as equipment repairs)."/>
    <n v="0"/>
    <s v="Do not expect a surplus as all funds to be utilized in Quarter 3."/>
    <x v="1"/>
  </r>
  <r>
    <x v="12"/>
    <s v="8471160"/>
    <s v="KUST - Research Laboratories"/>
    <x v="42"/>
    <x v="32"/>
    <s v="Laboratory - Scientific"/>
    <x v="32"/>
    <s v="847.8471160.1.435508.000000.847001.200179"/>
    <n v="2752398"/>
    <n v="44444.41"/>
    <n v="830167.13"/>
    <n v="21016.54"/>
    <n v="1856769.92"/>
    <n v="1856769.92"/>
    <n v="0"/>
    <s v="(i) Procurement Department (PCD) requested RL to check submitted vendor invoices for liquid nitrogen consumption in the cleanroom. Consumption accuracy was confirmed. PCD  to revert back to RL on how to process both billed and remaining expected expenditure for 2022 (~AED 0.9 MM). (ii) Unable to source a suitable vendor to provide specialized gases (C4F8) for cleanroom (~AED 200 k). (iii) (i) Costs for removal of most dangerous/expired toxic gases in the RL cleanroom in process of being finalized with vendor (~AED 1.00 MM, initial estimate AED 2.20 M). (ii) MIDAS gas detector maintenance costing for cleanroom under review AED 200 k. (iii) Delays in Arzanah rectification works have delayed operationalizing labs which will subsequently establish remaining needs (i.e. such as consumables)."/>
    <n v="0"/>
    <s v="Do not expect a surplus as all funds to be utilized in Quarter 3."/>
    <x v="1"/>
  </r>
  <r>
    <x v="12"/>
    <s v="8471170"/>
    <s v="KUST - Research Computing"/>
    <x v="43"/>
    <x v="64"/>
    <s v="IT Systems &amp; Support expenses"/>
    <x v="64"/>
    <s v="847.8471170.1.420810.000000.847001.200179"/>
    <n v="0"/>
    <m/>
    <m/>
    <m/>
    <n v="0"/>
    <m/>
    <m/>
    <m/>
    <n v="0"/>
    <m/>
    <x v="1"/>
  </r>
  <r>
    <x v="12"/>
    <s v="8471170"/>
    <s v="KUST - Research Computing"/>
    <x v="43"/>
    <x v="65"/>
    <s v="IT Systems &amp; Support expenses-Application/Systems Operation"/>
    <x v="65"/>
    <s v="847.8471170.1.420811.000000.847001.200179"/>
    <n v="1709607"/>
    <m/>
    <m/>
    <m/>
    <n v="1709607"/>
    <n v="871932"/>
    <n v="837675"/>
    <s v="Raised two PRs in august. One for HPC software support and maintence and one for AWS professional services. Balance of funds should be used to pay for RC SLA with Ankabut"/>
    <n v="0"/>
    <s v="Do not expect a surplus, as all funds should be used to pay for PRs in the system or to pay for SLA with Ankabut"/>
    <x v="1"/>
  </r>
  <r>
    <x v="12"/>
    <s v="8471170"/>
    <s v="KUST - Research Computing"/>
    <x v="43"/>
    <x v="7"/>
    <s v="Entertainment and hospitality"/>
    <x v="7"/>
    <s v="847.8471170.1.425900.000000.847001.200179"/>
    <n v="10000"/>
    <m/>
    <m/>
    <m/>
    <n v="10000"/>
    <m/>
    <n v="10000"/>
    <s v="Outreach event to be held"/>
    <n v="0"/>
    <m/>
    <x v="1"/>
  </r>
  <r>
    <x v="12"/>
    <s v="8471170"/>
    <s v="KUST - Research Computing"/>
    <x v="43"/>
    <x v="8"/>
    <s v="Computer software licenses-Software License Renewal"/>
    <x v="8"/>
    <s v="847.8471170.1.426610.000000.847001.200179"/>
    <n v="2618576"/>
    <n v="82234.149999999994"/>
    <n v="1045883.62"/>
    <n v="507382.75"/>
    <n v="982153.18"/>
    <n v="420000"/>
    <n v="562153"/>
    <s v="Some funds were transferred IT services budget account to pay for AWS professional services. Balance of funds should be used to pay for SLA with Ankabut"/>
    <n v="0.18000000005122274"/>
    <s v="Do not expect a surplus, as balance of funds should be used to pay for SLA with Ankabut"/>
    <x v="1"/>
  </r>
  <r>
    <x v="12"/>
    <s v="8471170"/>
    <s v="KUST - Research Computing"/>
    <x v="43"/>
    <x v="9"/>
    <s v="Business Travel - Combined expenses"/>
    <x v="9"/>
    <s v="847.8471170.1.428090.000000.847001.200179"/>
    <n v="45000"/>
    <m/>
    <m/>
    <m/>
    <n v="45000"/>
    <m/>
    <n v="45000"/>
    <s v="two members of staff planning on attending conferences in November"/>
    <n v="0"/>
    <m/>
    <x v="1"/>
  </r>
  <r>
    <x v="3"/>
    <s v="8471210"/>
    <s v="KUST - SVP/ Academic &amp; Student Services Office"/>
    <x v="44"/>
    <x v="7"/>
    <s v="Entertainment and hospitality"/>
    <x v="7"/>
    <s v="847.8471210.1.425900.000000.847001.200179"/>
    <n v="15000"/>
    <n v="13795"/>
    <n v="0"/>
    <n v="0"/>
    <n v="1205"/>
    <m/>
    <m/>
    <m/>
    <n v="1205"/>
    <m/>
    <x v="1"/>
  </r>
  <r>
    <x v="3"/>
    <s v="8471210"/>
    <s v="KUST - SVP/ Academic &amp; Student Services Office"/>
    <x v="44"/>
    <x v="9"/>
    <s v="Business Travel - Combined expenses"/>
    <x v="9"/>
    <s v="847.8471210.1.428090.000000.847001.200179"/>
    <n v="100000"/>
    <m/>
    <m/>
    <m/>
    <n v="100000"/>
    <n v="0"/>
    <n v="100000"/>
    <m/>
    <n v="0"/>
    <m/>
    <x v="1"/>
  </r>
  <r>
    <x v="3"/>
    <s v="8471210"/>
    <s v="KUST - SVP/ Academic &amp; Student Services Office"/>
    <x v="44"/>
    <x v="11"/>
    <s v="Events - Awards, prizes &amp; gifts"/>
    <x v="11"/>
    <s v="847.8471210.1.428640.000000.847001.200179"/>
    <n v="20000"/>
    <m/>
    <m/>
    <m/>
    <n v="20000"/>
    <m/>
    <n v="20000"/>
    <m/>
    <n v="0"/>
    <m/>
    <x v="1"/>
  </r>
  <r>
    <x v="3"/>
    <s v="8471210"/>
    <s v="KUST - SVP/ Academic &amp; Student Services Office"/>
    <x v="44"/>
    <x v="72"/>
    <s v="School consumables, not specifically mentioned elsewhere"/>
    <x v="72"/>
    <s v="847.8471210.1.435530.000000.847001.200179"/>
    <n v="20000"/>
    <m/>
    <m/>
    <m/>
    <n v="20000"/>
    <m/>
    <n v="20000"/>
    <m/>
    <n v="0"/>
    <m/>
    <x v="1"/>
  </r>
  <r>
    <x v="3"/>
    <s v="8471220"/>
    <s v="KUST - Registrar"/>
    <x v="45"/>
    <x v="5"/>
    <s v="Conferences, seminars and exhibitions and other events: - Local Events"/>
    <x v="5"/>
    <s v="847.8471220.1.425510.000000.847001.200179"/>
    <n v="2200"/>
    <m/>
    <m/>
    <m/>
    <n v="2200"/>
    <m/>
    <n v="2200"/>
    <s v="attending ELUCISON conference "/>
    <n v="0"/>
    <m/>
    <x v="1"/>
  </r>
  <r>
    <x v="3"/>
    <s v="8471220"/>
    <s v="KUST - Registrar"/>
    <x v="45"/>
    <x v="73"/>
    <s v="Student stipend"/>
    <x v="73"/>
    <s v="847.8471220.1.425741.000000.847001.200179"/>
    <n v="80501600"/>
    <n v="38142427.32"/>
    <m/>
    <m/>
    <n v="42359172.68"/>
    <m/>
    <n v="42359172.68"/>
    <s v="Will be used in Fall 2022"/>
    <n v="0"/>
    <m/>
    <x v="1"/>
  </r>
  <r>
    <x v="3"/>
    <s v="8471220"/>
    <s v="KUST - Registrar"/>
    <x v="45"/>
    <x v="50"/>
    <s v="Postal, courier and other document delivery expenses"/>
    <x v="50"/>
    <s v="847.8471220.1.426900.000000.847001.200179"/>
    <n v="11000"/>
    <m/>
    <m/>
    <m/>
    <n v="11000"/>
    <m/>
    <m/>
    <m/>
    <n v="11000"/>
    <s v="can be transferred to another account"/>
    <x v="1"/>
  </r>
  <r>
    <x v="3"/>
    <s v="8471220"/>
    <s v="KUST - Registrar"/>
    <x v="45"/>
    <x v="36"/>
    <s v="Text books and library books"/>
    <x v="36"/>
    <s v="847.8471220.1.435340.000000.847001.200179"/>
    <n v="9500000"/>
    <n v="4279841.18"/>
    <n v="0"/>
    <n v="0"/>
    <n v="5220158.82"/>
    <m/>
    <n v="5220158.82"/>
    <s v="PR will be raised in Fall semester against contract with Magrudy"/>
    <n v="0"/>
    <m/>
    <x v="1"/>
  </r>
  <r>
    <x v="3"/>
    <s v="8471220"/>
    <s v="KUST - Registrar"/>
    <x v="45"/>
    <x v="28"/>
    <s v="Printing supplies"/>
    <x v="28"/>
    <s v="847.8471220.1.436110.000000.847001.200179"/>
    <n v="300000"/>
    <n v="52000"/>
    <n v="0"/>
    <n v="63500"/>
    <n v="184500"/>
    <m/>
    <n v="184500"/>
    <s v="PR will be raised in Q4"/>
    <n v="0"/>
    <m/>
    <x v="1"/>
  </r>
  <r>
    <x v="3"/>
    <s v="8471220"/>
    <s v="KUST - Registrar"/>
    <x v="45"/>
    <x v="62"/>
    <s v="Stationery"/>
    <x v="62"/>
    <s v="847.8471220.1.436120.000000.847001.200179"/>
    <n v="6000"/>
    <m/>
    <m/>
    <m/>
    <n v="6000"/>
    <m/>
    <n v="6000"/>
    <m/>
    <n v="0"/>
    <m/>
    <x v="1"/>
  </r>
  <r>
    <x v="3"/>
    <s v="8471230"/>
    <s v="KUST - Student Enrollment"/>
    <x v="46"/>
    <x v="74"/>
    <s v="Enrollment expenses"/>
    <x v="74"/>
    <s v="847.8471230.1.425742.000000.847001.200179"/>
    <n v="1647000"/>
    <n v="256343.86"/>
    <n v="136300"/>
    <n v="149008.60999999999"/>
    <n v="1104217.9099999999"/>
    <m/>
    <n v="1104217.9099999999"/>
    <s v="We have National and international Recruitment events for Fall 2022"/>
    <n v="0"/>
    <m/>
    <x v="1"/>
  </r>
  <r>
    <x v="3"/>
    <s v="8471230"/>
    <s v="KUST - Student Enrollment"/>
    <x v="46"/>
    <x v="8"/>
    <s v="Computer software licenses-Software License Renewal"/>
    <x v="8"/>
    <s v="847.8471230.1.426610.000000.847001.200179"/>
    <n v="120000"/>
    <m/>
    <m/>
    <m/>
    <n v="76562.31"/>
    <m/>
    <n v="76562.31"/>
    <s v="Awaiting the new CRM solution implementation"/>
    <n v="0"/>
    <m/>
    <x v="1"/>
  </r>
  <r>
    <x v="3"/>
    <s v="8471240"/>
    <s v="KUST - Student Success"/>
    <x v="47"/>
    <x v="5"/>
    <s v="Conferences, seminars and exhibitions and other events: - Local Events"/>
    <x v="5"/>
    <s v="847.8471240.1.425510.000000.847001.200179"/>
    <n v="220000"/>
    <n v="51401.25"/>
    <n v="0"/>
    <n v="0"/>
    <n v="168598.75"/>
    <m/>
    <n v="168598.75"/>
    <s v="Publication KPI  - We are planning for multiple staff to attend international conferences"/>
    <n v="0"/>
    <m/>
    <x v="1"/>
  </r>
  <r>
    <x v="3"/>
    <s v="8471240"/>
    <s v="KUST - Student Success"/>
    <x v="47"/>
    <x v="35"/>
    <s v="Education-Outsourced training service"/>
    <x v="35"/>
    <s v="847.8471240.1.425720.000000.847001.200179"/>
    <n v="128000"/>
    <m/>
    <m/>
    <m/>
    <n v="128000"/>
    <m/>
    <n v="128000"/>
    <s v="Related to executing the publication KPI - We are planning for paid consultants in academic advising practices and research"/>
    <n v="0"/>
    <m/>
    <x v="1"/>
  </r>
  <r>
    <x v="3"/>
    <s v="8471240"/>
    <s v="KUST - Student Success"/>
    <x v="47"/>
    <x v="75"/>
    <s v="Skill assessment service"/>
    <x v="75"/>
    <s v="847.8471240.1.425750.000000.847001.200179"/>
    <n v="23000"/>
    <m/>
    <m/>
    <m/>
    <n v="23000"/>
    <m/>
    <m/>
    <m/>
    <n v="23000"/>
    <s v="We don't currently have plans for assessment services  "/>
    <x v="1"/>
  </r>
  <r>
    <x v="3"/>
    <s v="8471240"/>
    <s v="KUST - Student Success"/>
    <x v="47"/>
    <x v="26"/>
    <s v="Student Field trips"/>
    <x v="26"/>
    <s v="847.8471240.1.425761.000000.847001.200179"/>
    <n v="800000"/>
    <n v="90622.63"/>
    <m/>
    <m/>
    <n v="709377.37"/>
    <n v="650000"/>
    <n v="59377"/>
    <s v="Financial support for the Study Abroad program - Funds are allocated for stipends and additional costs for the fall 2022 study abroad student"/>
    <n v="0.36999999999534339"/>
    <m/>
    <x v="1"/>
  </r>
  <r>
    <x v="3"/>
    <s v="8471240"/>
    <s v="KUST - Student Success"/>
    <x v="47"/>
    <x v="7"/>
    <s v="Entertainment and hospitality"/>
    <x v="7"/>
    <s v="847.8471240.1.425900.000000.847001.200179"/>
    <n v="24000"/>
    <n v="1816.5"/>
    <m/>
    <m/>
    <n v="22183.5"/>
    <m/>
    <n v="22183.5"/>
    <s v="In-house refreshments for the CSSR and SDG courses "/>
    <n v="0"/>
    <m/>
    <x v="1"/>
  </r>
  <r>
    <x v="3"/>
    <s v="8471240"/>
    <s v="KUST - Student Success"/>
    <x v="47"/>
    <x v="8"/>
    <s v="Computer software licenses-Software License Renewal"/>
    <x v="8"/>
    <s v="847.8471240.1.426610.000000.847001.200179"/>
    <n v="363000"/>
    <m/>
    <n v="0"/>
    <n v="362782.21"/>
    <n v="217.78999999997899"/>
    <m/>
    <m/>
    <m/>
    <n v="217.78999999997899"/>
    <s v="The allocated funding for EAB Navigate has been paid, and the 218 is the remaining "/>
    <x v="1"/>
  </r>
  <r>
    <x v="3"/>
    <s v="8471240"/>
    <s v="KUST - Student Success"/>
    <x v="47"/>
    <x v="13"/>
    <s v="Subscriptions and membership fees: Trade organisations"/>
    <x v="13"/>
    <s v="847.8471240.1.427710.000000.847001.200179"/>
    <n v="11020"/>
    <n v="11019"/>
    <m/>
    <m/>
    <n v="1"/>
    <m/>
    <n v="11019"/>
    <s v="International certification for the CSSR and SDG courses"/>
    <n v="-11018"/>
    <m/>
    <x v="1"/>
  </r>
  <r>
    <x v="3"/>
    <s v="8471240"/>
    <s v="KUST - Student Success"/>
    <x v="47"/>
    <x v="9"/>
    <s v="Business Travel - Combined expenses"/>
    <x v="9"/>
    <s v="847.8471240.1.428090.000000.847001.200179"/>
    <n v="48980"/>
    <m/>
    <m/>
    <m/>
    <n v="48980"/>
    <m/>
    <n v="48980"/>
    <s v="International travel for conference presentation"/>
    <n v="0"/>
    <m/>
    <x v="1"/>
  </r>
  <r>
    <x v="3"/>
    <s v="8471240"/>
    <s v="KUST - Student Success"/>
    <x v="47"/>
    <x v="11"/>
    <s v="Events - Awards, prizes &amp; gifts"/>
    <x v="11"/>
    <s v="847.8471240.1.428640.000000.847001.200179"/>
    <n v="14000"/>
    <m/>
    <m/>
    <m/>
    <n v="14000"/>
    <m/>
    <n v="14000"/>
    <s v="Community service hours reward - Award students with the highest number of community service hours "/>
    <n v="0"/>
    <m/>
    <x v="1"/>
  </r>
  <r>
    <x v="3"/>
    <s v="8471240"/>
    <s v="KUST - Student Success"/>
    <x v="47"/>
    <x v="76"/>
    <s v="Library books"/>
    <x v="76"/>
    <s v="847.8471240.1.435330.000000.847001.200179"/>
    <n v="4750"/>
    <m/>
    <m/>
    <m/>
    <n v="4750"/>
    <m/>
    <n v="4750"/>
    <s v="Student Success related literature - Counseling, academic advising, and student engagement and development literature will be purchased"/>
    <n v="0"/>
    <m/>
    <x v="1"/>
  </r>
  <r>
    <x v="3"/>
    <s v="8471240"/>
    <s v="KUST - Student Success"/>
    <x v="47"/>
    <x v="28"/>
    <s v="Printing supplies"/>
    <x v="28"/>
    <s v="847.8471240.1.436110.000000.847001.200179"/>
    <n v="42000"/>
    <m/>
    <m/>
    <m/>
    <n v="42000"/>
    <m/>
    <n v="42000"/>
    <s v="Honors Day - Printing certificates for the Golden Key ceremony "/>
    <n v="0"/>
    <m/>
    <x v="1"/>
  </r>
  <r>
    <x v="3"/>
    <s v="8471240"/>
    <s v="KUST - Student Success"/>
    <x v="47"/>
    <x v="62"/>
    <s v="Stationery"/>
    <x v="62"/>
    <s v="847.8471240.1.436120.000000.847001.200179"/>
    <n v="25000"/>
    <m/>
    <m/>
    <m/>
    <n v="25000"/>
    <m/>
    <m/>
    <m/>
    <n v="25000"/>
    <s v="We don't currently have plans for additional stationary  "/>
    <x v="1"/>
  </r>
  <r>
    <x v="3"/>
    <s v="8471250"/>
    <s v="KUST - Career Services"/>
    <x v="48"/>
    <x v="5"/>
    <s v="Conferences, seminars and exhibitions and other events: - Local Events"/>
    <x v="5"/>
    <s v="847.8471250.1.425510.000000.847001.200179"/>
    <n v="867500"/>
    <m/>
    <n v="867000"/>
    <m/>
    <n v="500"/>
    <m/>
    <n v="500"/>
    <m/>
    <n v="0"/>
    <m/>
    <x v="1"/>
  </r>
  <r>
    <x v="3"/>
    <s v="8471250"/>
    <s v="KUST - Career Services"/>
    <x v="48"/>
    <x v="35"/>
    <s v="Education-Outsourced training service"/>
    <x v="35"/>
    <s v="847.8471250.1.425720.000000.847001.200179"/>
    <n v="0"/>
    <m/>
    <m/>
    <m/>
    <n v="0"/>
    <m/>
    <m/>
    <m/>
    <n v="0"/>
    <m/>
    <x v="1"/>
  </r>
  <r>
    <x v="3"/>
    <s v="8471250"/>
    <s v="KUST - Career Services"/>
    <x v="48"/>
    <x v="27"/>
    <s v="Student Internship"/>
    <x v="27"/>
    <s v="847.8471250.1.425762.000000.847001.200179"/>
    <n v="520000"/>
    <n v="133221.29999999999"/>
    <m/>
    <m/>
    <n v="386778.7"/>
    <n v="386778.7"/>
    <m/>
    <s v="To be used for student International Internship (to cover airfare, accommodation, travel insurance and admission fees if any)"/>
    <n v="0"/>
    <m/>
    <x v="1"/>
  </r>
  <r>
    <x v="3"/>
    <s v="8471250"/>
    <s v="KUST - Career Services"/>
    <x v="48"/>
    <x v="7"/>
    <s v="Entertainment and hospitality"/>
    <x v="7"/>
    <s v="847.8471250.1.425900.000000.847001.200179"/>
    <n v="51000"/>
    <m/>
    <m/>
    <m/>
    <n v="51000"/>
    <m/>
    <n v="51000"/>
    <s v="To be used to cover events and other expenses"/>
    <n v="0"/>
    <m/>
    <x v="1"/>
  </r>
  <r>
    <x v="3"/>
    <s v="8471250"/>
    <s v="KUST - Career Services"/>
    <x v="48"/>
    <x v="8"/>
    <s v="Computer software licenses-Software License Renewal"/>
    <x v="8"/>
    <s v="847.8471250.1.426610.000000.847001.200179"/>
    <n v="60608"/>
    <m/>
    <n v="60604.5"/>
    <m/>
    <n v="3.5"/>
    <m/>
    <m/>
    <m/>
    <n v="3.5"/>
    <m/>
    <x v="1"/>
  </r>
  <r>
    <x v="3"/>
    <s v="8471250"/>
    <s v="KUST - Career Services"/>
    <x v="48"/>
    <x v="9"/>
    <s v="Business Travel - Combined expenses"/>
    <x v="9"/>
    <s v="847.8471250.1.428090.000000.847001.200179"/>
    <n v="10000"/>
    <n v="4400"/>
    <m/>
    <m/>
    <n v="5600"/>
    <m/>
    <n v="5600"/>
    <m/>
    <n v="0"/>
    <m/>
    <x v="1"/>
  </r>
  <r>
    <x v="3"/>
    <s v="8471250"/>
    <s v="KUST - Career Services"/>
    <x v="48"/>
    <x v="11"/>
    <s v="Events - Awards, prizes &amp; gifts"/>
    <x v="11"/>
    <s v="847.8471250.1.428640.000000.847001.200179"/>
    <n v="46500"/>
    <m/>
    <m/>
    <m/>
    <n v="46500"/>
    <m/>
    <n v="46500"/>
    <s v="to be used for Alumni reunion event for 2022"/>
    <n v="0"/>
    <m/>
    <x v="1"/>
  </r>
  <r>
    <x v="3"/>
    <s v="8471250"/>
    <s v="KUST - Career Services"/>
    <x v="48"/>
    <x v="28"/>
    <s v="Printing supplies"/>
    <x v="28"/>
    <s v="847.8471250.1.436110.000000.847001.200179"/>
    <n v="10000"/>
    <m/>
    <m/>
    <m/>
    <n v="10000"/>
    <m/>
    <n v="10000"/>
    <m/>
    <n v="0"/>
    <m/>
    <x v="1"/>
  </r>
  <r>
    <x v="3"/>
    <s v="8471260"/>
    <s v="KUST - Student Life"/>
    <x v="49"/>
    <x v="40"/>
    <s v="Manpower supply &quot;Other Than IT Related&quot;"/>
    <x v="40"/>
    <s v="847.8471260.1.421100.000000.847001.200179"/>
    <n v="353000"/>
    <n v="352238.57"/>
    <m/>
    <m/>
    <n v="761.42999999993503"/>
    <m/>
    <m/>
    <m/>
    <n v="761.42999999993503"/>
    <m/>
    <x v="1"/>
  </r>
  <r>
    <x v="3"/>
    <s v="8471260"/>
    <s v="KUST - Student Life"/>
    <x v="49"/>
    <x v="5"/>
    <s v="Conferences, seminars and exhibitions and other events: - Local Events"/>
    <x v="5"/>
    <s v="847.8471260.1.425510.000000.847001.200179"/>
    <n v="205000"/>
    <n v="18873.75"/>
    <n v="61320"/>
    <m/>
    <n v="124806.25"/>
    <n v="100000"/>
    <n v="24806"/>
    <s v="_AED 100,000 will be transferred to Student Accommodation_ AED 24,806 for Resident Life Gathering Events and Celebrations "/>
    <n v="0.25"/>
    <m/>
    <x v="1"/>
  </r>
  <r>
    <x v="3"/>
    <s v="8471260"/>
    <s v="KUST - Student Life"/>
    <x v="49"/>
    <x v="77"/>
    <s v="Student Transport"/>
    <x v="77"/>
    <s v="847.8471260.1.425746.000000.847001.200179"/>
    <n v="9349361"/>
    <n v="-58814.48"/>
    <m/>
    <n v="662298.51"/>
    <n v="8745876.9700000007"/>
    <n v="8824429.5"/>
    <n v="3429527.25"/>
    <s v="_AED 8824429.50  is the estimated cost for Q1, Q2 &amp; Q3. AED 3287442.25 is the estimated cost for Q4+ Fuel AED 142,085"/>
    <n v="-3508079.7799999993"/>
    <m/>
    <x v="1"/>
  </r>
  <r>
    <x v="3"/>
    <s v="8471260"/>
    <s v="KUST - Student Life"/>
    <x v="49"/>
    <x v="78"/>
    <s v="Student Accommodation"/>
    <x v="78"/>
    <s v="847.8471260.1.425747.000000.847001.200179"/>
    <n v="225000"/>
    <m/>
    <n v="81632"/>
    <m/>
    <n v="143368"/>
    <n v="284800"/>
    <n v="43568"/>
    <s v="_AED 54,400 is for fixing/moving furniture into living/study rooms in Spring 2022_AED 230,400 for renting 18 beds in ADU Accommodation_ AED 16000 is for New TVs in the Dorms_AED 185,000 will be transferred into this account. "/>
    <n v="-185000"/>
    <m/>
    <x v="1"/>
  </r>
  <r>
    <x v="3"/>
    <s v="8471260"/>
    <s v="KUST - Student Life"/>
    <x v="49"/>
    <x v="34"/>
    <s v="Student activities &amp; field trip expenses"/>
    <x v="34"/>
    <s v="847.8471260.1.425760.000000.847001.200179"/>
    <n v="936870"/>
    <n v="277906"/>
    <n v="0"/>
    <n v="0"/>
    <n v="658964"/>
    <n v="375600"/>
    <n v="283364"/>
    <s v="_AED 50,000 is for PR for KU Club Fair 2022_AED 225,600 is for PR related to Sport Coaching Services for Sports Activities _AED 100,000 will be transferred to other account&quot;School Consumable..etc_AED 45,000 + AED 12,000 + AED 12,000 will be transferred to Entertainment and Hospitality to raise request for Catering for the Orientation &amp; National Day &amp; RL Gathering _AED 30,000 is advance cash for students activities to support UAE National Day_AED 15000 is advance petty cash for KU Club Day_ AED 15,000 is for sport activity (races on the screens through out the session..etc)_AED 15,000 Clubs events and activities_ AED 12,000 Group Painting Session For Flag Day."/>
    <n v="0"/>
    <m/>
    <x v="1"/>
  </r>
  <r>
    <x v="3"/>
    <s v="8471260"/>
    <s v="KUST - Student Life"/>
    <x v="49"/>
    <x v="7"/>
    <s v="Entertainment and hospitality"/>
    <x v="7"/>
    <s v="847.8471260.1.425900.000000.847001.200179"/>
    <n v="70800"/>
    <n v="44428.44"/>
    <m/>
    <m/>
    <n v="26371.56"/>
    <n v="22800"/>
    <n v="3572"/>
    <s v="_AED 22,800 is for welcome gift for KU Resident Student on their first day of arrival in the dorm_ Remaining amount will be used for catering requests for small events_AED 69,000 will be transferred into this account to cover catering cost fro National Day, Social Gathering Event &amp; Orientation "/>
    <n v="-0.43999999999869033"/>
    <m/>
    <x v="1"/>
  </r>
  <r>
    <x v="3"/>
    <s v="8471260"/>
    <s v="KUST - Student Life"/>
    <x v="49"/>
    <x v="11"/>
    <s v="Events - Awards, prizes &amp; gifts"/>
    <x v="11"/>
    <s v="847.8471260.1.428640.000000.847001.200179"/>
    <n v="32500"/>
    <n v="6975.25"/>
    <m/>
    <m/>
    <n v="25524.75"/>
    <n v="12000"/>
    <n v="13525"/>
    <s v="_Will used to purchase gifts and prizes, trophies and medals for competitions and events "/>
    <n v="-0.25"/>
    <m/>
    <x v="1"/>
  </r>
  <r>
    <x v="3"/>
    <s v="8471260"/>
    <s v="KUST - Student Life"/>
    <x v="49"/>
    <x v="72"/>
    <s v="School consumables, not specifically mentioned elsewhere"/>
    <x v="72"/>
    <s v="847.8471260.1.435530.000000.847001.200179"/>
    <n v="12000"/>
    <n v="650"/>
    <m/>
    <m/>
    <n v="11350"/>
    <n v="96600"/>
    <n v="14750"/>
    <s v="_AED 100,000 will be transferred into this account from Student Activities Account to raise PR for Sports Uniforms, tools and equipment. "/>
    <n v="-100000"/>
    <m/>
    <x v="1"/>
  </r>
  <r>
    <x v="3"/>
    <s v="8471260"/>
    <s v="KUST - Student Life"/>
    <x v="49"/>
    <x v="28"/>
    <s v="Printing supplies"/>
    <x v="28"/>
    <s v="847.8471260.1.436110.000000.847001.200179"/>
    <n v="13500"/>
    <n v="1505.95"/>
    <m/>
    <m/>
    <n v="11994.05"/>
    <n v="5000"/>
    <n v="6994"/>
    <s v="_Will be used to print out welcoming notes to KU Residents_ Roll-ups and Flyers for the Orientation Printing Materials &amp; posters for Club Day and National Day "/>
    <n v="4.9999999999272404E-2"/>
    <m/>
    <x v="1"/>
  </r>
  <r>
    <x v="3"/>
    <s v="8471270"/>
    <s v="KUST - Libraries"/>
    <x v="50"/>
    <x v="7"/>
    <s v="Entertainment and hospitality"/>
    <x v="7"/>
    <s v="847.8471270.1.425900.000000.847001.200179"/>
    <n v="50000"/>
    <m/>
    <m/>
    <m/>
    <n v="50000"/>
    <m/>
    <n v="30000"/>
    <s v="The library will host open access campaigns, author workshops, and publication events."/>
    <n v="20000"/>
    <m/>
    <x v="1"/>
  </r>
  <r>
    <x v="3"/>
    <s v="8471270"/>
    <s v="KUST - Libraries"/>
    <x v="50"/>
    <x v="9"/>
    <s v="Business Travel - Combined expenses"/>
    <x v="9"/>
    <s v="847.8471270.1.428090.000000.847001.200179"/>
    <n v="300000"/>
    <m/>
    <m/>
    <m/>
    <n v="300000"/>
    <m/>
    <n v="100000"/>
    <s v="The library team will attend courses and workshops during the summer and fall semesters. "/>
    <n v="200000"/>
    <m/>
    <x v="1"/>
  </r>
  <r>
    <x v="3"/>
    <s v="8471270"/>
    <s v="KUST - Libraries"/>
    <x v="50"/>
    <x v="76"/>
    <s v="Library books"/>
    <x v="76"/>
    <s v="847.8471270.1.435330.000000.847001.200179"/>
    <n v="15199430"/>
    <n v="12101305"/>
    <n v="1432923.82"/>
    <n v="402022.42"/>
    <n v="1263178.76"/>
    <n v="469955"/>
    <n v="793223.76"/>
    <s v="To renew the existing subscription and pending PRs, extend open access , Almo system, credit card payment "/>
    <n v="0"/>
    <m/>
    <x v="1"/>
  </r>
  <r>
    <x v="3"/>
    <s v="8471270"/>
    <s v="KUST - Libraries"/>
    <x v="50"/>
    <x v="28"/>
    <s v="Printing supplies"/>
    <x v="28"/>
    <s v="847.8471270.1.436110.000000.847001.200179"/>
    <n v="50000"/>
    <m/>
    <m/>
    <m/>
    <n v="50000"/>
    <m/>
    <n v="20000"/>
    <m/>
    <n v="30000"/>
    <m/>
    <x v="1"/>
  </r>
  <r>
    <x v="3"/>
    <s v="8471280"/>
    <s v="KUST - Center for Teaching &amp; Learning"/>
    <x v="51"/>
    <x v="14"/>
    <s v="Advertising Services (General)"/>
    <x v="14"/>
    <s v="847.8471280.1.425100.000000.847001.200179"/>
    <n v="2500"/>
    <m/>
    <m/>
    <m/>
    <n v="2500"/>
    <m/>
    <n v="2500"/>
    <s v="Brochure to finalized on Fall 2022"/>
    <n v="0"/>
    <m/>
    <x v="1"/>
  </r>
  <r>
    <x v="3"/>
    <s v="8471280"/>
    <s v="KUST - Center for Teaching &amp; Learning"/>
    <x v="51"/>
    <x v="5"/>
    <s v="Conferences, seminars and exhibitions and other events: - Local Events"/>
    <x v="5"/>
    <s v="847.8471280.1.425510.000000.847001.200179"/>
    <n v="30000"/>
    <n v="5707"/>
    <m/>
    <m/>
    <n v="24293"/>
    <n v="24293"/>
    <m/>
    <s v="PD week guest speakers' honorarium, food catering for Fall 2022"/>
    <n v="0"/>
    <m/>
    <x v="1"/>
  </r>
  <r>
    <x v="3"/>
    <s v="8471280"/>
    <s v="KUST - Center for Teaching &amp; Learning"/>
    <x v="51"/>
    <x v="6"/>
    <s v="Conferences, seminars and exhibitions and other events: - Overseas event"/>
    <x v="6"/>
    <s v="847.8471280.1.425550.000000.847001.200179"/>
    <n v="60000"/>
    <n v="3630.61"/>
    <m/>
    <m/>
    <n v="56369.39"/>
    <m/>
    <n v="56369"/>
    <s v="Conferences in the Fall 2022"/>
    <n v="0.38999999999941792"/>
    <m/>
    <x v="1"/>
  </r>
  <r>
    <x v="3"/>
    <s v="8471280"/>
    <s v="KUST - Center for Teaching &amp; Learning"/>
    <x v="51"/>
    <x v="79"/>
    <s v="Higher education and specialisation incentives"/>
    <x v="79"/>
    <s v="847.8471280.1.425710.000000.847001.200179"/>
    <n v="300000"/>
    <m/>
    <m/>
    <m/>
    <n v="300000"/>
    <n v="160000"/>
    <n v="140000"/>
    <s v="Accreditation and Faculty Fellowship (ADVANCE HE), and Faculty awards"/>
    <n v="0"/>
    <m/>
    <x v="1"/>
  </r>
  <r>
    <x v="3"/>
    <s v="8471280"/>
    <s v="KUST - Center for Teaching &amp; Learning"/>
    <x v="51"/>
    <x v="34"/>
    <s v="Student activities &amp; field trip expenses"/>
    <x v="34"/>
    <s v="847.8471280.1.425760.000000.847001.200179"/>
    <n v="30000"/>
    <m/>
    <m/>
    <m/>
    <n v="30000"/>
    <m/>
    <n v="30000"/>
    <s v="Experiential Learning Symposium (website, fliers, and prizes)"/>
    <n v="0"/>
    <m/>
    <x v="1"/>
  </r>
  <r>
    <x v="3"/>
    <s v="8471280"/>
    <s v="KUST - Center for Teaching &amp; Learning"/>
    <x v="51"/>
    <x v="29"/>
    <s v="Academic Missions - Combined expenses"/>
    <x v="29"/>
    <s v="847.8471280.1.425770.000000.847001.200179"/>
    <n v="200000"/>
    <m/>
    <n v="0"/>
    <n v="82642.5"/>
    <n v="117357.5"/>
    <m/>
    <n v="117358"/>
    <s v="WebsEdge - American Society for Engineering Education Annual Conference - KU Advertising Video &amp; Mini-grant awards"/>
    <n v="-0.5"/>
    <m/>
    <x v="1"/>
  </r>
  <r>
    <x v="3"/>
    <s v="8471280"/>
    <s v="KUST - Center for Teaching &amp; Learning"/>
    <x v="51"/>
    <x v="8"/>
    <s v="Computer software licenses-Software License Renewal"/>
    <x v="8"/>
    <s v="847.8471280.1.426610.000000.847001.200179"/>
    <n v="321000"/>
    <n v="178854.68"/>
    <n v="75749"/>
    <n v="5876.8"/>
    <n v="53829.52"/>
    <n v="20000"/>
    <n v="33830"/>
    <s v="Qwickly Attendance Tool in BB, and other BB Assessment &amp; Project Management Tools"/>
    <n v="-0.48000000000320142"/>
    <m/>
    <x v="1"/>
  </r>
  <r>
    <x v="3"/>
    <s v="8471280"/>
    <s v="KUST - Center for Teaching &amp; Learning"/>
    <x v="51"/>
    <x v="11"/>
    <s v="Events - Awards, prizes &amp; gifts"/>
    <x v="11"/>
    <s v="847.8471280.1.428640.000000.847001.200179"/>
    <n v="15000"/>
    <m/>
    <m/>
    <m/>
    <n v="15000"/>
    <n v="10000"/>
    <n v="5000"/>
    <s v="PD week, tutoring and mentoring supports and activities collaboration with other student services department, Teaching Certificate for Tas"/>
    <n v="0"/>
    <m/>
    <x v="1"/>
  </r>
  <r>
    <x v="3"/>
    <s v="8471280"/>
    <s v="KUST - Center for Teaching &amp; Learning"/>
    <x v="51"/>
    <x v="46"/>
    <s v="Bldg decoration &amp; minor improvements"/>
    <x v="46"/>
    <s v="847.8471280.1.432170.000000.847001.200179"/>
    <n v="200000"/>
    <m/>
    <m/>
    <m/>
    <n v="200000"/>
    <m/>
    <n v="200000"/>
    <s v="FM will implement Phase 2 - workshop room enclosed, IT cable and wiring updates."/>
    <n v="0"/>
    <m/>
    <x v="1"/>
  </r>
  <r>
    <x v="3"/>
    <s v="8471280"/>
    <s v="KUST - Center for Teaching &amp; Learning"/>
    <x v="51"/>
    <x v="36"/>
    <s v="Text books and library books"/>
    <x v="36"/>
    <s v="847.8471280.1.435340.000000.847001.200179"/>
    <n v="10000"/>
    <m/>
    <m/>
    <m/>
    <n v="10000"/>
    <m/>
    <n v="10000"/>
    <s v="E-books to be recommended by CTL team/integrate in Bb so faculty can access it, to purchase by Library for CTL."/>
    <n v="0"/>
    <m/>
    <x v="1"/>
  </r>
  <r>
    <x v="3"/>
    <s v="8471280"/>
    <s v="KUST - Center for Teaching &amp; Learning"/>
    <x v="51"/>
    <x v="72"/>
    <s v="School consumables, not specifically mentioned elsewhere"/>
    <x v="72"/>
    <s v="847.8471280.1.435530.000000.847001.200179"/>
    <n v="5000"/>
    <m/>
    <m/>
    <m/>
    <n v="5000"/>
    <n v="2000"/>
    <n v="3000"/>
    <s v="Stationery not included in FM storeroom, staff offices' material requirements"/>
    <n v="0"/>
    <m/>
    <x v="1"/>
  </r>
  <r>
    <x v="13"/>
    <s v="8471305"/>
    <s v="KUST - Dean Of Medicine"/>
    <x v="52"/>
    <x v="1"/>
    <s v="Academic Collaborative Partnership Services"/>
    <x v="1"/>
    <s v="847.8471305.1.420570.000000.847001.200179"/>
    <n v="21895944"/>
    <m/>
    <m/>
    <m/>
    <n v="21895944"/>
    <m/>
    <n v="21895944"/>
    <s v="As per Dr.John advised it will be paid  fully"/>
    <n v="0"/>
    <n v="0"/>
    <x v="1"/>
  </r>
  <r>
    <x v="13"/>
    <s v="8471305"/>
    <s v="KUST - Dean Of Medicine"/>
    <x v="52"/>
    <x v="64"/>
    <s v="IT Systems &amp; Support expenses"/>
    <x v="64"/>
    <s v="847.8471305.1.420810.000000.847001.200179"/>
    <n v="0"/>
    <m/>
    <m/>
    <m/>
    <n v="0"/>
    <m/>
    <m/>
    <m/>
    <n v="0"/>
    <n v="0"/>
    <x v="0"/>
  </r>
  <r>
    <x v="13"/>
    <s v="8471305"/>
    <s v="KUST - Dean Of Medicine"/>
    <x v="52"/>
    <x v="65"/>
    <s v="IT Systems &amp; Support expenses-Application/Systems Operation"/>
    <x v="65"/>
    <s v="847.8471305.1.420811.000000.847001.200179"/>
    <n v="0"/>
    <m/>
    <m/>
    <m/>
    <n v="0"/>
    <m/>
    <m/>
    <m/>
    <n v="0"/>
    <n v="0"/>
    <x v="0"/>
  </r>
  <r>
    <x v="13"/>
    <s v="8471305"/>
    <s v="KUST - Dean Of Medicine"/>
    <x v="52"/>
    <x v="3"/>
    <s v="Management consultancy"/>
    <x v="3"/>
    <s v="847.8471305.1.421000.000000.847001.200179"/>
    <n v="271000"/>
    <n v="100000"/>
    <m/>
    <m/>
    <n v="171000"/>
    <m/>
    <m/>
    <m/>
    <n v="171000"/>
    <n v="0"/>
    <x v="0"/>
  </r>
  <r>
    <x v="13"/>
    <s v="8471305"/>
    <s v="KUST - Dean Of Medicine"/>
    <x v="52"/>
    <x v="4"/>
    <s v="Standards Certification Services (e.g. ISO)"/>
    <x v="4"/>
    <s v="847.8471305.1.421700.000000.847001.200179"/>
    <n v="170000"/>
    <n v="43531.6"/>
    <m/>
    <m/>
    <n v="126468.4"/>
    <m/>
    <m/>
    <m/>
    <n v="126468.4"/>
    <n v="0"/>
    <x v="0"/>
  </r>
  <r>
    <x v="13"/>
    <s v="8471305"/>
    <s v="KUST - Dean Of Medicine"/>
    <x v="52"/>
    <x v="80"/>
    <s v="Waste management service"/>
    <x v="80"/>
    <s v="847.8471305.1.422100.000000.847001.200179"/>
    <n v="12000"/>
    <m/>
    <m/>
    <m/>
    <n v="12000"/>
    <m/>
    <m/>
    <m/>
    <n v="12000"/>
    <n v="0"/>
    <x v="0"/>
  </r>
  <r>
    <x v="13"/>
    <s v="8471305"/>
    <s v="KUST - Dean Of Medicine"/>
    <x v="52"/>
    <x v="5"/>
    <s v="Conferences, seminars and exhibitions and other events: - Local Events"/>
    <x v="5"/>
    <s v="847.8471305.1.425510.000000.847001.200179"/>
    <n v="670000"/>
    <n v="62138.5"/>
    <n v="0"/>
    <n v="0"/>
    <n v="607861.5"/>
    <m/>
    <m/>
    <m/>
    <n v="607861.5"/>
    <n v="0"/>
    <x v="0"/>
  </r>
  <r>
    <x v="13"/>
    <s v="8471305"/>
    <s v="KUST - Dean Of Medicine"/>
    <x v="52"/>
    <x v="6"/>
    <s v="Conferences, seminars and exhibitions and other events: - Overseas event"/>
    <x v="6"/>
    <s v="847.8471305.1.425550.000000.847001.200179"/>
    <n v="622000"/>
    <n v="32900"/>
    <m/>
    <m/>
    <n v="589100"/>
    <m/>
    <m/>
    <m/>
    <n v="589100"/>
    <n v="0"/>
    <x v="0"/>
  </r>
  <r>
    <x v="13"/>
    <s v="8471305"/>
    <s v="KUST - Dean Of Medicine"/>
    <x v="52"/>
    <x v="35"/>
    <s v="Education-Outsourced training service"/>
    <x v="35"/>
    <s v="847.8471305.1.425720.000000.847001.200179"/>
    <n v="2424345"/>
    <n v="682810.28"/>
    <n v="0"/>
    <n v="1130000"/>
    <n v="618255.31999999995"/>
    <m/>
    <m/>
    <m/>
    <n v="618255.31999999995"/>
    <n v="0"/>
    <x v="0"/>
  </r>
  <r>
    <x v="13"/>
    <s v="8471305"/>
    <s v="KUST - Dean Of Medicine"/>
    <x v="52"/>
    <x v="74"/>
    <s v="Enrollment expenses"/>
    <x v="74"/>
    <s v="847.8471305.1.425742.000000.847001.200179"/>
    <n v="180000"/>
    <n v="78512.25"/>
    <m/>
    <m/>
    <n v="101487.75"/>
    <m/>
    <m/>
    <m/>
    <n v="101487.75"/>
    <n v="0"/>
    <x v="0"/>
  </r>
  <r>
    <x v="13"/>
    <s v="8471305"/>
    <s v="KUST - Dean Of Medicine"/>
    <x v="52"/>
    <x v="24"/>
    <s v="Student relocation &amp; travel exps"/>
    <x v="24"/>
    <s v="847.8471305.1.425745.000000.847001.200179"/>
    <n v="24400"/>
    <n v="24000"/>
    <m/>
    <m/>
    <n v="400"/>
    <m/>
    <m/>
    <m/>
    <n v="400"/>
    <n v="0"/>
    <x v="0"/>
  </r>
  <r>
    <x v="13"/>
    <s v="8471305"/>
    <s v="KUST - Dean Of Medicine"/>
    <x v="52"/>
    <x v="77"/>
    <s v="Student Transport"/>
    <x v="77"/>
    <s v="847.8471305.1.425746.000000.847001.200179"/>
    <n v="292600"/>
    <m/>
    <m/>
    <m/>
    <n v="292600"/>
    <m/>
    <m/>
    <m/>
    <n v="292600"/>
    <n v="0"/>
    <x v="0"/>
  </r>
  <r>
    <x v="13"/>
    <s v="8471305"/>
    <s v="KUST - Dean Of Medicine"/>
    <x v="52"/>
    <x v="25"/>
    <s v="Postgraduate Student Salaries"/>
    <x v="25"/>
    <s v="847.8471305.1.425749.000000.847001.200179"/>
    <n v="24213178"/>
    <n v="10862000.02"/>
    <m/>
    <m/>
    <n v="13351177.98"/>
    <m/>
    <n v="13351177.98"/>
    <s v="As per Dr.John advised it will be paid  fully"/>
    <n v="0"/>
    <n v="0"/>
    <x v="1"/>
  </r>
  <r>
    <x v="13"/>
    <s v="8471305"/>
    <s v="KUST - Dean Of Medicine"/>
    <x v="52"/>
    <x v="75"/>
    <s v="Skill assessment service"/>
    <x v="75"/>
    <s v="847.8471305.1.425750.000000.847001.200179"/>
    <n v="864069"/>
    <n v="92850.06"/>
    <m/>
    <m/>
    <n v="771218.94"/>
    <m/>
    <m/>
    <m/>
    <n v="771218.94"/>
    <n v="0"/>
    <x v="0"/>
  </r>
  <r>
    <x v="13"/>
    <s v="8471305"/>
    <s v="KUST - Dean Of Medicine"/>
    <x v="52"/>
    <x v="27"/>
    <s v="Student Internship"/>
    <x v="27"/>
    <s v="847.8471305.1.425762.000000.847001.200179"/>
    <n v="2759974"/>
    <m/>
    <m/>
    <m/>
    <n v="2759974"/>
    <m/>
    <m/>
    <m/>
    <n v="2759974"/>
    <n v="0"/>
    <x v="0"/>
  </r>
  <r>
    <x v="13"/>
    <s v="8471305"/>
    <s v="KUST - Dean Of Medicine"/>
    <x v="52"/>
    <x v="15"/>
    <s v="Student Project Expenses"/>
    <x v="15"/>
    <s v="847.8471305.1.425763.000000.847001.200179"/>
    <n v="200000"/>
    <n v="2940"/>
    <m/>
    <m/>
    <n v="197060"/>
    <m/>
    <m/>
    <m/>
    <n v="197060"/>
    <n v="0"/>
    <x v="0"/>
  </r>
  <r>
    <x v="13"/>
    <s v="8471305"/>
    <s v="KUST - Dean Of Medicine"/>
    <x v="52"/>
    <x v="7"/>
    <s v="Entertainment and hospitality"/>
    <x v="7"/>
    <s v="847.8471305.1.425900.000000.847001.200179"/>
    <n v="185000"/>
    <n v="9397.15"/>
    <m/>
    <m/>
    <n v="175602.85"/>
    <m/>
    <m/>
    <m/>
    <n v="175602.85"/>
    <n v="0"/>
    <x v="0"/>
  </r>
  <r>
    <x v="13"/>
    <s v="8471305"/>
    <s v="KUST - Dean Of Medicine"/>
    <x v="52"/>
    <x v="37"/>
    <s v="Freight and shipping costs, not included elsewhere under purchase costs"/>
    <x v="37"/>
    <s v="847.8471305.1.426100.000000.847001.200179"/>
    <n v="90000"/>
    <m/>
    <m/>
    <m/>
    <n v="90000"/>
    <m/>
    <m/>
    <m/>
    <n v="90000"/>
    <n v="0"/>
    <x v="0"/>
  </r>
  <r>
    <x v="13"/>
    <s v="8471305"/>
    <s v="KUST - Dean Of Medicine"/>
    <x v="52"/>
    <x v="8"/>
    <s v="Computer software licenses-Software License Renewal"/>
    <x v="8"/>
    <s v="847.8471305.1.426610.000000.847001.200179"/>
    <n v="977363"/>
    <n v="728565.59"/>
    <n v="39819.370000000003"/>
    <n v="90389.6"/>
    <n v="118588.44"/>
    <m/>
    <m/>
    <m/>
    <n v="118588.44"/>
    <n v="0"/>
    <x v="0"/>
  </r>
  <r>
    <x v="13"/>
    <s v="8471305"/>
    <s v="KUST - Dean Of Medicine"/>
    <x v="52"/>
    <x v="50"/>
    <s v="Postal, courier and other document delivery expenses"/>
    <x v="50"/>
    <s v="847.8471305.1.426900.000000.847001.200179"/>
    <n v="21000"/>
    <n v="235"/>
    <m/>
    <m/>
    <n v="20765"/>
    <m/>
    <m/>
    <m/>
    <n v="20765"/>
    <n v="0"/>
    <x v="0"/>
  </r>
  <r>
    <x v="13"/>
    <s v="8471305"/>
    <s v="KUST - Dean Of Medicine"/>
    <x v="52"/>
    <x v="17"/>
    <s v="Printing and publishing"/>
    <x v="17"/>
    <s v="847.8471305.1.427200.000000.847001.200179"/>
    <n v="627674"/>
    <m/>
    <m/>
    <m/>
    <n v="627674"/>
    <m/>
    <m/>
    <m/>
    <n v="627674"/>
    <n v="0"/>
    <x v="0"/>
  </r>
  <r>
    <x v="13"/>
    <s v="8471305"/>
    <s v="KUST - Dean Of Medicine"/>
    <x v="52"/>
    <x v="13"/>
    <s v="Subscriptions and membership fees: Trade organisations"/>
    <x v="13"/>
    <s v="847.8471305.1.427710.000000.847001.200179"/>
    <n v="153178"/>
    <n v="12276"/>
    <n v="0"/>
    <n v="37231"/>
    <n v="103671"/>
    <m/>
    <m/>
    <m/>
    <n v="103671"/>
    <n v="0"/>
    <x v="0"/>
  </r>
  <r>
    <x v="13"/>
    <s v="8471305"/>
    <s v="KUST - Dean Of Medicine"/>
    <x v="52"/>
    <x v="66"/>
    <s v="Telephone and telefax charges-Telecommunication, Satellite services"/>
    <x v="66"/>
    <s v="847.8471305.1.427810.000000.847001.200179"/>
    <n v="10000"/>
    <m/>
    <m/>
    <m/>
    <n v="10000"/>
    <m/>
    <m/>
    <m/>
    <n v="10000"/>
    <n v="0"/>
    <x v="0"/>
  </r>
  <r>
    <x v="13"/>
    <s v="8471305"/>
    <s v="KUST - Dean Of Medicine"/>
    <x v="52"/>
    <x v="9"/>
    <s v="Business Travel - Combined expenses"/>
    <x v="9"/>
    <s v="847.8471305.1.428090.000000.847001.200179"/>
    <n v="183500"/>
    <n v="523.75"/>
    <m/>
    <m/>
    <n v="182976.25"/>
    <m/>
    <m/>
    <m/>
    <n v="182976.25"/>
    <n v="0"/>
    <x v="0"/>
  </r>
  <r>
    <x v="13"/>
    <s v="8471305"/>
    <s v="KUST - Dean Of Medicine"/>
    <x v="52"/>
    <x v="11"/>
    <s v="Events - Awards, prizes &amp; gifts"/>
    <x v="11"/>
    <s v="847.8471305.1.428640.000000.847001.200179"/>
    <n v="5000"/>
    <n v="1519.75"/>
    <m/>
    <m/>
    <n v="3480.25"/>
    <m/>
    <m/>
    <m/>
    <n v="3480.25"/>
    <n v="0"/>
    <x v="0"/>
  </r>
  <r>
    <x v="13"/>
    <s v="8471305"/>
    <s v="KUST - Dean Of Medicine"/>
    <x v="52"/>
    <x v="21"/>
    <s v="Computers and peripherals-End user and Infrastructure components maintenance and support"/>
    <x v="21"/>
    <s v="847.8471305.1.432205.000000.847001.200179"/>
    <n v="565385"/>
    <m/>
    <n v="545000"/>
    <m/>
    <n v="20385"/>
    <m/>
    <m/>
    <m/>
    <n v="20385"/>
    <n v="0"/>
    <x v="0"/>
  </r>
  <r>
    <x v="13"/>
    <s v="8471305"/>
    <s v="KUST - Dean Of Medicine"/>
    <x v="52"/>
    <x v="30"/>
    <s v="Laboratory equipment"/>
    <x v="30"/>
    <s v="847.8471305.1.432209.000000.847001.200179"/>
    <n v="586900"/>
    <n v="16072.41"/>
    <n v="223000"/>
    <n v="337087"/>
    <n v="10740.59"/>
    <m/>
    <m/>
    <m/>
    <n v="10740.59"/>
    <n v="0"/>
    <x v="0"/>
  </r>
  <r>
    <x v="13"/>
    <s v="8471305"/>
    <s v="KUST - Dean Of Medicine"/>
    <x v="52"/>
    <x v="81"/>
    <s v="Medical equipment"/>
    <x v="81"/>
    <s v="847.8471305.1.432210.000000.847001.200179"/>
    <n v="35000"/>
    <m/>
    <m/>
    <m/>
    <n v="35000"/>
    <m/>
    <m/>
    <m/>
    <n v="35000"/>
    <n v="0"/>
    <x v="0"/>
  </r>
  <r>
    <x v="13"/>
    <s v="8471305"/>
    <s v="KUST - Dean Of Medicine"/>
    <x v="52"/>
    <x v="76"/>
    <s v="Library books"/>
    <x v="76"/>
    <s v="847.8471305.1.435330.000000.847001.200179"/>
    <n v="657390"/>
    <m/>
    <n v="312750.33"/>
    <m/>
    <n v="344639.67"/>
    <m/>
    <m/>
    <m/>
    <n v="344639.67"/>
    <n v="0"/>
    <x v="0"/>
  </r>
  <r>
    <x v="13"/>
    <s v="8471305"/>
    <s v="KUST - Dean Of Medicine"/>
    <x v="52"/>
    <x v="36"/>
    <s v="Text books and library books"/>
    <x v="36"/>
    <s v="847.8471305.1.435340.000000.847001.200179"/>
    <n v="6515"/>
    <m/>
    <m/>
    <m/>
    <n v="6515"/>
    <m/>
    <m/>
    <m/>
    <n v="6515"/>
    <n v="0"/>
    <x v="0"/>
  </r>
  <r>
    <x v="13"/>
    <s v="8471305"/>
    <s v="KUST - Dean Of Medicine"/>
    <x v="52"/>
    <x v="31"/>
    <s v="Academic Publications"/>
    <x v="31"/>
    <s v="847.8471305.1.435350.000000.847001.200179"/>
    <n v="359100"/>
    <n v="182938.65"/>
    <m/>
    <m/>
    <n v="176161.35"/>
    <m/>
    <m/>
    <m/>
    <n v="176161.35"/>
    <n v="0"/>
    <x v="0"/>
  </r>
  <r>
    <x v="13"/>
    <s v="8471305"/>
    <s v="KUST - Dean Of Medicine"/>
    <x v="52"/>
    <x v="32"/>
    <s v="Laboratory - Scientific"/>
    <x v="32"/>
    <s v="847.8471305.1.435508.000000.847001.200179"/>
    <n v="1892072"/>
    <n v="440989.18"/>
    <n v="5630.0000000002301"/>
    <n v="1220494.44"/>
    <n v="224958.38"/>
    <m/>
    <m/>
    <m/>
    <n v="224958.38"/>
    <n v="0"/>
    <x v="0"/>
  </r>
  <r>
    <x v="13"/>
    <s v="8471305"/>
    <s v="KUST - Dean Of Medicine"/>
    <x v="52"/>
    <x v="72"/>
    <s v="School consumables, not specifically mentioned elsewhere"/>
    <x v="72"/>
    <s v="847.8471305.1.435530.000000.847001.200179"/>
    <n v="10000"/>
    <n v="80"/>
    <m/>
    <m/>
    <n v="9920"/>
    <m/>
    <m/>
    <m/>
    <n v="9920"/>
    <n v="0"/>
    <x v="0"/>
  </r>
  <r>
    <x v="13"/>
    <s v="8471305"/>
    <s v="KUST - Dean Of Medicine"/>
    <x v="52"/>
    <x v="28"/>
    <s v="Printing supplies"/>
    <x v="28"/>
    <s v="847.8471305.1.436110.000000.847001.200179"/>
    <n v="0"/>
    <m/>
    <m/>
    <m/>
    <n v="0"/>
    <m/>
    <m/>
    <m/>
    <n v="0"/>
    <n v="0"/>
    <x v="0"/>
  </r>
  <r>
    <x v="13"/>
    <s v="8471305"/>
    <s v="KUST - Dean Of Medicine"/>
    <x v="52"/>
    <x v="62"/>
    <s v="Stationery"/>
    <x v="62"/>
    <s v="847.8471305.1.436120.000000.847001.200179"/>
    <n v="112000"/>
    <m/>
    <m/>
    <m/>
    <n v="112000"/>
    <m/>
    <m/>
    <m/>
    <n v="11200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H30" firstHeaderRow="0" firstDataRow="1" firstDataCol="1" rowPageCount="1" colPageCount="1"/>
  <pivotFields count="19">
    <pivotField axis="axisRow" showAll="0">
      <items count="15">
        <item x="3"/>
        <item x="6"/>
        <item x="10"/>
        <item x="5"/>
        <item x="4"/>
        <item x="13"/>
        <item x="11"/>
        <item x="1"/>
        <item x="7"/>
        <item x="9"/>
        <item x="0"/>
        <item x="8"/>
        <item x="2"/>
        <item x="12"/>
        <item t="default"/>
      </items>
    </pivotField>
    <pivotField showAll="0"/>
    <pivotField showAll="0"/>
    <pivotField showAll="0" defaultSubtotal="0"/>
    <pivotField showAll="0"/>
    <pivotField showAll="0"/>
    <pivotField showAll="0" defaultSubtotal="0"/>
    <pivotField showAll="0"/>
    <pivotField dataField="1" showAll="0"/>
    <pivotField dataField="1" showAll="0"/>
    <pivotField dataField="1" showAll="0"/>
    <pivotField dataField="1" showAll="0"/>
    <pivotField numFmtId="3" showAll="0"/>
    <pivotField dataField="1" showAll="0"/>
    <pivotField dataField="1" showAll="0"/>
    <pivotField showAll="0"/>
    <pivotField dataField="1" numFmtId="3" showAll="0"/>
    <pivotField showAll="0"/>
    <pivotField axis="axisPage" multipleItemSelectionAllowed="1" showAll="0">
      <items count="4">
        <item x="0"/>
        <item h="1" x="1"/>
        <item h="1" m="1" x="2"/>
        <item t="default"/>
      </items>
    </pivotField>
  </pivotFields>
  <rowFields count="1">
    <field x="0"/>
  </rowFields>
  <rowItems count="9">
    <i>
      <x v="2"/>
    </i>
    <i>
      <x v="3"/>
    </i>
    <i>
      <x v="4"/>
    </i>
    <i>
      <x v="5"/>
    </i>
    <i>
      <x v="6"/>
    </i>
    <i>
      <x v="7"/>
    </i>
    <i>
      <x v="10"/>
    </i>
    <i>
      <x v="12"/>
    </i>
    <i t="grand">
      <x/>
    </i>
  </rowItems>
  <colFields count="1">
    <field x="-2"/>
  </colFields>
  <colItems count="7">
    <i>
      <x/>
    </i>
    <i i="1">
      <x v="1"/>
    </i>
    <i i="2">
      <x v="2"/>
    </i>
    <i i="3">
      <x v="3"/>
    </i>
    <i i="4">
      <x v="4"/>
    </i>
    <i i="5">
      <x v="5"/>
    </i>
    <i i="6">
      <x v="6"/>
    </i>
  </colItems>
  <pageFields count="1">
    <pageField fld="18" hier="-1"/>
  </pageFields>
  <dataFields count="7">
    <dataField name=" Expected Budget Surplus Amount" fld="16" baseField="0" baseItem="0"/>
    <dataField name=" Budget" fld="8" baseField="0" baseItem="0"/>
    <dataField name=" Actual Amount" fld="9" baseField="0" baseItem="0"/>
    <dataField name=" PR" fld="10" baseField="0" baseItem="0"/>
    <dataField name=" PO" fld="11" baseField="0" baseItem="0"/>
    <dataField name=" Q3 Utilization Plan" fld="13" baseField="0" baseItem="0"/>
    <dataField name=" q4 Utilization Plan" fld="14" baseField="0" baseItem="0"/>
  </dataFields>
  <formats count="1">
    <format dxfId="1">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H14" firstHeaderRow="0" firstDataRow="1" firstDataCol="1" rowPageCount="1" colPageCount="1"/>
  <pivotFields count="19">
    <pivotField axis="axisRow" showAll="0">
      <items count="15">
        <item x="3"/>
        <item x="6"/>
        <item x="10"/>
        <item x="5"/>
        <item x="4"/>
        <item x="13"/>
        <item x="11"/>
        <item x="1"/>
        <item x="7"/>
        <item x="9"/>
        <item x="0"/>
        <item x="8"/>
        <item x="2"/>
        <item x="12"/>
        <item t="default"/>
      </items>
    </pivotField>
    <pivotField showAll="0"/>
    <pivotField showAll="0"/>
    <pivotField showAll="0" defaultSubtotal="0"/>
    <pivotField showAll="0"/>
    <pivotField showAll="0"/>
    <pivotField showAll="0" defaultSubtotal="0"/>
    <pivotField showAll="0"/>
    <pivotField dataField="1" showAll="0"/>
    <pivotField dataField="1" showAll="0"/>
    <pivotField dataField="1" showAll="0"/>
    <pivotField dataField="1" showAll="0"/>
    <pivotField numFmtId="3" showAll="0"/>
    <pivotField dataField="1" showAll="0"/>
    <pivotField dataField="1" showAll="0"/>
    <pivotField showAll="0"/>
    <pivotField dataField="1" numFmtId="3" showAll="0"/>
    <pivotField showAll="0"/>
    <pivotField axis="axisPage" multipleItemSelectionAllowed="1" showAll="0">
      <items count="4">
        <item h="1" x="0"/>
        <item x="1"/>
        <item h="1" m="1" x="2"/>
        <item t="default"/>
      </items>
    </pivotField>
  </pivotFields>
  <rowFields count="1">
    <field x="0"/>
  </rowFields>
  <rowItems count="11">
    <i>
      <x/>
    </i>
    <i>
      <x v="1"/>
    </i>
    <i>
      <x v="2"/>
    </i>
    <i>
      <x v="3"/>
    </i>
    <i>
      <x v="5"/>
    </i>
    <i>
      <x v="7"/>
    </i>
    <i>
      <x v="8"/>
    </i>
    <i>
      <x v="9"/>
    </i>
    <i>
      <x v="11"/>
    </i>
    <i>
      <x v="13"/>
    </i>
    <i t="grand">
      <x/>
    </i>
  </rowItems>
  <colFields count="1">
    <field x="-2"/>
  </colFields>
  <colItems count="7">
    <i>
      <x/>
    </i>
    <i i="1">
      <x v="1"/>
    </i>
    <i i="2">
      <x v="2"/>
    </i>
    <i i="3">
      <x v="3"/>
    </i>
    <i i="4">
      <x v="4"/>
    </i>
    <i i="5">
      <x v="5"/>
    </i>
    <i i="6">
      <x v="6"/>
    </i>
  </colItems>
  <pageFields count="1">
    <pageField fld="18" hier="-1"/>
  </pageFields>
  <dataFields count="7">
    <dataField name=" Expected Budget Surplus Amount" fld="16" baseField="0" baseItem="0"/>
    <dataField name=" Budget" fld="8" baseField="0" baseItem="0"/>
    <dataField name=" Actual Amount" fld="9" baseField="0" baseItem="0"/>
    <dataField name=" PR" fld="10" baseField="0" baseItem="0"/>
    <dataField name=" PO" fld="11" baseField="0" baseItem="0"/>
    <dataField name=" Q3 Utilization Plan" fld="13" baseField="0" baseItem="0"/>
    <dataField name=" q4 Utilization Plan" fld="14" baseField="0" baseItem="0"/>
  </dataFields>
  <formats count="1">
    <format dxfId="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4"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4:E114" firstHeaderRow="0" firstDataRow="1" firstDataCol="3" rowPageCount="1" colPageCount="1"/>
  <pivotFields count="19">
    <pivotField axis="axisRow" compact="0" outline="0" multipleItemSelectionAllowed="1" showAll="0" defaultSubtotal="0">
      <items count="14">
        <item sd="0" x="3"/>
        <item sd="0" x="6"/>
        <item sd="0" x="10"/>
        <item sd="0" x="5"/>
        <item sd="0" x="4"/>
        <item sd="0" x="13"/>
        <item sd="0" x="11"/>
        <item sd="0" x="1"/>
        <item sd="0" x="7"/>
        <item sd="0" x="9"/>
        <item sd="0" x="0"/>
        <item sd="0" x="8"/>
        <item sd="0" x="2"/>
        <item sd="0" x="12"/>
      </items>
      <extLst>
        <ext xmlns:x14="http://schemas.microsoft.com/office/spreadsheetml/2009/9/main" uri="{2946ED86-A175-432a-8AC1-64E0C546D7DE}">
          <x14:pivotField fillDownLabels="1"/>
        </ext>
      </extLst>
    </pivotField>
    <pivotField compact="0" outline="0" showAll="0" defaultSubtotal="0"/>
    <pivotField compact="0" outline="0" showAll="0" sortType="descending">
      <autoSortScope>
        <pivotArea dataOnly="0" outline="0" fieldPosition="0">
          <references count="1">
            <reference field="4294967294" count="1" selected="0">
              <x v="1"/>
            </reference>
          </references>
        </pivotArea>
      </autoSortScope>
    </pivotField>
    <pivotField compact="0" outline="0" showAll="0" defaultSubtotal="0">
      <items count="53">
        <item x="29"/>
        <item x="8"/>
        <item x="33"/>
        <item x="1"/>
        <item x="26"/>
        <item x="9"/>
        <item x="48"/>
        <item x="51"/>
        <item x="10"/>
        <item x="19"/>
        <item x="11"/>
        <item x="3"/>
        <item x="34"/>
        <item x="17"/>
        <item x="7"/>
        <item x="52"/>
        <item x="22"/>
        <item x="25"/>
        <item x="12"/>
        <item x="27"/>
        <item x="28"/>
        <item x="30"/>
        <item x="4"/>
        <item x="6"/>
        <item x="32"/>
        <item x="23"/>
        <item x="13"/>
        <item x="36"/>
        <item x="18"/>
        <item x="2"/>
        <item x="50"/>
        <item x="38"/>
        <item x="24"/>
        <item x="14"/>
        <item x="15"/>
        <item x="0"/>
        <item x="5"/>
        <item x="16"/>
        <item x="37"/>
        <item x="20"/>
        <item x="21"/>
        <item x="31"/>
        <item x="45"/>
        <item x="43"/>
        <item x="42"/>
        <item x="39"/>
        <item x="46"/>
        <item x="49"/>
        <item x="47"/>
        <item x="44"/>
        <item x="35"/>
        <item x="41"/>
        <item x="40"/>
      </items>
    </pivotField>
    <pivotField axis="axisPage" compact="0" outline="0" multipleItemSelectionAllowed="1" showAll="0">
      <items count="83">
        <item x="12"/>
        <item x="58"/>
        <item x="39"/>
        <item x="0"/>
        <item x="1"/>
        <item x="64"/>
        <item x="65"/>
        <item x="2"/>
        <item x="3"/>
        <item x="40"/>
        <item x="41"/>
        <item x="4"/>
        <item x="80"/>
        <item x="59"/>
        <item x="14"/>
        <item x="60"/>
        <item x="61"/>
        <item x="5"/>
        <item x="6"/>
        <item x="79"/>
        <item x="35"/>
        <item x="20"/>
        <item x="73"/>
        <item x="74"/>
        <item x="22"/>
        <item x="23"/>
        <item x="24"/>
        <item x="77"/>
        <item x="78"/>
        <item x="25"/>
        <item x="75"/>
        <item x="34"/>
        <item x="26"/>
        <item x="27"/>
        <item x="15"/>
        <item x="29"/>
        <item x="7"/>
        <item x="37"/>
        <item x="42"/>
        <item x="43"/>
        <item x="8"/>
        <item x="49"/>
        <item x="50"/>
        <item x="16"/>
        <item x="17"/>
        <item x="13"/>
        <item x="66"/>
        <item x="67"/>
        <item x="63"/>
        <item x="9"/>
        <item x="51"/>
        <item x="52"/>
        <item x="38"/>
        <item x="10"/>
        <item x="11"/>
        <item x="53"/>
        <item x="44"/>
        <item x="68"/>
        <item x="69"/>
        <item x="54"/>
        <item x="45"/>
        <item x="46"/>
        <item x="21"/>
        <item x="30"/>
        <item x="81"/>
        <item x="70"/>
        <item x="47"/>
        <item x="55"/>
        <item x="18"/>
        <item x="76"/>
        <item x="36"/>
        <item x="31"/>
        <item x="56"/>
        <item x="32"/>
        <item x="19"/>
        <item x="71"/>
        <item x="72"/>
        <item x="57"/>
        <item x="28"/>
        <item x="62"/>
        <item x="48"/>
        <item x="33"/>
        <item t="default"/>
      </items>
    </pivotField>
    <pivotField compact="0" outline="0" showAll="0" sortType="descending">
      <autoSortScope>
        <pivotArea dataOnly="0" outline="0" fieldPosition="0">
          <references count="1">
            <reference field="4294967294" count="1" selected="0">
              <x v="1"/>
            </reference>
          </references>
        </pivotArea>
      </autoSortScope>
    </pivotField>
    <pivotField axis="axisRow" compact="0" outline="0" showAll="0" sortType="descending" defaultSubtotal="0">
      <items count="82">
        <item x="0"/>
        <item x="1"/>
        <item x="29"/>
        <item x="31"/>
        <item x="14"/>
        <item x="60"/>
        <item x="46"/>
        <item x="45"/>
        <item x="9"/>
        <item x="56"/>
        <item x="39"/>
        <item x="8"/>
        <item x="21"/>
        <item x="70"/>
        <item x="5"/>
        <item x="6"/>
        <item x="67"/>
        <item x="35"/>
        <item x="51"/>
        <item x="74"/>
        <item x="7"/>
        <item x="11"/>
        <item x="58"/>
        <item x="61"/>
        <item x="37"/>
        <item x="57"/>
        <item x="22"/>
        <item x="38"/>
        <item x="79"/>
        <item x="42"/>
        <item x="43"/>
        <item x="12"/>
        <item x="64"/>
        <item x="65"/>
        <item x="32"/>
        <item x="30"/>
        <item x="2"/>
        <item x="76"/>
        <item x="3"/>
        <item x="40"/>
        <item x="81"/>
        <item x="49"/>
        <item x="55"/>
        <item x="18"/>
        <item x="53"/>
        <item x="59"/>
        <item x="19"/>
        <item x="50"/>
        <item x="25"/>
        <item x="17"/>
        <item x="28"/>
        <item x="16"/>
        <item x="69"/>
        <item x="68"/>
        <item x="44"/>
        <item x="54"/>
        <item x="47"/>
        <item x="20"/>
        <item x="72"/>
        <item x="71"/>
        <item x="41"/>
        <item x="75"/>
        <item x="10"/>
        <item x="48"/>
        <item x="4"/>
        <item x="62"/>
        <item x="78"/>
        <item x="34"/>
        <item x="26"/>
        <item x="27"/>
        <item x="23"/>
        <item x="15"/>
        <item x="24"/>
        <item x="73"/>
        <item x="77"/>
        <item x="13"/>
        <item x="66"/>
        <item x="36"/>
        <item x="33"/>
        <item x="63"/>
        <item x="80"/>
        <item x="52"/>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compact="0" outline="0" showAll="0"/>
    <pivotField dataField="1" compact="0" outline="0" showAll="0"/>
    <pivotField compact="0" outline="0" showAll="0"/>
    <pivotField compact="0" outline="0" showAll="0"/>
    <pivotField compact="0" outline="0" showAll="0"/>
    <pivotField dataField="1" compact="0" numFmtId="3" outline="0" showAll="0"/>
    <pivotField compact="0" outline="0" showAll="0"/>
    <pivotField compact="0" outline="0" showAll="0"/>
    <pivotField compact="0" outline="0" showAll="0"/>
    <pivotField compact="0" numFmtId="3" outline="0" showAll="0"/>
    <pivotField compact="0" outline="0" showAll="0"/>
    <pivotField axis="axisRow" compact="0" outline="0" multipleItemSelectionAllowed="1" showAll="0" sortType="descending">
      <items count="4">
        <item x="0"/>
        <item h="1" x="1"/>
        <item h="1" m="1" x="2"/>
        <item t="default"/>
      </items>
      <autoSortScope>
        <pivotArea dataOnly="0" outline="0" fieldPosition="0">
          <references count="1">
            <reference field="4294967294" count="1" selected="0">
              <x v="1"/>
            </reference>
          </references>
        </pivotArea>
      </autoSortScope>
    </pivotField>
  </pivotFields>
  <rowFields count="3">
    <field x="6"/>
    <field x="0"/>
    <field x="18"/>
  </rowFields>
  <rowItems count="110">
    <i>
      <x v="2"/>
      <x v="3"/>
    </i>
    <i r="1">
      <x v="4"/>
    </i>
    <i>
      <x v="1"/>
      <x v="3"/>
    </i>
    <i r="1">
      <x v="4"/>
    </i>
    <i r="1">
      <x v="10"/>
    </i>
    <i r="1">
      <x v="12"/>
    </i>
    <i>
      <x v="69"/>
      <x v="5"/>
    </i>
    <i>
      <x v="11"/>
      <x v="3"/>
    </i>
    <i r="1">
      <x v="4"/>
    </i>
    <i r="1">
      <x v="5"/>
    </i>
    <i r="1">
      <x v="7"/>
    </i>
    <i r="1">
      <x v="10"/>
    </i>
    <i r="1">
      <x v="12"/>
    </i>
    <i>
      <x v="3"/>
      <x v="3"/>
    </i>
    <i r="1">
      <x v="4"/>
    </i>
    <i r="1">
      <x v="5"/>
    </i>
    <i>
      <x v="8"/>
      <x v="3"/>
    </i>
    <i r="1">
      <x v="4"/>
    </i>
    <i r="1">
      <x v="5"/>
    </i>
    <i r="1">
      <x v="7"/>
    </i>
    <i r="1">
      <x v="10"/>
    </i>
    <i r="1">
      <x v="12"/>
    </i>
    <i>
      <x v="64"/>
      <x v="3"/>
    </i>
    <i r="1">
      <x v="4"/>
    </i>
    <i r="1">
      <x v="5"/>
    </i>
    <i r="1">
      <x v="10"/>
    </i>
    <i r="1">
      <x v="12"/>
    </i>
    <i>
      <x v="14"/>
      <x v="3"/>
    </i>
    <i r="1">
      <x v="4"/>
    </i>
    <i r="1">
      <x v="5"/>
    </i>
    <i r="1">
      <x v="6"/>
    </i>
    <i r="1">
      <x v="10"/>
    </i>
    <i r="1">
      <x v="12"/>
    </i>
    <i>
      <x v="71"/>
      <x v="3"/>
    </i>
    <i r="1">
      <x v="4"/>
    </i>
    <i r="1">
      <x v="5"/>
    </i>
    <i>
      <x v="15"/>
      <x v="3"/>
    </i>
    <i r="1">
      <x v="5"/>
    </i>
    <i r="1">
      <x v="10"/>
    </i>
    <i r="1">
      <x v="12"/>
    </i>
    <i>
      <x v="68"/>
      <x v="3"/>
    </i>
    <i>
      <x v="34"/>
      <x v="3"/>
    </i>
    <i r="1">
      <x v="4"/>
    </i>
    <i r="1">
      <x v="5"/>
    </i>
    <i>
      <x v="38"/>
      <x v="5"/>
    </i>
    <i r="1">
      <x v="7"/>
    </i>
    <i r="1">
      <x v="10"/>
    </i>
    <i>
      <x v="35"/>
      <x v="3"/>
    </i>
    <i r="1">
      <x v="4"/>
    </i>
    <i r="1">
      <x v="5"/>
    </i>
    <i>
      <x v="61"/>
      <x v="5"/>
    </i>
    <i>
      <x/>
      <x v="3"/>
    </i>
    <i r="1">
      <x v="4"/>
    </i>
    <i r="1">
      <x v="10"/>
    </i>
    <i r="1">
      <x v="12"/>
    </i>
    <i>
      <x v="17"/>
      <x v="3"/>
    </i>
    <i r="1">
      <x v="4"/>
    </i>
    <i r="1">
      <x v="5"/>
    </i>
    <i r="1">
      <x v="6"/>
    </i>
    <i>
      <x v="57"/>
      <x v="12"/>
    </i>
    <i>
      <x v="49"/>
      <x v="5"/>
    </i>
    <i>
      <x v="21"/>
      <x v="3"/>
    </i>
    <i r="1">
      <x v="4"/>
    </i>
    <i r="1">
      <x v="5"/>
    </i>
    <i r="1">
      <x v="10"/>
    </i>
    <i r="1">
      <x v="12"/>
    </i>
    <i>
      <x v="20"/>
      <x v="3"/>
    </i>
    <i r="1">
      <x v="4"/>
    </i>
    <i r="1">
      <x v="5"/>
    </i>
    <i r="1">
      <x v="6"/>
    </i>
    <i r="1">
      <x v="10"/>
    </i>
    <i r="1">
      <x v="12"/>
    </i>
    <i>
      <x v="67"/>
      <x v="3"/>
    </i>
    <i r="1">
      <x v="4"/>
    </i>
    <i>
      <x v="37"/>
      <x v="5"/>
    </i>
    <i>
      <x v="74"/>
      <x v="5"/>
    </i>
    <i>
      <x v="4"/>
      <x v="3"/>
    </i>
    <i r="1">
      <x v="6"/>
    </i>
    <i>
      <x v="78"/>
      <x v="3"/>
    </i>
    <i r="1">
      <x v="4"/>
    </i>
    <i>
      <x v="77"/>
      <x v="3"/>
    </i>
    <i r="1">
      <x v="4"/>
    </i>
    <i r="1">
      <x v="5"/>
    </i>
    <i>
      <x v="75"/>
      <x v="3"/>
    </i>
    <i r="1">
      <x v="5"/>
    </i>
    <i r="1">
      <x v="7"/>
    </i>
    <i>
      <x v="65"/>
      <x v="5"/>
    </i>
    <i r="1">
      <x v="6"/>
    </i>
    <i>
      <x v="50"/>
      <x v="3"/>
    </i>
    <i r="1">
      <x v="4"/>
    </i>
    <i r="1">
      <x v="5"/>
    </i>
    <i r="1">
      <x v="6"/>
    </i>
    <i>
      <x v="19"/>
      <x v="5"/>
    </i>
    <i>
      <x v="24"/>
      <x v="5"/>
    </i>
    <i>
      <x v="43"/>
      <x v="3"/>
    </i>
    <i>
      <x v="62"/>
      <x v="10"/>
    </i>
    <i>
      <x v="40"/>
      <x v="5"/>
    </i>
    <i>
      <x v="12"/>
      <x v="5"/>
    </i>
    <i r="1">
      <x v="12"/>
    </i>
    <i>
      <x v="47"/>
      <x v="5"/>
    </i>
    <i>
      <x v="80"/>
      <x v="5"/>
    </i>
    <i>
      <x v="76"/>
      <x v="5"/>
    </i>
    <i>
      <x v="58"/>
      <x v="5"/>
    </i>
    <i>
      <x v="72"/>
      <x v="5"/>
    </i>
    <i>
      <x v="36"/>
      <x v="10"/>
    </i>
    <i>
      <x v="31"/>
      <x v="10"/>
    </i>
    <i>
      <x v="33"/>
      <x v="5"/>
    </i>
    <i>
      <x v="32"/>
      <x v="2"/>
    </i>
    <i r="1">
      <x v="5"/>
    </i>
    <i t="grand">
      <x/>
    </i>
  </rowItems>
  <colFields count="1">
    <field x="-2"/>
  </colFields>
  <colItems count="2">
    <i>
      <x/>
    </i>
    <i i="1">
      <x v="1"/>
    </i>
  </colItems>
  <pageFields count="1">
    <pageField fld="4" hier="-1"/>
  </pageFields>
  <dataFields count="2">
    <dataField name="Sum of Budget" fld="8" baseField="16" baseItem="0"/>
    <dataField name="Sum of Fund Available" fld="12" baseField="0"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31"/>
  <sheetViews>
    <sheetView tabSelected="1" workbookViewId="0">
      <selection activeCell="B24" sqref="B24"/>
    </sheetView>
  </sheetViews>
  <sheetFormatPr defaultRowHeight="14.5" x14ac:dyDescent="0.35"/>
  <cols>
    <col min="1" max="1" width="23.90625" customWidth="1"/>
    <col min="2" max="2" width="29.6328125" style="87" customWidth="1"/>
    <col min="3" max="3" width="8.81640625" style="87" customWidth="1"/>
    <col min="4" max="4" width="13.90625" style="87" customWidth="1"/>
    <col min="5" max="6" width="10.81640625" style="87" customWidth="1"/>
    <col min="7" max="7" width="16.81640625" style="87" customWidth="1"/>
    <col min="8" max="8" width="16.54296875" style="87" customWidth="1"/>
    <col min="9" max="9" width="17.81640625" bestFit="1" customWidth="1"/>
  </cols>
  <sheetData>
    <row r="1" spans="1:8" x14ac:dyDescent="0.35">
      <c r="A1" s="84" t="s">
        <v>993</v>
      </c>
      <c r="B1" t="s">
        <v>1036</v>
      </c>
    </row>
    <row r="3" spans="1:8" x14ac:dyDescent="0.35">
      <c r="A3" s="84" t="s">
        <v>1011</v>
      </c>
      <c r="B3" t="s">
        <v>1013</v>
      </c>
      <c r="C3" s="90" t="s">
        <v>1014</v>
      </c>
      <c r="D3" t="s">
        <v>1015</v>
      </c>
      <c r="E3" t="s">
        <v>1016</v>
      </c>
      <c r="F3" t="s">
        <v>1017</v>
      </c>
      <c r="G3" t="s">
        <v>1018</v>
      </c>
      <c r="H3" t="s">
        <v>1019</v>
      </c>
    </row>
    <row r="4" spans="1:8" x14ac:dyDescent="0.35">
      <c r="A4" s="85" t="s">
        <v>1000</v>
      </c>
      <c r="B4" s="86">
        <v>-3492910.669999999</v>
      </c>
      <c r="C4" s="86">
        <v>243450134</v>
      </c>
      <c r="D4" s="86">
        <v>113384290.73999998</v>
      </c>
      <c r="E4" s="86">
        <v>2715529.3200000003</v>
      </c>
      <c r="F4" s="86">
        <v>1728131.0499999998</v>
      </c>
      <c r="G4" s="86">
        <v>40549429.060000002</v>
      </c>
      <c r="H4" s="86">
        <v>88514407.189999998</v>
      </c>
    </row>
    <row r="5" spans="1:8" x14ac:dyDescent="0.35">
      <c r="A5" s="85" t="s">
        <v>1003</v>
      </c>
      <c r="B5" s="86">
        <v>248352.18999999977</v>
      </c>
      <c r="C5" s="86">
        <v>67417881</v>
      </c>
      <c r="D5" s="86">
        <v>19596895.240000002</v>
      </c>
      <c r="E5" s="86">
        <v>7140042</v>
      </c>
      <c r="F5" s="86">
        <v>22391334.149999999</v>
      </c>
      <c r="G5" s="86">
        <v>9264127.5</v>
      </c>
      <c r="H5" s="86">
        <v>8777129.9199999999</v>
      </c>
    </row>
    <row r="6" spans="1:8" x14ac:dyDescent="0.35">
      <c r="A6" s="85" t="s">
        <v>1007</v>
      </c>
      <c r="B6" s="86">
        <v>-1165738.8999999992</v>
      </c>
      <c r="C6" s="86">
        <v>24715401</v>
      </c>
      <c r="D6" s="86">
        <v>4838116.38</v>
      </c>
      <c r="E6" s="86">
        <v>2511614.5799999996</v>
      </c>
      <c r="F6" s="86">
        <v>3732326.7499999991</v>
      </c>
      <c r="G6" s="86">
        <v>14532138.710000001</v>
      </c>
      <c r="H6" s="86">
        <v>253183</v>
      </c>
    </row>
    <row r="7" spans="1:8" x14ac:dyDescent="0.35">
      <c r="A7" s="85" t="s">
        <v>1002</v>
      </c>
      <c r="B7" s="86">
        <v>323468.40999999997</v>
      </c>
      <c r="C7" s="86">
        <v>1870511</v>
      </c>
      <c r="D7" s="86">
        <v>242313.38</v>
      </c>
      <c r="E7" s="86">
        <v>119639.1</v>
      </c>
      <c r="F7" s="86">
        <v>207879.11</v>
      </c>
      <c r="G7" s="86">
        <v>705000</v>
      </c>
      <c r="H7" s="86">
        <v>272211</v>
      </c>
    </row>
    <row r="8" spans="1:8" x14ac:dyDescent="0.35">
      <c r="A8" s="85" t="s">
        <v>1010</v>
      </c>
      <c r="B8" s="86">
        <v>0</v>
      </c>
      <c r="C8" s="86">
        <v>46109122</v>
      </c>
      <c r="D8" s="86">
        <v>10862000.02</v>
      </c>
      <c r="E8" s="86"/>
      <c r="F8" s="86"/>
      <c r="G8" s="86"/>
      <c r="H8" s="86">
        <v>35247121.980000004</v>
      </c>
    </row>
    <row r="9" spans="1:8" x14ac:dyDescent="0.35">
      <c r="A9" s="85" t="s">
        <v>998</v>
      </c>
      <c r="B9" s="86">
        <v>12.120000000074505</v>
      </c>
      <c r="C9" s="86">
        <v>13846627</v>
      </c>
      <c r="D9" s="86">
        <v>3083494.2499999995</v>
      </c>
      <c r="E9" s="86">
        <v>7012626.75</v>
      </c>
      <c r="F9" s="86">
        <v>862624</v>
      </c>
      <c r="G9" s="86">
        <v>1643311</v>
      </c>
      <c r="H9" s="86">
        <v>1233411.24</v>
      </c>
    </row>
    <row r="10" spans="1:8" x14ac:dyDescent="0.35">
      <c r="A10" s="85" t="s">
        <v>1004</v>
      </c>
      <c r="B10" s="86">
        <v>-85540</v>
      </c>
      <c r="C10" s="86">
        <v>870040</v>
      </c>
      <c r="D10" s="86">
        <v>315037.1999999999</v>
      </c>
      <c r="E10" s="86">
        <v>0</v>
      </c>
      <c r="F10" s="86">
        <v>353685</v>
      </c>
      <c r="G10" s="86">
        <v>164318.90000000005</v>
      </c>
      <c r="H10" s="86">
        <v>122538.90000000005</v>
      </c>
    </row>
    <row r="11" spans="1:8" x14ac:dyDescent="0.35">
      <c r="A11" s="85" t="s">
        <v>1006</v>
      </c>
      <c r="B11" s="86">
        <v>59704.450000000012</v>
      </c>
      <c r="C11" s="86">
        <v>1510000</v>
      </c>
      <c r="D11" s="86">
        <v>42187.55</v>
      </c>
      <c r="E11" s="86">
        <v>617108</v>
      </c>
      <c r="F11" s="86">
        <v>17000</v>
      </c>
      <c r="G11" s="86">
        <v>349000</v>
      </c>
      <c r="H11" s="86">
        <v>425000</v>
      </c>
    </row>
    <row r="12" spans="1:8" x14ac:dyDescent="0.35">
      <c r="A12" s="85" t="s">
        <v>1005</v>
      </c>
      <c r="B12" s="86">
        <v>124702.51999999999</v>
      </c>
      <c r="C12" s="86">
        <v>832710</v>
      </c>
      <c r="D12" s="86">
        <v>421624.47000000003</v>
      </c>
      <c r="E12" s="86">
        <v>54.009999999994726</v>
      </c>
      <c r="F12" s="86">
        <v>449.99999999998545</v>
      </c>
      <c r="G12" s="86">
        <v>213000</v>
      </c>
      <c r="H12" s="86">
        <v>72879</v>
      </c>
    </row>
    <row r="13" spans="1:8" x14ac:dyDescent="0.35">
      <c r="A13" s="85" t="s">
        <v>1009</v>
      </c>
      <c r="B13" s="86">
        <v>946854.81</v>
      </c>
      <c r="C13" s="86">
        <v>129843909</v>
      </c>
      <c r="D13" s="86">
        <v>40046292.610000007</v>
      </c>
      <c r="E13" s="86">
        <v>8573564.8100000005</v>
      </c>
      <c r="F13" s="86">
        <v>10556118.529999997</v>
      </c>
      <c r="G13" s="86">
        <v>36624522.609999999</v>
      </c>
      <c r="H13" s="86">
        <v>32995903.07</v>
      </c>
    </row>
    <row r="14" spans="1:8" x14ac:dyDescent="0.35">
      <c r="A14" s="85" t="s">
        <v>1012</v>
      </c>
      <c r="B14" s="86">
        <v>-3041095.0699999975</v>
      </c>
      <c r="C14" s="86">
        <v>530466335</v>
      </c>
      <c r="D14" s="86">
        <v>192832251.84</v>
      </c>
      <c r="E14" s="86">
        <v>28690178.57</v>
      </c>
      <c r="F14" s="86">
        <v>39849548.589999996</v>
      </c>
      <c r="G14" s="86">
        <v>104044847.78</v>
      </c>
      <c r="H14" s="86">
        <v>167913785.30000001</v>
      </c>
    </row>
    <row r="19" spans="1:8" x14ac:dyDescent="0.35">
      <c r="A19" s="84" t="s">
        <v>993</v>
      </c>
      <c r="B19" t="s">
        <v>1037</v>
      </c>
    </row>
    <row r="21" spans="1:8" x14ac:dyDescent="0.35">
      <c r="A21" s="84" t="s">
        <v>1011</v>
      </c>
      <c r="B21" t="s">
        <v>1013</v>
      </c>
      <c r="C21" s="90" t="s">
        <v>1014</v>
      </c>
      <c r="D21" t="s">
        <v>1015</v>
      </c>
      <c r="E21" t="s">
        <v>1016</v>
      </c>
      <c r="F21" t="s">
        <v>1017</v>
      </c>
      <c r="G21" t="s">
        <v>1018</v>
      </c>
      <c r="H21" t="s">
        <v>1019</v>
      </c>
    </row>
    <row r="22" spans="1:8" x14ac:dyDescent="0.35">
      <c r="A22" s="85" t="s">
        <v>1007</v>
      </c>
      <c r="B22" s="86">
        <v>0</v>
      </c>
      <c r="C22" s="86">
        <v>0</v>
      </c>
      <c r="D22" s="86"/>
      <c r="E22" s="86"/>
      <c r="F22" s="86"/>
      <c r="G22" s="86"/>
      <c r="H22" s="86"/>
    </row>
    <row r="23" spans="1:8" x14ac:dyDescent="0.35">
      <c r="A23" s="85" t="s">
        <v>1002</v>
      </c>
      <c r="B23" s="86">
        <v>8881032.4200000018</v>
      </c>
      <c r="C23" s="86">
        <v>10370645</v>
      </c>
      <c r="D23" s="86">
        <v>648664.62</v>
      </c>
      <c r="E23" s="86">
        <v>509833.77</v>
      </c>
      <c r="F23" s="86">
        <v>254692.72</v>
      </c>
      <c r="G23" s="86"/>
      <c r="H23" s="86"/>
    </row>
    <row r="24" spans="1:8" x14ac:dyDescent="0.35">
      <c r="A24" s="85" t="s">
        <v>1001</v>
      </c>
      <c r="B24" s="86">
        <v>8763986.0900000017</v>
      </c>
      <c r="C24" s="86">
        <v>13353579</v>
      </c>
      <c r="D24" s="86">
        <v>2350581.2099999995</v>
      </c>
      <c r="E24" s="86">
        <v>658897.37000000011</v>
      </c>
      <c r="F24" s="86">
        <v>1519244.3599999996</v>
      </c>
      <c r="G24" s="86"/>
      <c r="H24" s="86"/>
    </row>
    <row r="25" spans="1:8" x14ac:dyDescent="0.35">
      <c r="A25" s="85" t="s">
        <v>1010</v>
      </c>
      <c r="B25" s="86">
        <v>8520503.6899999995</v>
      </c>
      <c r="C25" s="86">
        <v>14967465</v>
      </c>
      <c r="D25" s="86">
        <v>2512280.1700000004</v>
      </c>
      <c r="E25" s="86">
        <v>1126199.7000000004</v>
      </c>
      <c r="F25" s="86">
        <v>2815202.04</v>
      </c>
      <c r="G25" s="86"/>
      <c r="H25" s="86"/>
    </row>
    <row r="26" spans="1:8" x14ac:dyDescent="0.35">
      <c r="A26" s="85" t="s">
        <v>1008</v>
      </c>
      <c r="B26" s="86">
        <v>481610</v>
      </c>
      <c r="C26" s="86">
        <v>502370</v>
      </c>
      <c r="D26" s="86">
        <v>20760</v>
      </c>
      <c r="E26" s="86"/>
      <c r="F26" s="86"/>
      <c r="G26" s="86"/>
      <c r="H26" s="86"/>
    </row>
    <row r="27" spans="1:8" x14ac:dyDescent="0.35">
      <c r="A27" s="85" t="s">
        <v>998</v>
      </c>
      <c r="B27" s="86">
        <v>1518491</v>
      </c>
      <c r="C27" s="86">
        <v>1634900</v>
      </c>
      <c r="D27" s="86">
        <v>116409</v>
      </c>
      <c r="E27" s="86"/>
      <c r="F27" s="86"/>
      <c r="G27" s="86"/>
      <c r="H27" s="86"/>
    </row>
    <row r="28" spans="1:8" x14ac:dyDescent="0.35">
      <c r="A28" s="85" t="s">
        <v>997</v>
      </c>
      <c r="B28" s="86">
        <v>6138090.6799999997</v>
      </c>
      <c r="C28" s="86">
        <v>6740109</v>
      </c>
      <c r="D28" s="86">
        <v>102018.32</v>
      </c>
      <c r="E28" s="86">
        <v>500000</v>
      </c>
      <c r="F28" s="86"/>
      <c r="G28" s="86"/>
      <c r="H28" s="86"/>
    </row>
    <row r="29" spans="1:8" x14ac:dyDescent="0.35">
      <c r="A29" s="85" t="s">
        <v>999</v>
      </c>
      <c r="B29" s="86">
        <v>1767974</v>
      </c>
      <c r="C29" s="86">
        <v>1814597</v>
      </c>
      <c r="D29" s="86">
        <v>46623</v>
      </c>
      <c r="E29" s="86">
        <v>0</v>
      </c>
      <c r="F29" s="86">
        <v>0</v>
      </c>
      <c r="G29" s="86"/>
      <c r="H29" s="86"/>
    </row>
    <row r="30" spans="1:8" x14ac:dyDescent="0.35">
      <c r="A30" s="85" t="s">
        <v>1012</v>
      </c>
      <c r="B30" s="86">
        <v>36071687.880000003</v>
      </c>
      <c r="C30" s="86">
        <v>49383665</v>
      </c>
      <c r="D30" s="86">
        <v>5797336.3200000003</v>
      </c>
      <c r="E30" s="86">
        <v>2794930.8400000008</v>
      </c>
      <c r="F30" s="86">
        <v>4589139.1199999992</v>
      </c>
      <c r="G30" s="86"/>
      <c r="H30" s="86"/>
    </row>
    <row r="31" spans="1:8" x14ac:dyDescent="0.35">
      <c r="C31" s="8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workbookViewId="0">
      <selection activeCell="G2" sqref="G2"/>
    </sheetView>
  </sheetViews>
  <sheetFormatPr defaultRowHeight="14.5" x14ac:dyDescent="0.35"/>
  <cols>
    <col min="1" max="1" width="24.6328125" customWidth="1"/>
    <col min="2" max="2" width="9.90625" bestFit="1" customWidth="1"/>
    <col min="3" max="3" width="6.6328125" bestFit="1" customWidth="1"/>
    <col min="4" max="4" width="3.453125" bestFit="1" customWidth="1"/>
    <col min="5" max="5" width="3.36328125" bestFit="1" customWidth="1"/>
    <col min="6" max="6" width="3.1796875" bestFit="1" customWidth="1"/>
    <col min="7" max="7" width="11.1796875" customWidth="1"/>
    <col min="8" max="8" width="12.36328125" bestFit="1" customWidth="1"/>
    <col min="9" max="9" width="14.1796875" bestFit="1" customWidth="1"/>
    <col min="10" max="10" width="13.453125" bestFit="1" customWidth="1"/>
    <col min="11" max="11" width="47" bestFit="1" customWidth="1"/>
  </cols>
  <sheetData>
    <row r="1" spans="1:11" x14ac:dyDescent="0.35">
      <c r="A1" t="s">
        <v>1033</v>
      </c>
    </row>
    <row r="2" spans="1:11" x14ac:dyDescent="0.35">
      <c r="A2" t="s">
        <v>1024</v>
      </c>
      <c r="B2" t="s">
        <v>1030</v>
      </c>
      <c r="C2" t="s">
        <v>6</v>
      </c>
      <c r="D2" t="s">
        <v>1025</v>
      </c>
      <c r="E2" t="s">
        <v>1026</v>
      </c>
      <c r="F2" t="s">
        <v>9</v>
      </c>
      <c r="G2" t="s">
        <v>1184</v>
      </c>
      <c r="H2" t="s">
        <v>1028</v>
      </c>
      <c r="I2" t="s">
        <v>1187</v>
      </c>
      <c r="J2" t="s">
        <v>1185</v>
      </c>
      <c r="K2" t="s">
        <v>1029</v>
      </c>
    </row>
    <row r="3" spans="1:11" x14ac:dyDescent="0.35">
      <c r="A3" t="s">
        <v>1031</v>
      </c>
      <c r="B3" t="s">
        <v>1032</v>
      </c>
      <c r="C3">
        <v>100</v>
      </c>
      <c r="D3">
        <v>50</v>
      </c>
      <c r="E3">
        <v>1</v>
      </c>
      <c r="F3">
        <v>40</v>
      </c>
      <c r="G3">
        <f>C3-D3-E3-F3</f>
        <v>9</v>
      </c>
      <c r="H3">
        <v>11</v>
      </c>
      <c r="I3">
        <v>5000</v>
      </c>
      <c r="J3">
        <f>G3+H3</f>
        <v>20</v>
      </c>
    </row>
    <row r="5" spans="1:11" x14ac:dyDescent="0.35">
      <c r="A5" t="s">
        <v>1182</v>
      </c>
    </row>
    <row r="6" spans="1:11" x14ac:dyDescent="0.35">
      <c r="A6" t="s">
        <v>1183</v>
      </c>
      <c r="B6" t="s">
        <v>1040</v>
      </c>
      <c r="C6">
        <v>150</v>
      </c>
      <c r="D6">
        <v>25</v>
      </c>
      <c r="E6">
        <v>1</v>
      </c>
      <c r="F6">
        <v>1</v>
      </c>
      <c r="G6">
        <f>C6-D6-E6-F6</f>
        <v>123</v>
      </c>
      <c r="H6">
        <v>0</v>
      </c>
      <c r="J6">
        <v>123</v>
      </c>
      <c r="K6" t="s">
        <v>1186</v>
      </c>
    </row>
    <row r="9" spans="1:11" x14ac:dyDescent="0.35">
      <c r="A9" t="s">
        <v>1034</v>
      </c>
    </row>
    <row r="10" spans="1:11" x14ac:dyDescent="0.35">
      <c r="A10" t="s">
        <v>1024</v>
      </c>
      <c r="B10" t="s">
        <v>1030</v>
      </c>
      <c r="C10" t="s">
        <v>6</v>
      </c>
      <c r="D10" t="s">
        <v>1025</v>
      </c>
      <c r="E10" t="s">
        <v>1026</v>
      </c>
      <c r="F10" t="s">
        <v>9</v>
      </c>
      <c r="H10" t="s">
        <v>1027</v>
      </c>
      <c r="J10" t="s">
        <v>1028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topLeftCell="B1" workbookViewId="0">
      <selection activeCell="E7" sqref="E7"/>
    </sheetView>
  </sheetViews>
  <sheetFormatPr defaultRowHeight="14.5" x14ac:dyDescent="0.35"/>
  <cols>
    <col min="1" max="1" width="63.453125" customWidth="1"/>
    <col min="2" max="2" width="22.453125" style="87" bestFit="1" customWidth="1"/>
    <col min="3" max="3" width="16.7265625" customWidth="1"/>
    <col min="4" max="4" width="13.81640625" customWidth="1"/>
    <col min="5" max="6" width="19.453125" customWidth="1"/>
  </cols>
  <sheetData>
    <row r="1" spans="1:5" x14ac:dyDescent="0.35">
      <c r="B1"/>
    </row>
    <row r="2" spans="1:5" x14ac:dyDescent="0.35">
      <c r="A2" s="84" t="s">
        <v>3</v>
      </c>
      <c r="B2" t="s">
        <v>1021</v>
      </c>
    </row>
    <row r="3" spans="1:5" x14ac:dyDescent="0.35">
      <c r="B3"/>
    </row>
    <row r="4" spans="1:5" x14ac:dyDescent="0.35">
      <c r="A4" s="84" t="s">
        <v>1095</v>
      </c>
      <c r="B4" s="84" t="s">
        <v>996</v>
      </c>
      <c r="C4" s="84" t="s">
        <v>993</v>
      </c>
      <c r="D4" t="s">
        <v>1020</v>
      </c>
      <c r="E4" t="s">
        <v>1038</v>
      </c>
    </row>
    <row r="5" spans="1:5" x14ac:dyDescent="0.35">
      <c r="A5" t="s">
        <v>1125</v>
      </c>
      <c r="B5" t="s">
        <v>1002</v>
      </c>
      <c r="D5" s="90">
        <v>1819250</v>
      </c>
      <c r="E5" s="90">
        <v>1604167.41</v>
      </c>
    </row>
    <row r="6" spans="1:5" x14ac:dyDescent="0.35">
      <c r="A6" t="s">
        <v>1125</v>
      </c>
      <c r="B6" t="s">
        <v>1001</v>
      </c>
      <c r="D6" s="90">
        <v>3273368</v>
      </c>
      <c r="E6" s="90">
        <v>3006202.06</v>
      </c>
    </row>
    <row r="7" spans="1:5" x14ac:dyDescent="0.35">
      <c r="A7" t="s">
        <v>1097</v>
      </c>
      <c r="B7" t="s">
        <v>1002</v>
      </c>
      <c r="D7" s="90">
        <v>150000</v>
      </c>
      <c r="E7" s="90">
        <v>150000</v>
      </c>
    </row>
    <row r="8" spans="1:5" x14ac:dyDescent="0.35">
      <c r="A8" t="s">
        <v>1097</v>
      </c>
      <c r="B8" t="s">
        <v>1001</v>
      </c>
      <c r="D8" s="90">
        <v>10000</v>
      </c>
      <c r="E8" s="90">
        <v>10000</v>
      </c>
    </row>
    <row r="9" spans="1:5" x14ac:dyDescent="0.35">
      <c r="A9" t="s">
        <v>1097</v>
      </c>
      <c r="B9" t="s">
        <v>997</v>
      </c>
      <c r="D9" s="90">
        <v>3684121</v>
      </c>
      <c r="E9" s="90">
        <v>3684121</v>
      </c>
    </row>
    <row r="10" spans="1:5" x14ac:dyDescent="0.35">
      <c r="A10" t="s">
        <v>1097</v>
      </c>
      <c r="B10" t="s">
        <v>999</v>
      </c>
      <c r="D10" s="90">
        <v>378637</v>
      </c>
      <c r="E10" s="90">
        <v>378637</v>
      </c>
    </row>
    <row r="11" spans="1:5" x14ac:dyDescent="0.35">
      <c r="A11" t="s">
        <v>1123</v>
      </c>
      <c r="B11" t="s">
        <v>1010</v>
      </c>
      <c r="D11" s="90">
        <v>2759974</v>
      </c>
      <c r="E11" s="90">
        <v>2759974</v>
      </c>
    </row>
    <row r="12" spans="1:5" x14ac:dyDescent="0.35">
      <c r="A12" t="s">
        <v>1104</v>
      </c>
      <c r="B12" t="s">
        <v>1002</v>
      </c>
      <c r="D12" s="90">
        <v>795007</v>
      </c>
      <c r="E12" s="90">
        <v>681816.10000000009</v>
      </c>
    </row>
    <row r="13" spans="1:5" x14ac:dyDescent="0.35">
      <c r="A13" t="s">
        <v>1104</v>
      </c>
      <c r="B13" t="s">
        <v>1001</v>
      </c>
      <c r="D13" s="90">
        <v>1711540</v>
      </c>
      <c r="E13" s="90">
        <v>597268.34000000008</v>
      </c>
    </row>
    <row r="14" spans="1:5" x14ac:dyDescent="0.35">
      <c r="A14" t="s">
        <v>1104</v>
      </c>
      <c r="B14" t="s">
        <v>1010</v>
      </c>
      <c r="D14" s="90">
        <v>977363</v>
      </c>
      <c r="E14" s="90">
        <v>118588.44</v>
      </c>
    </row>
    <row r="15" spans="1:5" x14ac:dyDescent="0.35">
      <c r="A15" t="s">
        <v>1104</v>
      </c>
      <c r="B15" t="s">
        <v>998</v>
      </c>
      <c r="D15" s="90">
        <v>735000</v>
      </c>
      <c r="E15" s="90">
        <v>735000</v>
      </c>
    </row>
    <row r="16" spans="1:5" x14ac:dyDescent="0.35">
      <c r="A16" t="s">
        <v>1104</v>
      </c>
      <c r="B16" t="s">
        <v>997</v>
      </c>
      <c r="D16" s="90">
        <v>518388</v>
      </c>
      <c r="E16" s="90">
        <v>476148.5</v>
      </c>
    </row>
    <row r="17" spans="1:5" x14ac:dyDescent="0.35">
      <c r="A17" t="s">
        <v>1104</v>
      </c>
      <c r="B17" t="s">
        <v>999</v>
      </c>
      <c r="D17" s="90">
        <v>50000</v>
      </c>
      <c r="E17" s="90">
        <v>50000</v>
      </c>
    </row>
    <row r="18" spans="1:5" x14ac:dyDescent="0.35">
      <c r="A18" t="s">
        <v>1127</v>
      </c>
      <c r="B18" t="s">
        <v>1002</v>
      </c>
      <c r="D18" s="90">
        <v>927900</v>
      </c>
      <c r="E18" s="90">
        <v>730106.02</v>
      </c>
    </row>
    <row r="19" spans="1:5" x14ac:dyDescent="0.35">
      <c r="A19" t="s">
        <v>1127</v>
      </c>
      <c r="B19" t="s">
        <v>1001</v>
      </c>
      <c r="D19" s="90">
        <v>1537920</v>
      </c>
      <c r="E19" s="90">
        <v>1225491.47</v>
      </c>
    </row>
    <row r="20" spans="1:5" x14ac:dyDescent="0.35">
      <c r="A20" t="s">
        <v>1127</v>
      </c>
      <c r="B20" t="s">
        <v>1010</v>
      </c>
      <c r="D20" s="90">
        <v>359100</v>
      </c>
      <c r="E20" s="90">
        <v>176161.35</v>
      </c>
    </row>
    <row r="21" spans="1:5" x14ac:dyDescent="0.35">
      <c r="A21" t="s">
        <v>1105</v>
      </c>
      <c r="B21" t="s">
        <v>1002</v>
      </c>
      <c r="D21" s="90">
        <v>423000</v>
      </c>
      <c r="E21" s="90">
        <v>420800</v>
      </c>
    </row>
    <row r="22" spans="1:5" x14ac:dyDescent="0.35">
      <c r="A22" t="s">
        <v>1105</v>
      </c>
      <c r="B22" t="s">
        <v>1001</v>
      </c>
      <c r="D22" s="90">
        <v>204592</v>
      </c>
      <c r="E22" s="90">
        <v>193199.38</v>
      </c>
    </row>
    <row r="23" spans="1:5" x14ac:dyDescent="0.35">
      <c r="A23" t="s">
        <v>1105</v>
      </c>
      <c r="B23" t="s">
        <v>1010</v>
      </c>
      <c r="D23" s="90">
        <v>183500</v>
      </c>
      <c r="E23" s="90">
        <v>182976.25</v>
      </c>
    </row>
    <row r="24" spans="1:5" x14ac:dyDescent="0.35">
      <c r="A24" t="s">
        <v>1105</v>
      </c>
      <c r="B24" t="s">
        <v>998</v>
      </c>
      <c r="D24" s="90">
        <v>180000</v>
      </c>
      <c r="E24" s="90">
        <v>178350</v>
      </c>
    </row>
    <row r="25" spans="1:5" x14ac:dyDescent="0.35">
      <c r="A25" t="s">
        <v>1105</v>
      </c>
      <c r="B25" t="s">
        <v>997</v>
      </c>
      <c r="D25" s="90">
        <v>1000000</v>
      </c>
      <c r="E25" s="90">
        <v>968040</v>
      </c>
    </row>
    <row r="26" spans="1:5" x14ac:dyDescent="0.35">
      <c r="A26" t="s">
        <v>1105</v>
      </c>
      <c r="B26" t="s">
        <v>999</v>
      </c>
      <c r="D26" s="90">
        <v>165500</v>
      </c>
      <c r="E26" s="90">
        <v>146000</v>
      </c>
    </row>
    <row r="27" spans="1:5" x14ac:dyDescent="0.35">
      <c r="A27" t="s">
        <v>1100</v>
      </c>
      <c r="B27" t="s">
        <v>1002</v>
      </c>
      <c r="D27" s="90">
        <v>780308</v>
      </c>
      <c r="E27" s="90">
        <v>718373.74</v>
      </c>
    </row>
    <row r="28" spans="1:5" x14ac:dyDescent="0.35">
      <c r="A28" t="s">
        <v>1100</v>
      </c>
      <c r="B28" t="s">
        <v>1001</v>
      </c>
      <c r="D28" s="90">
        <v>506004</v>
      </c>
      <c r="E28" s="90">
        <v>474004</v>
      </c>
    </row>
    <row r="29" spans="1:5" x14ac:dyDescent="0.35">
      <c r="A29" t="s">
        <v>1100</v>
      </c>
      <c r="B29" t="s">
        <v>1010</v>
      </c>
      <c r="D29" s="90">
        <v>170000</v>
      </c>
      <c r="E29" s="90">
        <v>126468.4</v>
      </c>
    </row>
    <row r="30" spans="1:5" x14ac:dyDescent="0.35">
      <c r="A30" t="s">
        <v>1100</v>
      </c>
      <c r="B30" t="s">
        <v>997</v>
      </c>
      <c r="D30" s="90">
        <v>25000</v>
      </c>
      <c r="E30" s="90">
        <v>25000</v>
      </c>
    </row>
    <row r="31" spans="1:5" x14ac:dyDescent="0.35">
      <c r="A31" t="s">
        <v>1100</v>
      </c>
      <c r="B31" t="s">
        <v>999</v>
      </c>
      <c r="D31" s="90">
        <v>375000</v>
      </c>
      <c r="E31" s="90">
        <v>375000</v>
      </c>
    </row>
    <row r="32" spans="1:5" x14ac:dyDescent="0.35">
      <c r="A32" t="s">
        <v>1101</v>
      </c>
      <c r="B32" t="s">
        <v>1002</v>
      </c>
      <c r="D32" s="90">
        <v>285000</v>
      </c>
      <c r="E32" s="90">
        <v>280033</v>
      </c>
    </row>
    <row r="33" spans="1:5" x14ac:dyDescent="0.35">
      <c r="A33" t="s">
        <v>1101</v>
      </c>
      <c r="B33" t="s">
        <v>1001</v>
      </c>
      <c r="D33" s="90">
        <v>193600</v>
      </c>
      <c r="E33" s="90">
        <v>165532</v>
      </c>
    </row>
    <row r="34" spans="1:5" x14ac:dyDescent="0.35">
      <c r="A34" t="s">
        <v>1101</v>
      </c>
      <c r="B34" t="s">
        <v>1010</v>
      </c>
      <c r="D34" s="90">
        <v>670000</v>
      </c>
      <c r="E34" s="90">
        <v>607861.5</v>
      </c>
    </row>
    <row r="35" spans="1:5" x14ac:dyDescent="0.35">
      <c r="A35" t="s">
        <v>1101</v>
      </c>
      <c r="B35" t="s">
        <v>1008</v>
      </c>
      <c r="D35" s="90">
        <v>100000</v>
      </c>
      <c r="E35" s="90">
        <v>100000</v>
      </c>
    </row>
    <row r="36" spans="1:5" x14ac:dyDescent="0.35">
      <c r="A36" t="s">
        <v>1101</v>
      </c>
      <c r="B36" t="s">
        <v>997</v>
      </c>
      <c r="D36" s="90">
        <v>300000</v>
      </c>
      <c r="E36" s="90">
        <v>300000</v>
      </c>
    </row>
    <row r="37" spans="1:5" x14ac:dyDescent="0.35">
      <c r="A37" t="s">
        <v>1101</v>
      </c>
      <c r="B37" t="s">
        <v>999</v>
      </c>
      <c r="D37" s="90">
        <v>23750</v>
      </c>
      <c r="E37" s="90">
        <v>10000</v>
      </c>
    </row>
    <row r="38" spans="1:5" x14ac:dyDescent="0.35">
      <c r="A38" t="s">
        <v>1111</v>
      </c>
      <c r="B38" t="s">
        <v>1002</v>
      </c>
      <c r="D38" s="90">
        <v>7590</v>
      </c>
      <c r="E38" s="90">
        <v>7590</v>
      </c>
    </row>
    <row r="39" spans="1:5" x14ac:dyDescent="0.35">
      <c r="A39" t="s">
        <v>1111</v>
      </c>
      <c r="B39" t="s">
        <v>1001</v>
      </c>
      <c r="D39" s="90">
        <v>2115000</v>
      </c>
      <c r="E39" s="90">
        <v>1180478.01</v>
      </c>
    </row>
    <row r="40" spans="1:5" x14ac:dyDescent="0.35">
      <c r="A40" t="s">
        <v>1111</v>
      </c>
      <c r="B40" t="s">
        <v>1010</v>
      </c>
      <c r="D40" s="90">
        <v>200000</v>
      </c>
      <c r="E40" s="90">
        <v>197060</v>
      </c>
    </row>
    <row r="41" spans="1:5" x14ac:dyDescent="0.35">
      <c r="A41" t="s">
        <v>1102</v>
      </c>
      <c r="B41" t="s">
        <v>1002</v>
      </c>
      <c r="D41" s="90">
        <v>465000</v>
      </c>
      <c r="E41" s="90">
        <v>451042.1</v>
      </c>
    </row>
    <row r="42" spans="1:5" x14ac:dyDescent="0.35">
      <c r="A42" t="s">
        <v>1102</v>
      </c>
      <c r="B42" t="s">
        <v>1010</v>
      </c>
      <c r="D42" s="90">
        <v>622000</v>
      </c>
      <c r="E42" s="90">
        <v>589100</v>
      </c>
    </row>
    <row r="43" spans="1:5" x14ac:dyDescent="0.35">
      <c r="A43" t="s">
        <v>1102</v>
      </c>
      <c r="B43" t="s">
        <v>997</v>
      </c>
      <c r="D43" s="90">
        <v>300000</v>
      </c>
      <c r="E43" s="90">
        <v>300000</v>
      </c>
    </row>
    <row r="44" spans="1:5" x14ac:dyDescent="0.35">
      <c r="A44" t="s">
        <v>1102</v>
      </c>
      <c r="B44" t="s">
        <v>999</v>
      </c>
      <c r="D44" s="90">
        <v>25000</v>
      </c>
      <c r="E44" s="90">
        <v>25000</v>
      </c>
    </row>
    <row r="45" spans="1:5" x14ac:dyDescent="0.35">
      <c r="A45" t="s">
        <v>1122</v>
      </c>
      <c r="B45" t="s">
        <v>1002</v>
      </c>
      <c r="D45" s="90">
        <v>1420500</v>
      </c>
      <c r="E45" s="90">
        <v>1333213.26</v>
      </c>
    </row>
    <row r="46" spans="1:5" x14ac:dyDescent="0.35">
      <c r="A46" t="s">
        <v>1128</v>
      </c>
      <c r="B46" t="s">
        <v>1002</v>
      </c>
      <c r="D46" s="90">
        <v>1327666</v>
      </c>
      <c r="E46" s="90">
        <v>721560.01</v>
      </c>
    </row>
    <row r="47" spans="1:5" x14ac:dyDescent="0.35">
      <c r="A47" t="s">
        <v>1128</v>
      </c>
      <c r="B47" t="s">
        <v>1001</v>
      </c>
      <c r="D47" s="90">
        <v>1544181</v>
      </c>
      <c r="E47" s="90">
        <v>362291.48000000016</v>
      </c>
    </row>
    <row r="48" spans="1:5" x14ac:dyDescent="0.35">
      <c r="A48" t="s">
        <v>1128</v>
      </c>
      <c r="B48" t="s">
        <v>1010</v>
      </c>
      <c r="D48" s="90">
        <v>1892072</v>
      </c>
      <c r="E48" s="90">
        <v>224958.38</v>
      </c>
    </row>
    <row r="49" spans="1:5" x14ac:dyDescent="0.35">
      <c r="A49" t="s">
        <v>1099</v>
      </c>
      <c r="B49" t="s">
        <v>1010</v>
      </c>
      <c r="D49" s="90">
        <v>271000</v>
      </c>
      <c r="E49" s="90">
        <v>171000</v>
      </c>
    </row>
    <row r="50" spans="1:5" x14ac:dyDescent="0.35">
      <c r="A50" t="s">
        <v>1099</v>
      </c>
      <c r="B50" t="s">
        <v>998</v>
      </c>
      <c r="D50" s="90">
        <v>604900</v>
      </c>
      <c r="E50" s="90">
        <v>604900</v>
      </c>
    </row>
    <row r="51" spans="1:5" x14ac:dyDescent="0.35">
      <c r="A51" t="s">
        <v>1099</v>
      </c>
      <c r="B51" t="s">
        <v>997</v>
      </c>
      <c r="D51" s="90">
        <v>200000</v>
      </c>
      <c r="E51" s="90">
        <v>200000</v>
      </c>
    </row>
    <row r="52" spans="1:5" x14ac:dyDescent="0.35">
      <c r="A52" t="s">
        <v>1126</v>
      </c>
      <c r="B52" t="s">
        <v>1002</v>
      </c>
      <c r="D52" s="90">
        <v>619732</v>
      </c>
      <c r="E52" s="90">
        <v>545757.35</v>
      </c>
    </row>
    <row r="53" spans="1:5" x14ac:dyDescent="0.35">
      <c r="A53" t="s">
        <v>1126</v>
      </c>
      <c r="B53" t="s">
        <v>1001</v>
      </c>
      <c r="D53" s="90">
        <v>814492</v>
      </c>
      <c r="E53" s="90">
        <v>281682.23</v>
      </c>
    </row>
    <row r="54" spans="1:5" x14ac:dyDescent="0.35">
      <c r="A54" t="s">
        <v>1126</v>
      </c>
      <c r="B54" t="s">
        <v>1010</v>
      </c>
      <c r="D54" s="90">
        <v>586900</v>
      </c>
      <c r="E54" s="90">
        <v>10740.59</v>
      </c>
    </row>
    <row r="55" spans="1:5" x14ac:dyDescent="0.35">
      <c r="A55" t="s">
        <v>1171</v>
      </c>
      <c r="B55" t="s">
        <v>1010</v>
      </c>
      <c r="D55" s="90">
        <v>864069</v>
      </c>
      <c r="E55" s="90">
        <v>771218.94</v>
      </c>
    </row>
    <row r="56" spans="1:5" x14ac:dyDescent="0.35">
      <c r="A56" t="s">
        <v>1096</v>
      </c>
      <c r="B56" t="s">
        <v>1002</v>
      </c>
      <c r="D56" s="90">
        <v>625692</v>
      </c>
      <c r="E56" s="90">
        <v>560973.54</v>
      </c>
    </row>
    <row r="57" spans="1:5" x14ac:dyDescent="0.35">
      <c r="A57" t="s">
        <v>1096</v>
      </c>
      <c r="B57" t="s">
        <v>1001</v>
      </c>
      <c r="D57" s="90">
        <v>181000</v>
      </c>
      <c r="E57" s="90">
        <v>88834.659999999989</v>
      </c>
    </row>
    <row r="58" spans="1:5" x14ac:dyDescent="0.35">
      <c r="A58" t="s">
        <v>1096</v>
      </c>
      <c r="B58" t="s">
        <v>997</v>
      </c>
      <c r="D58" s="90">
        <v>30000</v>
      </c>
      <c r="E58" s="90">
        <v>30000</v>
      </c>
    </row>
    <row r="59" spans="1:5" x14ac:dyDescent="0.35">
      <c r="A59" t="s">
        <v>1096</v>
      </c>
      <c r="B59" t="s">
        <v>999</v>
      </c>
      <c r="D59" s="90">
        <v>60000</v>
      </c>
      <c r="E59" s="90">
        <v>60000</v>
      </c>
    </row>
    <row r="60" spans="1:5" x14ac:dyDescent="0.35">
      <c r="A60" t="s">
        <v>1131</v>
      </c>
      <c r="B60" t="s">
        <v>1002</v>
      </c>
      <c r="D60" s="90">
        <v>19350</v>
      </c>
      <c r="E60" s="90">
        <v>18525</v>
      </c>
    </row>
    <row r="61" spans="1:5" x14ac:dyDescent="0.35">
      <c r="A61" t="s">
        <v>1131</v>
      </c>
      <c r="B61" t="s">
        <v>1001</v>
      </c>
      <c r="D61" s="90">
        <v>30000</v>
      </c>
      <c r="E61" s="90">
        <v>30000</v>
      </c>
    </row>
    <row r="62" spans="1:5" x14ac:dyDescent="0.35">
      <c r="A62" t="s">
        <v>1131</v>
      </c>
      <c r="B62" t="s">
        <v>1010</v>
      </c>
      <c r="D62" s="90">
        <v>2424345</v>
      </c>
      <c r="E62" s="90">
        <v>618255.31999999995</v>
      </c>
    </row>
    <row r="63" spans="1:5" x14ac:dyDescent="0.35">
      <c r="A63" t="s">
        <v>1131</v>
      </c>
      <c r="B63" t="s">
        <v>1008</v>
      </c>
      <c r="D63" s="90">
        <v>76120</v>
      </c>
      <c r="E63" s="90">
        <v>55360</v>
      </c>
    </row>
    <row r="64" spans="1:5" x14ac:dyDescent="0.35">
      <c r="A64" t="s">
        <v>1116</v>
      </c>
      <c r="B64" t="s">
        <v>999</v>
      </c>
      <c r="D64" s="90">
        <v>694710</v>
      </c>
      <c r="E64" s="90">
        <v>694710</v>
      </c>
    </row>
    <row r="65" spans="1:5" x14ac:dyDescent="0.35">
      <c r="A65" t="s">
        <v>1113</v>
      </c>
      <c r="B65" t="s">
        <v>1010</v>
      </c>
      <c r="D65" s="90">
        <v>627674</v>
      </c>
      <c r="E65" s="90">
        <v>627674</v>
      </c>
    </row>
    <row r="66" spans="1:5" x14ac:dyDescent="0.35">
      <c r="A66" t="s">
        <v>1107</v>
      </c>
      <c r="B66" t="s">
        <v>1002</v>
      </c>
      <c r="D66" s="90">
        <v>105000</v>
      </c>
      <c r="E66" s="90">
        <v>105000</v>
      </c>
    </row>
    <row r="67" spans="1:5" x14ac:dyDescent="0.35">
      <c r="A67" t="s">
        <v>1107</v>
      </c>
      <c r="B67" t="s">
        <v>1001</v>
      </c>
      <c r="D67" s="90">
        <v>347000</v>
      </c>
      <c r="E67" s="90">
        <v>347000</v>
      </c>
    </row>
    <row r="68" spans="1:5" x14ac:dyDescent="0.35">
      <c r="A68" t="s">
        <v>1107</v>
      </c>
      <c r="B68" t="s">
        <v>1010</v>
      </c>
      <c r="D68" s="90">
        <v>5000</v>
      </c>
      <c r="E68" s="90">
        <v>3480.25</v>
      </c>
    </row>
    <row r="69" spans="1:5" x14ac:dyDescent="0.35">
      <c r="A69" t="s">
        <v>1107</v>
      </c>
      <c r="B69" t="s">
        <v>997</v>
      </c>
      <c r="D69" s="90">
        <v>100000</v>
      </c>
      <c r="E69" s="90">
        <v>100000</v>
      </c>
    </row>
    <row r="70" spans="1:5" x14ac:dyDescent="0.35">
      <c r="A70" t="s">
        <v>1107</v>
      </c>
      <c r="B70" t="s">
        <v>999</v>
      </c>
      <c r="D70" s="90">
        <v>20000</v>
      </c>
      <c r="E70" s="90">
        <v>13680</v>
      </c>
    </row>
    <row r="71" spans="1:5" x14ac:dyDescent="0.35">
      <c r="A71" t="s">
        <v>1103</v>
      </c>
      <c r="B71" t="s">
        <v>1002</v>
      </c>
      <c r="D71" s="90">
        <v>61116</v>
      </c>
      <c r="E71" s="90">
        <v>59316</v>
      </c>
    </row>
    <row r="72" spans="1:5" x14ac:dyDescent="0.35">
      <c r="A72" t="s">
        <v>1103</v>
      </c>
      <c r="B72" t="s">
        <v>1001</v>
      </c>
      <c r="D72" s="90">
        <v>158000</v>
      </c>
      <c r="E72" s="90">
        <v>120351.5</v>
      </c>
    </row>
    <row r="73" spans="1:5" x14ac:dyDescent="0.35">
      <c r="A73" t="s">
        <v>1103</v>
      </c>
      <c r="B73" t="s">
        <v>1010</v>
      </c>
      <c r="D73" s="90">
        <v>185000</v>
      </c>
      <c r="E73" s="90">
        <v>175602.85</v>
      </c>
    </row>
    <row r="74" spans="1:5" x14ac:dyDescent="0.35">
      <c r="A74" t="s">
        <v>1103</v>
      </c>
      <c r="B74" t="s">
        <v>1008</v>
      </c>
      <c r="D74" s="90">
        <v>162500</v>
      </c>
      <c r="E74" s="90">
        <v>162500</v>
      </c>
    </row>
    <row r="75" spans="1:5" x14ac:dyDescent="0.35">
      <c r="A75" t="s">
        <v>1103</v>
      </c>
      <c r="B75" t="s">
        <v>997</v>
      </c>
      <c r="D75" s="90">
        <v>10000</v>
      </c>
      <c r="E75" s="90">
        <v>4697.5</v>
      </c>
    </row>
    <row r="76" spans="1:5" x14ac:dyDescent="0.35">
      <c r="A76" t="s">
        <v>1103</v>
      </c>
      <c r="B76" t="s">
        <v>999</v>
      </c>
      <c r="D76" s="90">
        <v>12000</v>
      </c>
      <c r="E76" s="90">
        <v>4947</v>
      </c>
    </row>
    <row r="77" spans="1:5" x14ac:dyDescent="0.35">
      <c r="A77" t="s">
        <v>1130</v>
      </c>
      <c r="B77" t="s">
        <v>1002</v>
      </c>
      <c r="D77" s="90">
        <v>45630</v>
      </c>
      <c r="E77" s="90">
        <v>45630</v>
      </c>
    </row>
    <row r="78" spans="1:5" x14ac:dyDescent="0.35">
      <c r="A78" t="s">
        <v>1130</v>
      </c>
      <c r="B78" t="s">
        <v>1001</v>
      </c>
      <c r="D78" s="90">
        <v>439000</v>
      </c>
      <c r="E78" s="90">
        <v>436821.95999999996</v>
      </c>
    </row>
    <row r="79" spans="1:5" x14ac:dyDescent="0.35">
      <c r="A79" t="s">
        <v>1172</v>
      </c>
      <c r="B79" t="s">
        <v>1010</v>
      </c>
      <c r="D79" s="90">
        <v>657390</v>
      </c>
      <c r="E79" s="90">
        <v>344639.67</v>
      </c>
    </row>
    <row r="80" spans="1:5" x14ac:dyDescent="0.35">
      <c r="A80" t="s">
        <v>1173</v>
      </c>
      <c r="B80" t="s">
        <v>1010</v>
      </c>
      <c r="D80" s="90">
        <v>292600</v>
      </c>
      <c r="E80" s="90">
        <v>292600</v>
      </c>
    </row>
    <row r="81" spans="1:5" x14ac:dyDescent="0.35">
      <c r="A81" t="s">
        <v>1110</v>
      </c>
      <c r="B81" t="s">
        <v>1002</v>
      </c>
      <c r="D81" s="90">
        <v>160000</v>
      </c>
      <c r="E81" s="90">
        <v>160000</v>
      </c>
    </row>
    <row r="82" spans="1:5" x14ac:dyDescent="0.35">
      <c r="A82" t="s">
        <v>1110</v>
      </c>
      <c r="B82" t="s">
        <v>1008</v>
      </c>
      <c r="D82" s="90">
        <v>107500</v>
      </c>
      <c r="E82" s="90">
        <v>107500</v>
      </c>
    </row>
    <row r="83" spans="1:5" x14ac:dyDescent="0.35">
      <c r="A83" t="s">
        <v>1129</v>
      </c>
      <c r="B83" t="s">
        <v>1002</v>
      </c>
      <c r="D83" s="90">
        <v>52500</v>
      </c>
      <c r="E83" s="90">
        <v>48305</v>
      </c>
    </row>
    <row r="84" spans="1:5" x14ac:dyDescent="0.35">
      <c r="A84" t="s">
        <v>1129</v>
      </c>
      <c r="B84" t="s">
        <v>1001</v>
      </c>
      <c r="D84" s="90">
        <v>219640</v>
      </c>
      <c r="E84" s="90">
        <v>179915</v>
      </c>
    </row>
    <row r="85" spans="1:5" x14ac:dyDescent="0.35">
      <c r="A85" t="s">
        <v>1132</v>
      </c>
      <c r="B85" t="s">
        <v>1002</v>
      </c>
      <c r="D85" s="90">
        <v>155000</v>
      </c>
      <c r="E85" s="90">
        <v>155000</v>
      </c>
    </row>
    <row r="86" spans="1:5" x14ac:dyDescent="0.35">
      <c r="A86" t="s">
        <v>1132</v>
      </c>
      <c r="B86" t="s">
        <v>1001</v>
      </c>
      <c r="D86" s="90">
        <v>10000</v>
      </c>
      <c r="E86" s="90">
        <v>10000</v>
      </c>
    </row>
    <row r="87" spans="1:5" x14ac:dyDescent="0.35">
      <c r="A87" t="s">
        <v>1132</v>
      </c>
      <c r="B87" t="s">
        <v>1010</v>
      </c>
      <c r="D87" s="90">
        <v>6515</v>
      </c>
      <c r="E87" s="90">
        <v>6515</v>
      </c>
    </row>
    <row r="88" spans="1:5" x14ac:dyDescent="0.35">
      <c r="A88" t="s">
        <v>1109</v>
      </c>
      <c r="B88" t="s">
        <v>1002</v>
      </c>
      <c r="D88" s="90">
        <v>35175</v>
      </c>
      <c r="E88" s="90">
        <v>15000.119999999999</v>
      </c>
    </row>
    <row r="89" spans="1:5" x14ac:dyDescent="0.35">
      <c r="A89" t="s">
        <v>1109</v>
      </c>
      <c r="B89" t="s">
        <v>1010</v>
      </c>
      <c r="D89" s="90">
        <v>153178</v>
      </c>
      <c r="E89" s="90">
        <v>103671</v>
      </c>
    </row>
    <row r="90" spans="1:5" x14ac:dyDescent="0.35">
      <c r="A90" t="s">
        <v>1109</v>
      </c>
      <c r="B90" t="s">
        <v>998</v>
      </c>
      <c r="D90" s="90">
        <v>115000</v>
      </c>
      <c r="E90" s="90">
        <v>241</v>
      </c>
    </row>
    <row r="91" spans="1:5" x14ac:dyDescent="0.35">
      <c r="A91" t="s">
        <v>1158</v>
      </c>
      <c r="B91" t="s">
        <v>1010</v>
      </c>
      <c r="D91" s="90">
        <v>112000</v>
      </c>
      <c r="E91" s="90">
        <v>112000</v>
      </c>
    </row>
    <row r="92" spans="1:5" x14ac:dyDescent="0.35">
      <c r="A92" t="s">
        <v>1158</v>
      </c>
      <c r="B92" t="s">
        <v>1008</v>
      </c>
      <c r="D92" s="90">
        <v>5625</v>
      </c>
      <c r="E92" s="90">
        <v>5625</v>
      </c>
    </row>
    <row r="93" spans="1:5" x14ac:dyDescent="0.35">
      <c r="A93" t="s">
        <v>1124</v>
      </c>
      <c r="B93" t="s">
        <v>1002</v>
      </c>
      <c r="D93" s="90">
        <v>5000</v>
      </c>
      <c r="E93" s="90">
        <v>5000</v>
      </c>
    </row>
    <row r="94" spans="1:5" x14ac:dyDescent="0.35">
      <c r="A94" t="s">
        <v>1124</v>
      </c>
      <c r="B94" t="s">
        <v>1001</v>
      </c>
      <c r="D94" s="90">
        <v>58242</v>
      </c>
      <c r="E94" s="90">
        <v>54914</v>
      </c>
    </row>
    <row r="95" spans="1:5" x14ac:dyDescent="0.35">
      <c r="A95" t="s">
        <v>1124</v>
      </c>
      <c r="B95" t="s">
        <v>1010</v>
      </c>
      <c r="D95" s="90">
        <v>0</v>
      </c>
      <c r="E95" s="90">
        <v>0</v>
      </c>
    </row>
    <row r="96" spans="1:5" x14ac:dyDescent="0.35">
      <c r="A96" t="s">
        <v>1124</v>
      </c>
      <c r="B96" t="s">
        <v>1008</v>
      </c>
      <c r="D96" s="90">
        <v>50625</v>
      </c>
      <c r="E96" s="90">
        <v>50625</v>
      </c>
    </row>
    <row r="97" spans="1:5" x14ac:dyDescent="0.35">
      <c r="A97" t="s">
        <v>1170</v>
      </c>
      <c r="B97" t="s">
        <v>1010</v>
      </c>
      <c r="D97" s="90">
        <v>180000</v>
      </c>
      <c r="E97" s="90">
        <v>101487.75</v>
      </c>
    </row>
    <row r="98" spans="1:5" x14ac:dyDescent="0.35">
      <c r="A98" t="s">
        <v>1133</v>
      </c>
      <c r="B98" t="s">
        <v>1010</v>
      </c>
      <c r="D98" s="90">
        <v>90000</v>
      </c>
      <c r="E98" s="90">
        <v>90000</v>
      </c>
    </row>
    <row r="99" spans="1:5" x14ac:dyDescent="0.35">
      <c r="A99" t="s">
        <v>1114</v>
      </c>
      <c r="B99" t="s">
        <v>1002</v>
      </c>
      <c r="D99" s="90">
        <v>85229</v>
      </c>
      <c r="E99" s="90">
        <v>63823.77</v>
      </c>
    </row>
    <row r="100" spans="1:5" x14ac:dyDescent="0.35">
      <c r="A100" t="s">
        <v>1106</v>
      </c>
      <c r="B100" t="s">
        <v>997</v>
      </c>
      <c r="D100" s="90">
        <v>50000</v>
      </c>
      <c r="E100" s="90">
        <v>50000</v>
      </c>
    </row>
    <row r="101" spans="1:5" x14ac:dyDescent="0.35">
      <c r="A101" t="s">
        <v>1177</v>
      </c>
      <c r="B101" t="s">
        <v>1010</v>
      </c>
      <c r="D101" s="90">
        <v>35000</v>
      </c>
      <c r="E101" s="90">
        <v>35000</v>
      </c>
    </row>
    <row r="102" spans="1:5" x14ac:dyDescent="0.35">
      <c r="A102" t="s">
        <v>1117</v>
      </c>
      <c r="B102" t="s">
        <v>1010</v>
      </c>
      <c r="D102" s="90">
        <v>565385</v>
      </c>
      <c r="E102" s="90">
        <v>20385</v>
      </c>
    </row>
    <row r="103" spans="1:5" x14ac:dyDescent="0.35">
      <c r="A103" t="s">
        <v>1117</v>
      </c>
      <c r="B103" t="s">
        <v>999</v>
      </c>
      <c r="D103" s="90">
        <v>10000</v>
      </c>
      <c r="E103" s="90">
        <v>10000</v>
      </c>
    </row>
    <row r="104" spans="1:5" x14ac:dyDescent="0.35">
      <c r="A104" t="s">
        <v>1146</v>
      </c>
      <c r="B104" t="s">
        <v>1010</v>
      </c>
      <c r="D104" s="90">
        <v>21000</v>
      </c>
      <c r="E104" s="90">
        <v>20765</v>
      </c>
    </row>
    <row r="105" spans="1:5" x14ac:dyDescent="0.35">
      <c r="A105" t="s">
        <v>1176</v>
      </c>
      <c r="B105" t="s">
        <v>1010</v>
      </c>
      <c r="D105" s="90">
        <v>12000</v>
      </c>
      <c r="E105" s="90">
        <v>12000</v>
      </c>
    </row>
    <row r="106" spans="1:5" x14ac:dyDescent="0.35">
      <c r="A106" t="s">
        <v>1162</v>
      </c>
      <c r="B106" t="s">
        <v>1010</v>
      </c>
      <c r="D106" s="90">
        <v>10000</v>
      </c>
      <c r="E106" s="90">
        <v>10000</v>
      </c>
    </row>
    <row r="107" spans="1:5" x14ac:dyDescent="0.35">
      <c r="A107" t="s">
        <v>1168</v>
      </c>
      <c r="B107" t="s">
        <v>1010</v>
      </c>
      <c r="D107" s="90">
        <v>10000</v>
      </c>
      <c r="E107" s="90">
        <v>9920</v>
      </c>
    </row>
    <row r="108" spans="1:5" x14ac:dyDescent="0.35">
      <c r="A108" t="s">
        <v>1120</v>
      </c>
      <c r="B108" t="s">
        <v>1010</v>
      </c>
      <c r="D108" s="90">
        <v>24400</v>
      </c>
      <c r="E108" s="90">
        <v>400</v>
      </c>
    </row>
    <row r="109" spans="1:5" x14ac:dyDescent="0.35">
      <c r="A109" t="s">
        <v>1098</v>
      </c>
      <c r="B109" t="s">
        <v>997</v>
      </c>
      <c r="D109" s="90">
        <v>22600</v>
      </c>
      <c r="E109" s="90">
        <v>83.680000000000064</v>
      </c>
    </row>
    <row r="110" spans="1:5" x14ac:dyDescent="0.35">
      <c r="A110" t="s">
        <v>1108</v>
      </c>
      <c r="B110" t="s">
        <v>997</v>
      </c>
      <c r="D110" s="90">
        <v>500000</v>
      </c>
      <c r="E110" s="90">
        <v>0</v>
      </c>
    </row>
    <row r="111" spans="1:5" x14ac:dyDescent="0.35">
      <c r="A111" t="s">
        <v>1161</v>
      </c>
      <c r="B111" t="s">
        <v>1010</v>
      </c>
      <c r="D111" s="90">
        <v>0</v>
      </c>
      <c r="E111" s="90">
        <v>0</v>
      </c>
    </row>
    <row r="112" spans="1:5" x14ac:dyDescent="0.35">
      <c r="A112" t="s">
        <v>1160</v>
      </c>
      <c r="B112" t="s">
        <v>1007</v>
      </c>
      <c r="D112" s="90">
        <v>0</v>
      </c>
      <c r="E112" s="90">
        <v>0</v>
      </c>
    </row>
    <row r="113" spans="1:5" x14ac:dyDescent="0.35">
      <c r="A113" t="s">
        <v>1160</v>
      </c>
      <c r="B113" t="s">
        <v>1010</v>
      </c>
      <c r="D113" s="90">
        <v>0</v>
      </c>
      <c r="E113" s="90">
        <v>0</v>
      </c>
    </row>
    <row r="114" spans="1:5" x14ac:dyDescent="0.35">
      <c r="A114" t="s">
        <v>1012</v>
      </c>
      <c r="B114"/>
      <c r="D114" s="90">
        <v>49383665</v>
      </c>
      <c r="E114" s="90">
        <v>36071687.880000003</v>
      </c>
    </row>
    <row r="115" spans="1:5" x14ac:dyDescent="0.35">
      <c r="B115"/>
    </row>
    <row r="116" spans="1:5" x14ac:dyDescent="0.35">
      <c r="B116"/>
    </row>
    <row r="117" spans="1:5" x14ac:dyDescent="0.35">
      <c r="B117"/>
    </row>
    <row r="118" spans="1:5" x14ac:dyDescent="0.35">
      <c r="B118"/>
    </row>
    <row r="119" spans="1:5" x14ac:dyDescent="0.35">
      <c r="B119"/>
    </row>
    <row r="120" spans="1:5" x14ac:dyDescent="0.35">
      <c r="B120"/>
    </row>
    <row r="121" spans="1:5" x14ac:dyDescent="0.35">
      <c r="B121"/>
    </row>
    <row r="122" spans="1:5" x14ac:dyDescent="0.35">
      <c r="B122"/>
    </row>
    <row r="123" spans="1:5" x14ac:dyDescent="0.35">
      <c r="B123"/>
    </row>
    <row r="124" spans="1:5" x14ac:dyDescent="0.35">
      <c r="B124"/>
    </row>
    <row r="125" spans="1:5" x14ac:dyDescent="0.35">
      <c r="B125"/>
    </row>
    <row r="126" spans="1:5" x14ac:dyDescent="0.35">
      <c r="B126"/>
    </row>
    <row r="127" spans="1:5" x14ac:dyDescent="0.35">
      <c r="B127"/>
    </row>
    <row r="128" spans="1:5"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row r="777" spans="2:2" x14ac:dyDescent="0.35">
      <c r="B777"/>
    </row>
    <row r="778" spans="2:2" x14ac:dyDescent="0.35">
      <c r="B778"/>
    </row>
    <row r="779" spans="2:2" x14ac:dyDescent="0.35">
      <c r="B779"/>
    </row>
    <row r="780" spans="2:2" x14ac:dyDescent="0.35">
      <c r="B780"/>
    </row>
    <row r="781" spans="2:2" x14ac:dyDescent="0.35">
      <c r="B781"/>
    </row>
    <row r="782" spans="2:2" x14ac:dyDescent="0.35">
      <c r="B782"/>
    </row>
    <row r="783" spans="2:2" x14ac:dyDescent="0.35">
      <c r="B783"/>
    </row>
    <row r="784" spans="2:2" x14ac:dyDescent="0.35">
      <c r="B784"/>
    </row>
    <row r="785" spans="2:2" x14ac:dyDescent="0.35">
      <c r="B785"/>
    </row>
    <row r="786" spans="2:2" x14ac:dyDescent="0.35">
      <c r="B786"/>
    </row>
    <row r="787" spans="2:2" x14ac:dyDescent="0.35">
      <c r="B787"/>
    </row>
    <row r="788" spans="2:2" x14ac:dyDescent="0.35">
      <c r="B788"/>
    </row>
    <row r="789" spans="2:2" x14ac:dyDescent="0.35">
      <c r="B789"/>
    </row>
    <row r="790" spans="2:2" x14ac:dyDescent="0.35">
      <c r="B790"/>
    </row>
    <row r="791" spans="2:2" x14ac:dyDescent="0.35">
      <c r="B791"/>
    </row>
    <row r="792" spans="2:2" x14ac:dyDescent="0.35">
      <c r="B792"/>
    </row>
    <row r="793" spans="2:2" x14ac:dyDescent="0.35">
      <c r="B793"/>
    </row>
    <row r="794" spans="2:2" x14ac:dyDescent="0.35">
      <c r="B794"/>
    </row>
    <row r="795" spans="2:2" x14ac:dyDescent="0.35">
      <c r="B795"/>
    </row>
    <row r="796" spans="2:2" x14ac:dyDescent="0.35">
      <c r="B796"/>
    </row>
    <row r="797" spans="2:2" x14ac:dyDescent="0.35">
      <c r="B797"/>
    </row>
    <row r="798" spans="2:2" x14ac:dyDescent="0.35">
      <c r="B798"/>
    </row>
    <row r="799" spans="2:2" x14ac:dyDescent="0.35">
      <c r="B799"/>
    </row>
    <row r="800" spans="2:2" x14ac:dyDescent="0.35">
      <c r="B800"/>
    </row>
    <row r="801" spans="2:2" x14ac:dyDescent="0.35">
      <c r="B801"/>
    </row>
    <row r="802" spans="2:2" x14ac:dyDescent="0.35">
      <c r="B802"/>
    </row>
    <row r="803" spans="2:2" x14ac:dyDescent="0.35">
      <c r="B803"/>
    </row>
    <row r="804" spans="2:2" x14ac:dyDescent="0.35">
      <c r="B804"/>
    </row>
    <row r="805" spans="2:2" x14ac:dyDescent="0.35">
      <c r="B805"/>
    </row>
    <row r="806" spans="2:2" x14ac:dyDescent="0.35">
      <c r="B806"/>
    </row>
    <row r="807" spans="2:2" x14ac:dyDescent="0.35">
      <c r="B807"/>
    </row>
    <row r="808" spans="2:2" x14ac:dyDescent="0.35">
      <c r="B808"/>
    </row>
    <row r="809" spans="2:2" x14ac:dyDescent="0.35">
      <c r="B809"/>
    </row>
    <row r="810" spans="2:2" x14ac:dyDescent="0.35">
      <c r="B810"/>
    </row>
    <row r="811" spans="2:2" x14ac:dyDescent="0.35">
      <c r="B811"/>
    </row>
    <row r="812" spans="2:2" x14ac:dyDescent="0.35">
      <c r="B812"/>
    </row>
    <row r="813" spans="2:2" x14ac:dyDescent="0.35">
      <c r="B813"/>
    </row>
    <row r="814" spans="2:2" x14ac:dyDescent="0.35">
      <c r="B814"/>
    </row>
    <row r="815" spans="2:2" x14ac:dyDescent="0.35">
      <c r="B815"/>
    </row>
    <row r="816" spans="2:2" x14ac:dyDescent="0.35">
      <c r="B816"/>
    </row>
    <row r="817" spans="2:2" x14ac:dyDescent="0.35">
      <c r="B817"/>
    </row>
    <row r="818" spans="2:2" x14ac:dyDescent="0.35">
      <c r="B818"/>
    </row>
    <row r="819" spans="2:2" x14ac:dyDescent="0.35">
      <c r="B819"/>
    </row>
    <row r="820" spans="2:2" x14ac:dyDescent="0.35">
      <c r="B820"/>
    </row>
    <row r="821" spans="2:2" x14ac:dyDescent="0.35">
      <c r="B821"/>
    </row>
    <row r="822" spans="2:2" x14ac:dyDescent="0.35">
      <c r="B822"/>
    </row>
    <row r="823" spans="2:2" x14ac:dyDescent="0.35">
      <c r="B823"/>
    </row>
    <row r="824" spans="2:2" x14ac:dyDescent="0.35">
      <c r="B824"/>
    </row>
    <row r="825" spans="2:2" x14ac:dyDescent="0.35">
      <c r="B825"/>
    </row>
    <row r="826" spans="2:2" x14ac:dyDescent="0.35">
      <c r="B826"/>
    </row>
    <row r="827" spans="2:2" x14ac:dyDescent="0.35">
      <c r="B827"/>
    </row>
    <row r="828" spans="2:2" x14ac:dyDescent="0.35">
      <c r="B828"/>
    </row>
    <row r="829" spans="2:2" x14ac:dyDescent="0.35">
      <c r="B829"/>
    </row>
    <row r="830" spans="2:2" x14ac:dyDescent="0.35">
      <c r="B830"/>
    </row>
    <row r="831" spans="2:2" x14ac:dyDescent="0.35">
      <c r="B831"/>
    </row>
    <row r="832" spans="2:2" x14ac:dyDescent="0.35">
      <c r="B832"/>
    </row>
    <row r="833" spans="2:2" x14ac:dyDescent="0.35">
      <c r="B833"/>
    </row>
    <row r="834" spans="2:2" x14ac:dyDescent="0.35">
      <c r="B834"/>
    </row>
    <row r="835" spans="2:2" x14ac:dyDescent="0.35">
      <c r="B835"/>
    </row>
    <row r="836" spans="2:2" x14ac:dyDescent="0.35">
      <c r="B836"/>
    </row>
    <row r="837" spans="2:2" x14ac:dyDescent="0.35">
      <c r="B837"/>
    </row>
    <row r="838" spans="2:2" x14ac:dyDescent="0.35">
      <c r="B838"/>
    </row>
    <row r="839" spans="2:2" x14ac:dyDescent="0.35">
      <c r="B839"/>
    </row>
    <row r="840" spans="2:2" x14ac:dyDescent="0.35">
      <c r="B840"/>
    </row>
    <row r="841" spans="2:2" x14ac:dyDescent="0.35">
      <c r="B841"/>
    </row>
    <row r="842" spans="2:2" x14ac:dyDescent="0.35">
      <c r="B842"/>
    </row>
    <row r="843" spans="2:2" x14ac:dyDescent="0.35">
      <c r="B843"/>
    </row>
    <row r="844" spans="2:2" x14ac:dyDescent="0.35">
      <c r="B844"/>
    </row>
    <row r="845" spans="2:2" x14ac:dyDescent="0.35">
      <c r="B845"/>
    </row>
    <row r="846" spans="2:2" x14ac:dyDescent="0.35">
      <c r="B846"/>
    </row>
    <row r="847" spans="2:2" x14ac:dyDescent="0.35">
      <c r="B847"/>
    </row>
    <row r="848" spans="2:2" x14ac:dyDescent="0.35">
      <c r="B848"/>
    </row>
    <row r="849" spans="2:2" x14ac:dyDescent="0.35">
      <c r="B849"/>
    </row>
    <row r="850" spans="2:2" x14ac:dyDescent="0.35">
      <c r="B850"/>
    </row>
    <row r="851" spans="2:2" x14ac:dyDescent="0.35">
      <c r="B851"/>
    </row>
    <row r="852" spans="2:2" x14ac:dyDescent="0.35">
      <c r="B852"/>
    </row>
    <row r="853" spans="2:2" x14ac:dyDescent="0.35">
      <c r="B853"/>
    </row>
    <row r="854" spans="2:2" x14ac:dyDescent="0.35">
      <c r="B854"/>
    </row>
    <row r="855" spans="2:2" x14ac:dyDescent="0.35">
      <c r="B855"/>
    </row>
    <row r="856" spans="2:2" x14ac:dyDescent="0.35">
      <c r="B856"/>
    </row>
    <row r="857" spans="2:2" x14ac:dyDescent="0.35">
      <c r="B857"/>
    </row>
    <row r="858" spans="2:2" x14ac:dyDescent="0.35">
      <c r="B858"/>
    </row>
    <row r="859" spans="2:2" x14ac:dyDescent="0.35">
      <c r="B859"/>
    </row>
    <row r="860" spans="2:2" x14ac:dyDescent="0.35">
      <c r="B860"/>
    </row>
    <row r="861" spans="2:2" x14ac:dyDescent="0.35">
      <c r="B861"/>
    </row>
    <row r="862" spans="2:2" x14ac:dyDescent="0.35">
      <c r="B862"/>
    </row>
    <row r="863" spans="2:2" x14ac:dyDescent="0.35">
      <c r="B863"/>
    </row>
    <row r="864" spans="2:2" x14ac:dyDescent="0.35">
      <c r="B864"/>
    </row>
    <row r="865" spans="2:2" x14ac:dyDescent="0.35">
      <c r="B865"/>
    </row>
    <row r="866" spans="2:2" x14ac:dyDescent="0.35">
      <c r="B866"/>
    </row>
    <row r="867" spans="2:2" x14ac:dyDescent="0.35">
      <c r="B867"/>
    </row>
    <row r="868" spans="2:2" x14ac:dyDescent="0.35">
      <c r="B868"/>
    </row>
    <row r="869" spans="2:2" x14ac:dyDescent="0.35">
      <c r="B869"/>
    </row>
    <row r="870" spans="2:2" x14ac:dyDescent="0.35">
      <c r="B870"/>
    </row>
    <row r="871" spans="2:2" x14ac:dyDescent="0.35">
      <c r="B871"/>
    </row>
    <row r="872" spans="2:2" x14ac:dyDescent="0.35">
      <c r="B872"/>
    </row>
    <row r="873" spans="2:2" x14ac:dyDescent="0.35">
      <c r="B873"/>
    </row>
    <row r="874" spans="2:2" x14ac:dyDescent="0.35">
      <c r="B874"/>
    </row>
    <row r="875" spans="2:2" x14ac:dyDescent="0.35">
      <c r="B875"/>
    </row>
    <row r="876" spans="2:2" x14ac:dyDescent="0.35">
      <c r="B876"/>
    </row>
    <row r="877" spans="2:2" x14ac:dyDescent="0.35">
      <c r="B877"/>
    </row>
    <row r="878" spans="2:2" x14ac:dyDescent="0.35">
      <c r="B878"/>
    </row>
    <row r="879" spans="2:2" x14ac:dyDescent="0.35">
      <c r="B879"/>
    </row>
    <row r="880" spans="2:2" x14ac:dyDescent="0.35">
      <c r="B880"/>
    </row>
    <row r="881" spans="2:2" x14ac:dyDescent="0.35">
      <c r="B881"/>
    </row>
    <row r="882" spans="2:2" x14ac:dyDescent="0.35">
      <c r="B882"/>
    </row>
    <row r="883" spans="2:2" x14ac:dyDescent="0.35">
      <c r="B883"/>
    </row>
    <row r="884" spans="2:2" x14ac:dyDescent="0.35">
      <c r="B884"/>
    </row>
    <row r="885" spans="2:2" x14ac:dyDescent="0.35">
      <c r="B885"/>
    </row>
    <row r="886" spans="2:2" x14ac:dyDescent="0.35">
      <c r="B886"/>
    </row>
    <row r="887" spans="2:2" x14ac:dyDescent="0.35">
      <c r="B887"/>
    </row>
    <row r="888" spans="2:2" x14ac:dyDescent="0.35">
      <c r="B888"/>
    </row>
    <row r="889" spans="2:2" x14ac:dyDescent="0.35">
      <c r="B889"/>
    </row>
    <row r="890" spans="2:2" x14ac:dyDescent="0.35">
      <c r="B890"/>
    </row>
    <row r="891" spans="2:2" x14ac:dyDescent="0.35">
      <c r="B891"/>
    </row>
    <row r="892" spans="2:2" x14ac:dyDescent="0.35">
      <c r="B892"/>
    </row>
    <row r="893" spans="2:2" x14ac:dyDescent="0.35">
      <c r="B893"/>
    </row>
    <row r="894" spans="2:2" x14ac:dyDescent="0.35">
      <c r="B894"/>
    </row>
    <row r="895" spans="2:2" x14ac:dyDescent="0.35">
      <c r="B895"/>
    </row>
    <row r="896" spans="2:2" x14ac:dyDescent="0.35">
      <c r="B896"/>
    </row>
    <row r="897" spans="2:2" x14ac:dyDescent="0.35">
      <c r="B897"/>
    </row>
    <row r="898" spans="2:2" x14ac:dyDescent="0.35">
      <c r="B898"/>
    </row>
    <row r="899" spans="2:2" x14ac:dyDescent="0.35">
      <c r="B899"/>
    </row>
    <row r="900" spans="2:2" x14ac:dyDescent="0.35">
      <c r="B900"/>
    </row>
    <row r="901" spans="2:2" x14ac:dyDescent="0.35">
      <c r="B901"/>
    </row>
    <row r="902" spans="2:2" x14ac:dyDescent="0.35">
      <c r="B902"/>
    </row>
    <row r="903" spans="2:2" x14ac:dyDescent="0.35">
      <c r="B903"/>
    </row>
    <row r="904" spans="2:2" x14ac:dyDescent="0.35">
      <c r="B904"/>
    </row>
    <row r="905" spans="2:2" x14ac:dyDescent="0.35">
      <c r="B905"/>
    </row>
    <row r="906" spans="2:2" x14ac:dyDescent="0.35">
      <c r="B906"/>
    </row>
    <row r="907" spans="2:2" x14ac:dyDescent="0.35">
      <c r="B907"/>
    </row>
    <row r="908" spans="2:2" x14ac:dyDescent="0.35">
      <c r="B908"/>
    </row>
    <row r="909" spans="2:2" x14ac:dyDescent="0.35">
      <c r="B909"/>
    </row>
    <row r="910" spans="2:2" x14ac:dyDescent="0.35">
      <c r="B910"/>
    </row>
    <row r="911" spans="2:2" x14ac:dyDescent="0.35">
      <c r="B911"/>
    </row>
    <row r="912" spans="2:2" x14ac:dyDescent="0.35">
      <c r="B912"/>
    </row>
    <row r="913" spans="2:2" x14ac:dyDescent="0.35">
      <c r="B913"/>
    </row>
    <row r="914" spans="2:2" x14ac:dyDescent="0.35">
      <c r="B914"/>
    </row>
    <row r="915" spans="2:2" x14ac:dyDescent="0.35">
      <c r="B915"/>
    </row>
    <row r="916" spans="2:2" x14ac:dyDescent="0.35">
      <c r="B916"/>
    </row>
    <row r="917" spans="2:2" x14ac:dyDescent="0.35">
      <c r="B917"/>
    </row>
    <row r="918" spans="2:2" x14ac:dyDescent="0.35">
      <c r="B918"/>
    </row>
    <row r="919" spans="2:2" x14ac:dyDescent="0.35">
      <c r="B919"/>
    </row>
    <row r="920" spans="2:2" x14ac:dyDescent="0.35">
      <c r="B920"/>
    </row>
    <row r="921" spans="2:2" x14ac:dyDescent="0.35">
      <c r="B921"/>
    </row>
    <row r="922" spans="2:2" x14ac:dyDescent="0.35">
      <c r="B922"/>
    </row>
    <row r="923" spans="2:2" x14ac:dyDescent="0.35">
      <c r="B923"/>
    </row>
    <row r="924" spans="2:2" x14ac:dyDescent="0.35">
      <c r="B924"/>
    </row>
    <row r="925" spans="2:2" x14ac:dyDescent="0.35">
      <c r="B925"/>
    </row>
    <row r="926" spans="2:2" x14ac:dyDescent="0.35">
      <c r="B926"/>
    </row>
    <row r="927" spans="2:2" x14ac:dyDescent="0.35">
      <c r="B927"/>
    </row>
    <row r="928" spans="2:2" x14ac:dyDescent="0.35">
      <c r="B928"/>
    </row>
    <row r="929" spans="2:2" x14ac:dyDescent="0.35">
      <c r="B929"/>
    </row>
    <row r="930" spans="2:2" x14ac:dyDescent="0.35">
      <c r="B930"/>
    </row>
    <row r="931" spans="2:2" x14ac:dyDescent="0.35">
      <c r="B931"/>
    </row>
    <row r="932" spans="2:2" x14ac:dyDescent="0.35">
      <c r="B932"/>
    </row>
    <row r="933" spans="2:2" x14ac:dyDescent="0.35">
      <c r="B933"/>
    </row>
    <row r="934" spans="2:2" x14ac:dyDescent="0.35">
      <c r="B934"/>
    </row>
    <row r="935" spans="2:2" x14ac:dyDescent="0.35">
      <c r="B935"/>
    </row>
    <row r="936" spans="2:2" x14ac:dyDescent="0.35">
      <c r="B936"/>
    </row>
    <row r="937" spans="2:2" x14ac:dyDescent="0.35">
      <c r="B937"/>
    </row>
    <row r="938" spans="2:2" x14ac:dyDescent="0.35">
      <c r="B938"/>
    </row>
    <row r="939" spans="2:2" x14ac:dyDescent="0.35">
      <c r="B939"/>
    </row>
    <row r="940" spans="2:2" x14ac:dyDescent="0.35">
      <c r="B940"/>
    </row>
    <row r="941" spans="2:2" x14ac:dyDescent="0.35">
      <c r="B941"/>
    </row>
    <row r="942" spans="2:2" x14ac:dyDescent="0.35">
      <c r="B942"/>
    </row>
    <row r="943" spans="2:2" x14ac:dyDescent="0.35">
      <c r="B943"/>
    </row>
    <row r="944" spans="2:2" x14ac:dyDescent="0.35">
      <c r="B944"/>
    </row>
    <row r="945" spans="2:2" x14ac:dyDescent="0.35">
      <c r="B945"/>
    </row>
    <row r="946" spans="2:2" x14ac:dyDescent="0.35">
      <c r="B946"/>
    </row>
    <row r="947" spans="2:2" x14ac:dyDescent="0.35">
      <c r="B947"/>
    </row>
    <row r="948" spans="2:2" x14ac:dyDescent="0.35">
      <c r="B948"/>
    </row>
    <row r="949" spans="2:2" x14ac:dyDescent="0.35">
      <c r="B949"/>
    </row>
    <row r="950" spans="2:2" x14ac:dyDescent="0.35">
      <c r="B950"/>
    </row>
    <row r="951" spans="2:2" x14ac:dyDescent="0.35">
      <c r="B951"/>
    </row>
    <row r="952" spans="2:2" x14ac:dyDescent="0.35">
      <c r="B952"/>
    </row>
    <row r="953" spans="2:2" x14ac:dyDescent="0.35">
      <c r="B953"/>
    </row>
    <row r="954" spans="2:2" x14ac:dyDescent="0.35">
      <c r="B954"/>
    </row>
    <row r="955" spans="2:2" x14ac:dyDescent="0.35">
      <c r="B955"/>
    </row>
    <row r="956" spans="2:2" x14ac:dyDescent="0.35">
      <c r="B956"/>
    </row>
    <row r="957" spans="2:2" x14ac:dyDescent="0.35">
      <c r="B957"/>
    </row>
    <row r="958" spans="2:2" x14ac:dyDescent="0.35">
      <c r="B958"/>
    </row>
    <row r="959" spans="2:2" x14ac:dyDescent="0.35">
      <c r="B959"/>
    </row>
    <row r="960" spans="2:2" x14ac:dyDescent="0.35">
      <c r="B960"/>
    </row>
    <row r="961" spans="2:2" x14ac:dyDescent="0.35">
      <c r="B961"/>
    </row>
    <row r="962" spans="2:2" x14ac:dyDescent="0.35">
      <c r="B962"/>
    </row>
    <row r="963" spans="2:2" x14ac:dyDescent="0.35">
      <c r="B963"/>
    </row>
    <row r="964" spans="2:2" x14ac:dyDescent="0.35">
      <c r="B964"/>
    </row>
    <row r="965" spans="2:2" x14ac:dyDescent="0.35">
      <c r="B965"/>
    </row>
    <row r="966" spans="2:2" x14ac:dyDescent="0.35">
      <c r="B966"/>
    </row>
    <row r="967" spans="2:2" x14ac:dyDescent="0.35">
      <c r="B967"/>
    </row>
    <row r="968" spans="2:2" x14ac:dyDescent="0.35">
      <c r="B968"/>
    </row>
    <row r="969" spans="2:2" x14ac:dyDescent="0.35">
      <c r="B969"/>
    </row>
    <row r="970" spans="2:2" x14ac:dyDescent="0.35">
      <c r="B970"/>
    </row>
    <row r="971" spans="2:2" x14ac:dyDescent="0.35">
      <c r="B971"/>
    </row>
    <row r="972" spans="2:2" x14ac:dyDescent="0.35">
      <c r="B972"/>
    </row>
    <row r="973" spans="2:2" x14ac:dyDescent="0.35">
      <c r="B973"/>
    </row>
    <row r="974" spans="2:2" x14ac:dyDescent="0.35">
      <c r="B974"/>
    </row>
    <row r="975" spans="2:2" x14ac:dyDescent="0.35">
      <c r="B975"/>
    </row>
    <row r="976" spans="2:2" x14ac:dyDescent="0.35">
      <c r="B976"/>
    </row>
    <row r="977" spans="2:2" x14ac:dyDescent="0.35">
      <c r="B977"/>
    </row>
    <row r="978" spans="2:2" x14ac:dyDescent="0.35">
      <c r="B978"/>
    </row>
    <row r="979" spans="2:2" x14ac:dyDescent="0.35">
      <c r="B979"/>
    </row>
    <row r="980" spans="2:2" x14ac:dyDescent="0.35">
      <c r="B980"/>
    </row>
    <row r="981" spans="2:2" x14ac:dyDescent="0.35">
      <c r="B981"/>
    </row>
    <row r="982" spans="2:2" x14ac:dyDescent="0.35">
      <c r="B982"/>
    </row>
    <row r="983" spans="2:2" x14ac:dyDescent="0.35">
      <c r="B983"/>
    </row>
    <row r="984" spans="2:2" x14ac:dyDescent="0.35">
      <c r="B984"/>
    </row>
    <row r="985" spans="2:2" x14ac:dyDescent="0.35">
      <c r="B985"/>
    </row>
    <row r="986" spans="2:2" x14ac:dyDescent="0.35">
      <c r="B986"/>
    </row>
    <row r="987" spans="2:2" x14ac:dyDescent="0.35">
      <c r="B987"/>
    </row>
    <row r="988" spans="2:2" x14ac:dyDescent="0.35">
      <c r="B988"/>
    </row>
    <row r="989" spans="2:2" x14ac:dyDescent="0.35">
      <c r="B989"/>
    </row>
    <row r="990" spans="2:2" x14ac:dyDescent="0.35">
      <c r="B990"/>
    </row>
    <row r="991" spans="2:2" x14ac:dyDescent="0.35">
      <c r="B991"/>
    </row>
    <row r="992" spans="2:2" x14ac:dyDescent="0.35">
      <c r="B992"/>
    </row>
    <row r="993" spans="2:2" x14ac:dyDescent="0.35">
      <c r="B993"/>
    </row>
    <row r="994" spans="2:2" x14ac:dyDescent="0.35">
      <c r="B994"/>
    </row>
    <row r="995" spans="2:2" x14ac:dyDescent="0.35">
      <c r="B995"/>
    </row>
    <row r="996" spans="2:2" x14ac:dyDescent="0.35">
      <c r="B996"/>
    </row>
    <row r="997" spans="2:2" x14ac:dyDescent="0.35">
      <c r="B997"/>
    </row>
    <row r="998" spans="2:2" x14ac:dyDescent="0.35">
      <c r="B998"/>
    </row>
    <row r="999" spans="2:2" x14ac:dyDescent="0.35">
      <c r="B999"/>
    </row>
    <row r="1000" spans="2:2" x14ac:dyDescent="0.35">
      <c r="B100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1"/>
  <sheetViews>
    <sheetView workbookViewId="0">
      <selection activeCell="E4" sqref="E4"/>
    </sheetView>
  </sheetViews>
  <sheetFormatPr defaultRowHeight="14.5" x14ac:dyDescent="0.35"/>
  <cols>
    <col min="1" max="1" width="59.453125" customWidth="1"/>
    <col min="2" max="2" width="23.90625" bestFit="1" customWidth="1"/>
    <col min="3" max="3" width="13.6328125" style="87" bestFit="1" customWidth="1"/>
    <col min="4" max="4" width="19.54296875" style="87" bestFit="1" customWidth="1"/>
    <col min="5" max="5" width="14.26953125" bestFit="1" customWidth="1"/>
    <col min="6" max="6" width="13.6328125" bestFit="1" customWidth="1"/>
  </cols>
  <sheetData>
    <row r="1" spans="1:7" x14ac:dyDescent="0.35">
      <c r="A1" s="95" t="s">
        <v>1095</v>
      </c>
      <c r="B1" s="95" t="s">
        <v>996</v>
      </c>
      <c r="C1" s="97" t="s">
        <v>1020</v>
      </c>
      <c r="D1" s="97" t="s">
        <v>1038</v>
      </c>
      <c r="E1" s="98" t="s">
        <v>1179</v>
      </c>
      <c r="F1" t="s">
        <v>1180</v>
      </c>
      <c r="G1" t="s">
        <v>1181</v>
      </c>
    </row>
    <row r="2" spans="1:7" x14ac:dyDescent="0.35">
      <c r="A2" t="s">
        <v>1125</v>
      </c>
      <c r="B2" t="s">
        <v>1002</v>
      </c>
      <c r="C2" s="87">
        <v>1819250</v>
      </c>
      <c r="D2" s="87">
        <v>1604167.41</v>
      </c>
      <c r="E2" s="99">
        <f>D2/C2</f>
        <v>0.88177403325546233</v>
      </c>
      <c r="F2" s="90">
        <f>C2-D2</f>
        <v>215082.59000000008</v>
      </c>
      <c r="G2" s="96">
        <f>F2/C2</f>
        <v>0.11822596674453763</v>
      </c>
    </row>
    <row r="3" spans="1:7" x14ac:dyDescent="0.35">
      <c r="A3" t="s">
        <v>1125</v>
      </c>
      <c r="B3" t="s">
        <v>1001</v>
      </c>
      <c r="C3" s="87">
        <v>3273368</v>
      </c>
      <c r="D3" s="87">
        <v>3006202.06</v>
      </c>
      <c r="E3" s="99">
        <f t="shared" ref="E3:E66" si="0">D3/C3</f>
        <v>0.91838194177984267</v>
      </c>
      <c r="F3" s="90">
        <f t="shared" ref="F3:F66" si="1">C3-D3</f>
        <v>267165.93999999994</v>
      </c>
      <c r="G3" s="96">
        <f t="shared" ref="G3:G66" si="2">F3/C3</f>
        <v>8.161805822015733E-2</v>
      </c>
    </row>
    <row r="4" spans="1:7" x14ac:dyDescent="0.35">
      <c r="A4" t="s">
        <v>1097</v>
      </c>
      <c r="B4" t="s">
        <v>1002</v>
      </c>
      <c r="C4" s="87">
        <v>150000</v>
      </c>
      <c r="D4" s="87">
        <v>150000</v>
      </c>
      <c r="E4" s="99">
        <f t="shared" si="0"/>
        <v>1</v>
      </c>
      <c r="F4" s="90">
        <f t="shared" si="1"/>
        <v>0</v>
      </c>
      <c r="G4" s="96">
        <f t="shared" si="2"/>
        <v>0</v>
      </c>
    </row>
    <row r="5" spans="1:7" x14ac:dyDescent="0.35">
      <c r="A5" t="s">
        <v>1097</v>
      </c>
      <c r="B5" t="s">
        <v>1001</v>
      </c>
      <c r="C5" s="87">
        <v>10000</v>
      </c>
      <c r="D5" s="87">
        <v>10000</v>
      </c>
      <c r="E5" s="99">
        <f t="shared" si="0"/>
        <v>1</v>
      </c>
      <c r="F5" s="90">
        <f t="shared" si="1"/>
        <v>0</v>
      </c>
      <c r="G5" s="96">
        <f t="shared" si="2"/>
        <v>0</v>
      </c>
    </row>
    <row r="6" spans="1:7" x14ac:dyDescent="0.35">
      <c r="A6" t="s">
        <v>1097</v>
      </c>
      <c r="B6" t="s">
        <v>997</v>
      </c>
      <c r="C6" s="87">
        <v>3684121</v>
      </c>
      <c r="D6" s="87">
        <v>3684121</v>
      </c>
      <c r="E6" s="99">
        <f t="shared" si="0"/>
        <v>1</v>
      </c>
      <c r="F6" s="90">
        <f t="shared" si="1"/>
        <v>0</v>
      </c>
      <c r="G6" s="96">
        <f t="shared" si="2"/>
        <v>0</v>
      </c>
    </row>
    <row r="7" spans="1:7" x14ac:dyDescent="0.35">
      <c r="A7" t="s">
        <v>1097</v>
      </c>
      <c r="B7" t="s">
        <v>999</v>
      </c>
      <c r="C7" s="87">
        <v>378637</v>
      </c>
      <c r="D7" s="87">
        <v>378637</v>
      </c>
      <c r="E7" s="99">
        <f t="shared" si="0"/>
        <v>1</v>
      </c>
      <c r="F7" s="90">
        <f t="shared" si="1"/>
        <v>0</v>
      </c>
      <c r="G7" s="96">
        <f t="shared" si="2"/>
        <v>0</v>
      </c>
    </row>
    <row r="8" spans="1:7" x14ac:dyDescent="0.35">
      <c r="A8" t="s">
        <v>1123</v>
      </c>
      <c r="B8" t="s">
        <v>1010</v>
      </c>
      <c r="C8" s="87">
        <v>2759974</v>
      </c>
      <c r="D8" s="87">
        <v>2759974</v>
      </c>
      <c r="E8" s="99">
        <f t="shared" si="0"/>
        <v>1</v>
      </c>
      <c r="F8" s="90">
        <f t="shared" si="1"/>
        <v>0</v>
      </c>
      <c r="G8" s="96">
        <f t="shared" si="2"/>
        <v>0</v>
      </c>
    </row>
    <row r="9" spans="1:7" x14ac:dyDescent="0.35">
      <c r="A9" t="s">
        <v>1104</v>
      </c>
      <c r="B9" t="s">
        <v>1002</v>
      </c>
      <c r="C9" s="87">
        <v>795007</v>
      </c>
      <c r="D9" s="87">
        <v>681816.10000000009</v>
      </c>
      <c r="E9" s="99">
        <f t="shared" si="0"/>
        <v>0.85762276307001084</v>
      </c>
      <c r="F9" s="90">
        <f t="shared" si="1"/>
        <v>113190.89999999991</v>
      </c>
      <c r="G9" s="96">
        <f t="shared" si="2"/>
        <v>0.14237723692998919</v>
      </c>
    </row>
    <row r="10" spans="1:7" x14ac:dyDescent="0.35">
      <c r="A10" t="s">
        <v>1104</v>
      </c>
      <c r="B10" t="s">
        <v>1001</v>
      </c>
      <c r="C10" s="87">
        <v>1711540</v>
      </c>
      <c r="D10" s="87">
        <v>597268.34000000008</v>
      </c>
      <c r="E10" s="99">
        <f t="shared" si="0"/>
        <v>0.34896545800857715</v>
      </c>
      <c r="F10" s="90">
        <f t="shared" si="1"/>
        <v>1114271.6599999999</v>
      </c>
      <c r="G10" s="96">
        <f t="shared" si="2"/>
        <v>0.65103454199142285</v>
      </c>
    </row>
    <row r="11" spans="1:7" x14ac:dyDescent="0.35">
      <c r="A11" t="s">
        <v>1104</v>
      </c>
      <c r="B11" t="s">
        <v>1010</v>
      </c>
      <c r="C11" s="87">
        <v>977363</v>
      </c>
      <c r="D11" s="87">
        <v>118588.44</v>
      </c>
      <c r="E11" s="99">
        <f t="shared" si="0"/>
        <v>0.12133510272027896</v>
      </c>
      <c r="F11" s="90">
        <f t="shared" si="1"/>
        <v>858774.56</v>
      </c>
      <c r="G11" s="96">
        <f t="shared" si="2"/>
        <v>0.87866489727972108</v>
      </c>
    </row>
    <row r="12" spans="1:7" x14ac:dyDescent="0.35">
      <c r="A12" t="s">
        <v>1104</v>
      </c>
      <c r="B12" t="s">
        <v>998</v>
      </c>
      <c r="C12" s="87">
        <v>735000</v>
      </c>
      <c r="D12" s="87">
        <v>735000</v>
      </c>
      <c r="E12" s="99">
        <f t="shared" si="0"/>
        <v>1</v>
      </c>
      <c r="F12" s="90">
        <f t="shared" si="1"/>
        <v>0</v>
      </c>
      <c r="G12" s="96">
        <f t="shared" si="2"/>
        <v>0</v>
      </c>
    </row>
    <row r="13" spans="1:7" x14ac:dyDescent="0.35">
      <c r="A13" t="s">
        <v>1104</v>
      </c>
      <c r="B13" t="s">
        <v>997</v>
      </c>
      <c r="C13" s="87">
        <v>518388</v>
      </c>
      <c r="D13" s="87">
        <v>476148.5</v>
      </c>
      <c r="E13" s="99">
        <f t="shared" si="0"/>
        <v>0.91851759685795198</v>
      </c>
      <c r="F13" s="90">
        <f t="shared" si="1"/>
        <v>42239.5</v>
      </c>
      <c r="G13" s="96">
        <f t="shared" si="2"/>
        <v>8.1482403142048035E-2</v>
      </c>
    </row>
    <row r="14" spans="1:7" x14ac:dyDescent="0.35">
      <c r="A14" t="s">
        <v>1104</v>
      </c>
      <c r="B14" t="s">
        <v>999</v>
      </c>
      <c r="C14" s="87">
        <v>50000</v>
      </c>
      <c r="D14" s="87">
        <v>50000</v>
      </c>
      <c r="E14" s="99">
        <f t="shared" si="0"/>
        <v>1</v>
      </c>
      <c r="F14" s="90">
        <f t="shared" si="1"/>
        <v>0</v>
      </c>
      <c r="G14" s="96">
        <f t="shared" si="2"/>
        <v>0</v>
      </c>
    </row>
    <row r="15" spans="1:7" x14ac:dyDescent="0.35">
      <c r="A15" t="s">
        <v>1127</v>
      </c>
      <c r="B15" t="s">
        <v>1002</v>
      </c>
      <c r="C15" s="87">
        <v>927900</v>
      </c>
      <c r="D15" s="87">
        <v>730106.02</v>
      </c>
      <c r="E15" s="99">
        <f t="shared" si="0"/>
        <v>0.78683696519021451</v>
      </c>
      <c r="F15" s="90">
        <f t="shared" si="1"/>
        <v>197793.97999999998</v>
      </c>
      <c r="G15" s="96">
        <f t="shared" si="2"/>
        <v>0.21316303480978552</v>
      </c>
    </row>
    <row r="16" spans="1:7" x14ac:dyDescent="0.35">
      <c r="A16" t="s">
        <v>1127</v>
      </c>
      <c r="B16" t="s">
        <v>1001</v>
      </c>
      <c r="C16" s="87">
        <v>1537920</v>
      </c>
      <c r="D16" s="87">
        <v>1225491.47</v>
      </c>
      <c r="E16" s="99">
        <f t="shared" si="0"/>
        <v>0.79684994668123177</v>
      </c>
      <c r="F16" s="90">
        <f t="shared" si="1"/>
        <v>312428.53000000003</v>
      </c>
      <c r="G16" s="96">
        <f t="shared" si="2"/>
        <v>0.20315005331876823</v>
      </c>
    </row>
    <row r="17" spans="1:7" x14ac:dyDescent="0.35">
      <c r="A17" t="s">
        <v>1127</v>
      </c>
      <c r="B17" t="s">
        <v>1010</v>
      </c>
      <c r="C17" s="87">
        <v>359100</v>
      </c>
      <c r="D17" s="87">
        <v>176161.35</v>
      </c>
      <c r="E17" s="99">
        <f t="shared" si="0"/>
        <v>0.49056349206349209</v>
      </c>
      <c r="F17" s="90">
        <f t="shared" si="1"/>
        <v>182938.65</v>
      </c>
      <c r="G17" s="96">
        <f t="shared" si="2"/>
        <v>0.50943650793650797</v>
      </c>
    </row>
    <row r="18" spans="1:7" x14ac:dyDescent="0.35">
      <c r="A18" t="s">
        <v>1105</v>
      </c>
      <c r="B18" t="s">
        <v>1002</v>
      </c>
      <c r="C18" s="87">
        <v>423000</v>
      </c>
      <c r="D18" s="87">
        <v>420800</v>
      </c>
      <c r="E18" s="99">
        <f t="shared" si="0"/>
        <v>0.99479905437352245</v>
      </c>
      <c r="F18" s="90">
        <f t="shared" si="1"/>
        <v>2200</v>
      </c>
      <c r="G18" s="96">
        <f t="shared" si="2"/>
        <v>5.2009456264775411E-3</v>
      </c>
    </row>
    <row r="19" spans="1:7" x14ac:dyDescent="0.35">
      <c r="A19" t="s">
        <v>1105</v>
      </c>
      <c r="B19" t="s">
        <v>1001</v>
      </c>
      <c r="C19" s="87">
        <v>204592</v>
      </c>
      <c r="D19" s="87">
        <v>193199.38</v>
      </c>
      <c r="E19" s="99">
        <f t="shared" si="0"/>
        <v>0.94431541800265895</v>
      </c>
      <c r="F19" s="90">
        <f t="shared" si="1"/>
        <v>11392.619999999995</v>
      </c>
      <c r="G19" s="96">
        <f t="shared" si="2"/>
        <v>5.5684581997341026E-2</v>
      </c>
    </row>
    <row r="20" spans="1:7" x14ac:dyDescent="0.35">
      <c r="A20" t="s">
        <v>1105</v>
      </c>
      <c r="B20" t="s">
        <v>1010</v>
      </c>
      <c r="C20" s="87">
        <v>183500</v>
      </c>
      <c r="D20" s="87">
        <v>182976.25</v>
      </c>
      <c r="E20" s="99">
        <f t="shared" si="0"/>
        <v>0.99714577656675751</v>
      </c>
      <c r="F20" s="90">
        <f t="shared" si="1"/>
        <v>523.75</v>
      </c>
      <c r="G20" s="96">
        <f t="shared" si="2"/>
        <v>2.8542234332425069E-3</v>
      </c>
    </row>
    <row r="21" spans="1:7" x14ac:dyDescent="0.35">
      <c r="A21" t="s">
        <v>1105</v>
      </c>
      <c r="B21" t="s">
        <v>998</v>
      </c>
      <c r="C21" s="87">
        <v>180000</v>
      </c>
      <c r="D21" s="87">
        <v>178350</v>
      </c>
      <c r="E21" s="99">
        <f t="shared" si="0"/>
        <v>0.99083333333333334</v>
      </c>
      <c r="F21" s="90">
        <f t="shared" si="1"/>
        <v>1650</v>
      </c>
      <c r="G21" s="96">
        <f t="shared" si="2"/>
        <v>9.1666666666666667E-3</v>
      </c>
    </row>
    <row r="22" spans="1:7" x14ac:dyDescent="0.35">
      <c r="A22" t="s">
        <v>1105</v>
      </c>
      <c r="B22" t="s">
        <v>997</v>
      </c>
      <c r="C22" s="87">
        <v>1000000</v>
      </c>
      <c r="D22" s="87">
        <v>968040</v>
      </c>
      <c r="E22" s="99">
        <f t="shared" si="0"/>
        <v>0.96804000000000001</v>
      </c>
      <c r="F22" s="90">
        <f t="shared" si="1"/>
        <v>31960</v>
      </c>
      <c r="G22" s="96">
        <f t="shared" si="2"/>
        <v>3.1960000000000002E-2</v>
      </c>
    </row>
    <row r="23" spans="1:7" x14ac:dyDescent="0.35">
      <c r="A23" t="s">
        <v>1105</v>
      </c>
      <c r="B23" t="s">
        <v>999</v>
      </c>
      <c r="C23" s="87">
        <v>165500</v>
      </c>
      <c r="D23" s="87">
        <v>146000</v>
      </c>
      <c r="E23" s="99">
        <f t="shared" si="0"/>
        <v>0.8821752265861027</v>
      </c>
      <c r="F23" s="90">
        <f t="shared" si="1"/>
        <v>19500</v>
      </c>
      <c r="G23" s="96">
        <f t="shared" si="2"/>
        <v>0.11782477341389729</v>
      </c>
    </row>
    <row r="24" spans="1:7" x14ac:dyDescent="0.35">
      <c r="A24" t="s">
        <v>1100</v>
      </c>
      <c r="B24" t="s">
        <v>1002</v>
      </c>
      <c r="C24" s="87">
        <v>780308</v>
      </c>
      <c r="D24" s="87">
        <v>718373.74</v>
      </c>
      <c r="E24" s="99">
        <f t="shared" si="0"/>
        <v>0.92062844415282175</v>
      </c>
      <c r="F24" s="90">
        <f t="shared" si="1"/>
        <v>61934.260000000009</v>
      </c>
      <c r="G24" s="96">
        <f t="shared" si="2"/>
        <v>7.937155584717831E-2</v>
      </c>
    </row>
    <row r="25" spans="1:7" x14ac:dyDescent="0.35">
      <c r="A25" t="s">
        <v>1100</v>
      </c>
      <c r="B25" t="s">
        <v>1001</v>
      </c>
      <c r="C25" s="87">
        <v>506004</v>
      </c>
      <c r="D25" s="87">
        <v>474004</v>
      </c>
      <c r="E25" s="99">
        <f t="shared" si="0"/>
        <v>0.9367593932063778</v>
      </c>
      <c r="F25" s="90">
        <f t="shared" si="1"/>
        <v>32000</v>
      </c>
      <c r="G25" s="96">
        <f t="shared" si="2"/>
        <v>6.3240606793622187E-2</v>
      </c>
    </row>
    <row r="26" spans="1:7" x14ac:dyDescent="0.35">
      <c r="A26" t="s">
        <v>1100</v>
      </c>
      <c r="B26" t="s">
        <v>1010</v>
      </c>
      <c r="C26" s="87">
        <v>170000</v>
      </c>
      <c r="D26" s="87">
        <v>126468.4</v>
      </c>
      <c r="E26" s="99">
        <f t="shared" si="0"/>
        <v>0.74393176470588229</v>
      </c>
      <c r="F26" s="90">
        <f t="shared" si="1"/>
        <v>43531.600000000006</v>
      </c>
      <c r="G26" s="96">
        <f t="shared" si="2"/>
        <v>0.25606823529411771</v>
      </c>
    </row>
    <row r="27" spans="1:7" x14ac:dyDescent="0.35">
      <c r="A27" t="s">
        <v>1100</v>
      </c>
      <c r="B27" t="s">
        <v>997</v>
      </c>
      <c r="C27" s="87">
        <v>25000</v>
      </c>
      <c r="D27" s="87">
        <v>25000</v>
      </c>
      <c r="E27" s="99">
        <f t="shared" si="0"/>
        <v>1</v>
      </c>
      <c r="F27" s="90">
        <f t="shared" si="1"/>
        <v>0</v>
      </c>
      <c r="G27" s="96">
        <f t="shared" si="2"/>
        <v>0</v>
      </c>
    </row>
    <row r="28" spans="1:7" x14ac:dyDescent="0.35">
      <c r="A28" t="s">
        <v>1100</v>
      </c>
      <c r="B28" t="s">
        <v>999</v>
      </c>
      <c r="C28" s="87">
        <v>375000</v>
      </c>
      <c r="D28" s="87">
        <v>375000</v>
      </c>
      <c r="E28" s="99">
        <f t="shared" si="0"/>
        <v>1</v>
      </c>
      <c r="F28" s="90">
        <f t="shared" si="1"/>
        <v>0</v>
      </c>
      <c r="G28" s="96">
        <f t="shared" si="2"/>
        <v>0</v>
      </c>
    </row>
    <row r="29" spans="1:7" x14ac:dyDescent="0.35">
      <c r="A29" t="s">
        <v>1101</v>
      </c>
      <c r="B29" t="s">
        <v>1002</v>
      </c>
      <c r="C29" s="87">
        <v>285000</v>
      </c>
      <c r="D29" s="87">
        <v>280033</v>
      </c>
      <c r="E29" s="99">
        <f t="shared" si="0"/>
        <v>0.98257192982456143</v>
      </c>
      <c r="F29" s="90">
        <f t="shared" si="1"/>
        <v>4967</v>
      </c>
      <c r="G29" s="96">
        <f t="shared" si="2"/>
        <v>1.7428070175438598E-2</v>
      </c>
    </row>
    <row r="30" spans="1:7" x14ac:dyDescent="0.35">
      <c r="A30" t="s">
        <v>1101</v>
      </c>
      <c r="B30" t="s">
        <v>1001</v>
      </c>
      <c r="C30" s="87">
        <v>193600</v>
      </c>
      <c r="D30" s="87">
        <v>165532</v>
      </c>
      <c r="E30" s="99">
        <f t="shared" si="0"/>
        <v>0.8550206611570248</v>
      </c>
      <c r="F30" s="90">
        <f t="shared" si="1"/>
        <v>28068</v>
      </c>
      <c r="G30" s="96">
        <f t="shared" si="2"/>
        <v>0.1449793388429752</v>
      </c>
    </row>
    <row r="31" spans="1:7" x14ac:dyDescent="0.35">
      <c r="A31" t="s">
        <v>1101</v>
      </c>
      <c r="B31" t="s">
        <v>1010</v>
      </c>
      <c r="C31" s="87">
        <v>670000</v>
      </c>
      <c r="D31" s="87">
        <v>607861.5</v>
      </c>
      <c r="E31" s="99">
        <f t="shared" si="0"/>
        <v>0.90725597014925374</v>
      </c>
      <c r="F31" s="90">
        <f t="shared" si="1"/>
        <v>62138.5</v>
      </c>
      <c r="G31" s="96">
        <f t="shared" si="2"/>
        <v>9.2744029850746271E-2</v>
      </c>
    </row>
    <row r="32" spans="1:7" x14ac:dyDescent="0.35">
      <c r="A32" t="s">
        <v>1101</v>
      </c>
      <c r="B32" t="s">
        <v>1008</v>
      </c>
      <c r="C32" s="87">
        <v>100000</v>
      </c>
      <c r="D32" s="87">
        <v>100000</v>
      </c>
      <c r="E32" s="99">
        <f t="shared" si="0"/>
        <v>1</v>
      </c>
      <c r="F32" s="90">
        <f t="shared" si="1"/>
        <v>0</v>
      </c>
      <c r="G32" s="96">
        <f t="shared" si="2"/>
        <v>0</v>
      </c>
    </row>
    <row r="33" spans="1:7" x14ac:dyDescent="0.35">
      <c r="A33" t="s">
        <v>1101</v>
      </c>
      <c r="B33" t="s">
        <v>997</v>
      </c>
      <c r="C33" s="87">
        <v>300000</v>
      </c>
      <c r="D33" s="87">
        <v>300000</v>
      </c>
      <c r="E33" s="99">
        <f t="shared" si="0"/>
        <v>1</v>
      </c>
      <c r="F33" s="90">
        <f t="shared" si="1"/>
        <v>0</v>
      </c>
      <c r="G33" s="96">
        <f t="shared" si="2"/>
        <v>0</v>
      </c>
    </row>
    <row r="34" spans="1:7" x14ac:dyDescent="0.35">
      <c r="A34" t="s">
        <v>1101</v>
      </c>
      <c r="B34" t="s">
        <v>999</v>
      </c>
      <c r="C34" s="87">
        <v>23750</v>
      </c>
      <c r="D34" s="87">
        <v>10000</v>
      </c>
      <c r="E34" s="99">
        <f t="shared" si="0"/>
        <v>0.42105263157894735</v>
      </c>
      <c r="F34" s="90">
        <f t="shared" si="1"/>
        <v>13750</v>
      </c>
      <c r="G34" s="96">
        <f t="shared" si="2"/>
        <v>0.57894736842105265</v>
      </c>
    </row>
    <row r="35" spans="1:7" x14ac:dyDescent="0.35">
      <c r="A35" t="s">
        <v>1111</v>
      </c>
      <c r="B35" t="s">
        <v>1002</v>
      </c>
      <c r="C35" s="87">
        <v>7590</v>
      </c>
      <c r="D35" s="87">
        <v>7590</v>
      </c>
      <c r="E35" s="99">
        <f t="shared" si="0"/>
        <v>1</v>
      </c>
      <c r="F35" s="90">
        <f t="shared" si="1"/>
        <v>0</v>
      </c>
      <c r="G35" s="96">
        <f t="shared" si="2"/>
        <v>0</v>
      </c>
    </row>
    <row r="36" spans="1:7" x14ac:dyDescent="0.35">
      <c r="A36" t="s">
        <v>1111</v>
      </c>
      <c r="B36" t="s">
        <v>1001</v>
      </c>
      <c r="C36" s="87">
        <v>2115000</v>
      </c>
      <c r="D36" s="87">
        <v>1180478.01</v>
      </c>
      <c r="E36" s="99">
        <f t="shared" si="0"/>
        <v>0.55814563120567373</v>
      </c>
      <c r="F36" s="90">
        <f t="shared" si="1"/>
        <v>934521.99</v>
      </c>
      <c r="G36" s="96">
        <f t="shared" si="2"/>
        <v>0.44185436879432621</v>
      </c>
    </row>
    <row r="37" spans="1:7" x14ac:dyDescent="0.35">
      <c r="A37" t="s">
        <v>1111</v>
      </c>
      <c r="B37" t="s">
        <v>1010</v>
      </c>
      <c r="C37" s="87">
        <v>200000</v>
      </c>
      <c r="D37" s="87">
        <v>197060</v>
      </c>
      <c r="E37" s="99">
        <f t="shared" si="0"/>
        <v>0.98529999999999995</v>
      </c>
      <c r="F37" s="90">
        <f t="shared" si="1"/>
        <v>2940</v>
      </c>
      <c r="G37" s="96">
        <f t="shared" si="2"/>
        <v>1.47E-2</v>
      </c>
    </row>
    <row r="38" spans="1:7" x14ac:dyDescent="0.35">
      <c r="A38" t="s">
        <v>1102</v>
      </c>
      <c r="B38" t="s">
        <v>1002</v>
      </c>
      <c r="C38" s="87">
        <v>465000</v>
      </c>
      <c r="D38" s="87">
        <v>451042.1</v>
      </c>
      <c r="E38" s="99">
        <f t="shared" si="0"/>
        <v>0.96998301075268811</v>
      </c>
      <c r="F38" s="90">
        <f t="shared" si="1"/>
        <v>13957.900000000023</v>
      </c>
      <c r="G38" s="96">
        <f t="shared" si="2"/>
        <v>3.0016989247311877E-2</v>
      </c>
    </row>
    <row r="39" spans="1:7" x14ac:dyDescent="0.35">
      <c r="A39" t="s">
        <v>1102</v>
      </c>
      <c r="B39" t="s">
        <v>1010</v>
      </c>
      <c r="C39" s="87">
        <v>622000</v>
      </c>
      <c r="D39" s="87">
        <v>589100</v>
      </c>
      <c r="E39" s="99">
        <f t="shared" si="0"/>
        <v>0.9471061093247588</v>
      </c>
      <c r="F39" s="90">
        <f t="shared" si="1"/>
        <v>32900</v>
      </c>
      <c r="G39" s="96">
        <f t="shared" si="2"/>
        <v>5.2893890675241161E-2</v>
      </c>
    </row>
    <row r="40" spans="1:7" x14ac:dyDescent="0.35">
      <c r="A40" t="s">
        <v>1102</v>
      </c>
      <c r="B40" t="s">
        <v>997</v>
      </c>
      <c r="C40" s="87">
        <v>300000</v>
      </c>
      <c r="D40" s="87">
        <v>300000</v>
      </c>
      <c r="E40" s="99">
        <f t="shared" si="0"/>
        <v>1</v>
      </c>
      <c r="F40" s="90">
        <f t="shared" si="1"/>
        <v>0</v>
      </c>
      <c r="G40" s="96">
        <f t="shared" si="2"/>
        <v>0</v>
      </c>
    </row>
    <row r="41" spans="1:7" x14ac:dyDescent="0.35">
      <c r="A41" t="s">
        <v>1102</v>
      </c>
      <c r="B41" t="s">
        <v>999</v>
      </c>
      <c r="C41" s="87">
        <v>25000</v>
      </c>
      <c r="D41" s="87">
        <v>25000</v>
      </c>
      <c r="E41" s="99">
        <f t="shared" si="0"/>
        <v>1</v>
      </c>
      <c r="F41" s="90">
        <f t="shared" si="1"/>
        <v>0</v>
      </c>
      <c r="G41" s="96">
        <f t="shared" si="2"/>
        <v>0</v>
      </c>
    </row>
    <row r="42" spans="1:7" x14ac:dyDescent="0.35">
      <c r="A42" t="s">
        <v>1122</v>
      </c>
      <c r="B42" t="s">
        <v>1002</v>
      </c>
      <c r="C42" s="87">
        <v>1420500</v>
      </c>
      <c r="D42" s="87">
        <v>1333213.26</v>
      </c>
      <c r="E42" s="99">
        <f t="shared" si="0"/>
        <v>0.93855210137275613</v>
      </c>
      <c r="F42" s="90">
        <f t="shared" si="1"/>
        <v>87286.739999999991</v>
      </c>
      <c r="G42" s="96">
        <f t="shared" si="2"/>
        <v>6.1447898627243924E-2</v>
      </c>
    </row>
    <row r="43" spans="1:7" x14ac:dyDescent="0.35">
      <c r="A43" t="s">
        <v>1128</v>
      </c>
      <c r="B43" t="s">
        <v>1002</v>
      </c>
      <c r="C43" s="87">
        <v>1327666</v>
      </c>
      <c r="D43" s="87">
        <v>721560.01</v>
      </c>
      <c r="E43" s="99">
        <f t="shared" si="0"/>
        <v>0.54348006953556094</v>
      </c>
      <c r="F43" s="90">
        <f t="shared" si="1"/>
        <v>606105.99</v>
      </c>
      <c r="G43" s="96">
        <f t="shared" si="2"/>
        <v>0.45651993046443912</v>
      </c>
    </row>
    <row r="44" spans="1:7" x14ac:dyDescent="0.35">
      <c r="A44" t="s">
        <v>1128</v>
      </c>
      <c r="B44" t="s">
        <v>1001</v>
      </c>
      <c r="C44" s="87">
        <v>1544181</v>
      </c>
      <c r="D44" s="87">
        <v>362291.48000000016</v>
      </c>
      <c r="E44" s="99">
        <f t="shared" si="0"/>
        <v>0.23461723722801936</v>
      </c>
      <c r="F44" s="90">
        <f t="shared" si="1"/>
        <v>1181889.5199999998</v>
      </c>
      <c r="G44" s="96">
        <f t="shared" si="2"/>
        <v>0.76538276277198058</v>
      </c>
    </row>
    <row r="45" spans="1:7" x14ac:dyDescent="0.35">
      <c r="A45" t="s">
        <v>1128</v>
      </c>
      <c r="B45" t="s">
        <v>1010</v>
      </c>
      <c r="C45" s="87">
        <v>1892072</v>
      </c>
      <c r="D45" s="87">
        <v>224958.38</v>
      </c>
      <c r="E45" s="99">
        <f t="shared" si="0"/>
        <v>0.11889525345758513</v>
      </c>
      <c r="F45" s="90">
        <f t="shared" si="1"/>
        <v>1667113.62</v>
      </c>
      <c r="G45" s="96">
        <f t="shared" si="2"/>
        <v>0.88110474654241489</v>
      </c>
    </row>
    <row r="46" spans="1:7" x14ac:dyDescent="0.35">
      <c r="A46" t="s">
        <v>1099</v>
      </c>
      <c r="B46" t="s">
        <v>1010</v>
      </c>
      <c r="C46" s="87">
        <v>271000</v>
      </c>
      <c r="D46" s="87">
        <v>171000</v>
      </c>
      <c r="E46" s="99">
        <f t="shared" si="0"/>
        <v>0.63099630996309963</v>
      </c>
      <c r="F46" s="90">
        <f t="shared" si="1"/>
        <v>100000</v>
      </c>
      <c r="G46" s="96">
        <f t="shared" si="2"/>
        <v>0.36900369003690037</v>
      </c>
    </row>
    <row r="47" spans="1:7" x14ac:dyDescent="0.35">
      <c r="A47" t="s">
        <v>1099</v>
      </c>
      <c r="B47" t="s">
        <v>998</v>
      </c>
      <c r="C47" s="87">
        <v>604900</v>
      </c>
      <c r="D47" s="87">
        <v>604900</v>
      </c>
      <c r="E47" s="99">
        <f t="shared" si="0"/>
        <v>1</v>
      </c>
      <c r="F47" s="90">
        <f t="shared" si="1"/>
        <v>0</v>
      </c>
      <c r="G47" s="96">
        <f t="shared" si="2"/>
        <v>0</v>
      </c>
    </row>
    <row r="48" spans="1:7" x14ac:dyDescent="0.35">
      <c r="A48" t="s">
        <v>1099</v>
      </c>
      <c r="B48" t="s">
        <v>997</v>
      </c>
      <c r="C48" s="87">
        <v>200000</v>
      </c>
      <c r="D48" s="87">
        <v>200000</v>
      </c>
      <c r="E48" s="99">
        <f t="shared" si="0"/>
        <v>1</v>
      </c>
      <c r="F48" s="90">
        <f t="shared" si="1"/>
        <v>0</v>
      </c>
      <c r="G48" s="96">
        <f t="shared" si="2"/>
        <v>0</v>
      </c>
    </row>
    <row r="49" spans="1:7" x14ac:dyDescent="0.35">
      <c r="A49" t="s">
        <v>1126</v>
      </c>
      <c r="B49" t="s">
        <v>1002</v>
      </c>
      <c r="C49" s="87">
        <v>619732</v>
      </c>
      <c r="D49" s="87">
        <v>545757.35</v>
      </c>
      <c r="E49" s="99">
        <f t="shared" si="0"/>
        <v>0.88063445166620402</v>
      </c>
      <c r="F49" s="90">
        <f t="shared" si="1"/>
        <v>73974.650000000023</v>
      </c>
      <c r="G49" s="96">
        <f t="shared" si="2"/>
        <v>0.11936554833379594</v>
      </c>
    </row>
    <row r="50" spans="1:7" x14ac:dyDescent="0.35">
      <c r="A50" t="s">
        <v>1126</v>
      </c>
      <c r="B50" t="s">
        <v>1001</v>
      </c>
      <c r="C50" s="87">
        <v>814492</v>
      </c>
      <c r="D50" s="87">
        <v>281682.23</v>
      </c>
      <c r="E50" s="99">
        <f t="shared" si="0"/>
        <v>0.34583793333758955</v>
      </c>
      <c r="F50" s="90">
        <f t="shared" si="1"/>
        <v>532809.77</v>
      </c>
      <c r="G50" s="96">
        <f t="shared" si="2"/>
        <v>0.6541620666624105</v>
      </c>
    </row>
    <row r="51" spans="1:7" x14ac:dyDescent="0.35">
      <c r="A51" t="s">
        <v>1126</v>
      </c>
      <c r="B51" t="s">
        <v>1010</v>
      </c>
      <c r="C51" s="87">
        <v>586900</v>
      </c>
      <c r="D51" s="87">
        <v>10740.59</v>
      </c>
      <c r="E51" s="99">
        <f t="shared" si="0"/>
        <v>1.8300545237689557E-2</v>
      </c>
      <c r="F51" s="90">
        <f t="shared" si="1"/>
        <v>576159.41</v>
      </c>
      <c r="G51" s="96">
        <f t="shared" si="2"/>
        <v>0.98169945476231046</v>
      </c>
    </row>
    <row r="52" spans="1:7" x14ac:dyDescent="0.35">
      <c r="A52" t="s">
        <v>1171</v>
      </c>
      <c r="B52" t="s">
        <v>1010</v>
      </c>
      <c r="C52" s="87">
        <v>864069</v>
      </c>
      <c r="D52" s="87">
        <v>771218.94</v>
      </c>
      <c r="E52" s="99">
        <f t="shared" si="0"/>
        <v>0.89254323439447536</v>
      </c>
      <c r="F52" s="90">
        <f t="shared" si="1"/>
        <v>92850.060000000056</v>
      </c>
      <c r="G52" s="96">
        <f t="shared" si="2"/>
        <v>0.10745676560552463</v>
      </c>
    </row>
    <row r="53" spans="1:7" x14ac:dyDescent="0.35">
      <c r="A53" t="s">
        <v>1096</v>
      </c>
      <c r="B53" t="s">
        <v>1002</v>
      </c>
      <c r="C53" s="87">
        <v>625692</v>
      </c>
      <c r="D53" s="87">
        <v>560973.54</v>
      </c>
      <c r="E53" s="99">
        <f t="shared" si="0"/>
        <v>0.8965649872461211</v>
      </c>
      <c r="F53" s="90">
        <f t="shared" si="1"/>
        <v>64718.459999999963</v>
      </c>
      <c r="G53" s="96">
        <f t="shared" si="2"/>
        <v>0.10343501275387884</v>
      </c>
    </row>
    <row r="54" spans="1:7" x14ac:dyDescent="0.35">
      <c r="A54" t="s">
        <v>1096</v>
      </c>
      <c r="B54" t="s">
        <v>1001</v>
      </c>
      <c r="C54" s="87">
        <v>181000</v>
      </c>
      <c r="D54" s="87">
        <v>88834.659999999989</v>
      </c>
      <c r="E54" s="99">
        <f t="shared" si="0"/>
        <v>0.49079922651933694</v>
      </c>
      <c r="F54" s="90">
        <f t="shared" si="1"/>
        <v>92165.340000000011</v>
      </c>
      <c r="G54" s="96">
        <f t="shared" si="2"/>
        <v>0.50920077348066306</v>
      </c>
    </row>
    <row r="55" spans="1:7" x14ac:dyDescent="0.35">
      <c r="A55" t="s">
        <v>1096</v>
      </c>
      <c r="B55" t="s">
        <v>997</v>
      </c>
      <c r="C55" s="87">
        <v>30000</v>
      </c>
      <c r="D55" s="87">
        <v>30000</v>
      </c>
      <c r="E55" s="99">
        <f t="shared" si="0"/>
        <v>1</v>
      </c>
      <c r="F55" s="90">
        <f t="shared" si="1"/>
        <v>0</v>
      </c>
      <c r="G55" s="96">
        <f t="shared" si="2"/>
        <v>0</v>
      </c>
    </row>
    <row r="56" spans="1:7" x14ac:dyDescent="0.35">
      <c r="A56" t="s">
        <v>1096</v>
      </c>
      <c r="B56" t="s">
        <v>999</v>
      </c>
      <c r="C56" s="87">
        <v>60000</v>
      </c>
      <c r="D56" s="87">
        <v>60000</v>
      </c>
      <c r="E56" s="99">
        <f t="shared" si="0"/>
        <v>1</v>
      </c>
      <c r="F56" s="90">
        <f t="shared" si="1"/>
        <v>0</v>
      </c>
      <c r="G56" s="96">
        <f t="shared" si="2"/>
        <v>0</v>
      </c>
    </row>
    <row r="57" spans="1:7" x14ac:dyDescent="0.35">
      <c r="A57" t="s">
        <v>1131</v>
      </c>
      <c r="B57" t="s">
        <v>1002</v>
      </c>
      <c r="C57" s="87">
        <v>19350</v>
      </c>
      <c r="D57" s="87">
        <v>18525</v>
      </c>
      <c r="E57" s="99">
        <f t="shared" si="0"/>
        <v>0.95736434108527135</v>
      </c>
      <c r="F57" s="90">
        <f t="shared" si="1"/>
        <v>825</v>
      </c>
      <c r="G57" s="96">
        <f t="shared" si="2"/>
        <v>4.2635658914728682E-2</v>
      </c>
    </row>
    <row r="58" spans="1:7" x14ac:dyDescent="0.35">
      <c r="A58" t="s">
        <v>1131</v>
      </c>
      <c r="B58" t="s">
        <v>1001</v>
      </c>
      <c r="C58" s="87">
        <v>30000</v>
      </c>
      <c r="D58" s="87">
        <v>30000</v>
      </c>
      <c r="E58" s="99">
        <f t="shared" si="0"/>
        <v>1</v>
      </c>
      <c r="F58" s="90">
        <f t="shared" si="1"/>
        <v>0</v>
      </c>
      <c r="G58" s="96">
        <f t="shared" si="2"/>
        <v>0</v>
      </c>
    </row>
    <row r="59" spans="1:7" x14ac:dyDescent="0.35">
      <c r="A59" t="s">
        <v>1131</v>
      </c>
      <c r="B59" t="s">
        <v>1010</v>
      </c>
      <c r="C59" s="87">
        <v>2424345</v>
      </c>
      <c r="D59" s="87">
        <v>618255.31999999995</v>
      </c>
      <c r="E59" s="99">
        <f t="shared" si="0"/>
        <v>0.25501952898617974</v>
      </c>
      <c r="F59" s="90">
        <f t="shared" si="1"/>
        <v>1806089.6800000002</v>
      </c>
      <c r="G59" s="96">
        <f t="shared" si="2"/>
        <v>0.74498047101382026</v>
      </c>
    </row>
    <row r="60" spans="1:7" x14ac:dyDescent="0.35">
      <c r="A60" t="s">
        <v>1131</v>
      </c>
      <c r="B60" t="s">
        <v>1008</v>
      </c>
      <c r="C60" s="87">
        <v>76120</v>
      </c>
      <c r="D60" s="87">
        <v>55360</v>
      </c>
      <c r="E60" s="99">
        <f t="shared" si="0"/>
        <v>0.72727272727272729</v>
      </c>
      <c r="F60" s="90">
        <f t="shared" si="1"/>
        <v>20760</v>
      </c>
      <c r="G60" s="96">
        <f t="shared" si="2"/>
        <v>0.27272727272727271</v>
      </c>
    </row>
    <row r="61" spans="1:7" x14ac:dyDescent="0.35">
      <c r="A61" t="s">
        <v>1116</v>
      </c>
      <c r="B61" t="s">
        <v>999</v>
      </c>
      <c r="C61" s="87">
        <v>694710</v>
      </c>
      <c r="D61" s="87">
        <v>694710</v>
      </c>
      <c r="E61" s="99">
        <f t="shared" si="0"/>
        <v>1</v>
      </c>
      <c r="F61" s="90">
        <f t="shared" si="1"/>
        <v>0</v>
      </c>
      <c r="G61" s="96">
        <f t="shared" si="2"/>
        <v>0</v>
      </c>
    </row>
    <row r="62" spans="1:7" x14ac:dyDescent="0.35">
      <c r="A62" t="s">
        <v>1113</v>
      </c>
      <c r="B62" t="s">
        <v>1010</v>
      </c>
      <c r="C62" s="87">
        <v>627674</v>
      </c>
      <c r="D62" s="87">
        <v>627674</v>
      </c>
      <c r="E62" s="99">
        <f t="shared" si="0"/>
        <v>1</v>
      </c>
      <c r="F62" s="90">
        <f t="shared" si="1"/>
        <v>0</v>
      </c>
      <c r="G62" s="96">
        <f t="shared" si="2"/>
        <v>0</v>
      </c>
    </row>
    <row r="63" spans="1:7" x14ac:dyDescent="0.35">
      <c r="A63" t="s">
        <v>1107</v>
      </c>
      <c r="B63" t="s">
        <v>1002</v>
      </c>
      <c r="C63" s="87">
        <v>105000</v>
      </c>
      <c r="D63" s="87">
        <v>105000</v>
      </c>
      <c r="E63" s="99">
        <f t="shared" si="0"/>
        <v>1</v>
      </c>
      <c r="F63" s="90">
        <f t="shared" si="1"/>
        <v>0</v>
      </c>
      <c r="G63" s="96">
        <f t="shared" si="2"/>
        <v>0</v>
      </c>
    </row>
    <row r="64" spans="1:7" x14ac:dyDescent="0.35">
      <c r="A64" t="s">
        <v>1107</v>
      </c>
      <c r="B64" t="s">
        <v>1001</v>
      </c>
      <c r="C64" s="87">
        <v>347000</v>
      </c>
      <c r="D64" s="87">
        <v>347000</v>
      </c>
      <c r="E64" s="99">
        <f t="shared" si="0"/>
        <v>1</v>
      </c>
      <c r="F64" s="90">
        <f t="shared" si="1"/>
        <v>0</v>
      </c>
      <c r="G64" s="96">
        <f t="shared" si="2"/>
        <v>0</v>
      </c>
    </row>
    <row r="65" spans="1:7" x14ac:dyDescent="0.35">
      <c r="A65" t="s">
        <v>1107</v>
      </c>
      <c r="B65" t="s">
        <v>1010</v>
      </c>
      <c r="C65" s="87">
        <v>5000</v>
      </c>
      <c r="D65" s="87">
        <v>3480.25</v>
      </c>
      <c r="E65" s="99">
        <f t="shared" si="0"/>
        <v>0.69604999999999995</v>
      </c>
      <c r="F65" s="90">
        <f t="shared" si="1"/>
        <v>1519.75</v>
      </c>
      <c r="G65" s="96">
        <f t="shared" si="2"/>
        <v>0.30395</v>
      </c>
    </row>
    <row r="66" spans="1:7" x14ac:dyDescent="0.35">
      <c r="A66" t="s">
        <v>1107</v>
      </c>
      <c r="B66" t="s">
        <v>997</v>
      </c>
      <c r="C66" s="87">
        <v>100000</v>
      </c>
      <c r="D66" s="87">
        <v>100000</v>
      </c>
      <c r="E66" s="99">
        <f t="shared" si="0"/>
        <v>1</v>
      </c>
      <c r="F66" s="90">
        <f t="shared" si="1"/>
        <v>0</v>
      </c>
      <c r="G66" s="96">
        <f t="shared" si="2"/>
        <v>0</v>
      </c>
    </row>
    <row r="67" spans="1:7" x14ac:dyDescent="0.35">
      <c r="A67" t="s">
        <v>1107</v>
      </c>
      <c r="B67" t="s">
        <v>999</v>
      </c>
      <c r="C67" s="87">
        <v>20000</v>
      </c>
      <c r="D67" s="87">
        <v>13680</v>
      </c>
      <c r="E67" s="99">
        <f t="shared" ref="E67:E111" si="3">D67/C67</f>
        <v>0.68400000000000005</v>
      </c>
      <c r="F67" s="90">
        <f t="shared" ref="F67:F111" si="4">C67-D67</f>
        <v>6320</v>
      </c>
      <c r="G67" s="96">
        <f t="shared" ref="G67:G111" si="5">F67/C67</f>
        <v>0.316</v>
      </c>
    </row>
    <row r="68" spans="1:7" x14ac:dyDescent="0.35">
      <c r="A68" t="s">
        <v>1103</v>
      </c>
      <c r="B68" t="s">
        <v>1002</v>
      </c>
      <c r="C68" s="87">
        <v>61116</v>
      </c>
      <c r="D68" s="87">
        <v>59316</v>
      </c>
      <c r="E68" s="99">
        <f t="shared" si="3"/>
        <v>0.97054781072059693</v>
      </c>
      <c r="F68" s="90">
        <f t="shared" si="4"/>
        <v>1800</v>
      </c>
      <c r="G68" s="96">
        <f t="shared" si="5"/>
        <v>2.9452189279403101E-2</v>
      </c>
    </row>
    <row r="69" spans="1:7" x14ac:dyDescent="0.35">
      <c r="A69" t="s">
        <v>1103</v>
      </c>
      <c r="B69" t="s">
        <v>1001</v>
      </c>
      <c r="C69" s="87">
        <v>158000</v>
      </c>
      <c r="D69" s="87">
        <v>120351.5</v>
      </c>
      <c r="E69" s="99">
        <f t="shared" si="3"/>
        <v>0.76171835443037972</v>
      </c>
      <c r="F69" s="90">
        <f t="shared" si="4"/>
        <v>37648.5</v>
      </c>
      <c r="G69" s="96">
        <f t="shared" si="5"/>
        <v>0.23828164556962025</v>
      </c>
    </row>
    <row r="70" spans="1:7" x14ac:dyDescent="0.35">
      <c r="A70" t="s">
        <v>1103</v>
      </c>
      <c r="B70" t="s">
        <v>1010</v>
      </c>
      <c r="C70" s="87">
        <v>185000</v>
      </c>
      <c r="D70" s="87">
        <v>175602.85</v>
      </c>
      <c r="E70" s="99">
        <f t="shared" si="3"/>
        <v>0.94920459459459461</v>
      </c>
      <c r="F70" s="90">
        <f t="shared" si="4"/>
        <v>9397.1499999999942</v>
      </c>
      <c r="G70" s="96">
        <f t="shared" si="5"/>
        <v>5.0795405405405371E-2</v>
      </c>
    </row>
    <row r="71" spans="1:7" x14ac:dyDescent="0.35">
      <c r="A71" t="s">
        <v>1103</v>
      </c>
      <c r="B71" t="s">
        <v>1008</v>
      </c>
      <c r="C71" s="87">
        <v>162500</v>
      </c>
      <c r="D71" s="87">
        <v>162500</v>
      </c>
      <c r="E71" s="99">
        <f t="shared" si="3"/>
        <v>1</v>
      </c>
      <c r="F71" s="90">
        <f t="shared" si="4"/>
        <v>0</v>
      </c>
      <c r="G71" s="96">
        <f t="shared" si="5"/>
        <v>0</v>
      </c>
    </row>
    <row r="72" spans="1:7" x14ac:dyDescent="0.35">
      <c r="A72" t="s">
        <v>1103</v>
      </c>
      <c r="B72" t="s">
        <v>997</v>
      </c>
      <c r="C72" s="87">
        <v>10000</v>
      </c>
      <c r="D72" s="87">
        <v>4697.5</v>
      </c>
      <c r="E72" s="99">
        <f t="shared" si="3"/>
        <v>0.46975</v>
      </c>
      <c r="F72" s="90">
        <f t="shared" si="4"/>
        <v>5302.5</v>
      </c>
      <c r="G72" s="96">
        <f t="shared" si="5"/>
        <v>0.53025</v>
      </c>
    </row>
    <row r="73" spans="1:7" x14ac:dyDescent="0.35">
      <c r="A73" t="s">
        <v>1103</v>
      </c>
      <c r="B73" t="s">
        <v>999</v>
      </c>
      <c r="C73" s="87">
        <v>12000</v>
      </c>
      <c r="D73" s="87">
        <v>4947</v>
      </c>
      <c r="E73" s="99">
        <f t="shared" si="3"/>
        <v>0.41225000000000001</v>
      </c>
      <c r="F73" s="90">
        <f t="shared" si="4"/>
        <v>7053</v>
      </c>
      <c r="G73" s="96">
        <f t="shared" si="5"/>
        <v>0.58774999999999999</v>
      </c>
    </row>
    <row r="74" spans="1:7" x14ac:dyDescent="0.35">
      <c r="A74" t="s">
        <v>1130</v>
      </c>
      <c r="B74" t="s">
        <v>1002</v>
      </c>
      <c r="C74" s="87">
        <v>45630</v>
      </c>
      <c r="D74" s="87">
        <v>45630</v>
      </c>
      <c r="E74" s="99">
        <f t="shared" si="3"/>
        <v>1</v>
      </c>
      <c r="F74" s="90">
        <f t="shared" si="4"/>
        <v>0</v>
      </c>
      <c r="G74" s="96">
        <f t="shared" si="5"/>
        <v>0</v>
      </c>
    </row>
    <row r="75" spans="1:7" x14ac:dyDescent="0.35">
      <c r="A75" t="s">
        <v>1130</v>
      </c>
      <c r="B75" t="s">
        <v>1001</v>
      </c>
      <c r="C75" s="87">
        <v>439000</v>
      </c>
      <c r="D75" s="87">
        <v>436821.95999999996</v>
      </c>
      <c r="E75" s="99">
        <f t="shared" si="3"/>
        <v>0.99503863325740305</v>
      </c>
      <c r="F75" s="90">
        <f t="shared" si="4"/>
        <v>2178.0400000000373</v>
      </c>
      <c r="G75" s="96">
        <f t="shared" si="5"/>
        <v>4.9613667425968955E-3</v>
      </c>
    </row>
    <row r="76" spans="1:7" x14ac:dyDescent="0.35">
      <c r="A76" t="s">
        <v>1172</v>
      </c>
      <c r="B76" t="s">
        <v>1010</v>
      </c>
      <c r="C76" s="87">
        <v>657390</v>
      </c>
      <c r="D76" s="87">
        <v>344639.67</v>
      </c>
      <c r="E76" s="99">
        <f t="shared" si="3"/>
        <v>0.52425450645735405</v>
      </c>
      <c r="F76" s="90">
        <f t="shared" si="4"/>
        <v>312750.33</v>
      </c>
      <c r="G76" s="96">
        <f t="shared" si="5"/>
        <v>0.47574549354264595</v>
      </c>
    </row>
    <row r="77" spans="1:7" x14ac:dyDescent="0.35">
      <c r="A77" t="s">
        <v>1173</v>
      </c>
      <c r="B77" t="s">
        <v>1010</v>
      </c>
      <c r="C77" s="87">
        <v>292600</v>
      </c>
      <c r="D77" s="87">
        <v>292600</v>
      </c>
      <c r="E77" s="99">
        <f t="shared" si="3"/>
        <v>1</v>
      </c>
      <c r="F77" s="90">
        <f t="shared" si="4"/>
        <v>0</v>
      </c>
      <c r="G77" s="96">
        <f t="shared" si="5"/>
        <v>0</v>
      </c>
    </row>
    <row r="78" spans="1:7" x14ac:dyDescent="0.35">
      <c r="A78" t="s">
        <v>1110</v>
      </c>
      <c r="B78" t="s">
        <v>1002</v>
      </c>
      <c r="C78" s="87">
        <v>160000</v>
      </c>
      <c r="D78" s="87">
        <v>160000</v>
      </c>
      <c r="E78" s="99">
        <f t="shared" si="3"/>
        <v>1</v>
      </c>
      <c r="F78" s="90">
        <f t="shared" si="4"/>
        <v>0</v>
      </c>
      <c r="G78" s="96">
        <f t="shared" si="5"/>
        <v>0</v>
      </c>
    </row>
    <row r="79" spans="1:7" x14ac:dyDescent="0.35">
      <c r="A79" t="s">
        <v>1110</v>
      </c>
      <c r="B79" t="s">
        <v>1008</v>
      </c>
      <c r="C79" s="87">
        <v>107500</v>
      </c>
      <c r="D79" s="87">
        <v>107500</v>
      </c>
      <c r="E79" s="99">
        <f t="shared" si="3"/>
        <v>1</v>
      </c>
      <c r="F79" s="90">
        <f t="shared" si="4"/>
        <v>0</v>
      </c>
      <c r="G79" s="96">
        <f t="shared" si="5"/>
        <v>0</v>
      </c>
    </row>
    <row r="80" spans="1:7" x14ac:dyDescent="0.35">
      <c r="A80" t="s">
        <v>1129</v>
      </c>
      <c r="B80" t="s">
        <v>1002</v>
      </c>
      <c r="C80" s="87">
        <v>52500</v>
      </c>
      <c r="D80" s="87">
        <v>48305</v>
      </c>
      <c r="E80" s="99">
        <f t="shared" si="3"/>
        <v>0.92009523809523808</v>
      </c>
      <c r="F80" s="90">
        <f t="shared" si="4"/>
        <v>4195</v>
      </c>
      <c r="G80" s="96">
        <f t="shared" si="5"/>
        <v>7.9904761904761909E-2</v>
      </c>
    </row>
    <row r="81" spans="1:7" x14ac:dyDescent="0.35">
      <c r="A81" t="s">
        <v>1129</v>
      </c>
      <c r="B81" t="s">
        <v>1001</v>
      </c>
      <c r="C81" s="87">
        <v>219640</v>
      </c>
      <c r="D81" s="87">
        <v>179915</v>
      </c>
      <c r="E81" s="99">
        <f t="shared" si="3"/>
        <v>0.81913585867783645</v>
      </c>
      <c r="F81" s="90">
        <f t="shared" si="4"/>
        <v>39725</v>
      </c>
      <c r="G81" s="96">
        <f t="shared" si="5"/>
        <v>0.18086414132216355</v>
      </c>
    </row>
    <row r="82" spans="1:7" x14ac:dyDescent="0.35">
      <c r="A82" t="s">
        <v>1132</v>
      </c>
      <c r="B82" t="s">
        <v>1002</v>
      </c>
      <c r="C82" s="87">
        <v>155000</v>
      </c>
      <c r="D82" s="87">
        <v>155000</v>
      </c>
      <c r="E82" s="99">
        <f t="shared" si="3"/>
        <v>1</v>
      </c>
      <c r="F82" s="90">
        <f t="shared" si="4"/>
        <v>0</v>
      </c>
      <c r="G82" s="96">
        <f t="shared" si="5"/>
        <v>0</v>
      </c>
    </row>
    <row r="83" spans="1:7" x14ac:dyDescent="0.35">
      <c r="A83" t="s">
        <v>1132</v>
      </c>
      <c r="B83" t="s">
        <v>1001</v>
      </c>
      <c r="C83" s="87">
        <v>10000</v>
      </c>
      <c r="D83" s="87">
        <v>10000</v>
      </c>
      <c r="E83" s="99">
        <f t="shared" si="3"/>
        <v>1</v>
      </c>
      <c r="F83" s="90">
        <f t="shared" si="4"/>
        <v>0</v>
      </c>
      <c r="G83" s="96">
        <f t="shared" si="5"/>
        <v>0</v>
      </c>
    </row>
    <row r="84" spans="1:7" x14ac:dyDescent="0.35">
      <c r="A84" t="s">
        <v>1132</v>
      </c>
      <c r="B84" t="s">
        <v>1010</v>
      </c>
      <c r="C84" s="87">
        <v>6515</v>
      </c>
      <c r="D84" s="87">
        <v>6515</v>
      </c>
      <c r="E84" s="99">
        <f t="shared" si="3"/>
        <v>1</v>
      </c>
      <c r="F84" s="90">
        <f t="shared" si="4"/>
        <v>0</v>
      </c>
      <c r="G84" s="96">
        <f t="shared" si="5"/>
        <v>0</v>
      </c>
    </row>
    <row r="85" spans="1:7" x14ac:dyDescent="0.35">
      <c r="A85" t="s">
        <v>1109</v>
      </c>
      <c r="B85" t="s">
        <v>1002</v>
      </c>
      <c r="C85" s="87">
        <v>35175</v>
      </c>
      <c r="D85" s="87">
        <v>15000.119999999999</v>
      </c>
      <c r="E85" s="99">
        <f t="shared" si="3"/>
        <v>0.42644264392324088</v>
      </c>
      <c r="F85" s="90">
        <f t="shared" si="4"/>
        <v>20174.88</v>
      </c>
      <c r="G85" s="96">
        <f t="shared" si="5"/>
        <v>0.57355735607675906</v>
      </c>
    </row>
    <row r="86" spans="1:7" x14ac:dyDescent="0.35">
      <c r="A86" t="s">
        <v>1109</v>
      </c>
      <c r="B86" t="s">
        <v>1010</v>
      </c>
      <c r="C86" s="87">
        <v>153178</v>
      </c>
      <c r="D86" s="87">
        <v>103671</v>
      </c>
      <c r="E86" s="99">
        <f t="shared" si="3"/>
        <v>0.67680084607450153</v>
      </c>
      <c r="F86" s="90">
        <f t="shared" si="4"/>
        <v>49507</v>
      </c>
      <c r="G86" s="96">
        <f t="shared" si="5"/>
        <v>0.32319915392549842</v>
      </c>
    </row>
    <row r="87" spans="1:7" x14ac:dyDescent="0.35">
      <c r="A87" t="s">
        <v>1109</v>
      </c>
      <c r="B87" t="s">
        <v>998</v>
      </c>
      <c r="C87" s="87">
        <v>115000</v>
      </c>
      <c r="D87" s="87">
        <v>241</v>
      </c>
      <c r="E87" s="99">
        <f t="shared" si="3"/>
        <v>2.0956521739130436E-3</v>
      </c>
      <c r="F87" s="90">
        <f t="shared" si="4"/>
        <v>114759</v>
      </c>
      <c r="G87" s="96">
        <f t="shared" si="5"/>
        <v>0.99790434782608695</v>
      </c>
    </row>
    <row r="88" spans="1:7" x14ac:dyDescent="0.35">
      <c r="A88" t="s">
        <v>1158</v>
      </c>
      <c r="B88" t="s">
        <v>1010</v>
      </c>
      <c r="C88" s="87">
        <v>112000</v>
      </c>
      <c r="D88" s="87">
        <v>112000</v>
      </c>
      <c r="E88" s="99">
        <f t="shared" si="3"/>
        <v>1</v>
      </c>
      <c r="F88" s="90">
        <f t="shared" si="4"/>
        <v>0</v>
      </c>
      <c r="G88" s="96">
        <f t="shared" si="5"/>
        <v>0</v>
      </c>
    </row>
    <row r="89" spans="1:7" x14ac:dyDescent="0.35">
      <c r="A89" t="s">
        <v>1158</v>
      </c>
      <c r="B89" t="s">
        <v>1008</v>
      </c>
      <c r="C89" s="87">
        <v>5625</v>
      </c>
      <c r="D89" s="87">
        <v>5625</v>
      </c>
      <c r="E89" s="99">
        <f t="shared" si="3"/>
        <v>1</v>
      </c>
      <c r="F89" s="90">
        <f t="shared" si="4"/>
        <v>0</v>
      </c>
      <c r="G89" s="96">
        <f t="shared" si="5"/>
        <v>0</v>
      </c>
    </row>
    <row r="90" spans="1:7" x14ac:dyDescent="0.35">
      <c r="A90" t="s">
        <v>1124</v>
      </c>
      <c r="B90" t="s">
        <v>1002</v>
      </c>
      <c r="C90" s="87">
        <v>5000</v>
      </c>
      <c r="D90" s="87">
        <v>5000</v>
      </c>
      <c r="E90" s="99">
        <f t="shared" si="3"/>
        <v>1</v>
      </c>
      <c r="F90" s="90">
        <f t="shared" si="4"/>
        <v>0</v>
      </c>
      <c r="G90" s="96">
        <f t="shared" si="5"/>
        <v>0</v>
      </c>
    </row>
    <row r="91" spans="1:7" x14ac:dyDescent="0.35">
      <c r="A91" t="s">
        <v>1124</v>
      </c>
      <c r="B91" t="s">
        <v>1001</v>
      </c>
      <c r="C91" s="87">
        <v>58242</v>
      </c>
      <c r="D91" s="87">
        <v>54914</v>
      </c>
      <c r="E91" s="99">
        <f t="shared" si="3"/>
        <v>0.94285910511314863</v>
      </c>
      <c r="F91" s="90">
        <f t="shared" si="4"/>
        <v>3328</v>
      </c>
      <c r="G91" s="96">
        <f t="shared" si="5"/>
        <v>5.7140894886851416E-2</v>
      </c>
    </row>
    <row r="92" spans="1:7" x14ac:dyDescent="0.35">
      <c r="A92" t="s">
        <v>1124</v>
      </c>
      <c r="B92" t="s">
        <v>1010</v>
      </c>
      <c r="C92" s="87">
        <v>0</v>
      </c>
      <c r="D92" s="87">
        <v>0</v>
      </c>
      <c r="E92" s="99" t="e">
        <f t="shared" si="3"/>
        <v>#DIV/0!</v>
      </c>
      <c r="F92" s="90">
        <f t="shared" si="4"/>
        <v>0</v>
      </c>
      <c r="G92" s="96" t="e">
        <f t="shared" si="5"/>
        <v>#DIV/0!</v>
      </c>
    </row>
    <row r="93" spans="1:7" x14ac:dyDescent="0.35">
      <c r="A93" t="s">
        <v>1124</v>
      </c>
      <c r="B93" t="s">
        <v>1008</v>
      </c>
      <c r="C93" s="87">
        <v>50625</v>
      </c>
      <c r="D93" s="87">
        <v>50625</v>
      </c>
      <c r="E93" s="99">
        <f t="shared" si="3"/>
        <v>1</v>
      </c>
      <c r="F93" s="90">
        <f t="shared" si="4"/>
        <v>0</v>
      </c>
      <c r="G93" s="96">
        <f t="shared" si="5"/>
        <v>0</v>
      </c>
    </row>
    <row r="94" spans="1:7" x14ac:dyDescent="0.35">
      <c r="A94" t="s">
        <v>1170</v>
      </c>
      <c r="B94" t="s">
        <v>1010</v>
      </c>
      <c r="C94" s="87">
        <v>180000</v>
      </c>
      <c r="D94" s="87">
        <v>101487.75</v>
      </c>
      <c r="E94" s="99">
        <f t="shared" si="3"/>
        <v>0.56382083333333333</v>
      </c>
      <c r="F94" s="90">
        <f t="shared" si="4"/>
        <v>78512.25</v>
      </c>
      <c r="G94" s="96">
        <f t="shared" si="5"/>
        <v>0.43617916666666667</v>
      </c>
    </row>
    <row r="95" spans="1:7" x14ac:dyDescent="0.35">
      <c r="A95" t="s">
        <v>1133</v>
      </c>
      <c r="B95" t="s">
        <v>1010</v>
      </c>
      <c r="C95" s="87">
        <v>90000</v>
      </c>
      <c r="D95" s="87">
        <v>90000</v>
      </c>
      <c r="E95" s="99">
        <f t="shared" si="3"/>
        <v>1</v>
      </c>
      <c r="F95" s="90">
        <f t="shared" si="4"/>
        <v>0</v>
      </c>
      <c r="G95" s="96">
        <f t="shared" si="5"/>
        <v>0</v>
      </c>
    </row>
    <row r="96" spans="1:7" x14ac:dyDescent="0.35">
      <c r="A96" t="s">
        <v>1114</v>
      </c>
      <c r="B96" t="s">
        <v>1002</v>
      </c>
      <c r="C96" s="87">
        <v>85229</v>
      </c>
      <c r="D96" s="87">
        <v>63823.77</v>
      </c>
      <c r="E96" s="99">
        <f t="shared" si="3"/>
        <v>0.74885039129873632</v>
      </c>
      <c r="F96" s="90">
        <f t="shared" si="4"/>
        <v>21405.230000000003</v>
      </c>
      <c r="G96" s="96">
        <f t="shared" si="5"/>
        <v>0.25114960870126368</v>
      </c>
    </row>
    <row r="97" spans="1:7" x14ac:dyDescent="0.35">
      <c r="A97" t="s">
        <v>1106</v>
      </c>
      <c r="B97" t="s">
        <v>997</v>
      </c>
      <c r="C97" s="87">
        <v>50000</v>
      </c>
      <c r="D97" s="87">
        <v>50000</v>
      </c>
      <c r="E97" s="99">
        <f t="shared" si="3"/>
        <v>1</v>
      </c>
      <c r="F97" s="90">
        <f t="shared" si="4"/>
        <v>0</v>
      </c>
      <c r="G97" s="96">
        <f t="shared" si="5"/>
        <v>0</v>
      </c>
    </row>
    <row r="98" spans="1:7" x14ac:dyDescent="0.35">
      <c r="A98" t="s">
        <v>1177</v>
      </c>
      <c r="B98" t="s">
        <v>1010</v>
      </c>
      <c r="C98" s="87">
        <v>35000</v>
      </c>
      <c r="D98" s="87">
        <v>35000</v>
      </c>
      <c r="E98" s="99">
        <f t="shared" si="3"/>
        <v>1</v>
      </c>
      <c r="F98" s="90">
        <f t="shared" si="4"/>
        <v>0</v>
      </c>
      <c r="G98" s="96">
        <f t="shared" si="5"/>
        <v>0</v>
      </c>
    </row>
    <row r="99" spans="1:7" x14ac:dyDescent="0.35">
      <c r="A99" t="s">
        <v>1117</v>
      </c>
      <c r="B99" t="s">
        <v>1010</v>
      </c>
      <c r="C99" s="87">
        <v>565385</v>
      </c>
      <c r="D99" s="87">
        <v>20385</v>
      </c>
      <c r="E99" s="99">
        <f t="shared" si="3"/>
        <v>3.6055077513552712E-2</v>
      </c>
      <c r="F99" s="90">
        <f t="shared" si="4"/>
        <v>545000</v>
      </c>
      <c r="G99" s="96">
        <f t="shared" si="5"/>
        <v>0.96394492248644725</v>
      </c>
    </row>
    <row r="100" spans="1:7" x14ac:dyDescent="0.35">
      <c r="A100" t="s">
        <v>1117</v>
      </c>
      <c r="B100" t="s">
        <v>999</v>
      </c>
      <c r="C100" s="87">
        <v>10000</v>
      </c>
      <c r="D100" s="87">
        <v>10000</v>
      </c>
      <c r="E100" s="99">
        <f t="shared" si="3"/>
        <v>1</v>
      </c>
      <c r="F100" s="90">
        <f t="shared" si="4"/>
        <v>0</v>
      </c>
      <c r="G100" s="96">
        <f t="shared" si="5"/>
        <v>0</v>
      </c>
    </row>
    <row r="101" spans="1:7" x14ac:dyDescent="0.35">
      <c r="A101" t="s">
        <v>1146</v>
      </c>
      <c r="B101" t="s">
        <v>1010</v>
      </c>
      <c r="C101" s="87">
        <v>21000</v>
      </c>
      <c r="D101" s="87">
        <v>20765</v>
      </c>
      <c r="E101" s="99">
        <f t="shared" si="3"/>
        <v>0.9888095238095238</v>
      </c>
      <c r="F101" s="90">
        <f t="shared" si="4"/>
        <v>235</v>
      </c>
      <c r="G101" s="96">
        <f t="shared" si="5"/>
        <v>1.119047619047619E-2</v>
      </c>
    </row>
    <row r="102" spans="1:7" x14ac:dyDescent="0.35">
      <c r="A102" t="s">
        <v>1176</v>
      </c>
      <c r="B102" t="s">
        <v>1010</v>
      </c>
      <c r="C102" s="87">
        <v>12000</v>
      </c>
      <c r="D102" s="87">
        <v>12000</v>
      </c>
      <c r="E102" s="99">
        <f t="shared" si="3"/>
        <v>1</v>
      </c>
      <c r="F102" s="90">
        <f t="shared" si="4"/>
        <v>0</v>
      </c>
      <c r="G102" s="96">
        <f t="shared" si="5"/>
        <v>0</v>
      </c>
    </row>
    <row r="103" spans="1:7" x14ac:dyDescent="0.35">
      <c r="A103" t="s">
        <v>1162</v>
      </c>
      <c r="B103" t="s">
        <v>1010</v>
      </c>
      <c r="C103" s="87">
        <v>10000</v>
      </c>
      <c r="D103" s="87">
        <v>10000</v>
      </c>
      <c r="E103" s="99">
        <f t="shared" si="3"/>
        <v>1</v>
      </c>
      <c r="F103" s="90">
        <f t="shared" si="4"/>
        <v>0</v>
      </c>
      <c r="G103" s="96">
        <f t="shared" si="5"/>
        <v>0</v>
      </c>
    </row>
    <row r="104" spans="1:7" x14ac:dyDescent="0.35">
      <c r="A104" t="s">
        <v>1168</v>
      </c>
      <c r="B104" t="s">
        <v>1010</v>
      </c>
      <c r="C104" s="87">
        <v>10000</v>
      </c>
      <c r="D104" s="87">
        <v>9920</v>
      </c>
      <c r="E104" s="99">
        <f t="shared" si="3"/>
        <v>0.99199999999999999</v>
      </c>
      <c r="F104" s="90">
        <f t="shared" si="4"/>
        <v>80</v>
      </c>
      <c r="G104" s="96">
        <f t="shared" si="5"/>
        <v>8.0000000000000002E-3</v>
      </c>
    </row>
    <row r="105" spans="1:7" x14ac:dyDescent="0.35">
      <c r="A105" t="s">
        <v>1120</v>
      </c>
      <c r="B105" t="s">
        <v>1010</v>
      </c>
      <c r="C105" s="87">
        <v>24400</v>
      </c>
      <c r="D105" s="87">
        <v>400</v>
      </c>
      <c r="E105" s="99">
        <f t="shared" si="3"/>
        <v>1.6393442622950821E-2</v>
      </c>
      <c r="F105" s="90">
        <f t="shared" si="4"/>
        <v>24000</v>
      </c>
      <c r="G105" s="96">
        <f t="shared" si="5"/>
        <v>0.98360655737704916</v>
      </c>
    </row>
    <row r="106" spans="1:7" x14ac:dyDescent="0.35">
      <c r="A106" t="s">
        <v>1098</v>
      </c>
      <c r="B106" t="s">
        <v>997</v>
      </c>
      <c r="C106" s="87">
        <v>22600</v>
      </c>
      <c r="D106" s="87">
        <v>83.680000000000064</v>
      </c>
      <c r="E106" s="99">
        <f t="shared" si="3"/>
        <v>3.7026548672566399E-3</v>
      </c>
      <c r="F106" s="90">
        <f t="shared" si="4"/>
        <v>22516.32</v>
      </c>
      <c r="G106" s="96">
        <f t="shared" si="5"/>
        <v>0.99629734513274337</v>
      </c>
    </row>
    <row r="107" spans="1:7" x14ac:dyDescent="0.35">
      <c r="A107" t="s">
        <v>1108</v>
      </c>
      <c r="B107" t="s">
        <v>997</v>
      </c>
      <c r="C107" s="87">
        <v>500000</v>
      </c>
      <c r="D107" s="87">
        <v>0</v>
      </c>
      <c r="E107" s="99">
        <f t="shared" si="3"/>
        <v>0</v>
      </c>
      <c r="F107" s="90">
        <f t="shared" si="4"/>
        <v>500000</v>
      </c>
      <c r="G107" s="96">
        <f t="shared" si="5"/>
        <v>1</v>
      </c>
    </row>
    <row r="108" spans="1:7" x14ac:dyDescent="0.35">
      <c r="E108" s="99"/>
      <c r="F108" s="90"/>
      <c r="G108" s="96"/>
    </row>
    <row r="109" spans="1:7" x14ac:dyDescent="0.35">
      <c r="E109" s="99"/>
      <c r="F109" s="90"/>
      <c r="G109" s="96"/>
    </row>
    <row r="110" spans="1:7" x14ac:dyDescent="0.35">
      <c r="E110" s="99"/>
      <c r="F110" s="90"/>
      <c r="G110" s="96"/>
    </row>
    <row r="111" spans="1:7" x14ac:dyDescent="0.35">
      <c r="A111" t="s">
        <v>1012</v>
      </c>
      <c r="C111" s="87">
        <v>49383665</v>
      </c>
      <c r="D111" s="87">
        <v>36071687.880000003</v>
      </c>
      <c r="E111" s="99">
        <f t="shared" si="3"/>
        <v>0.73043764329763705</v>
      </c>
      <c r="F111" s="90">
        <f t="shared" si="4"/>
        <v>13311977.119999997</v>
      </c>
      <c r="G111" s="96">
        <f t="shared" si="5"/>
        <v>0.26956235670236295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T478"/>
  <sheetViews>
    <sheetView showGridLines="0" topLeftCell="J1" zoomScale="110" zoomScaleNormal="110" workbookViewId="0">
      <pane ySplit="3" topLeftCell="A62" activePane="bottomLeft" state="frozen"/>
      <selection activeCell="G1" sqref="G1"/>
      <selection pane="bottomLeft" activeCell="Q62" sqref="Q62"/>
    </sheetView>
  </sheetViews>
  <sheetFormatPr defaultRowHeight="14.5" x14ac:dyDescent="0.35"/>
  <cols>
    <col min="1" max="1" width="16.1796875" customWidth="1"/>
    <col min="2" max="3" width="8.453125" customWidth="1"/>
    <col min="4" max="4" width="24.6328125" customWidth="1"/>
    <col min="5" max="5" width="6.81640625" customWidth="1"/>
    <col min="6" max="7" width="32.1796875" customWidth="1"/>
    <col min="8" max="8" width="33.54296875" customWidth="1"/>
    <col min="9" max="10" width="9.81640625" customWidth="1"/>
    <col min="11" max="11" width="8.1796875" customWidth="1"/>
    <col min="12" max="12" width="9" customWidth="1"/>
    <col min="13" max="13" width="9.81640625" customWidth="1"/>
    <col min="14" max="14" width="13.54296875" customWidth="1"/>
    <col min="15" max="15" width="14.1796875" customWidth="1"/>
    <col min="16" max="17" width="19.54296875" customWidth="1"/>
    <col min="18" max="18" width="15.54296875" customWidth="1"/>
    <col min="19" max="19" width="28.54296875" style="39" customWidth="1"/>
    <col min="20" max="20" width="11.54296875" customWidth="1"/>
  </cols>
  <sheetData>
    <row r="1" spans="1:20" ht="48" customHeight="1" x14ac:dyDescent="0.35">
      <c r="A1" s="1" t="s">
        <v>0</v>
      </c>
      <c r="B1" s="2" t="s">
        <v>826</v>
      </c>
    </row>
    <row r="2" spans="1:20" x14ac:dyDescent="0.35">
      <c r="A2" s="3" t="s">
        <v>0</v>
      </c>
      <c r="R2" t="s">
        <v>1192</v>
      </c>
    </row>
    <row r="3" spans="1:20" ht="21" x14ac:dyDescent="0.35">
      <c r="A3" s="4" t="s">
        <v>996</v>
      </c>
      <c r="B3" s="4" t="s">
        <v>1</v>
      </c>
      <c r="C3" s="5" t="s">
        <v>2</v>
      </c>
      <c r="D3" s="5" t="s">
        <v>1039</v>
      </c>
      <c r="E3" s="6" t="s">
        <v>3</v>
      </c>
      <c r="F3" s="7" t="s">
        <v>4</v>
      </c>
      <c r="G3" s="7" t="s">
        <v>1095</v>
      </c>
      <c r="H3" s="4" t="s">
        <v>5</v>
      </c>
      <c r="I3" s="4" t="s">
        <v>6</v>
      </c>
      <c r="J3" s="4" t="s">
        <v>7</v>
      </c>
      <c r="K3" s="4" t="s">
        <v>8</v>
      </c>
      <c r="L3" s="4" t="s">
        <v>9</v>
      </c>
      <c r="M3" s="5" t="s">
        <v>10</v>
      </c>
      <c r="N3" s="6" t="s">
        <v>827</v>
      </c>
      <c r="O3" s="6" t="s">
        <v>1023</v>
      </c>
      <c r="P3" s="6" t="s">
        <v>11</v>
      </c>
      <c r="Q3" s="6" t="s">
        <v>1178</v>
      </c>
      <c r="R3" s="6" t="s">
        <v>829</v>
      </c>
      <c r="S3" s="6" t="s">
        <v>828</v>
      </c>
      <c r="T3" s="66" t="s">
        <v>993</v>
      </c>
    </row>
    <row r="4" spans="1:20" ht="31.5" hidden="1" x14ac:dyDescent="0.35">
      <c r="A4" s="8" t="s">
        <v>997</v>
      </c>
      <c r="B4" s="9" t="s">
        <v>12</v>
      </c>
      <c r="C4" s="10" t="s">
        <v>13</v>
      </c>
      <c r="D4" s="10" t="s">
        <v>1041</v>
      </c>
      <c r="E4" s="10" t="s">
        <v>14</v>
      </c>
      <c r="F4" s="10" t="s">
        <v>15</v>
      </c>
      <c r="G4" s="10" t="s">
        <v>1096</v>
      </c>
      <c r="H4" s="10" t="s">
        <v>16</v>
      </c>
      <c r="I4" s="11">
        <v>30000</v>
      </c>
      <c r="J4" s="12"/>
      <c r="K4" s="13"/>
      <c r="L4" s="14"/>
      <c r="M4" s="15">
        <v>30000</v>
      </c>
      <c r="N4" s="14"/>
      <c r="O4" s="13"/>
      <c r="P4" s="16"/>
      <c r="Q4" s="16"/>
      <c r="R4" s="17">
        <f t="shared" ref="R4:R67" si="0">M4-N4-O4</f>
        <v>30000</v>
      </c>
      <c r="S4" s="27">
        <v>0</v>
      </c>
      <c r="T4" s="83" t="s">
        <v>1037</v>
      </c>
    </row>
    <row r="5" spans="1:20" ht="31.5" hidden="1" x14ac:dyDescent="0.35">
      <c r="A5" s="8" t="s">
        <v>997</v>
      </c>
      <c r="B5" s="9" t="s">
        <v>12</v>
      </c>
      <c r="C5" s="10" t="s">
        <v>13</v>
      </c>
      <c r="D5" s="10" t="s">
        <v>1041</v>
      </c>
      <c r="E5" s="10" t="s">
        <v>17</v>
      </c>
      <c r="F5" s="10" t="s">
        <v>18</v>
      </c>
      <c r="G5" s="10" t="s">
        <v>1097</v>
      </c>
      <c r="H5" s="10" t="s">
        <v>19</v>
      </c>
      <c r="I5" s="11">
        <v>3684121</v>
      </c>
      <c r="J5" s="12"/>
      <c r="K5" s="13"/>
      <c r="L5" s="14"/>
      <c r="M5" s="15">
        <v>3684121</v>
      </c>
      <c r="N5" s="14"/>
      <c r="O5" s="13"/>
      <c r="P5" s="16"/>
      <c r="Q5" s="16"/>
      <c r="R5" s="17">
        <f t="shared" si="0"/>
        <v>3684121</v>
      </c>
      <c r="S5" s="27">
        <v>0</v>
      </c>
      <c r="T5" s="83" t="s">
        <v>1037</v>
      </c>
    </row>
    <row r="6" spans="1:20" ht="31.5" hidden="1" x14ac:dyDescent="0.35">
      <c r="A6" s="8" t="s">
        <v>997</v>
      </c>
      <c r="B6" s="9" t="s">
        <v>12</v>
      </c>
      <c r="C6" s="10" t="s">
        <v>13</v>
      </c>
      <c r="D6" s="10" t="s">
        <v>1041</v>
      </c>
      <c r="E6" s="10" t="s">
        <v>20</v>
      </c>
      <c r="F6" s="10" t="s">
        <v>21</v>
      </c>
      <c r="G6" s="10" t="s">
        <v>1098</v>
      </c>
      <c r="H6" s="10" t="s">
        <v>22</v>
      </c>
      <c r="I6" s="11">
        <v>1500</v>
      </c>
      <c r="J6" s="12"/>
      <c r="K6" s="13"/>
      <c r="L6" s="14"/>
      <c r="M6" s="15">
        <v>1500</v>
      </c>
      <c r="N6" s="14"/>
      <c r="O6" s="13"/>
      <c r="P6" s="16"/>
      <c r="Q6" s="16"/>
      <c r="R6" s="17">
        <f t="shared" si="0"/>
        <v>1500</v>
      </c>
      <c r="S6" s="27">
        <v>0</v>
      </c>
      <c r="T6" s="83" t="s">
        <v>1037</v>
      </c>
    </row>
    <row r="7" spans="1:20" ht="31.5" hidden="1" x14ac:dyDescent="0.35">
      <c r="A7" s="8" t="s">
        <v>997</v>
      </c>
      <c r="B7" s="9" t="s">
        <v>12</v>
      </c>
      <c r="C7" s="10" t="s">
        <v>13</v>
      </c>
      <c r="D7" s="10" t="s">
        <v>1041</v>
      </c>
      <c r="E7" s="10" t="s">
        <v>23</v>
      </c>
      <c r="F7" s="10" t="s">
        <v>24</v>
      </c>
      <c r="G7" s="10" t="s">
        <v>1099</v>
      </c>
      <c r="H7" s="10" t="s">
        <v>25</v>
      </c>
      <c r="I7" s="11">
        <v>200000</v>
      </c>
      <c r="J7" s="12"/>
      <c r="K7" s="13"/>
      <c r="L7" s="14"/>
      <c r="M7" s="15">
        <v>200000</v>
      </c>
      <c r="N7" s="14"/>
      <c r="O7" s="13"/>
      <c r="P7" s="16"/>
      <c r="Q7" s="16"/>
      <c r="R7" s="17">
        <f t="shared" si="0"/>
        <v>200000</v>
      </c>
      <c r="S7" s="27">
        <v>0</v>
      </c>
      <c r="T7" s="83" t="s">
        <v>1037</v>
      </c>
    </row>
    <row r="8" spans="1:20" ht="31.5" hidden="1" x14ac:dyDescent="0.35">
      <c r="A8" s="8" t="s">
        <v>997</v>
      </c>
      <c r="B8" s="9" t="s">
        <v>12</v>
      </c>
      <c r="C8" s="10" t="s">
        <v>13</v>
      </c>
      <c r="D8" s="10" t="s">
        <v>1041</v>
      </c>
      <c r="E8" s="10" t="s">
        <v>26</v>
      </c>
      <c r="F8" s="10" t="s">
        <v>27</v>
      </c>
      <c r="G8" s="10" t="s">
        <v>1100</v>
      </c>
      <c r="H8" s="10" t="s">
        <v>28</v>
      </c>
      <c r="I8" s="11">
        <v>25000</v>
      </c>
      <c r="J8" s="12"/>
      <c r="K8" s="13"/>
      <c r="L8" s="14"/>
      <c r="M8" s="15">
        <v>25000</v>
      </c>
      <c r="N8" s="14"/>
      <c r="O8" s="13"/>
      <c r="P8" s="16"/>
      <c r="Q8" s="16"/>
      <c r="R8" s="17">
        <f t="shared" si="0"/>
        <v>25000</v>
      </c>
      <c r="S8" s="27">
        <v>0</v>
      </c>
      <c r="T8" s="83" t="s">
        <v>1037</v>
      </c>
    </row>
    <row r="9" spans="1:20" ht="31.5" hidden="1" x14ac:dyDescent="0.35">
      <c r="A9" s="8" t="s">
        <v>997</v>
      </c>
      <c r="B9" s="9" t="s">
        <v>12</v>
      </c>
      <c r="C9" s="10" t="s">
        <v>13</v>
      </c>
      <c r="D9" s="10" t="s">
        <v>1041</v>
      </c>
      <c r="E9" s="10" t="s">
        <v>29</v>
      </c>
      <c r="F9" s="10" t="s">
        <v>30</v>
      </c>
      <c r="G9" s="10" t="s">
        <v>1101</v>
      </c>
      <c r="H9" s="10" t="s">
        <v>31</v>
      </c>
      <c r="I9" s="11">
        <v>300000</v>
      </c>
      <c r="J9" s="12"/>
      <c r="K9" s="13"/>
      <c r="L9" s="14"/>
      <c r="M9" s="15">
        <v>300000</v>
      </c>
      <c r="N9" s="14"/>
      <c r="O9" s="13"/>
      <c r="P9" s="16"/>
      <c r="Q9" s="16"/>
      <c r="R9" s="17">
        <f t="shared" si="0"/>
        <v>300000</v>
      </c>
      <c r="S9" s="27">
        <v>0</v>
      </c>
      <c r="T9" s="83" t="s">
        <v>1037</v>
      </c>
    </row>
    <row r="10" spans="1:20" ht="31.5" hidden="1" x14ac:dyDescent="0.35">
      <c r="A10" s="8" t="s">
        <v>997</v>
      </c>
      <c r="B10" s="9" t="s">
        <v>12</v>
      </c>
      <c r="C10" s="10" t="s">
        <v>13</v>
      </c>
      <c r="D10" s="10" t="s">
        <v>1041</v>
      </c>
      <c r="E10" s="10" t="s">
        <v>32</v>
      </c>
      <c r="F10" s="10" t="s">
        <v>33</v>
      </c>
      <c r="G10" s="10" t="s">
        <v>1102</v>
      </c>
      <c r="H10" s="10" t="s">
        <v>34</v>
      </c>
      <c r="I10" s="11">
        <v>300000</v>
      </c>
      <c r="J10" s="12"/>
      <c r="K10" s="13"/>
      <c r="L10" s="14"/>
      <c r="M10" s="15">
        <v>300000</v>
      </c>
      <c r="N10" s="14"/>
      <c r="O10" s="13"/>
      <c r="P10" s="16"/>
      <c r="Q10" s="16"/>
      <c r="R10" s="17">
        <f t="shared" si="0"/>
        <v>300000</v>
      </c>
      <c r="S10" s="27">
        <v>0</v>
      </c>
      <c r="T10" s="83" t="s">
        <v>1037</v>
      </c>
    </row>
    <row r="11" spans="1:20" ht="31.5" hidden="1" x14ac:dyDescent="0.35">
      <c r="A11" s="8" t="s">
        <v>997</v>
      </c>
      <c r="B11" s="9" t="s">
        <v>12</v>
      </c>
      <c r="C11" s="10" t="s">
        <v>13</v>
      </c>
      <c r="D11" s="10" t="s">
        <v>1041</v>
      </c>
      <c r="E11" s="10" t="s">
        <v>35</v>
      </c>
      <c r="F11" s="10" t="s">
        <v>36</v>
      </c>
      <c r="G11" s="10" t="s">
        <v>1103</v>
      </c>
      <c r="H11" s="10" t="s">
        <v>37</v>
      </c>
      <c r="I11" s="11">
        <v>10000</v>
      </c>
      <c r="J11" s="18">
        <v>5302.5</v>
      </c>
      <c r="K11" s="13"/>
      <c r="L11" s="14"/>
      <c r="M11" s="15">
        <v>4697.5</v>
      </c>
      <c r="N11" s="14"/>
      <c r="O11" s="13"/>
      <c r="P11" s="16"/>
      <c r="Q11" s="16"/>
      <c r="R11" s="17">
        <f t="shared" si="0"/>
        <v>4697.5</v>
      </c>
      <c r="S11" s="27">
        <v>0</v>
      </c>
      <c r="T11" s="83" t="s">
        <v>1037</v>
      </c>
    </row>
    <row r="12" spans="1:20" ht="31.5" hidden="1" x14ac:dyDescent="0.35">
      <c r="A12" s="8" t="s">
        <v>997</v>
      </c>
      <c r="B12" s="9" t="s">
        <v>12</v>
      </c>
      <c r="C12" s="10" t="s">
        <v>13</v>
      </c>
      <c r="D12" s="10" t="s">
        <v>1041</v>
      </c>
      <c r="E12" s="10" t="s">
        <v>38</v>
      </c>
      <c r="F12" s="10" t="s">
        <v>39</v>
      </c>
      <c r="G12" s="10" t="s">
        <v>1104</v>
      </c>
      <c r="H12" s="10" t="s">
        <v>40</v>
      </c>
      <c r="I12" s="11">
        <v>518388</v>
      </c>
      <c r="J12" s="18">
        <v>42239.5</v>
      </c>
      <c r="K12" s="13"/>
      <c r="L12" s="14"/>
      <c r="M12" s="15">
        <v>476148.5</v>
      </c>
      <c r="N12" s="14"/>
      <c r="O12" s="13"/>
      <c r="P12" s="16"/>
      <c r="Q12" s="16"/>
      <c r="R12" s="17">
        <f t="shared" si="0"/>
        <v>476148.5</v>
      </c>
      <c r="S12" s="27">
        <v>0</v>
      </c>
      <c r="T12" s="83" t="s">
        <v>1037</v>
      </c>
    </row>
    <row r="13" spans="1:20" ht="31.5" hidden="1" x14ac:dyDescent="0.35">
      <c r="A13" s="8" t="s">
        <v>997</v>
      </c>
      <c r="B13" s="9" t="s">
        <v>12</v>
      </c>
      <c r="C13" s="10" t="s">
        <v>13</v>
      </c>
      <c r="D13" s="10" t="s">
        <v>1041</v>
      </c>
      <c r="E13" s="10" t="s">
        <v>41</v>
      </c>
      <c r="F13" s="10" t="s">
        <v>42</v>
      </c>
      <c r="G13" s="10" t="s">
        <v>1105</v>
      </c>
      <c r="H13" s="10" t="s">
        <v>43</v>
      </c>
      <c r="I13" s="11">
        <v>1000000</v>
      </c>
      <c r="J13" s="18">
        <v>31960</v>
      </c>
      <c r="K13" s="13"/>
      <c r="L13" s="14"/>
      <c r="M13" s="15">
        <v>968040</v>
      </c>
      <c r="N13" s="14"/>
      <c r="O13" s="13"/>
      <c r="P13" s="16"/>
      <c r="Q13" s="16"/>
      <c r="R13" s="17">
        <f t="shared" si="0"/>
        <v>968040</v>
      </c>
      <c r="S13" s="27">
        <v>0</v>
      </c>
      <c r="T13" s="83" t="s">
        <v>1037</v>
      </c>
    </row>
    <row r="14" spans="1:20" ht="31.5" hidden="1" x14ac:dyDescent="0.35">
      <c r="A14" s="8" t="s">
        <v>997</v>
      </c>
      <c r="B14" s="9" t="s">
        <v>12</v>
      </c>
      <c r="C14" s="10" t="s">
        <v>13</v>
      </c>
      <c r="D14" s="10" t="s">
        <v>1041</v>
      </c>
      <c r="E14" s="10" t="s">
        <v>44</v>
      </c>
      <c r="F14" s="10" t="s">
        <v>45</v>
      </c>
      <c r="G14" s="10" t="s">
        <v>1106</v>
      </c>
      <c r="H14" s="10" t="s">
        <v>46</v>
      </c>
      <c r="I14" s="11">
        <v>50000</v>
      </c>
      <c r="J14" s="12"/>
      <c r="K14" s="13"/>
      <c r="L14" s="14"/>
      <c r="M14" s="15">
        <v>50000</v>
      </c>
      <c r="N14" s="14"/>
      <c r="O14" s="13"/>
      <c r="P14" s="16"/>
      <c r="Q14" s="16"/>
      <c r="R14" s="17">
        <f t="shared" si="0"/>
        <v>50000</v>
      </c>
      <c r="S14" s="27">
        <v>0</v>
      </c>
      <c r="T14" s="83" t="s">
        <v>1037</v>
      </c>
    </row>
    <row r="15" spans="1:20" ht="31.5" hidden="1" x14ac:dyDescent="0.35">
      <c r="A15" s="8" t="s">
        <v>997</v>
      </c>
      <c r="B15" s="9" t="s">
        <v>12</v>
      </c>
      <c r="C15" s="10" t="s">
        <v>13</v>
      </c>
      <c r="D15" s="10" t="s">
        <v>1041</v>
      </c>
      <c r="E15" s="10" t="s">
        <v>47</v>
      </c>
      <c r="F15" s="10" t="s">
        <v>48</v>
      </c>
      <c r="G15" s="10" t="s">
        <v>1107</v>
      </c>
      <c r="H15" s="10" t="s">
        <v>49</v>
      </c>
      <c r="I15" s="11">
        <v>100000</v>
      </c>
      <c r="J15" s="12"/>
      <c r="K15" s="13"/>
      <c r="L15" s="14"/>
      <c r="M15" s="15">
        <v>100000</v>
      </c>
      <c r="N15" s="14"/>
      <c r="O15" s="13"/>
      <c r="P15" s="16"/>
      <c r="Q15" s="16"/>
      <c r="R15" s="17">
        <f t="shared" si="0"/>
        <v>100000</v>
      </c>
      <c r="S15" s="27">
        <v>0</v>
      </c>
      <c r="T15" s="83" t="s">
        <v>1037</v>
      </c>
    </row>
    <row r="16" spans="1:20" hidden="1" x14ac:dyDescent="0.35">
      <c r="A16" s="8" t="s">
        <v>997</v>
      </c>
      <c r="B16" s="9" t="s">
        <v>50</v>
      </c>
      <c r="C16" s="10" t="s">
        <v>51</v>
      </c>
      <c r="D16" s="10" t="s">
        <v>1042</v>
      </c>
      <c r="E16" s="10" t="s">
        <v>52</v>
      </c>
      <c r="F16" s="10" t="s">
        <v>53</v>
      </c>
      <c r="G16" s="10" t="s">
        <v>1108</v>
      </c>
      <c r="H16" s="10" t="s">
        <v>54</v>
      </c>
      <c r="I16" s="11">
        <v>500000</v>
      </c>
      <c r="J16" s="12"/>
      <c r="K16" s="19">
        <v>500000</v>
      </c>
      <c r="L16" s="14"/>
      <c r="M16" s="15">
        <v>0</v>
      </c>
      <c r="N16" s="14"/>
      <c r="O16" s="13"/>
      <c r="P16" s="16"/>
      <c r="Q16" s="16"/>
      <c r="R16" s="17">
        <f t="shared" si="0"/>
        <v>0</v>
      </c>
      <c r="S16" s="27">
        <v>0</v>
      </c>
      <c r="T16" s="83" t="s">
        <v>1037</v>
      </c>
    </row>
    <row r="17" spans="1:20" ht="42" hidden="1" x14ac:dyDescent="0.35">
      <c r="A17" s="8" t="s">
        <v>998</v>
      </c>
      <c r="B17" s="9" t="s">
        <v>55</v>
      </c>
      <c r="C17" s="10" t="s">
        <v>56</v>
      </c>
      <c r="D17" s="10" t="s">
        <v>1043</v>
      </c>
      <c r="E17" s="10" t="s">
        <v>23</v>
      </c>
      <c r="F17" s="10" t="s">
        <v>24</v>
      </c>
      <c r="G17" s="10" t="s">
        <v>1099</v>
      </c>
      <c r="H17" s="10" t="s">
        <v>57</v>
      </c>
      <c r="I17" s="11">
        <v>604900</v>
      </c>
      <c r="J17" s="12"/>
      <c r="K17" s="13"/>
      <c r="L17" s="14"/>
      <c r="M17" s="15">
        <v>604900</v>
      </c>
      <c r="N17" s="14"/>
      <c r="O17" s="13"/>
      <c r="P17" s="16"/>
      <c r="Q17" s="16"/>
      <c r="R17" s="17">
        <f t="shared" si="0"/>
        <v>604900</v>
      </c>
      <c r="S17" s="27">
        <v>0</v>
      </c>
      <c r="T17" s="83" t="s">
        <v>1037</v>
      </c>
    </row>
    <row r="18" spans="1:20" ht="42" hidden="1" x14ac:dyDescent="0.35">
      <c r="A18" s="8" t="s">
        <v>998</v>
      </c>
      <c r="B18" s="9" t="s">
        <v>55</v>
      </c>
      <c r="C18" s="10" t="s">
        <v>56</v>
      </c>
      <c r="D18" s="10" t="s">
        <v>1043</v>
      </c>
      <c r="E18" s="10" t="s">
        <v>38</v>
      </c>
      <c r="F18" s="10" t="s">
        <v>39</v>
      </c>
      <c r="G18" s="10" t="s">
        <v>1104</v>
      </c>
      <c r="H18" s="10" t="s">
        <v>58</v>
      </c>
      <c r="I18" s="11">
        <v>735000</v>
      </c>
      <c r="J18" s="12"/>
      <c r="K18" s="13"/>
      <c r="L18" s="14"/>
      <c r="M18" s="15">
        <v>735000</v>
      </c>
      <c r="N18" s="14"/>
      <c r="O18" s="13"/>
      <c r="P18" s="16"/>
      <c r="Q18" s="16"/>
      <c r="R18" s="17">
        <f t="shared" si="0"/>
        <v>735000</v>
      </c>
      <c r="S18" s="27">
        <v>0</v>
      </c>
      <c r="T18" s="83" t="s">
        <v>1037</v>
      </c>
    </row>
    <row r="19" spans="1:20" ht="42" hidden="1" x14ac:dyDescent="0.35">
      <c r="A19" s="8" t="s">
        <v>998</v>
      </c>
      <c r="B19" s="9" t="s">
        <v>55</v>
      </c>
      <c r="C19" s="10" t="s">
        <v>56</v>
      </c>
      <c r="D19" s="10" t="s">
        <v>1043</v>
      </c>
      <c r="E19" s="10" t="s">
        <v>59</v>
      </c>
      <c r="F19" s="10" t="s">
        <v>60</v>
      </c>
      <c r="G19" s="10" t="s">
        <v>1109</v>
      </c>
      <c r="H19" s="10" t="s">
        <v>61</v>
      </c>
      <c r="I19" s="11">
        <v>115000</v>
      </c>
      <c r="J19" s="18">
        <v>114759</v>
      </c>
      <c r="K19" s="13"/>
      <c r="L19" s="14"/>
      <c r="M19" s="15">
        <v>241</v>
      </c>
      <c r="N19" s="14"/>
      <c r="O19" s="13"/>
      <c r="P19" s="16"/>
      <c r="Q19" s="16"/>
      <c r="R19" s="17">
        <f t="shared" si="0"/>
        <v>241</v>
      </c>
      <c r="S19" s="27">
        <v>0</v>
      </c>
      <c r="T19" s="83" t="s">
        <v>1037</v>
      </c>
    </row>
    <row r="20" spans="1:20" ht="42" hidden="1" x14ac:dyDescent="0.35">
      <c r="A20" s="8" t="s">
        <v>998</v>
      </c>
      <c r="B20" s="9" t="s">
        <v>55</v>
      </c>
      <c r="C20" s="10" t="s">
        <v>56</v>
      </c>
      <c r="D20" s="10" t="s">
        <v>1043</v>
      </c>
      <c r="E20" s="10" t="s">
        <v>41</v>
      </c>
      <c r="F20" s="10" t="s">
        <v>42</v>
      </c>
      <c r="G20" s="10" t="s">
        <v>1105</v>
      </c>
      <c r="H20" s="10" t="s">
        <v>62</v>
      </c>
      <c r="I20" s="11">
        <v>180000</v>
      </c>
      <c r="J20" s="18">
        <v>1650</v>
      </c>
      <c r="K20" s="13"/>
      <c r="L20" s="14"/>
      <c r="M20" s="15">
        <v>178350</v>
      </c>
      <c r="N20" s="14"/>
      <c r="O20" s="13"/>
      <c r="P20" s="16"/>
      <c r="Q20" s="16"/>
      <c r="R20" s="17">
        <f t="shared" si="0"/>
        <v>178350</v>
      </c>
      <c r="S20" s="27">
        <v>0</v>
      </c>
      <c r="T20" s="83" t="s">
        <v>1037</v>
      </c>
    </row>
    <row r="21" spans="1:20" ht="31.5" hidden="1" x14ac:dyDescent="0.35">
      <c r="A21" s="8" t="s">
        <v>998</v>
      </c>
      <c r="B21" s="9" t="s">
        <v>63</v>
      </c>
      <c r="C21" s="10" t="s">
        <v>64</v>
      </c>
      <c r="D21" s="10" t="s">
        <v>1044</v>
      </c>
      <c r="E21" s="10" t="s">
        <v>65</v>
      </c>
      <c r="F21" s="10" t="s">
        <v>66</v>
      </c>
      <c r="G21" s="10" t="s">
        <v>1110</v>
      </c>
      <c r="H21" s="10" t="s">
        <v>67</v>
      </c>
      <c r="I21" s="11">
        <v>5827464</v>
      </c>
      <c r="J21" s="18">
        <v>1140555.96</v>
      </c>
      <c r="K21" s="19">
        <v>3357368</v>
      </c>
      <c r="L21" s="11">
        <v>234463.48</v>
      </c>
      <c r="M21" s="15">
        <v>1095076.56</v>
      </c>
      <c r="N21" s="14">
        <v>1000000</v>
      </c>
      <c r="O21" s="13">
        <v>95077</v>
      </c>
      <c r="P21" s="16"/>
      <c r="Q21" s="16"/>
      <c r="R21" s="17">
        <f t="shared" si="0"/>
        <v>-0.43999999994412065</v>
      </c>
      <c r="S21" s="14"/>
      <c r="T21" s="83" t="s">
        <v>1036</v>
      </c>
    </row>
    <row r="22" spans="1:20" ht="31.5" hidden="1" x14ac:dyDescent="0.35">
      <c r="A22" s="8" t="s">
        <v>998</v>
      </c>
      <c r="B22" s="9" t="s">
        <v>63</v>
      </c>
      <c r="C22" s="10" t="s">
        <v>64</v>
      </c>
      <c r="D22" s="10" t="s">
        <v>1044</v>
      </c>
      <c r="E22" s="10" t="s">
        <v>29</v>
      </c>
      <c r="F22" s="10" t="s">
        <v>30</v>
      </c>
      <c r="G22" s="10" t="s">
        <v>1101</v>
      </c>
      <c r="H22" s="10" t="s">
        <v>68</v>
      </c>
      <c r="I22" s="11">
        <v>5525358</v>
      </c>
      <c r="J22" s="18">
        <v>1832119.97</v>
      </c>
      <c r="K22" s="19">
        <v>2745800</v>
      </c>
      <c r="L22" s="11">
        <v>405340</v>
      </c>
      <c r="M22" s="15">
        <v>542098.03</v>
      </c>
      <c r="N22" s="14">
        <v>257500</v>
      </c>
      <c r="O22" s="13">
        <v>284598</v>
      </c>
      <c r="P22" s="16"/>
      <c r="Q22" s="16"/>
      <c r="R22" s="17">
        <f t="shared" si="0"/>
        <v>3.0000000027939677E-2</v>
      </c>
      <c r="S22" s="14"/>
      <c r="T22" s="83" t="s">
        <v>1036</v>
      </c>
    </row>
    <row r="23" spans="1:20" ht="31.5" hidden="1" x14ac:dyDescent="0.35">
      <c r="A23" s="8" t="s">
        <v>998</v>
      </c>
      <c r="B23" s="9" t="s">
        <v>63</v>
      </c>
      <c r="C23" s="10" t="s">
        <v>64</v>
      </c>
      <c r="D23" s="10" t="s">
        <v>1044</v>
      </c>
      <c r="E23" s="10" t="s">
        <v>32</v>
      </c>
      <c r="F23" s="10" t="s">
        <v>33</v>
      </c>
      <c r="G23" s="10" t="s">
        <v>1102</v>
      </c>
      <c r="H23" s="10" t="s">
        <v>69</v>
      </c>
      <c r="I23" s="11">
        <v>2955</v>
      </c>
      <c r="J23" s="18">
        <v>2942.71</v>
      </c>
      <c r="K23" s="13"/>
      <c r="L23" s="14"/>
      <c r="M23" s="15">
        <v>12.29</v>
      </c>
      <c r="N23" s="14"/>
      <c r="O23" s="13"/>
      <c r="P23" s="16"/>
      <c r="Q23" s="16"/>
      <c r="R23" s="17">
        <f t="shared" si="0"/>
        <v>12.29</v>
      </c>
      <c r="S23" s="14"/>
      <c r="T23" s="83" t="s">
        <v>1036</v>
      </c>
    </row>
    <row r="24" spans="1:20" ht="31.5" hidden="1" x14ac:dyDescent="0.35">
      <c r="A24" s="8" t="s">
        <v>998</v>
      </c>
      <c r="B24" s="9" t="s">
        <v>63</v>
      </c>
      <c r="C24" s="10" t="s">
        <v>64</v>
      </c>
      <c r="D24" s="10" t="s">
        <v>1044</v>
      </c>
      <c r="E24" s="10" t="s">
        <v>70</v>
      </c>
      <c r="F24" s="10" t="s">
        <v>71</v>
      </c>
      <c r="G24" s="10" t="s">
        <v>1111</v>
      </c>
      <c r="H24" s="10" t="s">
        <v>72</v>
      </c>
      <c r="I24" s="11">
        <v>400000</v>
      </c>
      <c r="J24" s="18">
        <v>42319.6</v>
      </c>
      <c r="K24" s="19">
        <v>0</v>
      </c>
      <c r="L24" s="11">
        <v>45809.52</v>
      </c>
      <c r="M24" s="15">
        <v>300723.24</v>
      </c>
      <c r="N24" s="14"/>
      <c r="O24" s="50">
        <v>300723.24</v>
      </c>
      <c r="P24" s="49" t="s">
        <v>933</v>
      </c>
      <c r="Q24" s="49"/>
      <c r="R24" s="17">
        <f t="shared" si="0"/>
        <v>0</v>
      </c>
      <c r="S24" s="67"/>
      <c r="T24" s="83" t="s">
        <v>1036</v>
      </c>
    </row>
    <row r="25" spans="1:20" ht="31.5" hidden="1" x14ac:dyDescent="0.35">
      <c r="A25" s="8" t="s">
        <v>998</v>
      </c>
      <c r="B25" s="9" t="s">
        <v>63</v>
      </c>
      <c r="C25" s="10" t="s">
        <v>64</v>
      </c>
      <c r="D25" s="10" t="s">
        <v>1044</v>
      </c>
      <c r="E25" s="10" t="s">
        <v>73</v>
      </c>
      <c r="F25" s="10" t="s">
        <v>74</v>
      </c>
      <c r="G25" s="10" t="s">
        <v>1112</v>
      </c>
      <c r="H25" s="10" t="s">
        <v>75</v>
      </c>
      <c r="I25" s="11">
        <v>1157850</v>
      </c>
      <c r="J25" s="12"/>
      <c r="K25" s="19">
        <v>909458.75</v>
      </c>
      <c r="L25" s="14"/>
      <c r="M25" s="15">
        <v>248391.25</v>
      </c>
      <c r="N25" s="14"/>
      <c r="O25" s="13">
        <v>248391</v>
      </c>
      <c r="P25" s="16"/>
      <c r="Q25" s="16"/>
      <c r="R25" s="17">
        <f t="shared" si="0"/>
        <v>0.25</v>
      </c>
      <c r="S25" s="14"/>
      <c r="T25" s="83" t="s">
        <v>1036</v>
      </c>
    </row>
    <row r="26" spans="1:20" ht="31.5" hidden="1" x14ac:dyDescent="0.35">
      <c r="A26" s="8" t="s">
        <v>998</v>
      </c>
      <c r="B26" s="9" t="s">
        <v>63</v>
      </c>
      <c r="C26" s="10" t="s">
        <v>64</v>
      </c>
      <c r="D26" s="10" t="s">
        <v>1044</v>
      </c>
      <c r="E26" s="10" t="s">
        <v>76</v>
      </c>
      <c r="F26" s="10" t="s">
        <v>77</v>
      </c>
      <c r="G26" s="10" t="s">
        <v>1113</v>
      </c>
      <c r="H26" s="10" t="s">
        <v>78</v>
      </c>
      <c r="I26" s="11">
        <v>250000</v>
      </c>
      <c r="J26" s="18">
        <v>17150.009999999998</v>
      </c>
      <c r="K26" s="13"/>
      <c r="L26" s="14"/>
      <c r="M26" s="15">
        <v>232849.99</v>
      </c>
      <c r="N26" s="14">
        <v>116425</v>
      </c>
      <c r="O26" s="13">
        <v>116425</v>
      </c>
      <c r="P26" s="16"/>
      <c r="Q26" s="16"/>
      <c r="R26" s="17">
        <f t="shared" si="0"/>
        <v>-1.0000000009313226E-2</v>
      </c>
      <c r="S26" s="14"/>
      <c r="T26" s="83" t="s">
        <v>1036</v>
      </c>
    </row>
    <row r="27" spans="1:20" ht="31.5" hidden="1" x14ac:dyDescent="0.35">
      <c r="A27" s="8" t="s">
        <v>998</v>
      </c>
      <c r="B27" s="9" t="s">
        <v>63</v>
      </c>
      <c r="C27" s="10" t="s">
        <v>64</v>
      </c>
      <c r="D27" s="10" t="s">
        <v>1044</v>
      </c>
      <c r="E27" s="10" t="s">
        <v>47</v>
      </c>
      <c r="F27" s="10" t="s">
        <v>48</v>
      </c>
      <c r="G27" s="10" t="s">
        <v>1107</v>
      </c>
      <c r="H27" s="10" t="s">
        <v>79</v>
      </c>
      <c r="I27" s="11">
        <v>538000</v>
      </c>
      <c r="J27" s="18">
        <v>4594</v>
      </c>
      <c r="K27" s="19">
        <v>0</v>
      </c>
      <c r="L27" s="11">
        <v>177011</v>
      </c>
      <c r="M27" s="15">
        <v>356395</v>
      </c>
      <c r="N27" s="14">
        <v>178198</v>
      </c>
      <c r="O27" s="13">
        <v>178197</v>
      </c>
      <c r="P27" s="16"/>
      <c r="Q27" s="16"/>
      <c r="R27" s="17">
        <f t="shared" si="0"/>
        <v>0</v>
      </c>
      <c r="S27" s="14"/>
      <c r="T27" s="83" t="s">
        <v>1036</v>
      </c>
    </row>
    <row r="28" spans="1:20" ht="31.5" hidden="1" x14ac:dyDescent="0.35">
      <c r="A28" s="8" t="s">
        <v>998</v>
      </c>
      <c r="B28" s="9" t="s">
        <v>63</v>
      </c>
      <c r="C28" s="10" t="s">
        <v>64</v>
      </c>
      <c r="D28" s="10" t="s">
        <v>1044</v>
      </c>
      <c r="E28" s="10" t="s">
        <v>80</v>
      </c>
      <c r="F28" s="10" t="s">
        <v>81</v>
      </c>
      <c r="G28" s="10" t="s">
        <v>1114</v>
      </c>
      <c r="H28" s="10" t="s">
        <v>82</v>
      </c>
      <c r="I28" s="11">
        <v>10000</v>
      </c>
      <c r="J28" s="12"/>
      <c r="K28" s="13"/>
      <c r="L28" s="14"/>
      <c r="M28" s="15">
        <v>10000</v>
      </c>
      <c r="N28" s="14"/>
      <c r="O28" s="13">
        <v>10000</v>
      </c>
      <c r="P28" s="16"/>
      <c r="Q28" s="16"/>
      <c r="R28" s="17">
        <f t="shared" si="0"/>
        <v>0</v>
      </c>
      <c r="S28" s="14"/>
      <c r="T28" s="83" t="s">
        <v>1036</v>
      </c>
    </row>
    <row r="29" spans="1:20" ht="31.5" hidden="1" x14ac:dyDescent="0.35">
      <c r="A29" s="8" t="s">
        <v>998</v>
      </c>
      <c r="B29" s="9" t="s">
        <v>63</v>
      </c>
      <c r="C29" s="10" t="s">
        <v>64</v>
      </c>
      <c r="D29" s="10" t="s">
        <v>1044</v>
      </c>
      <c r="E29" s="10" t="s">
        <v>83</v>
      </c>
      <c r="F29" s="10" t="s">
        <v>84</v>
      </c>
      <c r="G29" s="10" t="s">
        <v>1115</v>
      </c>
      <c r="H29" s="10" t="s">
        <v>85</v>
      </c>
      <c r="I29" s="11">
        <v>135000</v>
      </c>
      <c r="J29" s="18">
        <v>43812</v>
      </c>
      <c r="K29" s="19">
        <v>0</v>
      </c>
      <c r="L29" s="11">
        <v>0</v>
      </c>
      <c r="M29" s="15">
        <v>91188</v>
      </c>
      <c r="N29" s="14">
        <v>91188</v>
      </c>
      <c r="O29" s="13"/>
      <c r="P29" s="16"/>
      <c r="Q29" s="16"/>
      <c r="R29" s="17">
        <f t="shared" si="0"/>
        <v>0</v>
      </c>
      <c r="S29" s="14"/>
      <c r="T29" s="83" t="s">
        <v>1036</v>
      </c>
    </row>
    <row r="30" spans="1:20" ht="31.5" hidden="1" x14ac:dyDescent="0.35">
      <c r="A30" s="8" t="s">
        <v>997</v>
      </c>
      <c r="B30" s="9" t="s">
        <v>86</v>
      </c>
      <c r="C30" s="10" t="s">
        <v>87</v>
      </c>
      <c r="D30" s="10" t="s">
        <v>1045</v>
      </c>
      <c r="E30" s="10" t="s">
        <v>20</v>
      </c>
      <c r="F30" s="10" t="s">
        <v>21</v>
      </c>
      <c r="G30" s="10" t="s">
        <v>1098</v>
      </c>
      <c r="H30" s="10" t="s">
        <v>88</v>
      </c>
      <c r="I30" s="11">
        <v>21100</v>
      </c>
      <c r="J30" s="18">
        <v>22516.32</v>
      </c>
      <c r="K30" s="13"/>
      <c r="L30" s="14"/>
      <c r="M30" s="15">
        <v>-1416.32</v>
      </c>
      <c r="N30" s="14"/>
      <c r="O30" s="13"/>
      <c r="P30" s="16"/>
      <c r="Q30" s="16"/>
      <c r="R30" s="17">
        <f t="shared" si="0"/>
        <v>-1416.32</v>
      </c>
      <c r="S30" s="14">
        <v>0</v>
      </c>
      <c r="T30" s="83" t="s">
        <v>1037</v>
      </c>
    </row>
    <row r="31" spans="1:20" ht="31.5" hidden="1" x14ac:dyDescent="0.35">
      <c r="A31" s="8" t="s">
        <v>999</v>
      </c>
      <c r="B31" s="9" t="s">
        <v>89</v>
      </c>
      <c r="C31" s="10" t="s">
        <v>90</v>
      </c>
      <c r="D31" s="10" t="s">
        <v>1046</v>
      </c>
      <c r="E31" s="10" t="s">
        <v>14</v>
      </c>
      <c r="F31" s="10" t="s">
        <v>15</v>
      </c>
      <c r="G31" s="10" t="s">
        <v>1096</v>
      </c>
      <c r="H31" s="10" t="s">
        <v>91</v>
      </c>
      <c r="I31" s="11">
        <v>60000</v>
      </c>
      <c r="J31" s="12"/>
      <c r="K31" s="13"/>
      <c r="L31" s="14"/>
      <c r="M31" s="15">
        <v>60000</v>
      </c>
      <c r="N31" s="14"/>
      <c r="O31" s="13"/>
      <c r="P31" s="16"/>
      <c r="Q31" s="16"/>
      <c r="R31" s="17">
        <f t="shared" si="0"/>
        <v>60000</v>
      </c>
      <c r="S31" s="27">
        <v>0</v>
      </c>
      <c r="T31" s="83" t="s">
        <v>1037</v>
      </c>
    </row>
    <row r="32" spans="1:20" ht="31.5" hidden="1" x14ac:dyDescent="0.35">
      <c r="A32" s="8" t="s">
        <v>999</v>
      </c>
      <c r="B32" s="9" t="s">
        <v>89</v>
      </c>
      <c r="C32" s="10" t="s">
        <v>90</v>
      </c>
      <c r="D32" s="10" t="s">
        <v>1046</v>
      </c>
      <c r="E32" s="10" t="s">
        <v>17</v>
      </c>
      <c r="F32" s="10" t="s">
        <v>18</v>
      </c>
      <c r="G32" s="10" t="s">
        <v>1097</v>
      </c>
      <c r="H32" s="10" t="s">
        <v>92</v>
      </c>
      <c r="I32" s="11">
        <v>378637</v>
      </c>
      <c r="J32" s="18">
        <v>0</v>
      </c>
      <c r="K32" s="19">
        <v>0</v>
      </c>
      <c r="L32" s="11">
        <v>0</v>
      </c>
      <c r="M32" s="15">
        <v>378637</v>
      </c>
      <c r="N32" s="14"/>
      <c r="O32" s="13"/>
      <c r="P32" s="16"/>
      <c r="Q32" s="16"/>
      <c r="R32" s="17">
        <f t="shared" si="0"/>
        <v>378637</v>
      </c>
      <c r="S32" s="27">
        <v>0</v>
      </c>
      <c r="T32" s="83" t="s">
        <v>1037</v>
      </c>
    </row>
    <row r="33" spans="1:20" ht="31.5" hidden="1" x14ac:dyDescent="0.35">
      <c r="A33" s="8" t="s">
        <v>999</v>
      </c>
      <c r="B33" s="9" t="s">
        <v>89</v>
      </c>
      <c r="C33" s="10" t="s">
        <v>90</v>
      </c>
      <c r="D33" s="10" t="s">
        <v>1046</v>
      </c>
      <c r="E33" s="10" t="s">
        <v>26</v>
      </c>
      <c r="F33" s="10" t="s">
        <v>27</v>
      </c>
      <c r="G33" s="10" t="s">
        <v>1100</v>
      </c>
      <c r="H33" s="10" t="s">
        <v>93</v>
      </c>
      <c r="I33" s="11">
        <v>375000</v>
      </c>
      <c r="J33" s="12"/>
      <c r="K33" s="13"/>
      <c r="L33" s="14"/>
      <c r="M33" s="15">
        <v>375000</v>
      </c>
      <c r="N33" s="14"/>
      <c r="O33" s="13"/>
      <c r="P33" s="16"/>
      <c r="Q33" s="16"/>
      <c r="R33" s="17">
        <f t="shared" si="0"/>
        <v>375000</v>
      </c>
      <c r="S33" s="27">
        <v>0</v>
      </c>
      <c r="T33" s="83" t="s">
        <v>1037</v>
      </c>
    </row>
    <row r="34" spans="1:20" ht="31.5" hidden="1" x14ac:dyDescent="0.35">
      <c r="A34" s="8" t="s">
        <v>999</v>
      </c>
      <c r="B34" s="9" t="s">
        <v>89</v>
      </c>
      <c r="C34" s="10" t="s">
        <v>90</v>
      </c>
      <c r="D34" s="10" t="s">
        <v>1046</v>
      </c>
      <c r="E34" s="10" t="s">
        <v>29</v>
      </c>
      <c r="F34" s="10" t="s">
        <v>30</v>
      </c>
      <c r="G34" s="10" t="s">
        <v>1101</v>
      </c>
      <c r="H34" s="10" t="s">
        <v>94</v>
      </c>
      <c r="I34" s="11">
        <v>23750</v>
      </c>
      <c r="J34" s="18">
        <v>13750</v>
      </c>
      <c r="K34" s="13"/>
      <c r="L34" s="14"/>
      <c r="M34" s="15">
        <v>10000</v>
      </c>
      <c r="N34" s="14"/>
      <c r="O34" s="13"/>
      <c r="P34" s="16"/>
      <c r="Q34" s="16"/>
      <c r="R34" s="17">
        <f t="shared" si="0"/>
        <v>10000</v>
      </c>
      <c r="S34" s="27">
        <v>0</v>
      </c>
      <c r="T34" s="83" t="s">
        <v>1037</v>
      </c>
    </row>
    <row r="35" spans="1:20" ht="31.5" hidden="1" x14ac:dyDescent="0.35">
      <c r="A35" s="8" t="s">
        <v>999</v>
      </c>
      <c r="B35" s="9" t="s">
        <v>89</v>
      </c>
      <c r="C35" s="10" t="s">
        <v>90</v>
      </c>
      <c r="D35" s="10" t="s">
        <v>1046</v>
      </c>
      <c r="E35" s="10" t="s">
        <v>32</v>
      </c>
      <c r="F35" s="10" t="s">
        <v>33</v>
      </c>
      <c r="G35" s="10" t="s">
        <v>1102</v>
      </c>
      <c r="H35" s="10" t="s">
        <v>95</v>
      </c>
      <c r="I35" s="11">
        <v>25000</v>
      </c>
      <c r="J35" s="12"/>
      <c r="K35" s="13"/>
      <c r="L35" s="14"/>
      <c r="M35" s="15">
        <v>25000</v>
      </c>
      <c r="N35" s="14"/>
      <c r="O35" s="13"/>
      <c r="P35" s="16"/>
      <c r="Q35" s="16"/>
      <c r="R35" s="17">
        <f t="shared" si="0"/>
        <v>25000</v>
      </c>
      <c r="S35" s="27">
        <v>0</v>
      </c>
      <c r="T35" s="83" t="s">
        <v>1037</v>
      </c>
    </row>
    <row r="36" spans="1:20" ht="31.5" hidden="1" x14ac:dyDescent="0.35">
      <c r="A36" s="8" t="s">
        <v>999</v>
      </c>
      <c r="B36" s="9" t="s">
        <v>89</v>
      </c>
      <c r="C36" s="10" t="s">
        <v>90</v>
      </c>
      <c r="D36" s="10" t="s">
        <v>1046</v>
      </c>
      <c r="E36" s="10" t="s">
        <v>96</v>
      </c>
      <c r="F36" s="10" t="s">
        <v>97</v>
      </c>
      <c r="G36" s="10" t="s">
        <v>1116</v>
      </c>
      <c r="H36" s="10" t="s">
        <v>98</v>
      </c>
      <c r="I36" s="11">
        <v>694710</v>
      </c>
      <c r="J36" s="12"/>
      <c r="K36" s="13"/>
      <c r="L36" s="14"/>
      <c r="M36" s="15">
        <v>694710</v>
      </c>
      <c r="N36" s="14"/>
      <c r="O36" s="13"/>
      <c r="P36" s="16"/>
      <c r="Q36" s="16"/>
      <c r="R36" s="17">
        <f t="shared" si="0"/>
        <v>694710</v>
      </c>
      <c r="S36" s="27">
        <v>0</v>
      </c>
      <c r="T36" s="83" t="s">
        <v>1037</v>
      </c>
    </row>
    <row r="37" spans="1:20" ht="31.5" hidden="1" x14ac:dyDescent="0.35">
      <c r="A37" s="8" t="s">
        <v>999</v>
      </c>
      <c r="B37" s="9" t="s">
        <v>89</v>
      </c>
      <c r="C37" s="10" t="s">
        <v>90</v>
      </c>
      <c r="D37" s="10" t="s">
        <v>1046</v>
      </c>
      <c r="E37" s="10" t="s">
        <v>35</v>
      </c>
      <c r="F37" s="10" t="s">
        <v>36</v>
      </c>
      <c r="G37" s="10" t="s">
        <v>1103</v>
      </c>
      <c r="H37" s="10" t="s">
        <v>99</v>
      </c>
      <c r="I37" s="11">
        <v>12000</v>
      </c>
      <c r="J37" s="18">
        <v>7053</v>
      </c>
      <c r="K37" s="13"/>
      <c r="L37" s="14"/>
      <c r="M37" s="15">
        <v>4947</v>
      </c>
      <c r="N37" s="14"/>
      <c r="O37" s="13"/>
      <c r="P37" s="16"/>
      <c r="Q37" s="16"/>
      <c r="R37" s="17">
        <f t="shared" si="0"/>
        <v>4947</v>
      </c>
      <c r="S37" s="27">
        <v>0</v>
      </c>
      <c r="T37" s="83" t="s">
        <v>1037</v>
      </c>
    </row>
    <row r="38" spans="1:20" ht="31.5" hidden="1" x14ac:dyDescent="0.35">
      <c r="A38" s="8" t="s">
        <v>999</v>
      </c>
      <c r="B38" s="9" t="s">
        <v>89</v>
      </c>
      <c r="C38" s="10" t="s">
        <v>90</v>
      </c>
      <c r="D38" s="10" t="s">
        <v>1046</v>
      </c>
      <c r="E38" s="10" t="s">
        <v>38</v>
      </c>
      <c r="F38" s="10" t="s">
        <v>39</v>
      </c>
      <c r="G38" s="10" t="s">
        <v>1104</v>
      </c>
      <c r="H38" s="10" t="s">
        <v>100</v>
      </c>
      <c r="I38" s="11">
        <v>50000</v>
      </c>
      <c r="J38" s="12"/>
      <c r="K38" s="13"/>
      <c r="L38" s="14"/>
      <c r="M38" s="15">
        <v>50000</v>
      </c>
      <c r="N38" s="14"/>
      <c r="O38" s="13"/>
      <c r="P38" s="16"/>
      <c r="Q38" s="16"/>
      <c r="R38" s="17">
        <f t="shared" si="0"/>
        <v>50000</v>
      </c>
      <c r="S38" s="27">
        <v>0</v>
      </c>
      <c r="T38" s="83" t="s">
        <v>1037</v>
      </c>
    </row>
    <row r="39" spans="1:20" ht="31.5" hidden="1" x14ac:dyDescent="0.35">
      <c r="A39" s="8" t="s">
        <v>999</v>
      </c>
      <c r="B39" s="9" t="s">
        <v>89</v>
      </c>
      <c r="C39" s="10" t="s">
        <v>90</v>
      </c>
      <c r="D39" s="10" t="s">
        <v>1046</v>
      </c>
      <c r="E39" s="10" t="s">
        <v>41</v>
      </c>
      <c r="F39" s="10" t="s">
        <v>42</v>
      </c>
      <c r="G39" s="10" t="s">
        <v>1105</v>
      </c>
      <c r="H39" s="10" t="s">
        <v>101</v>
      </c>
      <c r="I39" s="11">
        <v>165500</v>
      </c>
      <c r="J39" s="18">
        <v>19500</v>
      </c>
      <c r="K39" s="13"/>
      <c r="L39" s="14"/>
      <c r="M39" s="15">
        <v>146000</v>
      </c>
      <c r="N39" s="14"/>
      <c r="O39" s="13"/>
      <c r="P39" s="16"/>
      <c r="Q39" s="16"/>
      <c r="R39" s="17">
        <f t="shared" si="0"/>
        <v>146000</v>
      </c>
      <c r="S39" s="27">
        <v>0</v>
      </c>
      <c r="T39" s="83" t="s">
        <v>1037</v>
      </c>
    </row>
    <row r="40" spans="1:20" ht="31.5" hidden="1" x14ac:dyDescent="0.35">
      <c r="A40" s="8" t="s">
        <v>999</v>
      </c>
      <c r="B40" s="9" t="s">
        <v>89</v>
      </c>
      <c r="C40" s="10" t="s">
        <v>90</v>
      </c>
      <c r="D40" s="10" t="s">
        <v>1046</v>
      </c>
      <c r="E40" s="10" t="s">
        <v>47</v>
      </c>
      <c r="F40" s="10" t="s">
        <v>48</v>
      </c>
      <c r="G40" s="10" t="s">
        <v>1107</v>
      </c>
      <c r="H40" s="10" t="s">
        <v>102</v>
      </c>
      <c r="I40" s="11">
        <v>20000</v>
      </c>
      <c r="J40" s="18">
        <v>6320</v>
      </c>
      <c r="K40" s="19">
        <v>0</v>
      </c>
      <c r="L40" s="11">
        <v>0</v>
      </c>
      <c r="M40" s="15">
        <v>13680</v>
      </c>
      <c r="N40" s="14"/>
      <c r="O40" s="13"/>
      <c r="P40" s="16"/>
      <c r="Q40" s="16"/>
      <c r="R40" s="17">
        <f t="shared" si="0"/>
        <v>13680</v>
      </c>
      <c r="S40" s="27">
        <v>0</v>
      </c>
      <c r="T40" s="83" t="s">
        <v>1037</v>
      </c>
    </row>
    <row r="41" spans="1:20" ht="31.5" hidden="1" x14ac:dyDescent="0.35">
      <c r="A41" s="8" t="s">
        <v>999</v>
      </c>
      <c r="B41" s="9" t="s">
        <v>89</v>
      </c>
      <c r="C41" s="10" t="s">
        <v>90</v>
      </c>
      <c r="D41" s="10" t="s">
        <v>1046</v>
      </c>
      <c r="E41" s="10" t="s">
        <v>103</v>
      </c>
      <c r="F41" s="10" t="s">
        <v>104</v>
      </c>
      <c r="G41" s="10" t="s">
        <v>1117</v>
      </c>
      <c r="H41" s="10" t="s">
        <v>105</v>
      </c>
      <c r="I41" s="11">
        <v>10000</v>
      </c>
      <c r="J41" s="12"/>
      <c r="K41" s="13"/>
      <c r="L41" s="14"/>
      <c r="M41" s="15">
        <v>10000</v>
      </c>
      <c r="N41" s="14"/>
      <c r="O41" s="13"/>
      <c r="P41" s="16"/>
      <c r="Q41" s="16"/>
      <c r="R41" s="17">
        <f t="shared" si="0"/>
        <v>10000</v>
      </c>
      <c r="S41" s="27">
        <v>0</v>
      </c>
      <c r="T41" s="83" t="s">
        <v>1037</v>
      </c>
    </row>
    <row r="42" spans="1:20" ht="115.5" hidden="1" x14ac:dyDescent="0.35">
      <c r="A42" s="8" t="s">
        <v>1000</v>
      </c>
      <c r="B42" s="9" t="s">
        <v>106</v>
      </c>
      <c r="C42" s="10" t="s">
        <v>107</v>
      </c>
      <c r="D42" s="10" t="s">
        <v>1047</v>
      </c>
      <c r="E42" s="10" t="s">
        <v>14</v>
      </c>
      <c r="F42" s="10" t="s">
        <v>15</v>
      </c>
      <c r="G42" s="10" t="s">
        <v>1096</v>
      </c>
      <c r="H42" s="10" t="s">
        <v>108</v>
      </c>
      <c r="I42" s="11">
        <v>1020620</v>
      </c>
      <c r="J42" s="12"/>
      <c r="K42" s="13"/>
      <c r="L42" s="14"/>
      <c r="M42" s="15">
        <v>1020620</v>
      </c>
      <c r="N42" s="36">
        <f>M42/2</f>
        <v>510310</v>
      </c>
      <c r="O42" s="36">
        <f>M42/2</f>
        <v>510310</v>
      </c>
      <c r="P42" s="46" t="s">
        <v>934</v>
      </c>
      <c r="Q42" s="46"/>
      <c r="R42" s="17">
        <f t="shared" si="0"/>
        <v>0</v>
      </c>
      <c r="S42" s="14"/>
      <c r="T42" s="83" t="s">
        <v>1036</v>
      </c>
    </row>
    <row r="43" spans="1:20" ht="31.5" hidden="1" x14ac:dyDescent="0.35">
      <c r="A43" s="8" t="s">
        <v>1000</v>
      </c>
      <c r="B43" s="9" t="s">
        <v>106</v>
      </c>
      <c r="C43" s="10" t="s">
        <v>107</v>
      </c>
      <c r="D43" s="10" t="s">
        <v>1047</v>
      </c>
      <c r="E43" s="10" t="s">
        <v>65</v>
      </c>
      <c r="F43" s="10" t="s">
        <v>66</v>
      </c>
      <c r="G43" s="10" t="s">
        <v>1110</v>
      </c>
      <c r="H43" s="10" t="s">
        <v>109</v>
      </c>
      <c r="I43" s="11">
        <v>300000</v>
      </c>
      <c r="J43" s="12"/>
      <c r="K43" s="13"/>
      <c r="L43" s="14"/>
      <c r="M43" s="15">
        <v>300000</v>
      </c>
      <c r="N43" s="36">
        <v>0</v>
      </c>
      <c r="O43" s="36">
        <v>300000</v>
      </c>
      <c r="P43" s="46" t="s">
        <v>935</v>
      </c>
      <c r="Q43" s="46"/>
      <c r="R43" s="17">
        <f t="shared" si="0"/>
        <v>0</v>
      </c>
      <c r="S43" s="14"/>
      <c r="T43" s="83" t="s">
        <v>1036</v>
      </c>
    </row>
    <row r="44" spans="1:20" ht="42" hidden="1" x14ac:dyDescent="0.35">
      <c r="A44" s="8" t="s">
        <v>1000</v>
      </c>
      <c r="B44" s="9" t="s">
        <v>106</v>
      </c>
      <c r="C44" s="10" t="s">
        <v>107</v>
      </c>
      <c r="D44" s="10" t="s">
        <v>1047</v>
      </c>
      <c r="E44" s="10" t="s">
        <v>29</v>
      </c>
      <c r="F44" s="10" t="s">
        <v>30</v>
      </c>
      <c r="G44" s="10" t="s">
        <v>1101</v>
      </c>
      <c r="H44" s="10" t="s">
        <v>110</v>
      </c>
      <c r="I44" s="11">
        <v>34000</v>
      </c>
      <c r="J44" s="12"/>
      <c r="K44" s="13"/>
      <c r="L44" s="14"/>
      <c r="M44" s="15">
        <v>34000</v>
      </c>
      <c r="N44" s="36">
        <f>M44/2</f>
        <v>17000</v>
      </c>
      <c r="O44" s="36">
        <f>M44/2</f>
        <v>17000</v>
      </c>
      <c r="P44" s="46" t="s">
        <v>936</v>
      </c>
      <c r="Q44" s="46"/>
      <c r="R44" s="17">
        <f t="shared" si="0"/>
        <v>0</v>
      </c>
      <c r="S44" s="14"/>
      <c r="T44" s="83" t="s">
        <v>1036</v>
      </c>
    </row>
    <row r="45" spans="1:20" ht="42" hidden="1" x14ac:dyDescent="0.35">
      <c r="A45" s="8" t="s">
        <v>1000</v>
      </c>
      <c r="B45" s="9" t="s">
        <v>106</v>
      </c>
      <c r="C45" s="10" t="s">
        <v>107</v>
      </c>
      <c r="D45" s="10" t="s">
        <v>1047</v>
      </c>
      <c r="E45" s="10" t="s">
        <v>32</v>
      </c>
      <c r="F45" s="10" t="s">
        <v>33</v>
      </c>
      <c r="G45" s="10" t="s">
        <v>1102</v>
      </c>
      <c r="H45" s="10" t="s">
        <v>111</v>
      </c>
      <c r="I45" s="11">
        <v>222000</v>
      </c>
      <c r="J45" s="18">
        <v>30944.3</v>
      </c>
      <c r="K45" s="13"/>
      <c r="L45" s="14"/>
      <c r="M45" s="15">
        <v>191055.7</v>
      </c>
      <c r="N45" s="36">
        <f>M45/2</f>
        <v>95527.85</v>
      </c>
      <c r="O45" s="36">
        <f>M45/2</f>
        <v>95527.85</v>
      </c>
      <c r="P45" s="46" t="s">
        <v>937</v>
      </c>
      <c r="Q45" s="46"/>
      <c r="R45" s="17">
        <f t="shared" si="0"/>
        <v>0</v>
      </c>
      <c r="S45" s="14"/>
      <c r="T45" s="83" t="s">
        <v>1036</v>
      </c>
    </row>
    <row r="46" spans="1:20" ht="42" hidden="1" x14ac:dyDescent="0.35">
      <c r="A46" s="8" t="s">
        <v>1000</v>
      </c>
      <c r="B46" s="9" t="s">
        <v>106</v>
      </c>
      <c r="C46" s="10" t="s">
        <v>107</v>
      </c>
      <c r="D46" s="10" t="s">
        <v>1047</v>
      </c>
      <c r="E46" s="10" t="s">
        <v>112</v>
      </c>
      <c r="F46" s="10" t="s">
        <v>113</v>
      </c>
      <c r="G46" s="10" t="s">
        <v>1118</v>
      </c>
      <c r="H46" s="10" t="s">
        <v>114</v>
      </c>
      <c r="I46" s="11">
        <v>240000</v>
      </c>
      <c r="J46" s="18">
        <v>240000</v>
      </c>
      <c r="K46" s="13"/>
      <c r="L46" s="14"/>
      <c r="M46" s="15">
        <v>0</v>
      </c>
      <c r="N46" s="36">
        <f>M46/2</f>
        <v>0</v>
      </c>
      <c r="O46" s="36">
        <f>M46/2</f>
        <v>0</v>
      </c>
      <c r="P46" s="46" t="s">
        <v>938</v>
      </c>
      <c r="Q46" s="46"/>
      <c r="R46" s="17">
        <f t="shared" si="0"/>
        <v>0</v>
      </c>
      <c r="S46" s="14"/>
      <c r="T46" s="83" t="s">
        <v>1036</v>
      </c>
    </row>
    <row r="47" spans="1:20" ht="105" hidden="1" x14ac:dyDescent="0.35">
      <c r="A47" s="8" t="s">
        <v>1000</v>
      </c>
      <c r="B47" s="9" t="s">
        <v>106</v>
      </c>
      <c r="C47" s="10" t="s">
        <v>107</v>
      </c>
      <c r="D47" s="10" t="s">
        <v>1047</v>
      </c>
      <c r="E47" s="10" t="s">
        <v>115</v>
      </c>
      <c r="F47" s="10" t="s">
        <v>116</v>
      </c>
      <c r="G47" s="10" t="s">
        <v>1119</v>
      </c>
      <c r="H47" s="10" t="s">
        <v>117</v>
      </c>
      <c r="I47" s="11">
        <v>4816800</v>
      </c>
      <c r="J47" s="18">
        <v>588624.56999999995</v>
      </c>
      <c r="K47" s="13"/>
      <c r="L47" s="14"/>
      <c r="M47" s="15">
        <v>4228175.43</v>
      </c>
      <c r="N47" s="36">
        <v>500000</v>
      </c>
      <c r="O47" s="36">
        <f>M47-N47</f>
        <v>3728175.4299999997</v>
      </c>
      <c r="P47" s="46" t="s">
        <v>939</v>
      </c>
      <c r="Q47" s="46"/>
      <c r="R47" s="17">
        <f t="shared" si="0"/>
        <v>0</v>
      </c>
      <c r="S47" s="14"/>
      <c r="T47" s="83" t="s">
        <v>1036</v>
      </c>
    </row>
    <row r="48" spans="1:20" ht="94.5" hidden="1" x14ac:dyDescent="0.35">
      <c r="A48" s="8" t="s">
        <v>1000</v>
      </c>
      <c r="B48" s="9" t="s">
        <v>106</v>
      </c>
      <c r="C48" s="10" t="s">
        <v>107</v>
      </c>
      <c r="D48" s="10" t="s">
        <v>1047</v>
      </c>
      <c r="E48" s="10" t="s">
        <v>118</v>
      </c>
      <c r="F48" s="10" t="s">
        <v>119</v>
      </c>
      <c r="G48" s="10" t="s">
        <v>1120</v>
      </c>
      <c r="H48" s="10" t="s">
        <v>120</v>
      </c>
      <c r="I48" s="11">
        <v>1971263</v>
      </c>
      <c r="J48" s="18">
        <v>816911.08</v>
      </c>
      <c r="K48" s="13"/>
      <c r="L48" s="14"/>
      <c r="M48" s="15">
        <v>1154351.92</v>
      </c>
      <c r="N48" s="36">
        <v>250000</v>
      </c>
      <c r="O48" s="36">
        <f>M48-N48</f>
        <v>904351.91999999993</v>
      </c>
      <c r="P48" s="51" t="s">
        <v>940</v>
      </c>
      <c r="Q48" s="51"/>
      <c r="R48" s="17">
        <f t="shared" si="0"/>
        <v>0</v>
      </c>
      <c r="S48" s="14"/>
      <c r="T48" s="83" t="s">
        <v>1036</v>
      </c>
    </row>
    <row r="49" spans="1:20" ht="115.5" hidden="1" x14ac:dyDescent="0.35">
      <c r="A49" s="8" t="s">
        <v>1000</v>
      </c>
      <c r="B49" s="9" t="s">
        <v>106</v>
      </c>
      <c r="C49" s="10" t="s">
        <v>107</v>
      </c>
      <c r="D49" s="10" t="s">
        <v>1047</v>
      </c>
      <c r="E49" s="10" t="s">
        <v>121</v>
      </c>
      <c r="F49" s="10" t="s">
        <v>122</v>
      </c>
      <c r="G49" s="10" t="s">
        <v>1121</v>
      </c>
      <c r="H49" s="10" t="s">
        <v>123</v>
      </c>
      <c r="I49" s="11">
        <v>110824684</v>
      </c>
      <c r="J49" s="18">
        <v>55737661.979999997</v>
      </c>
      <c r="K49" s="13"/>
      <c r="L49" s="14"/>
      <c r="M49" s="15">
        <v>55087022.020000003</v>
      </c>
      <c r="N49" s="36">
        <f>M49/2</f>
        <v>27543511.010000002</v>
      </c>
      <c r="O49" s="36">
        <f>M49/2</f>
        <v>27543511.010000002</v>
      </c>
      <c r="P49" s="52" t="s">
        <v>941</v>
      </c>
      <c r="Q49" s="52"/>
      <c r="R49" s="17">
        <f t="shared" si="0"/>
        <v>0</v>
      </c>
      <c r="S49" s="14"/>
      <c r="T49" s="83" t="s">
        <v>1036</v>
      </c>
    </row>
    <row r="50" spans="1:20" ht="31.5" hidden="1" x14ac:dyDescent="0.35">
      <c r="A50" s="8" t="s">
        <v>1000</v>
      </c>
      <c r="B50" s="9" t="s">
        <v>106</v>
      </c>
      <c r="C50" s="10" t="s">
        <v>107</v>
      </c>
      <c r="D50" s="10" t="s">
        <v>1047</v>
      </c>
      <c r="E50" s="10" t="s">
        <v>124</v>
      </c>
      <c r="F50" s="10" t="s">
        <v>125</v>
      </c>
      <c r="G50" s="10" t="s">
        <v>1122</v>
      </c>
      <c r="H50" s="10" t="s">
        <v>126</v>
      </c>
      <c r="I50" s="11">
        <v>150000</v>
      </c>
      <c r="J50" s="12"/>
      <c r="K50" s="13"/>
      <c r="L50" s="14"/>
      <c r="M50" s="15">
        <v>150000</v>
      </c>
      <c r="N50" s="36">
        <v>0</v>
      </c>
      <c r="O50" s="36">
        <v>150000</v>
      </c>
      <c r="P50" s="52" t="s">
        <v>942</v>
      </c>
      <c r="Q50" s="52"/>
      <c r="R50" s="17">
        <f t="shared" si="0"/>
        <v>0</v>
      </c>
      <c r="S50" s="14"/>
      <c r="T50" s="83" t="s">
        <v>1036</v>
      </c>
    </row>
    <row r="51" spans="1:20" ht="73.5" hidden="1" x14ac:dyDescent="0.35">
      <c r="A51" s="8" t="s">
        <v>1000</v>
      </c>
      <c r="B51" s="9" t="s">
        <v>106</v>
      </c>
      <c r="C51" s="10" t="s">
        <v>107</v>
      </c>
      <c r="D51" s="10" t="s">
        <v>1047</v>
      </c>
      <c r="E51" s="10" t="s">
        <v>127</v>
      </c>
      <c r="F51" s="10" t="s">
        <v>128</v>
      </c>
      <c r="G51" s="10" t="s">
        <v>1123</v>
      </c>
      <c r="H51" s="10" t="s">
        <v>129</v>
      </c>
      <c r="I51" s="11">
        <v>150000</v>
      </c>
      <c r="J51" s="12"/>
      <c r="K51" s="13"/>
      <c r="L51" s="14"/>
      <c r="M51" s="15">
        <v>150000</v>
      </c>
      <c r="N51" s="36">
        <f>M51/2</f>
        <v>75000</v>
      </c>
      <c r="O51" s="36">
        <f>M51/2</f>
        <v>75000</v>
      </c>
      <c r="P51" s="52" t="s">
        <v>943</v>
      </c>
      <c r="Q51" s="52"/>
      <c r="R51" s="17">
        <f t="shared" si="0"/>
        <v>0</v>
      </c>
      <c r="S51" s="14"/>
      <c r="T51" s="83" t="s">
        <v>1036</v>
      </c>
    </row>
    <row r="52" spans="1:20" ht="42" hidden="1" x14ac:dyDescent="0.35">
      <c r="A52" s="8" t="s">
        <v>1000</v>
      </c>
      <c r="B52" s="9" t="s">
        <v>106</v>
      </c>
      <c r="C52" s="10" t="s">
        <v>107</v>
      </c>
      <c r="D52" s="10" t="s">
        <v>1047</v>
      </c>
      <c r="E52" s="10" t="s">
        <v>35</v>
      </c>
      <c r="F52" s="10" t="s">
        <v>36</v>
      </c>
      <c r="G52" s="10" t="s">
        <v>1103</v>
      </c>
      <c r="H52" s="10" t="s">
        <v>130</v>
      </c>
      <c r="I52" s="11">
        <v>45648</v>
      </c>
      <c r="J52" s="12"/>
      <c r="K52" s="13"/>
      <c r="L52" s="14"/>
      <c r="M52" s="15">
        <v>45648</v>
      </c>
      <c r="N52" s="36">
        <f>M52/2</f>
        <v>22824</v>
      </c>
      <c r="O52" s="36">
        <f>M52/2</f>
        <v>22824</v>
      </c>
      <c r="P52" s="46" t="s">
        <v>944</v>
      </c>
      <c r="Q52" s="46"/>
      <c r="R52" s="17">
        <f t="shared" si="0"/>
        <v>0</v>
      </c>
      <c r="S52" s="14"/>
      <c r="T52" s="83" t="s">
        <v>1036</v>
      </c>
    </row>
    <row r="53" spans="1:20" ht="31.5" hidden="1" x14ac:dyDescent="0.35">
      <c r="A53" s="8" t="s">
        <v>1000</v>
      </c>
      <c r="B53" s="9" t="s">
        <v>106</v>
      </c>
      <c r="C53" s="10" t="s">
        <v>107</v>
      </c>
      <c r="D53" s="10" t="s">
        <v>1047</v>
      </c>
      <c r="E53" s="10" t="s">
        <v>38</v>
      </c>
      <c r="F53" s="10" t="s">
        <v>39</v>
      </c>
      <c r="G53" s="10" t="s">
        <v>1104</v>
      </c>
      <c r="H53" s="10" t="s">
        <v>131</v>
      </c>
      <c r="I53" s="11">
        <v>10000</v>
      </c>
      <c r="J53" s="12"/>
      <c r="K53" s="13"/>
      <c r="L53" s="14"/>
      <c r="M53" s="15">
        <v>10000</v>
      </c>
      <c r="N53" s="36">
        <v>0</v>
      </c>
      <c r="O53" s="36">
        <v>10000</v>
      </c>
      <c r="P53" s="46" t="s">
        <v>945</v>
      </c>
      <c r="Q53" s="46"/>
      <c r="R53" s="17">
        <f t="shared" si="0"/>
        <v>0</v>
      </c>
      <c r="S53" s="14"/>
      <c r="T53" s="83" t="s">
        <v>1036</v>
      </c>
    </row>
    <row r="54" spans="1:20" ht="31.5" hidden="1" x14ac:dyDescent="0.35">
      <c r="A54" s="8" t="s">
        <v>1000</v>
      </c>
      <c r="B54" s="9" t="s">
        <v>106</v>
      </c>
      <c r="C54" s="10" t="s">
        <v>107</v>
      </c>
      <c r="D54" s="10" t="s">
        <v>1047</v>
      </c>
      <c r="E54" s="10" t="s">
        <v>41</v>
      </c>
      <c r="F54" s="10" t="s">
        <v>42</v>
      </c>
      <c r="G54" s="10" t="s">
        <v>1105</v>
      </c>
      <c r="H54" s="10" t="s">
        <v>132</v>
      </c>
      <c r="I54" s="11">
        <v>97000</v>
      </c>
      <c r="J54" s="12"/>
      <c r="K54" s="13"/>
      <c r="L54" s="14"/>
      <c r="M54" s="15">
        <v>97000</v>
      </c>
      <c r="N54" s="36">
        <f>M54/2</f>
        <v>48500</v>
      </c>
      <c r="O54" s="36">
        <f>M54/2</f>
        <v>48500</v>
      </c>
      <c r="P54" s="46" t="s">
        <v>946</v>
      </c>
      <c r="Q54" s="46"/>
      <c r="R54" s="17">
        <f t="shared" si="0"/>
        <v>0</v>
      </c>
      <c r="S54" s="14"/>
      <c r="T54" s="83" t="s">
        <v>1036</v>
      </c>
    </row>
    <row r="55" spans="1:20" ht="63" hidden="1" x14ac:dyDescent="0.35">
      <c r="A55" s="8" t="s">
        <v>1000</v>
      </c>
      <c r="B55" s="9" t="s">
        <v>106</v>
      </c>
      <c r="C55" s="10" t="s">
        <v>107</v>
      </c>
      <c r="D55" s="10" t="s">
        <v>1047</v>
      </c>
      <c r="E55" s="10" t="s">
        <v>47</v>
      </c>
      <c r="F55" s="10" t="s">
        <v>48</v>
      </c>
      <c r="G55" s="10" t="s">
        <v>1107</v>
      </c>
      <c r="H55" s="10" t="s">
        <v>133</v>
      </c>
      <c r="I55" s="11">
        <v>80000</v>
      </c>
      <c r="J55" s="12"/>
      <c r="K55" s="13"/>
      <c r="L55" s="14"/>
      <c r="M55" s="15">
        <v>80000</v>
      </c>
      <c r="N55" s="36">
        <f>M55/2</f>
        <v>40000</v>
      </c>
      <c r="O55" s="36">
        <f>M55/2</f>
        <v>40000</v>
      </c>
      <c r="P55" s="51" t="s">
        <v>947</v>
      </c>
      <c r="Q55" s="51"/>
      <c r="R55" s="17">
        <f t="shared" si="0"/>
        <v>0</v>
      </c>
      <c r="S55" s="14"/>
      <c r="T55" s="83" t="s">
        <v>1036</v>
      </c>
    </row>
    <row r="56" spans="1:20" ht="31.5" hidden="1" x14ac:dyDescent="0.35">
      <c r="A56" s="8" t="s">
        <v>1000</v>
      </c>
      <c r="B56" s="9" t="s">
        <v>106</v>
      </c>
      <c r="C56" s="10" t="s">
        <v>107</v>
      </c>
      <c r="D56" s="10" t="s">
        <v>1047</v>
      </c>
      <c r="E56" s="10" t="s">
        <v>134</v>
      </c>
      <c r="F56" s="10" t="s">
        <v>135</v>
      </c>
      <c r="G56" s="10" t="s">
        <v>1124</v>
      </c>
      <c r="H56" s="10" t="s">
        <v>136</v>
      </c>
      <c r="I56" s="11">
        <v>5000</v>
      </c>
      <c r="J56" s="12"/>
      <c r="K56" s="13"/>
      <c r="L56" s="14"/>
      <c r="M56" s="15">
        <v>5000</v>
      </c>
      <c r="N56" s="36">
        <f>M56/2</f>
        <v>2500</v>
      </c>
      <c r="O56" s="36">
        <f>M56/2</f>
        <v>2500</v>
      </c>
      <c r="P56" s="46" t="s">
        <v>948</v>
      </c>
      <c r="Q56" s="46"/>
      <c r="R56" s="17">
        <f t="shared" si="0"/>
        <v>0</v>
      </c>
      <c r="S56" s="14"/>
      <c r="T56" s="83" t="s">
        <v>1036</v>
      </c>
    </row>
    <row r="57" spans="1:20" ht="31.5" hidden="1" x14ac:dyDescent="0.35">
      <c r="A57" s="8" t="s">
        <v>1001</v>
      </c>
      <c r="B57" s="9" t="s">
        <v>137</v>
      </c>
      <c r="C57" s="10" t="s">
        <v>138</v>
      </c>
      <c r="D57" s="10" t="s">
        <v>1048</v>
      </c>
      <c r="E57" s="10" t="s">
        <v>14</v>
      </c>
      <c r="F57" s="10" t="s">
        <v>15</v>
      </c>
      <c r="G57" s="10" t="s">
        <v>1096</v>
      </c>
      <c r="H57" s="10" t="s">
        <v>139</v>
      </c>
      <c r="I57" s="11">
        <v>100000</v>
      </c>
      <c r="J57" s="18">
        <v>92165.34</v>
      </c>
      <c r="K57" s="13"/>
      <c r="L57" s="14"/>
      <c r="M57" s="15">
        <v>7834.6599999999899</v>
      </c>
      <c r="N57" s="14"/>
      <c r="O57" s="13"/>
      <c r="P57" s="16"/>
      <c r="Q57" s="16"/>
      <c r="R57" s="17">
        <f t="shared" si="0"/>
        <v>7834.6599999999899</v>
      </c>
      <c r="S57" s="27">
        <v>0</v>
      </c>
      <c r="T57" s="83" t="s">
        <v>1037</v>
      </c>
    </row>
    <row r="58" spans="1:20" ht="31.5" hidden="1" x14ac:dyDescent="0.35">
      <c r="A58" s="8" t="s">
        <v>1001</v>
      </c>
      <c r="B58" s="9" t="s">
        <v>137</v>
      </c>
      <c r="C58" s="10" t="s">
        <v>138</v>
      </c>
      <c r="D58" s="10" t="s">
        <v>1048</v>
      </c>
      <c r="E58" s="10" t="s">
        <v>17</v>
      </c>
      <c r="F58" s="10" t="s">
        <v>18</v>
      </c>
      <c r="G58" s="10" t="s">
        <v>1097</v>
      </c>
      <c r="H58" s="10" t="s">
        <v>140</v>
      </c>
      <c r="I58" s="11">
        <v>10000</v>
      </c>
      <c r="J58" s="12"/>
      <c r="K58" s="13"/>
      <c r="L58" s="14"/>
      <c r="M58" s="15">
        <v>10000</v>
      </c>
      <c r="N58" s="14"/>
      <c r="O58" s="13"/>
      <c r="P58" s="16"/>
      <c r="Q58" s="16"/>
      <c r="R58" s="17">
        <f t="shared" si="0"/>
        <v>10000</v>
      </c>
      <c r="S58" s="27">
        <v>0</v>
      </c>
      <c r="T58" s="83" t="s">
        <v>1037</v>
      </c>
    </row>
    <row r="59" spans="1:20" ht="31.5" hidden="1" x14ac:dyDescent="0.35">
      <c r="A59" s="8" t="s">
        <v>1001</v>
      </c>
      <c r="B59" s="9" t="s">
        <v>137</v>
      </c>
      <c r="C59" s="10" t="s">
        <v>138</v>
      </c>
      <c r="D59" s="10" t="s">
        <v>1048</v>
      </c>
      <c r="E59" s="10" t="s">
        <v>26</v>
      </c>
      <c r="F59" s="10" t="s">
        <v>27</v>
      </c>
      <c r="G59" s="10" t="s">
        <v>1100</v>
      </c>
      <c r="H59" s="10" t="s">
        <v>141</v>
      </c>
      <c r="I59" s="11">
        <v>506004</v>
      </c>
      <c r="J59" s="18">
        <v>32000</v>
      </c>
      <c r="K59" s="13"/>
      <c r="L59" s="14"/>
      <c r="M59" s="15">
        <v>474004</v>
      </c>
      <c r="N59" s="14"/>
      <c r="O59" s="13"/>
      <c r="P59" s="16"/>
      <c r="Q59" s="16"/>
      <c r="R59" s="17">
        <f t="shared" si="0"/>
        <v>474004</v>
      </c>
      <c r="S59" s="27">
        <v>0</v>
      </c>
      <c r="T59" s="83" t="s">
        <v>1037</v>
      </c>
    </row>
    <row r="60" spans="1:20" ht="31.5" hidden="1" x14ac:dyDescent="0.35">
      <c r="A60" s="8" t="s">
        <v>1001</v>
      </c>
      <c r="B60" s="9" t="s">
        <v>137</v>
      </c>
      <c r="C60" s="10" t="s">
        <v>138</v>
      </c>
      <c r="D60" s="10" t="s">
        <v>1048</v>
      </c>
      <c r="E60" s="10" t="s">
        <v>29</v>
      </c>
      <c r="F60" s="10" t="s">
        <v>30</v>
      </c>
      <c r="G60" s="10" t="s">
        <v>1101</v>
      </c>
      <c r="H60" s="10" t="s">
        <v>142</v>
      </c>
      <c r="I60" s="11">
        <v>20000</v>
      </c>
      <c r="J60" s="18">
        <v>5286</v>
      </c>
      <c r="K60" s="13"/>
      <c r="L60" s="14"/>
      <c r="M60" s="15">
        <v>14714</v>
      </c>
      <c r="N60" s="14"/>
      <c r="O60" s="13"/>
      <c r="P60" s="16"/>
      <c r="Q60" s="16"/>
      <c r="R60" s="17">
        <f t="shared" si="0"/>
        <v>14714</v>
      </c>
      <c r="S60" s="27">
        <v>0</v>
      </c>
      <c r="T60" s="83" t="s">
        <v>1037</v>
      </c>
    </row>
    <row r="61" spans="1:20" ht="31.5" hidden="1" x14ac:dyDescent="0.35">
      <c r="A61" s="8" t="s">
        <v>1001</v>
      </c>
      <c r="B61" s="9" t="s">
        <v>137</v>
      </c>
      <c r="C61" s="10" t="s">
        <v>138</v>
      </c>
      <c r="D61" s="10" t="s">
        <v>1048</v>
      </c>
      <c r="E61" s="10" t="s">
        <v>70</v>
      </c>
      <c r="F61" s="10" t="s">
        <v>71</v>
      </c>
      <c r="G61" s="10" t="s">
        <v>1111</v>
      </c>
      <c r="H61" s="10" t="s">
        <v>143</v>
      </c>
      <c r="I61" s="11">
        <v>170000</v>
      </c>
      <c r="J61" s="18">
        <v>20000</v>
      </c>
      <c r="K61" s="19">
        <v>112260.3</v>
      </c>
      <c r="L61" s="14"/>
      <c r="M61" s="15">
        <v>37739.699999999997</v>
      </c>
      <c r="N61" s="14"/>
      <c r="O61" s="13"/>
      <c r="P61" s="16"/>
      <c r="Q61" s="16"/>
      <c r="R61" s="17">
        <f t="shared" si="0"/>
        <v>37739.699999999997</v>
      </c>
      <c r="S61" s="27">
        <v>0</v>
      </c>
      <c r="T61" s="83" t="s">
        <v>1037</v>
      </c>
    </row>
    <row r="62" spans="1:20" ht="116" x14ac:dyDescent="0.35">
      <c r="A62" s="8" t="s">
        <v>1001</v>
      </c>
      <c r="B62" s="9" t="s">
        <v>137</v>
      </c>
      <c r="C62" s="10" t="s">
        <v>138</v>
      </c>
      <c r="D62" s="10" t="s">
        <v>1048</v>
      </c>
      <c r="E62" s="10" t="s">
        <v>144</v>
      </c>
      <c r="F62" s="10" t="s">
        <v>145</v>
      </c>
      <c r="G62" s="10" t="s">
        <v>1125</v>
      </c>
      <c r="H62" s="10" t="s">
        <v>146</v>
      </c>
      <c r="I62" s="11">
        <v>579499</v>
      </c>
      <c r="J62" s="18">
        <v>51565</v>
      </c>
      <c r="K62" s="13"/>
      <c r="L62" s="14"/>
      <c r="M62" s="32">
        <v>527934</v>
      </c>
      <c r="N62" s="14"/>
      <c r="O62" s="13"/>
      <c r="P62" s="16"/>
      <c r="Q62" s="100" t="s">
        <v>1190</v>
      </c>
      <c r="R62" s="17">
        <f t="shared" si="0"/>
        <v>527934</v>
      </c>
      <c r="S62" s="27">
        <v>0</v>
      </c>
      <c r="T62" s="83" t="s">
        <v>1037</v>
      </c>
    </row>
    <row r="63" spans="1:20" ht="31.5" hidden="1" x14ac:dyDescent="0.35">
      <c r="A63" s="8" t="s">
        <v>1001</v>
      </c>
      <c r="B63" s="9" t="s">
        <v>137</v>
      </c>
      <c r="C63" s="10" t="s">
        <v>138</v>
      </c>
      <c r="D63" s="10" t="s">
        <v>1048</v>
      </c>
      <c r="E63" s="10" t="s">
        <v>35</v>
      </c>
      <c r="F63" s="10" t="s">
        <v>36</v>
      </c>
      <c r="G63" s="10" t="s">
        <v>1103</v>
      </c>
      <c r="H63" s="10" t="s">
        <v>147</v>
      </c>
      <c r="I63" s="11">
        <v>18000</v>
      </c>
      <c r="J63" s="18">
        <v>5512.5</v>
      </c>
      <c r="K63" s="13"/>
      <c r="L63" s="14"/>
      <c r="M63" s="15">
        <v>12487.5</v>
      </c>
      <c r="N63" s="14"/>
      <c r="O63" s="13"/>
      <c r="P63" s="16"/>
      <c r="Q63" s="16"/>
      <c r="R63" s="17">
        <f t="shared" si="0"/>
        <v>12487.5</v>
      </c>
      <c r="S63" s="27">
        <v>0</v>
      </c>
      <c r="T63" s="83" t="s">
        <v>1037</v>
      </c>
    </row>
    <row r="64" spans="1:20" ht="31.5" hidden="1" x14ac:dyDescent="0.35">
      <c r="A64" s="8" t="s">
        <v>1001</v>
      </c>
      <c r="B64" s="9" t="s">
        <v>137</v>
      </c>
      <c r="C64" s="10" t="s">
        <v>138</v>
      </c>
      <c r="D64" s="10" t="s">
        <v>1048</v>
      </c>
      <c r="E64" s="10" t="s">
        <v>38</v>
      </c>
      <c r="F64" s="10" t="s">
        <v>39</v>
      </c>
      <c r="G64" s="10" t="s">
        <v>1104</v>
      </c>
      <c r="H64" s="10" t="s">
        <v>148</v>
      </c>
      <c r="I64" s="11">
        <v>100000</v>
      </c>
      <c r="J64" s="18">
        <v>3874.85</v>
      </c>
      <c r="K64" s="19">
        <v>0</v>
      </c>
      <c r="L64" s="11">
        <v>39668.400000000001</v>
      </c>
      <c r="M64" s="15">
        <v>56456.75</v>
      </c>
      <c r="N64" s="14"/>
      <c r="O64" s="13"/>
      <c r="P64" s="16"/>
      <c r="Q64" s="16"/>
      <c r="R64" s="17">
        <f t="shared" si="0"/>
        <v>56456.75</v>
      </c>
      <c r="S64" s="27">
        <v>0</v>
      </c>
      <c r="T64" s="83" t="s">
        <v>1037</v>
      </c>
    </row>
    <row r="65" spans="1:20" ht="31.5" hidden="1" x14ac:dyDescent="0.35">
      <c r="A65" s="8" t="s">
        <v>1001</v>
      </c>
      <c r="B65" s="9" t="s">
        <v>137</v>
      </c>
      <c r="C65" s="10" t="s">
        <v>138</v>
      </c>
      <c r="D65" s="10" t="s">
        <v>1048</v>
      </c>
      <c r="E65" s="10" t="s">
        <v>41</v>
      </c>
      <c r="F65" s="10" t="s">
        <v>42</v>
      </c>
      <c r="G65" s="10" t="s">
        <v>1105</v>
      </c>
      <c r="H65" s="10" t="s">
        <v>149</v>
      </c>
      <c r="I65" s="11">
        <v>35000</v>
      </c>
      <c r="J65" s="12"/>
      <c r="K65" s="13"/>
      <c r="L65" s="14"/>
      <c r="M65" s="15">
        <v>35000</v>
      </c>
      <c r="N65" s="14"/>
      <c r="O65" s="13"/>
      <c r="P65" s="16"/>
      <c r="Q65" s="16"/>
      <c r="R65" s="17">
        <f t="shared" si="0"/>
        <v>35000</v>
      </c>
      <c r="S65" s="27">
        <v>0</v>
      </c>
      <c r="T65" s="83" t="s">
        <v>1037</v>
      </c>
    </row>
    <row r="66" spans="1:20" ht="31.5" hidden="1" x14ac:dyDescent="0.35">
      <c r="A66" s="8" t="s">
        <v>1001</v>
      </c>
      <c r="B66" s="9" t="s">
        <v>137</v>
      </c>
      <c r="C66" s="10" t="s">
        <v>138</v>
      </c>
      <c r="D66" s="10" t="s">
        <v>1048</v>
      </c>
      <c r="E66" s="10" t="s">
        <v>47</v>
      </c>
      <c r="F66" s="10" t="s">
        <v>48</v>
      </c>
      <c r="G66" s="10" t="s">
        <v>1107</v>
      </c>
      <c r="H66" s="10" t="s">
        <v>150</v>
      </c>
      <c r="I66" s="11">
        <v>45000</v>
      </c>
      <c r="J66" s="12"/>
      <c r="K66" s="13"/>
      <c r="L66" s="14"/>
      <c r="M66" s="15">
        <v>45000</v>
      </c>
      <c r="N66" s="14"/>
      <c r="O66" s="13"/>
      <c r="P66" s="16"/>
      <c r="Q66" s="16"/>
      <c r="R66" s="17">
        <f t="shared" si="0"/>
        <v>45000</v>
      </c>
      <c r="S66" s="27">
        <v>0</v>
      </c>
      <c r="T66" s="83" t="s">
        <v>1037</v>
      </c>
    </row>
    <row r="67" spans="1:20" ht="31.5" hidden="1" x14ac:dyDescent="0.35">
      <c r="A67" s="8" t="s">
        <v>1001</v>
      </c>
      <c r="B67" s="9" t="s">
        <v>137</v>
      </c>
      <c r="C67" s="10" t="s">
        <v>138</v>
      </c>
      <c r="D67" s="10" t="s">
        <v>1048</v>
      </c>
      <c r="E67" s="10" t="s">
        <v>151</v>
      </c>
      <c r="F67" s="10" t="s">
        <v>152</v>
      </c>
      <c r="G67" s="10" t="s">
        <v>1126</v>
      </c>
      <c r="H67" s="10" t="s">
        <v>153</v>
      </c>
      <c r="I67" s="11">
        <v>45292</v>
      </c>
      <c r="J67" s="18">
        <v>35796.32</v>
      </c>
      <c r="K67" s="13"/>
      <c r="L67" s="11">
        <v>8000</v>
      </c>
      <c r="M67" s="15">
        <v>1495.68</v>
      </c>
      <c r="N67" s="14"/>
      <c r="O67" s="13"/>
      <c r="P67" s="16"/>
      <c r="Q67" s="16"/>
      <c r="R67" s="17">
        <f t="shared" si="0"/>
        <v>1495.68</v>
      </c>
      <c r="S67" s="27">
        <v>0</v>
      </c>
      <c r="T67" s="83" t="s">
        <v>1037</v>
      </c>
    </row>
    <row r="68" spans="1:20" ht="31.5" hidden="1" x14ac:dyDescent="0.35">
      <c r="A68" s="8" t="s">
        <v>1001</v>
      </c>
      <c r="B68" s="9" t="s">
        <v>137</v>
      </c>
      <c r="C68" s="10" t="s">
        <v>138</v>
      </c>
      <c r="D68" s="10" t="s">
        <v>1048</v>
      </c>
      <c r="E68" s="10" t="s">
        <v>154</v>
      </c>
      <c r="F68" s="10" t="s">
        <v>155</v>
      </c>
      <c r="G68" s="10" t="s">
        <v>1127</v>
      </c>
      <c r="H68" s="10" t="s">
        <v>156</v>
      </c>
      <c r="I68" s="11">
        <v>260000</v>
      </c>
      <c r="J68" s="18">
        <v>20510.169999999998</v>
      </c>
      <c r="K68" s="13"/>
      <c r="L68" s="14"/>
      <c r="M68" s="15">
        <v>239489.83</v>
      </c>
      <c r="N68" s="14"/>
      <c r="O68" s="13"/>
      <c r="P68" s="16"/>
      <c r="Q68" s="16"/>
      <c r="R68" s="17">
        <f t="shared" ref="R68:R131" si="1">M68-N68-O68</f>
        <v>239489.83</v>
      </c>
      <c r="S68" s="27">
        <v>0</v>
      </c>
      <c r="T68" s="83" t="s">
        <v>1037</v>
      </c>
    </row>
    <row r="69" spans="1:20" ht="31.5" hidden="1" x14ac:dyDescent="0.35">
      <c r="A69" s="8" t="s">
        <v>1001</v>
      </c>
      <c r="B69" s="9" t="s">
        <v>137</v>
      </c>
      <c r="C69" s="10" t="s">
        <v>138</v>
      </c>
      <c r="D69" s="10" t="s">
        <v>1048</v>
      </c>
      <c r="E69" s="10" t="s">
        <v>157</v>
      </c>
      <c r="F69" s="10" t="s">
        <v>158</v>
      </c>
      <c r="G69" s="10" t="s">
        <v>1128</v>
      </c>
      <c r="H69" s="10" t="s">
        <v>159</v>
      </c>
      <c r="I69" s="11">
        <v>65000</v>
      </c>
      <c r="J69" s="18">
        <v>20000</v>
      </c>
      <c r="K69" s="19">
        <v>0</v>
      </c>
      <c r="L69" s="14"/>
      <c r="M69" s="15">
        <v>45000</v>
      </c>
      <c r="N69" s="14"/>
      <c r="O69" s="13"/>
      <c r="P69" s="16"/>
      <c r="Q69" s="16"/>
      <c r="R69" s="17">
        <f t="shared" si="1"/>
        <v>45000</v>
      </c>
      <c r="S69" s="27">
        <v>0</v>
      </c>
      <c r="T69" s="83" t="s">
        <v>1037</v>
      </c>
    </row>
    <row r="70" spans="1:20" ht="31.5" hidden="1" x14ac:dyDescent="0.35">
      <c r="A70" s="8" t="s">
        <v>1001</v>
      </c>
      <c r="B70" s="9" t="s">
        <v>137</v>
      </c>
      <c r="C70" s="10" t="s">
        <v>138</v>
      </c>
      <c r="D70" s="10" t="s">
        <v>1048</v>
      </c>
      <c r="E70" s="10" t="s">
        <v>160</v>
      </c>
      <c r="F70" s="10" t="s">
        <v>161</v>
      </c>
      <c r="G70" s="10" t="s">
        <v>1129</v>
      </c>
      <c r="H70" s="10" t="s">
        <v>162</v>
      </c>
      <c r="I70" s="11">
        <v>25000</v>
      </c>
      <c r="J70" s="12"/>
      <c r="K70" s="13"/>
      <c r="L70" s="14"/>
      <c r="M70" s="15">
        <v>25000</v>
      </c>
      <c r="N70" s="14"/>
      <c r="O70" s="13"/>
      <c r="P70" s="16"/>
      <c r="Q70" s="16"/>
      <c r="R70" s="17">
        <f t="shared" si="1"/>
        <v>25000</v>
      </c>
      <c r="S70" s="27">
        <v>0</v>
      </c>
      <c r="T70" s="83" t="s">
        <v>1037</v>
      </c>
    </row>
    <row r="71" spans="1:20" ht="31.5" hidden="1" x14ac:dyDescent="0.35">
      <c r="A71" s="8" t="s">
        <v>1001</v>
      </c>
      <c r="B71" s="9" t="s">
        <v>163</v>
      </c>
      <c r="C71" s="10" t="s">
        <v>164</v>
      </c>
      <c r="D71" s="10" t="s">
        <v>1049</v>
      </c>
      <c r="E71" s="10" t="s">
        <v>14</v>
      </c>
      <c r="F71" s="10" t="s">
        <v>15</v>
      </c>
      <c r="G71" s="10" t="s">
        <v>1096</v>
      </c>
      <c r="H71" s="10" t="s">
        <v>165</v>
      </c>
      <c r="I71" s="11">
        <v>20000</v>
      </c>
      <c r="J71" s="12"/>
      <c r="K71" s="13"/>
      <c r="L71" s="14"/>
      <c r="M71" s="15">
        <v>20000</v>
      </c>
      <c r="N71" s="14"/>
      <c r="O71" s="13"/>
      <c r="P71" s="16"/>
      <c r="Q71" s="16"/>
      <c r="R71" s="17">
        <f t="shared" si="1"/>
        <v>20000</v>
      </c>
      <c r="S71" s="27">
        <v>0</v>
      </c>
      <c r="T71" s="83" t="s">
        <v>1037</v>
      </c>
    </row>
    <row r="72" spans="1:20" ht="31.5" hidden="1" x14ac:dyDescent="0.35">
      <c r="A72" s="8" t="s">
        <v>1001</v>
      </c>
      <c r="B72" s="9" t="s">
        <v>163</v>
      </c>
      <c r="C72" s="10" t="s">
        <v>164</v>
      </c>
      <c r="D72" s="10" t="s">
        <v>1049</v>
      </c>
      <c r="E72" s="10" t="s">
        <v>29</v>
      </c>
      <c r="F72" s="10" t="s">
        <v>30</v>
      </c>
      <c r="G72" s="10" t="s">
        <v>1101</v>
      </c>
      <c r="H72" s="10" t="s">
        <v>166</v>
      </c>
      <c r="I72" s="11">
        <v>15000</v>
      </c>
      <c r="J72" s="18">
        <v>5330</v>
      </c>
      <c r="K72" s="13"/>
      <c r="L72" s="14"/>
      <c r="M72" s="15">
        <v>9670</v>
      </c>
      <c r="N72" s="14"/>
      <c r="O72" s="13"/>
      <c r="P72" s="16"/>
      <c r="Q72" s="16"/>
      <c r="R72" s="17">
        <f t="shared" si="1"/>
        <v>9670</v>
      </c>
      <c r="S72" s="27">
        <v>0</v>
      </c>
      <c r="T72" s="83" t="s">
        <v>1037</v>
      </c>
    </row>
    <row r="73" spans="1:20" ht="31.5" hidden="1" x14ac:dyDescent="0.35">
      <c r="A73" s="8" t="s">
        <v>1001</v>
      </c>
      <c r="B73" s="9" t="s">
        <v>163</v>
      </c>
      <c r="C73" s="10" t="s">
        <v>164</v>
      </c>
      <c r="D73" s="10" t="s">
        <v>1049</v>
      </c>
      <c r="E73" s="10" t="s">
        <v>167</v>
      </c>
      <c r="F73" s="10" t="s">
        <v>168</v>
      </c>
      <c r="G73" s="10" t="s">
        <v>1130</v>
      </c>
      <c r="H73" s="10" t="s">
        <v>169</v>
      </c>
      <c r="I73" s="11">
        <v>150000</v>
      </c>
      <c r="J73" s="12"/>
      <c r="K73" s="13"/>
      <c r="L73" s="14"/>
      <c r="M73" s="15">
        <v>150000</v>
      </c>
      <c r="N73" s="14"/>
      <c r="O73" s="13"/>
      <c r="P73" s="16"/>
      <c r="Q73" s="16"/>
      <c r="R73" s="17">
        <f t="shared" si="1"/>
        <v>150000</v>
      </c>
      <c r="S73" s="27">
        <v>0</v>
      </c>
      <c r="T73" s="83" t="s">
        <v>1037</v>
      </c>
    </row>
    <row r="74" spans="1:20" ht="31.5" hidden="1" x14ac:dyDescent="0.35">
      <c r="A74" s="8" t="s">
        <v>1001</v>
      </c>
      <c r="B74" s="9" t="s">
        <v>163</v>
      </c>
      <c r="C74" s="10" t="s">
        <v>164</v>
      </c>
      <c r="D74" s="10" t="s">
        <v>1049</v>
      </c>
      <c r="E74" s="10" t="s">
        <v>70</v>
      </c>
      <c r="F74" s="10" t="s">
        <v>71</v>
      </c>
      <c r="G74" s="10" t="s">
        <v>1111</v>
      </c>
      <c r="H74" s="10" t="s">
        <v>170</v>
      </c>
      <c r="I74" s="11">
        <v>350000</v>
      </c>
      <c r="J74" s="18">
        <v>160000</v>
      </c>
      <c r="K74" s="13"/>
      <c r="L74" s="14"/>
      <c r="M74" s="15">
        <v>190000</v>
      </c>
      <c r="N74" s="14"/>
      <c r="O74" s="13"/>
      <c r="P74" s="16"/>
      <c r="Q74" s="16"/>
      <c r="R74" s="17">
        <f t="shared" si="1"/>
        <v>190000</v>
      </c>
      <c r="S74" s="27">
        <v>0</v>
      </c>
      <c r="T74" s="83" t="s">
        <v>1037</v>
      </c>
    </row>
    <row r="75" spans="1:20" ht="116" x14ac:dyDescent="0.35">
      <c r="A75" s="8" t="s">
        <v>1001</v>
      </c>
      <c r="B75" s="9" t="s">
        <v>163</v>
      </c>
      <c r="C75" s="10" t="s">
        <v>164</v>
      </c>
      <c r="D75" s="10" t="s">
        <v>1049</v>
      </c>
      <c r="E75" s="10" t="s">
        <v>144</v>
      </c>
      <c r="F75" s="10" t="s">
        <v>145</v>
      </c>
      <c r="G75" s="10" t="s">
        <v>1125</v>
      </c>
      <c r="H75" s="10" t="s">
        <v>171</v>
      </c>
      <c r="I75" s="11">
        <v>210000</v>
      </c>
      <c r="J75" s="18">
        <v>14375.27</v>
      </c>
      <c r="K75" s="13"/>
      <c r="L75" s="14"/>
      <c r="M75" s="32">
        <v>195624.73</v>
      </c>
      <c r="N75" s="14"/>
      <c r="O75" s="13"/>
      <c r="P75" s="16"/>
      <c r="Q75" s="100" t="s">
        <v>1190</v>
      </c>
      <c r="R75" s="17">
        <f t="shared" si="1"/>
        <v>195624.73</v>
      </c>
      <c r="S75" s="27">
        <v>0</v>
      </c>
      <c r="T75" s="83" t="s">
        <v>1037</v>
      </c>
    </row>
    <row r="76" spans="1:20" ht="31.5" hidden="1" x14ac:dyDescent="0.35">
      <c r="A76" s="8" t="s">
        <v>1001</v>
      </c>
      <c r="B76" s="9" t="s">
        <v>163</v>
      </c>
      <c r="C76" s="10" t="s">
        <v>164</v>
      </c>
      <c r="D76" s="10" t="s">
        <v>1049</v>
      </c>
      <c r="E76" s="10" t="s">
        <v>35</v>
      </c>
      <c r="F76" s="10" t="s">
        <v>36</v>
      </c>
      <c r="G76" s="10" t="s">
        <v>1103</v>
      </c>
      <c r="H76" s="10" t="s">
        <v>172</v>
      </c>
      <c r="I76" s="11">
        <v>8500</v>
      </c>
      <c r="J76" s="12"/>
      <c r="K76" s="13"/>
      <c r="L76" s="14"/>
      <c r="M76" s="15">
        <v>8500</v>
      </c>
      <c r="N76" s="14"/>
      <c r="O76" s="13"/>
      <c r="P76" s="16"/>
      <c r="Q76" s="16"/>
      <c r="R76" s="17">
        <f t="shared" si="1"/>
        <v>8500</v>
      </c>
      <c r="S76" s="27">
        <v>0</v>
      </c>
      <c r="T76" s="83" t="s">
        <v>1037</v>
      </c>
    </row>
    <row r="77" spans="1:20" ht="31.5" hidden="1" x14ac:dyDescent="0.35">
      <c r="A77" s="8" t="s">
        <v>1001</v>
      </c>
      <c r="B77" s="9" t="s">
        <v>163</v>
      </c>
      <c r="C77" s="10" t="s">
        <v>164</v>
      </c>
      <c r="D77" s="10" t="s">
        <v>1049</v>
      </c>
      <c r="E77" s="10" t="s">
        <v>38</v>
      </c>
      <c r="F77" s="10" t="s">
        <v>39</v>
      </c>
      <c r="G77" s="10" t="s">
        <v>1104</v>
      </c>
      <c r="H77" s="10" t="s">
        <v>173</v>
      </c>
      <c r="I77" s="11">
        <v>9114</v>
      </c>
      <c r="J77" s="18">
        <v>8895.2800000000007</v>
      </c>
      <c r="K77" s="13"/>
      <c r="L77" s="14"/>
      <c r="M77" s="15">
        <v>218.72000000000099</v>
      </c>
      <c r="N77" s="14"/>
      <c r="O77" s="13"/>
      <c r="P77" s="16"/>
      <c r="Q77" s="16"/>
      <c r="R77" s="17">
        <f t="shared" si="1"/>
        <v>218.72000000000099</v>
      </c>
      <c r="S77" s="27">
        <v>0</v>
      </c>
      <c r="T77" s="83" t="s">
        <v>1037</v>
      </c>
    </row>
    <row r="78" spans="1:20" ht="31.5" hidden="1" x14ac:dyDescent="0.35">
      <c r="A78" s="8" t="s">
        <v>1001</v>
      </c>
      <c r="B78" s="9" t="s">
        <v>163</v>
      </c>
      <c r="C78" s="10" t="s">
        <v>164</v>
      </c>
      <c r="D78" s="10" t="s">
        <v>1049</v>
      </c>
      <c r="E78" s="10" t="s">
        <v>41</v>
      </c>
      <c r="F78" s="10" t="s">
        <v>42</v>
      </c>
      <c r="G78" s="10" t="s">
        <v>1105</v>
      </c>
      <c r="H78" s="10" t="s">
        <v>174</v>
      </c>
      <c r="I78" s="11">
        <v>40000</v>
      </c>
      <c r="J78" s="12"/>
      <c r="K78" s="13"/>
      <c r="L78" s="14"/>
      <c r="M78" s="15">
        <v>40000</v>
      </c>
      <c r="N78" s="14"/>
      <c r="O78" s="13"/>
      <c r="P78" s="16"/>
      <c r="Q78" s="16"/>
      <c r="R78" s="17">
        <f t="shared" si="1"/>
        <v>40000</v>
      </c>
      <c r="S78" s="27">
        <v>0</v>
      </c>
      <c r="T78" s="83" t="s">
        <v>1037</v>
      </c>
    </row>
    <row r="79" spans="1:20" ht="31.5" hidden="1" x14ac:dyDescent="0.35">
      <c r="A79" s="8" t="s">
        <v>1001</v>
      </c>
      <c r="B79" s="9" t="s">
        <v>163</v>
      </c>
      <c r="C79" s="10" t="s">
        <v>164</v>
      </c>
      <c r="D79" s="10" t="s">
        <v>1049</v>
      </c>
      <c r="E79" s="10" t="s">
        <v>151</v>
      </c>
      <c r="F79" s="10" t="s">
        <v>152</v>
      </c>
      <c r="G79" s="10" t="s">
        <v>1126</v>
      </c>
      <c r="H79" s="10" t="s">
        <v>175</v>
      </c>
      <c r="I79" s="11">
        <v>5000</v>
      </c>
      <c r="J79" s="12"/>
      <c r="K79" s="13"/>
      <c r="L79" s="14"/>
      <c r="M79" s="15">
        <v>5000</v>
      </c>
      <c r="N79" s="14"/>
      <c r="O79" s="13"/>
      <c r="P79" s="16"/>
      <c r="Q79" s="16"/>
      <c r="R79" s="17">
        <f t="shared" si="1"/>
        <v>5000</v>
      </c>
      <c r="S79" s="27">
        <v>0</v>
      </c>
      <c r="T79" s="83" t="s">
        <v>1037</v>
      </c>
    </row>
    <row r="80" spans="1:20" ht="31.5" hidden="1" x14ac:dyDescent="0.35">
      <c r="A80" s="8" t="s">
        <v>1001</v>
      </c>
      <c r="B80" s="9" t="s">
        <v>163</v>
      </c>
      <c r="C80" s="10" t="s">
        <v>164</v>
      </c>
      <c r="D80" s="10" t="s">
        <v>1049</v>
      </c>
      <c r="E80" s="10" t="s">
        <v>154</v>
      </c>
      <c r="F80" s="10" t="s">
        <v>155</v>
      </c>
      <c r="G80" s="10" t="s">
        <v>1127</v>
      </c>
      <c r="H80" s="10" t="s">
        <v>176</v>
      </c>
      <c r="I80" s="11">
        <v>182000</v>
      </c>
      <c r="J80" s="18">
        <v>23762.18</v>
      </c>
      <c r="K80" s="13"/>
      <c r="L80" s="14"/>
      <c r="M80" s="15">
        <v>158237.82</v>
      </c>
      <c r="N80" s="14"/>
      <c r="O80" s="13"/>
      <c r="P80" s="16"/>
      <c r="Q80" s="16"/>
      <c r="R80" s="17">
        <f t="shared" si="1"/>
        <v>158237.82</v>
      </c>
      <c r="S80" s="27">
        <v>0</v>
      </c>
      <c r="T80" s="83" t="s">
        <v>1037</v>
      </c>
    </row>
    <row r="81" spans="1:20" ht="31.5" hidden="1" x14ac:dyDescent="0.35">
      <c r="A81" s="8" t="s">
        <v>1001</v>
      </c>
      <c r="B81" s="9" t="s">
        <v>163</v>
      </c>
      <c r="C81" s="10" t="s">
        <v>164</v>
      </c>
      <c r="D81" s="10" t="s">
        <v>1049</v>
      </c>
      <c r="E81" s="10" t="s">
        <v>157</v>
      </c>
      <c r="F81" s="10" t="s">
        <v>158</v>
      </c>
      <c r="G81" s="10" t="s">
        <v>1128</v>
      </c>
      <c r="H81" s="10" t="s">
        <v>177</v>
      </c>
      <c r="I81" s="11">
        <v>155000</v>
      </c>
      <c r="J81" s="18">
        <v>31585</v>
      </c>
      <c r="K81" s="19">
        <v>122810</v>
      </c>
      <c r="L81" s="11">
        <v>0</v>
      </c>
      <c r="M81" s="15">
        <v>605</v>
      </c>
      <c r="N81" s="14"/>
      <c r="O81" s="13"/>
      <c r="P81" s="16"/>
      <c r="Q81" s="16"/>
      <c r="R81" s="17">
        <f t="shared" si="1"/>
        <v>605</v>
      </c>
      <c r="S81" s="27">
        <v>0</v>
      </c>
      <c r="T81" s="83" t="s">
        <v>1037</v>
      </c>
    </row>
    <row r="82" spans="1:20" ht="31.5" hidden="1" x14ac:dyDescent="0.35">
      <c r="A82" s="8" t="s">
        <v>1001</v>
      </c>
      <c r="B82" s="9" t="s">
        <v>163</v>
      </c>
      <c r="C82" s="10" t="s">
        <v>164</v>
      </c>
      <c r="D82" s="10" t="s">
        <v>1049</v>
      </c>
      <c r="E82" s="10" t="s">
        <v>134</v>
      </c>
      <c r="F82" s="10" t="s">
        <v>135</v>
      </c>
      <c r="G82" s="10" t="s">
        <v>1124</v>
      </c>
      <c r="H82" s="10" t="s">
        <v>178</v>
      </c>
      <c r="I82" s="11">
        <v>4000</v>
      </c>
      <c r="J82" s="12"/>
      <c r="K82" s="13"/>
      <c r="L82" s="14"/>
      <c r="M82" s="15">
        <v>4000</v>
      </c>
      <c r="N82" s="14"/>
      <c r="O82" s="13"/>
      <c r="P82" s="16"/>
      <c r="Q82" s="16"/>
      <c r="R82" s="17">
        <f t="shared" si="1"/>
        <v>4000</v>
      </c>
      <c r="S82" s="27">
        <v>0</v>
      </c>
      <c r="T82" s="83" t="s">
        <v>1037</v>
      </c>
    </row>
    <row r="83" spans="1:20" ht="31.5" hidden="1" x14ac:dyDescent="0.35">
      <c r="A83" s="8" t="s">
        <v>1001</v>
      </c>
      <c r="B83" s="9" t="s">
        <v>163</v>
      </c>
      <c r="C83" s="10" t="s">
        <v>164</v>
      </c>
      <c r="D83" s="10" t="s">
        <v>1049</v>
      </c>
      <c r="E83" s="10" t="s">
        <v>160</v>
      </c>
      <c r="F83" s="10" t="s">
        <v>161</v>
      </c>
      <c r="G83" s="10" t="s">
        <v>1129</v>
      </c>
      <c r="H83" s="10" t="s">
        <v>179</v>
      </c>
      <c r="I83" s="11">
        <v>5000</v>
      </c>
      <c r="J83" s="12"/>
      <c r="K83" s="13"/>
      <c r="L83" s="14"/>
      <c r="M83" s="15">
        <v>5000</v>
      </c>
      <c r="N83" s="14"/>
      <c r="O83" s="13"/>
      <c r="P83" s="16"/>
      <c r="Q83" s="16"/>
      <c r="R83" s="17">
        <f t="shared" si="1"/>
        <v>5000</v>
      </c>
      <c r="S83" s="27">
        <v>0</v>
      </c>
      <c r="T83" s="83" t="s">
        <v>1037</v>
      </c>
    </row>
    <row r="84" spans="1:20" ht="31.5" hidden="1" x14ac:dyDescent="0.35">
      <c r="A84" s="8" t="s">
        <v>1001</v>
      </c>
      <c r="B84" s="9" t="s">
        <v>180</v>
      </c>
      <c r="C84" s="10" t="s">
        <v>181</v>
      </c>
      <c r="D84" s="10" t="s">
        <v>1050</v>
      </c>
      <c r="E84" s="10" t="s">
        <v>14</v>
      </c>
      <c r="F84" s="10" t="s">
        <v>15</v>
      </c>
      <c r="G84" s="10" t="s">
        <v>1096</v>
      </c>
      <c r="H84" s="10" t="s">
        <v>182</v>
      </c>
      <c r="I84" s="11">
        <v>1000</v>
      </c>
      <c r="J84" s="12"/>
      <c r="K84" s="13"/>
      <c r="L84" s="14"/>
      <c r="M84" s="15">
        <v>1000</v>
      </c>
      <c r="N84" s="14"/>
      <c r="O84" s="13"/>
      <c r="P84" s="16"/>
      <c r="Q84" s="16"/>
      <c r="R84" s="17">
        <f t="shared" si="1"/>
        <v>1000</v>
      </c>
      <c r="S84" s="27">
        <v>0</v>
      </c>
      <c r="T84" s="83" t="s">
        <v>1037</v>
      </c>
    </row>
    <row r="85" spans="1:20" ht="31.5" hidden="1" x14ac:dyDescent="0.35">
      <c r="A85" s="8" t="s">
        <v>1001</v>
      </c>
      <c r="B85" s="9" t="s">
        <v>180</v>
      </c>
      <c r="C85" s="10" t="s">
        <v>181</v>
      </c>
      <c r="D85" s="10" t="s">
        <v>1050</v>
      </c>
      <c r="E85" s="10" t="s">
        <v>29</v>
      </c>
      <c r="F85" s="10" t="s">
        <v>30</v>
      </c>
      <c r="G85" s="10" t="s">
        <v>1101</v>
      </c>
      <c r="H85" s="10" t="s">
        <v>183</v>
      </c>
      <c r="I85" s="11">
        <v>4000</v>
      </c>
      <c r="J85" s="12"/>
      <c r="K85" s="13"/>
      <c r="L85" s="14"/>
      <c r="M85" s="15">
        <v>4000</v>
      </c>
      <c r="N85" s="14"/>
      <c r="O85" s="13"/>
      <c r="P85" s="16"/>
      <c r="Q85" s="16"/>
      <c r="R85" s="17">
        <f t="shared" si="1"/>
        <v>4000</v>
      </c>
      <c r="S85" s="27">
        <v>0</v>
      </c>
      <c r="T85" s="83" t="s">
        <v>1037</v>
      </c>
    </row>
    <row r="86" spans="1:20" ht="31.5" hidden="1" x14ac:dyDescent="0.35">
      <c r="A86" s="8" t="s">
        <v>1001</v>
      </c>
      <c r="B86" s="9" t="s">
        <v>180</v>
      </c>
      <c r="C86" s="10" t="s">
        <v>181</v>
      </c>
      <c r="D86" s="10" t="s">
        <v>1050</v>
      </c>
      <c r="E86" s="10" t="s">
        <v>167</v>
      </c>
      <c r="F86" s="10" t="s">
        <v>168</v>
      </c>
      <c r="G86" s="10" t="s">
        <v>1130</v>
      </c>
      <c r="H86" s="10" t="s">
        <v>184</v>
      </c>
      <c r="I86" s="11">
        <v>20000</v>
      </c>
      <c r="J86" s="18">
        <v>1496.04</v>
      </c>
      <c r="K86" s="13"/>
      <c r="L86" s="14"/>
      <c r="M86" s="15">
        <v>18503.96</v>
      </c>
      <c r="N86" s="14"/>
      <c r="O86" s="13"/>
      <c r="P86" s="16"/>
      <c r="Q86" s="16"/>
      <c r="R86" s="17">
        <f t="shared" si="1"/>
        <v>18503.96</v>
      </c>
      <c r="S86" s="27">
        <v>0</v>
      </c>
      <c r="T86" s="83" t="s">
        <v>1037</v>
      </c>
    </row>
    <row r="87" spans="1:20" ht="31.5" hidden="1" x14ac:dyDescent="0.35">
      <c r="A87" s="8" t="s">
        <v>1001</v>
      </c>
      <c r="B87" s="9" t="s">
        <v>180</v>
      </c>
      <c r="C87" s="10" t="s">
        <v>181</v>
      </c>
      <c r="D87" s="10" t="s">
        <v>1050</v>
      </c>
      <c r="E87" s="10" t="s">
        <v>70</v>
      </c>
      <c r="F87" s="10" t="s">
        <v>71</v>
      </c>
      <c r="G87" s="10" t="s">
        <v>1111</v>
      </c>
      <c r="H87" s="10" t="s">
        <v>185</v>
      </c>
      <c r="I87" s="11">
        <v>180000</v>
      </c>
      <c r="J87" s="18">
        <v>44702.59</v>
      </c>
      <c r="K87" s="13"/>
      <c r="L87" s="14"/>
      <c r="M87" s="15">
        <v>135297.41</v>
      </c>
      <c r="N87" s="14"/>
      <c r="O87" s="13"/>
      <c r="P87" s="16"/>
      <c r="Q87" s="16"/>
      <c r="R87" s="17">
        <f t="shared" si="1"/>
        <v>135297.41</v>
      </c>
      <c r="S87" s="27">
        <v>0</v>
      </c>
      <c r="T87" s="83" t="s">
        <v>1037</v>
      </c>
    </row>
    <row r="88" spans="1:20" ht="116" x14ac:dyDescent="0.35">
      <c r="A88" s="8" t="s">
        <v>1001</v>
      </c>
      <c r="B88" s="9" t="s">
        <v>180</v>
      </c>
      <c r="C88" s="10" t="s">
        <v>181</v>
      </c>
      <c r="D88" s="10" t="s">
        <v>1050</v>
      </c>
      <c r="E88" s="10" t="s">
        <v>144</v>
      </c>
      <c r="F88" s="10" t="s">
        <v>145</v>
      </c>
      <c r="G88" s="10" t="s">
        <v>1125</v>
      </c>
      <c r="H88" s="10" t="s">
        <v>186</v>
      </c>
      <c r="I88" s="11">
        <v>180000</v>
      </c>
      <c r="J88" s="18">
        <v>14384.66</v>
      </c>
      <c r="K88" s="13"/>
      <c r="L88" s="14"/>
      <c r="M88" s="32">
        <v>165615.34</v>
      </c>
      <c r="N88" s="14"/>
      <c r="O88" s="13"/>
      <c r="P88" s="16"/>
      <c r="Q88" s="100" t="s">
        <v>1190</v>
      </c>
      <c r="R88" s="17">
        <f t="shared" si="1"/>
        <v>165615.34</v>
      </c>
      <c r="S88" s="27">
        <v>0</v>
      </c>
      <c r="T88" s="83" t="s">
        <v>1037</v>
      </c>
    </row>
    <row r="89" spans="1:20" ht="31.5" hidden="1" x14ac:dyDescent="0.35">
      <c r="A89" s="8" t="s">
        <v>1001</v>
      </c>
      <c r="B89" s="9" t="s">
        <v>180</v>
      </c>
      <c r="C89" s="10" t="s">
        <v>181</v>
      </c>
      <c r="D89" s="10" t="s">
        <v>1050</v>
      </c>
      <c r="E89" s="10" t="s">
        <v>35</v>
      </c>
      <c r="F89" s="10" t="s">
        <v>36</v>
      </c>
      <c r="G89" s="10" t="s">
        <v>1103</v>
      </c>
      <c r="H89" s="10" t="s">
        <v>187</v>
      </c>
      <c r="I89" s="11">
        <v>10000</v>
      </c>
      <c r="J89" s="18">
        <v>8004</v>
      </c>
      <c r="K89" s="13"/>
      <c r="L89" s="14"/>
      <c r="M89" s="15">
        <v>1996</v>
      </c>
      <c r="N89" s="14"/>
      <c r="O89" s="13"/>
      <c r="P89" s="16"/>
      <c r="Q89" s="16"/>
      <c r="R89" s="17">
        <f t="shared" si="1"/>
        <v>1996</v>
      </c>
      <c r="S89" s="27">
        <v>0</v>
      </c>
      <c r="T89" s="83" t="s">
        <v>1037</v>
      </c>
    </row>
    <row r="90" spans="1:20" ht="31.5" hidden="1" x14ac:dyDescent="0.35">
      <c r="A90" s="8" t="s">
        <v>1001</v>
      </c>
      <c r="B90" s="9" t="s">
        <v>180</v>
      </c>
      <c r="C90" s="10" t="s">
        <v>181</v>
      </c>
      <c r="D90" s="10" t="s">
        <v>1050</v>
      </c>
      <c r="E90" s="10" t="s">
        <v>38</v>
      </c>
      <c r="F90" s="10" t="s">
        <v>39</v>
      </c>
      <c r="G90" s="10" t="s">
        <v>1104</v>
      </c>
      <c r="H90" s="10" t="s">
        <v>188</v>
      </c>
      <c r="I90" s="11">
        <v>54576</v>
      </c>
      <c r="J90" s="18">
        <v>6253.28</v>
      </c>
      <c r="K90" s="19">
        <v>0</v>
      </c>
      <c r="L90" s="11">
        <v>0</v>
      </c>
      <c r="M90" s="15">
        <v>48322.720000000001</v>
      </c>
      <c r="N90" s="14"/>
      <c r="O90" s="13"/>
      <c r="P90" s="16"/>
      <c r="Q90" s="16"/>
      <c r="R90" s="17">
        <f t="shared" si="1"/>
        <v>48322.720000000001</v>
      </c>
      <c r="S90" s="27">
        <v>0</v>
      </c>
      <c r="T90" s="83" t="s">
        <v>1037</v>
      </c>
    </row>
    <row r="91" spans="1:20" ht="31.5" hidden="1" x14ac:dyDescent="0.35">
      <c r="A91" s="8" t="s">
        <v>1001</v>
      </c>
      <c r="B91" s="9" t="s">
        <v>180</v>
      </c>
      <c r="C91" s="10" t="s">
        <v>181</v>
      </c>
      <c r="D91" s="10" t="s">
        <v>1050</v>
      </c>
      <c r="E91" s="10" t="s">
        <v>41</v>
      </c>
      <c r="F91" s="10" t="s">
        <v>42</v>
      </c>
      <c r="G91" s="10" t="s">
        <v>1105</v>
      </c>
      <c r="H91" s="10" t="s">
        <v>189</v>
      </c>
      <c r="I91" s="11">
        <v>10000</v>
      </c>
      <c r="J91" s="12"/>
      <c r="K91" s="13"/>
      <c r="L91" s="14"/>
      <c r="M91" s="15">
        <v>10000</v>
      </c>
      <c r="N91" s="14"/>
      <c r="O91" s="13"/>
      <c r="P91" s="16"/>
      <c r="Q91" s="16"/>
      <c r="R91" s="17">
        <f t="shared" si="1"/>
        <v>10000</v>
      </c>
      <c r="S91" s="27">
        <v>0</v>
      </c>
      <c r="T91" s="83" t="s">
        <v>1037</v>
      </c>
    </row>
    <row r="92" spans="1:20" ht="31.5" hidden="1" x14ac:dyDescent="0.35">
      <c r="A92" s="8" t="s">
        <v>1001</v>
      </c>
      <c r="B92" s="9" t="s">
        <v>180</v>
      </c>
      <c r="C92" s="10" t="s">
        <v>181</v>
      </c>
      <c r="D92" s="10" t="s">
        <v>1050</v>
      </c>
      <c r="E92" s="10" t="s">
        <v>151</v>
      </c>
      <c r="F92" s="10" t="s">
        <v>152</v>
      </c>
      <c r="G92" s="10" t="s">
        <v>1126</v>
      </c>
      <c r="H92" s="10" t="s">
        <v>190</v>
      </c>
      <c r="I92" s="11">
        <v>90250</v>
      </c>
      <c r="J92" s="12"/>
      <c r="K92" s="19">
        <v>0</v>
      </c>
      <c r="L92" s="11">
        <v>71500</v>
      </c>
      <c r="M92" s="15">
        <v>18750</v>
      </c>
      <c r="N92" s="14"/>
      <c r="O92" s="13"/>
      <c r="P92" s="16"/>
      <c r="Q92" s="16"/>
      <c r="R92" s="17">
        <f t="shared" si="1"/>
        <v>18750</v>
      </c>
      <c r="S92" s="27">
        <v>0</v>
      </c>
      <c r="T92" s="83" t="s">
        <v>1037</v>
      </c>
    </row>
    <row r="93" spans="1:20" ht="31.5" hidden="1" x14ac:dyDescent="0.35">
      <c r="A93" s="8" t="s">
        <v>1001</v>
      </c>
      <c r="B93" s="9" t="s">
        <v>180</v>
      </c>
      <c r="C93" s="10" t="s">
        <v>181</v>
      </c>
      <c r="D93" s="10" t="s">
        <v>1050</v>
      </c>
      <c r="E93" s="10" t="s">
        <v>154</v>
      </c>
      <c r="F93" s="10" t="s">
        <v>155</v>
      </c>
      <c r="G93" s="10" t="s">
        <v>1127</v>
      </c>
      <c r="H93" s="10" t="s">
        <v>191</v>
      </c>
      <c r="I93" s="11">
        <v>38400</v>
      </c>
      <c r="J93" s="18">
        <v>24646.04</v>
      </c>
      <c r="K93" s="13"/>
      <c r="L93" s="14"/>
      <c r="M93" s="15">
        <v>13753.96</v>
      </c>
      <c r="N93" s="14"/>
      <c r="O93" s="13"/>
      <c r="P93" s="16"/>
      <c r="Q93" s="16"/>
      <c r="R93" s="17">
        <f t="shared" si="1"/>
        <v>13753.96</v>
      </c>
      <c r="S93" s="27">
        <v>0</v>
      </c>
      <c r="T93" s="83" t="s">
        <v>1037</v>
      </c>
    </row>
    <row r="94" spans="1:20" ht="31.5" hidden="1" x14ac:dyDescent="0.35">
      <c r="A94" s="8" t="s">
        <v>1001</v>
      </c>
      <c r="B94" s="9" t="s">
        <v>180</v>
      </c>
      <c r="C94" s="10" t="s">
        <v>181</v>
      </c>
      <c r="D94" s="10" t="s">
        <v>1050</v>
      </c>
      <c r="E94" s="10" t="s">
        <v>157</v>
      </c>
      <c r="F94" s="10" t="s">
        <v>158</v>
      </c>
      <c r="G94" s="10" t="s">
        <v>1128</v>
      </c>
      <c r="H94" s="10" t="s">
        <v>192</v>
      </c>
      <c r="I94" s="11">
        <v>195000</v>
      </c>
      <c r="J94" s="18">
        <v>103819.54</v>
      </c>
      <c r="K94" s="19">
        <v>7511.12</v>
      </c>
      <c r="L94" s="11">
        <v>39416.46</v>
      </c>
      <c r="M94" s="15">
        <v>44252.88</v>
      </c>
      <c r="N94" s="14"/>
      <c r="O94" s="13"/>
      <c r="P94" s="16"/>
      <c r="Q94" s="16"/>
      <c r="R94" s="17">
        <f t="shared" si="1"/>
        <v>44252.88</v>
      </c>
      <c r="S94" s="27">
        <v>0</v>
      </c>
      <c r="T94" s="83" t="s">
        <v>1037</v>
      </c>
    </row>
    <row r="95" spans="1:20" ht="31.5" hidden="1" x14ac:dyDescent="0.35">
      <c r="A95" s="8" t="s">
        <v>1001</v>
      </c>
      <c r="B95" s="9" t="s">
        <v>180</v>
      </c>
      <c r="C95" s="10" t="s">
        <v>181</v>
      </c>
      <c r="D95" s="10" t="s">
        <v>1050</v>
      </c>
      <c r="E95" s="10" t="s">
        <v>134</v>
      </c>
      <c r="F95" s="10" t="s">
        <v>135</v>
      </c>
      <c r="G95" s="10" t="s">
        <v>1124</v>
      </c>
      <c r="H95" s="10" t="s">
        <v>193</v>
      </c>
      <c r="I95" s="11">
        <v>2000</v>
      </c>
      <c r="J95" s="12"/>
      <c r="K95" s="13"/>
      <c r="L95" s="14"/>
      <c r="M95" s="15">
        <v>2000</v>
      </c>
      <c r="N95" s="14"/>
      <c r="O95" s="13"/>
      <c r="P95" s="16"/>
      <c r="Q95" s="16"/>
      <c r="R95" s="17">
        <f t="shared" si="1"/>
        <v>2000</v>
      </c>
      <c r="S95" s="27">
        <v>0</v>
      </c>
      <c r="T95" s="83" t="s">
        <v>1037</v>
      </c>
    </row>
    <row r="96" spans="1:20" ht="31.5" hidden="1" x14ac:dyDescent="0.35">
      <c r="A96" s="8" t="s">
        <v>1001</v>
      </c>
      <c r="B96" s="9" t="s">
        <v>180</v>
      </c>
      <c r="C96" s="10" t="s">
        <v>181</v>
      </c>
      <c r="D96" s="10" t="s">
        <v>1050</v>
      </c>
      <c r="E96" s="10" t="s">
        <v>160</v>
      </c>
      <c r="F96" s="10" t="s">
        <v>161</v>
      </c>
      <c r="G96" s="10" t="s">
        <v>1129</v>
      </c>
      <c r="H96" s="10" t="s">
        <v>194</v>
      </c>
      <c r="I96" s="11">
        <v>3000</v>
      </c>
      <c r="J96" s="12"/>
      <c r="K96" s="13"/>
      <c r="L96" s="14"/>
      <c r="M96" s="15">
        <v>3000</v>
      </c>
      <c r="N96" s="14"/>
      <c r="O96" s="13"/>
      <c r="P96" s="16"/>
      <c r="Q96" s="16"/>
      <c r="R96" s="17">
        <f t="shared" si="1"/>
        <v>3000</v>
      </c>
      <c r="S96" s="27">
        <v>0</v>
      </c>
      <c r="T96" s="83" t="s">
        <v>1037</v>
      </c>
    </row>
    <row r="97" spans="1:20" ht="31.5" hidden="1" x14ac:dyDescent="0.35">
      <c r="A97" s="8" t="s">
        <v>1001</v>
      </c>
      <c r="B97" s="9" t="s">
        <v>195</v>
      </c>
      <c r="C97" s="10" t="s">
        <v>196</v>
      </c>
      <c r="D97" s="10" t="s">
        <v>1051</v>
      </c>
      <c r="E97" s="10" t="s">
        <v>14</v>
      </c>
      <c r="F97" s="10" t="s">
        <v>15</v>
      </c>
      <c r="G97" s="10" t="s">
        <v>1096</v>
      </c>
      <c r="H97" s="10" t="s">
        <v>197</v>
      </c>
      <c r="I97" s="11">
        <v>20000</v>
      </c>
      <c r="J97" s="12"/>
      <c r="K97" s="13"/>
      <c r="L97" s="14"/>
      <c r="M97" s="15">
        <v>20000</v>
      </c>
      <c r="N97" s="14"/>
      <c r="O97" s="13"/>
      <c r="P97" s="16"/>
      <c r="Q97" s="16"/>
      <c r="R97" s="17">
        <f t="shared" si="1"/>
        <v>20000</v>
      </c>
      <c r="S97" s="27">
        <v>0</v>
      </c>
      <c r="T97" s="83" t="s">
        <v>1037</v>
      </c>
    </row>
    <row r="98" spans="1:20" ht="31.5" hidden="1" x14ac:dyDescent="0.35">
      <c r="A98" s="8" t="s">
        <v>1001</v>
      </c>
      <c r="B98" s="9" t="s">
        <v>195</v>
      </c>
      <c r="C98" s="10" t="s">
        <v>196</v>
      </c>
      <c r="D98" s="10" t="s">
        <v>1051</v>
      </c>
      <c r="E98" s="10" t="s">
        <v>29</v>
      </c>
      <c r="F98" s="10" t="s">
        <v>30</v>
      </c>
      <c r="G98" s="10" t="s">
        <v>1101</v>
      </c>
      <c r="H98" s="10" t="s">
        <v>198</v>
      </c>
      <c r="I98" s="11">
        <v>30000</v>
      </c>
      <c r="J98" s="12"/>
      <c r="K98" s="13"/>
      <c r="L98" s="14"/>
      <c r="M98" s="15">
        <v>30000</v>
      </c>
      <c r="N98" s="14"/>
      <c r="O98" s="13"/>
      <c r="P98" s="16"/>
      <c r="Q98" s="16"/>
      <c r="R98" s="17">
        <f t="shared" si="1"/>
        <v>30000</v>
      </c>
      <c r="S98" s="27">
        <v>0</v>
      </c>
      <c r="T98" s="83" t="s">
        <v>1037</v>
      </c>
    </row>
    <row r="99" spans="1:20" ht="31.5" hidden="1" x14ac:dyDescent="0.35">
      <c r="A99" s="8" t="s">
        <v>1001</v>
      </c>
      <c r="B99" s="9" t="s">
        <v>195</v>
      </c>
      <c r="C99" s="10" t="s">
        <v>196</v>
      </c>
      <c r="D99" s="10" t="s">
        <v>1051</v>
      </c>
      <c r="E99" s="10" t="s">
        <v>167</v>
      </c>
      <c r="F99" s="10" t="s">
        <v>168</v>
      </c>
      <c r="G99" s="10" t="s">
        <v>1130</v>
      </c>
      <c r="H99" s="10" t="s">
        <v>199</v>
      </c>
      <c r="I99" s="11">
        <v>25000</v>
      </c>
      <c r="J99" s="12"/>
      <c r="K99" s="13"/>
      <c r="L99" s="14"/>
      <c r="M99" s="15">
        <v>25000</v>
      </c>
      <c r="N99" s="14"/>
      <c r="O99" s="13"/>
      <c r="P99" s="16"/>
      <c r="Q99" s="16"/>
      <c r="R99" s="17">
        <f t="shared" si="1"/>
        <v>25000</v>
      </c>
      <c r="S99" s="27">
        <v>0</v>
      </c>
      <c r="T99" s="83" t="s">
        <v>1037</v>
      </c>
    </row>
    <row r="100" spans="1:20" ht="31.5" hidden="1" x14ac:dyDescent="0.35">
      <c r="A100" s="8" t="s">
        <v>1001</v>
      </c>
      <c r="B100" s="9" t="s">
        <v>195</v>
      </c>
      <c r="C100" s="10" t="s">
        <v>196</v>
      </c>
      <c r="D100" s="10" t="s">
        <v>1051</v>
      </c>
      <c r="E100" s="10" t="s">
        <v>70</v>
      </c>
      <c r="F100" s="10" t="s">
        <v>71</v>
      </c>
      <c r="G100" s="10" t="s">
        <v>1111</v>
      </c>
      <c r="H100" s="10" t="s">
        <v>200</v>
      </c>
      <c r="I100" s="11">
        <v>100000</v>
      </c>
      <c r="J100" s="18">
        <v>65000</v>
      </c>
      <c r="K100" s="19">
        <v>0</v>
      </c>
      <c r="L100" s="11">
        <v>1226.5</v>
      </c>
      <c r="M100" s="15">
        <v>33773.5</v>
      </c>
      <c r="N100" s="14"/>
      <c r="O100" s="13"/>
      <c r="P100" s="16"/>
      <c r="Q100" s="16"/>
      <c r="R100" s="17">
        <f t="shared" si="1"/>
        <v>33773.5</v>
      </c>
      <c r="S100" s="27">
        <v>0</v>
      </c>
      <c r="T100" s="83" t="s">
        <v>1037</v>
      </c>
    </row>
    <row r="101" spans="1:20" ht="116" x14ac:dyDescent="0.35">
      <c r="A101" s="8" t="s">
        <v>1001</v>
      </c>
      <c r="B101" s="9" t="s">
        <v>195</v>
      </c>
      <c r="C101" s="10" t="s">
        <v>196</v>
      </c>
      <c r="D101" s="10" t="s">
        <v>1051</v>
      </c>
      <c r="E101" s="10" t="s">
        <v>144</v>
      </c>
      <c r="F101" s="10" t="s">
        <v>145</v>
      </c>
      <c r="G101" s="10" t="s">
        <v>1125</v>
      </c>
      <c r="H101" s="10" t="s">
        <v>201</v>
      </c>
      <c r="I101" s="11">
        <v>437869</v>
      </c>
      <c r="J101" s="18">
        <v>26535</v>
      </c>
      <c r="K101" s="13"/>
      <c r="L101" s="14"/>
      <c r="M101" s="32">
        <v>411334</v>
      </c>
      <c r="N101" s="14"/>
      <c r="O101" s="13"/>
      <c r="P101" s="16"/>
      <c r="Q101" s="100" t="s">
        <v>1190</v>
      </c>
      <c r="R101" s="17">
        <f t="shared" si="1"/>
        <v>411334</v>
      </c>
      <c r="S101" s="27">
        <v>0</v>
      </c>
      <c r="T101" s="83" t="s">
        <v>1037</v>
      </c>
    </row>
    <row r="102" spans="1:20" ht="31.5" hidden="1" x14ac:dyDescent="0.35">
      <c r="A102" s="8" t="s">
        <v>1001</v>
      </c>
      <c r="B102" s="9" t="s">
        <v>195</v>
      </c>
      <c r="C102" s="10" t="s">
        <v>196</v>
      </c>
      <c r="D102" s="10" t="s">
        <v>1051</v>
      </c>
      <c r="E102" s="10" t="s">
        <v>35</v>
      </c>
      <c r="F102" s="10" t="s">
        <v>36</v>
      </c>
      <c r="G102" s="10" t="s">
        <v>1103</v>
      </c>
      <c r="H102" s="10" t="s">
        <v>202</v>
      </c>
      <c r="I102" s="11">
        <v>20000</v>
      </c>
      <c r="J102" s="18">
        <v>4750</v>
      </c>
      <c r="K102" s="13"/>
      <c r="L102" s="14"/>
      <c r="M102" s="15">
        <v>15250</v>
      </c>
      <c r="N102" s="14"/>
      <c r="O102" s="13"/>
      <c r="P102" s="16"/>
      <c r="Q102" s="16"/>
      <c r="R102" s="17">
        <f t="shared" si="1"/>
        <v>15250</v>
      </c>
      <c r="S102" s="27">
        <v>0</v>
      </c>
      <c r="T102" s="83" t="s">
        <v>1037</v>
      </c>
    </row>
    <row r="103" spans="1:20" ht="31.5" hidden="1" x14ac:dyDescent="0.35">
      <c r="A103" s="8" t="s">
        <v>1001</v>
      </c>
      <c r="B103" s="9" t="s">
        <v>195</v>
      </c>
      <c r="C103" s="10" t="s">
        <v>196</v>
      </c>
      <c r="D103" s="10" t="s">
        <v>1051</v>
      </c>
      <c r="E103" s="10" t="s">
        <v>38</v>
      </c>
      <c r="F103" s="10" t="s">
        <v>39</v>
      </c>
      <c r="G103" s="10" t="s">
        <v>1104</v>
      </c>
      <c r="H103" s="10" t="s">
        <v>203</v>
      </c>
      <c r="I103" s="11">
        <v>75000</v>
      </c>
      <c r="J103" s="18">
        <v>54466.92</v>
      </c>
      <c r="K103" s="19">
        <v>-2.7284841053187799E-12</v>
      </c>
      <c r="L103" s="11">
        <v>5917.2</v>
      </c>
      <c r="M103" s="15">
        <v>14615.88</v>
      </c>
      <c r="N103" s="14"/>
      <c r="O103" s="13"/>
      <c r="P103" s="16"/>
      <c r="Q103" s="16"/>
      <c r="R103" s="17">
        <f t="shared" si="1"/>
        <v>14615.88</v>
      </c>
      <c r="S103" s="27">
        <v>0</v>
      </c>
      <c r="T103" s="83" t="s">
        <v>1037</v>
      </c>
    </row>
    <row r="104" spans="1:20" ht="31.5" hidden="1" x14ac:dyDescent="0.35">
      <c r="A104" s="8" t="s">
        <v>1001</v>
      </c>
      <c r="B104" s="9" t="s">
        <v>195</v>
      </c>
      <c r="C104" s="10" t="s">
        <v>196</v>
      </c>
      <c r="D104" s="10" t="s">
        <v>1051</v>
      </c>
      <c r="E104" s="10" t="s">
        <v>41</v>
      </c>
      <c r="F104" s="10" t="s">
        <v>42</v>
      </c>
      <c r="G104" s="10" t="s">
        <v>1105</v>
      </c>
      <c r="H104" s="10" t="s">
        <v>204</v>
      </c>
      <c r="I104" s="11">
        <v>35000</v>
      </c>
      <c r="J104" s="18">
        <v>10400</v>
      </c>
      <c r="K104" s="13"/>
      <c r="L104" s="14"/>
      <c r="M104" s="15">
        <v>24600</v>
      </c>
      <c r="N104" s="14"/>
      <c r="O104" s="13"/>
      <c r="P104" s="16"/>
      <c r="Q104" s="16"/>
      <c r="R104" s="17">
        <f t="shared" si="1"/>
        <v>24600</v>
      </c>
      <c r="S104" s="27">
        <v>0</v>
      </c>
      <c r="T104" s="83" t="s">
        <v>1037</v>
      </c>
    </row>
    <row r="105" spans="1:20" ht="31.5" hidden="1" x14ac:dyDescent="0.35">
      <c r="A105" s="8" t="s">
        <v>1001</v>
      </c>
      <c r="B105" s="9" t="s">
        <v>195</v>
      </c>
      <c r="C105" s="10" t="s">
        <v>196</v>
      </c>
      <c r="D105" s="10" t="s">
        <v>1051</v>
      </c>
      <c r="E105" s="10" t="s">
        <v>154</v>
      </c>
      <c r="F105" s="10" t="s">
        <v>155</v>
      </c>
      <c r="G105" s="10" t="s">
        <v>1127</v>
      </c>
      <c r="H105" s="10" t="s">
        <v>205</v>
      </c>
      <c r="I105" s="11">
        <v>50000</v>
      </c>
      <c r="J105" s="18">
        <v>13797.64</v>
      </c>
      <c r="K105" s="13"/>
      <c r="L105" s="14"/>
      <c r="M105" s="15">
        <v>36202.36</v>
      </c>
      <c r="N105" s="14"/>
      <c r="O105" s="13"/>
      <c r="P105" s="16"/>
      <c r="Q105" s="16"/>
      <c r="R105" s="17">
        <f t="shared" si="1"/>
        <v>36202.36</v>
      </c>
      <c r="S105" s="27">
        <v>0</v>
      </c>
      <c r="T105" s="83" t="s">
        <v>1037</v>
      </c>
    </row>
    <row r="106" spans="1:20" ht="31.5" hidden="1" x14ac:dyDescent="0.35">
      <c r="A106" s="8" t="s">
        <v>1001</v>
      </c>
      <c r="B106" s="9" t="s">
        <v>195</v>
      </c>
      <c r="C106" s="10" t="s">
        <v>196</v>
      </c>
      <c r="D106" s="10" t="s">
        <v>1051</v>
      </c>
      <c r="E106" s="10" t="s">
        <v>157</v>
      </c>
      <c r="F106" s="10" t="s">
        <v>158</v>
      </c>
      <c r="G106" s="10" t="s">
        <v>1128</v>
      </c>
      <c r="H106" s="10" t="s">
        <v>206</v>
      </c>
      <c r="I106" s="11">
        <v>212131</v>
      </c>
      <c r="J106" s="12"/>
      <c r="K106" s="19">
        <v>199588</v>
      </c>
      <c r="L106" s="14"/>
      <c r="M106" s="15">
        <v>12543</v>
      </c>
      <c r="N106" s="14"/>
      <c r="O106" s="13"/>
      <c r="P106" s="16"/>
      <c r="Q106" s="16"/>
      <c r="R106" s="17">
        <f t="shared" si="1"/>
        <v>12543</v>
      </c>
      <c r="S106" s="27">
        <v>0</v>
      </c>
      <c r="T106" s="83" t="s">
        <v>1037</v>
      </c>
    </row>
    <row r="107" spans="1:20" ht="31.5" hidden="1" x14ac:dyDescent="0.35">
      <c r="A107" s="8" t="s">
        <v>1001</v>
      </c>
      <c r="B107" s="9" t="s">
        <v>195</v>
      </c>
      <c r="C107" s="10" t="s">
        <v>196</v>
      </c>
      <c r="D107" s="10" t="s">
        <v>1051</v>
      </c>
      <c r="E107" s="10" t="s">
        <v>134</v>
      </c>
      <c r="F107" s="10" t="s">
        <v>135</v>
      </c>
      <c r="G107" s="10" t="s">
        <v>1124</v>
      </c>
      <c r="H107" s="10" t="s">
        <v>207</v>
      </c>
      <c r="I107" s="11">
        <v>35000</v>
      </c>
      <c r="J107" s="12"/>
      <c r="K107" s="13"/>
      <c r="L107" s="14"/>
      <c r="M107" s="15">
        <v>35000</v>
      </c>
      <c r="N107" s="14"/>
      <c r="O107" s="13"/>
      <c r="P107" s="16"/>
      <c r="Q107" s="16"/>
      <c r="R107" s="17">
        <f t="shared" si="1"/>
        <v>35000</v>
      </c>
      <c r="S107" s="27">
        <v>0</v>
      </c>
      <c r="T107" s="83" t="s">
        <v>1037</v>
      </c>
    </row>
    <row r="108" spans="1:20" ht="31.5" hidden="1" x14ac:dyDescent="0.35">
      <c r="A108" s="8" t="s">
        <v>1001</v>
      </c>
      <c r="B108" s="9" t="s">
        <v>195</v>
      </c>
      <c r="C108" s="10" t="s">
        <v>196</v>
      </c>
      <c r="D108" s="10" t="s">
        <v>1051</v>
      </c>
      <c r="E108" s="10" t="s">
        <v>160</v>
      </c>
      <c r="F108" s="10" t="s">
        <v>161</v>
      </c>
      <c r="G108" s="10" t="s">
        <v>1129</v>
      </c>
      <c r="H108" s="10" t="s">
        <v>208</v>
      </c>
      <c r="I108" s="11">
        <v>45000</v>
      </c>
      <c r="J108" s="18">
        <v>12485</v>
      </c>
      <c r="K108" s="13"/>
      <c r="L108" s="14"/>
      <c r="M108" s="15">
        <v>32515</v>
      </c>
      <c r="N108" s="14"/>
      <c r="O108" s="13"/>
      <c r="P108" s="16"/>
      <c r="Q108" s="16"/>
      <c r="R108" s="17">
        <f t="shared" si="1"/>
        <v>32515</v>
      </c>
      <c r="S108" s="27">
        <v>0</v>
      </c>
      <c r="T108" s="83" t="s">
        <v>1037</v>
      </c>
    </row>
    <row r="109" spans="1:20" ht="21" hidden="1" x14ac:dyDescent="0.35">
      <c r="A109" s="8" t="s">
        <v>1001</v>
      </c>
      <c r="B109" s="9" t="s">
        <v>209</v>
      </c>
      <c r="C109" s="10" t="s">
        <v>210</v>
      </c>
      <c r="D109" s="10" t="s">
        <v>1052</v>
      </c>
      <c r="E109" s="10" t="s">
        <v>14</v>
      </c>
      <c r="F109" s="10" t="s">
        <v>15</v>
      </c>
      <c r="G109" s="10" t="s">
        <v>1096</v>
      </c>
      <c r="H109" s="10" t="s">
        <v>211</v>
      </c>
      <c r="I109" s="11">
        <v>4000</v>
      </c>
      <c r="J109" s="12"/>
      <c r="K109" s="13"/>
      <c r="L109" s="14"/>
      <c r="M109" s="15">
        <v>4000</v>
      </c>
      <c r="N109" s="14"/>
      <c r="O109" s="13"/>
      <c r="P109" s="16"/>
      <c r="Q109" s="16"/>
      <c r="R109" s="17">
        <f t="shared" si="1"/>
        <v>4000</v>
      </c>
      <c r="S109" s="27">
        <v>0</v>
      </c>
      <c r="T109" s="83" t="s">
        <v>1037</v>
      </c>
    </row>
    <row r="110" spans="1:20" ht="21" hidden="1" x14ac:dyDescent="0.35">
      <c r="A110" s="8" t="s">
        <v>1001</v>
      </c>
      <c r="B110" s="9" t="s">
        <v>209</v>
      </c>
      <c r="C110" s="10" t="s">
        <v>210</v>
      </c>
      <c r="D110" s="10" t="s">
        <v>1052</v>
      </c>
      <c r="E110" s="10" t="s">
        <v>29</v>
      </c>
      <c r="F110" s="10" t="s">
        <v>30</v>
      </c>
      <c r="G110" s="10" t="s">
        <v>1101</v>
      </c>
      <c r="H110" s="10" t="s">
        <v>212</v>
      </c>
      <c r="I110" s="11">
        <v>6600</v>
      </c>
      <c r="J110" s="18">
        <v>2550</v>
      </c>
      <c r="K110" s="13"/>
      <c r="L110" s="14"/>
      <c r="M110" s="15">
        <v>4050</v>
      </c>
      <c r="N110" s="14"/>
      <c r="O110" s="13"/>
      <c r="P110" s="16"/>
      <c r="Q110" s="16"/>
      <c r="R110" s="17">
        <f t="shared" si="1"/>
        <v>4050</v>
      </c>
      <c r="S110" s="27">
        <v>0</v>
      </c>
      <c r="T110" s="83" t="s">
        <v>1037</v>
      </c>
    </row>
    <row r="111" spans="1:20" ht="21" hidden="1" x14ac:dyDescent="0.35">
      <c r="A111" s="8" t="s">
        <v>1001</v>
      </c>
      <c r="B111" s="9" t="s">
        <v>209</v>
      </c>
      <c r="C111" s="10" t="s">
        <v>210</v>
      </c>
      <c r="D111" s="10" t="s">
        <v>1052</v>
      </c>
      <c r="E111" s="10" t="s">
        <v>167</v>
      </c>
      <c r="F111" s="10" t="s">
        <v>168</v>
      </c>
      <c r="G111" s="10" t="s">
        <v>1130</v>
      </c>
      <c r="H111" s="10" t="s">
        <v>213</v>
      </c>
      <c r="I111" s="11">
        <v>5000</v>
      </c>
      <c r="J111" s="12"/>
      <c r="K111" s="13"/>
      <c r="L111" s="14"/>
      <c r="M111" s="15">
        <v>5000</v>
      </c>
      <c r="N111" s="14"/>
      <c r="O111" s="13"/>
      <c r="P111" s="16"/>
      <c r="Q111" s="16"/>
      <c r="R111" s="17">
        <f t="shared" si="1"/>
        <v>5000</v>
      </c>
      <c r="S111" s="27">
        <v>0</v>
      </c>
      <c r="T111" s="83" t="s">
        <v>1037</v>
      </c>
    </row>
    <row r="112" spans="1:20" ht="21" hidden="1" x14ac:dyDescent="0.35">
      <c r="A112" s="8" t="s">
        <v>1001</v>
      </c>
      <c r="B112" s="9" t="s">
        <v>209</v>
      </c>
      <c r="C112" s="10" t="s">
        <v>210</v>
      </c>
      <c r="D112" s="10" t="s">
        <v>1052</v>
      </c>
      <c r="E112" s="10" t="s">
        <v>70</v>
      </c>
      <c r="F112" s="10" t="s">
        <v>71</v>
      </c>
      <c r="G112" s="10" t="s">
        <v>1111</v>
      </c>
      <c r="H112" s="10" t="s">
        <v>214</v>
      </c>
      <c r="I112" s="11">
        <v>370000</v>
      </c>
      <c r="J112" s="18">
        <v>202824.33</v>
      </c>
      <c r="K112" s="13"/>
      <c r="L112" s="14"/>
      <c r="M112" s="15">
        <v>167175.67000000001</v>
      </c>
      <c r="N112" s="14"/>
      <c r="O112" s="13"/>
      <c r="P112" s="16"/>
      <c r="Q112" s="16"/>
      <c r="R112" s="17">
        <f t="shared" si="1"/>
        <v>167175.67000000001</v>
      </c>
      <c r="S112" s="27">
        <v>0</v>
      </c>
      <c r="T112" s="83" t="s">
        <v>1037</v>
      </c>
    </row>
    <row r="113" spans="1:20" ht="116" x14ac:dyDescent="0.35">
      <c r="A113" s="8" t="s">
        <v>1001</v>
      </c>
      <c r="B113" s="9" t="s">
        <v>209</v>
      </c>
      <c r="C113" s="10" t="s">
        <v>210</v>
      </c>
      <c r="D113" s="10" t="s">
        <v>1052</v>
      </c>
      <c r="E113" s="10" t="s">
        <v>144</v>
      </c>
      <c r="F113" s="10" t="s">
        <v>145</v>
      </c>
      <c r="G113" s="10" t="s">
        <v>1125</v>
      </c>
      <c r="H113" s="10" t="s">
        <v>215</v>
      </c>
      <c r="I113" s="11">
        <v>165000</v>
      </c>
      <c r="J113" s="18">
        <v>11251</v>
      </c>
      <c r="K113" s="13"/>
      <c r="L113" s="14"/>
      <c r="M113" s="32">
        <v>153749</v>
      </c>
      <c r="N113" s="14"/>
      <c r="O113" s="13"/>
      <c r="P113" s="16"/>
      <c r="Q113" s="100" t="s">
        <v>1190</v>
      </c>
      <c r="R113" s="17">
        <f t="shared" si="1"/>
        <v>153749</v>
      </c>
      <c r="S113" s="27">
        <v>0</v>
      </c>
      <c r="T113" s="83" t="s">
        <v>1037</v>
      </c>
    </row>
    <row r="114" spans="1:20" ht="21" hidden="1" x14ac:dyDescent="0.35">
      <c r="A114" s="8" t="s">
        <v>1001</v>
      </c>
      <c r="B114" s="9" t="s">
        <v>209</v>
      </c>
      <c r="C114" s="10" t="s">
        <v>210</v>
      </c>
      <c r="D114" s="10" t="s">
        <v>1052</v>
      </c>
      <c r="E114" s="10" t="s">
        <v>38</v>
      </c>
      <c r="F114" s="10" t="s">
        <v>39</v>
      </c>
      <c r="G114" s="10" t="s">
        <v>1104</v>
      </c>
      <c r="H114" s="10" t="s">
        <v>216</v>
      </c>
      <c r="I114" s="11">
        <v>34910</v>
      </c>
      <c r="J114" s="18">
        <v>5509.5</v>
      </c>
      <c r="K114" s="19">
        <v>0</v>
      </c>
      <c r="L114" s="11">
        <v>11753.6</v>
      </c>
      <c r="M114" s="15">
        <v>17646.900000000001</v>
      </c>
      <c r="N114" s="14"/>
      <c r="O114" s="13"/>
      <c r="P114" s="16"/>
      <c r="Q114" s="16"/>
      <c r="R114" s="17">
        <f t="shared" si="1"/>
        <v>17646.900000000001</v>
      </c>
      <c r="S114" s="27">
        <v>0</v>
      </c>
      <c r="T114" s="83" t="s">
        <v>1037</v>
      </c>
    </row>
    <row r="115" spans="1:20" ht="21" hidden="1" x14ac:dyDescent="0.35">
      <c r="A115" s="8" t="s">
        <v>1001</v>
      </c>
      <c r="B115" s="9" t="s">
        <v>209</v>
      </c>
      <c r="C115" s="10" t="s">
        <v>210</v>
      </c>
      <c r="D115" s="10" t="s">
        <v>1052</v>
      </c>
      <c r="E115" s="10" t="s">
        <v>41</v>
      </c>
      <c r="F115" s="10" t="s">
        <v>42</v>
      </c>
      <c r="G115" s="10" t="s">
        <v>1105</v>
      </c>
      <c r="H115" s="10" t="s">
        <v>217</v>
      </c>
      <c r="I115" s="11">
        <v>0</v>
      </c>
      <c r="J115" s="12"/>
      <c r="K115" s="13"/>
      <c r="L115" s="14"/>
      <c r="M115" s="15">
        <v>0</v>
      </c>
      <c r="N115" s="14"/>
      <c r="O115" s="13"/>
      <c r="P115" s="16"/>
      <c r="Q115" s="16"/>
      <c r="R115" s="17">
        <f t="shared" si="1"/>
        <v>0</v>
      </c>
      <c r="S115" s="27">
        <v>0</v>
      </c>
      <c r="T115" s="83" t="s">
        <v>1037</v>
      </c>
    </row>
    <row r="116" spans="1:20" ht="21" hidden="1" x14ac:dyDescent="0.35">
      <c r="A116" s="8" t="s">
        <v>1001</v>
      </c>
      <c r="B116" s="9" t="s">
        <v>209</v>
      </c>
      <c r="C116" s="10" t="s">
        <v>210</v>
      </c>
      <c r="D116" s="10" t="s">
        <v>1052</v>
      </c>
      <c r="E116" s="10" t="s">
        <v>151</v>
      </c>
      <c r="F116" s="10" t="s">
        <v>152</v>
      </c>
      <c r="G116" s="10" t="s">
        <v>1126</v>
      </c>
      <c r="H116" s="10" t="s">
        <v>218</v>
      </c>
      <c r="I116" s="11">
        <v>201550</v>
      </c>
      <c r="J116" s="18">
        <v>92722</v>
      </c>
      <c r="K116" s="19">
        <v>-9.0949470177292808E-12</v>
      </c>
      <c r="L116" s="11">
        <v>80950</v>
      </c>
      <c r="M116" s="15">
        <v>27878</v>
      </c>
      <c r="N116" s="14"/>
      <c r="O116" s="13"/>
      <c r="P116" s="16"/>
      <c r="Q116" s="16"/>
      <c r="R116" s="17">
        <f t="shared" si="1"/>
        <v>27878</v>
      </c>
      <c r="S116" s="27">
        <v>0</v>
      </c>
      <c r="T116" s="83" t="s">
        <v>1037</v>
      </c>
    </row>
    <row r="117" spans="1:20" ht="21" hidden="1" x14ac:dyDescent="0.35">
      <c r="A117" s="8" t="s">
        <v>1001</v>
      </c>
      <c r="B117" s="9" t="s">
        <v>209</v>
      </c>
      <c r="C117" s="10" t="s">
        <v>210</v>
      </c>
      <c r="D117" s="10" t="s">
        <v>1052</v>
      </c>
      <c r="E117" s="10" t="s">
        <v>154</v>
      </c>
      <c r="F117" s="10" t="s">
        <v>155</v>
      </c>
      <c r="G117" s="10" t="s">
        <v>1127</v>
      </c>
      <c r="H117" s="10" t="s">
        <v>219</v>
      </c>
      <c r="I117" s="11">
        <v>80000</v>
      </c>
      <c r="J117" s="18">
        <v>8517</v>
      </c>
      <c r="K117" s="13"/>
      <c r="L117" s="14"/>
      <c r="M117" s="15">
        <v>71483</v>
      </c>
      <c r="N117" s="14"/>
      <c r="O117" s="13"/>
      <c r="P117" s="16"/>
      <c r="Q117" s="16"/>
      <c r="R117" s="17">
        <f t="shared" si="1"/>
        <v>71483</v>
      </c>
      <c r="S117" s="27">
        <v>0</v>
      </c>
      <c r="T117" s="83" t="s">
        <v>1037</v>
      </c>
    </row>
    <row r="118" spans="1:20" ht="21" hidden="1" x14ac:dyDescent="0.35">
      <c r="A118" s="8" t="s">
        <v>1001</v>
      </c>
      <c r="B118" s="9" t="s">
        <v>209</v>
      </c>
      <c r="C118" s="10" t="s">
        <v>210</v>
      </c>
      <c r="D118" s="10" t="s">
        <v>1052</v>
      </c>
      <c r="E118" s="10" t="s">
        <v>157</v>
      </c>
      <c r="F118" s="10" t="s">
        <v>158</v>
      </c>
      <c r="G118" s="10" t="s">
        <v>1128</v>
      </c>
      <c r="H118" s="10" t="s">
        <v>220</v>
      </c>
      <c r="I118" s="11">
        <v>92573</v>
      </c>
      <c r="J118" s="18">
        <v>11489.42</v>
      </c>
      <c r="K118" s="19">
        <v>0</v>
      </c>
      <c r="L118" s="11">
        <v>60944.26</v>
      </c>
      <c r="M118" s="15">
        <v>20139.32</v>
      </c>
      <c r="N118" s="14"/>
      <c r="O118" s="13"/>
      <c r="P118" s="16"/>
      <c r="Q118" s="16"/>
      <c r="R118" s="17">
        <f t="shared" si="1"/>
        <v>20139.32</v>
      </c>
      <c r="S118" s="27">
        <v>0</v>
      </c>
      <c r="T118" s="83" t="s">
        <v>1037</v>
      </c>
    </row>
    <row r="119" spans="1:20" ht="42" hidden="1" x14ac:dyDescent="0.35">
      <c r="A119" s="8" t="s">
        <v>1001</v>
      </c>
      <c r="B119" s="9" t="s">
        <v>221</v>
      </c>
      <c r="C119" s="10" t="s">
        <v>222</v>
      </c>
      <c r="D119" s="10" t="s">
        <v>1053</v>
      </c>
      <c r="E119" s="10" t="s">
        <v>14</v>
      </c>
      <c r="F119" s="10" t="s">
        <v>15</v>
      </c>
      <c r="G119" s="10" t="s">
        <v>1096</v>
      </c>
      <c r="H119" s="10" t="s">
        <v>223</v>
      </c>
      <c r="I119" s="11">
        <v>3000</v>
      </c>
      <c r="J119" s="12"/>
      <c r="K119" s="13"/>
      <c r="L119" s="14"/>
      <c r="M119" s="15">
        <v>3000</v>
      </c>
      <c r="N119" s="14"/>
      <c r="O119" s="13"/>
      <c r="P119" s="16"/>
      <c r="Q119" s="16"/>
      <c r="R119" s="17">
        <f t="shared" si="1"/>
        <v>3000</v>
      </c>
      <c r="S119" s="27">
        <v>0</v>
      </c>
      <c r="T119" s="83" t="s">
        <v>1037</v>
      </c>
    </row>
    <row r="120" spans="1:20" ht="42" hidden="1" x14ac:dyDescent="0.35">
      <c r="A120" s="8" t="s">
        <v>1001</v>
      </c>
      <c r="B120" s="9" t="s">
        <v>221</v>
      </c>
      <c r="C120" s="10" t="s">
        <v>222</v>
      </c>
      <c r="D120" s="10" t="s">
        <v>1053</v>
      </c>
      <c r="E120" s="10" t="s">
        <v>29</v>
      </c>
      <c r="F120" s="10" t="s">
        <v>30</v>
      </c>
      <c r="G120" s="10" t="s">
        <v>1101</v>
      </c>
      <c r="H120" s="10" t="s">
        <v>224</v>
      </c>
      <c r="I120" s="11">
        <v>42000</v>
      </c>
      <c r="J120" s="18">
        <v>4400</v>
      </c>
      <c r="K120" s="13"/>
      <c r="L120" s="14"/>
      <c r="M120" s="15">
        <v>37600</v>
      </c>
      <c r="N120" s="14"/>
      <c r="O120" s="13"/>
      <c r="P120" s="16"/>
      <c r="Q120" s="16"/>
      <c r="R120" s="17">
        <f t="shared" si="1"/>
        <v>37600</v>
      </c>
      <c r="S120" s="27">
        <v>0</v>
      </c>
      <c r="T120" s="83" t="s">
        <v>1037</v>
      </c>
    </row>
    <row r="121" spans="1:20" ht="42" hidden="1" x14ac:dyDescent="0.35">
      <c r="A121" s="8" t="s">
        <v>1001</v>
      </c>
      <c r="B121" s="9" t="s">
        <v>221</v>
      </c>
      <c r="C121" s="10" t="s">
        <v>222</v>
      </c>
      <c r="D121" s="10" t="s">
        <v>1053</v>
      </c>
      <c r="E121" s="10" t="s">
        <v>167</v>
      </c>
      <c r="F121" s="10" t="s">
        <v>168</v>
      </c>
      <c r="G121" s="10" t="s">
        <v>1130</v>
      </c>
      <c r="H121" s="10" t="s">
        <v>225</v>
      </c>
      <c r="I121" s="11">
        <v>72000</v>
      </c>
      <c r="J121" s="12"/>
      <c r="K121" s="13"/>
      <c r="L121" s="14"/>
      <c r="M121" s="15">
        <v>72000</v>
      </c>
      <c r="N121" s="14"/>
      <c r="O121" s="13"/>
      <c r="P121" s="16"/>
      <c r="Q121" s="16"/>
      <c r="R121" s="17">
        <f t="shared" si="1"/>
        <v>72000</v>
      </c>
      <c r="S121" s="27">
        <v>0</v>
      </c>
      <c r="T121" s="83" t="s">
        <v>1037</v>
      </c>
    </row>
    <row r="122" spans="1:20" ht="42" hidden="1" x14ac:dyDescent="0.35">
      <c r="A122" s="8" t="s">
        <v>1001</v>
      </c>
      <c r="B122" s="9" t="s">
        <v>221</v>
      </c>
      <c r="C122" s="10" t="s">
        <v>222</v>
      </c>
      <c r="D122" s="10" t="s">
        <v>1053</v>
      </c>
      <c r="E122" s="10" t="s">
        <v>70</v>
      </c>
      <c r="F122" s="10" t="s">
        <v>71</v>
      </c>
      <c r="G122" s="10" t="s">
        <v>1111</v>
      </c>
      <c r="H122" s="10" t="s">
        <v>226</v>
      </c>
      <c r="I122" s="11">
        <v>405000</v>
      </c>
      <c r="J122" s="18">
        <v>50000</v>
      </c>
      <c r="K122" s="13"/>
      <c r="L122" s="14"/>
      <c r="M122" s="15">
        <v>355000</v>
      </c>
      <c r="N122" s="14"/>
      <c r="O122" s="13"/>
      <c r="P122" s="16"/>
      <c r="Q122" s="16"/>
      <c r="R122" s="17">
        <f t="shared" si="1"/>
        <v>355000</v>
      </c>
      <c r="S122" s="27">
        <v>0</v>
      </c>
      <c r="T122" s="83" t="s">
        <v>1037</v>
      </c>
    </row>
    <row r="123" spans="1:20" ht="116" x14ac:dyDescent="0.35">
      <c r="A123" s="8" t="s">
        <v>1001</v>
      </c>
      <c r="B123" s="9" t="s">
        <v>221</v>
      </c>
      <c r="C123" s="10" t="s">
        <v>222</v>
      </c>
      <c r="D123" s="10" t="s">
        <v>1053</v>
      </c>
      <c r="E123" s="10" t="s">
        <v>144</v>
      </c>
      <c r="F123" s="10" t="s">
        <v>145</v>
      </c>
      <c r="G123" s="10" t="s">
        <v>1125</v>
      </c>
      <c r="H123" s="10" t="s">
        <v>227</v>
      </c>
      <c r="I123" s="11">
        <v>650000</v>
      </c>
      <c r="J123" s="18">
        <v>33370.639999999999</v>
      </c>
      <c r="K123" s="13"/>
      <c r="L123" s="14"/>
      <c r="M123" s="32">
        <v>616629.36</v>
      </c>
      <c r="N123" s="14"/>
      <c r="O123" s="13"/>
      <c r="P123" s="16"/>
      <c r="Q123" s="100" t="s">
        <v>1190</v>
      </c>
      <c r="R123" s="17">
        <f t="shared" si="1"/>
        <v>616629.36</v>
      </c>
      <c r="S123" s="27">
        <v>0</v>
      </c>
      <c r="T123" s="83" t="s">
        <v>1037</v>
      </c>
    </row>
    <row r="124" spans="1:20" ht="42" hidden="1" x14ac:dyDescent="0.35">
      <c r="A124" s="8" t="s">
        <v>1001</v>
      </c>
      <c r="B124" s="9" t="s">
        <v>221</v>
      </c>
      <c r="C124" s="10" t="s">
        <v>222</v>
      </c>
      <c r="D124" s="10" t="s">
        <v>1053</v>
      </c>
      <c r="E124" s="10" t="s">
        <v>35</v>
      </c>
      <c r="F124" s="10" t="s">
        <v>36</v>
      </c>
      <c r="G124" s="10" t="s">
        <v>1103</v>
      </c>
      <c r="H124" s="10" t="s">
        <v>228</v>
      </c>
      <c r="I124" s="11">
        <v>16000</v>
      </c>
      <c r="J124" s="12"/>
      <c r="K124" s="13"/>
      <c r="L124" s="14"/>
      <c r="M124" s="15">
        <v>16000</v>
      </c>
      <c r="N124" s="14"/>
      <c r="O124" s="13"/>
      <c r="P124" s="16"/>
      <c r="Q124" s="16"/>
      <c r="R124" s="17">
        <f t="shared" si="1"/>
        <v>16000</v>
      </c>
      <c r="S124" s="27">
        <v>0</v>
      </c>
      <c r="T124" s="83" t="s">
        <v>1037</v>
      </c>
    </row>
    <row r="125" spans="1:20" ht="42" hidden="1" x14ac:dyDescent="0.35">
      <c r="A125" s="8" t="s">
        <v>1001</v>
      </c>
      <c r="B125" s="9" t="s">
        <v>221</v>
      </c>
      <c r="C125" s="10" t="s">
        <v>222</v>
      </c>
      <c r="D125" s="10" t="s">
        <v>1053</v>
      </c>
      <c r="E125" s="10" t="s">
        <v>38</v>
      </c>
      <c r="F125" s="10" t="s">
        <v>39</v>
      </c>
      <c r="G125" s="10" t="s">
        <v>1104</v>
      </c>
      <c r="H125" s="10" t="s">
        <v>229</v>
      </c>
      <c r="I125" s="11">
        <v>720500</v>
      </c>
      <c r="J125" s="18">
        <v>17333.8</v>
      </c>
      <c r="K125" s="19">
        <v>5.8207660913467401E-11</v>
      </c>
      <c r="L125" s="11">
        <v>366838</v>
      </c>
      <c r="M125" s="15">
        <v>336328.2</v>
      </c>
      <c r="N125" s="14"/>
      <c r="O125" s="13"/>
      <c r="P125" s="16"/>
      <c r="Q125" s="16"/>
      <c r="R125" s="17">
        <f t="shared" si="1"/>
        <v>336328.2</v>
      </c>
      <c r="S125" s="27">
        <v>0</v>
      </c>
      <c r="T125" s="83" t="s">
        <v>1037</v>
      </c>
    </row>
    <row r="126" spans="1:20" ht="42" hidden="1" x14ac:dyDescent="0.35">
      <c r="A126" s="8" t="s">
        <v>1001</v>
      </c>
      <c r="B126" s="9" t="s">
        <v>221</v>
      </c>
      <c r="C126" s="10" t="s">
        <v>222</v>
      </c>
      <c r="D126" s="10" t="s">
        <v>1053</v>
      </c>
      <c r="E126" s="10" t="s">
        <v>47</v>
      </c>
      <c r="F126" s="10" t="s">
        <v>48</v>
      </c>
      <c r="G126" s="10" t="s">
        <v>1107</v>
      </c>
      <c r="H126" s="10" t="s">
        <v>230</v>
      </c>
      <c r="I126" s="11">
        <v>302000</v>
      </c>
      <c r="J126" s="12"/>
      <c r="K126" s="13"/>
      <c r="L126" s="14"/>
      <c r="M126" s="15">
        <v>302000</v>
      </c>
      <c r="N126" s="14"/>
      <c r="O126" s="13"/>
      <c r="P126" s="16"/>
      <c r="Q126" s="16"/>
      <c r="R126" s="17">
        <f t="shared" si="1"/>
        <v>302000</v>
      </c>
      <c r="S126" s="27">
        <v>0</v>
      </c>
      <c r="T126" s="83" t="s">
        <v>1037</v>
      </c>
    </row>
    <row r="127" spans="1:20" ht="42" hidden="1" x14ac:dyDescent="0.35">
      <c r="A127" s="8" t="s">
        <v>1001</v>
      </c>
      <c r="B127" s="9" t="s">
        <v>221</v>
      </c>
      <c r="C127" s="10" t="s">
        <v>222</v>
      </c>
      <c r="D127" s="10" t="s">
        <v>1053</v>
      </c>
      <c r="E127" s="10" t="s">
        <v>151</v>
      </c>
      <c r="F127" s="10" t="s">
        <v>152</v>
      </c>
      <c r="G127" s="10" t="s">
        <v>1126</v>
      </c>
      <c r="H127" s="10" t="s">
        <v>231</v>
      </c>
      <c r="I127" s="11">
        <v>67400</v>
      </c>
      <c r="J127" s="12"/>
      <c r="K127" s="13"/>
      <c r="L127" s="14"/>
      <c r="M127" s="15">
        <v>67400</v>
      </c>
      <c r="N127" s="14"/>
      <c r="O127" s="13"/>
      <c r="P127" s="16"/>
      <c r="Q127" s="16"/>
      <c r="R127" s="17">
        <f t="shared" si="1"/>
        <v>67400</v>
      </c>
      <c r="S127" s="27">
        <v>0</v>
      </c>
      <c r="T127" s="83" t="s">
        <v>1037</v>
      </c>
    </row>
    <row r="128" spans="1:20" ht="42" hidden="1" x14ac:dyDescent="0.35">
      <c r="A128" s="8" t="s">
        <v>1001</v>
      </c>
      <c r="B128" s="9" t="s">
        <v>221</v>
      </c>
      <c r="C128" s="10" t="s">
        <v>222</v>
      </c>
      <c r="D128" s="10" t="s">
        <v>1053</v>
      </c>
      <c r="E128" s="10" t="s">
        <v>154</v>
      </c>
      <c r="F128" s="10" t="s">
        <v>155</v>
      </c>
      <c r="G128" s="10" t="s">
        <v>1127</v>
      </c>
      <c r="H128" s="10" t="s">
        <v>232</v>
      </c>
      <c r="I128" s="11">
        <v>420000</v>
      </c>
      <c r="J128" s="18">
        <v>45465.919999999998</v>
      </c>
      <c r="K128" s="13"/>
      <c r="L128" s="14"/>
      <c r="M128" s="15">
        <v>343918.96</v>
      </c>
      <c r="N128" s="14"/>
      <c r="O128" s="13"/>
      <c r="P128" s="16"/>
      <c r="Q128" s="16"/>
      <c r="R128" s="17">
        <f t="shared" si="1"/>
        <v>343918.96</v>
      </c>
      <c r="S128" s="27">
        <v>0</v>
      </c>
      <c r="T128" s="83" t="s">
        <v>1037</v>
      </c>
    </row>
    <row r="129" spans="1:20" ht="42" hidden="1" x14ac:dyDescent="0.35">
      <c r="A129" s="8" t="s">
        <v>1001</v>
      </c>
      <c r="B129" s="9" t="s">
        <v>221</v>
      </c>
      <c r="C129" s="10" t="s">
        <v>222</v>
      </c>
      <c r="D129" s="10" t="s">
        <v>1053</v>
      </c>
      <c r="E129" s="10" t="s">
        <v>157</v>
      </c>
      <c r="F129" s="10" t="s">
        <v>158</v>
      </c>
      <c r="G129" s="10" t="s">
        <v>1128</v>
      </c>
      <c r="H129" s="10" t="s">
        <v>233</v>
      </c>
      <c r="I129" s="11">
        <v>20000</v>
      </c>
      <c r="J129" s="12"/>
      <c r="K129" s="19">
        <v>17347.59</v>
      </c>
      <c r="L129" s="14"/>
      <c r="M129" s="15">
        <v>2652.41</v>
      </c>
      <c r="N129" s="14"/>
      <c r="O129" s="13"/>
      <c r="P129" s="16"/>
      <c r="Q129" s="16"/>
      <c r="R129" s="17">
        <f t="shared" si="1"/>
        <v>2652.41</v>
      </c>
      <c r="S129" s="27">
        <v>0</v>
      </c>
      <c r="T129" s="83" t="s">
        <v>1037</v>
      </c>
    </row>
    <row r="130" spans="1:20" ht="42" hidden="1" x14ac:dyDescent="0.35">
      <c r="A130" s="8" t="s">
        <v>1001</v>
      </c>
      <c r="B130" s="9" t="s">
        <v>221</v>
      </c>
      <c r="C130" s="10" t="s">
        <v>222</v>
      </c>
      <c r="D130" s="10" t="s">
        <v>1053</v>
      </c>
      <c r="E130" s="10" t="s">
        <v>160</v>
      </c>
      <c r="F130" s="10" t="s">
        <v>161</v>
      </c>
      <c r="G130" s="10" t="s">
        <v>1129</v>
      </c>
      <c r="H130" s="10" t="s">
        <v>234</v>
      </c>
      <c r="I130" s="11">
        <v>60000</v>
      </c>
      <c r="J130" s="12"/>
      <c r="K130" s="13"/>
      <c r="L130" s="11">
        <v>15740</v>
      </c>
      <c r="M130" s="15">
        <v>44260</v>
      </c>
      <c r="N130" s="14"/>
      <c r="O130" s="13"/>
      <c r="P130" s="16"/>
      <c r="Q130" s="16"/>
      <c r="R130" s="17">
        <f t="shared" si="1"/>
        <v>44260</v>
      </c>
      <c r="S130" s="27">
        <v>0</v>
      </c>
      <c r="T130" s="83" t="s">
        <v>1037</v>
      </c>
    </row>
    <row r="131" spans="1:20" ht="42" hidden="1" x14ac:dyDescent="0.35">
      <c r="A131" s="8" t="s">
        <v>1001</v>
      </c>
      <c r="B131" s="9" t="s">
        <v>235</v>
      </c>
      <c r="C131" s="10" t="s">
        <v>236</v>
      </c>
      <c r="D131" s="10" t="s">
        <v>1054</v>
      </c>
      <c r="E131" s="10" t="s">
        <v>14</v>
      </c>
      <c r="F131" s="10" t="s">
        <v>15</v>
      </c>
      <c r="G131" s="10" t="s">
        <v>1096</v>
      </c>
      <c r="H131" s="10" t="s">
        <v>237</v>
      </c>
      <c r="I131" s="11">
        <v>10000</v>
      </c>
      <c r="J131" s="12"/>
      <c r="K131" s="13"/>
      <c r="L131" s="14"/>
      <c r="M131" s="15">
        <v>10000</v>
      </c>
      <c r="N131" s="14"/>
      <c r="O131" s="13"/>
      <c r="P131" s="16"/>
      <c r="Q131" s="16"/>
      <c r="R131" s="17">
        <f t="shared" si="1"/>
        <v>10000</v>
      </c>
      <c r="S131" s="27">
        <v>0</v>
      </c>
      <c r="T131" s="83" t="s">
        <v>1037</v>
      </c>
    </row>
    <row r="132" spans="1:20" ht="42" hidden="1" x14ac:dyDescent="0.35">
      <c r="A132" s="8" t="s">
        <v>1001</v>
      </c>
      <c r="B132" s="9" t="s">
        <v>235</v>
      </c>
      <c r="C132" s="10" t="s">
        <v>236</v>
      </c>
      <c r="D132" s="10" t="s">
        <v>1054</v>
      </c>
      <c r="E132" s="10" t="s">
        <v>29</v>
      </c>
      <c r="F132" s="10" t="s">
        <v>30</v>
      </c>
      <c r="G132" s="10" t="s">
        <v>1101</v>
      </c>
      <c r="H132" s="10" t="s">
        <v>238</v>
      </c>
      <c r="I132" s="11">
        <v>20000</v>
      </c>
      <c r="J132" s="12"/>
      <c r="K132" s="13"/>
      <c r="L132" s="14"/>
      <c r="M132" s="15">
        <v>20000</v>
      </c>
      <c r="N132" s="14"/>
      <c r="O132" s="13"/>
      <c r="P132" s="16"/>
      <c r="Q132" s="16"/>
      <c r="R132" s="17">
        <f t="shared" ref="R132:R195" si="2">M132-N132-O132</f>
        <v>20000</v>
      </c>
      <c r="S132" s="27">
        <v>0</v>
      </c>
      <c r="T132" s="83" t="s">
        <v>1037</v>
      </c>
    </row>
    <row r="133" spans="1:20" ht="42" hidden="1" x14ac:dyDescent="0.35">
      <c r="A133" s="8" t="s">
        <v>1001</v>
      </c>
      <c r="B133" s="9" t="s">
        <v>235</v>
      </c>
      <c r="C133" s="10" t="s">
        <v>236</v>
      </c>
      <c r="D133" s="10" t="s">
        <v>1054</v>
      </c>
      <c r="E133" s="10" t="s">
        <v>167</v>
      </c>
      <c r="F133" s="10" t="s">
        <v>168</v>
      </c>
      <c r="G133" s="10" t="s">
        <v>1130</v>
      </c>
      <c r="H133" s="10" t="s">
        <v>239</v>
      </c>
      <c r="I133" s="11">
        <v>10000</v>
      </c>
      <c r="J133" s="12"/>
      <c r="K133" s="13"/>
      <c r="L133" s="14"/>
      <c r="M133" s="15">
        <v>10000</v>
      </c>
      <c r="N133" s="14"/>
      <c r="O133" s="13"/>
      <c r="P133" s="16"/>
      <c r="Q133" s="16"/>
      <c r="R133" s="17">
        <f t="shared" si="2"/>
        <v>10000</v>
      </c>
      <c r="S133" s="27">
        <v>0</v>
      </c>
      <c r="T133" s="83" t="s">
        <v>1037</v>
      </c>
    </row>
    <row r="134" spans="1:20" ht="42" hidden="1" x14ac:dyDescent="0.35">
      <c r="A134" s="8" t="s">
        <v>1001</v>
      </c>
      <c r="B134" s="9" t="s">
        <v>235</v>
      </c>
      <c r="C134" s="10" t="s">
        <v>236</v>
      </c>
      <c r="D134" s="10" t="s">
        <v>1054</v>
      </c>
      <c r="E134" s="10" t="s">
        <v>70</v>
      </c>
      <c r="F134" s="10" t="s">
        <v>71</v>
      </c>
      <c r="G134" s="10" t="s">
        <v>1111</v>
      </c>
      <c r="H134" s="10" t="s">
        <v>240</v>
      </c>
      <c r="I134" s="11">
        <v>50000</v>
      </c>
      <c r="J134" s="18">
        <v>30000</v>
      </c>
      <c r="K134" s="13"/>
      <c r="L134" s="14"/>
      <c r="M134" s="15">
        <v>20000</v>
      </c>
      <c r="N134" s="14"/>
      <c r="O134" s="13"/>
      <c r="P134" s="16"/>
      <c r="Q134" s="16"/>
      <c r="R134" s="17">
        <f t="shared" si="2"/>
        <v>20000</v>
      </c>
      <c r="S134" s="27">
        <v>0</v>
      </c>
      <c r="T134" s="83" t="s">
        <v>1037</v>
      </c>
    </row>
    <row r="135" spans="1:20" ht="116" x14ac:dyDescent="0.35">
      <c r="A135" s="8" t="s">
        <v>1001</v>
      </c>
      <c r="B135" s="9" t="s">
        <v>235</v>
      </c>
      <c r="C135" s="10" t="s">
        <v>236</v>
      </c>
      <c r="D135" s="10" t="s">
        <v>1054</v>
      </c>
      <c r="E135" s="10" t="s">
        <v>144</v>
      </c>
      <c r="F135" s="10" t="s">
        <v>145</v>
      </c>
      <c r="G135" s="10" t="s">
        <v>1125</v>
      </c>
      <c r="H135" s="10" t="s">
        <v>241</v>
      </c>
      <c r="I135" s="11">
        <v>166000</v>
      </c>
      <c r="J135" s="18">
        <v>27284.28</v>
      </c>
      <c r="K135" s="13"/>
      <c r="L135" s="14"/>
      <c r="M135" s="32">
        <v>136731.93</v>
      </c>
      <c r="N135" s="14"/>
      <c r="O135" s="13"/>
      <c r="P135" s="16"/>
      <c r="Q135" s="100" t="s">
        <v>1190</v>
      </c>
      <c r="R135" s="17">
        <f t="shared" si="2"/>
        <v>136731.93</v>
      </c>
      <c r="S135" s="27">
        <v>0</v>
      </c>
      <c r="T135" s="83" t="s">
        <v>1037</v>
      </c>
    </row>
    <row r="136" spans="1:20" ht="42" hidden="1" x14ac:dyDescent="0.35">
      <c r="A136" s="8" t="s">
        <v>1001</v>
      </c>
      <c r="B136" s="9" t="s">
        <v>235</v>
      </c>
      <c r="C136" s="10" t="s">
        <v>236</v>
      </c>
      <c r="D136" s="10" t="s">
        <v>1054</v>
      </c>
      <c r="E136" s="10" t="s">
        <v>35</v>
      </c>
      <c r="F136" s="10" t="s">
        <v>36</v>
      </c>
      <c r="G136" s="10" t="s">
        <v>1103</v>
      </c>
      <c r="H136" s="10" t="s">
        <v>242</v>
      </c>
      <c r="I136" s="11">
        <v>20000</v>
      </c>
      <c r="J136" s="12"/>
      <c r="K136" s="13"/>
      <c r="L136" s="14"/>
      <c r="M136" s="15">
        <v>20000</v>
      </c>
      <c r="N136" s="14"/>
      <c r="O136" s="13"/>
      <c r="P136" s="16"/>
      <c r="Q136" s="16"/>
      <c r="R136" s="17">
        <f t="shared" si="2"/>
        <v>20000</v>
      </c>
      <c r="S136" s="27">
        <v>0</v>
      </c>
      <c r="T136" s="83" t="s">
        <v>1037</v>
      </c>
    </row>
    <row r="137" spans="1:20" ht="42" hidden="1" x14ac:dyDescent="0.35">
      <c r="A137" s="8" t="s">
        <v>1001</v>
      </c>
      <c r="B137" s="9" t="s">
        <v>235</v>
      </c>
      <c r="C137" s="10" t="s">
        <v>236</v>
      </c>
      <c r="D137" s="10" t="s">
        <v>1054</v>
      </c>
      <c r="E137" s="10" t="s">
        <v>38</v>
      </c>
      <c r="F137" s="10" t="s">
        <v>39</v>
      </c>
      <c r="G137" s="10" t="s">
        <v>1104</v>
      </c>
      <c r="H137" s="10" t="s">
        <v>243</v>
      </c>
      <c r="I137" s="11">
        <v>150257</v>
      </c>
      <c r="J137" s="18">
        <v>68753.19</v>
      </c>
      <c r="K137" s="19">
        <v>15473.61</v>
      </c>
      <c r="L137" s="11">
        <v>64773.69</v>
      </c>
      <c r="M137" s="15">
        <v>1181.8499999999799</v>
      </c>
      <c r="N137" s="14"/>
      <c r="O137" s="13"/>
      <c r="P137" s="16"/>
      <c r="Q137" s="16"/>
      <c r="R137" s="17">
        <f t="shared" si="2"/>
        <v>1181.8499999999799</v>
      </c>
      <c r="S137" s="27">
        <v>0</v>
      </c>
      <c r="T137" s="83" t="s">
        <v>1037</v>
      </c>
    </row>
    <row r="138" spans="1:20" ht="42" hidden="1" x14ac:dyDescent="0.35">
      <c r="A138" s="8" t="s">
        <v>1001</v>
      </c>
      <c r="B138" s="9" t="s">
        <v>235</v>
      </c>
      <c r="C138" s="10" t="s">
        <v>236</v>
      </c>
      <c r="D138" s="10" t="s">
        <v>1054</v>
      </c>
      <c r="E138" s="10" t="s">
        <v>41</v>
      </c>
      <c r="F138" s="10" t="s">
        <v>42</v>
      </c>
      <c r="G138" s="10" t="s">
        <v>1105</v>
      </c>
      <c r="H138" s="10" t="s">
        <v>244</v>
      </c>
      <c r="I138" s="11">
        <v>40000</v>
      </c>
      <c r="J138" s="12"/>
      <c r="K138" s="13"/>
      <c r="L138" s="14"/>
      <c r="M138" s="15">
        <v>40000</v>
      </c>
      <c r="N138" s="14"/>
      <c r="O138" s="13"/>
      <c r="P138" s="16"/>
      <c r="Q138" s="16"/>
      <c r="R138" s="17">
        <f t="shared" si="2"/>
        <v>40000</v>
      </c>
      <c r="S138" s="27">
        <v>0</v>
      </c>
      <c r="T138" s="83" t="s">
        <v>1037</v>
      </c>
    </row>
    <row r="139" spans="1:20" ht="42" hidden="1" x14ac:dyDescent="0.35">
      <c r="A139" s="8" t="s">
        <v>1001</v>
      </c>
      <c r="B139" s="9" t="s">
        <v>235</v>
      </c>
      <c r="C139" s="10" t="s">
        <v>236</v>
      </c>
      <c r="D139" s="10" t="s">
        <v>1054</v>
      </c>
      <c r="E139" s="10" t="s">
        <v>154</v>
      </c>
      <c r="F139" s="10" t="s">
        <v>155</v>
      </c>
      <c r="G139" s="10" t="s">
        <v>1127</v>
      </c>
      <c r="H139" s="10" t="s">
        <v>245</v>
      </c>
      <c r="I139" s="11">
        <v>51520</v>
      </c>
      <c r="J139" s="18">
        <v>5617.51</v>
      </c>
      <c r="K139" s="13"/>
      <c r="L139" s="14"/>
      <c r="M139" s="15">
        <v>45902.49</v>
      </c>
      <c r="N139" s="14"/>
      <c r="O139" s="13"/>
      <c r="P139" s="16"/>
      <c r="Q139" s="16"/>
      <c r="R139" s="17">
        <f t="shared" si="2"/>
        <v>45902.49</v>
      </c>
      <c r="S139" s="27">
        <v>0</v>
      </c>
      <c r="T139" s="83" t="s">
        <v>1037</v>
      </c>
    </row>
    <row r="140" spans="1:20" ht="42" hidden="1" x14ac:dyDescent="0.35">
      <c r="A140" s="8" t="s">
        <v>1001</v>
      </c>
      <c r="B140" s="9" t="s">
        <v>235</v>
      </c>
      <c r="C140" s="10" t="s">
        <v>236</v>
      </c>
      <c r="D140" s="10" t="s">
        <v>1054</v>
      </c>
      <c r="E140" s="10" t="s">
        <v>157</v>
      </c>
      <c r="F140" s="10" t="s">
        <v>158</v>
      </c>
      <c r="G140" s="10" t="s">
        <v>1128</v>
      </c>
      <c r="H140" s="10" t="s">
        <v>246</v>
      </c>
      <c r="I140" s="11">
        <v>243000</v>
      </c>
      <c r="J140" s="18">
        <v>73398.899999999994</v>
      </c>
      <c r="K140" s="19">
        <v>11037.37</v>
      </c>
      <c r="L140" s="11">
        <v>156924.71</v>
      </c>
      <c r="M140" s="15">
        <v>1639.02000000002</v>
      </c>
      <c r="N140" s="14"/>
      <c r="O140" s="13"/>
      <c r="P140" s="16"/>
      <c r="Q140" s="16"/>
      <c r="R140" s="17">
        <f t="shared" si="2"/>
        <v>1639.02000000002</v>
      </c>
      <c r="S140" s="27">
        <v>0</v>
      </c>
      <c r="T140" s="83" t="s">
        <v>1037</v>
      </c>
    </row>
    <row r="141" spans="1:20" ht="42" hidden="1" x14ac:dyDescent="0.35">
      <c r="A141" s="8" t="s">
        <v>1001</v>
      </c>
      <c r="B141" s="9" t="s">
        <v>235</v>
      </c>
      <c r="C141" s="10" t="s">
        <v>236</v>
      </c>
      <c r="D141" s="10" t="s">
        <v>1054</v>
      </c>
      <c r="E141" s="10" t="s">
        <v>134</v>
      </c>
      <c r="F141" s="10" t="s">
        <v>135</v>
      </c>
      <c r="G141" s="10" t="s">
        <v>1124</v>
      </c>
      <c r="H141" s="10" t="s">
        <v>247</v>
      </c>
      <c r="I141" s="11">
        <v>4000</v>
      </c>
      <c r="J141" s="12"/>
      <c r="K141" s="13"/>
      <c r="L141" s="14"/>
      <c r="M141" s="15">
        <v>4000</v>
      </c>
      <c r="N141" s="14"/>
      <c r="O141" s="13"/>
      <c r="P141" s="16"/>
      <c r="Q141" s="16"/>
      <c r="R141" s="17">
        <f t="shared" si="2"/>
        <v>4000</v>
      </c>
      <c r="S141" s="27">
        <v>0</v>
      </c>
      <c r="T141" s="83" t="s">
        <v>1037</v>
      </c>
    </row>
    <row r="142" spans="1:20" ht="42" hidden="1" x14ac:dyDescent="0.35">
      <c r="A142" s="8" t="s">
        <v>1001</v>
      </c>
      <c r="B142" s="9" t="s">
        <v>235</v>
      </c>
      <c r="C142" s="10" t="s">
        <v>236</v>
      </c>
      <c r="D142" s="10" t="s">
        <v>1054</v>
      </c>
      <c r="E142" s="10" t="s">
        <v>160</v>
      </c>
      <c r="F142" s="10" t="s">
        <v>161</v>
      </c>
      <c r="G142" s="10" t="s">
        <v>1129</v>
      </c>
      <c r="H142" s="10" t="s">
        <v>248</v>
      </c>
      <c r="I142" s="11">
        <v>12000</v>
      </c>
      <c r="J142" s="18">
        <v>11500</v>
      </c>
      <c r="K142" s="19">
        <v>0</v>
      </c>
      <c r="L142" s="11">
        <v>0</v>
      </c>
      <c r="M142" s="15">
        <v>500</v>
      </c>
      <c r="N142" s="14"/>
      <c r="O142" s="13"/>
      <c r="P142" s="16"/>
      <c r="Q142" s="16"/>
      <c r="R142" s="17">
        <f t="shared" si="2"/>
        <v>500</v>
      </c>
      <c r="S142" s="27">
        <v>0</v>
      </c>
      <c r="T142" s="83" t="s">
        <v>1037</v>
      </c>
    </row>
    <row r="143" spans="1:20" ht="31.5" hidden="1" x14ac:dyDescent="0.35">
      <c r="A143" s="8" t="s">
        <v>1001</v>
      </c>
      <c r="B143" s="9" t="s">
        <v>249</v>
      </c>
      <c r="C143" s="10" t="s">
        <v>250</v>
      </c>
      <c r="D143" s="10" t="s">
        <v>1055</v>
      </c>
      <c r="E143" s="10" t="s">
        <v>14</v>
      </c>
      <c r="F143" s="10" t="s">
        <v>15</v>
      </c>
      <c r="G143" s="10" t="s">
        <v>1096</v>
      </c>
      <c r="H143" s="10" t="s">
        <v>251</v>
      </c>
      <c r="I143" s="11">
        <v>3000</v>
      </c>
      <c r="J143" s="12"/>
      <c r="K143" s="13"/>
      <c r="L143" s="14"/>
      <c r="M143" s="15">
        <v>3000</v>
      </c>
      <c r="N143" s="14"/>
      <c r="O143" s="13"/>
      <c r="P143" s="16"/>
      <c r="Q143" s="16"/>
      <c r="R143" s="17">
        <f t="shared" si="2"/>
        <v>3000</v>
      </c>
      <c r="S143" s="27">
        <v>0</v>
      </c>
      <c r="T143" s="83" t="s">
        <v>1037</v>
      </c>
    </row>
    <row r="144" spans="1:20" ht="31.5" hidden="1" x14ac:dyDescent="0.35">
      <c r="A144" s="8" t="s">
        <v>1001</v>
      </c>
      <c r="B144" s="9" t="s">
        <v>249</v>
      </c>
      <c r="C144" s="10" t="s">
        <v>250</v>
      </c>
      <c r="D144" s="10" t="s">
        <v>1055</v>
      </c>
      <c r="E144" s="10" t="s">
        <v>29</v>
      </c>
      <c r="F144" s="10" t="s">
        <v>30</v>
      </c>
      <c r="G144" s="10" t="s">
        <v>1101</v>
      </c>
      <c r="H144" s="10" t="s">
        <v>252</v>
      </c>
      <c r="I144" s="11">
        <v>10000</v>
      </c>
      <c r="J144" s="12"/>
      <c r="K144" s="13"/>
      <c r="L144" s="14"/>
      <c r="M144" s="15">
        <v>10000</v>
      </c>
      <c r="N144" s="14"/>
      <c r="O144" s="13"/>
      <c r="P144" s="16"/>
      <c r="Q144" s="16"/>
      <c r="R144" s="17">
        <f t="shared" si="2"/>
        <v>10000</v>
      </c>
      <c r="S144" s="27">
        <v>0</v>
      </c>
      <c r="T144" s="83" t="s">
        <v>1037</v>
      </c>
    </row>
    <row r="145" spans="1:20" ht="31.5" hidden="1" x14ac:dyDescent="0.35">
      <c r="A145" s="8" t="s">
        <v>1001</v>
      </c>
      <c r="B145" s="9" t="s">
        <v>249</v>
      </c>
      <c r="C145" s="10" t="s">
        <v>250</v>
      </c>
      <c r="D145" s="10" t="s">
        <v>1055</v>
      </c>
      <c r="E145" s="10" t="s">
        <v>253</v>
      </c>
      <c r="F145" s="10" t="s">
        <v>254</v>
      </c>
      <c r="G145" s="10" t="s">
        <v>1131</v>
      </c>
      <c r="H145" s="10" t="s">
        <v>255</v>
      </c>
      <c r="I145" s="11">
        <v>30000</v>
      </c>
      <c r="J145" s="12"/>
      <c r="K145" s="13"/>
      <c r="L145" s="14"/>
      <c r="M145" s="15">
        <v>30000</v>
      </c>
      <c r="N145" s="14"/>
      <c r="O145" s="13"/>
      <c r="P145" s="16"/>
      <c r="Q145" s="16"/>
      <c r="R145" s="17">
        <f t="shared" si="2"/>
        <v>30000</v>
      </c>
      <c r="S145" s="27">
        <v>0</v>
      </c>
      <c r="T145" s="83" t="s">
        <v>1037</v>
      </c>
    </row>
    <row r="146" spans="1:20" ht="31.5" hidden="1" x14ac:dyDescent="0.35">
      <c r="A146" s="8" t="s">
        <v>1001</v>
      </c>
      <c r="B146" s="9" t="s">
        <v>249</v>
      </c>
      <c r="C146" s="10" t="s">
        <v>250</v>
      </c>
      <c r="D146" s="10" t="s">
        <v>1055</v>
      </c>
      <c r="E146" s="10" t="s">
        <v>167</v>
      </c>
      <c r="F146" s="10" t="s">
        <v>168</v>
      </c>
      <c r="G146" s="10" t="s">
        <v>1130</v>
      </c>
      <c r="H146" s="10" t="s">
        <v>256</v>
      </c>
      <c r="I146" s="11">
        <v>12000</v>
      </c>
      <c r="J146" s="12"/>
      <c r="K146" s="13"/>
      <c r="L146" s="14"/>
      <c r="M146" s="15">
        <v>12000</v>
      </c>
      <c r="N146" s="14"/>
      <c r="O146" s="13"/>
      <c r="P146" s="16"/>
      <c r="Q146" s="16"/>
      <c r="R146" s="17">
        <f t="shared" si="2"/>
        <v>12000</v>
      </c>
      <c r="S146" s="27">
        <v>0</v>
      </c>
      <c r="T146" s="83" t="s">
        <v>1037</v>
      </c>
    </row>
    <row r="147" spans="1:20" ht="31.5" hidden="1" x14ac:dyDescent="0.35">
      <c r="A147" s="8" t="s">
        <v>1001</v>
      </c>
      <c r="B147" s="9" t="s">
        <v>249</v>
      </c>
      <c r="C147" s="10" t="s">
        <v>250</v>
      </c>
      <c r="D147" s="10" t="s">
        <v>1055</v>
      </c>
      <c r="E147" s="10" t="s">
        <v>70</v>
      </c>
      <c r="F147" s="10" t="s">
        <v>71</v>
      </c>
      <c r="G147" s="10" t="s">
        <v>1111</v>
      </c>
      <c r="H147" s="10" t="s">
        <v>257</v>
      </c>
      <c r="I147" s="11">
        <v>460000</v>
      </c>
      <c r="J147" s="18">
        <v>248508.27</v>
      </c>
      <c r="K147" s="13"/>
      <c r="L147" s="14"/>
      <c r="M147" s="15">
        <v>211491.73</v>
      </c>
      <c r="N147" s="14"/>
      <c r="O147" s="13"/>
      <c r="P147" s="16"/>
      <c r="Q147" s="16"/>
      <c r="R147" s="17">
        <f t="shared" si="2"/>
        <v>211491.73</v>
      </c>
      <c r="S147" s="27">
        <v>0</v>
      </c>
      <c r="T147" s="83" t="s">
        <v>1037</v>
      </c>
    </row>
    <row r="148" spans="1:20" ht="116" x14ac:dyDescent="0.35">
      <c r="A148" s="8" t="s">
        <v>1001</v>
      </c>
      <c r="B148" s="9" t="s">
        <v>249</v>
      </c>
      <c r="C148" s="10" t="s">
        <v>250</v>
      </c>
      <c r="D148" s="10" t="s">
        <v>1055</v>
      </c>
      <c r="E148" s="10" t="s">
        <v>144</v>
      </c>
      <c r="F148" s="10" t="s">
        <v>145</v>
      </c>
      <c r="G148" s="10" t="s">
        <v>1125</v>
      </c>
      <c r="H148" s="10" t="s">
        <v>258</v>
      </c>
      <c r="I148" s="11">
        <v>630000</v>
      </c>
      <c r="J148" s="18">
        <v>43966.75</v>
      </c>
      <c r="K148" s="13"/>
      <c r="L148" s="14"/>
      <c r="M148" s="32">
        <v>586033.25</v>
      </c>
      <c r="N148" s="14"/>
      <c r="O148" s="13"/>
      <c r="P148" s="16"/>
      <c r="Q148" s="100" t="s">
        <v>1190</v>
      </c>
      <c r="R148" s="17">
        <f t="shared" si="2"/>
        <v>586033.25</v>
      </c>
      <c r="S148" s="27">
        <v>0</v>
      </c>
      <c r="T148" s="83" t="s">
        <v>1037</v>
      </c>
    </row>
    <row r="149" spans="1:20" ht="31.5" hidden="1" x14ac:dyDescent="0.35">
      <c r="A149" s="8" t="s">
        <v>1001</v>
      </c>
      <c r="B149" s="9" t="s">
        <v>249</v>
      </c>
      <c r="C149" s="10" t="s">
        <v>250</v>
      </c>
      <c r="D149" s="10" t="s">
        <v>1055</v>
      </c>
      <c r="E149" s="10" t="s">
        <v>35</v>
      </c>
      <c r="F149" s="10" t="s">
        <v>36</v>
      </c>
      <c r="G149" s="10" t="s">
        <v>1103</v>
      </c>
      <c r="H149" s="10" t="s">
        <v>259</v>
      </c>
      <c r="I149" s="11">
        <v>54000</v>
      </c>
      <c r="J149" s="18">
        <v>8800</v>
      </c>
      <c r="K149" s="19">
        <v>8800</v>
      </c>
      <c r="L149" s="11">
        <v>0</v>
      </c>
      <c r="M149" s="15">
        <v>36400</v>
      </c>
      <c r="N149" s="14"/>
      <c r="O149" s="13"/>
      <c r="P149" s="16"/>
      <c r="Q149" s="16"/>
      <c r="R149" s="17">
        <f t="shared" si="2"/>
        <v>36400</v>
      </c>
      <c r="S149" s="27">
        <v>0</v>
      </c>
      <c r="T149" s="83" t="s">
        <v>1037</v>
      </c>
    </row>
    <row r="150" spans="1:20" ht="31.5" hidden="1" x14ac:dyDescent="0.35">
      <c r="A150" s="8" t="s">
        <v>1001</v>
      </c>
      <c r="B150" s="9" t="s">
        <v>249</v>
      </c>
      <c r="C150" s="10" t="s">
        <v>250</v>
      </c>
      <c r="D150" s="10" t="s">
        <v>1055</v>
      </c>
      <c r="E150" s="10" t="s">
        <v>38</v>
      </c>
      <c r="F150" s="10" t="s">
        <v>39</v>
      </c>
      <c r="G150" s="10" t="s">
        <v>1104</v>
      </c>
      <c r="H150" s="10" t="s">
        <v>260</v>
      </c>
      <c r="I150" s="11">
        <v>210000</v>
      </c>
      <c r="J150" s="18">
        <v>48399.35</v>
      </c>
      <c r="K150" s="19">
        <v>75567.38</v>
      </c>
      <c r="L150" s="11">
        <v>41508.99</v>
      </c>
      <c r="M150" s="15">
        <v>44524.28</v>
      </c>
      <c r="N150" s="14"/>
      <c r="O150" s="13"/>
      <c r="P150" s="16"/>
      <c r="Q150" s="16"/>
      <c r="R150" s="17">
        <f t="shared" si="2"/>
        <v>44524.28</v>
      </c>
      <c r="S150" s="27">
        <v>0</v>
      </c>
      <c r="T150" s="83" t="s">
        <v>1037</v>
      </c>
    </row>
    <row r="151" spans="1:20" ht="31.5" hidden="1" x14ac:dyDescent="0.35">
      <c r="A151" s="8" t="s">
        <v>1001</v>
      </c>
      <c r="B151" s="9" t="s">
        <v>249</v>
      </c>
      <c r="C151" s="10" t="s">
        <v>250</v>
      </c>
      <c r="D151" s="10" t="s">
        <v>1055</v>
      </c>
      <c r="E151" s="10" t="s">
        <v>151</v>
      </c>
      <c r="F151" s="10" t="s">
        <v>152</v>
      </c>
      <c r="G151" s="10" t="s">
        <v>1126</v>
      </c>
      <c r="H151" s="10" t="s">
        <v>261</v>
      </c>
      <c r="I151" s="11">
        <v>100000</v>
      </c>
      <c r="J151" s="12"/>
      <c r="K151" s="19">
        <v>80000</v>
      </c>
      <c r="L151" s="11">
        <v>20000</v>
      </c>
      <c r="M151" s="15">
        <v>0</v>
      </c>
      <c r="N151" s="14"/>
      <c r="O151" s="13"/>
      <c r="P151" s="16"/>
      <c r="Q151" s="16"/>
      <c r="R151" s="17">
        <f t="shared" si="2"/>
        <v>0</v>
      </c>
      <c r="S151" s="27">
        <v>0</v>
      </c>
      <c r="T151" s="83" t="s">
        <v>1037</v>
      </c>
    </row>
    <row r="152" spans="1:20" ht="31.5" hidden="1" x14ac:dyDescent="0.35">
      <c r="A152" s="8" t="s">
        <v>1001</v>
      </c>
      <c r="B152" s="9" t="s">
        <v>249</v>
      </c>
      <c r="C152" s="10" t="s">
        <v>250</v>
      </c>
      <c r="D152" s="10" t="s">
        <v>1055</v>
      </c>
      <c r="E152" s="10" t="s">
        <v>154</v>
      </c>
      <c r="F152" s="10" t="s">
        <v>155</v>
      </c>
      <c r="G152" s="10" t="s">
        <v>1127</v>
      </c>
      <c r="H152" s="10" t="s">
        <v>262</v>
      </c>
      <c r="I152" s="11">
        <v>336000</v>
      </c>
      <c r="J152" s="18">
        <v>88904.72</v>
      </c>
      <c r="K152" s="13"/>
      <c r="L152" s="14"/>
      <c r="M152" s="15">
        <v>218898.88</v>
      </c>
      <c r="N152" s="14"/>
      <c r="O152" s="13"/>
      <c r="P152" s="16"/>
      <c r="Q152" s="16"/>
      <c r="R152" s="17">
        <f t="shared" si="2"/>
        <v>218898.88</v>
      </c>
      <c r="S152" s="27">
        <v>0</v>
      </c>
      <c r="T152" s="83" t="s">
        <v>1037</v>
      </c>
    </row>
    <row r="153" spans="1:20" ht="31.5" hidden="1" x14ac:dyDescent="0.35">
      <c r="A153" s="8" t="s">
        <v>1001</v>
      </c>
      <c r="B153" s="9" t="s">
        <v>249</v>
      </c>
      <c r="C153" s="10" t="s">
        <v>250</v>
      </c>
      <c r="D153" s="10" t="s">
        <v>1055</v>
      </c>
      <c r="E153" s="10" t="s">
        <v>157</v>
      </c>
      <c r="F153" s="10" t="s">
        <v>158</v>
      </c>
      <c r="G153" s="10" t="s">
        <v>1128</v>
      </c>
      <c r="H153" s="10" t="s">
        <v>263</v>
      </c>
      <c r="I153" s="11">
        <v>264000</v>
      </c>
      <c r="J153" s="18">
        <v>140267.41</v>
      </c>
      <c r="K153" s="19">
        <v>0</v>
      </c>
      <c r="L153" s="11">
        <v>94645.3</v>
      </c>
      <c r="M153" s="15">
        <v>29087.290000000099</v>
      </c>
      <c r="N153" s="14"/>
      <c r="O153" s="13"/>
      <c r="P153" s="16"/>
      <c r="Q153" s="16"/>
      <c r="R153" s="17">
        <f t="shared" si="2"/>
        <v>29087.290000000099</v>
      </c>
      <c r="S153" s="27">
        <v>0</v>
      </c>
      <c r="T153" s="83" t="s">
        <v>1037</v>
      </c>
    </row>
    <row r="154" spans="1:20" ht="31.5" hidden="1" x14ac:dyDescent="0.35">
      <c r="A154" s="8" t="s">
        <v>1001</v>
      </c>
      <c r="B154" s="9" t="s">
        <v>264</v>
      </c>
      <c r="C154" s="10" t="s">
        <v>265</v>
      </c>
      <c r="D154" s="10" t="s">
        <v>1056</v>
      </c>
      <c r="E154" s="10" t="s">
        <v>14</v>
      </c>
      <c r="F154" s="10" t="s">
        <v>15</v>
      </c>
      <c r="G154" s="10" t="s">
        <v>1096</v>
      </c>
      <c r="H154" s="10" t="s">
        <v>266</v>
      </c>
      <c r="I154" s="11">
        <v>20000</v>
      </c>
      <c r="J154" s="12"/>
      <c r="K154" s="13"/>
      <c r="L154" s="14"/>
      <c r="M154" s="15">
        <v>20000</v>
      </c>
      <c r="N154" s="14"/>
      <c r="O154" s="13"/>
      <c r="P154" s="16"/>
      <c r="Q154" s="16"/>
      <c r="R154" s="17">
        <f t="shared" si="2"/>
        <v>20000</v>
      </c>
      <c r="S154" s="27">
        <v>0</v>
      </c>
      <c r="T154" s="83" t="s">
        <v>1037</v>
      </c>
    </row>
    <row r="155" spans="1:20" ht="31.5" hidden="1" x14ac:dyDescent="0.35">
      <c r="A155" s="8" t="s">
        <v>1001</v>
      </c>
      <c r="B155" s="9" t="s">
        <v>264</v>
      </c>
      <c r="C155" s="10" t="s">
        <v>265</v>
      </c>
      <c r="D155" s="10" t="s">
        <v>1056</v>
      </c>
      <c r="E155" s="10" t="s">
        <v>29</v>
      </c>
      <c r="F155" s="10" t="s">
        <v>30</v>
      </c>
      <c r="G155" s="10" t="s">
        <v>1101</v>
      </c>
      <c r="H155" s="10" t="s">
        <v>267</v>
      </c>
      <c r="I155" s="11">
        <v>30000</v>
      </c>
      <c r="J155" s="18">
        <v>6485</v>
      </c>
      <c r="K155" s="13"/>
      <c r="L155" s="14"/>
      <c r="M155" s="15">
        <v>23515</v>
      </c>
      <c r="N155" s="14"/>
      <c r="O155" s="13"/>
      <c r="P155" s="16"/>
      <c r="Q155" s="16"/>
      <c r="R155" s="17">
        <f t="shared" si="2"/>
        <v>23515</v>
      </c>
      <c r="S155" s="27">
        <v>0</v>
      </c>
      <c r="T155" s="83" t="s">
        <v>1037</v>
      </c>
    </row>
    <row r="156" spans="1:20" ht="31.5" hidden="1" x14ac:dyDescent="0.35">
      <c r="A156" s="8" t="s">
        <v>1001</v>
      </c>
      <c r="B156" s="9" t="s">
        <v>264</v>
      </c>
      <c r="C156" s="10" t="s">
        <v>265</v>
      </c>
      <c r="D156" s="10" t="s">
        <v>1056</v>
      </c>
      <c r="E156" s="10" t="s">
        <v>167</v>
      </c>
      <c r="F156" s="10" t="s">
        <v>168</v>
      </c>
      <c r="G156" s="10" t="s">
        <v>1130</v>
      </c>
      <c r="H156" s="10" t="s">
        <v>268</v>
      </c>
      <c r="I156" s="11">
        <v>120000</v>
      </c>
      <c r="J156" s="12"/>
      <c r="K156" s="13"/>
      <c r="L156" s="14"/>
      <c r="M156" s="15">
        <v>120000</v>
      </c>
      <c r="N156" s="14"/>
      <c r="O156" s="13"/>
      <c r="P156" s="16"/>
      <c r="Q156" s="16"/>
      <c r="R156" s="17">
        <f t="shared" si="2"/>
        <v>120000</v>
      </c>
      <c r="S156" s="27">
        <v>0</v>
      </c>
      <c r="T156" s="83" t="s">
        <v>1037</v>
      </c>
    </row>
    <row r="157" spans="1:20" ht="116" x14ac:dyDescent="0.35">
      <c r="A157" s="8" t="s">
        <v>1001</v>
      </c>
      <c r="B157" s="9" t="s">
        <v>264</v>
      </c>
      <c r="C157" s="10" t="s">
        <v>265</v>
      </c>
      <c r="D157" s="10" t="s">
        <v>1056</v>
      </c>
      <c r="E157" s="10" t="s">
        <v>144</v>
      </c>
      <c r="F157" s="10" t="s">
        <v>145</v>
      </c>
      <c r="G157" s="10" t="s">
        <v>1125</v>
      </c>
      <c r="H157" s="10" t="s">
        <v>269</v>
      </c>
      <c r="I157" s="11">
        <v>105000</v>
      </c>
      <c r="J157" s="18">
        <v>4972.7700000000004</v>
      </c>
      <c r="K157" s="13"/>
      <c r="L157" s="14"/>
      <c r="M157" s="32">
        <v>100027.23</v>
      </c>
      <c r="N157" s="14"/>
      <c r="O157" s="13"/>
      <c r="P157" s="16"/>
      <c r="Q157" s="100" t="s">
        <v>1188</v>
      </c>
      <c r="R157" s="17">
        <f t="shared" si="2"/>
        <v>100027.23</v>
      </c>
      <c r="S157" s="27">
        <v>0</v>
      </c>
      <c r="T157" s="83" t="s">
        <v>1037</v>
      </c>
    </row>
    <row r="158" spans="1:20" ht="31.5" hidden="1" x14ac:dyDescent="0.35">
      <c r="A158" s="8" t="s">
        <v>1001</v>
      </c>
      <c r="B158" s="9" t="s">
        <v>264</v>
      </c>
      <c r="C158" s="10" t="s">
        <v>265</v>
      </c>
      <c r="D158" s="10" t="s">
        <v>1056</v>
      </c>
      <c r="E158" s="10" t="s">
        <v>35</v>
      </c>
      <c r="F158" s="10" t="s">
        <v>36</v>
      </c>
      <c r="G158" s="10" t="s">
        <v>1103</v>
      </c>
      <c r="H158" s="10" t="s">
        <v>270</v>
      </c>
      <c r="I158" s="11">
        <v>3000</v>
      </c>
      <c r="J158" s="12"/>
      <c r="K158" s="13"/>
      <c r="L158" s="14"/>
      <c r="M158" s="15">
        <v>3000</v>
      </c>
      <c r="N158" s="14"/>
      <c r="O158" s="13"/>
      <c r="P158" s="16"/>
      <c r="Q158" s="16"/>
      <c r="R158" s="17">
        <f t="shared" si="2"/>
        <v>3000</v>
      </c>
      <c r="S158" s="27">
        <v>0</v>
      </c>
      <c r="T158" s="83" t="s">
        <v>1037</v>
      </c>
    </row>
    <row r="159" spans="1:20" ht="31.5" hidden="1" x14ac:dyDescent="0.35">
      <c r="A159" s="8" t="s">
        <v>1001</v>
      </c>
      <c r="B159" s="9" t="s">
        <v>264</v>
      </c>
      <c r="C159" s="10" t="s">
        <v>265</v>
      </c>
      <c r="D159" s="10" t="s">
        <v>1056</v>
      </c>
      <c r="E159" s="10" t="s">
        <v>38</v>
      </c>
      <c r="F159" s="10" t="s">
        <v>39</v>
      </c>
      <c r="G159" s="10" t="s">
        <v>1104</v>
      </c>
      <c r="H159" s="10" t="s">
        <v>271</v>
      </c>
      <c r="I159" s="11">
        <v>146983</v>
      </c>
      <c r="J159" s="18">
        <v>25723.59</v>
      </c>
      <c r="K159" s="19">
        <v>7346</v>
      </c>
      <c r="L159" s="11">
        <v>49585.5</v>
      </c>
      <c r="M159" s="15">
        <v>64327.91</v>
      </c>
      <c r="N159" s="14"/>
      <c r="O159" s="13"/>
      <c r="P159" s="16"/>
      <c r="Q159" s="16"/>
      <c r="R159" s="17">
        <f t="shared" si="2"/>
        <v>64327.91</v>
      </c>
      <c r="S159" s="27">
        <v>0</v>
      </c>
      <c r="T159" s="83" t="s">
        <v>1037</v>
      </c>
    </row>
    <row r="160" spans="1:20" ht="31.5" hidden="1" x14ac:dyDescent="0.35">
      <c r="A160" s="8" t="s">
        <v>1001</v>
      </c>
      <c r="B160" s="9" t="s">
        <v>264</v>
      </c>
      <c r="C160" s="10" t="s">
        <v>265</v>
      </c>
      <c r="D160" s="10" t="s">
        <v>1056</v>
      </c>
      <c r="E160" s="10" t="s">
        <v>41</v>
      </c>
      <c r="F160" s="10" t="s">
        <v>42</v>
      </c>
      <c r="G160" s="10" t="s">
        <v>1105</v>
      </c>
      <c r="H160" s="10" t="s">
        <v>272</v>
      </c>
      <c r="I160" s="11">
        <v>44592</v>
      </c>
      <c r="J160" s="18">
        <v>992.62</v>
      </c>
      <c r="K160" s="13"/>
      <c r="L160" s="14"/>
      <c r="M160" s="15">
        <v>43599.38</v>
      </c>
      <c r="N160" s="14"/>
      <c r="O160" s="13"/>
      <c r="P160" s="16"/>
      <c r="Q160" s="16"/>
      <c r="R160" s="17">
        <f t="shared" si="2"/>
        <v>43599.38</v>
      </c>
      <c r="S160" s="27">
        <v>0</v>
      </c>
      <c r="T160" s="83" t="s">
        <v>1037</v>
      </c>
    </row>
    <row r="161" spans="1:20" ht="31.5" hidden="1" x14ac:dyDescent="0.35">
      <c r="A161" s="8" t="s">
        <v>1001</v>
      </c>
      <c r="B161" s="9" t="s">
        <v>264</v>
      </c>
      <c r="C161" s="10" t="s">
        <v>265</v>
      </c>
      <c r="D161" s="10" t="s">
        <v>1056</v>
      </c>
      <c r="E161" s="10" t="s">
        <v>154</v>
      </c>
      <c r="F161" s="10" t="s">
        <v>155</v>
      </c>
      <c r="G161" s="10" t="s">
        <v>1127</v>
      </c>
      <c r="H161" s="10" t="s">
        <v>273</v>
      </c>
      <c r="I161" s="11">
        <v>70000</v>
      </c>
      <c r="J161" s="18">
        <v>22395.83</v>
      </c>
      <c r="K161" s="13"/>
      <c r="L161" s="14"/>
      <c r="M161" s="15">
        <v>47604.17</v>
      </c>
      <c r="N161" s="14"/>
      <c r="O161" s="13"/>
      <c r="P161" s="16"/>
      <c r="Q161" s="16"/>
      <c r="R161" s="17">
        <f t="shared" si="2"/>
        <v>47604.17</v>
      </c>
      <c r="S161" s="27">
        <v>0</v>
      </c>
      <c r="T161" s="83" t="s">
        <v>1037</v>
      </c>
    </row>
    <row r="162" spans="1:20" ht="31.5" hidden="1" x14ac:dyDescent="0.35">
      <c r="A162" s="8" t="s">
        <v>1001</v>
      </c>
      <c r="B162" s="9" t="s">
        <v>264</v>
      </c>
      <c r="C162" s="10" t="s">
        <v>265</v>
      </c>
      <c r="D162" s="10" t="s">
        <v>1056</v>
      </c>
      <c r="E162" s="10" t="s">
        <v>157</v>
      </c>
      <c r="F162" s="10" t="s">
        <v>158</v>
      </c>
      <c r="G162" s="10" t="s">
        <v>1128</v>
      </c>
      <c r="H162" s="10" t="s">
        <v>274</v>
      </c>
      <c r="I162" s="11">
        <v>197477</v>
      </c>
      <c r="J162" s="18">
        <v>1859.35</v>
      </c>
      <c r="K162" s="19">
        <v>1156</v>
      </c>
      <c r="L162" s="11">
        <v>60119.77</v>
      </c>
      <c r="M162" s="15">
        <v>134341.88</v>
      </c>
      <c r="N162" s="14"/>
      <c r="O162" s="13"/>
      <c r="P162" s="16"/>
      <c r="Q162" s="16"/>
      <c r="R162" s="17">
        <f t="shared" si="2"/>
        <v>134341.88</v>
      </c>
      <c r="S162" s="27">
        <v>0</v>
      </c>
      <c r="T162" s="83" t="s">
        <v>1037</v>
      </c>
    </row>
    <row r="163" spans="1:20" ht="31.5" hidden="1" x14ac:dyDescent="0.35">
      <c r="A163" s="8" t="s">
        <v>1001</v>
      </c>
      <c r="B163" s="9" t="s">
        <v>264</v>
      </c>
      <c r="C163" s="10" t="s">
        <v>265</v>
      </c>
      <c r="D163" s="10" t="s">
        <v>1056</v>
      </c>
      <c r="E163" s="10" t="s">
        <v>134</v>
      </c>
      <c r="F163" s="10" t="s">
        <v>135</v>
      </c>
      <c r="G163" s="10" t="s">
        <v>1124</v>
      </c>
      <c r="H163" s="10" t="s">
        <v>275</v>
      </c>
      <c r="I163" s="11">
        <v>5742</v>
      </c>
      <c r="J163" s="18">
        <v>3328</v>
      </c>
      <c r="K163" s="19">
        <v>0</v>
      </c>
      <c r="L163" s="11">
        <v>0</v>
      </c>
      <c r="M163" s="15">
        <v>2414</v>
      </c>
      <c r="N163" s="14"/>
      <c r="O163" s="13"/>
      <c r="P163" s="16"/>
      <c r="Q163" s="16"/>
      <c r="R163" s="17">
        <f t="shared" si="2"/>
        <v>2414</v>
      </c>
      <c r="S163" s="27">
        <v>0</v>
      </c>
      <c r="T163" s="83" t="s">
        <v>1037</v>
      </c>
    </row>
    <row r="164" spans="1:20" ht="31.5" hidden="1" x14ac:dyDescent="0.35">
      <c r="A164" s="8" t="s">
        <v>1001</v>
      </c>
      <c r="B164" s="9" t="s">
        <v>264</v>
      </c>
      <c r="C164" s="10" t="s">
        <v>265</v>
      </c>
      <c r="D164" s="10" t="s">
        <v>1056</v>
      </c>
      <c r="E164" s="10" t="s">
        <v>160</v>
      </c>
      <c r="F164" s="10" t="s">
        <v>161</v>
      </c>
      <c r="G164" s="10" t="s">
        <v>1129</v>
      </c>
      <c r="H164" s="10" t="s">
        <v>276</v>
      </c>
      <c r="I164" s="11">
        <v>9640</v>
      </c>
      <c r="J164" s="12"/>
      <c r="K164" s="13"/>
      <c r="L164" s="14"/>
      <c r="M164" s="15">
        <v>9640</v>
      </c>
      <c r="N164" s="14"/>
      <c r="O164" s="13"/>
      <c r="P164" s="16"/>
      <c r="Q164" s="16"/>
      <c r="R164" s="17">
        <f t="shared" si="2"/>
        <v>9640</v>
      </c>
      <c r="S164" s="27">
        <v>0</v>
      </c>
      <c r="T164" s="83" t="s">
        <v>1037</v>
      </c>
    </row>
    <row r="165" spans="1:20" ht="31.5" hidden="1" x14ac:dyDescent="0.35">
      <c r="A165" s="8" t="s">
        <v>1001</v>
      </c>
      <c r="B165" s="9" t="s">
        <v>277</v>
      </c>
      <c r="C165" s="10" t="s">
        <v>278</v>
      </c>
      <c r="D165" s="10" t="s">
        <v>1057</v>
      </c>
      <c r="E165" s="10" t="s">
        <v>29</v>
      </c>
      <c r="F165" s="10" t="s">
        <v>30</v>
      </c>
      <c r="G165" s="10" t="s">
        <v>1101</v>
      </c>
      <c r="H165" s="10" t="s">
        <v>279</v>
      </c>
      <c r="I165" s="11">
        <v>16000</v>
      </c>
      <c r="J165" s="18">
        <v>4017</v>
      </c>
      <c r="K165" s="13"/>
      <c r="L165" s="14"/>
      <c r="M165" s="15">
        <v>11983</v>
      </c>
      <c r="N165" s="14"/>
      <c r="O165" s="13"/>
      <c r="P165" s="16"/>
      <c r="Q165" s="16"/>
      <c r="R165" s="17">
        <f t="shared" si="2"/>
        <v>11983</v>
      </c>
      <c r="S165" s="27">
        <v>0</v>
      </c>
      <c r="T165" s="83" t="s">
        <v>1037</v>
      </c>
    </row>
    <row r="166" spans="1:20" ht="31.5" hidden="1" x14ac:dyDescent="0.35">
      <c r="A166" s="8" t="s">
        <v>1001</v>
      </c>
      <c r="B166" s="9" t="s">
        <v>277</v>
      </c>
      <c r="C166" s="10" t="s">
        <v>278</v>
      </c>
      <c r="D166" s="10" t="s">
        <v>1057</v>
      </c>
      <c r="E166" s="10" t="s">
        <v>167</v>
      </c>
      <c r="F166" s="10" t="s">
        <v>168</v>
      </c>
      <c r="G166" s="10" t="s">
        <v>1130</v>
      </c>
      <c r="H166" s="10" t="s">
        <v>280</v>
      </c>
      <c r="I166" s="11">
        <v>25000</v>
      </c>
      <c r="J166" s="18">
        <v>682</v>
      </c>
      <c r="K166" s="13"/>
      <c r="L166" s="14"/>
      <c r="M166" s="15">
        <v>24318</v>
      </c>
      <c r="N166" s="14"/>
      <c r="O166" s="13"/>
      <c r="P166" s="16"/>
      <c r="Q166" s="16"/>
      <c r="R166" s="17">
        <f t="shared" si="2"/>
        <v>24318</v>
      </c>
      <c r="S166" s="27">
        <v>0</v>
      </c>
      <c r="T166" s="83" t="s">
        <v>1037</v>
      </c>
    </row>
    <row r="167" spans="1:20" ht="31.5" hidden="1" x14ac:dyDescent="0.35">
      <c r="A167" s="8" t="s">
        <v>1001</v>
      </c>
      <c r="B167" s="9" t="s">
        <v>277</v>
      </c>
      <c r="C167" s="10" t="s">
        <v>278</v>
      </c>
      <c r="D167" s="10" t="s">
        <v>1057</v>
      </c>
      <c r="E167" s="10" t="s">
        <v>70</v>
      </c>
      <c r="F167" s="10" t="s">
        <v>71</v>
      </c>
      <c r="G167" s="10" t="s">
        <v>1111</v>
      </c>
      <c r="H167" s="10" t="s">
        <v>281</v>
      </c>
      <c r="I167" s="11">
        <v>30000</v>
      </c>
      <c r="J167" s="12"/>
      <c r="K167" s="13"/>
      <c r="L167" s="14"/>
      <c r="M167" s="15">
        <v>30000</v>
      </c>
      <c r="N167" s="14"/>
      <c r="O167" s="13"/>
      <c r="P167" s="16"/>
      <c r="Q167" s="16"/>
      <c r="R167" s="17">
        <f t="shared" si="2"/>
        <v>30000</v>
      </c>
      <c r="S167" s="27">
        <v>0</v>
      </c>
      <c r="T167" s="83" t="s">
        <v>1037</v>
      </c>
    </row>
    <row r="168" spans="1:20" ht="116" x14ac:dyDescent="0.35">
      <c r="A168" s="8" t="s">
        <v>1001</v>
      </c>
      <c r="B168" s="9" t="s">
        <v>277</v>
      </c>
      <c r="C168" s="10" t="s">
        <v>278</v>
      </c>
      <c r="D168" s="10" t="s">
        <v>1057</v>
      </c>
      <c r="E168" s="10" t="s">
        <v>144</v>
      </c>
      <c r="F168" s="10" t="s">
        <v>145</v>
      </c>
      <c r="G168" s="10" t="s">
        <v>1125</v>
      </c>
      <c r="H168" s="10" t="s">
        <v>282</v>
      </c>
      <c r="I168" s="11">
        <v>150000</v>
      </c>
      <c r="J168" s="18">
        <v>37476.78</v>
      </c>
      <c r="K168" s="13"/>
      <c r="L168" s="14"/>
      <c r="M168" s="32">
        <v>112523.22</v>
      </c>
      <c r="N168" s="14"/>
      <c r="O168" s="13"/>
      <c r="P168" s="16"/>
      <c r="Q168" s="100" t="s">
        <v>1190</v>
      </c>
      <c r="R168" s="17">
        <f t="shared" si="2"/>
        <v>112523.22</v>
      </c>
      <c r="S168" s="27">
        <v>0</v>
      </c>
      <c r="T168" s="83" t="s">
        <v>1037</v>
      </c>
    </row>
    <row r="169" spans="1:20" ht="31.5" hidden="1" x14ac:dyDescent="0.35">
      <c r="A169" s="8" t="s">
        <v>1001</v>
      </c>
      <c r="B169" s="9" t="s">
        <v>277</v>
      </c>
      <c r="C169" s="10" t="s">
        <v>278</v>
      </c>
      <c r="D169" s="10" t="s">
        <v>1057</v>
      </c>
      <c r="E169" s="10" t="s">
        <v>35</v>
      </c>
      <c r="F169" s="10" t="s">
        <v>36</v>
      </c>
      <c r="G169" s="10" t="s">
        <v>1103</v>
      </c>
      <c r="H169" s="10" t="s">
        <v>283</v>
      </c>
      <c r="I169" s="11">
        <v>8500</v>
      </c>
      <c r="J169" s="18">
        <v>1782</v>
      </c>
      <c r="K169" s="13"/>
      <c r="L169" s="14"/>
      <c r="M169" s="15">
        <v>6718</v>
      </c>
      <c r="N169" s="14"/>
      <c r="O169" s="13"/>
      <c r="P169" s="16"/>
      <c r="Q169" s="16"/>
      <c r="R169" s="17">
        <f t="shared" si="2"/>
        <v>6718</v>
      </c>
      <c r="S169" s="27">
        <v>0</v>
      </c>
      <c r="T169" s="83" t="s">
        <v>1037</v>
      </c>
    </row>
    <row r="170" spans="1:20" ht="31.5" hidden="1" x14ac:dyDescent="0.35">
      <c r="A170" s="8" t="s">
        <v>1001</v>
      </c>
      <c r="B170" s="9" t="s">
        <v>277</v>
      </c>
      <c r="C170" s="10" t="s">
        <v>278</v>
      </c>
      <c r="D170" s="10" t="s">
        <v>1057</v>
      </c>
      <c r="E170" s="10" t="s">
        <v>38</v>
      </c>
      <c r="F170" s="10" t="s">
        <v>39</v>
      </c>
      <c r="G170" s="10" t="s">
        <v>1104</v>
      </c>
      <c r="H170" s="10" t="s">
        <v>284</v>
      </c>
      <c r="I170" s="11">
        <v>210200</v>
      </c>
      <c r="J170" s="18">
        <v>23666.76</v>
      </c>
      <c r="K170" s="19">
        <v>0</v>
      </c>
      <c r="L170" s="11">
        <v>172888.11</v>
      </c>
      <c r="M170" s="15">
        <v>13645.13</v>
      </c>
      <c r="N170" s="14"/>
      <c r="O170" s="13"/>
      <c r="P170" s="16"/>
      <c r="Q170" s="16"/>
      <c r="R170" s="17">
        <f t="shared" si="2"/>
        <v>13645.13</v>
      </c>
      <c r="S170" s="27">
        <v>0</v>
      </c>
      <c r="T170" s="83" t="s">
        <v>1037</v>
      </c>
    </row>
    <row r="171" spans="1:20" ht="31.5" hidden="1" x14ac:dyDescent="0.35">
      <c r="A171" s="8" t="s">
        <v>1001</v>
      </c>
      <c r="B171" s="9" t="s">
        <v>277</v>
      </c>
      <c r="C171" s="10" t="s">
        <v>278</v>
      </c>
      <c r="D171" s="10" t="s">
        <v>1057</v>
      </c>
      <c r="E171" s="10" t="s">
        <v>151</v>
      </c>
      <c r="F171" s="10" t="s">
        <v>152</v>
      </c>
      <c r="G171" s="10" t="s">
        <v>1126</v>
      </c>
      <c r="H171" s="10" t="s">
        <v>285</v>
      </c>
      <c r="I171" s="11">
        <v>305000</v>
      </c>
      <c r="J171" s="12"/>
      <c r="K171" s="19">
        <v>0</v>
      </c>
      <c r="L171" s="11">
        <v>143841.45000000001</v>
      </c>
      <c r="M171" s="15">
        <v>161158.54999999999</v>
      </c>
      <c r="N171" s="14"/>
      <c r="O171" s="13"/>
      <c r="P171" s="16"/>
      <c r="Q171" s="16"/>
      <c r="R171" s="17">
        <f t="shared" si="2"/>
        <v>161158.54999999999</v>
      </c>
      <c r="S171" s="27">
        <v>0</v>
      </c>
      <c r="T171" s="83" t="s">
        <v>1037</v>
      </c>
    </row>
    <row r="172" spans="1:20" ht="31.5" hidden="1" x14ac:dyDescent="0.35">
      <c r="A172" s="8" t="s">
        <v>1001</v>
      </c>
      <c r="B172" s="9" t="s">
        <v>277</v>
      </c>
      <c r="C172" s="10" t="s">
        <v>278</v>
      </c>
      <c r="D172" s="10" t="s">
        <v>1057</v>
      </c>
      <c r="E172" s="10" t="s">
        <v>286</v>
      </c>
      <c r="F172" s="10" t="s">
        <v>287</v>
      </c>
      <c r="G172" s="10" t="s">
        <v>1132</v>
      </c>
      <c r="H172" s="10" t="s">
        <v>288</v>
      </c>
      <c r="I172" s="11">
        <v>10000</v>
      </c>
      <c r="J172" s="12"/>
      <c r="K172" s="13"/>
      <c r="L172" s="14"/>
      <c r="M172" s="15">
        <v>10000</v>
      </c>
      <c r="N172" s="14"/>
      <c r="O172" s="13"/>
      <c r="P172" s="16"/>
      <c r="Q172" s="16"/>
      <c r="R172" s="17">
        <f t="shared" si="2"/>
        <v>10000</v>
      </c>
      <c r="S172" s="27">
        <v>0</v>
      </c>
      <c r="T172" s="83" t="s">
        <v>1037</v>
      </c>
    </row>
    <row r="173" spans="1:20" ht="31.5" hidden="1" x14ac:dyDescent="0.35">
      <c r="A173" s="8" t="s">
        <v>1001</v>
      </c>
      <c r="B173" s="9" t="s">
        <v>277</v>
      </c>
      <c r="C173" s="10" t="s">
        <v>278</v>
      </c>
      <c r="D173" s="10" t="s">
        <v>1057</v>
      </c>
      <c r="E173" s="10" t="s">
        <v>154</v>
      </c>
      <c r="F173" s="10" t="s">
        <v>155</v>
      </c>
      <c r="G173" s="10" t="s">
        <v>1127</v>
      </c>
      <c r="H173" s="10" t="s">
        <v>289</v>
      </c>
      <c r="I173" s="11">
        <v>50000</v>
      </c>
      <c r="J173" s="12"/>
      <c r="K173" s="13"/>
      <c r="L173" s="14"/>
      <c r="M173" s="15">
        <v>50000</v>
      </c>
      <c r="N173" s="14"/>
      <c r="O173" s="13"/>
      <c r="P173" s="16"/>
      <c r="Q173" s="16"/>
      <c r="R173" s="17">
        <f t="shared" si="2"/>
        <v>50000</v>
      </c>
      <c r="S173" s="27">
        <v>0</v>
      </c>
      <c r="T173" s="83" t="s">
        <v>1037</v>
      </c>
    </row>
    <row r="174" spans="1:20" ht="31.5" hidden="1" x14ac:dyDescent="0.35">
      <c r="A174" s="8" t="s">
        <v>1001</v>
      </c>
      <c r="B174" s="9" t="s">
        <v>277</v>
      </c>
      <c r="C174" s="10" t="s">
        <v>278</v>
      </c>
      <c r="D174" s="10" t="s">
        <v>1057</v>
      </c>
      <c r="E174" s="10" t="s">
        <v>157</v>
      </c>
      <c r="F174" s="10" t="s">
        <v>158</v>
      </c>
      <c r="G174" s="10" t="s">
        <v>1128</v>
      </c>
      <c r="H174" s="10" t="s">
        <v>290</v>
      </c>
      <c r="I174" s="11">
        <v>100000</v>
      </c>
      <c r="J174" s="18">
        <v>14966.9</v>
      </c>
      <c r="K174" s="19">
        <v>1.8189894035458601E-12</v>
      </c>
      <c r="L174" s="11">
        <v>13002.42</v>
      </c>
      <c r="M174" s="15">
        <v>72030.679999999993</v>
      </c>
      <c r="N174" s="14"/>
      <c r="O174" s="13"/>
      <c r="P174" s="16"/>
      <c r="Q174" s="16"/>
      <c r="R174" s="17">
        <f t="shared" si="2"/>
        <v>72030.679999999993</v>
      </c>
      <c r="S174" s="27">
        <v>0</v>
      </c>
      <c r="T174" s="83" t="s">
        <v>1037</v>
      </c>
    </row>
    <row r="175" spans="1:20" ht="31.5" hidden="1" x14ac:dyDescent="0.35">
      <c r="A175" s="8" t="s">
        <v>1001</v>
      </c>
      <c r="B175" s="9" t="s">
        <v>277</v>
      </c>
      <c r="C175" s="10" t="s">
        <v>278</v>
      </c>
      <c r="D175" s="10" t="s">
        <v>1057</v>
      </c>
      <c r="E175" s="10" t="s">
        <v>134</v>
      </c>
      <c r="F175" s="10" t="s">
        <v>135</v>
      </c>
      <c r="G175" s="10" t="s">
        <v>1124</v>
      </c>
      <c r="H175" s="10" t="s">
        <v>291</v>
      </c>
      <c r="I175" s="11">
        <v>7500</v>
      </c>
      <c r="J175" s="12"/>
      <c r="K175" s="13"/>
      <c r="L175" s="14"/>
      <c r="M175" s="15">
        <v>7500</v>
      </c>
      <c r="N175" s="14"/>
      <c r="O175" s="13"/>
      <c r="P175" s="16"/>
      <c r="Q175" s="16"/>
      <c r="R175" s="17">
        <f t="shared" si="2"/>
        <v>7500</v>
      </c>
      <c r="S175" s="27">
        <v>0</v>
      </c>
      <c r="T175" s="83" t="s">
        <v>1037</v>
      </c>
    </row>
    <row r="176" spans="1:20" ht="31.5" hidden="1" x14ac:dyDescent="0.35">
      <c r="A176" s="8" t="s">
        <v>1001</v>
      </c>
      <c r="B176" s="9" t="s">
        <v>277</v>
      </c>
      <c r="C176" s="10" t="s">
        <v>278</v>
      </c>
      <c r="D176" s="10" t="s">
        <v>1057</v>
      </c>
      <c r="E176" s="10" t="s">
        <v>160</v>
      </c>
      <c r="F176" s="10" t="s">
        <v>161</v>
      </c>
      <c r="G176" s="10" t="s">
        <v>1129</v>
      </c>
      <c r="H176" s="10" t="s">
        <v>292</v>
      </c>
      <c r="I176" s="11">
        <v>60000</v>
      </c>
      <c r="J176" s="12"/>
      <c r="K176" s="13"/>
      <c r="L176" s="14"/>
      <c r="M176" s="15">
        <v>60000</v>
      </c>
      <c r="N176" s="14"/>
      <c r="O176" s="13"/>
      <c r="P176" s="16"/>
      <c r="Q176" s="16"/>
      <c r="R176" s="17">
        <f t="shared" si="2"/>
        <v>60000</v>
      </c>
      <c r="S176" s="27">
        <v>0</v>
      </c>
      <c r="T176" s="83" t="s">
        <v>1037</v>
      </c>
    </row>
    <row r="177" spans="1:20" ht="31.5" hidden="1" x14ac:dyDescent="0.35">
      <c r="A177" s="8" t="s">
        <v>1002</v>
      </c>
      <c r="B177" s="9" t="s">
        <v>293</v>
      </c>
      <c r="C177" s="10" t="s">
        <v>294</v>
      </c>
      <c r="D177" s="10" t="s">
        <v>1058</v>
      </c>
      <c r="E177" s="10" t="s">
        <v>14</v>
      </c>
      <c r="F177" s="10" t="s">
        <v>15</v>
      </c>
      <c r="G177" s="10" t="s">
        <v>1096</v>
      </c>
      <c r="H177" s="10" t="s">
        <v>295</v>
      </c>
      <c r="I177" s="11">
        <v>65692</v>
      </c>
      <c r="J177" s="18">
        <v>64718.46</v>
      </c>
      <c r="K177" s="13"/>
      <c r="L177" s="14"/>
      <c r="M177" s="15">
        <v>973.53999999999405</v>
      </c>
      <c r="N177" s="14"/>
      <c r="O177" s="13"/>
      <c r="P177" s="16"/>
      <c r="Q177" s="16"/>
      <c r="R177" s="17">
        <f t="shared" si="2"/>
        <v>973.53999999999405</v>
      </c>
      <c r="S177" s="27">
        <v>0</v>
      </c>
      <c r="T177" s="83" t="s">
        <v>1037</v>
      </c>
    </row>
    <row r="178" spans="1:20" ht="31.5" hidden="1" x14ac:dyDescent="0.35">
      <c r="A178" s="8" t="s">
        <v>1002</v>
      </c>
      <c r="B178" s="9" t="s">
        <v>293</v>
      </c>
      <c r="C178" s="10" t="s">
        <v>294</v>
      </c>
      <c r="D178" s="10" t="s">
        <v>1058</v>
      </c>
      <c r="E178" s="10" t="s">
        <v>26</v>
      </c>
      <c r="F178" s="10" t="s">
        <v>27</v>
      </c>
      <c r="G178" s="10" t="s">
        <v>1100</v>
      </c>
      <c r="H178" s="10" t="s">
        <v>296</v>
      </c>
      <c r="I178" s="11">
        <v>500308</v>
      </c>
      <c r="J178" s="18">
        <v>61934.26</v>
      </c>
      <c r="K178" s="13"/>
      <c r="L178" s="14"/>
      <c r="M178" s="15">
        <v>438373.74</v>
      </c>
      <c r="N178" s="14"/>
      <c r="O178" s="13"/>
      <c r="P178" s="16"/>
      <c r="Q178" s="16"/>
      <c r="R178" s="17">
        <f t="shared" si="2"/>
        <v>438373.74</v>
      </c>
      <c r="S178" s="27">
        <v>0</v>
      </c>
      <c r="T178" s="83" t="s">
        <v>1037</v>
      </c>
    </row>
    <row r="179" spans="1:20" ht="31.5" hidden="1" x14ac:dyDescent="0.35">
      <c r="A179" s="8" t="s">
        <v>1002</v>
      </c>
      <c r="B179" s="9" t="s">
        <v>293</v>
      </c>
      <c r="C179" s="10" t="s">
        <v>294</v>
      </c>
      <c r="D179" s="10" t="s">
        <v>1058</v>
      </c>
      <c r="E179" s="10" t="s">
        <v>29</v>
      </c>
      <c r="F179" s="10" t="s">
        <v>30</v>
      </c>
      <c r="G179" s="10" t="s">
        <v>1101</v>
      </c>
      <c r="H179" s="10" t="s">
        <v>297</v>
      </c>
      <c r="I179" s="11">
        <v>15000</v>
      </c>
      <c r="J179" s="18">
        <v>4967</v>
      </c>
      <c r="K179" s="13"/>
      <c r="L179" s="14"/>
      <c r="M179" s="15">
        <v>10033</v>
      </c>
      <c r="N179" s="14"/>
      <c r="O179" s="13"/>
      <c r="P179" s="16"/>
      <c r="Q179" s="16"/>
      <c r="R179" s="17">
        <f t="shared" si="2"/>
        <v>10033</v>
      </c>
      <c r="S179" s="27">
        <v>0</v>
      </c>
      <c r="T179" s="83" t="s">
        <v>1037</v>
      </c>
    </row>
    <row r="180" spans="1:20" ht="31.5" hidden="1" x14ac:dyDescent="0.35">
      <c r="A180" s="8" t="s">
        <v>1002</v>
      </c>
      <c r="B180" s="9" t="s">
        <v>293</v>
      </c>
      <c r="C180" s="10" t="s">
        <v>294</v>
      </c>
      <c r="D180" s="10" t="s">
        <v>1058</v>
      </c>
      <c r="E180" s="10" t="s">
        <v>32</v>
      </c>
      <c r="F180" s="10" t="s">
        <v>33</v>
      </c>
      <c r="G180" s="10" t="s">
        <v>1102</v>
      </c>
      <c r="H180" s="10" t="s">
        <v>298</v>
      </c>
      <c r="I180" s="11">
        <v>15000</v>
      </c>
      <c r="J180" s="18">
        <v>13957.9</v>
      </c>
      <c r="K180" s="13"/>
      <c r="L180" s="14"/>
      <c r="M180" s="15">
        <v>1042.0999999999999</v>
      </c>
      <c r="N180" s="14"/>
      <c r="O180" s="13"/>
      <c r="P180" s="16"/>
      <c r="Q180" s="16"/>
      <c r="R180" s="17">
        <f t="shared" si="2"/>
        <v>1042.0999999999999</v>
      </c>
      <c r="S180" s="27">
        <v>0</v>
      </c>
      <c r="T180" s="83" t="s">
        <v>1037</v>
      </c>
    </row>
    <row r="181" spans="1:20" ht="101.5" x14ac:dyDescent="0.35">
      <c r="A181" s="8" t="s">
        <v>1002</v>
      </c>
      <c r="B181" s="9" t="s">
        <v>293</v>
      </c>
      <c r="C181" s="10" t="s">
        <v>294</v>
      </c>
      <c r="D181" s="10" t="s">
        <v>1058</v>
      </c>
      <c r="E181" s="10" t="s">
        <v>144</v>
      </c>
      <c r="F181" s="10" t="s">
        <v>145</v>
      </c>
      <c r="G181" s="10" t="s">
        <v>1125</v>
      </c>
      <c r="H181" s="10" t="s">
        <v>299</v>
      </c>
      <c r="I181" s="11">
        <v>35825</v>
      </c>
      <c r="J181" s="18">
        <v>15471.72</v>
      </c>
      <c r="K181" s="13"/>
      <c r="L181" s="14"/>
      <c r="M181" s="32">
        <v>2978.38</v>
      </c>
      <c r="N181" s="14"/>
      <c r="O181" s="13"/>
      <c r="P181" s="16"/>
      <c r="Q181" s="100" t="s">
        <v>1189</v>
      </c>
      <c r="R181" s="17">
        <f t="shared" si="2"/>
        <v>2978.38</v>
      </c>
      <c r="S181" s="27">
        <v>0</v>
      </c>
      <c r="T181" s="83" t="s">
        <v>1037</v>
      </c>
    </row>
    <row r="182" spans="1:20" ht="31.5" hidden="1" x14ac:dyDescent="0.35">
      <c r="A182" s="8" t="s">
        <v>1002</v>
      </c>
      <c r="B182" s="9" t="s">
        <v>293</v>
      </c>
      <c r="C182" s="10" t="s">
        <v>294</v>
      </c>
      <c r="D182" s="10" t="s">
        <v>1058</v>
      </c>
      <c r="E182" s="10" t="s">
        <v>59</v>
      </c>
      <c r="F182" s="10" t="s">
        <v>60</v>
      </c>
      <c r="G182" s="10" t="s">
        <v>1109</v>
      </c>
      <c r="H182" s="10" t="s">
        <v>300</v>
      </c>
      <c r="I182" s="11">
        <v>20175</v>
      </c>
      <c r="J182" s="18">
        <v>20174.88</v>
      </c>
      <c r="K182" s="13"/>
      <c r="L182" s="14"/>
      <c r="M182" s="15">
        <v>0.11999999999898101</v>
      </c>
      <c r="N182" s="14"/>
      <c r="O182" s="13"/>
      <c r="P182" s="16"/>
      <c r="Q182" s="16"/>
      <c r="R182" s="17">
        <f t="shared" si="2"/>
        <v>0.11999999999898101</v>
      </c>
      <c r="S182" s="27">
        <v>0</v>
      </c>
      <c r="T182" s="83" t="s">
        <v>1037</v>
      </c>
    </row>
    <row r="183" spans="1:20" ht="31.5" hidden="1" x14ac:dyDescent="0.35">
      <c r="A183" s="8" t="s">
        <v>1002</v>
      </c>
      <c r="B183" s="9" t="s">
        <v>293</v>
      </c>
      <c r="C183" s="10" t="s">
        <v>294</v>
      </c>
      <c r="D183" s="10" t="s">
        <v>1058</v>
      </c>
      <c r="E183" s="10" t="s">
        <v>151</v>
      </c>
      <c r="F183" s="10" t="s">
        <v>152</v>
      </c>
      <c r="G183" s="10" t="s">
        <v>1126</v>
      </c>
      <c r="H183" s="10" t="s">
        <v>301</v>
      </c>
      <c r="I183" s="11">
        <v>200000</v>
      </c>
      <c r="J183" s="12"/>
      <c r="K183" s="13"/>
      <c r="L183" s="14"/>
      <c r="M183" s="15">
        <v>200000</v>
      </c>
      <c r="N183" s="14"/>
      <c r="O183" s="13"/>
      <c r="P183" s="16"/>
      <c r="Q183" s="16"/>
      <c r="R183" s="17">
        <f t="shared" si="2"/>
        <v>200000</v>
      </c>
      <c r="S183" s="27">
        <v>0</v>
      </c>
      <c r="T183" s="83" t="s">
        <v>1037</v>
      </c>
    </row>
    <row r="184" spans="1:20" ht="31.5" hidden="1" x14ac:dyDescent="0.35">
      <c r="A184" s="8" t="s">
        <v>1002</v>
      </c>
      <c r="B184" s="9" t="s">
        <v>293</v>
      </c>
      <c r="C184" s="10" t="s">
        <v>294</v>
      </c>
      <c r="D184" s="10" t="s">
        <v>1058</v>
      </c>
      <c r="E184" s="10" t="s">
        <v>154</v>
      </c>
      <c r="F184" s="10" t="s">
        <v>155</v>
      </c>
      <c r="G184" s="10" t="s">
        <v>1127</v>
      </c>
      <c r="H184" s="10" t="s">
        <v>302</v>
      </c>
      <c r="I184" s="11">
        <v>30000</v>
      </c>
      <c r="J184" s="18">
        <v>28033.25</v>
      </c>
      <c r="K184" s="13"/>
      <c r="L184" s="14"/>
      <c r="M184" s="15">
        <v>1966.75</v>
      </c>
      <c r="N184" s="14"/>
      <c r="O184" s="13"/>
      <c r="P184" s="16"/>
      <c r="Q184" s="16"/>
      <c r="R184" s="17">
        <f t="shared" si="2"/>
        <v>1966.75</v>
      </c>
      <c r="S184" s="27">
        <v>0</v>
      </c>
      <c r="T184" s="83" t="s">
        <v>1037</v>
      </c>
    </row>
    <row r="185" spans="1:20" ht="52.5" hidden="1" x14ac:dyDescent="0.35">
      <c r="A185" s="8" t="s">
        <v>1002</v>
      </c>
      <c r="B185" s="9" t="s">
        <v>303</v>
      </c>
      <c r="C185" s="10" t="s">
        <v>304</v>
      </c>
      <c r="D185" s="10" t="s">
        <v>1059</v>
      </c>
      <c r="E185" s="10" t="s">
        <v>124</v>
      </c>
      <c r="F185" s="10" t="s">
        <v>125</v>
      </c>
      <c r="G185" s="10" t="s">
        <v>1122</v>
      </c>
      <c r="H185" s="10" t="s">
        <v>305</v>
      </c>
      <c r="I185" s="11">
        <v>162000</v>
      </c>
      <c r="J185" s="12"/>
      <c r="K185" s="13"/>
      <c r="L185" s="14"/>
      <c r="M185" s="15">
        <v>162000</v>
      </c>
      <c r="N185" s="14"/>
      <c r="O185" s="13"/>
      <c r="P185" s="16"/>
      <c r="Q185" s="16"/>
      <c r="R185" s="17">
        <f t="shared" si="2"/>
        <v>162000</v>
      </c>
      <c r="S185" s="27">
        <v>0</v>
      </c>
      <c r="T185" s="83" t="s">
        <v>1037</v>
      </c>
    </row>
    <row r="186" spans="1:20" ht="116" x14ac:dyDescent="0.35">
      <c r="A186" s="8" t="s">
        <v>1002</v>
      </c>
      <c r="B186" s="9" t="s">
        <v>303</v>
      </c>
      <c r="C186" s="10" t="s">
        <v>304</v>
      </c>
      <c r="D186" s="10" t="s">
        <v>1059</v>
      </c>
      <c r="E186" s="10" t="s">
        <v>144</v>
      </c>
      <c r="F186" s="10" t="s">
        <v>145</v>
      </c>
      <c r="G186" s="10" t="s">
        <v>1125</v>
      </c>
      <c r="H186" s="10" t="s">
        <v>306</v>
      </c>
      <c r="I186" s="11">
        <v>120000</v>
      </c>
      <c r="J186" s="18">
        <v>25132</v>
      </c>
      <c r="K186" s="13"/>
      <c r="L186" s="14"/>
      <c r="M186" s="32">
        <v>94868</v>
      </c>
      <c r="N186" s="14"/>
      <c r="O186" s="13"/>
      <c r="P186" s="16"/>
      <c r="Q186" s="100" t="s">
        <v>1191</v>
      </c>
      <c r="R186" s="17">
        <f t="shared" si="2"/>
        <v>94868</v>
      </c>
      <c r="S186" s="27">
        <v>0</v>
      </c>
      <c r="T186" s="83" t="s">
        <v>1037</v>
      </c>
    </row>
    <row r="187" spans="1:20" ht="52.5" hidden="1" x14ac:dyDescent="0.35">
      <c r="A187" s="8" t="s">
        <v>1002</v>
      </c>
      <c r="B187" s="9" t="s">
        <v>303</v>
      </c>
      <c r="C187" s="10" t="s">
        <v>304</v>
      </c>
      <c r="D187" s="10" t="s">
        <v>1059</v>
      </c>
      <c r="E187" s="10" t="s">
        <v>38</v>
      </c>
      <c r="F187" s="10" t="s">
        <v>39</v>
      </c>
      <c r="G187" s="10" t="s">
        <v>1104</v>
      </c>
      <c r="H187" s="10" t="s">
        <v>307</v>
      </c>
      <c r="I187" s="11">
        <v>5600</v>
      </c>
      <c r="J187" s="18">
        <v>1612</v>
      </c>
      <c r="K187" s="13"/>
      <c r="L187" s="14"/>
      <c r="M187" s="15">
        <v>3988</v>
      </c>
      <c r="N187" s="14"/>
      <c r="O187" s="13"/>
      <c r="P187" s="16"/>
      <c r="Q187" s="16"/>
      <c r="R187" s="17">
        <f t="shared" si="2"/>
        <v>3988</v>
      </c>
      <c r="S187" s="27">
        <v>0</v>
      </c>
      <c r="T187" s="83" t="s">
        <v>1037</v>
      </c>
    </row>
    <row r="188" spans="1:20" ht="52.5" hidden="1" x14ac:dyDescent="0.35">
      <c r="A188" s="8" t="s">
        <v>1002</v>
      </c>
      <c r="B188" s="9" t="s">
        <v>303</v>
      </c>
      <c r="C188" s="10" t="s">
        <v>304</v>
      </c>
      <c r="D188" s="10" t="s">
        <v>1059</v>
      </c>
      <c r="E188" s="10" t="s">
        <v>80</v>
      </c>
      <c r="F188" s="10" t="s">
        <v>81</v>
      </c>
      <c r="G188" s="10" t="s">
        <v>1114</v>
      </c>
      <c r="H188" s="10" t="s">
        <v>308</v>
      </c>
      <c r="I188" s="11">
        <v>85229</v>
      </c>
      <c r="J188" s="18">
        <v>12957.33</v>
      </c>
      <c r="K188" s="19">
        <v>8447.9</v>
      </c>
      <c r="L188" s="14"/>
      <c r="M188" s="15">
        <v>63823.77</v>
      </c>
      <c r="N188" s="14"/>
      <c r="O188" s="13"/>
      <c r="P188" s="16"/>
      <c r="Q188" s="16"/>
      <c r="R188" s="17">
        <f t="shared" si="2"/>
        <v>63823.77</v>
      </c>
      <c r="S188" s="27">
        <v>0</v>
      </c>
      <c r="T188" s="83" t="s">
        <v>1037</v>
      </c>
    </row>
    <row r="189" spans="1:20" ht="52.5" hidden="1" x14ac:dyDescent="0.35">
      <c r="A189" s="8" t="s">
        <v>1002</v>
      </c>
      <c r="B189" s="9" t="s">
        <v>303</v>
      </c>
      <c r="C189" s="10" t="s">
        <v>304</v>
      </c>
      <c r="D189" s="10" t="s">
        <v>1059</v>
      </c>
      <c r="E189" s="10" t="s">
        <v>154</v>
      </c>
      <c r="F189" s="10" t="s">
        <v>155</v>
      </c>
      <c r="G189" s="10" t="s">
        <v>1127</v>
      </c>
      <c r="H189" s="10" t="s">
        <v>309</v>
      </c>
      <c r="I189" s="11">
        <v>17900</v>
      </c>
      <c r="J189" s="18">
        <v>1500</v>
      </c>
      <c r="K189" s="13"/>
      <c r="L189" s="14"/>
      <c r="M189" s="15">
        <v>16400</v>
      </c>
      <c r="N189" s="14"/>
      <c r="O189" s="13"/>
      <c r="P189" s="16"/>
      <c r="Q189" s="16"/>
      <c r="R189" s="17">
        <f t="shared" si="2"/>
        <v>16400</v>
      </c>
      <c r="S189" s="27">
        <v>0</v>
      </c>
      <c r="T189" s="83" t="s">
        <v>1037</v>
      </c>
    </row>
    <row r="190" spans="1:20" ht="43.5" hidden="1" x14ac:dyDescent="0.35">
      <c r="A190" s="8" t="s">
        <v>1002</v>
      </c>
      <c r="B190" s="9" t="s">
        <v>310</v>
      </c>
      <c r="C190" s="10" t="s">
        <v>311</v>
      </c>
      <c r="D190" s="10" t="s">
        <v>1060</v>
      </c>
      <c r="E190" s="10" t="s">
        <v>26</v>
      </c>
      <c r="F190" s="10" t="s">
        <v>27</v>
      </c>
      <c r="G190" s="10" t="s">
        <v>1100</v>
      </c>
      <c r="H190" s="10" t="s">
        <v>312</v>
      </c>
      <c r="I190" s="11">
        <v>150000</v>
      </c>
      <c r="J190" s="12"/>
      <c r="K190" s="13"/>
      <c r="L190" s="14"/>
      <c r="M190" s="15">
        <v>150000</v>
      </c>
      <c r="N190" s="14"/>
      <c r="O190" s="13"/>
      <c r="P190" s="16"/>
      <c r="Q190" s="16"/>
      <c r="R190" s="17">
        <f t="shared" si="2"/>
        <v>150000</v>
      </c>
      <c r="S190" s="14" t="s">
        <v>880</v>
      </c>
      <c r="T190" s="83" t="s">
        <v>1036</v>
      </c>
    </row>
    <row r="191" spans="1:20" ht="43.5" hidden="1" x14ac:dyDescent="0.35">
      <c r="A191" s="8" t="s">
        <v>1002</v>
      </c>
      <c r="B191" s="9" t="s">
        <v>310</v>
      </c>
      <c r="C191" s="10" t="s">
        <v>311</v>
      </c>
      <c r="D191" s="10" t="s">
        <v>1060</v>
      </c>
      <c r="E191" s="10" t="s">
        <v>65</v>
      </c>
      <c r="F191" s="10" t="s">
        <v>66</v>
      </c>
      <c r="G191" s="10" t="s">
        <v>1110</v>
      </c>
      <c r="H191" s="10" t="s">
        <v>313</v>
      </c>
      <c r="I191" s="11">
        <v>50000</v>
      </c>
      <c r="J191" s="12"/>
      <c r="K191" s="13"/>
      <c r="L191" s="14"/>
      <c r="M191" s="15">
        <v>50000</v>
      </c>
      <c r="N191" s="14"/>
      <c r="O191" s="13">
        <v>50000</v>
      </c>
      <c r="P191" s="16" t="s">
        <v>870</v>
      </c>
      <c r="Q191" s="16"/>
      <c r="R191" s="17">
        <f t="shared" si="2"/>
        <v>0</v>
      </c>
      <c r="S191" s="14"/>
      <c r="T191" s="83" t="s">
        <v>1036</v>
      </c>
    </row>
    <row r="192" spans="1:20" ht="43.5" hidden="1" x14ac:dyDescent="0.35">
      <c r="A192" s="8" t="s">
        <v>1002</v>
      </c>
      <c r="B192" s="9" t="s">
        <v>310</v>
      </c>
      <c r="C192" s="10" t="s">
        <v>311</v>
      </c>
      <c r="D192" s="10" t="s">
        <v>1060</v>
      </c>
      <c r="E192" s="10" t="s">
        <v>167</v>
      </c>
      <c r="F192" s="10" t="s">
        <v>168</v>
      </c>
      <c r="G192" s="10" t="s">
        <v>1130</v>
      </c>
      <c r="H192" s="10" t="s">
        <v>314</v>
      </c>
      <c r="I192" s="11">
        <v>5000</v>
      </c>
      <c r="J192" s="12"/>
      <c r="K192" s="13"/>
      <c r="L192" s="14"/>
      <c r="M192" s="15">
        <v>5000</v>
      </c>
      <c r="N192" s="14"/>
      <c r="O192" s="13">
        <v>5000</v>
      </c>
      <c r="P192" s="16" t="s">
        <v>871</v>
      </c>
      <c r="Q192" s="16"/>
      <c r="R192" s="17">
        <f t="shared" si="2"/>
        <v>0</v>
      </c>
      <c r="S192" s="14"/>
      <c r="T192" s="83" t="s">
        <v>1036</v>
      </c>
    </row>
    <row r="193" spans="1:20" ht="43.5" hidden="1" x14ac:dyDescent="0.35">
      <c r="A193" s="8" t="s">
        <v>1002</v>
      </c>
      <c r="B193" s="9" t="s">
        <v>310</v>
      </c>
      <c r="C193" s="10" t="s">
        <v>311</v>
      </c>
      <c r="D193" s="10" t="s">
        <v>1060</v>
      </c>
      <c r="E193" s="10" t="s">
        <v>70</v>
      </c>
      <c r="F193" s="10" t="s">
        <v>71</v>
      </c>
      <c r="G193" s="10" t="s">
        <v>1111</v>
      </c>
      <c r="H193" s="10" t="s">
        <v>315</v>
      </c>
      <c r="I193" s="11">
        <v>80000</v>
      </c>
      <c r="J193" s="18">
        <v>3365</v>
      </c>
      <c r="K193" s="19">
        <v>0</v>
      </c>
      <c r="L193" s="11">
        <v>17820</v>
      </c>
      <c r="M193" s="15">
        <v>58815</v>
      </c>
      <c r="N193" s="14"/>
      <c r="O193" s="13">
        <v>58000</v>
      </c>
      <c r="P193" s="16" t="s">
        <v>872</v>
      </c>
      <c r="Q193" s="16"/>
      <c r="R193" s="17">
        <f t="shared" si="2"/>
        <v>815</v>
      </c>
      <c r="S193" s="14"/>
      <c r="T193" s="83" t="s">
        <v>1036</v>
      </c>
    </row>
    <row r="194" spans="1:20" ht="43.5" hidden="1" x14ac:dyDescent="0.35">
      <c r="A194" s="8" t="s">
        <v>1002</v>
      </c>
      <c r="B194" s="9" t="s">
        <v>310</v>
      </c>
      <c r="C194" s="10" t="s">
        <v>311</v>
      </c>
      <c r="D194" s="10" t="s">
        <v>1060</v>
      </c>
      <c r="E194" s="10" t="s">
        <v>144</v>
      </c>
      <c r="F194" s="10" t="s">
        <v>145</v>
      </c>
      <c r="G194" s="10" t="s">
        <v>1125</v>
      </c>
      <c r="H194" s="10" t="s">
        <v>316</v>
      </c>
      <c r="I194" s="11">
        <v>285000</v>
      </c>
      <c r="J194" s="18">
        <v>67495.960000000006</v>
      </c>
      <c r="K194" s="13"/>
      <c r="L194" s="14"/>
      <c r="M194" s="15">
        <v>217504.04</v>
      </c>
      <c r="N194" s="14">
        <v>150000</v>
      </c>
      <c r="O194" s="13">
        <v>50000</v>
      </c>
      <c r="P194" s="16" t="s">
        <v>873</v>
      </c>
      <c r="Q194" s="16"/>
      <c r="R194" s="17">
        <f t="shared" si="2"/>
        <v>17504.040000000008</v>
      </c>
      <c r="S194" s="14"/>
      <c r="T194" s="83" t="s">
        <v>1036</v>
      </c>
    </row>
    <row r="195" spans="1:20" ht="29" hidden="1" x14ac:dyDescent="0.35">
      <c r="A195" s="8" t="s">
        <v>1002</v>
      </c>
      <c r="B195" s="9" t="s">
        <v>310</v>
      </c>
      <c r="C195" s="10" t="s">
        <v>311</v>
      </c>
      <c r="D195" s="10" t="s">
        <v>1060</v>
      </c>
      <c r="E195" s="10" t="s">
        <v>35</v>
      </c>
      <c r="F195" s="10" t="s">
        <v>36</v>
      </c>
      <c r="G195" s="10" t="s">
        <v>1103</v>
      </c>
      <c r="H195" s="10" t="s">
        <v>317</v>
      </c>
      <c r="I195" s="11">
        <v>140000</v>
      </c>
      <c r="J195" s="18">
        <v>7839.73</v>
      </c>
      <c r="K195" s="13"/>
      <c r="L195" s="14"/>
      <c r="M195" s="15">
        <v>132160.26999999999</v>
      </c>
      <c r="N195" s="14"/>
      <c r="O195" s="13"/>
      <c r="P195" s="16"/>
      <c r="Q195" s="16"/>
      <c r="R195" s="17">
        <f t="shared" si="2"/>
        <v>132160.26999999999</v>
      </c>
      <c r="S195" s="14" t="s">
        <v>881</v>
      </c>
      <c r="T195" s="83" t="s">
        <v>1036</v>
      </c>
    </row>
    <row r="196" spans="1:20" ht="29" hidden="1" x14ac:dyDescent="0.35">
      <c r="A196" s="8" t="s">
        <v>1002</v>
      </c>
      <c r="B196" s="9" t="s">
        <v>310</v>
      </c>
      <c r="C196" s="10" t="s">
        <v>311</v>
      </c>
      <c r="D196" s="10" t="s">
        <v>1060</v>
      </c>
      <c r="E196" s="10" t="s">
        <v>38</v>
      </c>
      <c r="F196" s="10" t="s">
        <v>39</v>
      </c>
      <c r="G196" s="10" t="s">
        <v>1104</v>
      </c>
      <c r="H196" s="10" t="s">
        <v>318</v>
      </c>
      <c r="I196" s="11">
        <v>229511</v>
      </c>
      <c r="J196" s="18">
        <v>30164.11</v>
      </c>
      <c r="K196" s="19">
        <v>0</v>
      </c>
      <c r="L196" s="11">
        <v>31220.5</v>
      </c>
      <c r="M196" s="15">
        <v>168126.39</v>
      </c>
      <c r="N196" s="14">
        <v>150000</v>
      </c>
      <c r="O196" s="13"/>
      <c r="P196" s="16" t="s">
        <v>874</v>
      </c>
      <c r="Q196" s="16"/>
      <c r="R196" s="17">
        <f t="shared" ref="R196:R259" si="3">M196-N196-O196</f>
        <v>18126.390000000014</v>
      </c>
      <c r="S196" s="14"/>
      <c r="T196" s="83" t="s">
        <v>1036</v>
      </c>
    </row>
    <row r="197" spans="1:20" ht="21" hidden="1" x14ac:dyDescent="0.35">
      <c r="A197" s="8" t="s">
        <v>1002</v>
      </c>
      <c r="B197" s="9" t="s">
        <v>310</v>
      </c>
      <c r="C197" s="10" t="s">
        <v>311</v>
      </c>
      <c r="D197" s="10" t="s">
        <v>1060</v>
      </c>
      <c r="E197" s="10" t="s">
        <v>47</v>
      </c>
      <c r="F197" s="10" t="s">
        <v>48</v>
      </c>
      <c r="G197" s="10" t="s">
        <v>1107</v>
      </c>
      <c r="H197" s="10" t="s">
        <v>319</v>
      </c>
      <c r="I197" s="11">
        <v>15000</v>
      </c>
      <c r="J197" s="12"/>
      <c r="K197" s="13"/>
      <c r="L197" s="14"/>
      <c r="M197" s="15">
        <v>15000</v>
      </c>
      <c r="N197" s="14">
        <v>15000</v>
      </c>
      <c r="O197" s="13"/>
      <c r="P197" s="16" t="s">
        <v>875</v>
      </c>
      <c r="Q197" s="16"/>
      <c r="R197" s="17">
        <f t="shared" si="3"/>
        <v>0</v>
      </c>
      <c r="S197" s="14"/>
      <c r="T197" s="83" t="s">
        <v>1036</v>
      </c>
    </row>
    <row r="198" spans="1:20" ht="29" hidden="1" x14ac:dyDescent="0.35">
      <c r="A198" s="8" t="s">
        <v>1002</v>
      </c>
      <c r="B198" s="9" t="s">
        <v>310</v>
      </c>
      <c r="C198" s="10" t="s">
        <v>311</v>
      </c>
      <c r="D198" s="10" t="s">
        <v>1060</v>
      </c>
      <c r="E198" s="10" t="s">
        <v>151</v>
      </c>
      <c r="F198" s="10" t="s">
        <v>152</v>
      </c>
      <c r="G198" s="10" t="s">
        <v>1126</v>
      </c>
      <c r="H198" s="10" t="s">
        <v>320</v>
      </c>
      <c r="I198" s="11">
        <v>301000</v>
      </c>
      <c r="J198" s="18">
        <v>39104</v>
      </c>
      <c r="K198" s="19">
        <v>82964.100000000006</v>
      </c>
      <c r="L198" s="11">
        <v>82628.61</v>
      </c>
      <c r="M198" s="15">
        <v>96303.29</v>
      </c>
      <c r="N198" s="14">
        <v>60000</v>
      </c>
      <c r="O198" s="13">
        <v>36303</v>
      </c>
      <c r="P198" s="16" t="s">
        <v>876</v>
      </c>
      <c r="Q198" s="16"/>
      <c r="R198" s="17">
        <f t="shared" si="3"/>
        <v>0.28999999999359716</v>
      </c>
      <c r="S198" s="14"/>
      <c r="T198" s="83" t="s">
        <v>1036</v>
      </c>
    </row>
    <row r="199" spans="1:20" ht="29" hidden="1" x14ac:dyDescent="0.35">
      <c r="A199" s="8" t="s">
        <v>1002</v>
      </c>
      <c r="B199" s="9" t="s">
        <v>310</v>
      </c>
      <c r="C199" s="10" t="s">
        <v>311</v>
      </c>
      <c r="D199" s="10" t="s">
        <v>1060</v>
      </c>
      <c r="E199" s="10" t="s">
        <v>154</v>
      </c>
      <c r="F199" s="10" t="s">
        <v>155</v>
      </c>
      <c r="G199" s="10" t="s">
        <v>1127</v>
      </c>
      <c r="H199" s="10" t="s">
        <v>321</v>
      </c>
      <c r="I199" s="11">
        <v>70000</v>
      </c>
      <c r="J199" s="18">
        <v>5138</v>
      </c>
      <c r="K199" s="13"/>
      <c r="L199" s="14"/>
      <c r="M199" s="15">
        <v>64862</v>
      </c>
      <c r="N199" s="14">
        <v>30000</v>
      </c>
      <c r="O199" s="13">
        <v>30000</v>
      </c>
      <c r="P199" s="16" t="s">
        <v>877</v>
      </c>
      <c r="Q199" s="16"/>
      <c r="R199" s="17">
        <f t="shared" si="3"/>
        <v>4862</v>
      </c>
      <c r="S199" s="14"/>
      <c r="T199" s="83" t="s">
        <v>1036</v>
      </c>
    </row>
    <row r="200" spans="1:20" ht="29" hidden="1" x14ac:dyDescent="0.35">
      <c r="A200" s="8" t="s">
        <v>1002</v>
      </c>
      <c r="B200" s="9" t="s">
        <v>310</v>
      </c>
      <c r="C200" s="10" t="s">
        <v>311</v>
      </c>
      <c r="D200" s="10" t="s">
        <v>1060</v>
      </c>
      <c r="E200" s="10" t="s">
        <v>157</v>
      </c>
      <c r="F200" s="10" t="s">
        <v>158</v>
      </c>
      <c r="G200" s="10" t="s">
        <v>1128</v>
      </c>
      <c r="H200" s="10" t="s">
        <v>322</v>
      </c>
      <c r="I200" s="11">
        <v>525000</v>
      </c>
      <c r="J200" s="18">
        <v>89206.58</v>
      </c>
      <c r="K200" s="19">
        <v>36675</v>
      </c>
      <c r="L200" s="11">
        <v>76210</v>
      </c>
      <c r="M200" s="15">
        <v>322908.42</v>
      </c>
      <c r="N200" s="14">
        <v>300000</v>
      </c>
      <c r="O200" s="13">
        <v>22908</v>
      </c>
      <c r="P200" s="16" t="s">
        <v>876</v>
      </c>
      <c r="Q200" s="16"/>
      <c r="R200" s="17">
        <f t="shared" si="3"/>
        <v>0.41999999998370185</v>
      </c>
      <c r="S200" s="14"/>
      <c r="T200" s="83" t="s">
        <v>1036</v>
      </c>
    </row>
    <row r="201" spans="1:20" ht="29" hidden="1" x14ac:dyDescent="0.35">
      <c r="A201" s="8" t="s">
        <v>1002</v>
      </c>
      <c r="B201" s="9" t="s">
        <v>310</v>
      </c>
      <c r="C201" s="10" t="s">
        <v>311</v>
      </c>
      <c r="D201" s="10" t="s">
        <v>1060</v>
      </c>
      <c r="E201" s="10" t="s">
        <v>83</v>
      </c>
      <c r="F201" s="10" t="s">
        <v>84</v>
      </c>
      <c r="G201" s="10" t="s">
        <v>1115</v>
      </c>
      <c r="H201" s="10" t="s">
        <v>323</v>
      </c>
      <c r="I201" s="11">
        <v>20000</v>
      </c>
      <c r="J201" s="12"/>
      <c r="K201" s="13"/>
      <c r="L201" s="14"/>
      <c r="M201" s="15">
        <v>20000</v>
      </c>
      <c r="N201" s="14"/>
      <c r="O201" s="13">
        <v>20000</v>
      </c>
      <c r="P201" s="16" t="s">
        <v>878</v>
      </c>
      <c r="Q201" s="16"/>
      <c r="R201" s="17">
        <f t="shared" si="3"/>
        <v>0</v>
      </c>
      <c r="S201" s="14"/>
      <c r="T201" s="83" t="s">
        <v>1036</v>
      </c>
    </row>
    <row r="202" spans="1:20" ht="21" hidden="1" x14ac:dyDescent="0.35">
      <c r="A202" s="8" t="s">
        <v>1002</v>
      </c>
      <c r="B202" s="9" t="s">
        <v>324</v>
      </c>
      <c r="C202" s="10" t="s">
        <v>325</v>
      </c>
      <c r="D202" s="10" t="s">
        <v>1061</v>
      </c>
      <c r="E202" s="10" t="s">
        <v>29</v>
      </c>
      <c r="F202" s="10" t="s">
        <v>30</v>
      </c>
      <c r="G202" s="10" t="s">
        <v>1101</v>
      </c>
      <c r="H202" s="10" t="s">
        <v>326</v>
      </c>
      <c r="I202" s="11">
        <v>45000</v>
      </c>
      <c r="J202" s="12"/>
      <c r="K202" s="13"/>
      <c r="L202" s="14"/>
      <c r="M202" s="15">
        <v>45000</v>
      </c>
      <c r="N202" s="14"/>
      <c r="O202" s="13"/>
      <c r="P202" s="16"/>
      <c r="Q202" s="16"/>
      <c r="R202" s="17">
        <f t="shared" si="3"/>
        <v>45000</v>
      </c>
      <c r="S202" s="27">
        <v>0</v>
      </c>
      <c r="T202" s="83" t="s">
        <v>1037</v>
      </c>
    </row>
    <row r="203" spans="1:20" ht="21" hidden="1" x14ac:dyDescent="0.35">
      <c r="A203" s="8" t="s">
        <v>1002</v>
      </c>
      <c r="B203" s="9" t="s">
        <v>324</v>
      </c>
      <c r="C203" s="10" t="s">
        <v>325</v>
      </c>
      <c r="D203" s="10" t="s">
        <v>1061</v>
      </c>
      <c r="E203" s="10" t="s">
        <v>32</v>
      </c>
      <c r="F203" s="10" t="s">
        <v>33</v>
      </c>
      <c r="G203" s="10" t="s">
        <v>1102</v>
      </c>
      <c r="H203" s="10" t="s">
        <v>327</v>
      </c>
      <c r="I203" s="11">
        <v>225000</v>
      </c>
      <c r="J203" s="12"/>
      <c r="K203" s="13"/>
      <c r="L203" s="14"/>
      <c r="M203" s="15">
        <v>225000</v>
      </c>
      <c r="N203" s="14"/>
      <c r="O203" s="13"/>
      <c r="P203" s="16"/>
      <c r="Q203" s="16"/>
      <c r="R203" s="17">
        <f t="shared" si="3"/>
        <v>225000</v>
      </c>
      <c r="S203" s="27">
        <v>0</v>
      </c>
      <c r="T203" s="83" t="s">
        <v>1037</v>
      </c>
    </row>
    <row r="204" spans="1:20" ht="116" x14ac:dyDescent="0.35">
      <c r="A204" s="8" t="s">
        <v>1002</v>
      </c>
      <c r="B204" s="9" t="s">
        <v>324</v>
      </c>
      <c r="C204" s="10" t="s">
        <v>325</v>
      </c>
      <c r="D204" s="10" t="s">
        <v>1061</v>
      </c>
      <c r="E204" s="10" t="s">
        <v>144</v>
      </c>
      <c r="F204" s="10" t="s">
        <v>145</v>
      </c>
      <c r="G204" s="10" t="s">
        <v>1125</v>
      </c>
      <c r="H204" s="10" t="s">
        <v>328</v>
      </c>
      <c r="I204" s="11">
        <v>60000</v>
      </c>
      <c r="J204" s="18">
        <v>19885</v>
      </c>
      <c r="K204" s="13"/>
      <c r="L204" s="14"/>
      <c r="M204" s="32">
        <v>40115</v>
      </c>
      <c r="N204" s="14"/>
      <c r="O204" s="13"/>
      <c r="P204" s="16"/>
      <c r="Q204" s="100" t="s">
        <v>1191</v>
      </c>
      <c r="R204" s="17">
        <f t="shared" si="3"/>
        <v>40115</v>
      </c>
      <c r="S204" s="27">
        <v>0</v>
      </c>
      <c r="T204" s="83" t="s">
        <v>1037</v>
      </c>
    </row>
    <row r="205" spans="1:20" ht="21" hidden="1" x14ac:dyDescent="0.35">
      <c r="A205" s="8" t="s">
        <v>1002</v>
      </c>
      <c r="B205" s="9" t="s">
        <v>324</v>
      </c>
      <c r="C205" s="10" t="s">
        <v>325</v>
      </c>
      <c r="D205" s="10" t="s">
        <v>1061</v>
      </c>
      <c r="E205" s="10" t="s">
        <v>35</v>
      </c>
      <c r="F205" s="10" t="s">
        <v>36</v>
      </c>
      <c r="G205" s="10" t="s">
        <v>1103</v>
      </c>
      <c r="H205" s="10" t="s">
        <v>329</v>
      </c>
      <c r="I205" s="11">
        <v>10116</v>
      </c>
      <c r="J205" s="12"/>
      <c r="K205" s="13"/>
      <c r="L205" s="14"/>
      <c r="M205" s="15">
        <v>10116</v>
      </c>
      <c r="N205" s="14"/>
      <c r="O205" s="13"/>
      <c r="P205" s="16"/>
      <c r="Q205" s="16"/>
      <c r="R205" s="17">
        <f t="shared" si="3"/>
        <v>10116</v>
      </c>
      <c r="S205" s="27">
        <v>0</v>
      </c>
      <c r="T205" s="83" t="s">
        <v>1037</v>
      </c>
    </row>
    <row r="206" spans="1:20" ht="21" hidden="1" x14ac:dyDescent="0.35">
      <c r="A206" s="8" t="s">
        <v>1002</v>
      </c>
      <c r="B206" s="9" t="s">
        <v>324</v>
      </c>
      <c r="C206" s="10" t="s">
        <v>325</v>
      </c>
      <c r="D206" s="10" t="s">
        <v>1061</v>
      </c>
      <c r="E206" s="10" t="s">
        <v>38</v>
      </c>
      <c r="F206" s="10" t="s">
        <v>39</v>
      </c>
      <c r="G206" s="10" t="s">
        <v>1104</v>
      </c>
      <c r="H206" s="10" t="s">
        <v>330</v>
      </c>
      <c r="I206" s="11">
        <v>212000</v>
      </c>
      <c r="J206" s="12"/>
      <c r="K206" s="19">
        <v>0</v>
      </c>
      <c r="L206" s="11">
        <v>22497.13</v>
      </c>
      <c r="M206" s="15">
        <v>189502.87</v>
      </c>
      <c r="N206" s="14"/>
      <c r="O206" s="13"/>
      <c r="P206" s="16"/>
      <c r="Q206" s="16"/>
      <c r="R206" s="17">
        <f t="shared" si="3"/>
        <v>189502.87</v>
      </c>
      <c r="S206" s="27">
        <v>0</v>
      </c>
      <c r="T206" s="83" t="s">
        <v>1037</v>
      </c>
    </row>
    <row r="207" spans="1:20" ht="21" hidden="1" x14ac:dyDescent="0.35">
      <c r="A207" s="8" t="s">
        <v>1002</v>
      </c>
      <c r="B207" s="9" t="s">
        <v>324</v>
      </c>
      <c r="C207" s="10" t="s">
        <v>325</v>
      </c>
      <c r="D207" s="10" t="s">
        <v>1061</v>
      </c>
      <c r="E207" s="10" t="s">
        <v>41</v>
      </c>
      <c r="F207" s="10" t="s">
        <v>42</v>
      </c>
      <c r="G207" s="10" t="s">
        <v>1105</v>
      </c>
      <c r="H207" s="10" t="s">
        <v>331</v>
      </c>
      <c r="I207" s="11">
        <v>128000</v>
      </c>
      <c r="J207" s="12"/>
      <c r="K207" s="13"/>
      <c r="L207" s="14"/>
      <c r="M207" s="15">
        <v>128000</v>
      </c>
      <c r="N207" s="14"/>
      <c r="O207" s="13"/>
      <c r="P207" s="16"/>
      <c r="Q207" s="16"/>
      <c r="R207" s="17">
        <f t="shared" si="3"/>
        <v>128000</v>
      </c>
      <c r="S207" s="27">
        <v>0</v>
      </c>
      <c r="T207" s="83" t="s">
        <v>1037</v>
      </c>
    </row>
    <row r="208" spans="1:20" ht="21" hidden="1" x14ac:dyDescent="0.35">
      <c r="A208" s="8" t="s">
        <v>1002</v>
      </c>
      <c r="B208" s="9" t="s">
        <v>324</v>
      </c>
      <c r="C208" s="10" t="s">
        <v>325</v>
      </c>
      <c r="D208" s="10" t="s">
        <v>1061</v>
      </c>
      <c r="E208" s="10" t="s">
        <v>154</v>
      </c>
      <c r="F208" s="10" t="s">
        <v>155</v>
      </c>
      <c r="G208" s="10" t="s">
        <v>1127</v>
      </c>
      <c r="H208" s="10" t="s">
        <v>332</v>
      </c>
      <c r="I208" s="11">
        <v>120000</v>
      </c>
      <c r="J208" s="18">
        <v>21287.77</v>
      </c>
      <c r="K208" s="13"/>
      <c r="L208" s="14"/>
      <c r="M208" s="15">
        <v>39665.660000000003</v>
      </c>
      <c r="N208" s="14"/>
      <c r="O208" s="13"/>
      <c r="P208" s="16"/>
      <c r="Q208" s="16"/>
      <c r="R208" s="17">
        <f t="shared" si="3"/>
        <v>39665.660000000003</v>
      </c>
      <c r="S208" s="27">
        <v>0</v>
      </c>
      <c r="T208" s="83" t="s">
        <v>1037</v>
      </c>
    </row>
    <row r="209" spans="1:20" ht="21" hidden="1" x14ac:dyDescent="0.35">
      <c r="A209" s="8" t="s">
        <v>1002</v>
      </c>
      <c r="B209" s="9" t="s">
        <v>324</v>
      </c>
      <c r="C209" s="10" t="s">
        <v>325</v>
      </c>
      <c r="D209" s="10" t="s">
        <v>1061</v>
      </c>
      <c r="E209" s="10" t="s">
        <v>157</v>
      </c>
      <c r="F209" s="10" t="s">
        <v>158</v>
      </c>
      <c r="G209" s="10" t="s">
        <v>1128</v>
      </c>
      <c r="H209" s="10" t="s">
        <v>333</v>
      </c>
      <c r="I209" s="11">
        <v>551566</v>
      </c>
      <c r="J209" s="12"/>
      <c r="K209" s="19">
        <v>0</v>
      </c>
      <c r="L209" s="11">
        <v>152675</v>
      </c>
      <c r="M209" s="15">
        <v>398891</v>
      </c>
      <c r="N209" s="14"/>
      <c r="O209" s="13"/>
      <c r="P209" s="16"/>
      <c r="Q209" s="16"/>
      <c r="R209" s="17">
        <f t="shared" si="3"/>
        <v>398891</v>
      </c>
      <c r="S209" s="27">
        <v>0</v>
      </c>
      <c r="T209" s="83" t="s">
        <v>1037</v>
      </c>
    </row>
    <row r="210" spans="1:20" ht="31.5" hidden="1" x14ac:dyDescent="0.35">
      <c r="A210" s="8" t="s">
        <v>1002</v>
      </c>
      <c r="B210" s="9" t="s">
        <v>334</v>
      </c>
      <c r="C210" s="10" t="s">
        <v>335</v>
      </c>
      <c r="D210" s="10" t="s">
        <v>1062</v>
      </c>
      <c r="E210" s="10" t="s">
        <v>124</v>
      </c>
      <c r="F210" s="10" t="s">
        <v>125</v>
      </c>
      <c r="G210" s="10" t="s">
        <v>1122</v>
      </c>
      <c r="H210" s="10" t="s">
        <v>336</v>
      </c>
      <c r="I210" s="11">
        <v>8500</v>
      </c>
      <c r="J210" s="12"/>
      <c r="K210" s="13"/>
      <c r="L210" s="14"/>
      <c r="M210" s="15">
        <v>8500</v>
      </c>
      <c r="N210" s="14"/>
      <c r="O210" s="13"/>
      <c r="P210" s="16"/>
      <c r="Q210" s="16"/>
      <c r="R210" s="17">
        <f t="shared" si="3"/>
        <v>8500</v>
      </c>
      <c r="S210" s="27">
        <v>0</v>
      </c>
      <c r="T210" s="83" t="s">
        <v>1037</v>
      </c>
    </row>
    <row r="211" spans="1:20" ht="116" x14ac:dyDescent="0.35">
      <c r="A211" s="8" t="s">
        <v>1002</v>
      </c>
      <c r="B211" s="9" t="s">
        <v>334</v>
      </c>
      <c r="C211" s="10" t="s">
        <v>335</v>
      </c>
      <c r="D211" s="10" t="s">
        <v>1062</v>
      </c>
      <c r="E211" s="10" t="s">
        <v>144</v>
      </c>
      <c r="F211" s="10" t="s">
        <v>145</v>
      </c>
      <c r="G211" s="10" t="s">
        <v>1125</v>
      </c>
      <c r="H211" s="10" t="s">
        <v>337</v>
      </c>
      <c r="I211" s="11">
        <v>373425</v>
      </c>
      <c r="J211" s="18">
        <v>5500</v>
      </c>
      <c r="K211" s="13"/>
      <c r="L211" s="14"/>
      <c r="M211" s="32">
        <v>367925</v>
      </c>
      <c r="N211" s="14"/>
      <c r="O211" s="13"/>
      <c r="P211" s="16"/>
      <c r="Q211" s="100" t="s">
        <v>1191</v>
      </c>
      <c r="R211" s="17">
        <f t="shared" si="3"/>
        <v>367925</v>
      </c>
      <c r="S211" s="27">
        <v>0</v>
      </c>
      <c r="T211" s="83" t="s">
        <v>1037</v>
      </c>
    </row>
    <row r="212" spans="1:20" ht="31.5" hidden="1" x14ac:dyDescent="0.35">
      <c r="A212" s="8" t="s">
        <v>1002</v>
      </c>
      <c r="B212" s="9" t="s">
        <v>334</v>
      </c>
      <c r="C212" s="10" t="s">
        <v>335</v>
      </c>
      <c r="D212" s="10" t="s">
        <v>1062</v>
      </c>
      <c r="E212" s="10" t="s">
        <v>35</v>
      </c>
      <c r="F212" s="10" t="s">
        <v>36</v>
      </c>
      <c r="G212" s="10" t="s">
        <v>1103</v>
      </c>
      <c r="H212" s="10" t="s">
        <v>338</v>
      </c>
      <c r="I212" s="11">
        <v>12000</v>
      </c>
      <c r="J212" s="12"/>
      <c r="K212" s="13"/>
      <c r="L212" s="14"/>
      <c r="M212" s="15">
        <v>12000</v>
      </c>
      <c r="N212" s="14"/>
      <c r="O212" s="13"/>
      <c r="P212" s="16"/>
      <c r="Q212" s="16"/>
      <c r="R212" s="17">
        <f t="shared" si="3"/>
        <v>12000</v>
      </c>
      <c r="S212" s="27">
        <v>0</v>
      </c>
      <c r="T212" s="83" t="s">
        <v>1037</v>
      </c>
    </row>
    <row r="213" spans="1:20" ht="31.5" hidden="1" x14ac:dyDescent="0.35">
      <c r="A213" s="8" t="s">
        <v>1002</v>
      </c>
      <c r="B213" s="9" t="s">
        <v>334</v>
      </c>
      <c r="C213" s="10" t="s">
        <v>335</v>
      </c>
      <c r="D213" s="10" t="s">
        <v>1062</v>
      </c>
      <c r="E213" s="10" t="s">
        <v>38</v>
      </c>
      <c r="F213" s="10" t="s">
        <v>39</v>
      </c>
      <c r="G213" s="10" t="s">
        <v>1104</v>
      </c>
      <c r="H213" s="10" t="s">
        <v>339</v>
      </c>
      <c r="I213" s="11">
        <v>26152</v>
      </c>
      <c r="J213" s="18">
        <v>7462.28</v>
      </c>
      <c r="K213" s="19">
        <v>0</v>
      </c>
      <c r="L213" s="11">
        <v>15518.43</v>
      </c>
      <c r="M213" s="15">
        <v>3171.29</v>
      </c>
      <c r="N213" s="14"/>
      <c r="O213" s="13"/>
      <c r="P213" s="16"/>
      <c r="Q213" s="16"/>
      <c r="R213" s="17">
        <f t="shared" si="3"/>
        <v>3171.29</v>
      </c>
      <c r="S213" s="27">
        <v>0</v>
      </c>
      <c r="T213" s="83" t="s">
        <v>1037</v>
      </c>
    </row>
    <row r="214" spans="1:20" ht="31.5" hidden="1" x14ac:dyDescent="0.35">
      <c r="A214" s="8" t="s">
        <v>1002</v>
      </c>
      <c r="B214" s="9" t="s">
        <v>334</v>
      </c>
      <c r="C214" s="10" t="s">
        <v>335</v>
      </c>
      <c r="D214" s="10" t="s">
        <v>1062</v>
      </c>
      <c r="E214" s="10" t="s">
        <v>151</v>
      </c>
      <c r="F214" s="10" t="s">
        <v>152</v>
      </c>
      <c r="G214" s="10" t="s">
        <v>1126</v>
      </c>
      <c r="H214" s="10" t="s">
        <v>340</v>
      </c>
      <c r="I214" s="11">
        <v>1575</v>
      </c>
      <c r="J214" s="18">
        <v>1500</v>
      </c>
      <c r="K214" s="13"/>
      <c r="L214" s="14"/>
      <c r="M214" s="15">
        <v>75</v>
      </c>
      <c r="N214" s="14"/>
      <c r="O214" s="13"/>
      <c r="P214" s="16"/>
      <c r="Q214" s="16"/>
      <c r="R214" s="17">
        <f t="shared" si="3"/>
        <v>75</v>
      </c>
      <c r="S214" s="27">
        <v>0</v>
      </c>
      <c r="T214" s="83" t="s">
        <v>1037</v>
      </c>
    </row>
    <row r="215" spans="1:20" ht="31.5" hidden="1" x14ac:dyDescent="0.35">
      <c r="A215" s="8" t="s">
        <v>1002</v>
      </c>
      <c r="B215" s="9" t="s">
        <v>334</v>
      </c>
      <c r="C215" s="10" t="s">
        <v>335</v>
      </c>
      <c r="D215" s="10" t="s">
        <v>1062</v>
      </c>
      <c r="E215" s="10" t="s">
        <v>157</v>
      </c>
      <c r="F215" s="10" t="s">
        <v>158</v>
      </c>
      <c r="G215" s="10" t="s">
        <v>1128</v>
      </c>
      <c r="H215" s="10" t="s">
        <v>341</v>
      </c>
      <c r="I215" s="11">
        <v>84600</v>
      </c>
      <c r="J215" s="12"/>
      <c r="K215" s="13"/>
      <c r="L215" s="14"/>
      <c r="M215" s="15">
        <v>84600</v>
      </c>
      <c r="N215" s="14"/>
      <c r="O215" s="13"/>
      <c r="P215" s="16"/>
      <c r="Q215" s="16"/>
      <c r="R215" s="17">
        <f t="shared" si="3"/>
        <v>84600</v>
      </c>
      <c r="S215" s="27">
        <v>0</v>
      </c>
      <c r="T215" s="83" t="s">
        <v>1037</v>
      </c>
    </row>
    <row r="216" spans="1:20" ht="116" x14ac:dyDescent="0.35">
      <c r="A216" s="8" t="s">
        <v>1002</v>
      </c>
      <c r="B216" s="9" t="s">
        <v>342</v>
      </c>
      <c r="C216" s="10" t="s">
        <v>343</v>
      </c>
      <c r="D216" s="10" t="s">
        <v>1063</v>
      </c>
      <c r="E216" s="10" t="s">
        <v>144</v>
      </c>
      <c r="F216" s="10" t="s">
        <v>145</v>
      </c>
      <c r="G216" s="10" t="s">
        <v>1125</v>
      </c>
      <c r="H216" s="10" t="s">
        <v>344</v>
      </c>
      <c r="I216" s="11">
        <v>100000</v>
      </c>
      <c r="J216" s="18">
        <v>24695.9</v>
      </c>
      <c r="K216" s="13"/>
      <c r="L216" s="14"/>
      <c r="M216" s="32">
        <v>75304.100000000006</v>
      </c>
      <c r="N216" s="14"/>
      <c r="O216" s="13"/>
      <c r="P216" s="16"/>
      <c r="Q216" s="100" t="s">
        <v>1191</v>
      </c>
      <c r="R216" s="17">
        <f t="shared" si="3"/>
        <v>75304.100000000006</v>
      </c>
      <c r="S216" s="27">
        <v>0</v>
      </c>
      <c r="T216" s="83" t="s">
        <v>1037</v>
      </c>
    </row>
    <row r="217" spans="1:20" ht="31.5" hidden="1" x14ac:dyDescent="0.35">
      <c r="A217" s="8" t="s">
        <v>1002</v>
      </c>
      <c r="B217" s="9" t="s">
        <v>342</v>
      </c>
      <c r="C217" s="10" t="s">
        <v>343</v>
      </c>
      <c r="D217" s="10" t="s">
        <v>1063</v>
      </c>
      <c r="E217" s="10" t="s">
        <v>38</v>
      </c>
      <c r="F217" s="10" t="s">
        <v>39</v>
      </c>
      <c r="G217" s="10" t="s">
        <v>1104</v>
      </c>
      <c r="H217" s="10" t="s">
        <v>345</v>
      </c>
      <c r="I217" s="11">
        <v>30000</v>
      </c>
      <c r="J217" s="18">
        <v>1156</v>
      </c>
      <c r="K217" s="13"/>
      <c r="L217" s="14"/>
      <c r="M217" s="15">
        <v>28844</v>
      </c>
      <c r="N217" s="14"/>
      <c r="O217" s="13"/>
      <c r="P217" s="16"/>
      <c r="Q217" s="16"/>
      <c r="R217" s="17">
        <f t="shared" si="3"/>
        <v>28844</v>
      </c>
      <c r="S217" s="27">
        <v>0</v>
      </c>
      <c r="T217" s="83" t="s">
        <v>1037</v>
      </c>
    </row>
    <row r="218" spans="1:20" ht="31.5" hidden="1" x14ac:dyDescent="0.35">
      <c r="A218" s="8" t="s">
        <v>1002</v>
      </c>
      <c r="B218" s="9" t="s">
        <v>342</v>
      </c>
      <c r="C218" s="10" t="s">
        <v>343</v>
      </c>
      <c r="D218" s="10" t="s">
        <v>1063</v>
      </c>
      <c r="E218" s="10" t="s">
        <v>286</v>
      </c>
      <c r="F218" s="10" t="s">
        <v>287</v>
      </c>
      <c r="G218" s="10" t="s">
        <v>1132</v>
      </c>
      <c r="H218" s="10" t="s">
        <v>346</v>
      </c>
      <c r="I218" s="11">
        <v>35000</v>
      </c>
      <c r="J218" s="12"/>
      <c r="K218" s="13"/>
      <c r="L218" s="14"/>
      <c r="M218" s="15">
        <v>35000</v>
      </c>
      <c r="N218" s="14"/>
      <c r="O218" s="13"/>
      <c r="P218" s="16"/>
      <c r="Q218" s="16"/>
      <c r="R218" s="17">
        <f t="shared" si="3"/>
        <v>35000</v>
      </c>
      <c r="S218" s="27">
        <v>0</v>
      </c>
      <c r="T218" s="83" t="s">
        <v>1037</v>
      </c>
    </row>
    <row r="219" spans="1:20" ht="31.5" hidden="1" x14ac:dyDescent="0.35">
      <c r="A219" s="8" t="s">
        <v>1002</v>
      </c>
      <c r="B219" s="9" t="s">
        <v>342</v>
      </c>
      <c r="C219" s="10" t="s">
        <v>343</v>
      </c>
      <c r="D219" s="10" t="s">
        <v>1063</v>
      </c>
      <c r="E219" s="10" t="s">
        <v>160</v>
      </c>
      <c r="F219" s="10" t="s">
        <v>161</v>
      </c>
      <c r="G219" s="10" t="s">
        <v>1129</v>
      </c>
      <c r="H219" s="10" t="s">
        <v>347</v>
      </c>
      <c r="I219" s="11">
        <v>30000</v>
      </c>
      <c r="J219" s="12"/>
      <c r="K219" s="13"/>
      <c r="L219" s="14"/>
      <c r="M219" s="15">
        <v>30000</v>
      </c>
      <c r="N219" s="14"/>
      <c r="O219" s="13"/>
      <c r="P219" s="16"/>
      <c r="Q219" s="16"/>
      <c r="R219" s="17">
        <f t="shared" si="3"/>
        <v>30000</v>
      </c>
      <c r="S219" s="27">
        <v>0</v>
      </c>
      <c r="T219" s="83" t="s">
        <v>1037</v>
      </c>
    </row>
    <row r="220" spans="1:20" ht="42" hidden="1" x14ac:dyDescent="0.35">
      <c r="A220" s="8" t="s">
        <v>1002</v>
      </c>
      <c r="B220" s="9" t="s">
        <v>348</v>
      </c>
      <c r="C220" s="10" t="s">
        <v>349</v>
      </c>
      <c r="D220" s="10" t="s">
        <v>1064</v>
      </c>
      <c r="E220" s="10" t="s">
        <v>14</v>
      </c>
      <c r="F220" s="10" t="s">
        <v>15</v>
      </c>
      <c r="G220" s="10" t="s">
        <v>1096</v>
      </c>
      <c r="H220" s="10" t="s">
        <v>350</v>
      </c>
      <c r="I220" s="11">
        <v>560000</v>
      </c>
      <c r="J220" s="12"/>
      <c r="K220" s="13"/>
      <c r="L220" s="14"/>
      <c r="M220" s="15">
        <v>560000</v>
      </c>
      <c r="N220" s="14"/>
      <c r="O220" s="13"/>
      <c r="P220" s="16"/>
      <c r="Q220" s="16"/>
      <c r="R220" s="17">
        <f t="shared" si="3"/>
        <v>560000</v>
      </c>
      <c r="S220" s="27">
        <v>0</v>
      </c>
      <c r="T220" s="83" t="s">
        <v>1037</v>
      </c>
    </row>
    <row r="221" spans="1:20" ht="42" hidden="1" x14ac:dyDescent="0.35">
      <c r="A221" s="8" t="s">
        <v>1002</v>
      </c>
      <c r="B221" s="9" t="s">
        <v>348</v>
      </c>
      <c r="C221" s="10" t="s">
        <v>349</v>
      </c>
      <c r="D221" s="10" t="s">
        <v>1064</v>
      </c>
      <c r="E221" s="10" t="s">
        <v>17</v>
      </c>
      <c r="F221" s="10" t="s">
        <v>18</v>
      </c>
      <c r="G221" s="10" t="s">
        <v>1097</v>
      </c>
      <c r="H221" s="10" t="s">
        <v>351</v>
      </c>
      <c r="I221" s="11">
        <v>150000</v>
      </c>
      <c r="J221" s="12"/>
      <c r="K221" s="13"/>
      <c r="L221" s="14"/>
      <c r="M221" s="15">
        <v>150000</v>
      </c>
      <c r="N221" s="14"/>
      <c r="O221" s="13"/>
      <c r="P221" s="16"/>
      <c r="Q221" s="16"/>
      <c r="R221" s="17">
        <f t="shared" si="3"/>
        <v>150000</v>
      </c>
      <c r="S221" s="27">
        <v>0</v>
      </c>
      <c r="T221" s="83" t="s">
        <v>1037</v>
      </c>
    </row>
    <row r="222" spans="1:20" ht="42" hidden="1" x14ac:dyDescent="0.35">
      <c r="A222" s="8" t="s">
        <v>1002</v>
      </c>
      <c r="B222" s="9" t="s">
        <v>348</v>
      </c>
      <c r="C222" s="10" t="s">
        <v>349</v>
      </c>
      <c r="D222" s="10" t="s">
        <v>1064</v>
      </c>
      <c r="E222" s="10" t="s">
        <v>26</v>
      </c>
      <c r="F222" s="10" t="s">
        <v>27</v>
      </c>
      <c r="G222" s="10" t="s">
        <v>1100</v>
      </c>
      <c r="H222" s="10" t="s">
        <v>352</v>
      </c>
      <c r="I222" s="11">
        <v>280000</v>
      </c>
      <c r="J222" s="12"/>
      <c r="K222" s="13"/>
      <c r="L222" s="14"/>
      <c r="M222" s="15">
        <v>280000</v>
      </c>
      <c r="N222" s="14"/>
      <c r="O222" s="13"/>
      <c r="P222" s="16"/>
      <c r="Q222" s="16"/>
      <c r="R222" s="17">
        <f t="shared" si="3"/>
        <v>280000</v>
      </c>
      <c r="S222" s="27">
        <v>0</v>
      </c>
      <c r="T222" s="83" t="s">
        <v>1037</v>
      </c>
    </row>
    <row r="223" spans="1:20" ht="42" hidden="1" x14ac:dyDescent="0.35">
      <c r="A223" s="8" t="s">
        <v>1002</v>
      </c>
      <c r="B223" s="9" t="s">
        <v>348</v>
      </c>
      <c r="C223" s="10" t="s">
        <v>349</v>
      </c>
      <c r="D223" s="10" t="s">
        <v>1064</v>
      </c>
      <c r="E223" s="10" t="s">
        <v>65</v>
      </c>
      <c r="F223" s="10" t="s">
        <v>66</v>
      </c>
      <c r="G223" s="10" t="s">
        <v>1110</v>
      </c>
      <c r="H223" s="10" t="s">
        <v>353</v>
      </c>
      <c r="I223" s="11">
        <v>10000</v>
      </c>
      <c r="J223" s="12"/>
      <c r="K223" s="13"/>
      <c r="L223" s="14"/>
      <c r="M223" s="15">
        <v>10000</v>
      </c>
      <c r="N223" s="14"/>
      <c r="O223" s="13"/>
      <c r="P223" s="16"/>
      <c r="Q223" s="16"/>
      <c r="R223" s="17">
        <f t="shared" si="3"/>
        <v>10000</v>
      </c>
      <c r="S223" s="27">
        <v>0</v>
      </c>
      <c r="T223" s="83" t="s">
        <v>1037</v>
      </c>
    </row>
    <row r="224" spans="1:20" ht="42" hidden="1" x14ac:dyDescent="0.35">
      <c r="A224" s="8" t="s">
        <v>1002</v>
      </c>
      <c r="B224" s="9" t="s">
        <v>348</v>
      </c>
      <c r="C224" s="10" t="s">
        <v>349</v>
      </c>
      <c r="D224" s="10" t="s">
        <v>1064</v>
      </c>
      <c r="E224" s="10" t="s">
        <v>29</v>
      </c>
      <c r="F224" s="10" t="s">
        <v>30</v>
      </c>
      <c r="G224" s="10" t="s">
        <v>1101</v>
      </c>
      <c r="H224" s="10" t="s">
        <v>354</v>
      </c>
      <c r="I224" s="11">
        <v>225000</v>
      </c>
      <c r="J224" s="12"/>
      <c r="K224" s="13"/>
      <c r="L224" s="14"/>
      <c r="M224" s="15">
        <v>225000</v>
      </c>
      <c r="N224" s="14"/>
      <c r="O224" s="13"/>
      <c r="P224" s="16"/>
      <c r="Q224" s="16"/>
      <c r="R224" s="17">
        <f t="shared" si="3"/>
        <v>225000</v>
      </c>
      <c r="S224" s="27">
        <v>0</v>
      </c>
      <c r="T224" s="83" t="s">
        <v>1037</v>
      </c>
    </row>
    <row r="225" spans="1:20" ht="42" hidden="1" x14ac:dyDescent="0.35">
      <c r="A225" s="8" t="s">
        <v>1002</v>
      </c>
      <c r="B225" s="9" t="s">
        <v>348</v>
      </c>
      <c r="C225" s="10" t="s">
        <v>349</v>
      </c>
      <c r="D225" s="10" t="s">
        <v>1064</v>
      </c>
      <c r="E225" s="10" t="s">
        <v>32</v>
      </c>
      <c r="F225" s="10" t="s">
        <v>33</v>
      </c>
      <c r="G225" s="10" t="s">
        <v>1102</v>
      </c>
      <c r="H225" s="10" t="s">
        <v>355</v>
      </c>
      <c r="I225" s="11">
        <v>225000</v>
      </c>
      <c r="J225" s="12"/>
      <c r="K225" s="13"/>
      <c r="L225" s="14"/>
      <c r="M225" s="15">
        <v>225000</v>
      </c>
      <c r="N225" s="14"/>
      <c r="O225" s="13"/>
      <c r="P225" s="16"/>
      <c r="Q225" s="16"/>
      <c r="R225" s="17">
        <f t="shared" si="3"/>
        <v>225000</v>
      </c>
      <c r="S225" s="27">
        <v>0</v>
      </c>
      <c r="T225" s="83" t="s">
        <v>1037</v>
      </c>
    </row>
    <row r="226" spans="1:20" ht="42" hidden="1" x14ac:dyDescent="0.35">
      <c r="A226" s="8" t="s">
        <v>1002</v>
      </c>
      <c r="B226" s="9" t="s">
        <v>348</v>
      </c>
      <c r="C226" s="10" t="s">
        <v>349</v>
      </c>
      <c r="D226" s="10" t="s">
        <v>1064</v>
      </c>
      <c r="E226" s="10" t="s">
        <v>124</v>
      </c>
      <c r="F226" s="10" t="s">
        <v>125</v>
      </c>
      <c r="G226" s="10" t="s">
        <v>1122</v>
      </c>
      <c r="H226" s="10" t="s">
        <v>356</v>
      </c>
      <c r="I226" s="11">
        <v>750000</v>
      </c>
      <c r="J226" s="12"/>
      <c r="K226" s="13"/>
      <c r="L226" s="14"/>
      <c r="M226" s="15">
        <v>750000</v>
      </c>
      <c r="N226" s="14"/>
      <c r="O226" s="13"/>
      <c r="P226" s="16"/>
      <c r="Q226" s="16"/>
      <c r="R226" s="17">
        <f t="shared" si="3"/>
        <v>750000</v>
      </c>
      <c r="S226" s="27">
        <v>0</v>
      </c>
      <c r="T226" s="83" t="s">
        <v>1037</v>
      </c>
    </row>
    <row r="227" spans="1:20" ht="116" x14ac:dyDescent="0.35">
      <c r="A227" s="8" t="s">
        <v>1002</v>
      </c>
      <c r="B227" s="9" t="s">
        <v>348</v>
      </c>
      <c r="C227" s="10" t="s">
        <v>349</v>
      </c>
      <c r="D227" s="10" t="s">
        <v>1064</v>
      </c>
      <c r="E227" s="10" t="s">
        <v>144</v>
      </c>
      <c r="F227" s="10" t="s">
        <v>145</v>
      </c>
      <c r="G227" s="10" t="s">
        <v>1125</v>
      </c>
      <c r="H227" s="10" t="s">
        <v>357</v>
      </c>
      <c r="I227" s="11">
        <v>300000</v>
      </c>
      <c r="J227" s="18">
        <v>40814.400000000001</v>
      </c>
      <c r="K227" s="13"/>
      <c r="L227" s="14"/>
      <c r="M227" s="32">
        <v>259185.6</v>
      </c>
      <c r="N227" s="14"/>
      <c r="O227" s="13"/>
      <c r="P227" s="16"/>
      <c r="Q227" s="100" t="s">
        <v>1191</v>
      </c>
      <c r="R227" s="17">
        <f t="shared" si="3"/>
        <v>259185.6</v>
      </c>
      <c r="S227" s="27">
        <v>0</v>
      </c>
      <c r="T227" s="83" t="s">
        <v>1037</v>
      </c>
    </row>
    <row r="228" spans="1:20" ht="42" hidden="1" x14ac:dyDescent="0.35">
      <c r="A228" s="8" t="s">
        <v>1002</v>
      </c>
      <c r="B228" s="9" t="s">
        <v>348</v>
      </c>
      <c r="C228" s="10" t="s">
        <v>349</v>
      </c>
      <c r="D228" s="10" t="s">
        <v>1064</v>
      </c>
      <c r="E228" s="10" t="s">
        <v>35</v>
      </c>
      <c r="F228" s="10" t="s">
        <v>36</v>
      </c>
      <c r="G228" s="10" t="s">
        <v>1103</v>
      </c>
      <c r="H228" s="10" t="s">
        <v>358</v>
      </c>
      <c r="I228" s="11">
        <v>24000</v>
      </c>
      <c r="J228" s="12"/>
      <c r="K228" s="13"/>
      <c r="L228" s="14"/>
      <c r="M228" s="15">
        <v>24000</v>
      </c>
      <c r="N228" s="14"/>
      <c r="O228" s="13"/>
      <c r="P228" s="16"/>
      <c r="Q228" s="16"/>
      <c r="R228" s="17">
        <f t="shared" si="3"/>
        <v>24000</v>
      </c>
      <c r="S228" s="27">
        <v>0</v>
      </c>
      <c r="T228" s="83" t="s">
        <v>1037</v>
      </c>
    </row>
    <row r="229" spans="1:20" ht="42" hidden="1" x14ac:dyDescent="0.35">
      <c r="A229" s="8" t="s">
        <v>1002</v>
      </c>
      <c r="B229" s="9" t="s">
        <v>348</v>
      </c>
      <c r="C229" s="10" t="s">
        <v>349</v>
      </c>
      <c r="D229" s="10" t="s">
        <v>1064</v>
      </c>
      <c r="E229" s="10" t="s">
        <v>38</v>
      </c>
      <c r="F229" s="10" t="s">
        <v>39</v>
      </c>
      <c r="G229" s="10" t="s">
        <v>1104</v>
      </c>
      <c r="H229" s="10" t="s">
        <v>359</v>
      </c>
      <c r="I229" s="11">
        <v>120000</v>
      </c>
      <c r="J229" s="12"/>
      <c r="K229" s="19">
        <v>6398.78</v>
      </c>
      <c r="L229" s="14"/>
      <c r="M229" s="15">
        <v>113601.22</v>
      </c>
      <c r="N229" s="14"/>
      <c r="O229" s="13"/>
      <c r="P229" s="16"/>
      <c r="Q229" s="16"/>
      <c r="R229" s="17">
        <f t="shared" si="3"/>
        <v>113601.22</v>
      </c>
      <c r="S229" s="27">
        <v>0</v>
      </c>
      <c r="T229" s="83" t="s">
        <v>1037</v>
      </c>
    </row>
    <row r="230" spans="1:20" ht="42" hidden="1" x14ac:dyDescent="0.35">
      <c r="A230" s="8" t="s">
        <v>1002</v>
      </c>
      <c r="B230" s="9" t="s">
        <v>348</v>
      </c>
      <c r="C230" s="10" t="s">
        <v>349</v>
      </c>
      <c r="D230" s="10" t="s">
        <v>1064</v>
      </c>
      <c r="E230" s="10" t="s">
        <v>59</v>
      </c>
      <c r="F230" s="10" t="s">
        <v>60</v>
      </c>
      <c r="G230" s="10" t="s">
        <v>1109</v>
      </c>
      <c r="H230" s="10" t="s">
        <v>360</v>
      </c>
      <c r="I230" s="11">
        <v>15000</v>
      </c>
      <c r="J230" s="12"/>
      <c r="K230" s="13"/>
      <c r="L230" s="14"/>
      <c r="M230" s="15">
        <v>15000</v>
      </c>
      <c r="N230" s="14"/>
      <c r="O230" s="13"/>
      <c r="P230" s="16"/>
      <c r="Q230" s="16"/>
      <c r="R230" s="17">
        <f t="shared" si="3"/>
        <v>15000</v>
      </c>
      <c r="S230" s="27">
        <v>0</v>
      </c>
      <c r="T230" s="83" t="s">
        <v>1037</v>
      </c>
    </row>
    <row r="231" spans="1:20" ht="42" hidden="1" x14ac:dyDescent="0.35">
      <c r="A231" s="8" t="s">
        <v>1002</v>
      </c>
      <c r="B231" s="9" t="s">
        <v>348</v>
      </c>
      <c r="C231" s="10" t="s">
        <v>349</v>
      </c>
      <c r="D231" s="10" t="s">
        <v>1064</v>
      </c>
      <c r="E231" s="10" t="s">
        <v>41</v>
      </c>
      <c r="F231" s="10" t="s">
        <v>42</v>
      </c>
      <c r="G231" s="10" t="s">
        <v>1105</v>
      </c>
      <c r="H231" s="10" t="s">
        <v>361</v>
      </c>
      <c r="I231" s="11">
        <v>225000</v>
      </c>
      <c r="J231" s="12"/>
      <c r="K231" s="13"/>
      <c r="L231" s="14"/>
      <c r="M231" s="15">
        <v>225000</v>
      </c>
      <c r="N231" s="14"/>
      <c r="O231" s="13"/>
      <c r="P231" s="16"/>
      <c r="Q231" s="16"/>
      <c r="R231" s="17">
        <f t="shared" si="3"/>
        <v>225000</v>
      </c>
      <c r="S231" s="27">
        <v>0</v>
      </c>
      <c r="T231" s="83" t="s">
        <v>1037</v>
      </c>
    </row>
    <row r="232" spans="1:20" ht="42" hidden="1" x14ac:dyDescent="0.35">
      <c r="A232" s="8" t="s">
        <v>1002</v>
      </c>
      <c r="B232" s="9" t="s">
        <v>348</v>
      </c>
      <c r="C232" s="10" t="s">
        <v>349</v>
      </c>
      <c r="D232" s="10" t="s">
        <v>1064</v>
      </c>
      <c r="E232" s="10" t="s">
        <v>47</v>
      </c>
      <c r="F232" s="10" t="s">
        <v>48</v>
      </c>
      <c r="G232" s="10" t="s">
        <v>1107</v>
      </c>
      <c r="H232" s="10" t="s">
        <v>362</v>
      </c>
      <c r="I232" s="11">
        <v>100000</v>
      </c>
      <c r="J232" s="12"/>
      <c r="K232" s="13"/>
      <c r="L232" s="14"/>
      <c r="M232" s="15">
        <v>100000</v>
      </c>
      <c r="N232" s="14"/>
      <c r="O232" s="13"/>
      <c r="P232" s="16"/>
      <c r="Q232" s="16"/>
      <c r="R232" s="17">
        <f t="shared" si="3"/>
        <v>100000</v>
      </c>
      <c r="S232" s="27">
        <v>0</v>
      </c>
      <c r="T232" s="83" t="s">
        <v>1037</v>
      </c>
    </row>
    <row r="233" spans="1:20" ht="42" hidden="1" x14ac:dyDescent="0.35">
      <c r="A233" s="8" t="s">
        <v>1002</v>
      </c>
      <c r="B233" s="9" t="s">
        <v>348</v>
      </c>
      <c r="C233" s="10" t="s">
        <v>349</v>
      </c>
      <c r="D233" s="10" t="s">
        <v>1064</v>
      </c>
      <c r="E233" s="10" t="s">
        <v>286</v>
      </c>
      <c r="F233" s="10" t="s">
        <v>287</v>
      </c>
      <c r="G233" s="10" t="s">
        <v>1132</v>
      </c>
      <c r="H233" s="10" t="s">
        <v>363</v>
      </c>
      <c r="I233" s="11">
        <v>120000</v>
      </c>
      <c r="J233" s="12"/>
      <c r="K233" s="13"/>
      <c r="L233" s="14"/>
      <c r="M233" s="15">
        <v>120000</v>
      </c>
      <c r="N233" s="14"/>
      <c r="O233" s="13"/>
      <c r="P233" s="16"/>
      <c r="Q233" s="16"/>
      <c r="R233" s="17">
        <f t="shared" si="3"/>
        <v>120000</v>
      </c>
      <c r="S233" s="27">
        <v>0</v>
      </c>
      <c r="T233" s="83" t="s">
        <v>1037</v>
      </c>
    </row>
    <row r="234" spans="1:20" ht="42" hidden="1" x14ac:dyDescent="0.35">
      <c r="A234" s="8" t="s">
        <v>1002</v>
      </c>
      <c r="B234" s="9" t="s">
        <v>348</v>
      </c>
      <c r="C234" s="10" t="s">
        <v>349</v>
      </c>
      <c r="D234" s="10" t="s">
        <v>1064</v>
      </c>
      <c r="E234" s="10" t="s">
        <v>154</v>
      </c>
      <c r="F234" s="10" t="s">
        <v>155</v>
      </c>
      <c r="G234" s="10" t="s">
        <v>1127</v>
      </c>
      <c r="H234" s="10" t="s">
        <v>364</v>
      </c>
      <c r="I234" s="11">
        <v>40000</v>
      </c>
      <c r="J234" s="18">
        <v>29889.1</v>
      </c>
      <c r="K234" s="13"/>
      <c r="L234" s="14"/>
      <c r="M234" s="15">
        <v>10110.9</v>
      </c>
      <c r="N234" s="14"/>
      <c r="O234" s="13"/>
      <c r="P234" s="16"/>
      <c r="Q234" s="16"/>
      <c r="R234" s="17">
        <f t="shared" si="3"/>
        <v>10110.9</v>
      </c>
      <c r="S234" s="27">
        <v>0</v>
      </c>
      <c r="T234" s="83" t="s">
        <v>1037</v>
      </c>
    </row>
    <row r="235" spans="1:20" ht="42" hidden="1" x14ac:dyDescent="0.35">
      <c r="A235" s="8" t="s">
        <v>1002</v>
      </c>
      <c r="B235" s="9" t="s">
        <v>348</v>
      </c>
      <c r="C235" s="10" t="s">
        <v>349</v>
      </c>
      <c r="D235" s="10" t="s">
        <v>1064</v>
      </c>
      <c r="E235" s="10" t="s">
        <v>160</v>
      </c>
      <c r="F235" s="10" t="s">
        <v>161</v>
      </c>
      <c r="G235" s="10" t="s">
        <v>1129</v>
      </c>
      <c r="H235" s="10" t="s">
        <v>365</v>
      </c>
      <c r="I235" s="11">
        <v>22500</v>
      </c>
      <c r="J235" s="18">
        <v>4195</v>
      </c>
      <c r="K235" s="19">
        <v>0</v>
      </c>
      <c r="L235" s="11">
        <v>0</v>
      </c>
      <c r="M235" s="15">
        <v>18305</v>
      </c>
      <c r="N235" s="14"/>
      <c r="O235" s="13"/>
      <c r="P235" s="16"/>
      <c r="Q235" s="16"/>
      <c r="R235" s="17">
        <f t="shared" si="3"/>
        <v>18305</v>
      </c>
      <c r="S235" s="27">
        <v>0</v>
      </c>
      <c r="T235" s="83" t="s">
        <v>1037</v>
      </c>
    </row>
    <row r="236" spans="1:20" ht="21" hidden="1" x14ac:dyDescent="0.35">
      <c r="A236" s="8" t="s">
        <v>1002</v>
      </c>
      <c r="B236" s="9" t="s">
        <v>366</v>
      </c>
      <c r="C236" s="10" t="s">
        <v>367</v>
      </c>
      <c r="D236" s="10" t="s">
        <v>1065</v>
      </c>
      <c r="E236" s="10" t="s">
        <v>65</v>
      </c>
      <c r="F236" s="10" t="s">
        <v>66</v>
      </c>
      <c r="G236" s="10" t="s">
        <v>1110</v>
      </c>
      <c r="H236" s="10" t="s">
        <v>368</v>
      </c>
      <c r="I236" s="11">
        <v>150000</v>
      </c>
      <c r="J236" s="12"/>
      <c r="K236" s="13"/>
      <c r="L236" s="14"/>
      <c r="M236" s="15">
        <v>150000</v>
      </c>
      <c r="N236" s="14"/>
      <c r="O236" s="13"/>
      <c r="P236" s="16"/>
      <c r="Q236" s="16"/>
      <c r="R236" s="17">
        <f t="shared" si="3"/>
        <v>150000</v>
      </c>
      <c r="S236" s="27">
        <v>0</v>
      </c>
      <c r="T236" s="83" t="s">
        <v>1037</v>
      </c>
    </row>
    <row r="237" spans="1:20" ht="21" hidden="1" x14ac:dyDescent="0.35">
      <c r="A237" s="8" t="s">
        <v>1002</v>
      </c>
      <c r="B237" s="9" t="s">
        <v>366</v>
      </c>
      <c r="C237" s="10" t="s">
        <v>367</v>
      </c>
      <c r="D237" s="10" t="s">
        <v>1065</v>
      </c>
      <c r="E237" s="10" t="s">
        <v>253</v>
      </c>
      <c r="F237" s="10" t="s">
        <v>254</v>
      </c>
      <c r="G237" s="10" t="s">
        <v>1131</v>
      </c>
      <c r="H237" s="10" t="s">
        <v>369</v>
      </c>
      <c r="I237" s="11">
        <v>19350</v>
      </c>
      <c r="J237" s="18">
        <v>825</v>
      </c>
      <c r="K237" s="13"/>
      <c r="L237" s="14"/>
      <c r="M237" s="15">
        <v>18525</v>
      </c>
      <c r="N237" s="14"/>
      <c r="O237" s="13"/>
      <c r="P237" s="16"/>
      <c r="Q237" s="16"/>
      <c r="R237" s="17">
        <f t="shared" si="3"/>
        <v>18525</v>
      </c>
      <c r="S237" s="27">
        <v>0</v>
      </c>
      <c r="T237" s="83" t="s">
        <v>1037</v>
      </c>
    </row>
    <row r="238" spans="1:20" ht="21" hidden="1" x14ac:dyDescent="0.35">
      <c r="A238" s="8" t="s">
        <v>1002</v>
      </c>
      <c r="B238" s="9" t="s">
        <v>366</v>
      </c>
      <c r="C238" s="10" t="s">
        <v>367</v>
      </c>
      <c r="D238" s="10" t="s">
        <v>1065</v>
      </c>
      <c r="E238" s="10" t="s">
        <v>167</v>
      </c>
      <c r="F238" s="10" t="s">
        <v>168</v>
      </c>
      <c r="G238" s="10" t="s">
        <v>1130</v>
      </c>
      <c r="H238" s="10" t="s">
        <v>370</v>
      </c>
      <c r="I238" s="11">
        <v>35630</v>
      </c>
      <c r="J238" s="12"/>
      <c r="K238" s="13"/>
      <c r="L238" s="14"/>
      <c r="M238" s="15">
        <v>35630</v>
      </c>
      <c r="N238" s="14"/>
      <c r="O238" s="13"/>
      <c r="P238" s="16"/>
      <c r="Q238" s="16"/>
      <c r="R238" s="17">
        <f t="shared" si="3"/>
        <v>35630</v>
      </c>
      <c r="S238" s="27">
        <v>0</v>
      </c>
      <c r="T238" s="83" t="s">
        <v>1037</v>
      </c>
    </row>
    <row r="239" spans="1:20" ht="21" hidden="1" x14ac:dyDescent="0.35">
      <c r="A239" s="8" t="s">
        <v>1002</v>
      </c>
      <c r="B239" s="9" t="s">
        <v>366</v>
      </c>
      <c r="C239" s="10" t="s">
        <v>367</v>
      </c>
      <c r="D239" s="10" t="s">
        <v>1065</v>
      </c>
      <c r="E239" s="10" t="s">
        <v>70</v>
      </c>
      <c r="F239" s="10" t="s">
        <v>71</v>
      </c>
      <c r="G239" s="10" t="s">
        <v>1111</v>
      </c>
      <c r="H239" s="10" t="s">
        <v>371</v>
      </c>
      <c r="I239" s="11">
        <v>7590</v>
      </c>
      <c r="J239" s="12"/>
      <c r="K239" s="13"/>
      <c r="L239" s="14"/>
      <c r="M239" s="15">
        <v>7590</v>
      </c>
      <c r="N239" s="14"/>
      <c r="O239" s="13"/>
      <c r="P239" s="16"/>
      <c r="Q239" s="16"/>
      <c r="R239" s="17">
        <f t="shared" si="3"/>
        <v>7590</v>
      </c>
      <c r="S239" s="27">
        <v>0</v>
      </c>
      <c r="T239" s="83" t="s">
        <v>1037</v>
      </c>
    </row>
    <row r="240" spans="1:20" ht="116" x14ac:dyDescent="0.35">
      <c r="A240" s="8" t="s">
        <v>1002</v>
      </c>
      <c r="B240" s="9" t="s">
        <v>366</v>
      </c>
      <c r="C240" s="10" t="s">
        <v>367</v>
      </c>
      <c r="D240" s="10" t="s">
        <v>1065</v>
      </c>
      <c r="E240" s="10" t="s">
        <v>144</v>
      </c>
      <c r="F240" s="10" t="s">
        <v>145</v>
      </c>
      <c r="G240" s="10" t="s">
        <v>1125</v>
      </c>
      <c r="H240" s="10" t="s">
        <v>372</v>
      </c>
      <c r="I240" s="11">
        <v>570000</v>
      </c>
      <c r="J240" s="18">
        <v>29898.67</v>
      </c>
      <c r="K240" s="13"/>
      <c r="L240" s="14"/>
      <c r="M240" s="32">
        <v>540101.32999999996</v>
      </c>
      <c r="N240" s="14"/>
      <c r="O240" s="13"/>
      <c r="P240" s="16"/>
      <c r="Q240" s="100" t="s">
        <v>1191</v>
      </c>
      <c r="R240" s="17">
        <f t="shared" si="3"/>
        <v>540101.32999999996</v>
      </c>
      <c r="S240" s="27">
        <v>0</v>
      </c>
      <c r="T240" s="83" t="s">
        <v>1037</v>
      </c>
    </row>
    <row r="241" spans="1:20" ht="21" hidden="1" x14ac:dyDescent="0.35">
      <c r="A241" s="8" t="s">
        <v>1002</v>
      </c>
      <c r="B241" s="9" t="s">
        <v>366</v>
      </c>
      <c r="C241" s="10" t="s">
        <v>367</v>
      </c>
      <c r="D241" s="10" t="s">
        <v>1065</v>
      </c>
      <c r="E241" s="10" t="s">
        <v>38</v>
      </c>
      <c r="F241" s="10" t="s">
        <v>39</v>
      </c>
      <c r="G241" s="10" t="s">
        <v>1104</v>
      </c>
      <c r="H241" s="10" t="s">
        <v>373</v>
      </c>
      <c r="I241" s="11">
        <v>37650</v>
      </c>
      <c r="J241" s="18">
        <v>12040.74</v>
      </c>
      <c r="K241" s="19">
        <v>8983.82</v>
      </c>
      <c r="L241" s="11">
        <v>1774.06</v>
      </c>
      <c r="M241" s="15">
        <v>14851.38</v>
      </c>
      <c r="N241" s="14"/>
      <c r="O241" s="13"/>
      <c r="P241" s="16"/>
      <c r="Q241" s="16"/>
      <c r="R241" s="17">
        <f t="shared" si="3"/>
        <v>14851.38</v>
      </c>
      <c r="S241" s="27">
        <v>0</v>
      </c>
      <c r="T241" s="83" t="s">
        <v>1037</v>
      </c>
    </row>
    <row r="242" spans="1:20" ht="21" hidden="1" x14ac:dyDescent="0.35">
      <c r="A242" s="8" t="s">
        <v>1002</v>
      </c>
      <c r="B242" s="9" t="s">
        <v>366</v>
      </c>
      <c r="C242" s="10" t="s">
        <v>367</v>
      </c>
      <c r="D242" s="10" t="s">
        <v>1065</v>
      </c>
      <c r="E242" s="10" t="s">
        <v>154</v>
      </c>
      <c r="F242" s="10" t="s">
        <v>155</v>
      </c>
      <c r="G242" s="10" t="s">
        <v>1127</v>
      </c>
      <c r="H242" s="10" t="s">
        <v>374</v>
      </c>
      <c r="I242" s="11">
        <v>600000</v>
      </c>
      <c r="J242" s="18">
        <v>32895.089999999997</v>
      </c>
      <c r="K242" s="13"/>
      <c r="L242" s="14"/>
      <c r="M242" s="15">
        <v>567104.91</v>
      </c>
      <c r="N242" s="14"/>
      <c r="O242" s="13"/>
      <c r="P242" s="16"/>
      <c r="Q242" s="16"/>
      <c r="R242" s="17">
        <f t="shared" si="3"/>
        <v>567104.91</v>
      </c>
      <c r="S242" s="27">
        <v>0</v>
      </c>
      <c r="T242" s="83" t="s">
        <v>1037</v>
      </c>
    </row>
    <row r="243" spans="1:20" ht="21" hidden="1" x14ac:dyDescent="0.35">
      <c r="A243" s="8" t="s">
        <v>1002</v>
      </c>
      <c r="B243" s="9" t="s">
        <v>375</v>
      </c>
      <c r="C243" s="10" t="s">
        <v>376</v>
      </c>
      <c r="D243" s="10" t="s">
        <v>1066</v>
      </c>
      <c r="E243" s="10" t="s">
        <v>124</v>
      </c>
      <c r="F243" s="10" t="s">
        <v>125</v>
      </c>
      <c r="G243" s="10" t="s">
        <v>1122</v>
      </c>
      <c r="H243" s="10" t="s">
        <v>377</v>
      </c>
      <c r="I243" s="11">
        <v>500000</v>
      </c>
      <c r="J243" s="18">
        <v>87286.74</v>
      </c>
      <c r="K243" s="13"/>
      <c r="L243" s="14"/>
      <c r="M243" s="15">
        <v>412713.26</v>
      </c>
      <c r="N243" s="14"/>
      <c r="O243" s="13"/>
      <c r="P243" s="16"/>
      <c r="Q243" s="16"/>
      <c r="R243" s="17">
        <f t="shared" si="3"/>
        <v>412713.26</v>
      </c>
      <c r="S243" s="27">
        <v>0</v>
      </c>
      <c r="T243" s="83" t="s">
        <v>1037</v>
      </c>
    </row>
    <row r="244" spans="1:20" ht="116" x14ac:dyDescent="0.35">
      <c r="A244" s="8" t="s">
        <v>1002</v>
      </c>
      <c r="B244" s="9" t="s">
        <v>375</v>
      </c>
      <c r="C244" s="10" t="s">
        <v>376</v>
      </c>
      <c r="D244" s="10" t="s">
        <v>1066</v>
      </c>
      <c r="E244" s="10" t="s">
        <v>144</v>
      </c>
      <c r="F244" s="10" t="s">
        <v>145</v>
      </c>
      <c r="G244" s="10" t="s">
        <v>1125</v>
      </c>
      <c r="H244" s="10" t="s">
        <v>378</v>
      </c>
      <c r="I244" s="11">
        <v>180000</v>
      </c>
      <c r="J244" s="18">
        <v>36310</v>
      </c>
      <c r="K244" s="13"/>
      <c r="L244" s="14"/>
      <c r="M244" s="32">
        <v>143690</v>
      </c>
      <c r="N244" s="14"/>
      <c r="O244" s="13"/>
      <c r="P244" s="16"/>
      <c r="Q244" s="100" t="s">
        <v>1191</v>
      </c>
      <c r="R244" s="17">
        <f t="shared" si="3"/>
        <v>143690</v>
      </c>
      <c r="S244" s="27">
        <v>0</v>
      </c>
      <c r="T244" s="83" t="s">
        <v>1037</v>
      </c>
    </row>
    <row r="245" spans="1:20" ht="21" hidden="1" x14ac:dyDescent="0.35">
      <c r="A245" s="8" t="s">
        <v>1002</v>
      </c>
      <c r="B245" s="9" t="s">
        <v>375</v>
      </c>
      <c r="C245" s="10" t="s">
        <v>376</v>
      </c>
      <c r="D245" s="10" t="s">
        <v>1066</v>
      </c>
      <c r="E245" s="10" t="s">
        <v>38</v>
      </c>
      <c r="F245" s="10" t="s">
        <v>39</v>
      </c>
      <c r="G245" s="10" t="s">
        <v>1104</v>
      </c>
      <c r="H245" s="10" t="s">
        <v>379</v>
      </c>
      <c r="I245" s="11">
        <v>313605</v>
      </c>
      <c r="J245" s="12"/>
      <c r="K245" s="19">
        <v>0</v>
      </c>
      <c r="L245" s="11">
        <v>35628.1</v>
      </c>
      <c r="M245" s="15">
        <v>277976.90000000002</v>
      </c>
      <c r="N245" s="14"/>
      <c r="O245" s="13"/>
      <c r="P245" s="16"/>
      <c r="Q245" s="16"/>
      <c r="R245" s="17">
        <f t="shared" si="3"/>
        <v>277976.90000000002</v>
      </c>
      <c r="S245" s="27">
        <v>0</v>
      </c>
      <c r="T245" s="83" t="s">
        <v>1037</v>
      </c>
    </row>
    <row r="246" spans="1:20" ht="21" hidden="1" x14ac:dyDescent="0.35">
      <c r="A246" s="8" t="s">
        <v>1002</v>
      </c>
      <c r="B246" s="9" t="s">
        <v>375</v>
      </c>
      <c r="C246" s="10" t="s">
        <v>376</v>
      </c>
      <c r="D246" s="10" t="s">
        <v>1066</v>
      </c>
      <c r="E246" s="10" t="s">
        <v>41</v>
      </c>
      <c r="F246" s="10" t="s">
        <v>42</v>
      </c>
      <c r="G246" s="10" t="s">
        <v>1105</v>
      </c>
      <c r="H246" s="10" t="s">
        <v>380</v>
      </c>
      <c r="I246" s="11">
        <v>20000</v>
      </c>
      <c r="J246" s="18">
        <v>2200</v>
      </c>
      <c r="K246" s="13"/>
      <c r="L246" s="14"/>
      <c r="M246" s="15">
        <v>17800</v>
      </c>
      <c r="N246" s="14"/>
      <c r="O246" s="13"/>
      <c r="P246" s="16"/>
      <c r="Q246" s="16"/>
      <c r="R246" s="17">
        <f t="shared" si="3"/>
        <v>17800</v>
      </c>
      <c r="S246" s="27">
        <v>0</v>
      </c>
      <c r="T246" s="83" t="s">
        <v>1037</v>
      </c>
    </row>
    <row r="247" spans="1:20" ht="21" hidden="1" x14ac:dyDescent="0.35">
      <c r="A247" s="8" t="s">
        <v>1002</v>
      </c>
      <c r="B247" s="9" t="s">
        <v>375</v>
      </c>
      <c r="C247" s="10" t="s">
        <v>376</v>
      </c>
      <c r="D247" s="10" t="s">
        <v>1066</v>
      </c>
      <c r="E247" s="10" t="s">
        <v>151</v>
      </c>
      <c r="F247" s="10" t="s">
        <v>152</v>
      </c>
      <c r="G247" s="10" t="s">
        <v>1126</v>
      </c>
      <c r="H247" s="10" t="s">
        <v>381</v>
      </c>
      <c r="I247" s="11">
        <v>118157</v>
      </c>
      <c r="J247" s="18">
        <v>4093.92</v>
      </c>
      <c r="K247" s="19">
        <v>46480.73</v>
      </c>
      <c r="L247" s="11">
        <v>21900</v>
      </c>
      <c r="M247" s="15">
        <v>45682.35</v>
      </c>
      <c r="N247" s="14"/>
      <c r="O247" s="13"/>
      <c r="P247" s="16"/>
      <c r="Q247" s="16"/>
      <c r="R247" s="17">
        <f t="shared" si="3"/>
        <v>45682.35</v>
      </c>
      <c r="S247" s="27">
        <v>0</v>
      </c>
      <c r="T247" s="83" t="s">
        <v>1037</v>
      </c>
    </row>
    <row r="248" spans="1:20" ht="21" hidden="1" x14ac:dyDescent="0.35">
      <c r="A248" s="8" t="s">
        <v>1002</v>
      </c>
      <c r="B248" s="9" t="s">
        <v>375</v>
      </c>
      <c r="C248" s="10" t="s">
        <v>376</v>
      </c>
      <c r="D248" s="10" t="s">
        <v>1066</v>
      </c>
      <c r="E248" s="10" t="s">
        <v>154</v>
      </c>
      <c r="F248" s="10" t="s">
        <v>155</v>
      </c>
      <c r="G248" s="10" t="s">
        <v>1127</v>
      </c>
      <c r="H248" s="10" t="s">
        <v>382</v>
      </c>
      <c r="I248" s="11">
        <v>40000</v>
      </c>
      <c r="J248" s="12"/>
      <c r="K248" s="13"/>
      <c r="L248" s="14"/>
      <c r="M248" s="15">
        <v>40000</v>
      </c>
      <c r="N248" s="14"/>
      <c r="O248" s="13"/>
      <c r="P248" s="16"/>
      <c r="Q248" s="16"/>
      <c r="R248" s="17">
        <f t="shared" si="3"/>
        <v>40000</v>
      </c>
      <c r="S248" s="27">
        <v>0</v>
      </c>
      <c r="T248" s="83" t="s">
        <v>1037</v>
      </c>
    </row>
    <row r="249" spans="1:20" ht="21" hidden="1" x14ac:dyDescent="0.35">
      <c r="A249" s="8" t="s">
        <v>1002</v>
      </c>
      <c r="B249" s="9" t="s">
        <v>375</v>
      </c>
      <c r="C249" s="10" t="s">
        <v>376</v>
      </c>
      <c r="D249" s="10" t="s">
        <v>1066</v>
      </c>
      <c r="E249" s="10" t="s">
        <v>157</v>
      </c>
      <c r="F249" s="10" t="s">
        <v>158</v>
      </c>
      <c r="G249" s="10" t="s">
        <v>1128</v>
      </c>
      <c r="H249" s="10" t="s">
        <v>383</v>
      </c>
      <c r="I249" s="11">
        <v>16500</v>
      </c>
      <c r="J249" s="12"/>
      <c r="K249" s="19">
        <v>7272.54</v>
      </c>
      <c r="L249" s="11">
        <v>4700</v>
      </c>
      <c r="M249" s="15">
        <v>4527.46</v>
      </c>
      <c r="N249" s="14"/>
      <c r="O249" s="13"/>
      <c r="P249" s="16"/>
      <c r="Q249" s="16"/>
      <c r="R249" s="17">
        <f t="shared" si="3"/>
        <v>4527.46</v>
      </c>
      <c r="S249" s="27">
        <v>0</v>
      </c>
      <c r="T249" s="83" t="s">
        <v>1037</v>
      </c>
    </row>
    <row r="250" spans="1:20" ht="21" hidden="1" x14ac:dyDescent="0.35">
      <c r="A250" s="8" t="s">
        <v>1002</v>
      </c>
      <c r="B250" s="9" t="s">
        <v>384</v>
      </c>
      <c r="C250" s="10" t="s">
        <v>385</v>
      </c>
      <c r="D250" s="10" t="s">
        <v>1067</v>
      </c>
      <c r="E250" s="10" t="s">
        <v>167</v>
      </c>
      <c r="F250" s="10" t="s">
        <v>168</v>
      </c>
      <c r="G250" s="10" t="s">
        <v>1130</v>
      </c>
      <c r="H250" s="10" t="s">
        <v>386</v>
      </c>
      <c r="I250" s="11">
        <v>10000</v>
      </c>
      <c r="J250" s="12"/>
      <c r="K250" s="13"/>
      <c r="L250" s="14"/>
      <c r="M250" s="15">
        <v>10000</v>
      </c>
      <c r="N250" s="14"/>
      <c r="O250" s="13"/>
      <c r="P250" s="16"/>
      <c r="Q250" s="16"/>
      <c r="R250" s="17">
        <f t="shared" si="3"/>
        <v>10000</v>
      </c>
      <c r="S250" s="27">
        <v>0</v>
      </c>
      <c r="T250" s="83" t="s">
        <v>1037</v>
      </c>
    </row>
    <row r="251" spans="1:20" ht="116" x14ac:dyDescent="0.35">
      <c r="A251" s="8" t="s">
        <v>1002</v>
      </c>
      <c r="B251" s="9" t="s">
        <v>384</v>
      </c>
      <c r="C251" s="10" t="s">
        <v>385</v>
      </c>
      <c r="D251" s="10" t="s">
        <v>1067</v>
      </c>
      <c r="E251" s="10" t="s">
        <v>144</v>
      </c>
      <c r="F251" s="10" t="s">
        <v>145</v>
      </c>
      <c r="G251" s="10" t="s">
        <v>1125</v>
      </c>
      <c r="H251" s="10" t="s">
        <v>387</v>
      </c>
      <c r="I251" s="11">
        <v>80000</v>
      </c>
      <c r="J251" s="12"/>
      <c r="K251" s="13"/>
      <c r="L251" s="14"/>
      <c r="M251" s="32">
        <v>80000</v>
      </c>
      <c r="N251" s="14"/>
      <c r="O251" s="13"/>
      <c r="P251" s="16"/>
      <c r="Q251" s="100" t="s">
        <v>1191</v>
      </c>
      <c r="R251" s="17">
        <f t="shared" si="3"/>
        <v>80000</v>
      </c>
      <c r="S251" s="27">
        <v>0</v>
      </c>
      <c r="T251" s="83" t="s">
        <v>1037</v>
      </c>
    </row>
    <row r="252" spans="1:20" ht="21" hidden="1" x14ac:dyDescent="0.35">
      <c r="A252" s="8" t="s">
        <v>1002</v>
      </c>
      <c r="B252" s="9" t="s">
        <v>384</v>
      </c>
      <c r="C252" s="10" t="s">
        <v>385</v>
      </c>
      <c r="D252" s="10" t="s">
        <v>1067</v>
      </c>
      <c r="E252" s="10" t="s">
        <v>35</v>
      </c>
      <c r="F252" s="10" t="s">
        <v>36</v>
      </c>
      <c r="G252" s="10" t="s">
        <v>1103</v>
      </c>
      <c r="H252" s="10" t="s">
        <v>388</v>
      </c>
      <c r="I252" s="11">
        <v>15000</v>
      </c>
      <c r="J252" s="18">
        <v>1800</v>
      </c>
      <c r="K252" s="13"/>
      <c r="L252" s="14"/>
      <c r="M252" s="15">
        <v>13200</v>
      </c>
      <c r="N252" s="14"/>
      <c r="O252" s="13"/>
      <c r="P252" s="16"/>
      <c r="Q252" s="16"/>
      <c r="R252" s="17">
        <f t="shared" si="3"/>
        <v>13200</v>
      </c>
      <c r="S252" s="27">
        <v>0</v>
      </c>
      <c r="T252" s="83" t="s">
        <v>1037</v>
      </c>
    </row>
    <row r="253" spans="1:20" ht="21" hidden="1" x14ac:dyDescent="0.35">
      <c r="A253" s="8" t="s">
        <v>1002</v>
      </c>
      <c r="B253" s="9" t="s">
        <v>384</v>
      </c>
      <c r="C253" s="10" t="s">
        <v>385</v>
      </c>
      <c r="D253" s="10" t="s">
        <v>1067</v>
      </c>
      <c r="E253" s="10" t="s">
        <v>38</v>
      </c>
      <c r="F253" s="10" t="s">
        <v>39</v>
      </c>
      <c r="G253" s="10" t="s">
        <v>1104</v>
      </c>
      <c r="H253" s="10" t="s">
        <v>389</v>
      </c>
      <c r="I253" s="11">
        <v>50000</v>
      </c>
      <c r="J253" s="18">
        <v>119.56</v>
      </c>
      <c r="K253" s="13"/>
      <c r="L253" s="14"/>
      <c r="M253" s="15">
        <v>49880.44</v>
      </c>
      <c r="N253" s="14"/>
      <c r="O253" s="13"/>
      <c r="P253" s="16"/>
      <c r="Q253" s="16"/>
      <c r="R253" s="17">
        <f t="shared" si="3"/>
        <v>49880.44</v>
      </c>
      <c r="S253" s="27">
        <v>0</v>
      </c>
      <c r="T253" s="83" t="s">
        <v>1037</v>
      </c>
    </row>
    <row r="254" spans="1:20" ht="21" hidden="1" x14ac:dyDescent="0.35">
      <c r="A254" s="8" t="s">
        <v>1002</v>
      </c>
      <c r="B254" s="9" t="s">
        <v>384</v>
      </c>
      <c r="C254" s="10" t="s">
        <v>385</v>
      </c>
      <c r="D254" s="10" t="s">
        <v>1067</v>
      </c>
      <c r="E254" s="10" t="s">
        <v>41</v>
      </c>
      <c r="F254" s="10" t="s">
        <v>42</v>
      </c>
      <c r="G254" s="10" t="s">
        <v>1105</v>
      </c>
      <c r="H254" s="10" t="s">
        <v>390</v>
      </c>
      <c r="I254" s="11">
        <v>50000</v>
      </c>
      <c r="J254" s="12"/>
      <c r="K254" s="13"/>
      <c r="L254" s="14"/>
      <c r="M254" s="15">
        <v>50000</v>
      </c>
      <c r="N254" s="14"/>
      <c r="O254" s="13"/>
      <c r="P254" s="16"/>
      <c r="Q254" s="16"/>
      <c r="R254" s="17">
        <f t="shared" si="3"/>
        <v>50000</v>
      </c>
      <c r="S254" s="27">
        <v>0</v>
      </c>
      <c r="T254" s="83" t="s">
        <v>1037</v>
      </c>
    </row>
    <row r="255" spans="1:20" ht="21" hidden="1" x14ac:dyDescent="0.35">
      <c r="A255" s="8" t="s">
        <v>1002</v>
      </c>
      <c r="B255" s="9" t="s">
        <v>384</v>
      </c>
      <c r="C255" s="10" t="s">
        <v>385</v>
      </c>
      <c r="D255" s="10" t="s">
        <v>1067</v>
      </c>
      <c r="E255" s="10" t="s">
        <v>47</v>
      </c>
      <c r="F255" s="10" t="s">
        <v>48</v>
      </c>
      <c r="G255" s="10" t="s">
        <v>1107</v>
      </c>
      <c r="H255" s="10" t="s">
        <v>391</v>
      </c>
      <c r="I255" s="11">
        <v>5000</v>
      </c>
      <c r="J255" s="12"/>
      <c r="K255" s="13"/>
      <c r="L255" s="14"/>
      <c r="M255" s="15">
        <v>5000</v>
      </c>
      <c r="N255" s="14"/>
      <c r="O255" s="13"/>
      <c r="P255" s="16"/>
      <c r="Q255" s="16"/>
      <c r="R255" s="17">
        <f t="shared" si="3"/>
        <v>5000</v>
      </c>
      <c r="S255" s="27">
        <v>0</v>
      </c>
      <c r="T255" s="83" t="s">
        <v>1037</v>
      </c>
    </row>
    <row r="256" spans="1:20" ht="21" hidden="1" x14ac:dyDescent="0.35">
      <c r="A256" s="8" t="s">
        <v>1002</v>
      </c>
      <c r="B256" s="9" t="s">
        <v>384</v>
      </c>
      <c r="C256" s="10" t="s">
        <v>385</v>
      </c>
      <c r="D256" s="10" t="s">
        <v>1067</v>
      </c>
      <c r="E256" s="10" t="s">
        <v>151</v>
      </c>
      <c r="F256" s="10" t="s">
        <v>152</v>
      </c>
      <c r="G256" s="10" t="s">
        <v>1126</v>
      </c>
      <c r="H256" s="10" t="s">
        <v>392</v>
      </c>
      <c r="I256" s="11">
        <v>300000</v>
      </c>
      <c r="J256" s="12"/>
      <c r="K256" s="13"/>
      <c r="L256" s="14"/>
      <c r="M256" s="15">
        <v>300000</v>
      </c>
      <c r="N256" s="14"/>
      <c r="O256" s="13"/>
      <c r="P256" s="16"/>
      <c r="Q256" s="16"/>
      <c r="R256" s="17">
        <f t="shared" si="3"/>
        <v>300000</v>
      </c>
      <c r="S256" s="27">
        <v>0</v>
      </c>
      <c r="T256" s="83" t="s">
        <v>1037</v>
      </c>
    </row>
    <row r="257" spans="1:20" ht="21" hidden="1" x14ac:dyDescent="0.35">
      <c r="A257" s="8" t="s">
        <v>1002</v>
      </c>
      <c r="B257" s="9" t="s">
        <v>384</v>
      </c>
      <c r="C257" s="10" t="s">
        <v>385</v>
      </c>
      <c r="D257" s="10" t="s">
        <v>1067</v>
      </c>
      <c r="E257" s="10" t="s">
        <v>154</v>
      </c>
      <c r="F257" s="10" t="s">
        <v>155</v>
      </c>
      <c r="G257" s="10" t="s">
        <v>1127</v>
      </c>
      <c r="H257" s="10" t="s">
        <v>393</v>
      </c>
      <c r="I257" s="11">
        <v>80000</v>
      </c>
      <c r="J257" s="18">
        <v>25142.2</v>
      </c>
      <c r="K257" s="13"/>
      <c r="L257" s="14"/>
      <c r="M257" s="15">
        <v>54857.8</v>
      </c>
      <c r="N257" s="14"/>
      <c r="O257" s="13"/>
      <c r="P257" s="16"/>
      <c r="Q257" s="16"/>
      <c r="R257" s="17">
        <f t="shared" si="3"/>
        <v>54857.8</v>
      </c>
      <c r="S257" s="27">
        <v>0</v>
      </c>
      <c r="T257" s="83" t="s">
        <v>1037</v>
      </c>
    </row>
    <row r="258" spans="1:20" ht="21" hidden="1" x14ac:dyDescent="0.35">
      <c r="A258" s="8" t="s">
        <v>1002</v>
      </c>
      <c r="B258" s="9" t="s">
        <v>384</v>
      </c>
      <c r="C258" s="10" t="s">
        <v>385</v>
      </c>
      <c r="D258" s="10" t="s">
        <v>1067</v>
      </c>
      <c r="E258" s="10" t="s">
        <v>157</v>
      </c>
      <c r="F258" s="10" t="s">
        <v>158</v>
      </c>
      <c r="G258" s="10" t="s">
        <v>1128</v>
      </c>
      <c r="H258" s="10" t="s">
        <v>394</v>
      </c>
      <c r="I258" s="11">
        <v>675000</v>
      </c>
      <c r="J258" s="18">
        <v>9208.4500000000007</v>
      </c>
      <c r="K258" s="19">
        <v>432250</v>
      </c>
      <c r="L258" s="14"/>
      <c r="M258" s="15">
        <v>233541.55</v>
      </c>
      <c r="N258" s="14"/>
      <c r="O258" s="13"/>
      <c r="P258" s="16"/>
      <c r="Q258" s="16"/>
      <c r="R258" s="17">
        <f t="shared" si="3"/>
        <v>233541.55</v>
      </c>
      <c r="S258" s="27">
        <v>0</v>
      </c>
      <c r="T258" s="83" t="s">
        <v>1037</v>
      </c>
    </row>
    <row r="259" spans="1:20" ht="21" hidden="1" x14ac:dyDescent="0.35">
      <c r="A259" s="8" t="s">
        <v>1002</v>
      </c>
      <c r="B259" s="9" t="s">
        <v>384</v>
      </c>
      <c r="C259" s="10" t="s">
        <v>385</v>
      </c>
      <c r="D259" s="10" t="s">
        <v>1067</v>
      </c>
      <c r="E259" s="10" t="s">
        <v>134</v>
      </c>
      <c r="F259" s="10" t="s">
        <v>135</v>
      </c>
      <c r="G259" s="10" t="s">
        <v>1124</v>
      </c>
      <c r="H259" s="10" t="s">
        <v>395</v>
      </c>
      <c r="I259" s="11">
        <v>5000</v>
      </c>
      <c r="J259" s="12"/>
      <c r="K259" s="13"/>
      <c r="L259" s="14"/>
      <c r="M259" s="15">
        <v>5000</v>
      </c>
      <c r="N259" s="14"/>
      <c r="O259" s="13"/>
      <c r="P259" s="16"/>
      <c r="Q259" s="16"/>
      <c r="R259" s="17">
        <f t="shared" si="3"/>
        <v>5000</v>
      </c>
      <c r="S259" s="27">
        <v>0</v>
      </c>
      <c r="T259" s="83" t="s">
        <v>1037</v>
      </c>
    </row>
    <row r="260" spans="1:20" ht="43.5" hidden="1" x14ac:dyDescent="0.35">
      <c r="A260" s="8" t="s">
        <v>1003</v>
      </c>
      <c r="B260" s="9" t="s">
        <v>396</v>
      </c>
      <c r="C260" s="10" t="s">
        <v>397</v>
      </c>
      <c r="D260" s="10" t="s">
        <v>1068</v>
      </c>
      <c r="E260" s="10" t="s">
        <v>29</v>
      </c>
      <c r="F260" s="10" t="s">
        <v>30</v>
      </c>
      <c r="G260" s="10" t="s">
        <v>1101</v>
      </c>
      <c r="H260" s="10" t="s">
        <v>398</v>
      </c>
      <c r="I260" s="11">
        <v>29519</v>
      </c>
      <c r="J260" s="18">
        <v>3329.25</v>
      </c>
      <c r="K260" s="13"/>
      <c r="L260" s="14"/>
      <c r="M260" s="15">
        <v>26189.75</v>
      </c>
      <c r="N260" s="14"/>
      <c r="O260" s="20">
        <v>26190</v>
      </c>
      <c r="P260" s="21" t="s">
        <v>830</v>
      </c>
      <c r="Q260" s="21"/>
      <c r="R260" s="17">
        <f t="shared" ref="R260:R323" si="4">M260-N260-O260</f>
        <v>-0.25</v>
      </c>
      <c r="S260" s="14"/>
      <c r="T260" s="83" t="s">
        <v>1036</v>
      </c>
    </row>
    <row r="261" spans="1:20" ht="42" hidden="1" x14ac:dyDescent="0.35">
      <c r="A261" s="8" t="s">
        <v>1003</v>
      </c>
      <c r="B261" s="9" t="s">
        <v>396</v>
      </c>
      <c r="C261" s="10" t="s">
        <v>397</v>
      </c>
      <c r="D261" s="10" t="s">
        <v>1068</v>
      </c>
      <c r="E261" s="10" t="s">
        <v>399</v>
      </c>
      <c r="F261" s="10" t="s">
        <v>400</v>
      </c>
      <c r="G261" s="10" t="s">
        <v>1133</v>
      </c>
      <c r="H261" s="10" t="s">
        <v>401</v>
      </c>
      <c r="I261" s="11">
        <v>20000</v>
      </c>
      <c r="J261" s="12"/>
      <c r="K261" s="13"/>
      <c r="L261" s="14"/>
      <c r="M261" s="15">
        <v>20000</v>
      </c>
      <c r="N261" s="14"/>
      <c r="O261" s="13"/>
      <c r="P261" s="16"/>
      <c r="Q261" s="16"/>
      <c r="R261" s="17">
        <f t="shared" si="4"/>
        <v>20000</v>
      </c>
      <c r="S261" s="27" t="s">
        <v>831</v>
      </c>
      <c r="T261" s="83" t="s">
        <v>1036</v>
      </c>
    </row>
    <row r="262" spans="1:20" ht="116" hidden="1" x14ac:dyDescent="0.35">
      <c r="A262" s="8" t="s">
        <v>1003</v>
      </c>
      <c r="B262" s="9" t="s">
        <v>396</v>
      </c>
      <c r="C262" s="10" t="s">
        <v>397</v>
      </c>
      <c r="D262" s="10" t="s">
        <v>1068</v>
      </c>
      <c r="E262" s="10" t="s">
        <v>59</v>
      </c>
      <c r="F262" s="10" t="s">
        <v>60</v>
      </c>
      <c r="G262" s="10" t="s">
        <v>1109</v>
      </c>
      <c r="H262" s="10" t="s">
        <v>402</v>
      </c>
      <c r="I262" s="11">
        <v>42000</v>
      </c>
      <c r="J262" s="12"/>
      <c r="K262" s="19">
        <v>0</v>
      </c>
      <c r="L262" s="11">
        <v>10510</v>
      </c>
      <c r="M262" s="15">
        <v>31490</v>
      </c>
      <c r="N262" s="14"/>
      <c r="O262" s="20">
        <v>31490</v>
      </c>
      <c r="P262" s="22" t="s">
        <v>832</v>
      </c>
      <c r="Q262" s="22"/>
      <c r="R262" s="17">
        <f t="shared" si="4"/>
        <v>0</v>
      </c>
      <c r="S262" s="14"/>
      <c r="T262" s="83" t="s">
        <v>1036</v>
      </c>
    </row>
    <row r="263" spans="1:20" ht="174" hidden="1" x14ac:dyDescent="0.35">
      <c r="A263" s="8" t="s">
        <v>1003</v>
      </c>
      <c r="B263" s="9" t="s">
        <v>396</v>
      </c>
      <c r="C263" s="10" t="s">
        <v>397</v>
      </c>
      <c r="D263" s="10" t="s">
        <v>1068</v>
      </c>
      <c r="E263" s="10" t="s">
        <v>403</v>
      </c>
      <c r="F263" s="10" t="s">
        <v>404</v>
      </c>
      <c r="G263" s="10" t="s">
        <v>1134</v>
      </c>
      <c r="H263" s="10" t="s">
        <v>405</v>
      </c>
      <c r="I263" s="11">
        <v>616900</v>
      </c>
      <c r="J263" s="18">
        <v>212659.97</v>
      </c>
      <c r="K263" s="19">
        <v>87400</v>
      </c>
      <c r="L263" s="11">
        <v>182537.58</v>
      </c>
      <c r="M263" s="15">
        <v>134302.45000000001</v>
      </c>
      <c r="N263" s="23">
        <v>30000</v>
      </c>
      <c r="O263" s="20">
        <v>104302</v>
      </c>
      <c r="P263" s="22" t="s">
        <v>833</v>
      </c>
      <c r="Q263" s="22"/>
      <c r="R263" s="17">
        <f t="shared" si="4"/>
        <v>0.45000000001164153</v>
      </c>
      <c r="S263" s="14"/>
      <c r="T263" s="83" t="s">
        <v>1036</v>
      </c>
    </row>
    <row r="264" spans="1:20" ht="42" hidden="1" x14ac:dyDescent="0.35">
      <c r="A264" s="8" t="s">
        <v>1003</v>
      </c>
      <c r="B264" s="9" t="s">
        <v>396</v>
      </c>
      <c r="C264" s="10" t="s">
        <v>397</v>
      </c>
      <c r="D264" s="10" t="s">
        <v>1068</v>
      </c>
      <c r="E264" s="10" t="s">
        <v>403</v>
      </c>
      <c r="F264" s="10" t="s">
        <v>404</v>
      </c>
      <c r="G264" s="10" t="s">
        <v>1134</v>
      </c>
      <c r="H264" s="10" t="s">
        <v>406</v>
      </c>
      <c r="I264" s="11">
        <v>23100</v>
      </c>
      <c r="J264" s="12"/>
      <c r="K264" s="13"/>
      <c r="L264" s="11">
        <v>23100</v>
      </c>
      <c r="M264" s="15">
        <v>0</v>
      </c>
      <c r="N264" s="14"/>
      <c r="O264" s="13"/>
      <c r="P264" s="16"/>
      <c r="Q264" s="16"/>
      <c r="R264" s="17">
        <f t="shared" si="4"/>
        <v>0</v>
      </c>
      <c r="S264" s="14"/>
      <c r="T264" s="83" t="s">
        <v>1036</v>
      </c>
    </row>
    <row r="265" spans="1:20" ht="31.5" hidden="1" x14ac:dyDescent="0.35">
      <c r="A265" s="8" t="s">
        <v>1003</v>
      </c>
      <c r="B265" s="9" t="s">
        <v>407</v>
      </c>
      <c r="C265" s="10" t="s">
        <v>408</v>
      </c>
      <c r="D265" s="10" t="s">
        <v>1069</v>
      </c>
      <c r="E265" s="10" t="s">
        <v>409</v>
      </c>
      <c r="F265" s="10" t="s">
        <v>410</v>
      </c>
      <c r="G265" s="10" t="s">
        <v>1135</v>
      </c>
      <c r="H265" s="10" t="s">
        <v>411</v>
      </c>
      <c r="I265" s="11">
        <v>4056439</v>
      </c>
      <c r="J265" s="18">
        <v>1465947.25</v>
      </c>
      <c r="K265" s="19">
        <v>84900</v>
      </c>
      <c r="L265" s="11">
        <v>2480409.84</v>
      </c>
      <c r="M265" s="15">
        <v>25181.910000000102</v>
      </c>
      <c r="N265" s="24">
        <v>10000</v>
      </c>
      <c r="O265" s="25">
        <v>15182</v>
      </c>
      <c r="P265" s="26" t="s">
        <v>835</v>
      </c>
      <c r="Q265" s="26"/>
      <c r="R265" s="17">
        <f t="shared" si="4"/>
        <v>-8.9999999898282113E-2</v>
      </c>
      <c r="S265" s="14"/>
      <c r="T265" s="83" t="s">
        <v>1036</v>
      </c>
    </row>
    <row r="266" spans="1:20" ht="31.5" hidden="1" x14ac:dyDescent="0.35">
      <c r="A266" s="8" t="s">
        <v>1003</v>
      </c>
      <c r="B266" s="9" t="s">
        <v>407</v>
      </c>
      <c r="C266" s="10" t="s">
        <v>408</v>
      </c>
      <c r="D266" s="10" t="s">
        <v>1069</v>
      </c>
      <c r="E266" s="10" t="s">
        <v>409</v>
      </c>
      <c r="F266" s="10" t="s">
        <v>410</v>
      </c>
      <c r="G266" s="10" t="s">
        <v>1135</v>
      </c>
      <c r="H266" s="10" t="s">
        <v>412</v>
      </c>
      <c r="I266" s="11">
        <v>747242</v>
      </c>
      <c r="J266" s="18">
        <v>403891.03</v>
      </c>
      <c r="K266" s="19">
        <v>0</v>
      </c>
      <c r="L266" s="11">
        <v>343350.97</v>
      </c>
      <c r="M266" s="15">
        <v>0</v>
      </c>
      <c r="N266" s="27"/>
      <c r="O266" s="25"/>
      <c r="P266" s="26"/>
      <c r="Q266" s="26"/>
      <c r="R266" s="17">
        <f t="shared" si="4"/>
        <v>0</v>
      </c>
      <c r="S266" s="14"/>
      <c r="T266" s="83" t="s">
        <v>1036</v>
      </c>
    </row>
    <row r="267" spans="1:20" ht="31.5" hidden="1" x14ac:dyDescent="0.35">
      <c r="A267" s="8" t="s">
        <v>1003</v>
      </c>
      <c r="B267" s="9" t="s">
        <v>407</v>
      </c>
      <c r="C267" s="10" t="s">
        <v>408</v>
      </c>
      <c r="D267" s="10" t="s">
        <v>1069</v>
      </c>
      <c r="E267" s="10" t="s">
        <v>409</v>
      </c>
      <c r="F267" s="10" t="s">
        <v>410</v>
      </c>
      <c r="G267" s="10" t="s">
        <v>1135</v>
      </c>
      <c r="H267" s="10" t="s">
        <v>413</v>
      </c>
      <c r="I267" s="11">
        <v>4364107</v>
      </c>
      <c r="J267" s="18">
        <v>1666659.12</v>
      </c>
      <c r="K267" s="19">
        <v>245882</v>
      </c>
      <c r="L267" s="11">
        <v>2435336.6</v>
      </c>
      <c r="M267" s="15">
        <v>16229.279999999801</v>
      </c>
      <c r="N267" s="27"/>
      <c r="O267" s="25">
        <v>16229</v>
      </c>
      <c r="P267" s="26" t="s">
        <v>835</v>
      </c>
      <c r="Q267" s="26"/>
      <c r="R267" s="17">
        <f t="shared" si="4"/>
        <v>0.279999999800566</v>
      </c>
      <c r="S267" s="14"/>
      <c r="T267" s="83" t="s">
        <v>1036</v>
      </c>
    </row>
    <row r="268" spans="1:20" ht="31.5" hidden="1" x14ac:dyDescent="0.35">
      <c r="A268" s="8" t="s">
        <v>1003</v>
      </c>
      <c r="B268" s="9" t="s">
        <v>407</v>
      </c>
      <c r="C268" s="10" t="s">
        <v>408</v>
      </c>
      <c r="D268" s="10" t="s">
        <v>1069</v>
      </c>
      <c r="E268" s="10" t="s">
        <v>23</v>
      </c>
      <c r="F268" s="10" t="s">
        <v>24</v>
      </c>
      <c r="G268" s="10" t="s">
        <v>1099</v>
      </c>
      <c r="H268" s="10" t="s">
        <v>414</v>
      </c>
      <c r="I268" s="11">
        <v>850000</v>
      </c>
      <c r="J268" s="12"/>
      <c r="K268" s="19">
        <v>0</v>
      </c>
      <c r="L268" s="11">
        <v>850000</v>
      </c>
      <c r="M268" s="15">
        <v>0</v>
      </c>
      <c r="N268" s="27"/>
      <c r="O268" s="25"/>
      <c r="P268" s="26"/>
      <c r="Q268" s="26"/>
      <c r="R268" s="17">
        <f t="shared" si="4"/>
        <v>0</v>
      </c>
      <c r="S268" s="14"/>
      <c r="T268" s="83" t="s">
        <v>1036</v>
      </c>
    </row>
    <row r="269" spans="1:20" ht="31.5" hidden="1" x14ac:dyDescent="0.35">
      <c r="A269" s="8" t="s">
        <v>1003</v>
      </c>
      <c r="B269" s="9" t="s">
        <v>407</v>
      </c>
      <c r="C269" s="10" t="s">
        <v>408</v>
      </c>
      <c r="D269" s="10" t="s">
        <v>1069</v>
      </c>
      <c r="E269" s="10" t="s">
        <v>415</v>
      </c>
      <c r="F269" s="10" t="s">
        <v>416</v>
      </c>
      <c r="G269" s="10" t="s">
        <v>1136</v>
      </c>
      <c r="H269" s="10" t="s">
        <v>417</v>
      </c>
      <c r="I269" s="14"/>
      <c r="J269" s="18">
        <v>-28032</v>
      </c>
      <c r="K269" s="13"/>
      <c r="L269" s="14"/>
      <c r="M269" s="15">
        <v>28032</v>
      </c>
      <c r="N269" s="27"/>
      <c r="O269" s="25">
        <v>28032</v>
      </c>
      <c r="P269" s="26" t="s">
        <v>836</v>
      </c>
      <c r="Q269" s="26"/>
      <c r="R269" s="17">
        <f t="shared" si="4"/>
        <v>0</v>
      </c>
      <c r="S269" s="68" t="s">
        <v>847</v>
      </c>
      <c r="T269" s="83" t="s">
        <v>1036</v>
      </c>
    </row>
    <row r="270" spans="1:20" ht="31.5" hidden="1" x14ac:dyDescent="0.35">
      <c r="A270" s="8" t="s">
        <v>1003</v>
      </c>
      <c r="B270" s="9" t="s">
        <v>407</v>
      </c>
      <c r="C270" s="10" t="s">
        <v>408</v>
      </c>
      <c r="D270" s="10" t="s">
        <v>1069</v>
      </c>
      <c r="E270" s="10" t="s">
        <v>418</v>
      </c>
      <c r="F270" s="10" t="s">
        <v>419</v>
      </c>
      <c r="G270" s="10" t="s">
        <v>1137</v>
      </c>
      <c r="H270" s="10" t="s">
        <v>420</v>
      </c>
      <c r="I270" s="11">
        <v>3948261</v>
      </c>
      <c r="J270" s="18">
        <v>1289661.42</v>
      </c>
      <c r="K270" s="19">
        <v>2478000</v>
      </c>
      <c r="L270" s="11">
        <v>0</v>
      </c>
      <c r="M270" s="15">
        <v>180599.58</v>
      </c>
      <c r="N270" s="27"/>
      <c r="O270" s="25">
        <v>180599.58</v>
      </c>
      <c r="P270" s="26" t="s">
        <v>836</v>
      </c>
      <c r="Q270" s="26"/>
      <c r="R270" s="17">
        <f t="shared" si="4"/>
        <v>0</v>
      </c>
      <c r="S270" s="68" t="s">
        <v>847</v>
      </c>
      <c r="T270" s="83" t="s">
        <v>1036</v>
      </c>
    </row>
    <row r="271" spans="1:20" ht="31.5" hidden="1" x14ac:dyDescent="0.35">
      <c r="A271" s="8" t="s">
        <v>1003</v>
      </c>
      <c r="B271" s="9" t="s">
        <v>407</v>
      </c>
      <c r="C271" s="10" t="s">
        <v>408</v>
      </c>
      <c r="D271" s="10" t="s">
        <v>1069</v>
      </c>
      <c r="E271" s="10" t="s">
        <v>418</v>
      </c>
      <c r="F271" s="10" t="s">
        <v>419</v>
      </c>
      <c r="G271" s="10" t="s">
        <v>1137</v>
      </c>
      <c r="H271" s="10" t="s">
        <v>421</v>
      </c>
      <c r="I271" s="11">
        <v>2543480</v>
      </c>
      <c r="J271" s="18">
        <v>795109.05</v>
      </c>
      <c r="K271" s="19">
        <v>1634640</v>
      </c>
      <c r="L271" s="11">
        <v>23269.48</v>
      </c>
      <c r="M271" s="15">
        <v>90461.469999999696</v>
      </c>
      <c r="N271" s="27"/>
      <c r="O271" s="25">
        <v>90461.469999999696</v>
      </c>
      <c r="P271" s="26" t="s">
        <v>836</v>
      </c>
      <c r="Q271" s="26"/>
      <c r="R271" s="17">
        <f t="shared" si="4"/>
        <v>0</v>
      </c>
      <c r="S271" s="68" t="s">
        <v>847</v>
      </c>
      <c r="T271" s="83" t="s">
        <v>1036</v>
      </c>
    </row>
    <row r="272" spans="1:20" ht="31.5" hidden="1" x14ac:dyDescent="0.35">
      <c r="A272" s="8" t="s">
        <v>1003</v>
      </c>
      <c r="B272" s="9" t="s">
        <v>407</v>
      </c>
      <c r="C272" s="10" t="s">
        <v>408</v>
      </c>
      <c r="D272" s="10" t="s">
        <v>1069</v>
      </c>
      <c r="E272" s="10" t="s">
        <v>418</v>
      </c>
      <c r="F272" s="10" t="s">
        <v>419</v>
      </c>
      <c r="G272" s="10" t="s">
        <v>1137</v>
      </c>
      <c r="H272" s="10" t="s">
        <v>422</v>
      </c>
      <c r="I272" s="11">
        <v>2155720</v>
      </c>
      <c r="J272" s="18">
        <v>470781.74</v>
      </c>
      <c r="K272" s="19">
        <v>1385720</v>
      </c>
      <c r="L272" s="11">
        <v>161217.89000000001</v>
      </c>
      <c r="M272" s="15">
        <v>138000.37</v>
      </c>
      <c r="N272" s="27"/>
      <c r="O272" s="25">
        <v>138000.37</v>
      </c>
      <c r="P272" s="26" t="s">
        <v>836</v>
      </c>
      <c r="Q272" s="26"/>
      <c r="R272" s="17">
        <f t="shared" si="4"/>
        <v>0</v>
      </c>
      <c r="S272" s="68" t="s">
        <v>847</v>
      </c>
      <c r="T272" s="83" t="s">
        <v>1036</v>
      </c>
    </row>
    <row r="273" spans="1:20" ht="31.5" hidden="1" x14ac:dyDescent="0.35">
      <c r="A273" s="8" t="s">
        <v>1003</v>
      </c>
      <c r="B273" s="9" t="s">
        <v>407</v>
      </c>
      <c r="C273" s="10" t="s">
        <v>408</v>
      </c>
      <c r="D273" s="10" t="s">
        <v>1069</v>
      </c>
      <c r="E273" s="10" t="s">
        <v>418</v>
      </c>
      <c r="F273" s="10" t="s">
        <v>419</v>
      </c>
      <c r="G273" s="10" t="s">
        <v>1137</v>
      </c>
      <c r="H273" s="10" t="s">
        <v>423</v>
      </c>
      <c r="I273" s="11">
        <v>635219</v>
      </c>
      <c r="J273" s="18">
        <v>413460.88</v>
      </c>
      <c r="K273" s="13"/>
      <c r="L273" s="14"/>
      <c r="M273" s="15">
        <v>221758.12</v>
      </c>
      <c r="N273" s="25">
        <v>110879</v>
      </c>
      <c r="O273" s="25">
        <v>110879</v>
      </c>
      <c r="P273" s="26" t="s">
        <v>837</v>
      </c>
      <c r="Q273" s="26"/>
      <c r="R273" s="17">
        <f t="shared" si="4"/>
        <v>0.11999999999534339</v>
      </c>
      <c r="S273" s="68"/>
      <c r="T273" s="83" t="s">
        <v>1036</v>
      </c>
    </row>
    <row r="274" spans="1:20" ht="31.5" hidden="1" x14ac:dyDescent="0.35">
      <c r="A274" s="8" t="s">
        <v>1003</v>
      </c>
      <c r="B274" s="9" t="s">
        <v>407</v>
      </c>
      <c r="C274" s="10" t="s">
        <v>408</v>
      </c>
      <c r="D274" s="10" t="s">
        <v>1069</v>
      </c>
      <c r="E274" s="10" t="s">
        <v>26</v>
      </c>
      <c r="F274" s="10" t="s">
        <v>27</v>
      </c>
      <c r="G274" s="10" t="s">
        <v>1100</v>
      </c>
      <c r="H274" s="10" t="s">
        <v>424</v>
      </c>
      <c r="I274" s="11">
        <v>263000</v>
      </c>
      <c r="J274" s="12"/>
      <c r="K274" s="19">
        <v>0</v>
      </c>
      <c r="L274" s="11">
        <v>231000</v>
      </c>
      <c r="M274" s="15">
        <v>32000</v>
      </c>
      <c r="N274" s="25">
        <v>16000</v>
      </c>
      <c r="O274" s="25">
        <v>16000</v>
      </c>
      <c r="P274" s="26" t="s">
        <v>838</v>
      </c>
      <c r="Q274" s="26"/>
      <c r="R274" s="17">
        <f t="shared" si="4"/>
        <v>0</v>
      </c>
      <c r="S274" s="68"/>
      <c r="T274" s="83" t="s">
        <v>1036</v>
      </c>
    </row>
    <row r="275" spans="1:20" ht="31.5" hidden="1" x14ac:dyDescent="0.35">
      <c r="A275" s="8" t="s">
        <v>1003</v>
      </c>
      <c r="B275" s="9" t="s">
        <v>407</v>
      </c>
      <c r="C275" s="10" t="s">
        <v>408</v>
      </c>
      <c r="D275" s="10" t="s">
        <v>1069</v>
      </c>
      <c r="E275" s="10" t="s">
        <v>29</v>
      </c>
      <c r="F275" s="10" t="s">
        <v>30</v>
      </c>
      <c r="G275" s="10" t="s">
        <v>1101</v>
      </c>
      <c r="H275" s="10" t="s">
        <v>425</v>
      </c>
      <c r="I275" s="11">
        <v>20000</v>
      </c>
      <c r="J275" s="12"/>
      <c r="K275" s="13"/>
      <c r="L275" s="14"/>
      <c r="M275" s="15">
        <v>20000</v>
      </c>
      <c r="N275" s="25">
        <v>10000</v>
      </c>
      <c r="O275" s="25">
        <v>10000</v>
      </c>
      <c r="P275" s="26" t="s">
        <v>839</v>
      </c>
      <c r="Q275" s="26"/>
      <c r="R275" s="17">
        <f t="shared" si="4"/>
        <v>0</v>
      </c>
      <c r="S275" s="68"/>
      <c r="T275" s="83" t="s">
        <v>1036</v>
      </c>
    </row>
    <row r="276" spans="1:20" ht="31.5" hidden="1" x14ac:dyDescent="0.35">
      <c r="A276" s="8" t="s">
        <v>1003</v>
      </c>
      <c r="B276" s="9" t="s">
        <v>407</v>
      </c>
      <c r="C276" s="10" t="s">
        <v>408</v>
      </c>
      <c r="D276" s="10" t="s">
        <v>1069</v>
      </c>
      <c r="E276" s="10" t="s">
        <v>35</v>
      </c>
      <c r="F276" s="10" t="s">
        <v>36</v>
      </c>
      <c r="G276" s="10" t="s">
        <v>1103</v>
      </c>
      <c r="H276" s="10" t="s">
        <v>426</v>
      </c>
      <c r="I276" s="11">
        <v>30000</v>
      </c>
      <c r="J276" s="12"/>
      <c r="K276" s="13"/>
      <c r="L276" s="14"/>
      <c r="M276" s="15">
        <v>30000</v>
      </c>
      <c r="N276" s="25">
        <v>12000</v>
      </c>
      <c r="O276" s="25">
        <v>18000</v>
      </c>
      <c r="P276" s="26" t="s">
        <v>840</v>
      </c>
      <c r="Q276" s="26"/>
      <c r="R276" s="17">
        <f t="shared" si="4"/>
        <v>0</v>
      </c>
      <c r="S276" s="68"/>
      <c r="T276" s="83" t="s">
        <v>1036</v>
      </c>
    </row>
    <row r="277" spans="1:20" ht="31.5" hidden="1" x14ac:dyDescent="0.35">
      <c r="A277" s="8" t="s">
        <v>1003</v>
      </c>
      <c r="B277" s="9" t="s">
        <v>407</v>
      </c>
      <c r="C277" s="10" t="s">
        <v>408</v>
      </c>
      <c r="D277" s="10" t="s">
        <v>1069</v>
      </c>
      <c r="E277" s="10" t="s">
        <v>427</v>
      </c>
      <c r="F277" s="10" t="s">
        <v>428</v>
      </c>
      <c r="G277" s="10" t="s">
        <v>1138</v>
      </c>
      <c r="H277" s="10" t="s">
        <v>429</v>
      </c>
      <c r="I277" s="11">
        <v>960437</v>
      </c>
      <c r="J277" s="18">
        <v>44981.51</v>
      </c>
      <c r="K277" s="13"/>
      <c r="L277" s="14"/>
      <c r="M277" s="15">
        <v>915455.49</v>
      </c>
      <c r="N277" s="25">
        <v>915455</v>
      </c>
      <c r="O277" s="25"/>
      <c r="P277" s="26" t="s">
        <v>841</v>
      </c>
      <c r="Q277" s="26"/>
      <c r="R277" s="17">
        <f t="shared" si="4"/>
        <v>0.48999999999068677</v>
      </c>
      <c r="S277" s="68"/>
      <c r="T277" s="83" t="s">
        <v>1036</v>
      </c>
    </row>
    <row r="278" spans="1:20" ht="31.5" hidden="1" x14ac:dyDescent="0.35">
      <c r="A278" s="8" t="s">
        <v>1003</v>
      </c>
      <c r="B278" s="9" t="s">
        <v>407</v>
      </c>
      <c r="C278" s="10" t="s">
        <v>408</v>
      </c>
      <c r="D278" s="10" t="s">
        <v>1069</v>
      </c>
      <c r="E278" s="10" t="s">
        <v>427</v>
      </c>
      <c r="F278" s="10" t="s">
        <v>428</v>
      </c>
      <c r="G278" s="10" t="s">
        <v>1138</v>
      </c>
      <c r="H278" s="10" t="s">
        <v>430</v>
      </c>
      <c r="I278" s="11">
        <v>23714</v>
      </c>
      <c r="J278" s="12"/>
      <c r="K278" s="13"/>
      <c r="L278" s="14"/>
      <c r="M278" s="15">
        <v>23714</v>
      </c>
      <c r="N278" s="25">
        <v>23714</v>
      </c>
      <c r="O278" s="25"/>
      <c r="P278" s="26" t="s">
        <v>841</v>
      </c>
      <c r="Q278" s="26"/>
      <c r="R278" s="17">
        <f t="shared" si="4"/>
        <v>0</v>
      </c>
      <c r="S278" s="69"/>
      <c r="T278" s="83" t="s">
        <v>1036</v>
      </c>
    </row>
    <row r="279" spans="1:20" ht="31.5" hidden="1" x14ac:dyDescent="0.35">
      <c r="A279" s="8" t="s">
        <v>1003</v>
      </c>
      <c r="B279" s="9" t="s">
        <v>407</v>
      </c>
      <c r="C279" s="10" t="s">
        <v>408</v>
      </c>
      <c r="D279" s="10" t="s">
        <v>1069</v>
      </c>
      <c r="E279" s="10" t="s">
        <v>431</v>
      </c>
      <c r="F279" s="10" t="s">
        <v>432</v>
      </c>
      <c r="G279" s="10" t="s">
        <v>1139</v>
      </c>
      <c r="H279" s="10" t="s">
        <v>433</v>
      </c>
      <c r="I279" s="11">
        <v>50000</v>
      </c>
      <c r="J279" s="18">
        <v>14718</v>
      </c>
      <c r="K279" s="13"/>
      <c r="L279" s="14"/>
      <c r="M279" s="15">
        <v>35282</v>
      </c>
      <c r="N279" s="25">
        <v>15000</v>
      </c>
      <c r="O279" s="25"/>
      <c r="P279" s="26" t="s">
        <v>842</v>
      </c>
      <c r="Q279" s="26"/>
      <c r="R279" s="17">
        <f t="shared" si="4"/>
        <v>20282</v>
      </c>
      <c r="S279" s="70" t="s">
        <v>848</v>
      </c>
      <c r="T279" s="83" t="s">
        <v>1036</v>
      </c>
    </row>
    <row r="280" spans="1:20" ht="31.5" hidden="1" x14ac:dyDescent="0.35">
      <c r="A280" s="8" t="s">
        <v>1003</v>
      </c>
      <c r="B280" s="9" t="s">
        <v>407</v>
      </c>
      <c r="C280" s="10" t="s">
        <v>408</v>
      </c>
      <c r="D280" s="10" t="s">
        <v>1069</v>
      </c>
      <c r="E280" s="10" t="s">
        <v>41</v>
      </c>
      <c r="F280" s="10" t="s">
        <v>42</v>
      </c>
      <c r="G280" s="10" t="s">
        <v>1105</v>
      </c>
      <c r="H280" s="10" t="s">
        <v>434</v>
      </c>
      <c r="I280" s="11">
        <v>50000</v>
      </c>
      <c r="J280" s="12"/>
      <c r="K280" s="13"/>
      <c r="L280" s="14"/>
      <c r="M280" s="15">
        <v>50000</v>
      </c>
      <c r="N280" s="25"/>
      <c r="O280" s="25">
        <v>50000</v>
      </c>
      <c r="P280" s="26" t="s">
        <v>840</v>
      </c>
      <c r="Q280" s="26"/>
      <c r="R280" s="17">
        <f t="shared" si="4"/>
        <v>0</v>
      </c>
      <c r="S280" s="68"/>
      <c r="T280" s="83" t="s">
        <v>1036</v>
      </c>
    </row>
    <row r="281" spans="1:20" ht="31.5" hidden="1" x14ac:dyDescent="0.35">
      <c r="A281" s="8" t="s">
        <v>1003</v>
      </c>
      <c r="B281" s="9" t="s">
        <v>407</v>
      </c>
      <c r="C281" s="10" t="s">
        <v>408</v>
      </c>
      <c r="D281" s="10" t="s">
        <v>1069</v>
      </c>
      <c r="E281" s="10" t="s">
        <v>435</v>
      </c>
      <c r="F281" s="10" t="s">
        <v>436</v>
      </c>
      <c r="G281" s="10" t="s">
        <v>1140</v>
      </c>
      <c r="H281" s="10" t="s">
        <v>437</v>
      </c>
      <c r="I281" s="11">
        <v>200211</v>
      </c>
      <c r="J281" s="18">
        <v>199212.79999999999</v>
      </c>
      <c r="K281" s="13"/>
      <c r="L281" s="14"/>
      <c r="M281" s="15">
        <v>998.19999999998299</v>
      </c>
      <c r="N281" s="25"/>
      <c r="O281" s="25"/>
      <c r="P281" s="26"/>
      <c r="Q281" s="26"/>
      <c r="R281" s="17">
        <f t="shared" si="4"/>
        <v>998.19999999998299</v>
      </c>
      <c r="S281" s="68"/>
      <c r="T281" s="83" t="s">
        <v>1036</v>
      </c>
    </row>
    <row r="282" spans="1:20" ht="31.5" hidden="1" x14ac:dyDescent="0.35">
      <c r="A282" s="8" t="s">
        <v>1003</v>
      </c>
      <c r="B282" s="9" t="s">
        <v>407</v>
      </c>
      <c r="C282" s="10" t="s">
        <v>408</v>
      </c>
      <c r="D282" s="10" t="s">
        <v>1069</v>
      </c>
      <c r="E282" s="10" t="s">
        <v>438</v>
      </c>
      <c r="F282" s="10" t="s">
        <v>439</v>
      </c>
      <c r="G282" s="10" t="s">
        <v>1141</v>
      </c>
      <c r="H282" s="10" t="s">
        <v>440</v>
      </c>
      <c r="I282" s="11">
        <v>11446037</v>
      </c>
      <c r="J282" s="18">
        <v>3209297.03</v>
      </c>
      <c r="K282" s="19">
        <v>439431</v>
      </c>
      <c r="L282" s="11">
        <v>7495917.6399999997</v>
      </c>
      <c r="M282" s="15">
        <v>301391.33</v>
      </c>
      <c r="N282" s="25">
        <v>128195</v>
      </c>
      <c r="O282" s="25">
        <v>173196</v>
      </c>
      <c r="P282" s="26" t="s">
        <v>843</v>
      </c>
      <c r="Q282" s="26"/>
      <c r="R282" s="17">
        <f t="shared" si="4"/>
        <v>0.33000000001629815</v>
      </c>
      <c r="S282" s="68"/>
      <c r="T282" s="83" t="s">
        <v>1036</v>
      </c>
    </row>
    <row r="283" spans="1:20" ht="31.5" hidden="1" x14ac:dyDescent="0.35">
      <c r="A283" s="8" t="s">
        <v>1003</v>
      </c>
      <c r="B283" s="9" t="s">
        <v>407</v>
      </c>
      <c r="C283" s="10" t="s">
        <v>408</v>
      </c>
      <c r="D283" s="10" t="s">
        <v>1069</v>
      </c>
      <c r="E283" s="10" t="s">
        <v>438</v>
      </c>
      <c r="F283" s="10" t="s">
        <v>439</v>
      </c>
      <c r="G283" s="10" t="s">
        <v>1141</v>
      </c>
      <c r="H283" s="10" t="s">
        <v>441</v>
      </c>
      <c r="I283" s="11">
        <v>5071140</v>
      </c>
      <c r="J283" s="18">
        <v>899276.15</v>
      </c>
      <c r="K283" s="19">
        <v>0</v>
      </c>
      <c r="L283" s="11">
        <v>3843546.59</v>
      </c>
      <c r="M283" s="15">
        <v>328317.260000001</v>
      </c>
      <c r="N283" s="25">
        <v>116659</v>
      </c>
      <c r="O283" s="25">
        <v>211658</v>
      </c>
      <c r="P283" s="26" t="s">
        <v>843</v>
      </c>
      <c r="Q283" s="26"/>
      <c r="R283" s="17">
        <f t="shared" si="4"/>
        <v>0.26000000099884346</v>
      </c>
      <c r="S283" s="68"/>
      <c r="T283" s="83" t="s">
        <v>1036</v>
      </c>
    </row>
    <row r="284" spans="1:20" ht="31.5" hidden="1" x14ac:dyDescent="0.35">
      <c r="A284" s="8" t="s">
        <v>1003</v>
      </c>
      <c r="B284" s="9" t="s">
        <v>407</v>
      </c>
      <c r="C284" s="10" t="s">
        <v>408</v>
      </c>
      <c r="D284" s="10" t="s">
        <v>1069</v>
      </c>
      <c r="E284" s="10" t="s">
        <v>438</v>
      </c>
      <c r="F284" s="10" t="s">
        <v>439</v>
      </c>
      <c r="G284" s="10" t="s">
        <v>1141</v>
      </c>
      <c r="H284" s="10" t="s">
        <v>442</v>
      </c>
      <c r="I284" s="11">
        <v>5446416</v>
      </c>
      <c r="J284" s="18">
        <v>1102237.25</v>
      </c>
      <c r="K284" s="19">
        <v>20000.000000000498</v>
      </c>
      <c r="L284" s="11">
        <v>3962170.74</v>
      </c>
      <c r="M284" s="15">
        <v>362008.00999999902</v>
      </c>
      <c r="N284" s="25">
        <v>163004</v>
      </c>
      <c r="O284" s="25">
        <v>199004</v>
      </c>
      <c r="P284" s="26" t="s">
        <v>843</v>
      </c>
      <c r="Q284" s="26"/>
      <c r="R284" s="17">
        <f t="shared" si="4"/>
        <v>9.9999990197829902E-3</v>
      </c>
      <c r="S284" s="68"/>
      <c r="T284" s="83" t="s">
        <v>1036</v>
      </c>
    </row>
    <row r="285" spans="1:20" ht="31.5" hidden="1" x14ac:dyDescent="0.35">
      <c r="A285" s="8" t="s">
        <v>1003</v>
      </c>
      <c r="B285" s="9" t="s">
        <v>407</v>
      </c>
      <c r="C285" s="10" t="s">
        <v>408</v>
      </c>
      <c r="D285" s="10" t="s">
        <v>1069</v>
      </c>
      <c r="E285" s="10" t="s">
        <v>438</v>
      </c>
      <c r="F285" s="10" t="s">
        <v>439</v>
      </c>
      <c r="G285" s="10" t="s">
        <v>1141</v>
      </c>
      <c r="H285" s="10" t="s">
        <v>443</v>
      </c>
      <c r="I285" s="11">
        <v>1207678</v>
      </c>
      <c r="J285" s="18">
        <v>342982.58</v>
      </c>
      <c r="K285" s="19">
        <v>8000</v>
      </c>
      <c r="L285" s="11">
        <v>74950</v>
      </c>
      <c r="M285" s="15">
        <v>781745.42</v>
      </c>
      <c r="N285" s="25">
        <v>390873</v>
      </c>
      <c r="O285" s="25">
        <v>390872</v>
      </c>
      <c r="P285" s="26" t="s">
        <v>843</v>
      </c>
      <c r="Q285" s="26"/>
      <c r="R285" s="17">
        <f t="shared" si="4"/>
        <v>0.42000000004190952</v>
      </c>
      <c r="S285" s="68"/>
      <c r="T285" s="83" t="s">
        <v>1036</v>
      </c>
    </row>
    <row r="286" spans="1:20" ht="31.5" hidden="1" x14ac:dyDescent="0.35">
      <c r="A286" s="8" t="s">
        <v>1003</v>
      </c>
      <c r="B286" s="9" t="s">
        <v>407</v>
      </c>
      <c r="C286" s="10" t="s">
        <v>408</v>
      </c>
      <c r="D286" s="10" t="s">
        <v>1069</v>
      </c>
      <c r="E286" s="10" t="s">
        <v>444</v>
      </c>
      <c r="F286" s="10" t="s">
        <v>445</v>
      </c>
      <c r="G286" s="10" t="s">
        <v>1142</v>
      </c>
      <c r="H286" s="10" t="s">
        <v>446</v>
      </c>
      <c r="I286" s="11">
        <v>30000</v>
      </c>
      <c r="J286" s="18">
        <v>7416</v>
      </c>
      <c r="K286" s="19">
        <v>0</v>
      </c>
      <c r="L286" s="11">
        <v>0</v>
      </c>
      <c r="M286" s="15">
        <v>22584</v>
      </c>
      <c r="N286" s="25">
        <v>5000</v>
      </c>
      <c r="O286" s="25">
        <v>5000</v>
      </c>
      <c r="P286" s="26"/>
      <c r="Q286" s="26"/>
      <c r="R286" s="17">
        <f t="shared" si="4"/>
        <v>12584</v>
      </c>
      <c r="S286" s="68" t="s">
        <v>849</v>
      </c>
      <c r="T286" s="83" t="s">
        <v>1036</v>
      </c>
    </row>
    <row r="287" spans="1:20" ht="31.5" hidden="1" x14ac:dyDescent="0.35">
      <c r="A287" s="8" t="s">
        <v>1003</v>
      </c>
      <c r="B287" s="9" t="s">
        <v>407</v>
      </c>
      <c r="C287" s="10" t="s">
        <v>408</v>
      </c>
      <c r="D287" s="10" t="s">
        <v>1069</v>
      </c>
      <c r="E287" s="10" t="s">
        <v>447</v>
      </c>
      <c r="F287" s="10" t="s">
        <v>448</v>
      </c>
      <c r="G287" s="10" t="s">
        <v>1143</v>
      </c>
      <c r="H287" s="10" t="s">
        <v>449</v>
      </c>
      <c r="I287" s="11">
        <v>26000</v>
      </c>
      <c r="J287" s="18">
        <v>5024</v>
      </c>
      <c r="K287" s="13"/>
      <c r="L287" s="14"/>
      <c r="M287" s="15">
        <v>20976</v>
      </c>
      <c r="N287" s="25">
        <v>5000</v>
      </c>
      <c r="O287" s="25">
        <v>5000</v>
      </c>
      <c r="P287" s="26" t="s">
        <v>844</v>
      </c>
      <c r="Q287" s="26"/>
      <c r="R287" s="17">
        <f t="shared" si="4"/>
        <v>10976</v>
      </c>
      <c r="S287" s="68" t="s">
        <v>849</v>
      </c>
      <c r="T287" s="83" t="s">
        <v>1036</v>
      </c>
    </row>
    <row r="288" spans="1:20" ht="31.5" hidden="1" x14ac:dyDescent="0.35">
      <c r="A288" s="8" t="s">
        <v>1003</v>
      </c>
      <c r="B288" s="9" t="s">
        <v>407</v>
      </c>
      <c r="C288" s="10" t="s">
        <v>408</v>
      </c>
      <c r="D288" s="10" t="s">
        <v>1069</v>
      </c>
      <c r="E288" s="10" t="s">
        <v>450</v>
      </c>
      <c r="F288" s="10" t="s">
        <v>451</v>
      </c>
      <c r="G288" s="10" t="s">
        <v>1144</v>
      </c>
      <c r="H288" s="10" t="s">
        <v>452</v>
      </c>
      <c r="I288" s="11">
        <v>20000</v>
      </c>
      <c r="J288" s="12"/>
      <c r="K288" s="13"/>
      <c r="L288" s="14"/>
      <c r="M288" s="15">
        <v>20000</v>
      </c>
      <c r="N288" s="25">
        <v>10000</v>
      </c>
      <c r="O288" s="25">
        <v>10000</v>
      </c>
      <c r="P288" s="26" t="s">
        <v>845</v>
      </c>
      <c r="Q288" s="26"/>
      <c r="R288" s="17">
        <f t="shared" si="4"/>
        <v>0</v>
      </c>
      <c r="S288" s="14"/>
      <c r="T288" s="83" t="s">
        <v>1036</v>
      </c>
    </row>
    <row r="289" spans="1:20" ht="31.5" hidden="1" x14ac:dyDescent="0.35">
      <c r="A289" s="8" t="s">
        <v>1003</v>
      </c>
      <c r="B289" s="9" t="s">
        <v>453</v>
      </c>
      <c r="C289" s="10" t="s">
        <v>454</v>
      </c>
      <c r="D289" s="10" t="s">
        <v>1070</v>
      </c>
      <c r="E289" s="10" t="s">
        <v>415</v>
      </c>
      <c r="F289" s="10" t="s">
        <v>416</v>
      </c>
      <c r="G289" s="10" t="s">
        <v>1136</v>
      </c>
      <c r="H289" s="10" t="s">
        <v>455</v>
      </c>
      <c r="I289" s="11">
        <v>589128</v>
      </c>
      <c r="J289" s="18">
        <v>168512.62</v>
      </c>
      <c r="K289" s="19">
        <v>1</v>
      </c>
      <c r="L289" s="11">
        <v>253016.89</v>
      </c>
      <c r="M289" s="15">
        <v>167597.49</v>
      </c>
      <c r="N289" s="25">
        <v>167597</v>
      </c>
      <c r="O289" s="25"/>
      <c r="P289" s="26" t="s">
        <v>850</v>
      </c>
      <c r="Q289" s="26"/>
      <c r="R289" s="17">
        <f t="shared" si="4"/>
        <v>0.48999999999068677</v>
      </c>
      <c r="S289" s="14"/>
      <c r="T289" s="83" t="s">
        <v>1036</v>
      </c>
    </row>
    <row r="290" spans="1:20" ht="31.5" hidden="1" x14ac:dyDescent="0.35">
      <c r="A290" s="8" t="s">
        <v>1003</v>
      </c>
      <c r="B290" s="9" t="s">
        <v>453</v>
      </c>
      <c r="C290" s="10" t="s">
        <v>454</v>
      </c>
      <c r="D290" s="10" t="s">
        <v>1070</v>
      </c>
      <c r="E290" s="10" t="s">
        <v>456</v>
      </c>
      <c r="F290" s="10" t="s">
        <v>457</v>
      </c>
      <c r="G290" s="10" t="s">
        <v>1145</v>
      </c>
      <c r="H290" s="10" t="s">
        <v>458</v>
      </c>
      <c r="I290" s="11">
        <v>10000</v>
      </c>
      <c r="J290" s="18">
        <v>848</v>
      </c>
      <c r="K290" s="13"/>
      <c r="L290" s="14"/>
      <c r="M290" s="15">
        <v>9152</v>
      </c>
      <c r="N290" s="25">
        <v>2000</v>
      </c>
      <c r="O290" s="25"/>
      <c r="P290" s="26" t="s">
        <v>851</v>
      </c>
      <c r="Q290" s="26"/>
      <c r="R290" s="17">
        <f t="shared" si="4"/>
        <v>7152</v>
      </c>
      <c r="S290" s="14"/>
      <c r="T290" s="83" t="s">
        <v>1036</v>
      </c>
    </row>
    <row r="291" spans="1:20" ht="31.5" hidden="1" x14ac:dyDescent="0.35">
      <c r="A291" s="8" t="s">
        <v>1003</v>
      </c>
      <c r="B291" s="9" t="s">
        <v>453</v>
      </c>
      <c r="C291" s="10" t="s">
        <v>454</v>
      </c>
      <c r="D291" s="10" t="s">
        <v>1070</v>
      </c>
      <c r="E291" s="10" t="s">
        <v>459</v>
      </c>
      <c r="F291" s="10" t="s">
        <v>460</v>
      </c>
      <c r="G291" s="10" t="s">
        <v>1146</v>
      </c>
      <c r="H291" s="10" t="s">
        <v>461</v>
      </c>
      <c r="I291" s="11">
        <v>30000</v>
      </c>
      <c r="J291" s="18">
        <v>3000</v>
      </c>
      <c r="K291" s="13"/>
      <c r="L291" s="14"/>
      <c r="M291" s="15">
        <v>27000</v>
      </c>
      <c r="N291" s="25"/>
      <c r="O291" s="25">
        <v>10000</v>
      </c>
      <c r="P291" s="26" t="s">
        <v>852</v>
      </c>
      <c r="Q291" s="26"/>
      <c r="R291" s="17">
        <f t="shared" si="4"/>
        <v>17000</v>
      </c>
      <c r="S291" s="68" t="s">
        <v>857</v>
      </c>
      <c r="T291" s="83" t="s">
        <v>1036</v>
      </c>
    </row>
    <row r="292" spans="1:20" ht="31.5" hidden="1" x14ac:dyDescent="0.35">
      <c r="A292" s="8" t="s">
        <v>1003</v>
      </c>
      <c r="B292" s="9" t="s">
        <v>453</v>
      </c>
      <c r="C292" s="10" t="s">
        <v>454</v>
      </c>
      <c r="D292" s="10" t="s">
        <v>1070</v>
      </c>
      <c r="E292" s="10" t="s">
        <v>59</v>
      </c>
      <c r="F292" s="10" t="s">
        <v>60</v>
      </c>
      <c r="G292" s="10" t="s">
        <v>1109</v>
      </c>
      <c r="H292" s="10" t="s">
        <v>462</v>
      </c>
      <c r="I292" s="11">
        <v>7000</v>
      </c>
      <c r="J292" s="12"/>
      <c r="K292" s="19">
        <v>5106</v>
      </c>
      <c r="L292" s="14"/>
      <c r="M292" s="15">
        <v>1894</v>
      </c>
      <c r="N292" s="14"/>
      <c r="O292" s="13"/>
      <c r="P292" s="16"/>
      <c r="Q292" s="16"/>
      <c r="R292" s="17">
        <f t="shared" si="4"/>
        <v>1894</v>
      </c>
      <c r="S292" s="14"/>
      <c r="T292" s="83" t="s">
        <v>1036</v>
      </c>
    </row>
    <row r="293" spans="1:20" ht="31.5" hidden="1" x14ac:dyDescent="0.35">
      <c r="A293" s="8" t="s">
        <v>1003</v>
      </c>
      <c r="B293" s="9" t="s">
        <v>453</v>
      </c>
      <c r="C293" s="10" t="s">
        <v>454</v>
      </c>
      <c r="D293" s="10" t="s">
        <v>1070</v>
      </c>
      <c r="E293" s="10" t="s">
        <v>463</v>
      </c>
      <c r="F293" s="10" t="s">
        <v>464</v>
      </c>
      <c r="G293" s="10" t="s">
        <v>1147</v>
      </c>
      <c r="H293" s="10" t="s">
        <v>465</v>
      </c>
      <c r="I293" s="11">
        <v>7349560</v>
      </c>
      <c r="J293" s="18">
        <v>2620774.8199999998</v>
      </c>
      <c r="K293" s="13"/>
      <c r="L293" s="14"/>
      <c r="M293" s="15">
        <v>4728785.18</v>
      </c>
      <c r="N293" s="25">
        <v>2364392.5</v>
      </c>
      <c r="O293" s="25">
        <v>2364393</v>
      </c>
      <c r="P293" s="26" t="s">
        <v>464</v>
      </c>
      <c r="Q293" s="26"/>
      <c r="R293" s="17">
        <f t="shared" si="4"/>
        <v>-0.32000000029802322</v>
      </c>
      <c r="S293" s="14"/>
      <c r="T293" s="83" t="s">
        <v>1036</v>
      </c>
    </row>
    <row r="294" spans="1:20" ht="31.5" hidden="1" x14ac:dyDescent="0.35">
      <c r="A294" s="8" t="s">
        <v>1003</v>
      </c>
      <c r="B294" s="9" t="s">
        <v>453</v>
      </c>
      <c r="C294" s="10" t="s">
        <v>454</v>
      </c>
      <c r="D294" s="10" t="s">
        <v>1070</v>
      </c>
      <c r="E294" s="10" t="s">
        <v>463</v>
      </c>
      <c r="F294" s="10" t="s">
        <v>464</v>
      </c>
      <c r="G294" s="10" t="s">
        <v>1147</v>
      </c>
      <c r="H294" s="10" t="s">
        <v>466</v>
      </c>
      <c r="I294" s="11">
        <v>4615084</v>
      </c>
      <c r="J294" s="18">
        <v>1376394.75</v>
      </c>
      <c r="K294" s="13"/>
      <c r="L294" s="14"/>
      <c r="M294" s="15">
        <v>3238689.25</v>
      </c>
      <c r="N294" s="25">
        <v>1619344.5</v>
      </c>
      <c r="O294" s="25">
        <v>1619345</v>
      </c>
      <c r="P294" s="26" t="s">
        <v>464</v>
      </c>
      <c r="Q294" s="26"/>
      <c r="R294" s="17">
        <f t="shared" si="4"/>
        <v>-0.25</v>
      </c>
      <c r="S294" s="14"/>
      <c r="T294" s="83" t="s">
        <v>1036</v>
      </c>
    </row>
    <row r="295" spans="1:20" ht="31.5" hidden="1" x14ac:dyDescent="0.35">
      <c r="A295" s="8" t="s">
        <v>1003</v>
      </c>
      <c r="B295" s="9" t="s">
        <v>453</v>
      </c>
      <c r="C295" s="10" t="s">
        <v>454</v>
      </c>
      <c r="D295" s="10" t="s">
        <v>1070</v>
      </c>
      <c r="E295" s="10" t="s">
        <v>463</v>
      </c>
      <c r="F295" s="10" t="s">
        <v>464</v>
      </c>
      <c r="G295" s="10" t="s">
        <v>1147</v>
      </c>
      <c r="H295" s="10" t="s">
        <v>467</v>
      </c>
      <c r="I295" s="11">
        <v>3058446</v>
      </c>
      <c r="J295" s="18">
        <v>1483564.4</v>
      </c>
      <c r="K295" s="13"/>
      <c r="L295" s="14"/>
      <c r="M295" s="15">
        <v>1574881.6</v>
      </c>
      <c r="N295" s="25">
        <v>787441</v>
      </c>
      <c r="O295" s="25">
        <v>787441</v>
      </c>
      <c r="P295" s="26" t="s">
        <v>464</v>
      </c>
      <c r="Q295" s="26"/>
      <c r="R295" s="17">
        <f t="shared" si="4"/>
        <v>-0.39999999990686774</v>
      </c>
      <c r="S295" s="14"/>
      <c r="T295" s="83" t="s">
        <v>1036</v>
      </c>
    </row>
    <row r="296" spans="1:20" ht="31.5" hidden="1" x14ac:dyDescent="0.35">
      <c r="A296" s="8" t="s">
        <v>1003</v>
      </c>
      <c r="B296" s="9" t="s">
        <v>453</v>
      </c>
      <c r="C296" s="10" t="s">
        <v>454</v>
      </c>
      <c r="D296" s="10" t="s">
        <v>1070</v>
      </c>
      <c r="E296" s="10" t="s">
        <v>463</v>
      </c>
      <c r="F296" s="10" t="s">
        <v>464</v>
      </c>
      <c r="G296" s="10" t="s">
        <v>1147</v>
      </c>
      <c r="H296" s="10" t="s">
        <v>468</v>
      </c>
      <c r="I296" s="11">
        <v>442627</v>
      </c>
      <c r="J296" s="12"/>
      <c r="K296" s="13"/>
      <c r="L296" s="14"/>
      <c r="M296" s="15">
        <v>442627</v>
      </c>
      <c r="N296" s="25">
        <v>221313</v>
      </c>
      <c r="O296" s="25">
        <v>221314</v>
      </c>
      <c r="P296" s="26" t="s">
        <v>464</v>
      </c>
      <c r="Q296" s="26"/>
      <c r="R296" s="17">
        <f t="shared" si="4"/>
        <v>0</v>
      </c>
      <c r="S296" s="14"/>
      <c r="T296" s="83" t="s">
        <v>1036</v>
      </c>
    </row>
    <row r="297" spans="1:20" ht="31.5" hidden="1" x14ac:dyDescent="0.35">
      <c r="A297" s="8" t="s">
        <v>1003</v>
      </c>
      <c r="B297" s="9" t="s">
        <v>453</v>
      </c>
      <c r="C297" s="10" t="s">
        <v>454</v>
      </c>
      <c r="D297" s="10" t="s">
        <v>1070</v>
      </c>
      <c r="E297" s="10" t="s">
        <v>469</v>
      </c>
      <c r="F297" s="10" t="s">
        <v>470</v>
      </c>
      <c r="G297" s="10" t="s">
        <v>1148</v>
      </c>
      <c r="H297" s="10" t="s">
        <v>471</v>
      </c>
      <c r="I297" s="11">
        <v>1153128</v>
      </c>
      <c r="J297" s="18">
        <v>363111.99</v>
      </c>
      <c r="K297" s="13"/>
      <c r="L297" s="14"/>
      <c r="M297" s="15">
        <v>790016.01</v>
      </c>
      <c r="N297" s="25">
        <v>395008</v>
      </c>
      <c r="O297" s="25">
        <v>395008</v>
      </c>
      <c r="P297" s="26" t="s">
        <v>470</v>
      </c>
      <c r="Q297" s="26"/>
      <c r="R297" s="17">
        <f t="shared" si="4"/>
        <v>1.0000000009313226E-2</v>
      </c>
      <c r="S297" s="14"/>
      <c r="T297" s="83" t="s">
        <v>1036</v>
      </c>
    </row>
    <row r="298" spans="1:20" ht="31.5" hidden="1" x14ac:dyDescent="0.35">
      <c r="A298" s="8" t="s">
        <v>1003</v>
      </c>
      <c r="B298" s="9" t="s">
        <v>453</v>
      </c>
      <c r="C298" s="10" t="s">
        <v>454</v>
      </c>
      <c r="D298" s="10" t="s">
        <v>1070</v>
      </c>
      <c r="E298" s="10" t="s">
        <v>469</v>
      </c>
      <c r="F298" s="10" t="s">
        <v>470</v>
      </c>
      <c r="G298" s="10" t="s">
        <v>1148</v>
      </c>
      <c r="H298" s="10" t="s">
        <v>472</v>
      </c>
      <c r="I298" s="11">
        <v>1681399</v>
      </c>
      <c r="J298" s="18">
        <v>545565.76</v>
      </c>
      <c r="K298" s="13"/>
      <c r="L298" s="14"/>
      <c r="M298" s="15">
        <v>1135833.24</v>
      </c>
      <c r="N298" s="25">
        <v>567916.5</v>
      </c>
      <c r="O298" s="25">
        <v>567917</v>
      </c>
      <c r="P298" s="26" t="s">
        <v>470</v>
      </c>
      <c r="Q298" s="26"/>
      <c r="R298" s="17">
        <f t="shared" si="4"/>
        <v>-0.26000000000931323</v>
      </c>
      <c r="S298" s="14"/>
      <c r="T298" s="83" t="s">
        <v>1036</v>
      </c>
    </row>
    <row r="299" spans="1:20" ht="31.5" hidden="1" x14ac:dyDescent="0.35">
      <c r="A299" s="8" t="s">
        <v>1003</v>
      </c>
      <c r="B299" s="9" t="s">
        <v>453</v>
      </c>
      <c r="C299" s="10" t="s">
        <v>454</v>
      </c>
      <c r="D299" s="10" t="s">
        <v>1070</v>
      </c>
      <c r="E299" s="10" t="s">
        <v>469</v>
      </c>
      <c r="F299" s="10" t="s">
        <v>470</v>
      </c>
      <c r="G299" s="10" t="s">
        <v>1148</v>
      </c>
      <c r="H299" s="10" t="s">
        <v>473</v>
      </c>
      <c r="I299" s="11">
        <v>1703132</v>
      </c>
      <c r="J299" s="18">
        <v>532986.73</v>
      </c>
      <c r="K299" s="13"/>
      <c r="L299" s="14"/>
      <c r="M299" s="15">
        <v>1170145.27</v>
      </c>
      <c r="N299" s="25">
        <v>585072.5</v>
      </c>
      <c r="O299" s="25">
        <v>585073</v>
      </c>
      <c r="P299" s="26" t="s">
        <v>470</v>
      </c>
      <c r="Q299" s="26"/>
      <c r="R299" s="17">
        <f t="shared" si="4"/>
        <v>-0.22999999998137355</v>
      </c>
      <c r="S299" s="14"/>
      <c r="T299" s="83" t="s">
        <v>1036</v>
      </c>
    </row>
    <row r="300" spans="1:20" ht="31.5" hidden="1" x14ac:dyDescent="0.35">
      <c r="A300" s="8" t="s">
        <v>1003</v>
      </c>
      <c r="B300" s="9" t="s">
        <v>453</v>
      </c>
      <c r="C300" s="10" t="s">
        <v>454</v>
      </c>
      <c r="D300" s="10" t="s">
        <v>1070</v>
      </c>
      <c r="E300" s="10" t="s">
        <v>469</v>
      </c>
      <c r="F300" s="10" t="s">
        <v>470</v>
      </c>
      <c r="G300" s="10" t="s">
        <v>1148</v>
      </c>
      <c r="H300" s="10" t="s">
        <v>474</v>
      </c>
      <c r="I300" s="11">
        <v>153570</v>
      </c>
      <c r="J300" s="12"/>
      <c r="K300" s="13"/>
      <c r="L300" s="14"/>
      <c r="M300" s="15">
        <v>153570</v>
      </c>
      <c r="N300" s="25">
        <v>76785</v>
      </c>
      <c r="O300" s="25">
        <v>76785</v>
      </c>
      <c r="P300" s="26" t="s">
        <v>470</v>
      </c>
      <c r="Q300" s="26"/>
      <c r="R300" s="17">
        <f t="shared" si="4"/>
        <v>0</v>
      </c>
      <c r="S300" s="14"/>
      <c r="T300" s="83" t="s">
        <v>1036</v>
      </c>
    </row>
    <row r="301" spans="1:20" ht="31.5" hidden="1" x14ac:dyDescent="0.35">
      <c r="A301" s="8" t="s">
        <v>1003</v>
      </c>
      <c r="B301" s="9" t="s">
        <v>453</v>
      </c>
      <c r="C301" s="10" t="s">
        <v>454</v>
      </c>
      <c r="D301" s="10" t="s">
        <v>1070</v>
      </c>
      <c r="E301" s="10" t="s">
        <v>475</v>
      </c>
      <c r="F301" s="10" t="s">
        <v>476</v>
      </c>
      <c r="G301" s="10" t="s">
        <v>1149</v>
      </c>
      <c r="H301" s="10" t="s">
        <v>477</v>
      </c>
      <c r="I301" s="11">
        <v>44000</v>
      </c>
      <c r="J301" s="18">
        <v>41250</v>
      </c>
      <c r="K301" s="13"/>
      <c r="L301" s="14"/>
      <c r="M301" s="15">
        <v>2750</v>
      </c>
      <c r="N301" s="14"/>
      <c r="O301" s="13"/>
      <c r="P301" s="16"/>
      <c r="Q301" s="16"/>
      <c r="R301" s="17">
        <f t="shared" si="4"/>
        <v>2750</v>
      </c>
      <c r="S301" s="14"/>
      <c r="T301" s="83" t="s">
        <v>1036</v>
      </c>
    </row>
    <row r="302" spans="1:20" ht="31.5" hidden="1" x14ac:dyDescent="0.35">
      <c r="A302" s="8" t="s">
        <v>1003</v>
      </c>
      <c r="B302" s="9" t="s">
        <v>453</v>
      </c>
      <c r="C302" s="10" t="s">
        <v>454</v>
      </c>
      <c r="D302" s="10" t="s">
        <v>1070</v>
      </c>
      <c r="E302" s="10" t="s">
        <v>478</v>
      </c>
      <c r="F302" s="10" t="s">
        <v>479</v>
      </c>
      <c r="G302" s="10" t="s">
        <v>1150</v>
      </c>
      <c r="H302" s="10" t="s">
        <v>480</v>
      </c>
      <c r="I302" s="11">
        <v>967680</v>
      </c>
      <c r="J302" s="12"/>
      <c r="K302" s="19">
        <v>750960</v>
      </c>
      <c r="L302" s="11">
        <v>21000</v>
      </c>
      <c r="M302" s="15">
        <v>195720</v>
      </c>
      <c r="N302" s="25">
        <v>195720</v>
      </c>
      <c r="O302" s="25"/>
      <c r="P302" s="26" t="s">
        <v>853</v>
      </c>
      <c r="Q302" s="26"/>
      <c r="R302" s="17">
        <f t="shared" si="4"/>
        <v>0</v>
      </c>
      <c r="S302" s="14"/>
      <c r="T302" s="83" t="s">
        <v>1036</v>
      </c>
    </row>
    <row r="303" spans="1:20" ht="31.5" hidden="1" x14ac:dyDescent="0.35">
      <c r="A303" s="8" t="s">
        <v>1003</v>
      </c>
      <c r="B303" s="9" t="s">
        <v>453</v>
      </c>
      <c r="C303" s="10" t="s">
        <v>454</v>
      </c>
      <c r="D303" s="10" t="s">
        <v>1070</v>
      </c>
      <c r="E303" s="10" t="s">
        <v>438</v>
      </c>
      <c r="F303" s="10" t="s">
        <v>439</v>
      </c>
      <c r="G303" s="10" t="s">
        <v>1141</v>
      </c>
      <c r="H303" s="10" t="s">
        <v>481</v>
      </c>
      <c r="I303" s="11">
        <v>-367211</v>
      </c>
      <c r="J303" s="18">
        <v>-367211.82</v>
      </c>
      <c r="K303" s="13"/>
      <c r="L303" s="11">
        <v>-7.0000000006984905E-2</v>
      </c>
      <c r="M303" s="15">
        <v>0.89000000001396995</v>
      </c>
      <c r="N303" s="25"/>
      <c r="O303" s="25"/>
      <c r="P303" s="26"/>
      <c r="Q303" s="26"/>
      <c r="R303" s="17">
        <f t="shared" si="4"/>
        <v>0.89000000001396995</v>
      </c>
      <c r="S303" s="14"/>
      <c r="T303" s="83" t="s">
        <v>1036</v>
      </c>
    </row>
    <row r="304" spans="1:20" ht="31.5" hidden="1" x14ac:dyDescent="0.35">
      <c r="A304" s="8" t="s">
        <v>1003</v>
      </c>
      <c r="B304" s="9" t="s">
        <v>453</v>
      </c>
      <c r="C304" s="10" t="s">
        <v>454</v>
      </c>
      <c r="D304" s="10" t="s">
        <v>1070</v>
      </c>
      <c r="E304" s="10" t="s">
        <v>438</v>
      </c>
      <c r="F304" s="10" t="s">
        <v>439</v>
      </c>
      <c r="G304" s="10" t="s">
        <v>1141</v>
      </c>
      <c r="H304" s="10" t="s">
        <v>482</v>
      </c>
      <c r="I304" s="11">
        <v>-241882</v>
      </c>
      <c r="J304" s="18">
        <v>-242103.6</v>
      </c>
      <c r="K304" s="13"/>
      <c r="L304" s="11">
        <v>0</v>
      </c>
      <c r="M304" s="15">
        <v>221.60000000000599</v>
      </c>
      <c r="N304" s="25"/>
      <c r="O304" s="25"/>
      <c r="P304" s="26"/>
      <c r="Q304" s="26"/>
      <c r="R304" s="17">
        <f t="shared" si="4"/>
        <v>221.60000000000599</v>
      </c>
      <c r="S304" s="14"/>
      <c r="T304" s="83" t="s">
        <v>1036</v>
      </c>
    </row>
    <row r="305" spans="1:20" ht="31.5" hidden="1" x14ac:dyDescent="0.35">
      <c r="A305" s="8" t="s">
        <v>1003</v>
      </c>
      <c r="B305" s="9" t="s">
        <v>453</v>
      </c>
      <c r="C305" s="10" t="s">
        <v>454</v>
      </c>
      <c r="D305" s="10" t="s">
        <v>1070</v>
      </c>
      <c r="E305" s="10" t="s">
        <v>483</v>
      </c>
      <c r="F305" s="10" t="s">
        <v>484</v>
      </c>
      <c r="G305" s="10" t="s">
        <v>1151</v>
      </c>
      <c r="H305" s="10" t="s">
        <v>485</v>
      </c>
      <c r="I305" s="11">
        <v>140000</v>
      </c>
      <c r="J305" s="18">
        <v>20576.84</v>
      </c>
      <c r="K305" s="19">
        <v>2</v>
      </c>
      <c r="L305" s="14"/>
      <c r="M305" s="15">
        <v>119421.16</v>
      </c>
      <c r="N305" s="25">
        <v>25000</v>
      </c>
      <c r="O305" s="25">
        <v>25000</v>
      </c>
      <c r="P305" s="26" t="s">
        <v>854</v>
      </c>
      <c r="Q305" s="26"/>
      <c r="R305" s="17">
        <f t="shared" si="4"/>
        <v>69421.16</v>
      </c>
      <c r="S305" s="71" t="s">
        <v>858</v>
      </c>
      <c r="T305" s="83" t="s">
        <v>1036</v>
      </c>
    </row>
    <row r="306" spans="1:20" ht="31.5" hidden="1" x14ac:dyDescent="0.35">
      <c r="A306" s="8" t="s">
        <v>1003</v>
      </c>
      <c r="B306" s="9" t="s">
        <v>453</v>
      </c>
      <c r="C306" s="10" t="s">
        <v>454</v>
      </c>
      <c r="D306" s="10" t="s">
        <v>1070</v>
      </c>
      <c r="E306" s="10" t="s">
        <v>486</v>
      </c>
      <c r="F306" s="10" t="s">
        <v>487</v>
      </c>
      <c r="G306" s="10" t="s">
        <v>1152</v>
      </c>
      <c r="H306" s="10" t="s">
        <v>488</v>
      </c>
      <c r="I306" s="11">
        <v>675690</v>
      </c>
      <c r="J306" s="18">
        <v>194173.19</v>
      </c>
      <c r="K306" s="19">
        <v>0</v>
      </c>
      <c r="L306" s="11">
        <v>0</v>
      </c>
      <c r="M306" s="15">
        <v>481516.81</v>
      </c>
      <c r="N306" s="25">
        <v>240758.5</v>
      </c>
      <c r="O306" s="25">
        <v>240758.5</v>
      </c>
      <c r="P306" s="26" t="s">
        <v>855</v>
      </c>
      <c r="Q306" s="26"/>
      <c r="R306" s="17">
        <f t="shared" si="4"/>
        <v>-0.19000000000232831</v>
      </c>
      <c r="S306" s="68" t="s">
        <v>859</v>
      </c>
      <c r="T306" s="83" t="s">
        <v>1036</v>
      </c>
    </row>
    <row r="307" spans="1:20" ht="31.5" hidden="1" x14ac:dyDescent="0.35">
      <c r="A307" s="8" t="s">
        <v>1003</v>
      </c>
      <c r="B307" s="9" t="s">
        <v>453</v>
      </c>
      <c r="C307" s="10" t="s">
        <v>454</v>
      </c>
      <c r="D307" s="10" t="s">
        <v>1070</v>
      </c>
      <c r="E307" s="10" t="s">
        <v>489</v>
      </c>
      <c r="F307" s="10" t="s">
        <v>490</v>
      </c>
      <c r="G307" s="10" t="s">
        <v>1153</v>
      </c>
      <c r="H307" s="10" t="s">
        <v>491</v>
      </c>
      <c r="I307" s="11">
        <v>336000</v>
      </c>
      <c r="J307" s="18">
        <v>266719.75</v>
      </c>
      <c r="K307" s="13"/>
      <c r="L307" s="14"/>
      <c r="M307" s="15">
        <v>69280.25</v>
      </c>
      <c r="N307" s="25">
        <v>34000</v>
      </c>
      <c r="O307" s="25">
        <v>34000</v>
      </c>
      <c r="P307" s="26" t="s">
        <v>856</v>
      </c>
      <c r="Q307" s="26"/>
      <c r="R307" s="17">
        <f t="shared" si="4"/>
        <v>1280.25</v>
      </c>
      <c r="S307" s="14"/>
      <c r="T307" s="83" t="s">
        <v>1036</v>
      </c>
    </row>
    <row r="308" spans="1:20" ht="31.5" hidden="1" x14ac:dyDescent="0.35">
      <c r="A308" s="8" t="s">
        <v>1003</v>
      </c>
      <c r="B308" s="9" t="s">
        <v>453</v>
      </c>
      <c r="C308" s="10" t="s">
        <v>454</v>
      </c>
      <c r="D308" s="10" t="s">
        <v>1070</v>
      </c>
      <c r="E308" s="10" t="s">
        <v>134</v>
      </c>
      <c r="F308" s="10" t="s">
        <v>135</v>
      </c>
      <c r="G308" s="10" t="s">
        <v>1124</v>
      </c>
      <c r="H308" s="10" t="s">
        <v>492</v>
      </c>
      <c r="I308" s="11">
        <v>193910</v>
      </c>
      <c r="J308" s="18">
        <v>70118.78</v>
      </c>
      <c r="K308" s="19">
        <v>0</v>
      </c>
      <c r="L308" s="11">
        <v>0</v>
      </c>
      <c r="M308" s="15">
        <v>123791.22</v>
      </c>
      <c r="N308" s="25">
        <v>20000</v>
      </c>
      <c r="O308" s="25">
        <v>20000</v>
      </c>
      <c r="P308" s="26" t="s">
        <v>135</v>
      </c>
      <c r="Q308" s="26"/>
      <c r="R308" s="17">
        <f t="shared" si="4"/>
        <v>83791.22</v>
      </c>
      <c r="S308" s="71" t="s">
        <v>860</v>
      </c>
      <c r="T308" s="83" t="s">
        <v>1036</v>
      </c>
    </row>
    <row r="309" spans="1:20" ht="147" hidden="1" x14ac:dyDescent="0.35">
      <c r="A309" s="8" t="s">
        <v>1004</v>
      </c>
      <c r="B309" s="9" t="s">
        <v>493</v>
      </c>
      <c r="C309" s="10" t="s">
        <v>494</v>
      </c>
      <c r="D309" s="10" t="s">
        <v>1071</v>
      </c>
      <c r="E309" s="10" t="s">
        <v>495</v>
      </c>
      <c r="F309" s="10" t="s">
        <v>496</v>
      </c>
      <c r="G309" s="10" t="s">
        <v>1154</v>
      </c>
      <c r="H309" s="10" t="s">
        <v>497</v>
      </c>
      <c r="I309" s="11">
        <v>295000</v>
      </c>
      <c r="J309" s="18">
        <v>171100</v>
      </c>
      <c r="K309" s="13"/>
      <c r="L309" s="14"/>
      <c r="M309" s="15">
        <v>123900</v>
      </c>
      <c r="N309" s="15">
        <f>45450+30300+35350</f>
        <v>111100</v>
      </c>
      <c r="O309" s="15">
        <f>45450+25250+30300</f>
        <v>101000</v>
      </c>
      <c r="P309" s="29" t="s">
        <v>882</v>
      </c>
      <c r="Q309" s="30"/>
      <c r="R309" s="17">
        <f t="shared" si="4"/>
        <v>-88200</v>
      </c>
      <c r="S309" s="72" t="s">
        <v>885</v>
      </c>
      <c r="T309" s="83" t="s">
        <v>1036</v>
      </c>
    </row>
    <row r="310" spans="1:20" ht="31.5" hidden="1" x14ac:dyDescent="0.35">
      <c r="A310" s="8" t="s">
        <v>1004</v>
      </c>
      <c r="B310" s="9" t="s">
        <v>493</v>
      </c>
      <c r="C310" s="10" t="s">
        <v>494</v>
      </c>
      <c r="D310" s="10" t="s">
        <v>1071</v>
      </c>
      <c r="E310" s="10" t="s">
        <v>415</v>
      </c>
      <c r="F310" s="10" t="s">
        <v>416</v>
      </c>
      <c r="G310" s="10" t="s">
        <v>1136</v>
      </c>
      <c r="H310" s="10" t="s">
        <v>498</v>
      </c>
      <c r="I310" s="11">
        <v>31160</v>
      </c>
      <c r="J310" s="18">
        <v>31000</v>
      </c>
      <c r="K310" s="13"/>
      <c r="L310" s="14"/>
      <c r="M310" s="15">
        <v>160</v>
      </c>
      <c r="N310" s="14"/>
      <c r="O310" s="13"/>
      <c r="P310" s="16"/>
      <c r="Q310" s="16"/>
      <c r="R310" s="17">
        <f t="shared" si="4"/>
        <v>160</v>
      </c>
      <c r="S310" s="73" t="s">
        <v>886</v>
      </c>
      <c r="T310" s="83" t="s">
        <v>1036</v>
      </c>
    </row>
    <row r="311" spans="1:20" ht="31.5" hidden="1" x14ac:dyDescent="0.35">
      <c r="A311" s="8" t="s">
        <v>1004</v>
      </c>
      <c r="B311" s="9" t="s">
        <v>493</v>
      </c>
      <c r="C311" s="10" t="s">
        <v>494</v>
      </c>
      <c r="D311" s="10" t="s">
        <v>1071</v>
      </c>
      <c r="E311" s="10" t="s">
        <v>499</v>
      </c>
      <c r="F311" s="10" t="s">
        <v>500</v>
      </c>
      <c r="G311" s="10" t="s">
        <v>1155</v>
      </c>
      <c r="H311" s="10" t="s">
        <v>501</v>
      </c>
      <c r="I311" s="11">
        <v>416100</v>
      </c>
      <c r="J311" s="18">
        <v>62415</v>
      </c>
      <c r="K311" s="19">
        <v>0</v>
      </c>
      <c r="L311" s="11">
        <v>353685</v>
      </c>
      <c r="M311" s="15">
        <v>0</v>
      </c>
      <c r="N311" s="14"/>
      <c r="O311" s="13"/>
      <c r="P311" s="16"/>
      <c r="Q311" s="16"/>
      <c r="R311" s="17">
        <f t="shared" si="4"/>
        <v>0</v>
      </c>
      <c r="S311" s="14"/>
      <c r="T311" s="83" t="s">
        <v>1036</v>
      </c>
    </row>
    <row r="312" spans="1:20" ht="31.5" hidden="1" x14ac:dyDescent="0.35">
      <c r="A312" s="8" t="s">
        <v>1004</v>
      </c>
      <c r="B312" s="9" t="s">
        <v>493</v>
      </c>
      <c r="C312" s="10" t="s">
        <v>494</v>
      </c>
      <c r="D312" s="10" t="s">
        <v>1071</v>
      </c>
      <c r="E312" s="10" t="s">
        <v>502</v>
      </c>
      <c r="F312" s="10" t="s">
        <v>503</v>
      </c>
      <c r="G312" s="10" t="s">
        <v>1156</v>
      </c>
      <c r="H312" s="10" t="s">
        <v>504</v>
      </c>
      <c r="I312" s="11">
        <v>3600</v>
      </c>
      <c r="J312" s="18">
        <v>256.64</v>
      </c>
      <c r="K312" s="13"/>
      <c r="L312" s="14"/>
      <c r="M312" s="15">
        <v>3343.36</v>
      </c>
      <c r="N312" s="15">
        <f>M312/2</f>
        <v>1671.68</v>
      </c>
      <c r="O312" s="15">
        <f>N312</f>
        <v>1671.68</v>
      </c>
      <c r="P312" s="30" t="s">
        <v>883</v>
      </c>
      <c r="Q312" s="30"/>
      <c r="R312" s="17">
        <f t="shared" si="4"/>
        <v>0</v>
      </c>
      <c r="S312" s="14"/>
      <c r="T312" s="83" t="s">
        <v>1036</v>
      </c>
    </row>
    <row r="313" spans="1:20" ht="31.5" hidden="1" x14ac:dyDescent="0.35">
      <c r="A313" s="8" t="s">
        <v>1004</v>
      </c>
      <c r="B313" s="9" t="s">
        <v>493</v>
      </c>
      <c r="C313" s="10" t="s">
        <v>494</v>
      </c>
      <c r="D313" s="10" t="s">
        <v>1071</v>
      </c>
      <c r="E313" s="10" t="s">
        <v>505</v>
      </c>
      <c r="F313" s="10" t="s">
        <v>506</v>
      </c>
      <c r="G313" s="10" t="s">
        <v>1157</v>
      </c>
      <c r="H313" s="10" t="s">
        <v>507</v>
      </c>
      <c r="I313" s="11">
        <v>90000</v>
      </c>
      <c r="J313" s="18">
        <v>50265.559999999903</v>
      </c>
      <c r="K313" s="13"/>
      <c r="L313" s="14"/>
      <c r="M313" s="15">
        <v>39734.440000000097</v>
      </c>
      <c r="N313" s="15">
        <f>M313/2</f>
        <v>19867.220000000048</v>
      </c>
      <c r="O313" s="15">
        <f>N313</f>
        <v>19867.220000000048</v>
      </c>
      <c r="P313" s="30" t="s">
        <v>883</v>
      </c>
      <c r="Q313" s="30"/>
      <c r="R313" s="17">
        <f t="shared" si="4"/>
        <v>0</v>
      </c>
      <c r="S313" s="14"/>
      <c r="T313" s="83" t="s">
        <v>1036</v>
      </c>
    </row>
    <row r="314" spans="1:20" ht="31.5" hidden="1" x14ac:dyDescent="0.35">
      <c r="A314" s="8" t="s">
        <v>1004</v>
      </c>
      <c r="B314" s="9" t="s">
        <v>493</v>
      </c>
      <c r="C314" s="10" t="s">
        <v>494</v>
      </c>
      <c r="D314" s="10" t="s">
        <v>1071</v>
      </c>
      <c r="E314" s="10" t="s">
        <v>38</v>
      </c>
      <c r="F314" s="10" t="s">
        <v>39</v>
      </c>
      <c r="G314" s="10" t="s">
        <v>1104</v>
      </c>
      <c r="H314" s="10" t="s">
        <v>508</v>
      </c>
      <c r="I314" s="11">
        <v>31680</v>
      </c>
      <c r="J314" s="12"/>
      <c r="K314" s="13"/>
      <c r="L314" s="14"/>
      <c r="M314" s="15">
        <v>31680</v>
      </c>
      <c r="N314" s="15">
        <f>M314</f>
        <v>31680</v>
      </c>
      <c r="O314" s="13"/>
      <c r="P314" s="30" t="s">
        <v>884</v>
      </c>
      <c r="Q314" s="30"/>
      <c r="R314" s="17">
        <f t="shared" si="4"/>
        <v>0</v>
      </c>
      <c r="S314" s="14"/>
      <c r="T314" s="83" t="s">
        <v>1036</v>
      </c>
    </row>
    <row r="315" spans="1:20" ht="31.5" hidden="1" x14ac:dyDescent="0.35">
      <c r="A315" s="8" t="s">
        <v>1004</v>
      </c>
      <c r="B315" s="9" t="s">
        <v>493</v>
      </c>
      <c r="C315" s="10" t="s">
        <v>494</v>
      </c>
      <c r="D315" s="10" t="s">
        <v>1071</v>
      </c>
      <c r="E315" s="10" t="s">
        <v>134</v>
      </c>
      <c r="F315" s="10" t="s">
        <v>135</v>
      </c>
      <c r="G315" s="10" t="s">
        <v>1124</v>
      </c>
      <c r="H315" s="10" t="s">
        <v>509</v>
      </c>
      <c r="I315" s="14"/>
      <c r="J315" s="18">
        <v>0</v>
      </c>
      <c r="K315" s="13"/>
      <c r="L315" s="14"/>
      <c r="M315" s="15">
        <v>0</v>
      </c>
      <c r="N315" s="14"/>
      <c r="O315" s="13"/>
      <c r="P315" s="16"/>
      <c r="Q315" s="16"/>
      <c r="R315" s="17">
        <f t="shared" si="4"/>
        <v>0</v>
      </c>
      <c r="S315" s="14"/>
      <c r="T315" s="83" t="s">
        <v>1036</v>
      </c>
    </row>
    <row r="316" spans="1:20" ht="31.5" hidden="1" x14ac:dyDescent="0.35">
      <c r="A316" s="8" t="s">
        <v>1004</v>
      </c>
      <c r="B316" s="9" t="s">
        <v>493</v>
      </c>
      <c r="C316" s="10" t="s">
        <v>494</v>
      </c>
      <c r="D316" s="10" t="s">
        <v>1071</v>
      </c>
      <c r="E316" s="10" t="s">
        <v>510</v>
      </c>
      <c r="F316" s="10" t="s">
        <v>511</v>
      </c>
      <c r="G316" s="10" t="s">
        <v>1158</v>
      </c>
      <c r="H316" s="10" t="s">
        <v>512</v>
      </c>
      <c r="I316" s="11">
        <v>2500</v>
      </c>
      <c r="J316" s="12"/>
      <c r="K316" s="13"/>
      <c r="L316" s="14"/>
      <c r="M316" s="15">
        <v>2500</v>
      </c>
      <c r="N316" s="14"/>
      <c r="O316" s="13"/>
      <c r="P316" s="16"/>
      <c r="Q316" s="16"/>
      <c r="R316" s="17">
        <f t="shared" si="4"/>
        <v>2500</v>
      </c>
      <c r="S316" s="73" t="s">
        <v>886</v>
      </c>
      <c r="T316" s="83" t="s">
        <v>1036</v>
      </c>
    </row>
    <row r="317" spans="1:20" ht="42" hidden="1" x14ac:dyDescent="0.35">
      <c r="A317" s="8" t="s">
        <v>1005</v>
      </c>
      <c r="B317" s="9" t="s">
        <v>513</v>
      </c>
      <c r="C317" s="10" t="s">
        <v>514</v>
      </c>
      <c r="D317" s="10" t="s">
        <v>1072</v>
      </c>
      <c r="E317" s="10" t="s">
        <v>26</v>
      </c>
      <c r="F317" s="10" t="s">
        <v>27</v>
      </c>
      <c r="G317" s="10" t="s">
        <v>1100</v>
      </c>
      <c r="H317" s="10" t="s">
        <v>515</v>
      </c>
      <c r="I317" s="11">
        <v>2000</v>
      </c>
      <c r="J317" s="12"/>
      <c r="K317" s="13"/>
      <c r="L317" s="14"/>
      <c r="M317" s="15">
        <v>2000</v>
      </c>
      <c r="N317" s="25"/>
      <c r="O317" s="25">
        <v>2000</v>
      </c>
      <c r="P317" s="28" t="s">
        <v>861</v>
      </c>
      <c r="Q317" s="94"/>
      <c r="R317" s="17">
        <f t="shared" si="4"/>
        <v>0</v>
      </c>
      <c r="S317" s="14"/>
      <c r="T317" s="83" t="s">
        <v>1036</v>
      </c>
    </row>
    <row r="318" spans="1:20" ht="42" hidden="1" x14ac:dyDescent="0.35">
      <c r="A318" s="8" t="s">
        <v>1005</v>
      </c>
      <c r="B318" s="9" t="s">
        <v>513</v>
      </c>
      <c r="C318" s="10" t="s">
        <v>514</v>
      </c>
      <c r="D318" s="10" t="s">
        <v>1072</v>
      </c>
      <c r="E318" s="10" t="s">
        <v>459</v>
      </c>
      <c r="F318" s="10" t="s">
        <v>460</v>
      </c>
      <c r="G318" s="10" t="s">
        <v>1146</v>
      </c>
      <c r="H318" s="10" t="s">
        <v>516</v>
      </c>
      <c r="I318" s="11">
        <v>15000</v>
      </c>
      <c r="J318" s="18">
        <v>8725.68</v>
      </c>
      <c r="K318" s="13"/>
      <c r="L318" s="14"/>
      <c r="M318" s="15">
        <v>6274.32</v>
      </c>
      <c r="N318" s="25">
        <v>3000</v>
      </c>
      <c r="O318" s="25">
        <v>3274</v>
      </c>
      <c r="P318" s="28" t="s">
        <v>862</v>
      </c>
      <c r="Q318" s="94"/>
      <c r="R318" s="17">
        <f t="shared" si="4"/>
        <v>0.31999999999970896</v>
      </c>
      <c r="S318" s="14"/>
      <c r="T318" s="83" t="s">
        <v>1036</v>
      </c>
    </row>
    <row r="319" spans="1:20" ht="42" hidden="1" x14ac:dyDescent="0.35">
      <c r="A319" s="8" t="s">
        <v>1005</v>
      </c>
      <c r="B319" s="9" t="s">
        <v>513</v>
      </c>
      <c r="C319" s="10" t="s">
        <v>514</v>
      </c>
      <c r="D319" s="10" t="s">
        <v>1072</v>
      </c>
      <c r="E319" s="10" t="s">
        <v>403</v>
      </c>
      <c r="F319" s="10" t="s">
        <v>404</v>
      </c>
      <c r="G319" s="10" t="s">
        <v>1134</v>
      </c>
      <c r="H319" s="10" t="s">
        <v>517</v>
      </c>
      <c r="I319" s="11">
        <v>250000</v>
      </c>
      <c r="J319" s="18">
        <v>132395.32</v>
      </c>
      <c r="K319" s="19">
        <v>-7.2759576141834308E-12</v>
      </c>
      <c r="L319" s="11">
        <v>0</v>
      </c>
      <c r="M319" s="15">
        <v>117604.68</v>
      </c>
      <c r="N319" s="25">
        <v>50000</v>
      </c>
      <c r="O319" s="25">
        <v>67605</v>
      </c>
      <c r="P319" s="28" t="s">
        <v>863</v>
      </c>
      <c r="Q319" s="94"/>
      <c r="R319" s="17">
        <f t="shared" si="4"/>
        <v>-0.32000000000698492</v>
      </c>
      <c r="S319" s="14"/>
      <c r="T319" s="83" t="s">
        <v>1036</v>
      </c>
    </row>
    <row r="320" spans="1:20" ht="42" hidden="1" x14ac:dyDescent="0.35">
      <c r="A320" s="8" t="s">
        <v>1005</v>
      </c>
      <c r="B320" s="9" t="s">
        <v>513</v>
      </c>
      <c r="C320" s="10" t="s">
        <v>514</v>
      </c>
      <c r="D320" s="10" t="s">
        <v>1072</v>
      </c>
      <c r="E320" s="10" t="s">
        <v>438</v>
      </c>
      <c r="F320" s="10" t="s">
        <v>439</v>
      </c>
      <c r="G320" s="10" t="s">
        <v>1141</v>
      </c>
      <c r="H320" s="10" t="s">
        <v>518</v>
      </c>
      <c r="I320" s="11">
        <v>176400</v>
      </c>
      <c r="J320" s="12"/>
      <c r="K320" s="13"/>
      <c r="L320" s="14"/>
      <c r="M320" s="15">
        <v>176400</v>
      </c>
      <c r="N320" s="25">
        <v>105000</v>
      </c>
      <c r="O320" s="25"/>
      <c r="P320" s="28" t="s">
        <v>864</v>
      </c>
      <c r="Q320" s="94"/>
      <c r="R320" s="17">
        <f t="shared" si="4"/>
        <v>71400</v>
      </c>
      <c r="S320" s="74" t="s">
        <v>867</v>
      </c>
      <c r="T320" s="83" t="s">
        <v>1036</v>
      </c>
    </row>
    <row r="321" spans="1:20" ht="42" hidden="1" x14ac:dyDescent="0.35">
      <c r="A321" s="8" t="s">
        <v>1005</v>
      </c>
      <c r="B321" s="9" t="s">
        <v>513</v>
      </c>
      <c r="C321" s="10" t="s">
        <v>514</v>
      </c>
      <c r="D321" s="10" t="s">
        <v>1072</v>
      </c>
      <c r="E321" s="10" t="s">
        <v>486</v>
      </c>
      <c r="F321" s="10" t="s">
        <v>487</v>
      </c>
      <c r="G321" s="10" t="s">
        <v>1152</v>
      </c>
      <c r="H321" s="10" t="s">
        <v>519</v>
      </c>
      <c r="I321" s="11">
        <v>164310</v>
      </c>
      <c r="J321" s="18">
        <v>163340.39000000001</v>
      </c>
      <c r="K321" s="19">
        <v>0</v>
      </c>
      <c r="L321" s="11">
        <v>450</v>
      </c>
      <c r="M321" s="15">
        <v>519.60999999998603</v>
      </c>
      <c r="N321" s="25"/>
      <c r="O321" s="25"/>
      <c r="P321" s="28"/>
      <c r="Q321" s="94"/>
      <c r="R321" s="17">
        <f t="shared" si="4"/>
        <v>519.60999999998603</v>
      </c>
      <c r="S321" s="74" t="s">
        <v>868</v>
      </c>
      <c r="T321" s="83" t="s">
        <v>1036</v>
      </c>
    </row>
    <row r="322" spans="1:20" ht="42" hidden="1" x14ac:dyDescent="0.35">
      <c r="A322" s="8" t="s">
        <v>1005</v>
      </c>
      <c r="B322" s="9" t="s">
        <v>513</v>
      </c>
      <c r="C322" s="10" t="s">
        <v>514</v>
      </c>
      <c r="D322" s="10" t="s">
        <v>1072</v>
      </c>
      <c r="E322" s="10" t="s">
        <v>134</v>
      </c>
      <c r="F322" s="10" t="s">
        <v>135</v>
      </c>
      <c r="G322" s="10" t="s">
        <v>1124</v>
      </c>
      <c r="H322" s="10" t="s">
        <v>520</v>
      </c>
      <c r="I322" s="11">
        <v>45000</v>
      </c>
      <c r="J322" s="12"/>
      <c r="K322" s="13"/>
      <c r="L322" s="14"/>
      <c r="M322" s="15">
        <v>45000</v>
      </c>
      <c r="N322" s="25">
        <v>30000</v>
      </c>
      <c r="O322" s="25"/>
      <c r="P322" s="28" t="s">
        <v>865</v>
      </c>
      <c r="Q322" s="94"/>
      <c r="R322" s="17">
        <f t="shared" si="4"/>
        <v>15000</v>
      </c>
      <c r="S322" s="74"/>
      <c r="T322" s="83" t="s">
        <v>1036</v>
      </c>
    </row>
    <row r="323" spans="1:20" ht="42" hidden="1" x14ac:dyDescent="0.35">
      <c r="A323" s="8" t="s">
        <v>1005</v>
      </c>
      <c r="B323" s="9" t="s">
        <v>513</v>
      </c>
      <c r="C323" s="10" t="s">
        <v>514</v>
      </c>
      <c r="D323" s="10" t="s">
        <v>1072</v>
      </c>
      <c r="E323" s="10" t="s">
        <v>510</v>
      </c>
      <c r="F323" s="10" t="s">
        <v>511</v>
      </c>
      <c r="G323" s="10" t="s">
        <v>1158</v>
      </c>
      <c r="H323" s="10" t="s">
        <v>521</v>
      </c>
      <c r="I323" s="11">
        <v>180000</v>
      </c>
      <c r="J323" s="18">
        <v>117163.08</v>
      </c>
      <c r="K323" s="19">
        <v>54.010000000002002</v>
      </c>
      <c r="L323" s="11">
        <v>-1.45519152283669E-11</v>
      </c>
      <c r="M323" s="15">
        <v>62782.91</v>
      </c>
      <c r="N323" s="25">
        <v>25000</v>
      </c>
      <c r="O323" s="25"/>
      <c r="P323" s="28" t="s">
        <v>866</v>
      </c>
      <c r="Q323" s="94"/>
      <c r="R323" s="17">
        <f t="shared" si="4"/>
        <v>37782.910000000003</v>
      </c>
      <c r="S323" s="74" t="s">
        <v>869</v>
      </c>
      <c r="T323" s="83" t="s">
        <v>1036</v>
      </c>
    </row>
    <row r="324" spans="1:20" ht="31.5" hidden="1" x14ac:dyDescent="0.35">
      <c r="A324" s="8" t="s">
        <v>1006</v>
      </c>
      <c r="B324" s="9" t="s">
        <v>522</v>
      </c>
      <c r="C324" s="10" t="s">
        <v>523</v>
      </c>
      <c r="D324" s="10" t="s">
        <v>1073</v>
      </c>
      <c r="E324" s="10" t="s">
        <v>23</v>
      </c>
      <c r="F324" s="10" t="s">
        <v>24</v>
      </c>
      <c r="G324" s="10" t="s">
        <v>1099</v>
      </c>
      <c r="H324" s="10" t="s">
        <v>524</v>
      </c>
      <c r="I324" s="11">
        <v>600000</v>
      </c>
      <c r="J324" s="18">
        <v>2000</v>
      </c>
      <c r="K324" s="19">
        <v>590000</v>
      </c>
      <c r="L324" s="14"/>
      <c r="M324" s="15">
        <v>8000</v>
      </c>
      <c r="N324" s="25"/>
      <c r="O324" s="25"/>
      <c r="P324" s="28"/>
      <c r="Q324" s="94"/>
      <c r="R324" s="17">
        <f t="shared" ref="R324:R387" si="5">M324-N324-O324</f>
        <v>8000</v>
      </c>
      <c r="S324" s="14"/>
      <c r="T324" s="83" t="s">
        <v>1036</v>
      </c>
    </row>
    <row r="325" spans="1:20" ht="31.5" hidden="1" x14ac:dyDescent="0.35">
      <c r="A325" s="8" t="s">
        <v>1006</v>
      </c>
      <c r="B325" s="9" t="s">
        <v>522</v>
      </c>
      <c r="C325" s="10" t="s">
        <v>523</v>
      </c>
      <c r="D325" s="10" t="s">
        <v>1073</v>
      </c>
      <c r="E325" s="10" t="s">
        <v>29</v>
      </c>
      <c r="F325" s="10" t="s">
        <v>30</v>
      </c>
      <c r="G325" s="10" t="s">
        <v>1101</v>
      </c>
      <c r="H325" s="10" t="s">
        <v>525</v>
      </c>
      <c r="I325" s="11">
        <v>42000</v>
      </c>
      <c r="J325" s="18">
        <v>12490</v>
      </c>
      <c r="K325" s="13"/>
      <c r="L325" s="14"/>
      <c r="M325" s="15">
        <v>29510</v>
      </c>
      <c r="N325" s="14"/>
      <c r="O325" s="13"/>
      <c r="P325" s="16"/>
      <c r="Q325" s="16"/>
      <c r="R325" s="17">
        <f t="shared" si="5"/>
        <v>29510</v>
      </c>
      <c r="S325" s="14"/>
      <c r="T325" s="83" t="s">
        <v>1036</v>
      </c>
    </row>
    <row r="326" spans="1:20" ht="31.5" hidden="1" x14ac:dyDescent="0.35">
      <c r="A326" s="8" t="s">
        <v>1006</v>
      </c>
      <c r="B326" s="9" t="s">
        <v>522</v>
      </c>
      <c r="C326" s="10" t="s">
        <v>523</v>
      </c>
      <c r="D326" s="10" t="s">
        <v>1073</v>
      </c>
      <c r="E326" s="10" t="s">
        <v>35</v>
      </c>
      <c r="F326" s="10" t="s">
        <v>36</v>
      </c>
      <c r="G326" s="10" t="s">
        <v>1103</v>
      </c>
      <c r="H326" s="10" t="s">
        <v>526</v>
      </c>
      <c r="I326" s="11">
        <v>250000</v>
      </c>
      <c r="J326" s="18">
        <v>650</v>
      </c>
      <c r="K326" s="13"/>
      <c r="L326" s="14"/>
      <c r="M326" s="15">
        <v>249350</v>
      </c>
      <c r="N326" s="88">
        <v>50000</v>
      </c>
      <c r="O326" s="88">
        <v>200000</v>
      </c>
      <c r="P326" s="16"/>
      <c r="Q326" s="16"/>
      <c r="R326" s="17">
        <f t="shared" si="5"/>
        <v>-650</v>
      </c>
      <c r="S326" s="14"/>
      <c r="T326" s="83" t="s">
        <v>1036</v>
      </c>
    </row>
    <row r="327" spans="1:20" ht="31.5" hidden="1" x14ac:dyDescent="0.35">
      <c r="A327" s="8" t="s">
        <v>1006</v>
      </c>
      <c r="B327" s="9" t="s">
        <v>522</v>
      </c>
      <c r="C327" s="10" t="s">
        <v>523</v>
      </c>
      <c r="D327" s="10" t="s">
        <v>1073</v>
      </c>
      <c r="E327" s="10" t="s">
        <v>38</v>
      </c>
      <c r="F327" s="10" t="s">
        <v>39</v>
      </c>
      <c r="G327" s="10" t="s">
        <v>1104</v>
      </c>
      <c r="H327" s="10" t="s">
        <v>527</v>
      </c>
      <c r="I327" s="11">
        <v>300000</v>
      </c>
      <c r="J327" s="12"/>
      <c r="K327" s="19">
        <v>0</v>
      </c>
      <c r="L327" s="11">
        <v>17000</v>
      </c>
      <c r="M327" s="15">
        <v>283000</v>
      </c>
      <c r="N327" s="88">
        <v>174000</v>
      </c>
      <c r="O327" s="88">
        <v>100000</v>
      </c>
      <c r="P327" s="16"/>
      <c r="Q327" s="16"/>
      <c r="R327" s="17">
        <f t="shared" si="5"/>
        <v>9000</v>
      </c>
      <c r="S327" s="14"/>
      <c r="T327" s="83" t="s">
        <v>1036</v>
      </c>
    </row>
    <row r="328" spans="1:20" ht="31.5" hidden="1" x14ac:dyDescent="0.35">
      <c r="A328" s="8" t="s">
        <v>1006</v>
      </c>
      <c r="B328" s="9" t="s">
        <v>522</v>
      </c>
      <c r="C328" s="10" t="s">
        <v>523</v>
      </c>
      <c r="D328" s="10" t="s">
        <v>1073</v>
      </c>
      <c r="E328" s="10" t="s">
        <v>528</v>
      </c>
      <c r="F328" s="10" t="s">
        <v>529</v>
      </c>
      <c r="G328" s="10" t="s">
        <v>1159</v>
      </c>
      <c r="H328" s="10" t="s">
        <v>530</v>
      </c>
      <c r="I328" s="11">
        <v>10000</v>
      </c>
      <c r="J328" s="12"/>
      <c r="K328" s="13"/>
      <c r="L328" s="14"/>
      <c r="M328" s="15">
        <v>10000</v>
      </c>
      <c r="N328" s="79"/>
      <c r="O328" s="44"/>
      <c r="P328" s="16"/>
      <c r="Q328" s="16"/>
      <c r="R328" s="17">
        <f t="shared" si="5"/>
        <v>10000</v>
      </c>
      <c r="S328" s="14"/>
      <c r="T328" s="83" t="s">
        <v>1036</v>
      </c>
    </row>
    <row r="329" spans="1:20" ht="31.5" hidden="1" x14ac:dyDescent="0.35">
      <c r="A329" s="8" t="s">
        <v>1006</v>
      </c>
      <c r="B329" s="9" t="s">
        <v>522</v>
      </c>
      <c r="C329" s="10" t="s">
        <v>523</v>
      </c>
      <c r="D329" s="10" t="s">
        <v>1073</v>
      </c>
      <c r="E329" s="10" t="s">
        <v>41</v>
      </c>
      <c r="F329" s="10" t="s">
        <v>42</v>
      </c>
      <c r="G329" s="10" t="s">
        <v>1105</v>
      </c>
      <c r="H329" s="10" t="s">
        <v>531</v>
      </c>
      <c r="I329" s="11">
        <v>8000</v>
      </c>
      <c r="J329" s="18">
        <v>8000</v>
      </c>
      <c r="K329" s="13"/>
      <c r="L329" s="14"/>
      <c r="M329" s="15">
        <v>0</v>
      </c>
      <c r="N329" s="79"/>
      <c r="O329" s="44"/>
      <c r="P329" s="16"/>
      <c r="Q329" s="16"/>
      <c r="R329" s="17">
        <f t="shared" si="5"/>
        <v>0</v>
      </c>
      <c r="S329" s="14"/>
      <c r="T329" s="83" t="s">
        <v>1036</v>
      </c>
    </row>
    <row r="330" spans="1:20" ht="31.5" hidden="1" x14ac:dyDescent="0.35">
      <c r="A330" s="8" t="s">
        <v>1006</v>
      </c>
      <c r="B330" s="9" t="s">
        <v>522</v>
      </c>
      <c r="C330" s="10" t="s">
        <v>523</v>
      </c>
      <c r="D330" s="10" t="s">
        <v>1073</v>
      </c>
      <c r="E330" s="10" t="s">
        <v>47</v>
      </c>
      <c r="F330" s="10" t="s">
        <v>48</v>
      </c>
      <c r="G330" s="10" t="s">
        <v>1107</v>
      </c>
      <c r="H330" s="10" t="s">
        <v>532</v>
      </c>
      <c r="I330" s="11">
        <v>250000</v>
      </c>
      <c r="J330" s="18">
        <v>19047.55</v>
      </c>
      <c r="K330" s="19">
        <v>27108</v>
      </c>
      <c r="L330" s="11">
        <v>0</v>
      </c>
      <c r="M330" s="15">
        <v>203844.45</v>
      </c>
      <c r="N330" s="88">
        <v>100000</v>
      </c>
      <c r="O330" s="88">
        <v>100000</v>
      </c>
      <c r="P330" s="16"/>
      <c r="Q330" s="16"/>
      <c r="R330" s="17">
        <f t="shared" si="5"/>
        <v>3844.4500000000116</v>
      </c>
      <c r="S330" s="14"/>
      <c r="T330" s="83" t="s">
        <v>1036</v>
      </c>
    </row>
    <row r="331" spans="1:20" ht="31.5" hidden="1" x14ac:dyDescent="0.35">
      <c r="A331" s="8" t="s">
        <v>1006</v>
      </c>
      <c r="B331" s="9" t="s">
        <v>522</v>
      </c>
      <c r="C331" s="10" t="s">
        <v>523</v>
      </c>
      <c r="D331" s="10" t="s">
        <v>1073</v>
      </c>
      <c r="E331" s="10" t="s">
        <v>134</v>
      </c>
      <c r="F331" s="10" t="s">
        <v>135</v>
      </c>
      <c r="G331" s="10" t="s">
        <v>1124</v>
      </c>
      <c r="H331" s="10" t="s">
        <v>533</v>
      </c>
      <c r="I331" s="11">
        <v>50000</v>
      </c>
      <c r="J331" s="12"/>
      <c r="K331" s="13"/>
      <c r="L331" s="14"/>
      <c r="M331" s="15">
        <v>50000</v>
      </c>
      <c r="N331" s="88">
        <v>25000</v>
      </c>
      <c r="O331" s="88">
        <v>25000</v>
      </c>
      <c r="P331" s="16"/>
      <c r="Q331" s="16"/>
      <c r="R331" s="17">
        <f t="shared" si="5"/>
        <v>0</v>
      </c>
      <c r="S331" s="14"/>
      <c r="T331" s="83" t="s">
        <v>1036</v>
      </c>
    </row>
    <row r="332" spans="1:20" ht="31.5" hidden="1" x14ac:dyDescent="0.35">
      <c r="A332" s="8" t="s">
        <v>1007</v>
      </c>
      <c r="B332" s="9" t="s">
        <v>534</v>
      </c>
      <c r="C332" s="10" t="s">
        <v>535</v>
      </c>
      <c r="D332" s="10" t="s">
        <v>1074</v>
      </c>
      <c r="E332" s="10" t="s">
        <v>536</v>
      </c>
      <c r="F332" s="10" t="s">
        <v>537</v>
      </c>
      <c r="G332" s="10" t="s">
        <v>1160</v>
      </c>
      <c r="H332" s="10" t="s">
        <v>538</v>
      </c>
      <c r="I332" s="11">
        <v>0</v>
      </c>
      <c r="J332" s="12"/>
      <c r="K332" s="13"/>
      <c r="L332" s="14"/>
      <c r="M332" s="15">
        <v>0</v>
      </c>
      <c r="N332" s="14"/>
      <c r="O332" s="13"/>
      <c r="P332" s="16"/>
      <c r="Q332" s="16"/>
      <c r="R332" s="17">
        <f t="shared" si="5"/>
        <v>0</v>
      </c>
      <c r="S332" s="27">
        <v>0</v>
      </c>
      <c r="T332" s="83" t="s">
        <v>1037</v>
      </c>
    </row>
    <row r="333" spans="1:20" ht="31.5" hidden="1" x14ac:dyDescent="0.35">
      <c r="A333" s="8" t="s">
        <v>1007</v>
      </c>
      <c r="B333" s="9" t="s">
        <v>534</v>
      </c>
      <c r="C333" s="10" t="s">
        <v>535</v>
      </c>
      <c r="D333" s="10" t="s">
        <v>1074</v>
      </c>
      <c r="E333" s="10" t="s">
        <v>539</v>
      </c>
      <c r="F333" s="10" t="s">
        <v>540</v>
      </c>
      <c r="G333" s="10" t="s">
        <v>1161</v>
      </c>
      <c r="H333" s="10" t="s">
        <v>541</v>
      </c>
      <c r="I333" s="11">
        <v>10351793</v>
      </c>
      <c r="J333" s="12"/>
      <c r="K333" s="13"/>
      <c r="L333" s="14"/>
      <c r="M333" s="15">
        <v>10351793</v>
      </c>
      <c r="N333" s="60">
        <v>10221106</v>
      </c>
      <c r="O333" s="61"/>
      <c r="P333" s="62" t="s">
        <v>982</v>
      </c>
      <c r="Q333" s="62"/>
      <c r="R333" s="17">
        <f t="shared" si="5"/>
        <v>130687</v>
      </c>
      <c r="S333" s="75" t="s">
        <v>990</v>
      </c>
      <c r="T333" s="83" t="s">
        <v>1036</v>
      </c>
    </row>
    <row r="334" spans="1:20" ht="39" hidden="1" x14ac:dyDescent="0.35">
      <c r="A334" s="8" t="s">
        <v>1007</v>
      </c>
      <c r="B334" s="9" t="s">
        <v>534</v>
      </c>
      <c r="C334" s="10" t="s">
        <v>535</v>
      </c>
      <c r="D334" s="10" t="s">
        <v>1074</v>
      </c>
      <c r="E334" s="10" t="s">
        <v>415</v>
      </c>
      <c r="F334" s="10" t="s">
        <v>416</v>
      </c>
      <c r="G334" s="10" t="s">
        <v>1136</v>
      </c>
      <c r="H334" s="10" t="s">
        <v>542</v>
      </c>
      <c r="I334" s="11">
        <v>445192</v>
      </c>
      <c r="J334" s="18">
        <v>-246835.07</v>
      </c>
      <c r="K334" s="19">
        <v>0</v>
      </c>
      <c r="L334" s="11">
        <v>620496.22</v>
      </c>
      <c r="M334" s="15">
        <v>71530.850000000006</v>
      </c>
      <c r="N334" s="63">
        <v>0</v>
      </c>
      <c r="O334" s="61"/>
      <c r="P334" s="62"/>
      <c r="Q334" s="62"/>
      <c r="R334" s="17">
        <f t="shared" si="5"/>
        <v>71530.850000000006</v>
      </c>
      <c r="S334" s="75" t="s">
        <v>991</v>
      </c>
      <c r="T334" s="83" t="s">
        <v>1036</v>
      </c>
    </row>
    <row r="335" spans="1:20" ht="31.5" hidden="1" x14ac:dyDescent="0.35">
      <c r="A335" s="8" t="s">
        <v>1007</v>
      </c>
      <c r="B335" s="9" t="s">
        <v>534</v>
      </c>
      <c r="C335" s="10" t="s">
        <v>535</v>
      </c>
      <c r="D335" s="10" t="s">
        <v>1074</v>
      </c>
      <c r="E335" s="10" t="s">
        <v>38</v>
      </c>
      <c r="F335" s="10" t="s">
        <v>39</v>
      </c>
      <c r="G335" s="10" t="s">
        <v>1104</v>
      </c>
      <c r="H335" s="10" t="s">
        <v>543</v>
      </c>
      <c r="I335" s="11">
        <v>7602571</v>
      </c>
      <c r="J335" s="18">
        <v>2930039.24</v>
      </c>
      <c r="K335" s="19">
        <v>2247207.46</v>
      </c>
      <c r="L335" s="11">
        <v>1497716.46</v>
      </c>
      <c r="M335" s="15">
        <v>915993.32</v>
      </c>
      <c r="N335" s="64">
        <v>815993.32</v>
      </c>
      <c r="O335" s="64">
        <v>100000</v>
      </c>
      <c r="P335" s="62" t="s">
        <v>983</v>
      </c>
      <c r="Q335" s="62"/>
      <c r="R335" s="17">
        <f t="shared" si="5"/>
        <v>0</v>
      </c>
      <c r="S335" s="75"/>
      <c r="T335" s="83" t="s">
        <v>1036</v>
      </c>
    </row>
    <row r="336" spans="1:20" ht="39" hidden="1" x14ac:dyDescent="0.35">
      <c r="A336" s="8" t="s">
        <v>1007</v>
      </c>
      <c r="B336" s="9" t="s">
        <v>534</v>
      </c>
      <c r="C336" s="10" t="s">
        <v>535</v>
      </c>
      <c r="D336" s="10" t="s">
        <v>1074</v>
      </c>
      <c r="E336" s="10" t="s">
        <v>544</v>
      </c>
      <c r="F336" s="10" t="s">
        <v>545</v>
      </c>
      <c r="G336" s="10" t="s">
        <v>1162</v>
      </c>
      <c r="H336" s="10" t="s">
        <v>546</v>
      </c>
      <c r="I336" s="11">
        <v>800000</v>
      </c>
      <c r="J336" s="18">
        <v>718525.65</v>
      </c>
      <c r="K336" s="13"/>
      <c r="L336" s="14"/>
      <c r="M336" s="15">
        <v>79328.390000000101</v>
      </c>
      <c r="N336" s="64">
        <f>M336+1370000</f>
        <v>1449328.3900000001</v>
      </c>
      <c r="O336" s="64"/>
      <c r="P336" s="62" t="s">
        <v>984</v>
      </c>
      <c r="Q336" s="62"/>
      <c r="R336" s="17">
        <f t="shared" si="5"/>
        <v>-1370000</v>
      </c>
      <c r="S336" s="75" t="s">
        <v>992</v>
      </c>
      <c r="T336" s="83" t="s">
        <v>1036</v>
      </c>
    </row>
    <row r="337" spans="1:20" ht="65" hidden="1" x14ac:dyDescent="0.35">
      <c r="A337" s="8" t="s">
        <v>1007</v>
      </c>
      <c r="B337" s="9" t="s">
        <v>534</v>
      </c>
      <c r="C337" s="10" t="s">
        <v>535</v>
      </c>
      <c r="D337" s="10" t="s">
        <v>1074</v>
      </c>
      <c r="E337" s="10" t="s">
        <v>547</v>
      </c>
      <c r="F337" s="10" t="s">
        <v>548</v>
      </c>
      <c r="G337" s="10" t="s">
        <v>1163</v>
      </c>
      <c r="H337" s="10" t="s">
        <v>549</v>
      </c>
      <c r="I337" s="11">
        <v>2618028</v>
      </c>
      <c r="J337" s="18">
        <v>744317</v>
      </c>
      <c r="K337" s="13"/>
      <c r="L337" s="14"/>
      <c r="M337" s="15">
        <v>1873711</v>
      </c>
      <c r="N337" s="64">
        <v>1873711</v>
      </c>
      <c r="O337" s="64"/>
      <c r="P337" s="62" t="s">
        <v>985</v>
      </c>
      <c r="Q337" s="62"/>
      <c r="R337" s="17">
        <f t="shared" si="5"/>
        <v>0</v>
      </c>
      <c r="S337" s="14"/>
      <c r="T337" s="83" t="s">
        <v>1036</v>
      </c>
    </row>
    <row r="338" spans="1:20" ht="31.5" hidden="1" x14ac:dyDescent="0.35">
      <c r="A338" s="8" t="s">
        <v>1007</v>
      </c>
      <c r="B338" s="9" t="s">
        <v>534</v>
      </c>
      <c r="C338" s="10" t="s">
        <v>535</v>
      </c>
      <c r="D338" s="10" t="s">
        <v>1074</v>
      </c>
      <c r="E338" s="10" t="s">
        <v>41</v>
      </c>
      <c r="F338" s="10" t="s">
        <v>42</v>
      </c>
      <c r="G338" s="10" t="s">
        <v>1105</v>
      </c>
      <c r="H338" s="10" t="s">
        <v>550</v>
      </c>
      <c r="I338" s="11">
        <v>11500</v>
      </c>
      <c r="J338" s="18">
        <v>4400</v>
      </c>
      <c r="K338" s="13"/>
      <c r="L338" s="14"/>
      <c r="M338" s="15">
        <v>7100</v>
      </c>
      <c r="N338" s="65">
        <v>3000</v>
      </c>
      <c r="O338" s="64">
        <v>4100</v>
      </c>
      <c r="P338" s="62" t="s">
        <v>986</v>
      </c>
      <c r="Q338" s="62"/>
      <c r="R338" s="17">
        <f t="shared" si="5"/>
        <v>0</v>
      </c>
      <c r="S338" s="14"/>
      <c r="T338" s="83" t="s">
        <v>1036</v>
      </c>
    </row>
    <row r="339" spans="1:20" ht="31.5" hidden="1" x14ac:dyDescent="0.35">
      <c r="A339" s="8" t="s">
        <v>1007</v>
      </c>
      <c r="B339" s="9" t="s">
        <v>534</v>
      </c>
      <c r="C339" s="10" t="s">
        <v>535</v>
      </c>
      <c r="D339" s="10" t="s">
        <v>1074</v>
      </c>
      <c r="E339" s="10" t="s">
        <v>551</v>
      </c>
      <c r="F339" s="10" t="s">
        <v>552</v>
      </c>
      <c r="G339" s="10" t="s">
        <v>1164</v>
      </c>
      <c r="H339" s="10" t="s">
        <v>553</v>
      </c>
      <c r="I339" s="11">
        <v>0</v>
      </c>
      <c r="J339" s="12"/>
      <c r="K339" s="13"/>
      <c r="L339" s="14"/>
      <c r="M339" s="15">
        <v>0</v>
      </c>
      <c r="N339" s="65"/>
      <c r="O339" s="64"/>
      <c r="P339" s="62"/>
      <c r="Q339" s="62"/>
      <c r="R339" s="17">
        <f t="shared" si="5"/>
        <v>0</v>
      </c>
      <c r="S339" s="14"/>
      <c r="T339" s="83" t="s">
        <v>1036</v>
      </c>
    </row>
    <row r="340" spans="1:20" ht="31.5" hidden="1" x14ac:dyDescent="0.35">
      <c r="A340" s="8" t="s">
        <v>1007</v>
      </c>
      <c r="B340" s="9" t="s">
        <v>534</v>
      </c>
      <c r="C340" s="10" t="s">
        <v>535</v>
      </c>
      <c r="D340" s="10" t="s">
        <v>1074</v>
      </c>
      <c r="E340" s="10" t="s">
        <v>554</v>
      </c>
      <c r="F340" s="10" t="s">
        <v>555</v>
      </c>
      <c r="G340" s="10" t="s">
        <v>1165</v>
      </c>
      <c r="H340" s="10" t="s">
        <v>556</v>
      </c>
      <c r="I340" s="11">
        <v>1021317</v>
      </c>
      <c r="J340" s="12"/>
      <c r="K340" s="19">
        <v>264407.12</v>
      </c>
      <c r="L340" s="11">
        <v>754866.67</v>
      </c>
      <c r="M340" s="15">
        <v>2043.20999999996</v>
      </c>
      <c r="N340" s="65"/>
      <c r="O340" s="64"/>
      <c r="P340" s="62"/>
      <c r="Q340" s="62"/>
      <c r="R340" s="17">
        <f t="shared" si="5"/>
        <v>2043.20999999996</v>
      </c>
      <c r="S340" s="75" t="s">
        <v>990</v>
      </c>
      <c r="T340" s="83" t="s">
        <v>1036</v>
      </c>
    </row>
    <row r="341" spans="1:20" ht="52" hidden="1" x14ac:dyDescent="0.35">
      <c r="A341" s="8" t="s">
        <v>1007</v>
      </c>
      <c r="B341" s="9" t="s">
        <v>534</v>
      </c>
      <c r="C341" s="10" t="s">
        <v>535</v>
      </c>
      <c r="D341" s="10" t="s">
        <v>1074</v>
      </c>
      <c r="E341" s="10" t="s">
        <v>103</v>
      </c>
      <c r="F341" s="10" t="s">
        <v>104</v>
      </c>
      <c r="G341" s="10" t="s">
        <v>1117</v>
      </c>
      <c r="H341" s="10" t="s">
        <v>557</v>
      </c>
      <c r="I341" s="11">
        <v>1505000</v>
      </c>
      <c r="J341" s="18">
        <v>578553.93999999994</v>
      </c>
      <c r="K341" s="19">
        <v>-2.6193447411060302E-10</v>
      </c>
      <c r="L341" s="11">
        <v>859247.39999999898</v>
      </c>
      <c r="M341" s="15">
        <v>67198.660000000702</v>
      </c>
      <c r="N341" s="64">
        <v>49000</v>
      </c>
      <c r="O341" s="64">
        <v>18199</v>
      </c>
      <c r="P341" s="62" t="s">
        <v>987</v>
      </c>
      <c r="Q341" s="62"/>
      <c r="R341" s="17">
        <f t="shared" si="5"/>
        <v>-0.33999999929801561</v>
      </c>
      <c r="S341" s="14"/>
      <c r="T341" s="83" t="s">
        <v>1036</v>
      </c>
    </row>
    <row r="342" spans="1:20" ht="31.5" hidden="1" x14ac:dyDescent="0.35">
      <c r="A342" s="8" t="s">
        <v>1007</v>
      </c>
      <c r="B342" s="9" t="s">
        <v>534</v>
      </c>
      <c r="C342" s="10" t="s">
        <v>535</v>
      </c>
      <c r="D342" s="10" t="s">
        <v>1074</v>
      </c>
      <c r="E342" s="10" t="s">
        <v>558</v>
      </c>
      <c r="F342" s="10" t="s">
        <v>559</v>
      </c>
      <c r="G342" s="10" t="s">
        <v>1166</v>
      </c>
      <c r="H342" s="10" t="s">
        <v>560</v>
      </c>
      <c r="I342" s="11">
        <v>360000</v>
      </c>
      <c r="J342" s="18">
        <v>109115.62</v>
      </c>
      <c r="K342" s="13"/>
      <c r="L342" s="14"/>
      <c r="M342" s="15">
        <v>250884.38</v>
      </c>
      <c r="N342" s="65">
        <v>120000</v>
      </c>
      <c r="O342" s="64">
        <v>130884</v>
      </c>
      <c r="P342" s="62" t="s">
        <v>988</v>
      </c>
      <c r="Q342" s="62"/>
      <c r="R342" s="17">
        <f t="shared" si="5"/>
        <v>0.38000000000465661</v>
      </c>
      <c r="S342" s="14"/>
      <c r="T342" s="83" t="s">
        <v>1036</v>
      </c>
    </row>
    <row r="343" spans="1:20" ht="31.5" hidden="1" x14ac:dyDescent="0.35">
      <c r="A343" s="8" t="s">
        <v>1007</v>
      </c>
      <c r="B343" s="9" t="s">
        <v>534</v>
      </c>
      <c r="C343" s="10" t="s">
        <v>535</v>
      </c>
      <c r="D343" s="10" t="s">
        <v>1074</v>
      </c>
      <c r="E343" s="10" t="s">
        <v>134</v>
      </c>
      <c r="F343" s="10" t="s">
        <v>135</v>
      </c>
      <c r="G343" s="10" t="s">
        <v>1124</v>
      </c>
      <c r="H343" s="10" t="s">
        <v>561</v>
      </c>
      <c r="I343" s="11">
        <v>0</v>
      </c>
      <c r="J343" s="12"/>
      <c r="K343" s="13"/>
      <c r="L343" s="14"/>
      <c r="M343" s="15">
        <v>0</v>
      </c>
      <c r="N343" s="14"/>
      <c r="O343" s="13"/>
      <c r="P343" s="16"/>
      <c r="Q343" s="16"/>
      <c r="R343" s="17">
        <f t="shared" si="5"/>
        <v>0</v>
      </c>
      <c r="S343" s="14"/>
      <c r="T343" s="83" t="s">
        <v>1036</v>
      </c>
    </row>
    <row r="344" spans="1:20" ht="42" hidden="1" x14ac:dyDescent="0.35">
      <c r="A344" s="8" t="s">
        <v>1008</v>
      </c>
      <c r="B344" s="9" t="s">
        <v>562</v>
      </c>
      <c r="C344" s="10" t="s">
        <v>563</v>
      </c>
      <c r="D344" s="10" t="s">
        <v>1075</v>
      </c>
      <c r="E344" s="10" t="s">
        <v>65</v>
      </c>
      <c r="F344" s="10" t="s">
        <v>66</v>
      </c>
      <c r="G344" s="10" t="s">
        <v>1110</v>
      </c>
      <c r="H344" s="10" t="s">
        <v>564</v>
      </c>
      <c r="I344" s="11">
        <v>107500</v>
      </c>
      <c r="J344" s="12"/>
      <c r="K344" s="13"/>
      <c r="L344" s="14"/>
      <c r="M344" s="15">
        <v>107500</v>
      </c>
      <c r="N344" s="14"/>
      <c r="O344" s="13"/>
      <c r="P344" s="16"/>
      <c r="Q344" s="16"/>
      <c r="R344" s="17">
        <f t="shared" si="5"/>
        <v>107500</v>
      </c>
      <c r="S344" s="27">
        <v>0</v>
      </c>
      <c r="T344" s="83" t="s">
        <v>1037</v>
      </c>
    </row>
    <row r="345" spans="1:20" ht="42" hidden="1" x14ac:dyDescent="0.35">
      <c r="A345" s="8" t="s">
        <v>1008</v>
      </c>
      <c r="B345" s="9" t="s">
        <v>562</v>
      </c>
      <c r="C345" s="10" t="s">
        <v>563</v>
      </c>
      <c r="D345" s="10" t="s">
        <v>1075</v>
      </c>
      <c r="E345" s="10" t="s">
        <v>29</v>
      </c>
      <c r="F345" s="10" t="s">
        <v>30</v>
      </c>
      <c r="G345" s="10" t="s">
        <v>1101</v>
      </c>
      <c r="H345" s="10" t="s">
        <v>565</v>
      </c>
      <c r="I345" s="11">
        <v>100000</v>
      </c>
      <c r="J345" s="12"/>
      <c r="K345" s="13"/>
      <c r="L345" s="14"/>
      <c r="M345" s="15">
        <v>100000</v>
      </c>
      <c r="N345" s="14"/>
      <c r="O345" s="13"/>
      <c r="P345" s="16"/>
      <c r="Q345" s="16"/>
      <c r="R345" s="17">
        <f t="shared" si="5"/>
        <v>100000</v>
      </c>
      <c r="S345" s="27">
        <v>0</v>
      </c>
      <c r="T345" s="83" t="s">
        <v>1037</v>
      </c>
    </row>
    <row r="346" spans="1:20" ht="42" hidden="1" x14ac:dyDescent="0.35">
      <c r="A346" s="8" t="s">
        <v>1008</v>
      </c>
      <c r="B346" s="9" t="s">
        <v>562</v>
      </c>
      <c r="C346" s="10" t="s">
        <v>563</v>
      </c>
      <c r="D346" s="10" t="s">
        <v>1075</v>
      </c>
      <c r="E346" s="10" t="s">
        <v>253</v>
      </c>
      <c r="F346" s="10" t="s">
        <v>254</v>
      </c>
      <c r="G346" s="10" t="s">
        <v>1131</v>
      </c>
      <c r="H346" s="10" t="s">
        <v>566</v>
      </c>
      <c r="I346" s="11">
        <v>76120</v>
      </c>
      <c r="J346" s="18">
        <v>20760</v>
      </c>
      <c r="K346" s="13"/>
      <c r="L346" s="14"/>
      <c r="M346" s="15">
        <v>55360</v>
      </c>
      <c r="N346" s="14"/>
      <c r="O346" s="13"/>
      <c r="P346" s="16"/>
      <c r="Q346" s="16"/>
      <c r="R346" s="17">
        <f t="shared" si="5"/>
        <v>55360</v>
      </c>
      <c r="S346" s="27">
        <v>0</v>
      </c>
      <c r="T346" s="83" t="s">
        <v>1037</v>
      </c>
    </row>
    <row r="347" spans="1:20" ht="42" hidden="1" x14ac:dyDescent="0.35">
      <c r="A347" s="8" t="s">
        <v>1008</v>
      </c>
      <c r="B347" s="9" t="s">
        <v>562</v>
      </c>
      <c r="C347" s="10" t="s">
        <v>563</v>
      </c>
      <c r="D347" s="10" t="s">
        <v>1075</v>
      </c>
      <c r="E347" s="10" t="s">
        <v>35</v>
      </c>
      <c r="F347" s="10" t="s">
        <v>36</v>
      </c>
      <c r="G347" s="10" t="s">
        <v>1103</v>
      </c>
      <c r="H347" s="10" t="s">
        <v>567</v>
      </c>
      <c r="I347" s="11">
        <v>162500</v>
      </c>
      <c r="J347" s="12"/>
      <c r="K347" s="13"/>
      <c r="L347" s="14"/>
      <c r="M347" s="15">
        <v>162500</v>
      </c>
      <c r="N347" s="14"/>
      <c r="O347" s="13"/>
      <c r="P347" s="16"/>
      <c r="Q347" s="16"/>
      <c r="R347" s="17">
        <f t="shared" si="5"/>
        <v>162500</v>
      </c>
      <c r="S347" s="27">
        <v>0</v>
      </c>
      <c r="T347" s="83" t="s">
        <v>1037</v>
      </c>
    </row>
    <row r="348" spans="1:20" ht="42" hidden="1" x14ac:dyDescent="0.35">
      <c r="A348" s="8" t="s">
        <v>1008</v>
      </c>
      <c r="B348" s="9" t="s">
        <v>562</v>
      </c>
      <c r="C348" s="10" t="s">
        <v>563</v>
      </c>
      <c r="D348" s="10" t="s">
        <v>1075</v>
      </c>
      <c r="E348" s="10" t="s">
        <v>134</v>
      </c>
      <c r="F348" s="10" t="s">
        <v>135</v>
      </c>
      <c r="G348" s="10" t="s">
        <v>1124</v>
      </c>
      <c r="H348" s="10" t="s">
        <v>568</v>
      </c>
      <c r="I348" s="11">
        <v>50625</v>
      </c>
      <c r="J348" s="12"/>
      <c r="K348" s="13"/>
      <c r="L348" s="14"/>
      <c r="M348" s="15">
        <v>50625</v>
      </c>
      <c r="N348" s="14"/>
      <c r="O348" s="13"/>
      <c r="P348" s="16"/>
      <c r="Q348" s="16"/>
      <c r="R348" s="17">
        <f t="shared" si="5"/>
        <v>50625</v>
      </c>
      <c r="S348" s="27">
        <v>0</v>
      </c>
      <c r="T348" s="83" t="s">
        <v>1037</v>
      </c>
    </row>
    <row r="349" spans="1:20" ht="42" hidden="1" x14ac:dyDescent="0.35">
      <c r="A349" s="8" t="s">
        <v>1008</v>
      </c>
      <c r="B349" s="9" t="s">
        <v>562</v>
      </c>
      <c r="C349" s="10" t="s">
        <v>563</v>
      </c>
      <c r="D349" s="10" t="s">
        <v>1075</v>
      </c>
      <c r="E349" s="10" t="s">
        <v>510</v>
      </c>
      <c r="F349" s="10" t="s">
        <v>511</v>
      </c>
      <c r="G349" s="10" t="s">
        <v>1158</v>
      </c>
      <c r="H349" s="10" t="s">
        <v>569</v>
      </c>
      <c r="I349" s="11">
        <v>5625</v>
      </c>
      <c r="J349" s="12"/>
      <c r="K349" s="13"/>
      <c r="L349" s="14"/>
      <c r="M349" s="15">
        <v>5625</v>
      </c>
      <c r="N349" s="14"/>
      <c r="O349" s="13"/>
      <c r="P349" s="16"/>
      <c r="Q349" s="16"/>
      <c r="R349" s="17">
        <f t="shared" si="5"/>
        <v>5625</v>
      </c>
      <c r="S349" s="27">
        <v>0</v>
      </c>
      <c r="T349" s="83" t="s">
        <v>1037</v>
      </c>
    </row>
    <row r="350" spans="1:20" ht="42" hidden="1" x14ac:dyDescent="0.35">
      <c r="A350" s="8" t="s">
        <v>1009</v>
      </c>
      <c r="B350" s="9" t="s">
        <v>570</v>
      </c>
      <c r="C350" s="10" t="s">
        <v>571</v>
      </c>
      <c r="D350" s="10" t="s">
        <v>1076</v>
      </c>
      <c r="E350" s="10" t="s">
        <v>35</v>
      </c>
      <c r="F350" s="10" t="s">
        <v>36</v>
      </c>
      <c r="G350" s="10" t="s">
        <v>1103</v>
      </c>
      <c r="H350" s="10" t="s">
        <v>572</v>
      </c>
      <c r="I350" s="11">
        <v>30000</v>
      </c>
      <c r="J350" s="12"/>
      <c r="K350" s="13"/>
      <c r="L350" s="14"/>
      <c r="M350" s="15">
        <v>30000</v>
      </c>
      <c r="N350" s="31"/>
      <c r="O350" s="32">
        <v>30000</v>
      </c>
      <c r="P350" s="33" t="s">
        <v>887</v>
      </c>
      <c r="Q350" s="33"/>
      <c r="R350" s="17">
        <f t="shared" si="5"/>
        <v>0</v>
      </c>
      <c r="S350" s="14"/>
      <c r="T350" s="83" t="s">
        <v>1036</v>
      </c>
    </row>
    <row r="351" spans="1:20" ht="42" hidden="1" x14ac:dyDescent="0.35">
      <c r="A351" s="8" t="s">
        <v>1009</v>
      </c>
      <c r="B351" s="9" t="s">
        <v>570</v>
      </c>
      <c r="C351" s="10" t="s">
        <v>571</v>
      </c>
      <c r="D351" s="10" t="s">
        <v>1076</v>
      </c>
      <c r="E351" s="10" t="s">
        <v>59</v>
      </c>
      <c r="F351" s="10" t="s">
        <v>60</v>
      </c>
      <c r="G351" s="10" t="s">
        <v>1109</v>
      </c>
      <c r="H351" s="10" t="s">
        <v>573</v>
      </c>
      <c r="I351" s="11">
        <v>428951</v>
      </c>
      <c r="J351" s="18">
        <v>3526.08</v>
      </c>
      <c r="K351" s="19">
        <v>332272.18</v>
      </c>
      <c r="L351" s="11">
        <v>16161.2</v>
      </c>
      <c r="M351" s="15">
        <v>76991.539999999994</v>
      </c>
      <c r="N351" s="31"/>
      <c r="O351" s="32">
        <v>76991.539999999994</v>
      </c>
      <c r="P351" s="33" t="s">
        <v>888</v>
      </c>
      <c r="Q351" s="33"/>
      <c r="R351" s="17">
        <f t="shared" si="5"/>
        <v>0</v>
      </c>
      <c r="S351" s="14"/>
      <c r="T351" s="83" t="s">
        <v>1036</v>
      </c>
    </row>
    <row r="352" spans="1:20" ht="42" hidden="1" x14ac:dyDescent="0.35">
      <c r="A352" s="8" t="s">
        <v>1009</v>
      </c>
      <c r="B352" s="9" t="s">
        <v>570</v>
      </c>
      <c r="C352" s="10" t="s">
        <v>571</v>
      </c>
      <c r="D352" s="10" t="s">
        <v>1076</v>
      </c>
      <c r="E352" s="10" t="s">
        <v>41</v>
      </c>
      <c r="F352" s="10" t="s">
        <v>42</v>
      </c>
      <c r="G352" s="10" t="s">
        <v>1105</v>
      </c>
      <c r="H352" s="10" t="s">
        <v>574</v>
      </c>
      <c r="I352" s="11">
        <v>100000</v>
      </c>
      <c r="J352" s="12"/>
      <c r="K352" s="13"/>
      <c r="L352" s="14"/>
      <c r="M352" s="15">
        <v>100000</v>
      </c>
      <c r="N352" s="31"/>
      <c r="O352" s="32">
        <v>100000</v>
      </c>
      <c r="P352" s="33" t="s">
        <v>889</v>
      </c>
      <c r="Q352" s="33"/>
      <c r="R352" s="17">
        <f t="shared" si="5"/>
        <v>0</v>
      </c>
      <c r="S352" s="14"/>
      <c r="T352" s="83" t="s">
        <v>1036</v>
      </c>
    </row>
    <row r="353" spans="1:20" ht="73.5" hidden="1" x14ac:dyDescent="0.35">
      <c r="A353" s="8" t="s">
        <v>1009</v>
      </c>
      <c r="B353" s="9" t="s">
        <v>575</v>
      </c>
      <c r="C353" s="10" t="s">
        <v>576</v>
      </c>
      <c r="D353" s="10" t="s">
        <v>1077</v>
      </c>
      <c r="E353" s="10" t="s">
        <v>35</v>
      </c>
      <c r="F353" s="10" t="s">
        <v>36</v>
      </c>
      <c r="G353" s="10" t="s">
        <v>1103</v>
      </c>
      <c r="H353" s="10" t="s">
        <v>577</v>
      </c>
      <c r="I353" s="11">
        <v>110000</v>
      </c>
      <c r="J353" s="12"/>
      <c r="K353" s="13"/>
      <c r="L353" s="14"/>
      <c r="M353" s="15">
        <v>110000</v>
      </c>
      <c r="N353" s="31">
        <v>50000</v>
      </c>
      <c r="O353" s="32">
        <v>60000</v>
      </c>
      <c r="P353" s="34" t="s">
        <v>890</v>
      </c>
      <c r="Q353" s="34"/>
      <c r="R353" s="17">
        <f t="shared" si="5"/>
        <v>0</v>
      </c>
      <c r="S353" s="14"/>
      <c r="T353" s="83" t="s">
        <v>1036</v>
      </c>
    </row>
    <row r="354" spans="1:20" ht="73.5" hidden="1" x14ac:dyDescent="0.35">
      <c r="A354" s="8" t="s">
        <v>1009</v>
      </c>
      <c r="B354" s="9" t="s">
        <v>575</v>
      </c>
      <c r="C354" s="10" t="s">
        <v>576</v>
      </c>
      <c r="D354" s="10" t="s">
        <v>1077</v>
      </c>
      <c r="E354" s="10" t="s">
        <v>41</v>
      </c>
      <c r="F354" s="10" t="s">
        <v>42</v>
      </c>
      <c r="G354" s="10" t="s">
        <v>1105</v>
      </c>
      <c r="H354" s="10" t="s">
        <v>578</v>
      </c>
      <c r="I354" s="11">
        <v>220000</v>
      </c>
      <c r="J354" s="12"/>
      <c r="K354" s="13"/>
      <c r="L354" s="14"/>
      <c r="M354" s="15">
        <v>220000</v>
      </c>
      <c r="N354" s="35">
        <v>110000</v>
      </c>
      <c r="O354" s="36">
        <v>110000</v>
      </c>
      <c r="P354" s="34" t="s">
        <v>891</v>
      </c>
      <c r="Q354" s="34"/>
      <c r="R354" s="17">
        <f t="shared" si="5"/>
        <v>0</v>
      </c>
      <c r="S354" s="14"/>
      <c r="T354" s="83" t="s">
        <v>1036</v>
      </c>
    </row>
    <row r="355" spans="1:20" ht="73.5" hidden="1" x14ac:dyDescent="0.35">
      <c r="A355" s="8" t="s">
        <v>1009</v>
      </c>
      <c r="B355" s="9" t="s">
        <v>575</v>
      </c>
      <c r="C355" s="10" t="s">
        <v>576</v>
      </c>
      <c r="D355" s="10" t="s">
        <v>1077</v>
      </c>
      <c r="E355" s="10" t="s">
        <v>475</v>
      </c>
      <c r="F355" s="10" t="s">
        <v>476</v>
      </c>
      <c r="G355" s="10" t="s">
        <v>1149</v>
      </c>
      <c r="H355" s="10" t="s">
        <v>579</v>
      </c>
      <c r="I355" s="11">
        <v>55510</v>
      </c>
      <c r="J355" s="12"/>
      <c r="K355" s="13"/>
      <c r="L355" s="14"/>
      <c r="M355" s="15">
        <v>55510</v>
      </c>
      <c r="N355" s="35">
        <v>27755</v>
      </c>
      <c r="O355" s="36">
        <v>27755</v>
      </c>
      <c r="P355" s="34" t="s">
        <v>892</v>
      </c>
      <c r="Q355" s="34"/>
      <c r="R355" s="17">
        <f t="shared" si="5"/>
        <v>0</v>
      </c>
      <c r="S355" s="14"/>
      <c r="T355" s="83" t="s">
        <v>1036</v>
      </c>
    </row>
    <row r="356" spans="1:20" ht="73.5" hidden="1" x14ac:dyDescent="0.35">
      <c r="A356" s="8" t="s">
        <v>1009</v>
      </c>
      <c r="B356" s="9" t="s">
        <v>575</v>
      </c>
      <c r="C356" s="10" t="s">
        <v>576</v>
      </c>
      <c r="D356" s="10" t="s">
        <v>1077</v>
      </c>
      <c r="E356" s="10" t="s">
        <v>580</v>
      </c>
      <c r="F356" s="10" t="s">
        <v>581</v>
      </c>
      <c r="G356" s="10" t="s">
        <v>1167</v>
      </c>
      <c r="H356" s="10" t="s">
        <v>582</v>
      </c>
      <c r="I356" s="11">
        <v>0</v>
      </c>
      <c r="J356" s="12"/>
      <c r="K356" s="13"/>
      <c r="L356" s="14"/>
      <c r="M356" s="15">
        <v>0</v>
      </c>
      <c r="N356" s="37">
        <v>0</v>
      </c>
      <c r="O356" s="38">
        <v>0</v>
      </c>
      <c r="P356" s="34"/>
      <c r="Q356" s="34"/>
      <c r="R356" s="17">
        <f t="shared" si="5"/>
        <v>0</v>
      </c>
      <c r="S356" s="14"/>
      <c r="T356" s="83" t="s">
        <v>1036</v>
      </c>
    </row>
    <row r="357" spans="1:20" ht="31.5" hidden="1" x14ac:dyDescent="0.35">
      <c r="A357" s="8" t="s">
        <v>1009</v>
      </c>
      <c r="B357" s="9" t="s">
        <v>583</v>
      </c>
      <c r="C357" s="10" t="s">
        <v>584</v>
      </c>
      <c r="D357" s="10" t="s">
        <v>1078</v>
      </c>
      <c r="E357" s="10" t="s">
        <v>29</v>
      </c>
      <c r="F357" s="10" t="s">
        <v>30</v>
      </c>
      <c r="G357" s="10" t="s">
        <v>1101</v>
      </c>
      <c r="H357" s="10" t="s">
        <v>585</v>
      </c>
      <c r="I357" s="11">
        <v>50000</v>
      </c>
      <c r="J357" s="12"/>
      <c r="K357" s="13"/>
      <c r="L357" s="14"/>
      <c r="M357" s="15">
        <v>50000</v>
      </c>
      <c r="N357" s="14"/>
      <c r="O357" s="13"/>
      <c r="P357" s="16"/>
      <c r="Q357" s="16"/>
      <c r="R357" s="17">
        <f t="shared" si="5"/>
        <v>50000</v>
      </c>
      <c r="S357" s="76" t="s">
        <v>893</v>
      </c>
      <c r="T357" s="83" t="s">
        <v>1036</v>
      </c>
    </row>
    <row r="358" spans="1:20" ht="31.5" hidden="1" x14ac:dyDescent="0.35">
      <c r="A358" s="8" t="s">
        <v>1009</v>
      </c>
      <c r="B358" s="9" t="s">
        <v>583</v>
      </c>
      <c r="C358" s="10" t="s">
        <v>584</v>
      </c>
      <c r="D358" s="10" t="s">
        <v>1078</v>
      </c>
      <c r="E358" s="10" t="s">
        <v>35</v>
      </c>
      <c r="F358" s="10" t="s">
        <v>36</v>
      </c>
      <c r="G358" s="10" t="s">
        <v>1103</v>
      </c>
      <c r="H358" s="10" t="s">
        <v>586</v>
      </c>
      <c r="I358" s="11">
        <v>15000</v>
      </c>
      <c r="J358" s="12"/>
      <c r="K358" s="13"/>
      <c r="L358" s="14"/>
      <c r="M358" s="15">
        <v>15000</v>
      </c>
      <c r="N358" s="14"/>
      <c r="O358" s="13"/>
      <c r="P358" s="16"/>
      <c r="Q358" s="16"/>
      <c r="R358" s="17">
        <f t="shared" si="5"/>
        <v>15000</v>
      </c>
      <c r="S358" s="76" t="s">
        <v>893</v>
      </c>
      <c r="T358" s="83" t="s">
        <v>1036</v>
      </c>
    </row>
    <row r="359" spans="1:20" ht="31.5" hidden="1" x14ac:dyDescent="0.35">
      <c r="A359" s="8" t="s">
        <v>1009</v>
      </c>
      <c r="B359" s="9" t="s">
        <v>583</v>
      </c>
      <c r="C359" s="10" t="s">
        <v>584</v>
      </c>
      <c r="D359" s="10" t="s">
        <v>1078</v>
      </c>
      <c r="E359" s="10" t="s">
        <v>41</v>
      </c>
      <c r="F359" s="10" t="s">
        <v>42</v>
      </c>
      <c r="G359" s="10" t="s">
        <v>1105</v>
      </c>
      <c r="H359" s="10" t="s">
        <v>587</v>
      </c>
      <c r="I359" s="11">
        <v>50000</v>
      </c>
      <c r="J359" s="12"/>
      <c r="K359" s="13"/>
      <c r="L359" s="14"/>
      <c r="M359" s="15">
        <v>50000</v>
      </c>
      <c r="N359" s="14"/>
      <c r="O359" s="13"/>
      <c r="P359" s="16"/>
      <c r="Q359" s="16"/>
      <c r="R359" s="17">
        <f t="shared" si="5"/>
        <v>50000</v>
      </c>
      <c r="S359" s="76" t="s">
        <v>893</v>
      </c>
      <c r="T359" s="83" t="s">
        <v>1036</v>
      </c>
    </row>
    <row r="360" spans="1:20" ht="31.5" hidden="1" x14ac:dyDescent="0.35">
      <c r="A360" s="8" t="s">
        <v>1009</v>
      </c>
      <c r="B360" s="9" t="s">
        <v>583</v>
      </c>
      <c r="C360" s="10" t="s">
        <v>584</v>
      </c>
      <c r="D360" s="10" t="s">
        <v>1078</v>
      </c>
      <c r="E360" s="10" t="s">
        <v>444</v>
      </c>
      <c r="F360" s="10" t="s">
        <v>445</v>
      </c>
      <c r="G360" s="10" t="s">
        <v>1142</v>
      </c>
      <c r="H360" s="10" t="s">
        <v>588</v>
      </c>
      <c r="I360" s="11">
        <v>0</v>
      </c>
      <c r="J360" s="12"/>
      <c r="K360" s="13"/>
      <c r="L360" s="14"/>
      <c r="M360" s="15">
        <v>0</v>
      </c>
      <c r="N360" s="14"/>
      <c r="O360" s="13"/>
      <c r="P360" s="16"/>
      <c r="Q360" s="16"/>
      <c r="R360" s="17">
        <f t="shared" si="5"/>
        <v>0</v>
      </c>
      <c r="S360" s="76" t="s">
        <v>893</v>
      </c>
      <c r="T360" s="83" t="s">
        <v>1036</v>
      </c>
    </row>
    <row r="361" spans="1:20" ht="31.5" hidden="1" x14ac:dyDescent="0.35">
      <c r="A361" s="8" t="s">
        <v>1009</v>
      </c>
      <c r="B361" s="9" t="s">
        <v>583</v>
      </c>
      <c r="C361" s="10" t="s">
        <v>584</v>
      </c>
      <c r="D361" s="10" t="s">
        <v>1078</v>
      </c>
      <c r="E361" s="10" t="s">
        <v>580</v>
      </c>
      <c r="F361" s="10" t="s">
        <v>581</v>
      </c>
      <c r="G361" s="10" t="s">
        <v>1167</v>
      </c>
      <c r="H361" s="10" t="s">
        <v>589</v>
      </c>
      <c r="I361" s="11">
        <v>826280</v>
      </c>
      <c r="J361" s="12"/>
      <c r="K361" s="13"/>
      <c r="L361" s="14"/>
      <c r="M361" s="15">
        <v>826280</v>
      </c>
      <c r="N361" s="14"/>
      <c r="O361" s="13"/>
      <c r="P361" s="16"/>
      <c r="Q361" s="16"/>
      <c r="R361" s="17">
        <f t="shared" si="5"/>
        <v>826280</v>
      </c>
      <c r="S361" s="76" t="s">
        <v>893</v>
      </c>
      <c r="T361" s="83" t="s">
        <v>1036</v>
      </c>
    </row>
    <row r="362" spans="1:20" ht="31.5" hidden="1" x14ac:dyDescent="0.35">
      <c r="A362" s="8" t="s">
        <v>1009</v>
      </c>
      <c r="B362" s="9" t="s">
        <v>590</v>
      </c>
      <c r="C362" s="10" t="s">
        <v>591</v>
      </c>
      <c r="D362" s="10" t="s">
        <v>1079</v>
      </c>
      <c r="E362" s="10" t="s">
        <v>35</v>
      </c>
      <c r="F362" s="10" t="s">
        <v>36</v>
      </c>
      <c r="G362" s="10" t="s">
        <v>1103</v>
      </c>
      <c r="H362" s="10" t="s">
        <v>592</v>
      </c>
      <c r="I362" s="11">
        <v>50000</v>
      </c>
      <c r="J362" s="12"/>
      <c r="K362" s="13"/>
      <c r="L362" s="14"/>
      <c r="M362" s="15">
        <v>50000</v>
      </c>
      <c r="N362" s="32">
        <v>5000</v>
      </c>
      <c r="O362" s="40">
        <v>45000</v>
      </c>
      <c r="P362" s="33" t="s">
        <v>894</v>
      </c>
      <c r="Q362" s="78"/>
      <c r="R362" s="11">
        <f t="shared" si="5"/>
        <v>0</v>
      </c>
      <c r="S362" s="77"/>
      <c r="T362" s="83" t="s">
        <v>1036</v>
      </c>
    </row>
    <row r="363" spans="1:20" ht="36" hidden="1" x14ac:dyDescent="0.35">
      <c r="A363" s="8" t="s">
        <v>1009</v>
      </c>
      <c r="B363" s="9" t="s">
        <v>590</v>
      </c>
      <c r="C363" s="10" t="s">
        <v>591</v>
      </c>
      <c r="D363" s="10" t="s">
        <v>1079</v>
      </c>
      <c r="E363" s="10" t="s">
        <v>41</v>
      </c>
      <c r="F363" s="10" t="s">
        <v>42</v>
      </c>
      <c r="G363" s="10" t="s">
        <v>1105</v>
      </c>
      <c r="H363" s="10" t="s">
        <v>593</v>
      </c>
      <c r="I363" s="11">
        <v>50000</v>
      </c>
      <c r="J363" s="12"/>
      <c r="K363" s="13"/>
      <c r="L363" s="14"/>
      <c r="M363" s="15">
        <v>50000</v>
      </c>
      <c r="N363" s="32">
        <v>15000</v>
      </c>
      <c r="O363" s="40">
        <v>35000</v>
      </c>
      <c r="P363" s="33" t="s">
        <v>895</v>
      </c>
      <c r="Q363" s="33"/>
      <c r="R363" s="17">
        <f t="shared" si="5"/>
        <v>0</v>
      </c>
      <c r="S363" s="14"/>
      <c r="T363" s="83" t="s">
        <v>1036</v>
      </c>
    </row>
    <row r="364" spans="1:20" ht="31.5" hidden="1" x14ac:dyDescent="0.35">
      <c r="A364" s="8" t="s">
        <v>1009</v>
      </c>
      <c r="B364" s="9" t="s">
        <v>594</v>
      </c>
      <c r="C364" s="10" t="s">
        <v>595</v>
      </c>
      <c r="D364" s="10" t="s">
        <v>1080</v>
      </c>
      <c r="E364" s="10" t="s">
        <v>539</v>
      </c>
      <c r="F364" s="10" t="s">
        <v>540</v>
      </c>
      <c r="G364" s="10" t="s">
        <v>1161</v>
      </c>
      <c r="H364" s="10" t="s">
        <v>596</v>
      </c>
      <c r="I364" s="11">
        <v>306385</v>
      </c>
      <c r="J364" s="12"/>
      <c r="K364" s="19">
        <v>276944.2</v>
      </c>
      <c r="L364" s="14"/>
      <c r="M364" s="15">
        <v>29440.799999999999</v>
      </c>
      <c r="N364" s="31"/>
      <c r="O364" s="32">
        <v>29440.799999999999</v>
      </c>
      <c r="P364" s="41"/>
      <c r="Q364" s="41"/>
      <c r="R364" s="17">
        <f t="shared" si="5"/>
        <v>0</v>
      </c>
      <c r="S364" s="14"/>
      <c r="T364" s="83" t="s">
        <v>1036</v>
      </c>
    </row>
    <row r="365" spans="1:20" ht="31.5" hidden="1" x14ac:dyDescent="0.35">
      <c r="A365" s="8" t="s">
        <v>1009</v>
      </c>
      <c r="B365" s="9" t="s">
        <v>594</v>
      </c>
      <c r="C365" s="10" t="s">
        <v>595</v>
      </c>
      <c r="D365" s="10" t="s">
        <v>1080</v>
      </c>
      <c r="E365" s="10" t="s">
        <v>38</v>
      </c>
      <c r="F365" s="10" t="s">
        <v>39</v>
      </c>
      <c r="G365" s="10" t="s">
        <v>1104</v>
      </c>
      <c r="H365" s="10" t="s">
        <v>597</v>
      </c>
      <c r="I365" s="11">
        <v>171900</v>
      </c>
      <c r="J365" s="18">
        <v>171712.75</v>
      </c>
      <c r="K365" s="13"/>
      <c r="L365" s="14"/>
      <c r="M365" s="15">
        <v>187.25</v>
      </c>
      <c r="N365" s="14"/>
      <c r="O365" s="13"/>
      <c r="P365" s="16"/>
      <c r="Q365" s="16"/>
      <c r="R365" s="17">
        <f t="shared" si="5"/>
        <v>187.25</v>
      </c>
      <c r="S365" s="78" t="s">
        <v>893</v>
      </c>
      <c r="T365" s="83" t="s">
        <v>1036</v>
      </c>
    </row>
    <row r="366" spans="1:20" ht="36" hidden="1" x14ac:dyDescent="0.35">
      <c r="A366" s="8" t="s">
        <v>1009</v>
      </c>
      <c r="B366" s="9" t="s">
        <v>594</v>
      </c>
      <c r="C366" s="10" t="s">
        <v>595</v>
      </c>
      <c r="D366" s="10" t="s">
        <v>1080</v>
      </c>
      <c r="E366" s="10" t="s">
        <v>528</v>
      </c>
      <c r="F366" s="10" t="s">
        <v>529</v>
      </c>
      <c r="G366" s="10" t="s">
        <v>1159</v>
      </c>
      <c r="H366" s="10" t="s">
        <v>598</v>
      </c>
      <c r="I366" s="11">
        <v>5000</v>
      </c>
      <c r="J366" s="12"/>
      <c r="K366" s="13"/>
      <c r="L366" s="14"/>
      <c r="M366" s="15">
        <v>5000</v>
      </c>
      <c r="N366" s="14"/>
      <c r="O366" s="13"/>
      <c r="P366" s="16"/>
      <c r="Q366" s="16"/>
      <c r="R366" s="17">
        <f t="shared" si="5"/>
        <v>5000</v>
      </c>
      <c r="S366" s="78" t="s">
        <v>896</v>
      </c>
      <c r="T366" s="83" t="s">
        <v>1036</v>
      </c>
    </row>
    <row r="367" spans="1:20" ht="31.5" hidden="1" x14ac:dyDescent="0.35">
      <c r="A367" s="8" t="s">
        <v>1009</v>
      </c>
      <c r="B367" s="9" t="s">
        <v>594</v>
      </c>
      <c r="C367" s="10" t="s">
        <v>595</v>
      </c>
      <c r="D367" s="10" t="s">
        <v>1080</v>
      </c>
      <c r="E367" s="10" t="s">
        <v>41</v>
      </c>
      <c r="F367" s="10" t="s">
        <v>42</v>
      </c>
      <c r="G367" s="10" t="s">
        <v>1105</v>
      </c>
      <c r="H367" s="10" t="s">
        <v>599</v>
      </c>
      <c r="I367" s="11">
        <v>70000</v>
      </c>
      <c r="J367" s="12"/>
      <c r="K367" s="13"/>
      <c r="L367" s="14"/>
      <c r="M367" s="15">
        <v>70000</v>
      </c>
      <c r="N367" s="31"/>
      <c r="O367" s="32">
        <v>70000</v>
      </c>
      <c r="P367" s="41"/>
      <c r="Q367" s="41"/>
      <c r="R367" s="17">
        <f t="shared" si="5"/>
        <v>0</v>
      </c>
      <c r="S367" s="14"/>
      <c r="T367" s="83" t="s">
        <v>1036</v>
      </c>
    </row>
    <row r="368" spans="1:20" ht="31.5" hidden="1" x14ac:dyDescent="0.35">
      <c r="A368" s="8" t="s">
        <v>1009</v>
      </c>
      <c r="B368" s="9" t="s">
        <v>594</v>
      </c>
      <c r="C368" s="10" t="s">
        <v>595</v>
      </c>
      <c r="D368" s="10" t="s">
        <v>1080</v>
      </c>
      <c r="E368" s="10" t="s">
        <v>580</v>
      </c>
      <c r="F368" s="10" t="s">
        <v>581</v>
      </c>
      <c r="G368" s="10" t="s">
        <v>1167</v>
      </c>
      <c r="H368" s="10" t="s">
        <v>600</v>
      </c>
      <c r="I368" s="11">
        <v>199577</v>
      </c>
      <c r="J368" s="18">
        <v>127599.53</v>
      </c>
      <c r="K368" s="13"/>
      <c r="L368" s="11">
        <v>29590.09</v>
      </c>
      <c r="M368" s="15">
        <v>42387.38</v>
      </c>
      <c r="N368" s="32">
        <v>21000</v>
      </c>
      <c r="O368" s="32">
        <v>21000</v>
      </c>
      <c r="P368" s="41"/>
      <c r="Q368" s="41"/>
      <c r="R368" s="17">
        <f t="shared" si="5"/>
        <v>387.37999999999738</v>
      </c>
      <c r="S368" s="78"/>
      <c r="T368" s="83" t="s">
        <v>1036</v>
      </c>
    </row>
    <row r="369" spans="1:20" ht="60" hidden="1" x14ac:dyDescent="0.35">
      <c r="A369" s="8" t="s">
        <v>1009</v>
      </c>
      <c r="B369" s="9" t="s">
        <v>601</v>
      </c>
      <c r="C369" s="10" t="s">
        <v>602</v>
      </c>
      <c r="D369" s="10" t="s">
        <v>1081</v>
      </c>
      <c r="E369" s="10" t="s">
        <v>17</v>
      </c>
      <c r="F369" s="10" t="s">
        <v>18</v>
      </c>
      <c r="G369" s="10" t="s">
        <v>1097</v>
      </c>
      <c r="H369" s="10" t="s">
        <v>603</v>
      </c>
      <c r="I369" s="11">
        <v>231840</v>
      </c>
      <c r="J369" s="18">
        <v>64153.81</v>
      </c>
      <c r="K369" s="13"/>
      <c r="L369" s="14"/>
      <c r="M369" s="15">
        <v>167686.19</v>
      </c>
      <c r="N369" s="31"/>
      <c r="O369" s="32">
        <v>167686.19</v>
      </c>
      <c r="P369" s="33" t="s">
        <v>897</v>
      </c>
      <c r="Q369" s="33"/>
      <c r="R369" s="17">
        <f t="shared" si="5"/>
        <v>0</v>
      </c>
      <c r="S369" s="78" t="s">
        <v>915</v>
      </c>
      <c r="T369" s="83" t="s">
        <v>1036</v>
      </c>
    </row>
    <row r="370" spans="1:20" ht="48" hidden="1" x14ac:dyDescent="0.35">
      <c r="A370" s="8" t="s">
        <v>1009</v>
      </c>
      <c r="B370" s="9" t="s">
        <v>601</v>
      </c>
      <c r="C370" s="10" t="s">
        <v>602</v>
      </c>
      <c r="D370" s="10" t="s">
        <v>1081</v>
      </c>
      <c r="E370" s="10" t="s">
        <v>41</v>
      </c>
      <c r="F370" s="10" t="s">
        <v>42</v>
      </c>
      <c r="G370" s="10" t="s">
        <v>1105</v>
      </c>
      <c r="H370" s="10" t="s">
        <v>604</v>
      </c>
      <c r="I370" s="11">
        <v>80000</v>
      </c>
      <c r="J370" s="18">
        <v>2605.5</v>
      </c>
      <c r="K370" s="13"/>
      <c r="L370" s="14"/>
      <c r="M370" s="15">
        <v>77394.5</v>
      </c>
      <c r="N370" s="31"/>
      <c r="O370" s="32">
        <v>77394.5</v>
      </c>
      <c r="P370" s="33" t="s">
        <v>898</v>
      </c>
      <c r="Q370" s="33"/>
      <c r="R370" s="17">
        <f t="shared" si="5"/>
        <v>0</v>
      </c>
      <c r="S370" s="78" t="s">
        <v>915</v>
      </c>
      <c r="T370" s="83" t="s">
        <v>1036</v>
      </c>
    </row>
    <row r="371" spans="1:20" ht="60" hidden="1" x14ac:dyDescent="0.35">
      <c r="A371" s="8" t="s">
        <v>1009</v>
      </c>
      <c r="B371" s="9" t="s">
        <v>601</v>
      </c>
      <c r="C371" s="10" t="s">
        <v>602</v>
      </c>
      <c r="D371" s="10" t="s">
        <v>1081</v>
      </c>
      <c r="E371" s="10" t="s">
        <v>580</v>
      </c>
      <c r="F371" s="10" t="s">
        <v>581</v>
      </c>
      <c r="G371" s="10" t="s">
        <v>1167</v>
      </c>
      <c r="H371" s="10" t="s">
        <v>605</v>
      </c>
      <c r="I371" s="11">
        <v>99885358</v>
      </c>
      <c r="J371" s="18">
        <v>35643266.560000002</v>
      </c>
      <c r="K371" s="19">
        <v>1138201.52</v>
      </c>
      <c r="L371" s="11">
        <v>3809863.76</v>
      </c>
      <c r="M371" s="15">
        <v>59194295.899999999</v>
      </c>
      <c r="N371" s="42">
        <v>29597147.949999999</v>
      </c>
      <c r="O371" s="42">
        <v>29597147.949999999</v>
      </c>
      <c r="P371" s="33" t="s">
        <v>899</v>
      </c>
      <c r="Q371" s="33"/>
      <c r="R371" s="17">
        <f t="shared" si="5"/>
        <v>0</v>
      </c>
      <c r="S371" s="78" t="s">
        <v>916</v>
      </c>
      <c r="T371" s="83" t="s">
        <v>1036</v>
      </c>
    </row>
    <row r="372" spans="1:20" ht="52.5" hidden="1" x14ac:dyDescent="0.35">
      <c r="A372" s="8" t="s">
        <v>1009</v>
      </c>
      <c r="B372" s="9" t="s">
        <v>606</v>
      </c>
      <c r="C372" s="10" t="s">
        <v>607</v>
      </c>
      <c r="D372" s="10" t="s">
        <v>1082</v>
      </c>
      <c r="E372" s="10" t="s">
        <v>20</v>
      </c>
      <c r="F372" s="10" t="s">
        <v>21</v>
      </c>
      <c r="G372" s="10" t="s">
        <v>1098</v>
      </c>
      <c r="H372" s="10" t="s">
        <v>608</v>
      </c>
      <c r="I372" s="11">
        <v>3332844</v>
      </c>
      <c r="J372" s="18">
        <v>1834018.15</v>
      </c>
      <c r="K372" s="19">
        <v>568570.87</v>
      </c>
      <c r="L372" s="11">
        <v>74855.889999999898</v>
      </c>
      <c r="M372" s="15">
        <v>855399.09</v>
      </c>
      <c r="N372" s="40"/>
      <c r="O372" s="32">
        <v>855399.09</v>
      </c>
      <c r="P372" s="33" t="s">
        <v>900</v>
      </c>
      <c r="Q372" s="33"/>
      <c r="R372" s="17">
        <f t="shared" si="5"/>
        <v>0</v>
      </c>
      <c r="S372" s="31"/>
      <c r="T372" s="83" t="s">
        <v>1036</v>
      </c>
    </row>
    <row r="373" spans="1:20" ht="52.5" hidden="1" x14ac:dyDescent="0.35">
      <c r="A373" s="8" t="s">
        <v>1009</v>
      </c>
      <c r="B373" s="9" t="s">
        <v>606</v>
      </c>
      <c r="C373" s="10" t="s">
        <v>607</v>
      </c>
      <c r="D373" s="10" t="s">
        <v>1082</v>
      </c>
      <c r="E373" s="10" t="s">
        <v>29</v>
      </c>
      <c r="F373" s="10" t="s">
        <v>30</v>
      </c>
      <c r="G373" s="10" t="s">
        <v>1101</v>
      </c>
      <c r="H373" s="10" t="s">
        <v>609</v>
      </c>
      <c r="I373" s="11">
        <v>100002</v>
      </c>
      <c r="J373" s="12"/>
      <c r="K373" s="13"/>
      <c r="L373" s="14"/>
      <c r="M373" s="15">
        <v>100002</v>
      </c>
      <c r="N373" s="40"/>
      <c r="O373" s="32">
        <v>100002</v>
      </c>
      <c r="P373" s="33" t="s">
        <v>901</v>
      </c>
      <c r="Q373" s="33"/>
      <c r="R373" s="17">
        <f t="shared" si="5"/>
        <v>0</v>
      </c>
      <c r="S373" s="31"/>
      <c r="T373" s="83" t="s">
        <v>1036</v>
      </c>
    </row>
    <row r="374" spans="1:20" ht="52.5" hidden="1" x14ac:dyDescent="0.35">
      <c r="A374" s="8" t="s">
        <v>1009</v>
      </c>
      <c r="B374" s="9" t="s">
        <v>606</v>
      </c>
      <c r="C374" s="10" t="s">
        <v>607</v>
      </c>
      <c r="D374" s="10" t="s">
        <v>1082</v>
      </c>
      <c r="E374" s="10" t="s">
        <v>32</v>
      </c>
      <c r="F374" s="10" t="s">
        <v>33</v>
      </c>
      <c r="G374" s="10" t="s">
        <v>1102</v>
      </c>
      <c r="H374" s="10" t="s">
        <v>610</v>
      </c>
      <c r="I374" s="11">
        <v>100002</v>
      </c>
      <c r="J374" s="18">
        <v>11745</v>
      </c>
      <c r="K374" s="13"/>
      <c r="L374" s="14"/>
      <c r="M374" s="15">
        <v>88257</v>
      </c>
      <c r="N374" s="40"/>
      <c r="O374" s="32">
        <v>88257</v>
      </c>
      <c r="P374" s="33" t="s">
        <v>902</v>
      </c>
      <c r="Q374" s="33"/>
      <c r="R374" s="17">
        <f t="shared" si="5"/>
        <v>0</v>
      </c>
      <c r="S374" s="31"/>
      <c r="T374" s="83" t="s">
        <v>1036</v>
      </c>
    </row>
    <row r="375" spans="1:20" ht="52.5" hidden="1" x14ac:dyDescent="0.35">
      <c r="A375" s="8" t="s">
        <v>1009</v>
      </c>
      <c r="B375" s="9" t="s">
        <v>606</v>
      </c>
      <c r="C375" s="10" t="s">
        <v>607</v>
      </c>
      <c r="D375" s="10" t="s">
        <v>1082</v>
      </c>
      <c r="E375" s="10" t="s">
        <v>38</v>
      </c>
      <c r="F375" s="10" t="s">
        <v>39</v>
      </c>
      <c r="G375" s="10" t="s">
        <v>1104</v>
      </c>
      <c r="H375" s="10" t="s">
        <v>611</v>
      </c>
      <c r="I375" s="11">
        <v>120000</v>
      </c>
      <c r="J375" s="12"/>
      <c r="K375" s="19">
        <v>0</v>
      </c>
      <c r="L375" s="14"/>
      <c r="M375" s="15">
        <v>120000</v>
      </c>
      <c r="N375" s="32">
        <v>120000</v>
      </c>
      <c r="O375" s="40"/>
      <c r="P375" s="33" t="s">
        <v>903</v>
      </c>
      <c r="Q375" s="33"/>
      <c r="R375" s="17">
        <f t="shared" si="5"/>
        <v>0</v>
      </c>
      <c r="S375" s="31"/>
      <c r="T375" s="83" t="s">
        <v>1036</v>
      </c>
    </row>
    <row r="376" spans="1:20" ht="52.5" hidden="1" x14ac:dyDescent="0.35">
      <c r="A376" s="8" t="s">
        <v>1009</v>
      </c>
      <c r="B376" s="9" t="s">
        <v>606</v>
      </c>
      <c r="C376" s="10" t="s">
        <v>607</v>
      </c>
      <c r="D376" s="10" t="s">
        <v>1082</v>
      </c>
      <c r="E376" s="10" t="s">
        <v>41</v>
      </c>
      <c r="F376" s="10" t="s">
        <v>42</v>
      </c>
      <c r="G376" s="10" t="s">
        <v>1105</v>
      </c>
      <c r="H376" s="10" t="s">
        <v>612</v>
      </c>
      <c r="I376" s="11">
        <v>50001</v>
      </c>
      <c r="J376" s="12"/>
      <c r="K376" s="13"/>
      <c r="L376" s="14"/>
      <c r="M376" s="15">
        <v>50001</v>
      </c>
      <c r="N376" s="40"/>
      <c r="O376" s="32">
        <v>50001</v>
      </c>
      <c r="P376" s="33" t="s">
        <v>904</v>
      </c>
      <c r="Q376" s="33"/>
      <c r="R376" s="17">
        <f t="shared" si="5"/>
        <v>0</v>
      </c>
      <c r="S376" s="79"/>
      <c r="T376" s="83" t="s">
        <v>1036</v>
      </c>
    </row>
    <row r="377" spans="1:20" ht="31.5" hidden="1" x14ac:dyDescent="0.35">
      <c r="A377" s="8" t="s">
        <v>1009</v>
      </c>
      <c r="B377" s="9" t="s">
        <v>613</v>
      </c>
      <c r="C377" s="10" t="s">
        <v>614</v>
      </c>
      <c r="D377" s="10" t="s">
        <v>1083</v>
      </c>
      <c r="E377" s="10" t="s">
        <v>536</v>
      </c>
      <c r="F377" s="10" t="s">
        <v>537</v>
      </c>
      <c r="G377" s="10" t="s">
        <v>1160</v>
      </c>
      <c r="H377" s="10" t="s">
        <v>615</v>
      </c>
      <c r="I377" s="11">
        <v>0</v>
      </c>
      <c r="J377" s="12"/>
      <c r="K377" s="13"/>
      <c r="L377" s="14"/>
      <c r="M377" s="15">
        <v>0</v>
      </c>
      <c r="N377" s="14"/>
      <c r="O377" s="13"/>
      <c r="P377" s="16"/>
      <c r="Q377" s="16"/>
      <c r="R377" s="17">
        <f t="shared" si="5"/>
        <v>0</v>
      </c>
      <c r="S377" s="80"/>
      <c r="T377" s="83" t="s">
        <v>1036</v>
      </c>
    </row>
    <row r="378" spans="1:20" ht="63" hidden="1" x14ac:dyDescent="0.35">
      <c r="A378" s="8" t="s">
        <v>1009</v>
      </c>
      <c r="B378" s="9" t="s">
        <v>613</v>
      </c>
      <c r="C378" s="10" t="s">
        <v>614</v>
      </c>
      <c r="D378" s="10" t="s">
        <v>1083</v>
      </c>
      <c r="E378" s="10" t="s">
        <v>539</v>
      </c>
      <c r="F378" s="10" t="s">
        <v>540</v>
      </c>
      <c r="G378" s="10" t="s">
        <v>1161</v>
      </c>
      <c r="H378" s="10" t="s">
        <v>616</v>
      </c>
      <c r="I378" s="11">
        <v>588000</v>
      </c>
      <c r="J378" s="12"/>
      <c r="K378" s="13"/>
      <c r="L378" s="14"/>
      <c r="M378" s="15">
        <v>588000</v>
      </c>
      <c r="N378" s="43">
        <v>588000</v>
      </c>
      <c r="O378" s="44">
        <v>0</v>
      </c>
      <c r="P378" s="45" t="s">
        <v>905</v>
      </c>
      <c r="Q378" s="45"/>
      <c r="R378" s="17">
        <f t="shared" si="5"/>
        <v>0</v>
      </c>
      <c r="S378" s="80" t="s">
        <v>917</v>
      </c>
      <c r="T378" s="83" t="s">
        <v>1036</v>
      </c>
    </row>
    <row r="379" spans="1:20" ht="31.5" hidden="1" x14ac:dyDescent="0.35">
      <c r="A379" s="8" t="s">
        <v>1009</v>
      </c>
      <c r="B379" s="9" t="s">
        <v>613</v>
      </c>
      <c r="C379" s="10" t="s">
        <v>614</v>
      </c>
      <c r="D379" s="10" t="s">
        <v>1083</v>
      </c>
      <c r="E379" s="10" t="s">
        <v>38</v>
      </c>
      <c r="F379" s="10" t="s">
        <v>39</v>
      </c>
      <c r="G379" s="10" t="s">
        <v>1104</v>
      </c>
      <c r="H379" s="10" t="s">
        <v>617</v>
      </c>
      <c r="I379" s="11">
        <v>362375</v>
      </c>
      <c r="J379" s="18">
        <v>68000</v>
      </c>
      <c r="K379" s="19">
        <v>269963.64</v>
      </c>
      <c r="L379" s="11">
        <v>19650</v>
      </c>
      <c r="M379" s="15">
        <v>4761.3599999999897</v>
      </c>
      <c r="N379" s="43">
        <v>4761.3599999999897</v>
      </c>
      <c r="O379" s="44">
        <v>0</v>
      </c>
      <c r="P379" s="45" t="s">
        <v>906</v>
      </c>
      <c r="Q379" s="45"/>
      <c r="R379" s="17">
        <f t="shared" si="5"/>
        <v>0</v>
      </c>
      <c r="S379" s="80" t="s">
        <v>917</v>
      </c>
      <c r="T379" s="83" t="s">
        <v>1036</v>
      </c>
    </row>
    <row r="380" spans="1:20" ht="157.5" hidden="1" x14ac:dyDescent="0.35">
      <c r="A380" s="8" t="s">
        <v>1009</v>
      </c>
      <c r="B380" s="9" t="s">
        <v>613</v>
      </c>
      <c r="C380" s="10" t="s">
        <v>614</v>
      </c>
      <c r="D380" s="10" t="s">
        <v>1083</v>
      </c>
      <c r="E380" s="10" t="s">
        <v>151</v>
      </c>
      <c r="F380" s="10" t="s">
        <v>152</v>
      </c>
      <c r="G380" s="10" t="s">
        <v>1126</v>
      </c>
      <c r="H380" s="10" t="s">
        <v>618</v>
      </c>
      <c r="I380" s="11">
        <v>15119303</v>
      </c>
      <c r="J380" s="18">
        <v>1992986.67</v>
      </c>
      <c r="K380" s="19">
        <v>4111561.65</v>
      </c>
      <c r="L380" s="11">
        <v>6077598.2999999998</v>
      </c>
      <c r="M380" s="15">
        <v>2937156.38</v>
      </c>
      <c r="N380" s="43">
        <v>2937156.38</v>
      </c>
      <c r="O380" s="44">
        <v>0</v>
      </c>
      <c r="P380" s="45" t="s">
        <v>907</v>
      </c>
      <c r="Q380" s="45"/>
      <c r="R380" s="17">
        <f t="shared" si="5"/>
        <v>0</v>
      </c>
      <c r="S380" s="80" t="s">
        <v>917</v>
      </c>
      <c r="T380" s="83" t="s">
        <v>1036</v>
      </c>
    </row>
    <row r="381" spans="1:20" ht="304.5" hidden="1" x14ac:dyDescent="0.35">
      <c r="A381" s="8" t="s">
        <v>1009</v>
      </c>
      <c r="B381" s="9" t="s">
        <v>613</v>
      </c>
      <c r="C381" s="10" t="s">
        <v>614</v>
      </c>
      <c r="D381" s="10" t="s">
        <v>1083</v>
      </c>
      <c r="E381" s="10" t="s">
        <v>157</v>
      </c>
      <c r="F381" s="10" t="s">
        <v>158</v>
      </c>
      <c r="G381" s="10" t="s">
        <v>1128</v>
      </c>
      <c r="H381" s="10" t="s">
        <v>619</v>
      </c>
      <c r="I381" s="11">
        <v>2752398</v>
      </c>
      <c r="J381" s="18">
        <v>44444.41</v>
      </c>
      <c r="K381" s="19">
        <v>830167.13</v>
      </c>
      <c r="L381" s="11">
        <v>21016.54</v>
      </c>
      <c r="M381" s="15">
        <v>1856769.92</v>
      </c>
      <c r="N381" s="43">
        <v>1856769.92</v>
      </c>
      <c r="O381" s="44">
        <v>0</v>
      </c>
      <c r="P381" s="45" t="s">
        <v>908</v>
      </c>
      <c r="Q381" s="45"/>
      <c r="R381" s="17">
        <f t="shared" si="5"/>
        <v>0</v>
      </c>
      <c r="S381" s="80" t="s">
        <v>917</v>
      </c>
      <c r="T381" s="83" t="s">
        <v>1036</v>
      </c>
    </row>
    <row r="382" spans="1:20" ht="31.5" hidden="1" x14ac:dyDescent="0.35">
      <c r="A382" s="8" t="s">
        <v>1009</v>
      </c>
      <c r="B382" s="9" t="s">
        <v>620</v>
      </c>
      <c r="C382" s="10" t="s">
        <v>621</v>
      </c>
      <c r="D382" s="10" t="s">
        <v>1084</v>
      </c>
      <c r="E382" s="10" t="s">
        <v>536</v>
      </c>
      <c r="F382" s="10" t="s">
        <v>537</v>
      </c>
      <c r="G382" s="10" t="s">
        <v>1160</v>
      </c>
      <c r="H382" s="10" t="s">
        <v>622</v>
      </c>
      <c r="I382" s="11">
        <v>0</v>
      </c>
      <c r="J382" s="12"/>
      <c r="K382" s="13"/>
      <c r="L382" s="14"/>
      <c r="M382" s="15">
        <v>0</v>
      </c>
      <c r="N382" s="14"/>
      <c r="O382" s="13"/>
      <c r="P382" s="16"/>
      <c r="Q382" s="16"/>
      <c r="R382" s="17">
        <f t="shared" si="5"/>
        <v>0</v>
      </c>
      <c r="S382" s="81"/>
      <c r="T382" s="83" t="s">
        <v>1036</v>
      </c>
    </row>
    <row r="383" spans="1:20" ht="63" hidden="1" x14ac:dyDescent="0.35">
      <c r="A383" s="8" t="s">
        <v>1009</v>
      </c>
      <c r="B383" s="9" t="s">
        <v>620</v>
      </c>
      <c r="C383" s="10" t="s">
        <v>621</v>
      </c>
      <c r="D383" s="10" t="s">
        <v>1084</v>
      </c>
      <c r="E383" s="10" t="s">
        <v>539</v>
      </c>
      <c r="F383" s="10" t="s">
        <v>540</v>
      </c>
      <c r="G383" s="10" t="s">
        <v>1161</v>
      </c>
      <c r="H383" s="10" t="s">
        <v>623</v>
      </c>
      <c r="I383" s="11">
        <v>1709607</v>
      </c>
      <c r="J383" s="12"/>
      <c r="K383" s="13"/>
      <c r="L383" s="14"/>
      <c r="M383" s="15">
        <v>1709607</v>
      </c>
      <c r="N383" s="36">
        <f>320932+551000</f>
        <v>871932</v>
      </c>
      <c r="O383" s="36">
        <v>837675</v>
      </c>
      <c r="P383" s="46" t="s">
        <v>909</v>
      </c>
      <c r="Q383" s="46"/>
      <c r="R383" s="17">
        <f t="shared" si="5"/>
        <v>0</v>
      </c>
      <c r="S383" s="81" t="s">
        <v>918</v>
      </c>
      <c r="T383" s="83" t="s">
        <v>1036</v>
      </c>
    </row>
    <row r="384" spans="1:20" ht="31.5" hidden="1" x14ac:dyDescent="0.35">
      <c r="A384" s="8" t="s">
        <v>1009</v>
      </c>
      <c r="B384" s="9" t="s">
        <v>620</v>
      </c>
      <c r="C384" s="10" t="s">
        <v>621</v>
      </c>
      <c r="D384" s="10" t="s">
        <v>1084</v>
      </c>
      <c r="E384" s="10" t="s">
        <v>35</v>
      </c>
      <c r="F384" s="10" t="s">
        <v>36</v>
      </c>
      <c r="G384" s="10" t="s">
        <v>1103</v>
      </c>
      <c r="H384" s="10" t="s">
        <v>624</v>
      </c>
      <c r="I384" s="11">
        <v>10000</v>
      </c>
      <c r="J384" s="12"/>
      <c r="K384" s="13"/>
      <c r="L384" s="14"/>
      <c r="M384" s="15">
        <v>10000</v>
      </c>
      <c r="N384" s="31"/>
      <c r="O384" s="32">
        <v>10000</v>
      </c>
      <c r="P384" s="46" t="s">
        <v>910</v>
      </c>
      <c r="Q384" s="46"/>
      <c r="R384" s="17">
        <f t="shared" si="5"/>
        <v>0</v>
      </c>
      <c r="S384" s="82"/>
      <c r="T384" s="83" t="s">
        <v>1036</v>
      </c>
    </row>
    <row r="385" spans="1:20" ht="63" hidden="1" x14ac:dyDescent="0.35">
      <c r="A385" s="8" t="s">
        <v>1009</v>
      </c>
      <c r="B385" s="9" t="s">
        <v>620</v>
      </c>
      <c r="C385" s="10" t="s">
        <v>621</v>
      </c>
      <c r="D385" s="10" t="s">
        <v>1084</v>
      </c>
      <c r="E385" s="10" t="s">
        <v>38</v>
      </c>
      <c r="F385" s="10" t="s">
        <v>39</v>
      </c>
      <c r="G385" s="10" t="s">
        <v>1104</v>
      </c>
      <c r="H385" s="10" t="s">
        <v>625</v>
      </c>
      <c r="I385" s="11">
        <v>2618576</v>
      </c>
      <c r="J385" s="18">
        <v>82234.149999999994</v>
      </c>
      <c r="K385" s="19">
        <v>1045883.62</v>
      </c>
      <c r="L385" s="11">
        <v>507382.75</v>
      </c>
      <c r="M385" s="15">
        <v>982153.18</v>
      </c>
      <c r="N385" s="35">
        <v>420000</v>
      </c>
      <c r="O385" s="36">
        <v>562153</v>
      </c>
      <c r="P385" s="46" t="s">
        <v>911</v>
      </c>
      <c r="Q385" s="46"/>
      <c r="R385" s="17">
        <f t="shared" si="5"/>
        <v>0.18000000005122274</v>
      </c>
      <c r="S385" s="81" t="s">
        <v>919</v>
      </c>
      <c r="T385" s="83" t="s">
        <v>1036</v>
      </c>
    </row>
    <row r="386" spans="1:20" ht="31.5" hidden="1" x14ac:dyDescent="0.35">
      <c r="A386" s="8" t="s">
        <v>1009</v>
      </c>
      <c r="B386" s="9" t="s">
        <v>620</v>
      </c>
      <c r="C386" s="10" t="s">
        <v>621</v>
      </c>
      <c r="D386" s="10" t="s">
        <v>1084</v>
      </c>
      <c r="E386" s="10" t="s">
        <v>41</v>
      </c>
      <c r="F386" s="10" t="s">
        <v>42</v>
      </c>
      <c r="G386" s="10" t="s">
        <v>1105</v>
      </c>
      <c r="H386" s="10" t="s">
        <v>626</v>
      </c>
      <c r="I386" s="11">
        <v>45000</v>
      </c>
      <c r="J386" s="12"/>
      <c r="K386" s="13"/>
      <c r="L386" s="14"/>
      <c r="M386" s="15">
        <v>45000</v>
      </c>
      <c r="N386" s="37"/>
      <c r="O386" s="32">
        <v>45000</v>
      </c>
      <c r="P386" s="46" t="s">
        <v>912</v>
      </c>
      <c r="Q386" s="46"/>
      <c r="R386" s="17">
        <f t="shared" si="5"/>
        <v>0</v>
      </c>
      <c r="S386" s="31"/>
      <c r="T386" s="83" t="s">
        <v>1036</v>
      </c>
    </row>
    <row r="387" spans="1:20" ht="52.5" hidden="1" x14ac:dyDescent="0.35">
      <c r="A387" s="8" t="s">
        <v>1000</v>
      </c>
      <c r="B387" s="9" t="s">
        <v>627</v>
      </c>
      <c r="C387" s="10" t="s">
        <v>628</v>
      </c>
      <c r="D387" s="10" t="s">
        <v>1085</v>
      </c>
      <c r="E387" s="10" t="s">
        <v>35</v>
      </c>
      <c r="F387" s="10" t="s">
        <v>36</v>
      </c>
      <c r="G387" s="10" t="s">
        <v>1103</v>
      </c>
      <c r="H387" s="10" t="s">
        <v>629</v>
      </c>
      <c r="I387" s="11">
        <v>15000</v>
      </c>
      <c r="J387" s="18">
        <v>13795</v>
      </c>
      <c r="K387" s="19">
        <v>0</v>
      </c>
      <c r="L387" s="11">
        <v>0</v>
      </c>
      <c r="M387" s="15">
        <v>1205</v>
      </c>
      <c r="N387" s="53"/>
      <c r="O387" s="54"/>
      <c r="P387" s="41"/>
      <c r="Q387" s="41"/>
      <c r="R387" s="17">
        <f t="shared" si="5"/>
        <v>1205</v>
      </c>
      <c r="S387" s="78"/>
      <c r="T387" s="83" t="s">
        <v>1036</v>
      </c>
    </row>
    <row r="388" spans="1:20" ht="52.5" hidden="1" x14ac:dyDescent="0.35">
      <c r="A388" s="8" t="s">
        <v>1000</v>
      </c>
      <c r="B388" s="9" t="s">
        <v>627</v>
      </c>
      <c r="C388" s="10" t="s">
        <v>628</v>
      </c>
      <c r="D388" s="10" t="s">
        <v>1085</v>
      </c>
      <c r="E388" s="10" t="s">
        <v>41</v>
      </c>
      <c r="F388" s="10" t="s">
        <v>42</v>
      </c>
      <c r="G388" s="10" t="s">
        <v>1105</v>
      </c>
      <c r="H388" s="10" t="s">
        <v>630</v>
      </c>
      <c r="I388" s="11">
        <v>100000</v>
      </c>
      <c r="J388" s="12"/>
      <c r="K388" s="13"/>
      <c r="L388" s="14"/>
      <c r="M388" s="15">
        <v>100000</v>
      </c>
      <c r="N388" s="53">
        <v>0</v>
      </c>
      <c r="O388" s="48">
        <v>100000</v>
      </c>
      <c r="P388" s="16"/>
      <c r="Q388" s="16"/>
      <c r="R388" s="17">
        <f t="shared" ref="R388:R451" si="6">M388-N388-O388</f>
        <v>0</v>
      </c>
      <c r="S388" s="68"/>
      <c r="T388" s="83" t="s">
        <v>1036</v>
      </c>
    </row>
    <row r="389" spans="1:20" ht="52.5" hidden="1" x14ac:dyDescent="0.35">
      <c r="A389" s="8" t="s">
        <v>1000</v>
      </c>
      <c r="B389" s="9" t="s">
        <v>627</v>
      </c>
      <c r="C389" s="10" t="s">
        <v>628</v>
      </c>
      <c r="D389" s="10" t="s">
        <v>1085</v>
      </c>
      <c r="E389" s="10" t="s">
        <v>47</v>
      </c>
      <c r="F389" s="10" t="s">
        <v>48</v>
      </c>
      <c r="G389" s="10" t="s">
        <v>1107</v>
      </c>
      <c r="H389" s="10" t="s">
        <v>631</v>
      </c>
      <c r="I389" s="11">
        <v>20000</v>
      </c>
      <c r="J389" s="12"/>
      <c r="K389" s="13"/>
      <c r="L389" s="14"/>
      <c r="M389" s="15">
        <v>20000</v>
      </c>
      <c r="N389" s="53"/>
      <c r="O389" s="48">
        <v>20000</v>
      </c>
      <c r="P389" s="16"/>
      <c r="Q389" s="16"/>
      <c r="R389" s="17">
        <f t="shared" si="6"/>
        <v>0</v>
      </c>
      <c r="S389" s="68"/>
      <c r="T389" s="83" t="s">
        <v>1036</v>
      </c>
    </row>
    <row r="390" spans="1:20" ht="52.5" hidden="1" x14ac:dyDescent="0.35">
      <c r="A390" s="8" t="s">
        <v>1000</v>
      </c>
      <c r="B390" s="9" t="s">
        <v>627</v>
      </c>
      <c r="C390" s="10" t="s">
        <v>628</v>
      </c>
      <c r="D390" s="10" t="s">
        <v>1085</v>
      </c>
      <c r="E390" s="10" t="s">
        <v>632</v>
      </c>
      <c r="F390" s="10" t="s">
        <v>633</v>
      </c>
      <c r="G390" s="10" t="s">
        <v>1168</v>
      </c>
      <c r="H390" s="10" t="s">
        <v>634</v>
      </c>
      <c r="I390" s="11">
        <v>20000</v>
      </c>
      <c r="J390" s="12"/>
      <c r="K390" s="13"/>
      <c r="L390" s="14"/>
      <c r="M390" s="15">
        <v>20000</v>
      </c>
      <c r="N390" s="53"/>
      <c r="O390" s="48">
        <v>20000</v>
      </c>
      <c r="P390" s="16"/>
      <c r="Q390" s="16"/>
      <c r="R390" s="17">
        <f t="shared" si="6"/>
        <v>0</v>
      </c>
      <c r="S390" s="81"/>
      <c r="T390" s="83" t="s">
        <v>1036</v>
      </c>
    </row>
    <row r="391" spans="1:20" ht="21" hidden="1" x14ac:dyDescent="0.35">
      <c r="A391" s="8" t="s">
        <v>1000</v>
      </c>
      <c r="B391" s="9" t="s">
        <v>635</v>
      </c>
      <c r="C391" s="10" t="s">
        <v>636</v>
      </c>
      <c r="D391" s="10" t="s">
        <v>1086</v>
      </c>
      <c r="E391" s="10" t="s">
        <v>29</v>
      </c>
      <c r="F391" s="10" t="s">
        <v>30</v>
      </c>
      <c r="G391" s="10" t="s">
        <v>1101</v>
      </c>
      <c r="H391" s="10" t="s">
        <v>637</v>
      </c>
      <c r="I391" s="11">
        <v>2200</v>
      </c>
      <c r="J391" s="12"/>
      <c r="K391" s="13"/>
      <c r="L391" s="14"/>
      <c r="M391" s="15">
        <v>2200</v>
      </c>
      <c r="N391" s="37"/>
      <c r="O391" s="38">
        <v>2200</v>
      </c>
      <c r="P391" s="46" t="s">
        <v>949</v>
      </c>
      <c r="Q391" s="46"/>
      <c r="R391" s="17">
        <f t="shared" si="6"/>
        <v>0</v>
      </c>
      <c r="S391" s="81"/>
      <c r="T391" s="83" t="s">
        <v>1036</v>
      </c>
    </row>
    <row r="392" spans="1:20" ht="21" hidden="1" x14ac:dyDescent="0.35">
      <c r="A392" s="8" t="s">
        <v>1000</v>
      </c>
      <c r="B392" s="9" t="s">
        <v>635</v>
      </c>
      <c r="C392" s="10" t="s">
        <v>636</v>
      </c>
      <c r="D392" s="10" t="s">
        <v>1086</v>
      </c>
      <c r="E392" s="10" t="s">
        <v>638</v>
      </c>
      <c r="F392" s="10" t="s">
        <v>639</v>
      </c>
      <c r="G392" s="10" t="s">
        <v>1169</v>
      </c>
      <c r="H392" s="10" t="s">
        <v>640</v>
      </c>
      <c r="I392" s="11">
        <v>80501600</v>
      </c>
      <c r="J392" s="18">
        <v>38142427.32</v>
      </c>
      <c r="K392" s="13"/>
      <c r="L392" s="14"/>
      <c r="M392" s="15">
        <v>42359172.68</v>
      </c>
      <c r="N392" s="37"/>
      <c r="O392" s="36">
        <v>42359172.68</v>
      </c>
      <c r="P392" s="46" t="s">
        <v>950</v>
      </c>
      <c r="Q392" s="46"/>
      <c r="R392" s="17">
        <f t="shared" si="6"/>
        <v>0</v>
      </c>
      <c r="S392" s="81"/>
      <c r="T392" s="83" t="s">
        <v>1036</v>
      </c>
    </row>
    <row r="393" spans="1:20" ht="21" hidden="1" x14ac:dyDescent="0.35">
      <c r="A393" s="8" t="s">
        <v>1000</v>
      </c>
      <c r="B393" s="9" t="s">
        <v>635</v>
      </c>
      <c r="C393" s="10" t="s">
        <v>636</v>
      </c>
      <c r="D393" s="10" t="s">
        <v>1086</v>
      </c>
      <c r="E393" s="10" t="s">
        <v>459</v>
      </c>
      <c r="F393" s="10" t="s">
        <v>460</v>
      </c>
      <c r="G393" s="10" t="s">
        <v>1146</v>
      </c>
      <c r="H393" s="10" t="s">
        <v>641</v>
      </c>
      <c r="I393" s="11">
        <v>11000</v>
      </c>
      <c r="J393" s="12"/>
      <c r="K393" s="13"/>
      <c r="L393" s="14"/>
      <c r="M393" s="15">
        <v>11000</v>
      </c>
      <c r="N393" s="37"/>
      <c r="O393" s="36"/>
      <c r="P393" s="55"/>
      <c r="Q393" s="55"/>
      <c r="R393" s="17">
        <f t="shared" si="6"/>
        <v>11000</v>
      </c>
      <c r="S393" s="81" t="s">
        <v>953</v>
      </c>
      <c r="T393" s="83" t="s">
        <v>1036</v>
      </c>
    </row>
    <row r="394" spans="1:20" ht="31.5" hidden="1" x14ac:dyDescent="0.35">
      <c r="A394" s="8" t="s">
        <v>1000</v>
      </c>
      <c r="B394" s="9" t="s">
        <v>635</v>
      </c>
      <c r="C394" s="10" t="s">
        <v>636</v>
      </c>
      <c r="D394" s="10" t="s">
        <v>1086</v>
      </c>
      <c r="E394" s="10" t="s">
        <v>286</v>
      </c>
      <c r="F394" s="10" t="s">
        <v>287</v>
      </c>
      <c r="G394" s="10" t="s">
        <v>1132</v>
      </c>
      <c r="H394" s="10" t="s">
        <v>642</v>
      </c>
      <c r="I394" s="11">
        <v>9500000</v>
      </c>
      <c r="J394" s="18">
        <v>4279841.18</v>
      </c>
      <c r="K394" s="19">
        <v>0</v>
      </c>
      <c r="L394" s="11">
        <v>0</v>
      </c>
      <c r="M394" s="15">
        <v>5220158.82</v>
      </c>
      <c r="N394" s="37"/>
      <c r="O394" s="36">
        <v>5220158.82</v>
      </c>
      <c r="P394" s="46" t="s">
        <v>951</v>
      </c>
      <c r="Q394" s="46"/>
      <c r="R394" s="17">
        <f t="shared" si="6"/>
        <v>0</v>
      </c>
      <c r="S394" s="14"/>
      <c r="T394" s="83" t="s">
        <v>1036</v>
      </c>
    </row>
    <row r="395" spans="1:20" ht="21" hidden="1" x14ac:dyDescent="0.35">
      <c r="A395" s="8" t="s">
        <v>1000</v>
      </c>
      <c r="B395" s="9" t="s">
        <v>635</v>
      </c>
      <c r="C395" s="10" t="s">
        <v>636</v>
      </c>
      <c r="D395" s="10" t="s">
        <v>1086</v>
      </c>
      <c r="E395" s="10" t="s">
        <v>134</v>
      </c>
      <c r="F395" s="10" t="s">
        <v>135</v>
      </c>
      <c r="G395" s="10" t="s">
        <v>1124</v>
      </c>
      <c r="H395" s="10" t="s">
        <v>643</v>
      </c>
      <c r="I395" s="11">
        <v>300000</v>
      </c>
      <c r="J395" s="18">
        <v>52000</v>
      </c>
      <c r="K395" s="19">
        <v>0</v>
      </c>
      <c r="L395" s="11">
        <v>63500</v>
      </c>
      <c r="M395" s="15">
        <v>184500</v>
      </c>
      <c r="N395" s="37"/>
      <c r="O395" s="36">
        <v>184500</v>
      </c>
      <c r="P395" s="46" t="s">
        <v>952</v>
      </c>
      <c r="Q395" s="46"/>
      <c r="R395" s="17">
        <f t="shared" si="6"/>
        <v>0</v>
      </c>
      <c r="S395" s="14"/>
      <c r="T395" s="83" t="s">
        <v>1036</v>
      </c>
    </row>
    <row r="396" spans="1:20" ht="21" hidden="1" x14ac:dyDescent="0.35">
      <c r="A396" s="8" t="s">
        <v>1000</v>
      </c>
      <c r="B396" s="9" t="s">
        <v>635</v>
      </c>
      <c r="C396" s="10" t="s">
        <v>636</v>
      </c>
      <c r="D396" s="10" t="s">
        <v>1086</v>
      </c>
      <c r="E396" s="10" t="s">
        <v>510</v>
      </c>
      <c r="F396" s="10" t="s">
        <v>511</v>
      </c>
      <c r="G396" s="10" t="s">
        <v>1158</v>
      </c>
      <c r="H396" s="10" t="s">
        <v>644</v>
      </c>
      <c r="I396" s="11">
        <v>6000</v>
      </c>
      <c r="J396" s="12"/>
      <c r="K396" s="13"/>
      <c r="L396" s="14"/>
      <c r="M396" s="15">
        <v>6000</v>
      </c>
      <c r="N396" s="37"/>
      <c r="O396" s="38">
        <v>6000</v>
      </c>
      <c r="P396" s="41"/>
      <c r="Q396" s="41"/>
      <c r="R396" s="17">
        <f t="shared" si="6"/>
        <v>0</v>
      </c>
      <c r="S396" s="14"/>
      <c r="T396" s="83" t="s">
        <v>1036</v>
      </c>
    </row>
    <row r="397" spans="1:20" ht="58" hidden="1" x14ac:dyDescent="0.35">
      <c r="A397" s="8" t="s">
        <v>1000</v>
      </c>
      <c r="B397" s="9" t="s">
        <v>645</v>
      </c>
      <c r="C397" s="10" t="s">
        <v>646</v>
      </c>
      <c r="D397" s="10" t="s">
        <v>1087</v>
      </c>
      <c r="E397" s="10" t="s">
        <v>647</v>
      </c>
      <c r="F397" s="10" t="s">
        <v>648</v>
      </c>
      <c r="G397" s="10" t="s">
        <v>1170</v>
      </c>
      <c r="H397" s="10" t="s">
        <v>649</v>
      </c>
      <c r="I397" s="11">
        <v>1647000</v>
      </c>
      <c r="J397" s="18">
        <v>256343.86</v>
      </c>
      <c r="K397" s="19">
        <v>136300</v>
      </c>
      <c r="L397" s="11">
        <v>149008.60999999999</v>
      </c>
      <c r="M397" s="15">
        <v>1104217.9099999999</v>
      </c>
      <c r="N397" s="14"/>
      <c r="O397" s="13">
        <v>1104217.9099999999</v>
      </c>
      <c r="P397" s="16" t="s">
        <v>954</v>
      </c>
      <c r="Q397" s="16"/>
      <c r="R397" s="17">
        <f t="shared" si="6"/>
        <v>0</v>
      </c>
      <c r="S397" s="14"/>
      <c r="T397" s="83" t="s">
        <v>1036</v>
      </c>
    </row>
    <row r="398" spans="1:20" ht="43.5" hidden="1" x14ac:dyDescent="0.35">
      <c r="A398" s="8" t="s">
        <v>1000</v>
      </c>
      <c r="B398" s="9" t="s">
        <v>645</v>
      </c>
      <c r="C398" s="10" t="s">
        <v>646</v>
      </c>
      <c r="D398" s="10" t="s">
        <v>1087</v>
      </c>
      <c r="E398" s="10" t="s">
        <v>38</v>
      </c>
      <c r="F398" s="10" t="s">
        <v>39</v>
      </c>
      <c r="G398" s="10" t="s">
        <v>1104</v>
      </c>
      <c r="H398" s="10" t="s">
        <v>650</v>
      </c>
      <c r="I398" s="11">
        <v>120000</v>
      </c>
      <c r="J398" s="12"/>
      <c r="K398" s="13"/>
      <c r="L398" s="14"/>
      <c r="M398" s="15">
        <v>76562.31</v>
      </c>
      <c r="N398" s="14"/>
      <c r="O398" s="13">
        <v>76562.31</v>
      </c>
      <c r="P398" s="16" t="s">
        <v>955</v>
      </c>
      <c r="Q398" s="16"/>
      <c r="R398" s="17">
        <f t="shared" si="6"/>
        <v>0</v>
      </c>
      <c r="S398" s="14"/>
      <c r="T398" s="83" t="s">
        <v>1036</v>
      </c>
    </row>
    <row r="399" spans="1:20" ht="42" hidden="1" x14ac:dyDescent="0.35">
      <c r="A399" s="8" t="s">
        <v>1000</v>
      </c>
      <c r="B399" s="9" t="s">
        <v>651</v>
      </c>
      <c r="C399" s="10" t="s">
        <v>652</v>
      </c>
      <c r="D399" s="10" t="s">
        <v>1088</v>
      </c>
      <c r="E399" s="10" t="s">
        <v>29</v>
      </c>
      <c r="F399" s="10" t="s">
        <v>30</v>
      </c>
      <c r="G399" s="10" t="s">
        <v>1101</v>
      </c>
      <c r="H399" s="10" t="s">
        <v>653</v>
      </c>
      <c r="I399" s="11">
        <v>220000</v>
      </c>
      <c r="J399" s="18">
        <v>51401.25</v>
      </c>
      <c r="K399" s="19">
        <v>0</v>
      </c>
      <c r="L399" s="11">
        <v>0</v>
      </c>
      <c r="M399" s="15">
        <v>168598.75</v>
      </c>
      <c r="N399" s="37"/>
      <c r="O399" s="38">
        <v>168598.75</v>
      </c>
      <c r="P399" s="55" t="s">
        <v>970</v>
      </c>
      <c r="Q399" s="55"/>
      <c r="R399" s="17">
        <f t="shared" si="6"/>
        <v>0</v>
      </c>
      <c r="S399" s="37"/>
      <c r="T399" s="83" t="s">
        <v>1036</v>
      </c>
    </row>
    <row r="400" spans="1:20" ht="52.5" hidden="1" x14ac:dyDescent="0.35">
      <c r="A400" s="8" t="s">
        <v>1000</v>
      </c>
      <c r="B400" s="9" t="s">
        <v>651</v>
      </c>
      <c r="C400" s="10" t="s">
        <v>652</v>
      </c>
      <c r="D400" s="10" t="s">
        <v>1088</v>
      </c>
      <c r="E400" s="10" t="s">
        <v>253</v>
      </c>
      <c r="F400" s="10" t="s">
        <v>254</v>
      </c>
      <c r="G400" s="10" t="s">
        <v>1131</v>
      </c>
      <c r="H400" s="10" t="s">
        <v>654</v>
      </c>
      <c r="I400" s="11">
        <v>128000</v>
      </c>
      <c r="J400" s="12"/>
      <c r="K400" s="13"/>
      <c r="L400" s="14"/>
      <c r="M400" s="15">
        <v>128000</v>
      </c>
      <c r="N400" s="37"/>
      <c r="O400" s="36">
        <v>128000</v>
      </c>
      <c r="P400" s="55" t="s">
        <v>971</v>
      </c>
      <c r="Q400" s="55"/>
      <c r="R400" s="17">
        <f t="shared" si="6"/>
        <v>0</v>
      </c>
      <c r="S400" s="37"/>
      <c r="T400" s="83" t="s">
        <v>1036</v>
      </c>
    </row>
    <row r="401" spans="1:20" ht="31.5" hidden="1" x14ac:dyDescent="0.35">
      <c r="A401" s="8" t="s">
        <v>1000</v>
      </c>
      <c r="B401" s="9" t="s">
        <v>651</v>
      </c>
      <c r="C401" s="10" t="s">
        <v>652</v>
      </c>
      <c r="D401" s="10" t="s">
        <v>1088</v>
      </c>
      <c r="E401" s="10" t="s">
        <v>655</v>
      </c>
      <c r="F401" s="10" t="s">
        <v>656</v>
      </c>
      <c r="G401" s="10" t="s">
        <v>1171</v>
      </c>
      <c r="H401" s="10" t="s">
        <v>657</v>
      </c>
      <c r="I401" s="11">
        <v>23000</v>
      </c>
      <c r="J401" s="12"/>
      <c r="K401" s="13"/>
      <c r="L401" s="14"/>
      <c r="M401" s="15">
        <v>23000</v>
      </c>
      <c r="N401" s="37"/>
      <c r="O401" s="38"/>
      <c r="P401" s="55"/>
      <c r="Q401" s="55"/>
      <c r="R401" s="17">
        <f t="shared" si="6"/>
        <v>23000</v>
      </c>
      <c r="S401" s="37" t="s">
        <v>979</v>
      </c>
      <c r="T401" s="83" t="s">
        <v>1036</v>
      </c>
    </row>
    <row r="402" spans="1:20" ht="52.5" hidden="1" x14ac:dyDescent="0.35">
      <c r="A402" s="8" t="s">
        <v>1000</v>
      </c>
      <c r="B402" s="9" t="s">
        <v>651</v>
      </c>
      <c r="C402" s="10" t="s">
        <v>652</v>
      </c>
      <c r="D402" s="10" t="s">
        <v>1088</v>
      </c>
      <c r="E402" s="10" t="s">
        <v>124</v>
      </c>
      <c r="F402" s="10" t="s">
        <v>125</v>
      </c>
      <c r="G402" s="10" t="s">
        <v>1122</v>
      </c>
      <c r="H402" s="10" t="s">
        <v>658</v>
      </c>
      <c r="I402" s="11">
        <v>800000</v>
      </c>
      <c r="J402" s="18">
        <v>90622.63</v>
      </c>
      <c r="K402" s="13"/>
      <c r="L402" s="14"/>
      <c r="M402" s="15">
        <v>709377.37</v>
      </c>
      <c r="N402" s="35">
        <v>650000</v>
      </c>
      <c r="O402" s="36">
        <v>59377</v>
      </c>
      <c r="P402" s="55" t="s">
        <v>972</v>
      </c>
      <c r="Q402" s="55"/>
      <c r="R402" s="17">
        <f t="shared" si="6"/>
        <v>0.36999999999534339</v>
      </c>
      <c r="S402" s="37"/>
      <c r="T402" s="83" t="s">
        <v>1036</v>
      </c>
    </row>
    <row r="403" spans="1:20" ht="31.5" hidden="1" x14ac:dyDescent="0.35">
      <c r="A403" s="8" t="s">
        <v>1000</v>
      </c>
      <c r="B403" s="9" t="s">
        <v>651</v>
      </c>
      <c r="C403" s="10" t="s">
        <v>652</v>
      </c>
      <c r="D403" s="10" t="s">
        <v>1088</v>
      </c>
      <c r="E403" s="10" t="s">
        <v>35</v>
      </c>
      <c r="F403" s="10" t="s">
        <v>36</v>
      </c>
      <c r="G403" s="10" t="s">
        <v>1103</v>
      </c>
      <c r="H403" s="10" t="s">
        <v>659</v>
      </c>
      <c r="I403" s="11">
        <v>24000</v>
      </c>
      <c r="J403" s="18">
        <v>1816.5</v>
      </c>
      <c r="K403" s="13"/>
      <c r="L403" s="14"/>
      <c r="M403" s="15">
        <v>22183.5</v>
      </c>
      <c r="N403" s="37"/>
      <c r="O403" s="38">
        <v>22183.5</v>
      </c>
      <c r="P403" s="55" t="s">
        <v>973</v>
      </c>
      <c r="Q403" s="55"/>
      <c r="R403" s="17">
        <f t="shared" si="6"/>
        <v>0</v>
      </c>
      <c r="S403" s="37"/>
      <c r="T403" s="83" t="s">
        <v>1036</v>
      </c>
    </row>
    <row r="404" spans="1:20" ht="31.5" hidden="1" x14ac:dyDescent="0.35">
      <c r="A404" s="8" t="s">
        <v>1000</v>
      </c>
      <c r="B404" s="9" t="s">
        <v>651</v>
      </c>
      <c r="C404" s="10" t="s">
        <v>652</v>
      </c>
      <c r="D404" s="10" t="s">
        <v>1088</v>
      </c>
      <c r="E404" s="10" t="s">
        <v>38</v>
      </c>
      <c r="F404" s="10" t="s">
        <v>39</v>
      </c>
      <c r="G404" s="10" t="s">
        <v>1104</v>
      </c>
      <c r="H404" s="10" t="s">
        <v>660</v>
      </c>
      <c r="I404" s="11">
        <v>363000</v>
      </c>
      <c r="J404" s="12"/>
      <c r="K404" s="19">
        <v>0</v>
      </c>
      <c r="L404" s="11">
        <v>362782.21</v>
      </c>
      <c r="M404" s="15">
        <v>217.78999999997899</v>
      </c>
      <c r="N404" s="37"/>
      <c r="O404" s="38"/>
      <c r="P404" s="55"/>
      <c r="Q404" s="55"/>
      <c r="R404" s="17">
        <f t="shared" si="6"/>
        <v>217.78999999997899</v>
      </c>
      <c r="S404" s="37" t="s">
        <v>980</v>
      </c>
      <c r="T404" s="83" t="s">
        <v>1036</v>
      </c>
    </row>
    <row r="405" spans="1:20" ht="31.5" hidden="1" x14ac:dyDescent="0.35">
      <c r="A405" s="8" t="s">
        <v>1000</v>
      </c>
      <c r="B405" s="9" t="s">
        <v>651</v>
      </c>
      <c r="C405" s="10" t="s">
        <v>652</v>
      </c>
      <c r="D405" s="10" t="s">
        <v>1088</v>
      </c>
      <c r="E405" s="10" t="s">
        <v>59</v>
      </c>
      <c r="F405" s="10" t="s">
        <v>60</v>
      </c>
      <c r="G405" s="10" t="s">
        <v>1109</v>
      </c>
      <c r="H405" s="10" t="s">
        <v>661</v>
      </c>
      <c r="I405" s="11">
        <v>11020</v>
      </c>
      <c r="J405" s="18">
        <v>11019</v>
      </c>
      <c r="K405" s="13"/>
      <c r="L405" s="14"/>
      <c r="M405" s="15">
        <v>1</v>
      </c>
      <c r="N405" s="37"/>
      <c r="O405" s="38">
        <v>11019</v>
      </c>
      <c r="P405" s="55" t="s">
        <v>974</v>
      </c>
      <c r="Q405" s="55"/>
      <c r="R405" s="17">
        <f t="shared" si="6"/>
        <v>-11018</v>
      </c>
      <c r="S405" s="37"/>
      <c r="T405" s="83" t="s">
        <v>1036</v>
      </c>
    </row>
    <row r="406" spans="1:20" ht="31.5" hidden="1" x14ac:dyDescent="0.35">
      <c r="A406" s="8" t="s">
        <v>1000</v>
      </c>
      <c r="B406" s="9" t="s">
        <v>651</v>
      </c>
      <c r="C406" s="10" t="s">
        <v>652</v>
      </c>
      <c r="D406" s="10" t="s">
        <v>1088</v>
      </c>
      <c r="E406" s="10" t="s">
        <v>41</v>
      </c>
      <c r="F406" s="10" t="s">
        <v>42</v>
      </c>
      <c r="G406" s="10" t="s">
        <v>1105</v>
      </c>
      <c r="H406" s="10" t="s">
        <v>662</v>
      </c>
      <c r="I406" s="11">
        <v>48980</v>
      </c>
      <c r="J406" s="12"/>
      <c r="K406" s="13"/>
      <c r="L406" s="14"/>
      <c r="M406" s="15">
        <v>48980</v>
      </c>
      <c r="N406" s="37"/>
      <c r="O406" s="38">
        <v>48980</v>
      </c>
      <c r="P406" s="55" t="s">
        <v>975</v>
      </c>
      <c r="Q406" s="55"/>
      <c r="R406" s="17">
        <f t="shared" si="6"/>
        <v>0</v>
      </c>
      <c r="S406" s="37"/>
      <c r="T406" s="83" t="s">
        <v>1036</v>
      </c>
    </row>
    <row r="407" spans="1:20" ht="42" hidden="1" x14ac:dyDescent="0.35">
      <c r="A407" s="8" t="s">
        <v>1000</v>
      </c>
      <c r="B407" s="9" t="s">
        <v>651</v>
      </c>
      <c r="C407" s="10" t="s">
        <v>652</v>
      </c>
      <c r="D407" s="10" t="s">
        <v>1088</v>
      </c>
      <c r="E407" s="10" t="s">
        <v>47</v>
      </c>
      <c r="F407" s="10" t="s">
        <v>48</v>
      </c>
      <c r="G407" s="10" t="s">
        <v>1107</v>
      </c>
      <c r="H407" s="10" t="s">
        <v>663</v>
      </c>
      <c r="I407" s="11">
        <v>14000</v>
      </c>
      <c r="J407" s="12"/>
      <c r="K407" s="13"/>
      <c r="L407" s="14"/>
      <c r="M407" s="15">
        <v>14000</v>
      </c>
      <c r="N407" s="37"/>
      <c r="O407" s="38">
        <v>14000</v>
      </c>
      <c r="P407" s="55" t="s">
        <v>976</v>
      </c>
      <c r="Q407" s="55"/>
      <c r="R407" s="17">
        <f t="shared" si="6"/>
        <v>0</v>
      </c>
      <c r="S407" s="37"/>
      <c r="T407" s="83" t="s">
        <v>1036</v>
      </c>
    </row>
    <row r="408" spans="1:20" ht="63" hidden="1" x14ac:dyDescent="0.35">
      <c r="A408" s="8" t="s">
        <v>1000</v>
      </c>
      <c r="B408" s="9" t="s">
        <v>651</v>
      </c>
      <c r="C408" s="10" t="s">
        <v>652</v>
      </c>
      <c r="D408" s="10" t="s">
        <v>1088</v>
      </c>
      <c r="E408" s="10" t="s">
        <v>664</v>
      </c>
      <c r="F408" s="10" t="s">
        <v>665</v>
      </c>
      <c r="G408" s="10" t="s">
        <v>1172</v>
      </c>
      <c r="H408" s="10" t="s">
        <v>666</v>
      </c>
      <c r="I408" s="11">
        <v>4750</v>
      </c>
      <c r="J408" s="12"/>
      <c r="K408" s="13"/>
      <c r="L408" s="14"/>
      <c r="M408" s="15">
        <v>4750</v>
      </c>
      <c r="N408" s="37"/>
      <c r="O408" s="38">
        <v>4750</v>
      </c>
      <c r="P408" s="55" t="s">
        <v>977</v>
      </c>
      <c r="Q408" s="55"/>
      <c r="R408" s="17">
        <f t="shared" si="6"/>
        <v>0</v>
      </c>
      <c r="S408" s="37"/>
      <c r="T408" s="83" t="s">
        <v>1036</v>
      </c>
    </row>
    <row r="409" spans="1:20" ht="31.5" hidden="1" x14ac:dyDescent="0.35">
      <c r="A409" s="8" t="s">
        <v>1000</v>
      </c>
      <c r="B409" s="9" t="s">
        <v>651</v>
      </c>
      <c r="C409" s="10" t="s">
        <v>652</v>
      </c>
      <c r="D409" s="10" t="s">
        <v>1088</v>
      </c>
      <c r="E409" s="10" t="s">
        <v>134</v>
      </c>
      <c r="F409" s="10" t="s">
        <v>135</v>
      </c>
      <c r="G409" s="10" t="s">
        <v>1124</v>
      </c>
      <c r="H409" s="10" t="s">
        <v>667</v>
      </c>
      <c r="I409" s="11">
        <v>42000</v>
      </c>
      <c r="J409" s="12"/>
      <c r="K409" s="13"/>
      <c r="L409" s="14"/>
      <c r="M409" s="15">
        <v>42000</v>
      </c>
      <c r="N409" s="37"/>
      <c r="O409" s="38">
        <v>42000</v>
      </c>
      <c r="P409" s="55" t="s">
        <v>978</v>
      </c>
      <c r="Q409" s="55"/>
      <c r="R409" s="17">
        <f t="shared" si="6"/>
        <v>0</v>
      </c>
      <c r="S409" s="37"/>
      <c r="T409" s="83" t="s">
        <v>1036</v>
      </c>
    </row>
    <row r="410" spans="1:20" ht="31.5" hidden="1" x14ac:dyDescent="0.35">
      <c r="A410" s="8" t="s">
        <v>1000</v>
      </c>
      <c r="B410" s="9" t="s">
        <v>651</v>
      </c>
      <c r="C410" s="10" t="s">
        <v>652</v>
      </c>
      <c r="D410" s="10" t="s">
        <v>1088</v>
      </c>
      <c r="E410" s="10" t="s">
        <v>510</v>
      </c>
      <c r="F410" s="10" t="s">
        <v>511</v>
      </c>
      <c r="G410" s="10" t="s">
        <v>1158</v>
      </c>
      <c r="H410" s="10" t="s">
        <v>668</v>
      </c>
      <c r="I410" s="11">
        <v>25000</v>
      </c>
      <c r="J410" s="12"/>
      <c r="K410" s="13"/>
      <c r="L410" s="14"/>
      <c r="M410" s="15">
        <v>25000</v>
      </c>
      <c r="N410" s="37"/>
      <c r="O410" s="38"/>
      <c r="P410" s="55"/>
      <c r="Q410" s="55"/>
      <c r="R410" s="17">
        <f t="shared" si="6"/>
        <v>25000</v>
      </c>
      <c r="S410" s="37" t="s">
        <v>981</v>
      </c>
      <c r="T410" s="83" t="s">
        <v>1036</v>
      </c>
    </row>
    <row r="411" spans="1:20" ht="31.5" hidden="1" x14ac:dyDescent="0.35">
      <c r="A411" s="8" t="s">
        <v>1000</v>
      </c>
      <c r="B411" s="9" t="s">
        <v>669</v>
      </c>
      <c r="C411" s="10" t="s">
        <v>670</v>
      </c>
      <c r="D411" s="10" t="s">
        <v>1089</v>
      </c>
      <c r="E411" s="10" t="s">
        <v>29</v>
      </c>
      <c r="F411" s="10" t="s">
        <v>30</v>
      </c>
      <c r="G411" s="10" t="s">
        <v>1101</v>
      </c>
      <c r="H411" s="10" t="s">
        <v>671</v>
      </c>
      <c r="I411" s="11">
        <v>867500</v>
      </c>
      <c r="J411" s="12"/>
      <c r="K411" s="19">
        <v>867000</v>
      </c>
      <c r="L411" s="14"/>
      <c r="M411" s="15">
        <v>500</v>
      </c>
      <c r="N411" s="53"/>
      <c r="O411" s="48">
        <v>500</v>
      </c>
      <c r="P411" s="47"/>
      <c r="Q411" s="47"/>
      <c r="R411" s="17">
        <f t="shared" si="6"/>
        <v>0</v>
      </c>
      <c r="S411" s="14"/>
      <c r="T411" s="83" t="s">
        <v>1036</v>
      </c>
    </row>
    <row r="412" spans="1:20" ht="31.5" hidden="1" x14ac:dyDescent="0.35">
      <c r="A412" s="8" t="s">
        <v>1000</v>
      </c>
      <c r="B412" s="9" t="s">
        <v>669</v>
      </c>
      <c r="C412" s="10" t="s">
        <v>670</v>
      </c>
      <c r="D412" s="10" t="s">
        <v>1089</v>
      </c>
      <c r="E412" s="10" t="s">
        <v>253</v>
      </c>
      <c r="F412" s="10" t="s">
        <v>254</v>
      </c>
      <c r="G412" s="10" t="s">
        <v>1131</v>
      </c>
      <c r="H412" s="10" t="s">
        <v>672</v>
      </c>
      <c r="I412" s="11">
        <v>0</v>
      </c>
      <c r="J412" s="12"/>
      <c r="K412" s="13"/>
      <c r="L412" s="14"/>
      <c r="M412" s="15">
        <v>0</v>
      </c>
      <c r="N412" s="53"/>
      <c r="O412" s="54"/>
      <c r="P412" s="47"/>
      <c r="Q412" s="47"/>
      <c r="R412" s="17">
        <f t="shared" si="6"/>
        <v>0</v>
      </c>
      <c r="S412" s="14"/>
      <c r="T412" s="83" t="s">
        <v>1036</v>
      </c>
    </row>
    <row r="413" spans="1:20" ht="52.5" hidden="1" x14ac:dyDescent="0.35">
      <c r="A413" s="8" t="s">
        <v>1000</v>
      </c>
      <c r="B413" s="9" t="s">
        <v>669</v>
      </c>
      <c r="C413" s="10" t="s">
        <v>670</v>
      </c>
      <c r="D413" s="10" t="s">
        <v>1089</v>
      </c>
      <c r="E413" s="10" t="s">
        <v>127</v>
      </c>
      <c r="F413" s="10" t="s">
        <v>128</v>
      </c>
      <c r="G413" s="10" t="s">
        <v>1123</v>
      </c>
      <c r="H413" s="10" t="s">
        <v>673</v>
      </c>
      <c r="I413" s="11">
        <v>520000</v>
      </c>
      <c r="J413" s="18">
        <v>133221.29999999999</v>
      </c>
      <c r="K413" s="13"/>
      <c r="L413" s="14"/>
      <c r="M413" s="15">
        <v>386778.7</v>
      </c>
      <c r="N413" s="48">
        <v>386778.7</v>
      </c>
      <c r="O413" s="54"/>
      <c r="P413" s="56" t="s">
        <v>956</v>
      </c>
      <c r="Q413" s="56"/>
      <c r="R413" s="17">
        <f t="shared" si="6"/>
        <v>0</v>
      </c>
      <c r="S413" s="14"/>
      <c r="T413" s="83" t="s">
        <v>1036</v>
      </c>
    </row>
    <row r="414" spans="1:20" ht="31.5" hidden="1" x14ac:dyDescent="0.35">
      <c r="A414" s="8" t="s">
        <v>1000</v>
      </c>
      <c r="B414" s="9" t="s">
        <v>669</v>
      </c>
      <c r="C414" s="10" t="s">
        <v>670</v>
      </c>
      <c r="D414" s="10" t="s">
        <v>1089</v>
      </c>
      <c r="E414" s="10" t="s">
        <v>35</v>
      </c>
      <c r="F414" s="10" t="s">
        <v>36</v>
      </c>
      <c r="G414" s="10" t="s">
        <v>1103</v>
      </c>
      <c r="H414" s="10" t="s">
        <v>674</v>
      </c>
      <c r="I414" s="11">
        <v>51000</v>
      </c>
      <c r="J414" s="12"/>
      <c r="K414" s="13"/>
      <c r="L414" s="14"/>
      <c r="M414" s="15">
        <v>51000</v>
      </c>
      <c r="N414" s="53"/>
      <c r="O414" s="48">
        <v>51000</v>
      </c>
      <c r="P414" s="56" t="s">
        <v>957</v>
      </c>
      <c r="Q414" s="56"/>
      <c r="R414" s="17">
        <f t="shared" si="6"/>
        <v>0</v>
      </c>
      <c r="S414" s="14"/>
      <c r="T414" s="83" t="s">
        <v>1036</v>
      </c>
    </row>
    <row r="415" spans="1:20" ht="31.5" hidden="1" x14ac:dyDescent="0.35">
      <c r="A415" s="8" t="s">
        <v>1000</v>
      </c>
      <c r="B415" s="9" t="s">
        <v>669</v>
      </c>
      <c r="C415" s="10" t="s">
        <v>670</v>
      </c>
      <c r="D415" s="10" t="s">
        <v>1089</v>
      </c>
      <c r="E415" s="10" t="s">
        <v>38</v>
      </c>
      <c r="F415" s="10" t="s">
        <v>39</v>
      </c>
      <c r="G415" s="10" t="s">
        <v>1104</v>
      </c>
      <c r="H415" s="10" t="s">
        <v>675</v>
      </c>
      <c r="I415" s="11">
        <v>60608</v>
      </c>
      <c r="J415" s="12"/>
      <c r="K415" s="19">
        <v>60604.5</v>
      </c>
      <c r="L415" s="14"/>
      <c r="M415" s="15">
        <v>3.5</v>
      </c>
      <c r="N415" s="53"/>
      <c r="O415" s="54"/>
      <c r="P415" s="47"/>
      <c r="Q415" s="47"/>
      <c r="R415" s="17">
        <f t="shared" si="6"/>
        <v>3.5</v>
      </c>
      <c r="S415" s="14"/>
      <c r="T415" s="83" t="s">
        <v>1036</v>
      </c>
    </row>
    <row r="416" spans="1:20" ht="31.5" hidden="1" x14ac:dyDescent="0.35">
      <c r="A416" s="8" t="s">
        <v>1000</v>
      </c>
      <c r="B416" s="9" t="s">
        <v>669</v>
      </c>
      <c r="C416" s="10" t="s">
        <v>670</v>
      </c>
      <c r="D416" s="10" t="s">
        <v>1089</v>
      </c>
      <c r="E416" s="10" t="s">
        <v>41</v>
      </c>
      <c r="F416" s="10" t="s">
        <v>42</v>
      </c>
      <c r="G416" s="10" t="s">
        <v>1105</v>
      </c>
      <c r="H416" s="10" t="s">
        <v>676</v>
      </c>
      <c r="I416" s="11">
        <v>10000</v>
      </c>
      <c r="J416" s="18">
        <v>4400</v>
      </c>
      <c r="K416" s="13"/>
      <c r="L416" s="14"/>
      <c r="M416" s="15">
        <v>5600</v>
      </c>
      <c r="N416" s="53"/>
      <c r="O416" s="48">
        <v>5600</v>
      </c>
      <c r="P416" s="47"/>
      <c r="Q416" s="47"/>
      <c r="R416" s="17">
        <f t="shared" si="6"/>
        <v>0</v>
      </c>
      <c r="S416" s="14"/>
      <c r="T416" s="83" t="s">
        <v>1036</v>
      </c>
    </row>
    <row r="417" spans="1:20" ht="43.5" hidden="1" x14ac:dyDescent="0.35">
      <c r="A417" s="8" t="s">
        <v>1000</v>
      </c>
      <c r="B417" s="9" t="s">
        <v>669</v>
      </c>
      <c r="C417" s="10" t="s">
        <v>670</v>
      </c>
      <c r="D417" s="10" t="s">
        <v>1089</v>
      </c>
      <c r="E417" s="10" t="s">
        <v>47</v>
      </c>
      <c r="F417" s="10" t="s">
        <v>48</v>
      </c>
      <c r="G417" s="10" t="s">
        <v>1107</v>
      </c>
      <c r="H417" s="10" t="s">
        <v>677</v>
      </c>
      <c r="I417" s="11">
        <v>46500</v>
      </c>
      <c r="J417" s="12"/>
      <c r="K417" s="13"/>
      <c r="L417" s="14"/>
      <c r="M417" s="15">
        <v>46500</v>
      </c>
      <c r="N417" s="53"/>
      <c r="O417" s="54">
        <v>46500</v>
      </c>
      <c r="P417" s="47" t="s">
        <v>958</v>
      </c>
      <c r="Q417" s="47"/>
      <c r="R417" s="17">
        <f t="shared" si="6"/>
        <v>0</v>
      </c>
      <c r="S417" s="14"/>
      <c r="T417" s="83" t="s">
        <v>1036</v>
      </c>
    </row>
    <row r="418" spans="1:20" ht="31.5" hidden="1" x14ac:dyDescent="0.35">
      <c r="A418" s="8" t="s">
        <v>1000</v>
      </c>
      <c r="B418" s="9" t="s">
        <v>669</v>
      </c>
      <c r="C418" s="10" t="s">
        <v>670</v>
      </c>
      <c r="D418" s="10" t="s">
        <v>1089</v>
      </c>
      <c r="E418" s="10" t="s">
        <v>134</v>
      </c>
      <c r="F418" s="10" t="s">
        <v>135</v>
      </c>
      <c r="G418" s="10" t="s">
        <v>1124</v>
      </c>
      <c r="H418" s="10" t="s">
        <v>678</v>
      </c>
      <c r="I418" s="11">
        <v>10000</v>
      </c>
      <c r="J418" s="12"/>
      <c r="K418" s="13"/>
      <c r="L418" s="14"/>
      <c r="M418" s="15">
        <v>10000</v>
      </c>
      <c r="N418" s="53"/>
      <c r="O418" s="48">
        <v>10000</v>
      </c>
      <c r="P418" s="47"/>
      <c r="Q418" s="47"/>
      <c r="R418" s="17">
        <f t="shared" si="6"/>
        <v>0</v>
      </c>
      <c r="S418" s="14"/>
      <c r="T418" s="83" t="s">
        <v>1036</v>
      </c>
    </row>
    <row r="419" spans="1:20" ht="21" hidden="1" x14ac:dyDescent="0.35">
      <c r="A419" s="8" t="s">
        <v>1000</v>
      </c>
      <c r="B419" s="9" t="s">
        <v>679</v>
      </c>
      <c r="C419" s="10" t="s">
        <v>680</v>
      </c>
      <c r="D419" s="10" t="s">
        <v>1090</v>
      </c>
      <c r="E419" s="10" t="s">
        <v>415</v>
      </c>
      <c r="F419" s="10" t="s">
        <v>416</v>
      </c>
      <c r="G419" s="10" t="s">
        <v>1136</v>
      </c>
      <c r="H419" s="10" t="s">
        <v>681</v>
      </c>
      <c r="I419" s="11">
        <v>353000</v>
      </c>
      <c r="J419" s="18">
        <v>352238.57</v>
      </c>
      <c r="K419" s="13"/>
      <c r="L419" s="14"/>
      <c r="M419" s="15">
        <v>761.42999999993503</v>
      </c>
      <c r="N419" s="14"/>
      <c r="O419" s="13"/>
      <c r="P419" s="16"/>
      <c r="Q419" s="16"/>
      <c r="R419" s="17">
        <f t="shared" si="6"/>
        <v>761.42999999993503</v>
      </c>
      <c r="S419" s="14"/>
      <c r="T419" s="83" t="s">
        <v>1036</v>
      </c>
    </row>
    <row r="420" spans="1:20" ht="116" hidden="1" x14ac:dyDescent="0.35">
      <c r="A420" s="8" t="s">
        <v>1000</v>
      </c>
      <c r="B420" s="9" t="s">
        <v>679</v>
      </c>
      <c r="C420" s="10" t="s">
        <v>680</v>
      </c>
      <c r="D420" s="10" t="s">
        <v>1090</v>
      </c>
      <c r="E420" s="10" t="s">
        <v>29</v>
      </c>
      <c r="F420" s="10" t="s">
        <v>30</v>
      </c>
      <c r="G420" s="10" t="s">
        <v>1101</v>
      </c>
      <c r="H420" s="10" t="s">
        <v>682</v>
      </c>
      <c r="I420" s="11">
        <v>205000</v>
      </c>
      <c r="J420" s="18">
        <v>18873.75</v>
      </c>
      <c r="K420" s="19">
        <v>61320</v>
      </c>
      <c r="L420" s="14"/>
      <c r="M420" s="15">
        <v>124806.25</v>
      </c>
      <c r="N420" s="14">
        <v>100000</v>
      </c>
      <c r="O420" s="13">
        <v>24806</v>
      </c>
      <c r="P420" s="16" t="s">
        <v>959</v>
      </c>
      <c r="Q420" s="16"/>
      <c r="R420" s="17">
        <f t="shared" si="6"/>
        <v>0.25</v>
      </c>
      <c r="S420" s="14"/>
      <c r="T420" s="83" t="s">
        <v>1036</v>
      </c>
    </row>
    <row r="421" spans="1:20" ht="87" hidden="1" x14ac:dyDescent="0.35">
      <c r="A421" s="8" t="s">
        <v>1000</v>
      </c>
      <c r="B421" s="9" t="s">
        <v>679</v>
      </c>
      <c r="C421" s="10" t="s">
        <v>680</v>
      </c>
      <c r="D421" s="10" t="s">
        <v>1090</v>
      </c>
      <c r="E421" s="10" t="s">
        <v>683</v>
      </c>
      <c r="F421" s="10" t="s">
        <v>684</v>
      </c>
      <c r="G421" s="10" t="s">
        <v>1173</v>
      </c>
      <c r="H421" s="10" t="s">
        <v>685</v>
      </c>
      <c r="I421" s="11">
        <v>9349361</v>
      </c>
      <c r="J421" s="18">
        <v>-58814.48</v>
      </c>
      <c r="K421" s="13"/>
      <c r="L421" s="11">
        <v>662298.51</v>
      </c>
      <c r="M421" s="15">
        <v>8745876.9700000007</v>
      </c>
      <c r="N421" s="14">
        <v>8824429.5</v>
      </c>
      <c r="O421" s="57">
        <v>3429527.25</v>
      </c>
      <c r="P421" s="16" t="s">
        <v>960</v>
      </c>
      <c r="Q421" s="16"/>
      <c r="R421" s="17">
        <f t="shared" si="6"/>
        <v>-3508079.7799999993</v>
      </c>
      <c r="S421" s="14"/>
      <c r="T421" s="83" t="s">
        <v>1036</v>
      </c>
    </row>
    <row r="422" spans="1:20" ht="188.5" hidden="1" x14ac:dyDescent="0.35">
      <c r="A422" s="8" t="s">
        <v>1000</v>
      </c>
      <c r="B422" s="9" t="s">
        <v>679</v>
      </c>
      <c r="C422" s="10" t="s">
        <v>680</v>
      </c>
      <c r="D422" s="10" t="s">
        <v>1090</v>
      </c>
      <c r="E422" s="10" t="s">
        <v>686</v>
      </c>
      <c r="F422" s="10" t="s">
        <v>687</v>
      </c>
      <c r="G422" s="10" t="s">
        <v>1174</v>
      </c>
      <c r="H422" s="10" t="s">
        <v>688</v>
      </c>
      <c r="I422" s="11">
        <v>225000</v>
      </c>
      <c r="J422" s="12"/>
      <c r="K422" s="19">
        <v>81632</v>
      </c>
      <c r="L422" s="14"/>
      <c r="M422" s="15">
        <v>143368</v>
      </c>
      <c r="N422" s="14">
        <v>284800</v>
      </c>
      <c r="O422" s="13">
        <v>43568</v>
      </c>
      <c r="P422" s="16" t="s">
        <v>961</v>
      </c>
      <c r="Q422" s="16"/>
      <c r="R422" s="17">
        <f t="shared" si="6"/>
        <v>-185000</v>
      </c>
      <c r="S422" s="14"/>
      <c r="T422" s="83" t="s">
        <v>1036</v>
      </c>
    </row>
    <row r="423" spans="1:20" ht="409.5" hidden="1" x14ac:dyDescent="0.35">
      <c r="A423" s="8" t="s">
        <v>1000</v>
      </c>
      <c r="B423" s="9" t="s">
        <v>679</v>
      </c>
      <c r="C423" s="10" t="s">
        <v>680</v>
      </c>
      <c r="D423" s="10" t="s">
        <v>1090</v>
      </c>
      <c r="E423" s="10" t="s">
        <v>167</v>
      </c>
      <c r="F423" s="10" t="s">
        <v>168</v>
      </c>
      <c r="G423" s="10" t="s">
        <v>1130</v>
      </c>
      <c r="H423" s="10" t="s">
        <v>689</v>
      </c>
      <c r="I423" s="11">
        <v>936870</v>
      </c>
      <c r="J423" s="18">
        <v>277906</v>
      </c>
      <c r="K423" s="19">
        <v>0</v>
      </c>
      <c r="L423" s="11">
        <v>0</v>
      </c>
      <c r="M423" s="15">
        <v>658964</v>
      </c>
      <c r="N423" s="14">
        <v>375600</v>
      </c>
      <c r="O423" s="13">
        <v>283364</v>
      </c>
      <c r="P423" s="16" t="s">
        <v>962</v>
      </c>
      <c r="Q423" s="16"/>
      <c r="R423" s="17">
        <f t="shared" si="6"/>
        <v>0</v>
      </c>
      <c r="S423" s="14"/>
      <c r="T423" s="83" t="s">
        <v>1036</v>
      </c>
    </row>
    <row r="424" spans="1:20" ht="232" hidden="1" x14ac:dyDescent="0.35">
      <c r="A424" s="8" t="s">
        <v>1000</v>
      </c>
      <c r="B424" s="9" t="s">
        <v>679</v>
      </c>
      <c r="C424" s="10" t="s">
        <v>680</v>
      </c>
      <c r="D424" s="10" t="s">
        <v>1090</v>
      </c>
      <c r="E424" s="10" t="s">
        <v>35</v>
      </c>
      <c r="F424" s="10" t="s">
        <v>36</v>
      </c>
      <c r="G424" s="10" t="s">
        <v>1103</v>
      </c>
      <c r="H424" s="10" t="s">
        <v>690</v>
      </c>
      <c r="I424" s="11">
        <v>70800</v>
      </c>
      <c r="J424" s="18">
        <v>44428.44</v>
      </c>
      <c r="K424" s="13"/>
      <c r="L424" s="14"/>
      <c r="M424" s="15">
        <v>26371.56</v>
      </c>
      <c r="N424" s="14">
        <v>22800</v>
      </c>
      <c r="O424" s="13">
        <v>3572</v>
      </c>
      <c r="P424" s="16" t="s">
        <v>963</v>
      </c>
      <c r="Q424" s="16"/>
      <c r="R424" s="17">
        <f t="shared" si="6"/>
        <v>-0.43999999999869033</v>
      </c>
      <c r="S424" s="14"/>
      <c r="T424" s="83" t="s">
        <v>1036</v>
      </c>
    </row>
    <row r="425" spans="1:20" ht="87" hidden="1" x14ac:dyDescent="0.35">
      <c r="A425" s="8" t="s">
        <v>1000</v>
      </c>
      <c r="B425" s="9" t="s">
        <v>679</v>
      </c>
      <c r="C425" s="10" t="s">
        <v>680</v>
      </c>
      <c r="D425" s="10" t="s">
        <v>1090</v>
      </c>
      <c r="E425" s="10" t="s">
        <v>47</v>
      </c>
      <c r="F425" s="10" t="s">
        <v>48</v>
      </c>
      <c r="G425" s="10" t="s">
        <v>1107</v>
      </c>
      <c r="H425" s="10" t="s">
        <v>691</v>
      </c>
      <c r="I425" s="11">
        <v>32500</v>
      </c>
      <c r="J425" s="18">
        <v>6975.25</v>
      </c>
      <c r="K425" s="13"/>
      <c r="L425" s="14"/>
      <c r="M425" s="15">
        <v>25524.75</v>
      </c>
      <c r="N425" s="14">
        <v>12000</v>
      </c>
      <c r="O425" s="13">
        <v>13525</v>
      </c>
      <c r="P425" s="16" t="s">
        <v>964</v>
      </c>
      <c r="Q425" s="16"/>
      <c r="R425" s="17">
        <f t="shared" si="6"/>
        <v>-0.25</v>
      </c>
      <c r="S425" s="14"/>
      <c r="T425" s="83" t="s">
        <v>1036</v>
      </c>
    </row>
    <row r="426" spans="1:20" ht="101.5" hidden="1" x14ac:dyDescent="0.35">
      <c r="A426" s="8" t="s">
        <v>1000</v>
      </c>
      <c r="B426" s="9" t="s">
        <v>679</v>
      </c>
      <c r="C426" s="10" t="s">
        <v>680</v>
      </c>
      <c r="D426" s="10" t="s">
        <v>1090</v>
      </c>
      <c r="E426" s="10" t="s">
        <v>632</v>
      </c>
      <c r="F426" s="10" t="s">
        <v>633</v>
      </c>
      <c r="G426" s="10" t="s">
        <v>1168</v>
      </c>
      <c r="H426" s="10" t="s">
        <v>692</v>
      </c>
      <c r="I426" s="11">
        <v>12000</v>
      </c>
      <c r="J426" s="18">
        <v>650</v>
      </c>
      <c r="K426" s="13"/>
      <c r="L426" s="14"/>
      <c r="M426" s="15">
        <v>11350</v>
      </c>
      <c r="N426" s="14">
        <v>96600</v>
      </c>
      <c r="O426" s="13">
        <v>14750</v>
      </c>
      <c r="P426" s="16" t="s">
        <v>965</v>
      </c>
      <c r="Q426" s="16"/>
      <c r="R426" s="17">
        <f t="shared" si="6"/>
        <v>-100000</v>
      </c>
      <c r="S426" s="14"/>
      <c r="T426" s="83" t="s">
        <v>1036</v>
      </c>
    </row>
    <row r="427" spans="1:20" ht="116" hidden="1" x14ac:dyDescent="0.35">
      <c r="A427" s="8" t="s">
        <v>1000</v>
      </c>
      <c r="B427" s="9" t="s">
        <v>679</v>
      </c>
      <c r="C427" s="10" t="s">
        <v>680</v>
      </c>
      <c r="D427" s="10" t="s">
        <v>1090</v>
      </c>
      <c r="E427" s="10" t="s">
        <v>134</v>
      </c>
      <c r="F427" s="10" t="s">
        <v>135</v>
      </c>
      <c r="G427" s="10" t="s">
        <v>1124</v>
      </c>
      <c r="H427" s="10" t="s">
        <v>693</v>
      </c>
      <c r="I427" s="11">
        <v>13500</v>
      </c>
      <c r="J427" s="18">
        <v>1505.95</v>
      </c>
      <c r="K427" s="13"/>
      <c r="L427" s="14"/>
      <c r="M427" s="15">
        <v>11994.05</v>
      </c>
      <c r="N427" s="14">
        <v>5000</v>
      </c>
      <c r="O427" s="13">
        <v>6994</v>
      </c>
      <c r="P427" s="16" t="s">
        <v>966</v>
      </c>
      <c r="Q427" s="16"/>
      <c r="R427" s="17">
        <f t="shared" si="6"/>
        <v>4.9999999999272404E-2</v>
      </c>
      <c r="S427" s="14"/>
      <c r="T427" s="83" t="s">
        <v>1036</v>
      </c>
    </row>
    <row r="428" spans="1:20" ht="52" hidden="1" x14ac:dyDescent="0.35">
      <c r="A428" s="8" t="s">
        <v>1000</v>
      </c>
      <c r="B428" s="9" t="s">
        <v>694</v>
      </c>
      <c r="C428" s="10" t="s">
        <v>695</v>
      </c>
      <c r="D428" s="10" t="s">
        <v>1091</v>
      </c>
      <c r="E428" s="10" t="s">
        <v>35</v>
      </c>
      <c r="F428" s="10" t="s">
        <v>36</v>
      </c>
      <c r="G428" s="10" t="s">
        <v>1103</v>
      </c>
      <c r="H428" s="10" t="s">
        <v>696</v>
      </c>
      <c r="I428" s="11">
        <v>50000</v>
      </c>
      <c r="J428" s="12"/>
      <c r="K428" s="13"/>
      <c r="L428" s="14"/>
      <c r="M428" s="15">
        <v>50000</v>
      </c>
      <c r="N428" s="53"/>
      <c r="O428" s="54">
        <v>30000</v>
      </c>
      <c r="P428" s="58" t="s">
        <v>967</v>
      </c>
      <c r="Q428" s="58"/>
      <c r="R428" s="17">
        <f t="shared" si="6"/>
        <v>20000</v>
      </c>
      <c r="S428" s="14"/>
      <c r="T428" s="83" t="s">
        <v>1036</v>
      </c>
    </row>
    <row r="429" spans="1:20" ht="72.5" hidden="1" x14ac:dyDescent="0.35">
      <c r="A429" s="8" t="s">
        <v>1000</v>
      </c>
      <c r="B429" s="9" t="s">
        <v>694</v>
      </c>
      <c r="C429" s="10" t="s">
        <v>695</v>
      </c>
      <c r="D429" s="10" t="s">
        <v>1091</v>
      </c>
      <c r="E429" s="10" t="s">
        <v>41</v>
      </c>
      <c r="F429" s="10" t="s">
        <v>42</v>
      </c>
      <c r="G429" s="10" t="s">
        <v>1105</v>
      </c>
      <c r="H429" s="10" t="s">
        <v>697</v>
      </c>
      <c r="I429" s="11">
        <v>300000</v>
      </c>
      <c r="J429" s="12"/>
      <c r="K429" s="13"/>
      <c r="L429" s="14"/>
      <c r="M429" s="15">
        <v>300000</v>
      </c>
      <c r="N429" s="53"/>
      <c r="O429" s="54">
        <v>100000</v>
      </c>
      <c r="P429" s="47" t="s">
        <v>968</v>
      </c>
      <c r="Q429" s="47"/>
      <c r="R429" s="17">
        <f t="shared" si="6"/>
        <v>200000</v>
      </c>
      <c r="S429" s="14"/>
      <c r="T429" s="83" t="s">
        <v>1036</v>
      </c>
    </row>
    <row r="430" spans="1:20" ht="87" hidden="1" x14ac:dyDescent="0.35">
      <c r="A430" s="8" t="s">
        <v>1000</v>
      </c>
      <c r="B430" s="9" t="s">
        <v>694</v>
      </c>
      <c r="C430" s="10" t="s">
        <v>695</v>
      </c>
      <c r="D430" s="10" t="s">
        <v>1091</v>
      </c>
      <c r="E430" s="10" t="s">
        <v>664</v>
      </c>
      <c r="F430" s="10" t="s">
        <v>665</v>
      </c>
      <c r="G430" s="10" t="s">
        <v>1172</v>
      </c>
      <c r="H430" s="10" t="s">
        <v>698</v>
      </c>
      <c r="I430" s="11">
        <v>15199430</v>
      </c>
      <c r="J430" s="18">
        <v>12101305</v>
      </c>
      <c r="K430" s="19">
        <v>1432923.82</v>
      </c>
      <c r="L430" s="11">
        <v>402022.42</v>
      </c>
      <c r="M430" s="15">
        <v>1263178.76</v>
      </c>
      <c r="N430" s="59">
        <v>469955</v>
      </c>
      <c r="O430" s="48">
        <f>M430-N430</f>
        <v>793223.76</v>
      </c>
      <c r="P430" s="47" t="s">
        <v>969</v>
      </c>
      <c r="Q430" s="47"/>
      <c r="R430" s="17">
        <f t="shared" si="6"/>
        <v>0</v>
      </c>
      <c r="S430" s="14"/>
      <c r="T430" s="83" t="s">
        <v>1036</v>
      </c>
    </row>
    <row r="431" spans="1:20" ht="21" hidden="1" x14ac:dyDescent="0.35">
      <c r="A431" s="8" t="s">
        <v>1000</v>
      </c>
      <c r="B431" s="9" t="s">
        <v>694</v>
      </c>
      <c r="C431" s="10" t="s">
        <v>695</v>
      </c>
      <c r="D431" s="10" t="s">
        <v>1091</v>
      </c>
      <c r="E431" s="10" t="s">
        <v>134</v>
      </c>
      <c r="F431" s="10" t="s">
        <v>135</v>
      </c>
      <c r="G431" s="10" t="s">
        <v>1124</v>
      </c>
      <c r="H431" s="10" t="s">
        <v>699</v>
      </c>
      <c r="I431" s="11">
        <v>50000</v>
      </c>
      <c r="J431" s="12"/>
      <c r="K431" s="13"/>
      <c r="L431" s="14"/>
      <c r="M431" s="15">
        <v>50000</v>
      </c>
      <c r="N431" s="53"/>
      <c r="O431" s="54">
        <v>20000</v>
      </c>
      <c r="P431" s="47"/>
      <c r="Q431" s="47"/>
      <c r="R431" s="17">
        <f t="shared" si="6"/>
        <v>30000</v>
      </c>
      <c r="S431" s="14"/>
      <c r="T431" s="83" t="s">
        <v>1036</v>
      </c>
    </row>
    <row r="432" spans="1:20" ht="42" hidden="1" x14ac:dyDescent="0.35">
      <c r="A432" s="8" t="s">
        <v>1000</v>
      </c>
      <c r="B432" s="9" t="s">
        <v>700</v>
      </c>
      <c r="C432" s="10" t="s">
        <v>701</v>
      </c>
      <c r="D432" s="10" t="s">
        <v>1092</v>
      </c>
      <c r="E432" s="10" t="s">
        <v>65</v>
      </c>
      <c r="F432" s="10" t="s">
        <v>66</v>
      </c>
      <c r="G432" s="10" t="s">
        <v>1110</v>
      </c>
      <c r="H432" s="10" t="s">
        <v>702</v>
      </c>
      <c r="I432" s="11">
        <v>2500</v>
      </c>
      <c r="J432" s="12"/>
      <c r="K432" s="13"/>
      <c r="L432" s="14"/>
      <c r="M432" s="15">
        <v>2500</v>
      </c>
      <c r="N432" s="17"/>
      <c r="O432" s="17">
        <v>2500</v>
      </c>
      <c r="P432" s="17" t="s">
        <v>922</v>
      </c>
      <c r="Q432" s="17"/>
      <c r="R432" s="17">
        <f t="shared" si="6"/>
        <v>0</v>
      </c>
      <c r="S432" s="14"/>
      <c r="T432" s="83" t="s">
        <v>1036</v>
      </c>
    </row>
    <row r="433" spans="1:20" ht="42" hidden="1" x14ac:dyDescent="0.35">
      <c r="A433" s="8" t="s">
        <v>1000</v>
      </c>
      <c r="B433" s="9" t="s">
        <v>700</v>
      </c>
      <c r="C433" s="10" t="s">
        <v>701</v>
      </c>
      <c r="D433" s="10" t="s">
        <v>1092</v>
      </c>
      <c r="E433" s="10" t="s">
        <v>29</v>
      </c>
      <c r="F433" s="10" t="s">
        <v>30</v>
      </c>
      <c r="G433" s="10" t="s">
        <v>1101</v>
      </c>
      <c r="H433" s="10" t="s">
        <v>703</v>
      </c>
      <c r="I433" s="11">
        <v>30000</v>
      </c>
      <c r="J433" s="18">
        <v>5707</v>
      </c>
      <c r="K433" s="13"/>
      <c r="L433" s="14"/>
      <c r="M433" s="15">
        <v>24293</v>
      </c>
      <c r="N433" s="17">
        <v>24293</v>
      </c>
      <c r="O433" s="17"/>
      <c r="P433" s="17" t="s">
        <v>923</v>
      </c>
      <c r="Q433" s="17"/>
      <c r="R433" s="17">
        <f t="shared" si="6"/>
        <v>0</v>
      </c>
      <c r="S433" s="14"/>
      <c r="T433" s="83" t="s">
        <v>1036</v>
      </c>
    </row>
    <row r="434" spans="1:20" ht="42" hidden="1" x14ac:dyDescent="0.35">
      <c r="A434" s="8" t="s">
        <v>1000</v>
      </c>
      <c r="B434" s="9" t="s">
        <v>700</v>
      </c>
      <c r="C434" s="10" t="s">
        <v>701</v>
      </c>
      <c r="D434" s="10" t="s">
        <v>1092</v>
      </c>
      <c r="E434" s="10" t="s">
        <v>32</v>
      </c>
      <c r="F434" s="10" t="s">
        <v>33</v>
      </c>
      <c r="G434" s="10" t="s">
        <v>1102</v>
      </c>
      <c r="H434" s="10" t="s">
        <v>704</v>
      </c>
      <c r="I434" s="11">
        <v>60000</v>
      </c>
      <c r="J434" s="18">
        <v>3630.61</v>
      </c>
      <c r="K434" s="13"/>
      <c r="L434" s="14"/>
      <c r="M434" s="15">
        <v>56369.39</v>
      </c>
      <c r="N434" s="17"/>
      <c r="O434" s="17">
        <v>56369</v>
      </c>
      <c r="P434" s="17" t="s">
        <v>924</v>
      </c>
      <c r="Q434" s="17"/>
      <c r="R434" s="17">
        <f t="shared" si="6"/>
        <v>0.38999999999941792</v>
      </c>
      <c r="S434" s="14"/>
      <c r="T434" s="83" t="s">
        <v>1036</v>
      </c>
    </row>
    <row r="435" spans="1:20" ht="42" hidden="1" x14ac:dyDescent="0.35">
      <c r="A435" s="8" t="s">
        <v>1000</v>
      </c>
      <c r="B435" s="9" t="s">
        <v>700</v>
      </c>
      <c r="C435" s="10" t="s">
        <v>701</v>
      </c>
      <c r="D435" s="10" t="s">
        <v>1092</v>
      </c>
      <c r="E435" s="10" t="s">
        <v>705</v>
      </c>
      <c r="F435" s="10" t="s">
        <v>706</v>
      </c>
      <c r="G435" s="10" t="s">
        <v>1175</v>
      </c>
      <c r="H435" s="10" t="s">
        <v>707</v>
      </c>
      <c r="I435" s="11">
        <v>300000</v>
      </c>
      <c r="J435" s="12"/>
      <c r="K435" s="13"/>
      <c r="L435" s="14"/>
      <c r="M435" s="15">
        <v>300000</v>
      </c>
      <c r="N435" s="17">
        <v>160000</v>
      </c>
      <c r="O435" s="17">
        <v>140000</v>
      </c>
      <c r="P435" s="17" t="s">
        <v>925</v>
      </c>
      <c r="Q435" s="17"/>
      <c r="R435" s="17">
        <f t="shared" si="6"/>
        <v>0</v>
      </c>
      <c r="S435" s="14"/>
      <c r="T435" s="83" t="s">
        <v>1036</v>
      </c>
    </row>
    <row r="436" spans="1:20" ht="42" hidden="1" x14ac:dyDescent="0.35">
      <c r="A436" s="8" t="s">
        <v>1000</v>
      </c>
      <c r="B436" s="9" t="s">
        <v>700</v>
      </c>
      <c r="C436" s="10" t="s">
        <v>701</v>
      </c>
      <c r="D436" s="10" t="s">
        <v>1092</v>
      </c>
      <c r="E436" s="10" t="s">
        <v>167</v>
      </c>
      <c r="F436" s="10" t="s">
        <v>168</v>
      </c>
      <c r="G436" s="10" t="s">
        <v>1130</v>
      </c>
      <c r="H436" s="10" t="s">
        <v>708</v>
      </c>
      <c r="I436" s="11">
        <v>30000</v>
      </c>
      <c r="J436" s="12"/>
      <c r="K436" s="13"/>
      <c r="L436" s="14"/>
      <c r="M436" s="15">
        <v>30000</v>
      </c>
      <c r="N436" s="17"/>
      <c r="O436" s="17">
        <v>30000</v>
      </c>
      <c r="P436" s="17" t="s">
        <v>926</v>
      </c>
      <c r="Q436" s="17"/>
      <c r="R436" s="17">
        <f t="shared" si="6"/>
        <v>0</v>
      </c>
      <c r="S436" s="14"/>
      <c r="T436" s="83" t="s">
        <v>1036</v>
      </c>
    </row>
    <row r="437" spans="1:20" ht="52.5" hidden="1" x14ac:dyDescent="0.35">
      <c r="A437" s="8" t="s">
        <v>1000</v>
      </c>
      <c r="B437" s="9" t="s">
        <v>700</v>
      </c>
      <c r="C437" s="10" t="s">
        <v>701</v>
      </c>
      <c r="D437" s="10" t="s">
        <v>1092</v>
      </c>
      <c r="E437" s="10" t="s">
        <v>144</v>
      </c>
      <c r="F437" s="10" t="s">
        <v>145</v>
      </c>
      <c r="G437" s="10" t="s">
        <v>1125</v>
      </c>
      <c r="H437" s="10" t="s">
        <v>709</v>
      </c>
      <c r="I437" s="11">
        <v>200000</v>
      </c>
      <c r="J437" s="12"/>
      <c r="K437" s="19">
        <v>0</v>
      </c>
      <c r="L437" s="11">
        <v>82642.5</v>
      </c>
      <c r="M437" s="15">
        <v>117357.5</v>
      </c>
      <c r="N437" s="17"/>
      <c r="O437" s="17">
        <v>117358</v>
      </c>
      <c r="P437" s="17" t="s">
        <v>927</v>
      </c>
      <c r="Q437" s="17"/>
      <c r="R437" s="17">
        <f t="shared" si="6"/>
        <v>-0.5</v>
      </c>
      <c r="S437" s="14"/>
      <c r="T437" s="83" t="s">
        <v>1036</v>
      </c>
    </row>
    <row r="438" spans="1:20" ht="42" hidden="1" x14ac:dyDescent="0.35">
      <c r="A438" s="8" t="s">
        <v>1000</v>
      </c>
      <c r="B438" s="9" t="s">
        <v>700</v>
      </c>
      <c r="C438" s="10" t="s">
        <v>701</v>
      </c>
      <c r="D438" s="10" t="s">
        <v>1092</v>
      </c>
      <c r="E438" s="10" t="s">
        <v>38</v>
      </c>
      <c r="F438" s="10" t="s">
        <v>39</v>
      </c>
      <c r="G438" s="10" t="s">
        <v>1104</v>
      </c>
      <c r="H438" s="10" t="s">
        <v>710</v>
      </c>
      <c r="I438" s="11">
        <v>321000</v>
      </c>
      <c r="J438" s="18">
        <v>178854.68</v>
      </c>
      <c r="K438" s="19">
        <v>75749</v>
      </c>
      <c r="L438" s="11">
        <v>5876.8</v>
      </c>
      <c r="M438" s="15">
        <v>53829.52</v>
      </c>
      <c r="N438" s="17">
        <v>20000</v>
      </c>
      <c r="O438" s="17">
        <v>33830</v>
      </c>
      <c r="P438" s="17" t="s">
        <v>928</v>
      </c>
      <c r="Q438" s="17"/>
      <c r="R438" s="17">
        <f t="shared" si="6"/>
        <v>-0.48000000000320142</v>
      </c>
      <c r="S438" s="14"/>
      <c r="T438" s="83" t="s">
        <v>1036</v>
      </c>
    </row>
    <row r="439" spans="1:20" ht="63" hidden="1" x14ac:dyDescent="0.35">
      <c r="A439" s="8" t="s">
        <v>1000</v>
      </c>
      <c r="B439" s="9" t="s">
        <v>700</v>
      </c>
      <c r="C439" s="10" t="s">
        <v>701</v>
      </c>
      <c r="D439" s="10" t="s">
        <v>1092</v>
      </c>
      <c r="E439" s="10" t="s">
        <v>47</v>
      </c>
      <c r="F439" s="10" t="s">
        <v>48</v>
      </c>
      <c r="G439" s="10" t="s">
        <v>1107</v>
      </c>
      <c r="H439" s="10" t="s">
        <v>711</v>
      </c>
      <c r="I439" s="11">
        <v>15000</v>
      </c>
      <c r="J439" s="12"/>
      <c r="K439" s="13"/>
      <c r="L439" s="14"/>
      <c r="M439" s="15">
        <v>15000</v>
      </c>
      <c r="N439" s="17">
        <v>10000</v>
      </c>
      <c r="O439" s="17">
        <v>5000</v>
      </c>
      <c r="P439" s="17" t="s">
        <v>929</v>
      </c>
      <c r="Q439" s="17"/>
      <c r="R439" s="17">
        <f t="shared" si="6"/>
        <v>0</v>
      </c>
      <c r="S439" s="14"/>
      <c r="T439" s="83" t="s">
        <v>1036</v>
      </c>
    </row>
    <row r="440" spans="1:20" ht="42" hidden="1" x14ac:dyDescent="0.35">
      <c r="A440" s="8" t="s">
        <v>1000</v>
      </c>
      <c r="B440" s="9" t="s">
        <v>700</v>
      </c>
      <c r="C440" s="10" t="s">
        <v>701</v>
      </c>
      <c r="D440" s="10" t="s">
        <v>1092</v>
      </c>
      <c r="E440" s="10" t="s">
        <v>444</v>
      </c>
      <c r="F440" s="10" t="s">
        <v>445</v>
      </c>
      <c r="G440" s="10" t="s">
        <v>1142</v>
      </c>
      <c r="H440" s="10" t="s">
        <v>712</v>
      </c>
      <c r="I440" s="11">
        <v>200000</v>
      </c>
      <c r="J440" s="12"/>
      <c r="K440" s="13"/>
      <c r="L440" s="14"/>
      <c r="M440" s="15">
        <v>200000</v>
      </c>
      <c r="N440" s="17"/>
      <c r="O440" s="17">
        <v>200000</v>
      </c>
      <c r="P440" s="17" t="s">
        <v>930</v>
      </c>
      <c r="Q440" s="17"/>
      <c r="R440" s="17">
        <f t="shared" si="6"/>
        <v>0</v>
      </c>
      <c r="S440" s="14"/>
      <c r="T440" s="83" t="s">
        <v>1036</v>
      </c>
    </row>
    <row r="441" spans="1:20" ht="42" hidden="1" x14ac:dyDescent="0.35">
      <c r="A441" s="8" t="s">
        <v>1000</v>
      </c>
      <c r="B441" s="9" t="s">
        <v>700</v>
      </c>
      <c r="C441" s="10" t="s">
        <v>701</v>
      </c>
      <c r="D441" s="10" t="s">
        <v>1092</v>
      </c>
      <c r="E441" s="10" t="s">
        <v>286</v>
      </c>
      <c r="F441" s="10" t="s">
        <v>287</v>
      </c>
      <c r="G441" s="10" t="s">
        <v>1132</v>
      </c>
      <c r="H441" s="10" t="s">
        <v>713</v>
      </c>
      <c r="I441" s="11">
        <v>10000</v>
      </c>
      <c r="J441" s="12"/>
      <c r="K441" s="13"/>
      <c r="L441" s="14"/>
      <c r="M441" s="15">
        <v>10000</v>
      </c>
      <c r="N441" s="17"/>
      <c r="O441" s="17">
        <v>10000</v>
      </c>
      <c r="P441" s="17" t="s">
        <v>931</v>
      </c>
      <c r="Q441" s="17"/>
      <c r="R441" s="17">
        <f t="shared" si="6"/>
        <v>0</v>
      </c>
      <c r="S441" s="14"/>
      <c r="T441" s="83" t="s">
        <v>1036</v>
      </c>
    </row>
    <row r="442" spans="1:20" ht="42" hidden="1" x14ac:dyDescent="0.35">
      <c r="A442" s="8" t="s">
        <v>1000</v>
      </c>
      <c r="B442" s="9" t="s">
        <v>700</v>
      </c>
      <c r="C442" s="10" t="s">
        <v>701</v>
      </c>
      <c r="D442" s="10" t="s">
        <v>1092</v>
      </c>
      <c r="E442" s="10" t="s">
        <v>632</v>
      </c>
      <c r="F442" s="10" t="s">
        <v>633</v>
      </c>
      <c r="G442" s="10" t="s">
        <v>1168</v>
      </c>
      <c r="H442" s="10" t="s">
        <v>714</v>
      </c>
      <c r="I442" s="11">
        <v>5000</v>
      </c>
      <c r="J442" s="12"/>
      <c r="K442" s="13"/>
      <c r="L442" s="14"/>
      <c r="M442" s="15">
        <v>5000</v>
      </c>
      <c r="N442" s="17">
        <v>2000</v>
      </c>
      <c r="O442" s="17">
        <v>3000</v>
      </c>
      <c r="P442" s="17" t="s">
        <v>932</v>
      </c>
      <c r="Q442" s="17"/>
      <c r="R442" s="17">
        <f t="shared" si="6"/>
        <v>0</v>
      </c>
      <c r="S442" s="14"/>
      <c r="T442" s="83" t="s">
        <v>1036</v>
      </c>
    </row>
    <row r="443" spans="1:20" ht="21" hidden="1" x14ac:dyDescent="0.35">
      <c r="A443" s="8" t="s">
        <v>1010</v>
      </c>
      <c r="B443" s="9" t="s">
        <v>715</v>
      </c>
      <c r="C443" s="10" t="s">
        <v>716</v>
      </c>
      <c r="D443" s="10" t="s">
        <v>1093</v>
      </c>
      <c r="E443" s="10" t="s">
        <v>17</v>
      </c>
      <c r="F443" s="10" t="s">
        <v>18</v>
      </c>
      <c r="G443" s="10" t="s">
        <v>1097</v>
      </c>
      <c r="H443" s="10" t="s">
        <v>717</v>
      </c>
      <c r="I443" s="11">
        <v>21895944</v>
      </c>
      <c r="J443" s="12"/>
      <c r="K443" s="13"/>
      <c r="L443" s="14"/>
      <c r="M443" s="15">
        <v>21895944</v>
      </c>
      <c r="N443" s="17"/>
      <c r="O443" s="15">
        <v>21895944</v>
      </c>
      <c r="P443" s="17" t="s">
        <v>1035</v>
      </c>
      <c r="Q443" s="17"/>
      <c r="R443" s="17">
        <f t="shared" si="6"/>
        <v>0</v>
      </c>
      <c r="S443" s="27">
        <v>0</v>
      </c>
      <c r="T443" s="83" t="s">
        <v>1036</v>
      </c>
    </row>
    <row r="444" spans="1:20" ht="21" hidden="1" x14ac:dyDescent="0.35">
      <c r="A444" s="8" t="s">
        <v>1010</v>
      </c>
      <c r="B444" s="9" t="s">
        <v>715</v>
      </c>
      <c r="C444" s="10" t="s">
        <v>716</v>
      </c>
      <c r="D444" s="10" t="s">
        <v>1093</v>
      </c>
      <c r="E444" s="10" t="s">
        <v>536</v>
      </c>
      <c r="F444" s="10" t="s">
        <v>537</v>
      </c>
      <c r="G444" s="10" t="s">
        <v>1160</v>
      </c>
      <c r="H444" s="10" t="s">
        <v>718</v>
      </c>
      <c r="I444" s="11">
        <v>0</v>
      </c>
      <c r="J444" s="12"/>
      <c r="K444" s="13"/>
      <c r="L444" s="14"/>
      <c r="M444" s="15">
        <v>0</v>
      </c>
      <c r="N444" s="17"/>
      <c r="O444" s="17"/>
      <c r="P444" s="17"/>
      <c r="Q444" s="17"/>
      <c r="R444" s="17">
        <f t="shared" si="6"/>
        <v>0</v>
      </c>
      <c r="S444" s="27">
        <v>0</v>
      </c>
      <c r="T444" s="83" t="s">
        <v>1037</v>
      </c>
    </row>
    <row r="445" spans="1:20" ht="21" hidden="1" x14ac:dyDescent="0.35">
      <c r="A445" s="8" t="s">
        <v>1010</v>
      </c>
      <c r="B445" s="9" t="s">
        <v>715</v>
      </c>
      <c r="C445" s="10" t="s">
        <v>716</v>
      </c>
      <c r="D445" s="10" t="s">
        <v>1093</v>
      </c>
      <c r="E445" s="10" t="s">
        <v>539</v>
      </c>
      <c r="F445" s="10" t="s">
        <v>540</v>
      </c>
      <c r="G445" s="10" t="s">
        <v>1161</v>
      </c>
      <c r="H445" s="10" t="s">
        <v>719</v>
      </c>
      <c r="I445" s="11">
        <v>0</v>
      </c>
      <c r="J445" s="12"/>
      <c r="K445" s="13"/>
      <c r="L445" s="14"/>
      <c r="M445" s="15">
        <v>0</v>
      </c>
      <c r="N445" s="17"/>
      <c r="O445" s="17"/>
      <c r="P445" s="17"/>
      <c r="Q445" s="17"/>
      <c r="R445" s="17">
        <f t="shared" si="6"/>
        <v>0</v>
      </c>
      <c r="S445" s="27">
        <v>0</v>
      </c>
      <c r="T445" s="83" t="s">
        <v>1037</v>
      </c>
    </row>
    <row r="446" spans="1:20" ht="21" hidden="1" x14ac:dyDescent="0.35">
      <c r="A446" s="8" t="s">
        <v>1010</v>
      </c>
      <c r="B446" s="9" t="s">
        <v>715</v>
      </c>
      <c r="C446" s="10" t="s">
        <v>716</v>
      </c>
      <c r="D446" s="10" t="s">
        <v>1093</v>
      </c>
      <c r="E446" s="10" t="s">
        <v>23</v>
      </c>
      <c r="F446" s="10" t="s">
        <v>24</v>
      </c>
      <c r="G446" s="10" t="s">
        <v>1099</v>
      </c>
      <c r="H446" s="10" t="s">
        <v>720</v>
      </c>
      <c r="I446" s="11">
        <v>271000</v>
      </c>
      <c r="J446" s="18">
        <v>100000</v>
      </c>
      <c r="K446" s="13"/>
      <c r="L446" s="14"/>
      <c r="M446" s="15">
        <v>171000</v>
      </c>
      <c r="N446" s="17"/>
      <c r="O446" s="17"/>
      <c r="P446" s="17"/>
      <c r="Q446" s="17"/>
      <c r="R446" s="17">
        <f t="shared" si="6"/>
        <v>171000</v>
      </c>
      <c r="S446" s="27">
        <v>0</v>
      </c>
      <c r="T446" s="83" t="s">
        <v>1037</v>
      </c>
    </row>
    <row r="447" spans="1:20" ht="21" hidden="1" x14ac:dyDescent="0.35">
      <c r="A447" s="8" t="s">
        <v>1010</v>
      </c>
      <c r="B447" s="9" t="s">
        <v>715</v>
      </c>
      <c r="C447" s="10" t="s">
        <v>716</v>
      </c>
      <c r="D447" s="10" t="s">
        <v>1093</v>
      </c>
      <c r="E447" s="10" t="s">
        <v>26</v>
      </c>
      <c r="F447" s="10" t="s">
        <v>27</v>
      </c>
      <c r="G447" s="10" t="s">
        <v>1100</v>
      </c>
      <c r="H447" s="10" t="s">
        <v>721</v>
      </c>
      <c r="I447" s="11">
        <v>170000</v>
      </c>
      <c r="J447" s="18">
        <v>43531.6</v>
      </c>
      <c r="K447" s="13"/>
      <c r="L447" s="14"/>
      <c r="M447" s="15">
        <v>126468.4</v>
      </c>
      <c r="N447" s="17"/>
      <c r="O447" s="17"/>
      <c r="P447" s="17"/>
      <c r="Q447" s="17"/>
      <c r="R447" s="17">
        <f t="shared" si="6"/>
        <v>126468.4</v>
      </c>
      <c r="S447" s="27">
        <v>0</v>
      </c>
      <c r="T447" s="83" t="s">
        <v>1037</v>
      </c>
    </row>
    <row r="448" spans="1:20" ht="21" hidden="1" x14ac:dyDescent="0.35">
      <c r="A448" s="8" t="s">
        <v>1010</v>
      </c>
      <c r="B448" s="9" t="s">
        <v>715</v>
      </c>
      <c r="C448" s="10" t="s">
        <v>716</v>
      </c>
      <c r="D448" s="10" t="s">
        <v>1093</v>
      </c>
      <c r="E448" s="10" t="s">
        <v>722</v>
      </c>
      <c r="F448" s="10" t="s">
        <v>723</v>
      </c>
      <c r="G448" s="10" t="s">
        <v>1176</v>
      </c>
      <c r="H448" s="10" t="s">
        <v>724</v>
      </c>
      <c r="I448" s="11">
        <v>12000</v>
      </c>
      <c r="J448" s="12"/>
      <c r="K448" s="13"/>
      <c r="L448" s="14"/>
      <c r="M448" s="15">
        <v>12000</v>
      </c>
      <c r="N448" s="17"/>
      <c r="O448" s="17"/>
      <c r="P448" s="17"/>
      <c r="Q448" s="17"/>
      <c r="R448" s="17">
        <f t="shared" si="6"/>
        <v>12000</v>
      </c>
      <c r="S448" s="27">
        <v>0</v>
      </c>
      <c r="T448" s="83" t="s">
        <v>1037</v>
      </c>
    </row>
    <row r="449" spans="1:20" ht="21" hidden="1" x14ac:dyDescent="0.35">
      <c r="A449" s="8" t="s">
        <v>1010</v>
      </c>
      <c r="B449" s="9" t="s">
        <v>715</v>
      </c>
      <c r="C449" s="10" t="s">
        <v>716</v>
      </c>
      <c r="D449" s="10" t="s">
        <v>1093</v>
      </c>
      <c r="E449" s="10" t="s">
        <v>29</v>
      </c>
      <c r="F449" s="10" t="s">
        <v>30</v>
      </c>
      <c r="G449" s="10" t="s">
        <v>1101</v>
      </c>
      <c r="H449" s="10" t="s">
        <v>725</v>
      </c>
      <c r="I449" s="11">
        <v>670000</v>
      </c>
      <c r="J449" s="18">
        <v>62138.5</v>
      </c>
      <c r="K449" s="19">
        <v>0</v>
      </c>
      <c r="L449" s="11">
        <v>0</v>
      </c>
      <c r="M449" s="15">
        <v>607861.5</v>
      </c>
      <c r="N449" s="17"/>
      <c r="O449" s="17"/>
      <c r="P449" s="17"/>
      <c r="Q449" s="17"/>
      <c r="R449" s="17">
        <f t="shared" si="6"/>
        <v>607861.5</v>
      </c>
      <c r="S449" s="27">
        <v>0</v>
      </c>
      <c r="T449" s="83" t="s">
        <v>1037</v>
      </c>
    </row>
    <row r="450" spans="1:20" ht="21" hidden="1" x14ac:dyDescent="0.35">
      <c r="A450" s="8" t="s">
        <v>1010</v>
      </c>
      <c r="B450" s="9" t="s">
        <v>715</v>
      </c>
      <c r="C450" s="10" t="s">
        <v>716</v>
      </c>
      <c r="D450" s="10" t="s">
        <v>1093</v>
      </c>
      <c r="E450" s="10" t="s">
        <v>32</v>
      </c>
      <c r="F450" s="10" t="s">
        <v>33</v>
      </c>
      <c r="G450" s="10" t="s">
        <v>1102</v>
      </c>
      <c r="H450" s="10" t="s">
        <v>726</v>
      </c>
      <c r="I450" s="11">
        <v>622000</v>
      </c>
      <c r="J450" s="18">
        <v>32900</v>
      </c>
      <c r="K450" s="13"/>
      <c r="L450" s="14"/>
      <c r="M450" s="15">
        <v>589100</v>
      </c>
      <c r="N450" s="17"/>
      <c r="O450" s="17"/>
      <c r="P450" s="17"/>
      <c r="Q450" s="17"/>
      <c r="R450" s="17">
        <f t="shared" si="6"/>
        <v>589100</v>
      </c>
      <c r="S450" s="27">
        <v>0</v>
      </c>
      <c r="T450" s="83" t="s">
        <v>1037</v>
      </c>
    </row>
    <row r="451" spans="1:20" ht="21" hidden="1" x14ac:dyDescent="0.35">
      <c r="A451" s="8" t="s">
        <v>1010</v>
      </c>
      <c r="B451" s="9" t="s">
        <v>715</v>
      </c>
      <c r="C451" s="10" t="s">
        <v>716</v>
      </c>
      <c r="D451" s="10" t="s">
        <v>1093</v>
      </c>
      <c r="E451" s="10" t="s">
        <v>253</v>
      </c>
      <c r="F451" s="10" t="s">
        <v>254</v>
      </c>
      <c r="G451" s="10" t="s">
        <v>1131</v>
      </c>
      <c r="H451" s="10" t="s">
        <v>727</v>
      </c>
      <c r="I451" s="11">
        <v>2424345</v>
      </c>
      <c r="J451" s="18">
        <v>682810.28</v>
      </c>
      <c r="K451" s="19">
        <v>0</v>
      </c>
      <c r="L451" s="11">
        <v>1130000</v>
      </c>
      <c r="M451" s="15">
        <v>618255.31999999995</v>
      </c>
      <c r="N451" s="17"/>
      <c r="O451" s="17"/>
      <c r="P451" s="17"/>
      <c r="Q451" s="17"/>
      <c r="R451" s="17">
        <f t="shared" si="6"/>
        <v>618255.31999999995</v>
      </c>
      <c r="S451" s="27">
        <v>0</v>
      </c>
      <c r="T451" s="83" t="s">
        <v>1037</v>
      </c>
    </row>
    <row r="452" spans="1:20" ht="21" hidden="1" x14ac:dyDescent="0.35">
      <c r="A452" s="8" t="s">
        <v>1010</v>
      </c>
      <c r="B452" s="9" t="s">
        <v>715</v>
      </c>
      <c r="C452" s="10" t="s">
        <v>716</v>
      </c>
      <c r="D452" s="10" t="s">
        <v>1093</v>
      </c>
      <c r="E452" s="10" t="s">
        <v>647</v>
      </c>
      <c r="F452" s="10" t="s">
        <v>648</v>
      </c>
      <c r="G452" s="10" t="s">
        <v>1170</v>
      </c>
      <c r="H452" s="10" t="s">
        <v>728</v>
      </c>
      <c r="I452" s="11">
        <v>180000</v>
      </c>
      <c r="J452" s="18">
        <v>78512.25</v>
      </c>
      <c r="K452" s="13"/>
      <c r="L452" s="14"/>
      <c r="M452" s="15">
        <v>101487.75</v>
      </c>
      <c r="N452" s="17"/>
      <c r="O452" s="17"/>
      <c r="P452" s="17"/>
      <c r="Q452" s="17"/>
      <c r="R452" s="17">
        <f t="shared" ref="R452:R477" si="7">M452-N452-O452</f>
        <v>101487.75</v>
      </c>
      <c r="S452" s="27">
        <v>0</v>
      </c>
      <c r="T452" s="83" t="s">
        <v>1037</v>
      </c>
    </row>
    <row r="453" spans="1:20" ht="21" hidden="1" x14ac:dyDescent="0.35">
      <c r="A453" s="8" t="s">
        <v>1010</v>
      </c>
      <c r="B453" s="9" t="s">
        <v>715</v>
      </c>
      <c r="C453" s="10" t="s">
        <v>716</v>
      </c>
      <c r="D453" s="10" t="s">
        <v>1093</v>
      </c>
      <c r="E453" s="10" t="s">
        <v>118</v>
      </c>
      <c r="F453" s="10" t="s">
        <v>119</v>
      </c>
      <c r="G453" s="10" t="s">
        <v>1120</v>
      </c>
      <c r="H453" s="10" t="s">
        <v>729</v>
      </c>
      <c r="I453" s="11">
        <v>24400</v>
      </c>
      <c r="J453" s="18">
        <v>24000</v>
      </c>
      <c r="K453" s="13"/>
      <c r="L453" s="14"/>
      <c r="M453" s="15">
        <v>400</v>
      </c>
      <c r="N453" s="17"/>
      <c r="O453" s="17"/>
      <c r="P453" s="17"/>
      <c r="Q453" s="17"/>
      <c r="R453" s="17">
        <f t="shared" si="7"/>
        <v>400</v>
      </c>
      <c r="S453" s="27">
        <v>0</v>
      </c>
      <c r="T453" s="83" t="s">
        <v>1037</v>
      </c>
    </row>
    <row r="454" spans="1:20" ht="21" hidden="1" x14ac:dyDescent="0.35">
      <c r="A454" s="8" t="s">
        <v>1010</v>
      </c>
      <c r="B454" s="9" t="s">
        <v>715</v>
      </c>
      <c r="C454" s="10" t="s">
        <v>716</v>
      </c>
      <c r="D454" s="10" t="s">
        <v>1093</v>
      </c>
      <c r="E454" s="10" t="s">
        <v>683</v>
      </c>
      <c r="F454" s="10" t="s">
        <v>684</v>
      </c>
      <c r="G454" s="10" t="s">
        <v>1173</v>
      </c>
      <c r="H454" s="10" t="s">
        <v>730</v>
      </c>
      <c r="I454" s="11">
        <v>292600</v>
      </c>
      <c r="J454" s="12"/>
      <c r="K454" s="13"/>
      <c r="L454" s="14"/>
      <c r="M454" s="15">
        <v>292600</v>
      </c>
      <c r="N454" s="17"/>
      <c r="O454" s="17"/>
      <c r="P454" s="17"/>
      <c r="Q454" s="17"/>
      <c r="R454" s="17">
        <f t="shared" si="7"/>
        <v>292600</v>
      </c>
      <c r="S454" s="27">
        <v>0</v>
      </c>
      <c r="T454" s="83" t="s">
        <v>1037</v>
      </c>
    </row>
    <row r="455" spans="1:20" ht="21" hidden="1" x14ac:dyDescent="0.35">
      <c r="A455" s="8" t="s">
        <v>1010</v>
      </c>
      <c r="B455" s="9" t="s">
        <v>715</v>
      </c>
      <c r="C455" s="10" t="s">
        <v>716</v>
      </c>
      <c r="D455" s="10" t="s">
        <v>1093</v>
      </c>
      <c r="E455" s="10" t="s">
        <v>121</v>
      </c>
      <c r="F455" s="10" t="s">
        <v>122</v>
      </c>
      <c r="G455" s="10" t="s">
        <v>1121</v>
      </c>
      <c r="H455" s="10" t="s">
        <v>731</v>
      </c>
      <c r="I455" s="11">
        <v>24213178</v>
      </c>
      <c r="J455" s="18">
        <v>10862000.02</v>
      </c>
      <c r="K455" s="13"/>
      <c r="L455" s="14"/>
      <c r="M455" s="15">
        <v>13351177.98</v>
      </c>
      <c r="N455" s="17"/>
      <c r="O455" s="15">
        <v>13351177.98</v>
      </c>
      <c r="P455" s="17" t="s">
        <v>1035</v>
      </c>
      <c r="Q455" s="17"/>
      <c r="R455" s="17">
        <f t="shared" si="7"/>
        <v>0</v>
      </c>
      <c r="S455" s="27">
        <v>0</v>
      </c>
      <c r="T455" s="83" t="s">
        <v>1036</v>
      </c>
    </row>
    <row r="456" spans="1:20" ht="21" hidden="1" x14ac:dyDescent="0.35">
      <c r="A456" s="8" t="s">
        <v>1010</v>
      </c>
      <c r="B456" s="9" t="s">
        <v>715</v>
      </c>
      <c r="C456" s="10" t="s">
        <v>716</v>
      </c>
      <c r="D456" s="10" t="s">
        <v>1093</v>
      </c>
      <c r="E456" s="10" t="s">
        <v>655</v>
      </c>
      <c r="F456" s="10" t="s">
        <v>656</v>
      </c>
      <c r="G456" s="10" t="s">
        <v>1171</v>
      </c>
      <c r="H456" s="10" t="s">
        <v>732</v>
      </c>
      <c r="I456" s="11">
        <v>864069</v>
      </c>
      <c r="J456" s="18">
        <v>92850.06</v>
      </c>
      <c r="K456" s="13"/>
      <c r="L456" s="14"/>
      <c r="M456" s="15">
        <v>771218.94</v>
      </c>
      <c r="N456" s="17"/>
      <c r="O456" s="17"/>
      <c r="P456" s="17"/>
      <c r="Q456" s="17"/>
      <c r="R456" s="17">
        <f t="shared" si="7"/>
        <v>771218.94</v>
      </c>
      <c r="S456" s="27">
        <v>0</v>
      </c>
      <c r="T456" s="83" t="s">
        <v>1037</v>
      </c>
    </row>
    <row r="457" spans="1:20" ht="21" hidden="1" x14ac:dyDescent="0.35">
      <c r="A457" s="8" t="s">
        <v>1010</v>
      </c>
      <c r="B457" s="9" t="s">
        <v>715</v>
      </c>
      <c r="C457" s="10" t="s">
        <v>716</v>
      </c>
      <c r="D457" s="10" t="s">
        <v>1093</v>
      </c>
      <c r="E457" s="10" t="s">
        <v>127</v>
      </c>
      <c r="F457" s="10" t="s">
        <v>128</v>
      </c>
      <c r="G457" s="10" t="s">
        <v>1123</v>
      </c>
      <c r="H457" s="10" t="s">
        <v>733</v>
      </c>
      <c r="I457" s="11">
        <v>2759974</v>
      </c>
      <c r="J457" s="12"/>
      <c r="K457" s="13"/>
      <c r="L457" s="14"/>
      <c r="M457" s="15">
        <v>2759974</v>
      </c>
      <c r="N457" s="17"/>
      <c r="O457" s="17"/>
      <c r="P457" s="17"/>
      <c r="Q457" s="17"/>
      <c r="R457" s="17">
        <f t="shared" si="7"/>
        <v>2759974</v>
      </c>
      <c r="S457" s="27">
        <v>0</v>
      </c>
      <c r="T457" s="83" t="s">
        <v>1037</v>
      </c>
    </row>
    <row r="458" spans="1:20" ht="21" hidden="1" x14ac:dyDescent="0.35">
      <c r="A458" s="8" t="s">
        <v>1010</v>
      </c>
      <c r="B458" s="9" t="s">
        <v>715</v>
      </c>
      <c r="C458" s="10" t="s">
        <v>716</v>
      </c>
      <c r="D458" s="10" t="s">
        <v>1093</v>
      </c>
      <c r="E458" s="10" t="s">
        <v>70</v>
      </c>
      <c r="F458" s="10" t="s">
        <v>71</v>
      </c>
      <c r="G458" s="10" t="s">
        <v>1111</v>
      </c>
      <c r="H458" s="10" t="s">
        <v>734</v>
      </c>
      <c r="I458" s="11">
        <v>200000</v>
      </c>
      <c r="J458" s="18">
        <v>2940</v>
      </c>
      <c r="K458" s="13"/>
      <c r="L458" s="14"/>
      <c r="M458" s="15">
        <v>197060</v>
      </c>
      <c r="N458" s="17"/>
      <c r="O458" s="17"/>
      <c r="P458" s="17"/>
      <c r="Q458" s="17"/>
      <c r="R458" s="17">
        <f t="shared" si="7"/>
        <v>197060</v>
      </c>
      <c r="S458" s="27">
        <v>0</v>
      </c>
      <c r="T458" s="83" t="s">
        <v>1037</v>
      </c>
    </row>
    <row r="459" spans="1:20" ht="21" hidden="1" x14ac:dyDescent="0.35">
      <c r="A459" s="8" t="s">
        <v>1010</v>
      </c>
      <c r="B459" s="9" t="s">
        <v>715</v>
      </c>
      <c r="C459" s="10" t="s">
        <v>716</v>
      </c>
      <c r="D459" s="10" t="s">
        <v>1093</v>
      </c>
      <c r="E459" s="10" t="s">
        <v>35</v>
      </c>
      <c r="F459" s="10" t="s">
        <v>36</v>
      </c>
      <c r="G459" s="10" t="s">
        <v>1103</v>
      </c>
      <c r="H459" s="10" t="s">
        <v>735</v>
      </c>
      <c r="I459" s="11">
        <v>185000</v>
      </c>
      <c r="J459" s="18">
        <v>9397.15</v>
      </c>
      <c r="K459" s="13"/>
      <c r="L459" s="14"/>
      <c r="M459" s="15">
        <v>175602.85</v>
      </c>
      <c r="N459" s="17"/>
      <c r="O459" s="17"/>
      <c r="P459" s="17"/>
      <c r="Q459" s="17"/>
      <c r="R459" s="17">
        <f t="shared" si="7"/>
        <v>175602.85</v>
      </c>
      <c r="S459" s="27">
        <v>0</v>
      </c>
      <c r="T459" s="83" t="s">
        <v>1037</v>
      </c>
    </row>
    <row r="460" spans="1:20" ht="21" hidden="1" x14ac:dyDescent="0.35">
      <c r="A460" s="8" t="s">
        <v>1010</v>
      </c>
      <c r="B460" s="9" t="s">
        <v>715</v>
      </c>
      <c r="C460" s="10" t="s">
        <v>716</v>
      </c>
      <c r="D460" s="10" t="s">
        <v>1093</v>
      </c>
      <c r="E460" s="10" t="s">
        <v>399</v>
      </c>
      <c r="F460" s="10" t="s">
        <v>400</v>
      </c>
      <c r="G460" s="10" t="s">
        <v>1133</v>
      </c>
      <c r="H460" s="10" t="s">
        <v>736</v>
      </c>
      <c r="I460" s="11">
        <v>90000</v>
      </c>
      <c r="J460" s="12"/>
      <c r="K460" s="13"/>
      <c r="L460" s="14"/>
      <c r="M460" s="15">
        <v>90000</v>
      </c>
      <c r="N460" s="17"/>
      <c r="O460" s="17"/>
      <c r="P460" s="17"/>
      <c r="Q460" s="17"/>
      <c r="R460" s="17">
        <f t="shared" si="7"/>
        <v>90000</v>
      </c>
      <c r="S460" s="27">
        <v>0</v>
      </c>
      <c r="T460" s="83" t="s">
        <v>1037</v>
      </c>
    </row>
    <row r="461" spans="1:20" ht="21" hidden="1" x14ac:dyDescent="0.35">
      <c r="A461" s="8" t="s">
        <v>1010</v>
      </c>
      <c r="B461" s="9" t="s">
        <v>715</v>
      </c>
      <c r="C461" s="10" t="s">
        <v>716</v>
      </c>
      <c r="D461" s="10" t="s">
        <v>1093</v>
      </c>
      <c r="E461" s="10" t="s">
        <v>38</v>
      </c>
      <c r="F461" s="10" t="s">
        <v>39</v>
      </c>
      <c r="G461" s="10" t="s">
        <v>1104</v>
      </c>
      <c r="H461" s="10" t="s">
        <v>737</v>
      </c>
      <c r="I461" s="11">
        <v>977363</v>
      </c>
      <c r="J461" s="18">
        <v>728565.59</v>
      </c>
      <c r="K461" s="19">
        <v>39819.370000000003</v>
      </c>
      <c r="L461" s="11">
        <v>90389.6</v>
      </c>
      <c r="M461" s="15">
        <v>118588.44</v>
      </c>
      <c r="N461" s="17"/>
      <c r="O461" s="17"/>
      <c r="P461" s="17"/>
      <c r="Q461" s="17"/>
      <c r="R461" s="17">
        <f t="shared" si="7"/>
        <v>118588.44</v>
      </c>
      <c r="S461" s="27">
        <v>0</v>
      </c>
      <c r="T461" s="83" t="s">
        <v>1037</v>
      </c>
    </row>
    <row r="462" spans="1:20" ht="21" hidden="1" x14ac:dyDescent="0.35">
      <c r="A462" s="8" t="s">
        <v>1010</v>
      </c>
      <c r="B462" s="9" t="s">
        <v>715</v>
      </c>
      <c r="C462" s="10" t="s">
        <v>716</v>
      </c>
      <c r="D462" s="10" t="s">
        <v>1093</v>
      </c>
      <c r="E462" s="10" t="s">
        <v>459</v>
      </c>
      <c r="F462" s="10" t="s">
        <v>460</v>
      </c>
      <c r="G462" s="10" t="s">
        <v>1146</v>
      </c>
      <c r="H462" s="10" t="s">
        <v>738</v>
      </c>
      <c r="I462" s="11">
        <v>21000</v>
      </c>
      <c r="J462" s="18">
        <v>235</v>
      </c>
      <c r="K462" s="13"/>
      <c r="L462" s="14"/>
      <c r="M462" s="15">
        <v>20765</v>
      </c>
      <c r="N462" s="17"/>
      <c r="O462" s="17"/>
      <c r="P462" s="17"/>
      <c r="Q462" s="17"/>
      <c r="R462" s="17">
        <f t="shared" si="7"/>
        <v>20765</v>
      </c>
      <c r="S462" s="27">
        <v>0</v>
      </c>
      <c r="T462" s="83" t="s">
        <v>1037</v>
      </c>
    </row>
    <row r="463" spans="1:20" ht="21" hidden="1" x14ac:dyDescent="0.35">
      <c r="A463" s="8" t="s">
        <v>1010</v>
      </c>
      <c r="B463" s="9" t="s">
        <v>715</v>
      </c>
      <c r="C463" s="10" t="s">
        <v>716</v>
      </c>
      <c r="D463" s="10" t="s">
        <v>1093</v>
      </c>
      <c r="E463" s="10" t="s">
        <v>76</v>
      </c>
      <c r="F463" s="10" t="s">
        <v>77</v>
      </c>
      <c r="G463" s="10" t="s">
        <v>1113</v>
      </c>
      <c r="H463" s="10" t="s">
        <v>739</v>
      </c>
      <c r="I463" s="11">
        <v>627674</v>
      </c>
      <c r="J463" s="12"/>
      <c r="K463" s="13"/>
      <c r="L463" s="14"/>
      <c r="M463" s="15">
        <v>627674</v>
      </c>
      <c r="N463" s="17"/>
      <c r="O463" s="17"/>
      <c r="P463" s="17"/>
      <c r="Q463" s="17"/>
      <c r="R463" s="17">
        <f t="shared" si="7"/>
        <v>627674</v>
      </c>
      <c r="S463" s="27">
        <v>0</v>
      </c>
      <c r="T463" s="83" t="s">
        <v>1037</v>
      </c>
    </row>
    <row r="464" spans="1:20" ht="21" hidden="1" x14ac:dyDescent="0.35">
      <c r="A464" s="8" t="s">
        <v>1010</v>
      </c>
      <c r="B464" s="9" t="s">
        <v>715</v>
      </c>
      <c r="C464" s="10" t="s">
        <v>716</v>
      </c>
      <c r="D464" s="10" t="s">
        <v>1093</v>
      </c>
      <c r="E464" s="10" t="s">
        <v>59</v>
      </c>
      <c r="F464" s="10" t="s">
        <v>60</v>
      </c>
      <c r="G464" s="10" t="s">
        <v>1109</v>
      </c>
      <c r="H464" s="10" t="s">
        <v>740</v>
      </c>
      <c r="I464" s="11">
        <v>153178</v>
      </c>
      <c r="J464" s="18">
        <v>12276</v>
      </c>
      <c r="K464" s="19">
        <v>0</v>
      </c>
      <c r="L464" s="11">
        <v>37231</v>
      </c>
      <c r="M464" s="15">
        <v>103671</v>
      </c>
      <c r="N464" s="17"/>
      <c r="O464" s="17"/>
      <c r="P464" s="17"/>
      <c r="Q464" s="17"/>
      <c r="R464" s="17">
        <f t="shared" si="7"/>
        <v>103671</v>
      </c>
      <c r="S464" s="27">
        <v>0</v>
      </c>
      <c r="T464" s="83" t="s">
        <v>1037</v>
      </c>
    </row>
    <row r="465" spans="1:20" ht="21" hidden="1" x14ac:dyDescent="0.35">
      <c r="A465" s="8" t="s">
        <v>1010</v>
      </c>
      <c r="B465" s="9" t="s">
        <v>715</v>
      </c>
      <c r="C465" s="10" t="s">
        <v>716</v>
      </c>
      <c r="D465" s="10" t="s">
        <v>1093</v>
      </c>
      <c r="E465" s="10" t="s">
        <v>544</v>
      </c>
      <c r="F465" s="10" t="s">
        <v>545</v>
      </c>
      <c r="G465" s="10" t="s">
        <v>1162</v>
      </c>
      <c r="H465" s="10" t="s">
        <v>741</v>
      </c>
      <c r="I465" s="11">
        <v>10000</v>
      </c>
      <c r="J465" s="12"/>
      <c r="K465" s="13"/>
      <c r="L465" s="14"/>
      <c r="M465" s="15">
        <v>10000</v>
      </c>
      <c r="N465" s="17"/>
      <c r="O465" s="17"/>
      <c r="P465" s="17"/>
      <c r="Q465" s="17"/>
      <c r="R465" s="17">
        <f t="shared" si="7"/>
        <v>10000</v>
      </c>
      <c r="S465" s="27">
        <v>0</v>
      </c>
      <c r="T465" s="83" t="s">
        <v>1037</v>
      </c>
    </row>
    <row r="466" spans="1:20" ht="21" hidden="1" x14ac:dyDescent="0.35">
      <c r="A466" s="8" t="s">
        <v>1010</v>
      </c>
      <c r="B466" s="9" t="s">
        <v>715</v>
      </c>
      <c r="C466" s="10" t="s">
        <v>716</v>
      </c>
      <c r="D466" s="10" t="s">
        <v>1093</v>
      </c>
      <c r="E466" s="10" t="s">
        <v>41</v>
      </c>
      <c r="F466" s="10" t="s">
        <v>42</v>
      </c>
      <c r="G466" s="10" t="s">
        <v>1105</v>
      </c>
      <c r="H466" s="10" t="s">
        <v>742</v>
      </c>
      <c r="I466" s="11">
        <v>183500</v>
      </c>
      <c r="J466" s="18">
        <v>523.75</v>
      </c>
      <c r="K466" s="13"/>
      <c r="L466" s="14"/>
      <c r="M466" s="15">
        <v>182976.25</v>
      </c>
      <c r="N466" s="17"/>
      <c r="O466" s="17"/>
      <c r="P466" s="17"/>
      <c r="Q466" s="17"/>
      <c r="R466" s="17">
        <f t="shared" si="7"/>
        <v>182976.25</v>
      </c>
      <c r="S466" s="27">
        <v>0</v>
      </c>
      <c r="T466" s="83" t="s">
        <v>1037</v>
      </c>
    </row>
    <row r="467" spans="1:20" ht="21" hidden="1" x14ac:dyDescent="0.35">
      <c r="A467" s="8" t="s">
        <v>1010</v>
      </c>
      <c r="B467" s="9" t="s">
        <v>715</v>
      </c>
      <c r="C467" s="10" t="s">
        <v>716</v>
      </c>
      <c r="D467" s="10" t="s">
        <v>1093</v>
      </c>
      <c r="E467" s="10" t="s">
        <v>47</v>
      </c>
      <c r="F467" s="10" t="s">
        <v>48</v>
      </c>
      <c r="G467" s="10" t="s">
        <v>1107</v>
      </c>
      <c r="H467" s="10" t="s">
        <v>743</v>
      </c>
      <c r="I467" s="11">
        <v>5000</v>
      </c>
      <c r="J467" s="18">
        <v>1519.75</v>
      </c>
      <c r="K467" s="13"/>
      <c r="L467" s="14"/>
      <c r="M467" s="15">
        <v>3480.25</v>
      </c>
      <c r="N467" s="17"/>
      <c r="O467" s="17"/>
      <c r="P467" s="17"/>
      <c r="Q467" s="17"/>
      <c r="R467" s="17">
        <f t="shared" si="7"/>
        <v>3480.25</v>
      </c>
      <c r="S467" s="27">
        <v>0</v>
      </c>
      <c r="T467" s="83" t="s">
        <v>1037</v>
      </c>
    </row>
    <row r="468" spans="1:20" ht="31.5" hidden="1" x14ac:dyDescent="0.35">
      <c r="A468" s="8" t="s">
        <v>1010</v>
      </c>
      <c r="B468" s="9" t="s">
        <v>715</v>
      </c>
      <c r="C468" s="10" t="s">
        <v>716</v>
      </c>
      <c r="D468" s="10" t="s">
        <v>1093</v>
      </c>
      <c r="E468" s="10" t="s">
        <v>103</v>
      </c>
      <c r="F468" s="10" t="s">
        <v>104</v>
      </c>
      <c r="G468" s="10" t="s">
        <v>1117</v>
      </c>
      <c r="H468" s="10" t="s">
        <v>744</v>
      </c>
      <c r="I468" s="11">
        <v>565385</v>
      </c>
      <c r="J468" s="12"/>
      <c r="K468" s="19">
        <v>545000</v>
      </c>
      <c r="L468" s="14"/>
      <c r="M468" s="15">
        <v>20385</v>
      </c>
      <c r="N468" s="17"/>
      <c r="O468" s="17"/>
      <c r="P468" s="17"/>
      <c r="Q468" s="17"/>
      <c r="R468" s="17">
        <f t="shared" si="7"/>
        <v>20385</v>
      </c>
      <c r="S468" s="27">
        <v>0</v>
      </c>
      <c r="T468" s="83" t="s">
        <v>1037</v>
      </c>
    </row>
    <row r="469" spans="1:20" ht="21" hidden="1" x14ac:dyDescent="0.35">
      <c r="A469" s="8" t="s">
        <v>1010</v>
      </c>
      <c r="B469" s="9" t="s">
        <v>715</v>
      </c>
      <c r="C469" s="10" t="s">
        <v>716</v>
      </c>
      <c r="D469" s="10" t="s">
        <v>1093</v>
      </c>
      <c r="E469" s="10" t="s">
        <v>151</v>
      </c>
      <c r="F469" s="10" t="s">
        <v>152</v>
      </c>
      <c r="G469" s="10" t="s">
        <v>1126</v>
      </c>
      <c r="H469" s="10" t="s">
        <v>745</v>
      </c>
      <c r="I469" s="11">
        <v>586900</v>
      </c>
      <c r="J469" s="18">
        <v>16072.41</v>
      </c>
      <c r="K469" s="19">
        <v>223000</v>
      </c>
      <c r="L469" s="11">
        <v>337087</v>
      </c>
      <c r="M469" s="15">
        <v>10740.59</v>
      </c>
      <c r="N469" s="17"/>
      <c r="O469" s="17"/>
      <c r="P469" s="17"/>
      <c r="Q469" s="17"/>
      <c r="R469" s="17">
        <f t="shared" si="7"/>
        <v>10740.59</v>
      </c>
      <c r="S469" s="27">
        <v>0</v>
      </c>
      <c r="T469" s="83" t="s">
        <v>1037</v>
      </c>
    </row>
    <row r="470" spans="1:20" ht="21" hidden="1" x14ac:dyDescent="0.35">
      <c r="A470" s="8" t="s">
        <v>1010</v>
      </c>
      <c r="B470" s="9" t="s">
        <v>715</v>
      </c>
      <c r="C470" s="10" t="s">
        <v>716</v>
      </c>
      <c r="D470" s="10" t="s">
        <v>1093</v>
      </c>
      <c r="E470" s="10" t="s">
        <v>746</v>
      </c>
      <c r="F470" s="10" t="s">
        <v>747</v>
      </c>
      <c r="G470" s="10" t="s">
        <v>1177</v>
      </c>
      <c r="H470" s="10" t="s">
        <v>748</v>
      </c>
      <c r="I470" s="11">
        <v>35000</v>
      </c>
      <c r="J470" s="12"/>
      <c r="K470" s="13"/>
      <c r="L470" s="14"/>
      <c r="M470" s="15">
        <v>35000</v>
      </c>
      <c r="N470" s="17"/>
      <c r="O470" s="17"/>
      <c r="P470" s="17"/>
      <c r="Q470" s="17"/>
      <c r="R470" s="17">
        <f t="shared" si="7"/>
        <v>35000</v>
      </c>
      <c r="S470" s="27">
        <v>0</v>
      </c>
      <c r="T470" s="83" t="s">
        <v>1037</v>
      </c>
    </row>
    <row r="471" spans="1:20" ht="21" hidden="1" x14ac:dyDescent="0.35">
      <c r="A471" s="8" t="s">
        <v>1010</v>
      </c>
      <c r="B471" s="9" t="s">
        <v>715</v>
      </c>
      <c r="C471" s="10" t="s">
        <v>716</v>
      </c>
      <c r="D471" s="10" t="s">
        <v>1093</v>
      </c>
      <c r="E471" s="10" t="s">
        <v>664</v>
      </c>
      <c r="F471" s="10" t="s">
        <v>665</v>
      </c>
      <c r="G471" s="10" t="s">
        <v>1172</v>
      </c>
      <c r="H471" s="10" t="s">
        <v>749</v>
      </c>
      <c r="I471" s="11">
        <v>657390</v>
      </c>
      <c r="J471" s="12"/>
      <c r="K471" s="19">
        <v>312750.33</v>
      </c>
      <c r="L471" s="14"/>
      <c r="M471" s="15">
        <v>344639.67</v>
      </c>
      <c r="N471" s="17"/>
      <c r="O471" s="17"/>
      <c r="P471" s="17"/>
      <c r="Q471" s="17"/>
      <c r="R471" s="17">
        <f t="shared" si="7"/>
        <v>344639.67</v>
      </c>
      <c r="S471" s="27">
        <v>0</v>
      </c>
      <c r="T471" s="83" t="s">
        <v>1037</v>
      </c>
    </row>
    <row r="472" spans="1:20" ht="21" hidden="1" x14ac:dyDescent="0.35">
      <c r="A472" s="8" t="s">
        <v>1010</v>
      </c>
      <c r="B472" s="9" t="s">
        <v>715</v>
      </c>
      <c r="C472" s="10" t="s">
        <v>716</v>
      </c>
      <c r="D472" s="10" t="s">
        <v>1093</v>
      </c>
      <c r="E472" s="10" t="s">
        <v>286</v>
      </c>
      <c r="F472" s="10" t="s">
        <v>287</v>
      </c>
      <c r="G472" s="10" t="s">
        <v>1132</v>
      </c>
      <c r="H472" s="10" t="s">
        <v>750</v>
      </c>
      <c r="I472" s="11">
        <v>6515</v>
      </c>
      <c r="J472" s="12"/>
      <c r="K472" s="13"/>
      <c r="L472" s="14"/>
      <c r="M472" s="15">
        <v>6515</v>
      </c>
      <c r="N472" s="17"/>
      <c r="O472" s="17"/>
      <c r="P472" s="17"/>
      <c r="Q472" s="17"/>
      <c r="R472" s="17">
        <f t="shared" si="7"/>
        <v>6515</v>
      </c>
      <c r="S472" s="27">
        <v>0</v>
      </c>
      <c r="T472" s="83" t="s">
        <v>1037</v>
      </c>
    </row>
    <row r="473" spans="1:20" ht="21" hidden="1" x14ac:dyDescent="0.35">
      <c r="A473" s="8" t="s">
        <v>1010</v>
      </c>
      <c r="B473" s="9" t="s">
        <v>715</v>
      </c>
      <c r="C473" s="10" t="s">
        <v>716</v>
      </c>
      <c r="D473" s="10" t="s">
        <v>1093</v>
      </c>
      <c r="E473" s="10" t="s">
        <v>154</v>
      </c>
      <c r="F473" s="10" t="s">
        <v>155</v>
      </c>
      <c r="G473" s="10" t="s">
        <v>1127</v>
      </c>
      <c r="H473" s="10" t="s">
        <v>751</v>
      </c>
      <c r="I473" s="11">
        <v>359100</v>
      </c>
      <c r="J473" s="18">
        <v>182938.65</v>
      </c>
      <c r="K473" s="13"/>
      <c r="L473" s="14"/>
      <c r="M473" s="15">
        <v>176161.35</v>
      </c>
      <c r="N473" s="17"/>
      <c r="O473" s="17"/>
      <c r="P473" s="17"/>
      <c r="Q473" s="17"/>
      <c r="R473" s="17">
        <f t="shared" si="7"/>
        <v>176161.35</v>
      </c>
      <c r="S473" s="27">
        <v>0</v>
      </c>
      <c r="T473" s="83" t="s">
        <v>1037</v>
      </c>
    </row>
    <row r="474" spans="1:20" ht="21" hidden="1" x14ac:dyDescent="0.35">
      <c r="A474" s="8" t="s">
        <v>1010</v>
      </c>
      <c r="B474" s="9" t="s">
        <v>715</v>
      </c>
      <c r="C474" s="10" t="s">
        <v>716</v>
      </c>
      <c r="D474" s="10" t="s">
        <v>1093</v>
      </c>
      <c r="E474" s="10" t="s">
        <v>157</v>
      </c>
      <c r="F474" s="10" t="s">
        <v>158</v>
      </c>
      <c r="G474" s="10" t="s">
        <v>1128</v>
      </c>
      <c r="H474" s="10" t="s">
        <v>752</v>
      </c>
      <c r="I474" s="11">
        <v>1892072</v>
      </c>
      <c r="J474" s="18">
        <v>440989.18</v>
      </c>
      <c r="K474" s="19">
        <v>5630.0000000002301</v>
      </c>
      <c r="L474" s="11">
        <v>1220494.44</v>
      </c>
      <c r="M474" s="15">
        <v>224958.38</v>
      </c>
      <c r="N474" s="17"/>
      <c r="O474" s="17"/>
      <c r="P474" s="17"/>
      <c r="Q474" s="17"/>
      <c r="R474" s="17">
        <f t="shared" si="7"/>
        <v>224958.38</v>
      </c>
      <c r="S474" s="27">
        <v>0</v>
      </c>
      <c r="T474" s="83" t="s">
        <v>1037</v>
      </c>
    </row>
    <row r="475" spans="1:20" ht="21" hidden="1" x14ac:dyDescent="0.35">
      <c r="A475" s="8" t="s">
        <v>1010</v>
      </c>
      <c r="B475" s="9" t="s">
        <v>715</v>
      </c>
      <c r="C475" s="10" t="s">
        <v>716</v>
      </c>
      <c r="D475" s="10" t="s">
        <v>1093</v>
      </c>
      <c r="E475" s="10" t="s">
        <v>632</v>
      </c>
      <c r="F475" s="10" t="s">
        <v>633</v>
      </c>
      <c r="G475" s="10" t="s">
        <v>1168</v>
      </c>
      <c r="H475" s="10" t="s">
        <v>753</v>
      </c>
      <c r="I475" s="11">
        <v>10000</v>
      </c>
      <c r="J475" s="18">
        <v>80</v>
      </c>
      <c r="K475" s="13"/>
      <c r="L475" s="14"/>
      <c r="M475" s="15">
        <v>9920</v>
      </c>
      <c r="N475" s="17"/>
      <c r="O475" s="17"/>
      <c r="P475" s="17"/>
      <c r="Q475" s="17"/>
      <c r="R475" s="17">
        <f t="shared" si="7"/>
        <v>9920</v>
      </c>
      <c r="S475" s="27">
        <v>0</v>
      </c>
      <c r="T475" s="83" t="s">
        <v>1037</v>
      </c>
    </row>
    <row r="476" spans="1:20" ht="21" hidden="1" x14ac:dyDescent="0.35">
      <c r="A476" s="8" t="s">
        <v>1010</v>
      </c>
      <c r="B476" s="9" t="s">
        <v>715</v>
      </c>
      <c r="C476" s="10" t="s">
        <v>716</v>
      </c>
      <c r="D476" s="10" t="s">
        <v>1093</v>
      </c>
      <c r="E476" s="10" t="s">
        <v>134</v>
      </c>
      <c r="F476" s="10" t="s">
        <v>135</v>
      </c>
      <c r="G476" s="10" t="s">
        <v>1124</v>
      </c>
      <c r="H476" s="10" t="s">
        <v>754</v>
      </c>
      <c r="I476" s="11">
        <v>0</v>
      </c>
      <c r="J476" s="12"/>
      <c r="K476" s="13"/>
      <c r="L476" s="14"/>
      <c r="M476" s="15">
        <v>0</v>
      </c>
      <c r="N476" s="17"/>
      <c r="O476" s="17"/>
      <c r="P476" s="17"/>
      <c r="Q476" s="17"/>
      <c r="R476" s="17">
        <f t="shared" si="7"/>
        <v>0</v>
      </c>
      <c r="S476" s="27">
        <v>0</v>
      </c>
      <c r="T476" s="83" t="s">
        <v>1037</v>
      </c>
    </row>
    <row r="477" spans="1:20" ht="21" hidden="1" x14ac:dyDescent="0.35">
      <c r="A477" s="8" t="s">
        <v>1010</v>
      </c>
      <c r="B477" s="9" t="s">
        <v>715</v>
      </c>
      <c r="C477" s="10" t="s">
        <v>716</v>
      </c>
      <c r="D477" s="10" t="s">
        <v>1093</v>
      </c>
      <c r="E477" s="10" t="s">
        <v>510</v>
      </c>
      <c r="F477" s="10" t="s">
        <v>511</v>
      </c>
      <c r="G477" s="10" t="s">
        <v>1158</v>
      </c>
      <c r="H477" s="10" t="s">
        <v>755</v>
      </c>
      <c r="I477" s="11">
        <v>112000</v>
      </c>
      <c r="J477" s="12"/>
      <c r="K477" s="13"/>
      <c r="L477" s="14"/>
      <c r="M477" s="15">
        <v>112000</v>
      </c>
      <c r="N477" s="17"/>
      <c r="O477" s="17"/>
      <c r="P477" s="17"/>
      <c r="Q477" s="17"/>
      <c r="R477" s="17">
        <f t="shared" si="7"/>
        <v>112000</v>
      </c>
      <c r="S477" s="27">
        <v>0</v>
      </c>
      <c r="T477" s="83" t="s">
        <v>1037</v>
      </c>
    </row>
    <row r="478" spans="1:20" hidden="1" x14ac:dyDescent="0.35">
      <c r="A478" s="3" t="s">
        <v>0</v>
      </c>
      <c r="D478" s="10" t="s">
        <v>1094</v>
      </c>
      <c r="G478" s="10" t="s">
        <v>1094</v>
      </c>
      <c r="S478"/>
    </row>
  </sheetData>
  <autoFilter ref="A3:T478" xr:uid="{00000000-0009-0000-0000-000004000000}">
    <filterColumn colId="16">
      <customFilters>
        <customFilter operator="notEqual" val=" "/>
      </customFilters>
    </filterColumn>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5"/>
  <sheetViews>
    <sheetView showGridLines="0" topLeftCell="I1" zoomScale="120" zoomScaleNormal="120" workbookViewId="0">
      <selection activeCell="Q1" sqref="Q1"/>
    </sheetView>
  </sheetViews>
  <sheetFormatPr defaultRowHeight="14.5" x14ac:dyDescent="0.35"/>
  <cols>
    <col min="1" max="1" width="38.453125" customWidth="1"/>
    <col min="2" max="2" width="39.26953125" customWidth="1"/>
    <col min="3" max="3" width="31" customWidth="1"/>
    <col min="4" max="4" width="6.81640625" customWidth="1"/>
    <col min="5" max="5" width="32.1796875" customWidth="1"/>
    <col min="6" max="6" width="33.54296875" customWidth="1"/>
    <col min="7" max="8" width="9.81640625" customWidth="1"/>
    <col min="9" max="9" width="8.1796875" customWidth="1"/>
    <col min="10" max="10" width="9" customWidth="1"/>
    <col min="11" max="11" width="9.81640625" customWidth="1"/>
    <col min="12" max="12" width="13.54296875" customWidth="1"/>
    <col min="13" max="13" width="14.1796875" customWidth="1"/>
    <col min="14" max="14" width="19.54296875" customWidth="1"/>
    <col min="15" max="15" width="15.54296875" customWidth="1"/>
    <col min="16" max="16" width="28.54296875" style="39" customWidth="1"/>
    <col min="17" max="17" width="11.54296875" customWidth="1"/>
  </cols>
  <sheetData>
    <row r="1" spans="1:17" ht="48" customHeight="1" x14ac:dyDescent="0.35">
      <c r="A1" s="1" t="s">
        <v>0</v>
      </c>
      <c r="B1" s="2" t="s">
        <v>826</v>
      </c>
    </row>
    <row r="2" spans="1:17" x14ac:dyDescent="0.35">
      <c r="A2" s="3" t="s">
        <v>0</v>
      </c>
      <c r="O2" t="s">
        <v>1022</v>
      </c>
    </row>
    <row r="3" spans="1:17" ht="21" x14ac:dyDescent="0.35">
      <c r="A3" s="4" t="s">
        <v>996</v>
      </c>
      <c r="B3" s="4" t="s">
        <v>1</v>
      </c>
      <c r="C3" s="5" t="s">
        <v>2</v>
      </c>
      <c r="D3" s="6" t="s">
        <v>3</v>
      </c>
      <c r="E3" s="7" t="s">
        <v>4</v>
      </c>
      <c r="F3" s="4" t="s">
        <v>5</v>
      </c>
      <c r="G3" s="4" t="s">
        <v>6</v>
      </c>
      <c r="H3" s="4" t="s">
        <v>7</v>
      </c>
      <c r="I3" s="4" t="s">
        <v>8</v>
      </c>
      <c r="J3" s="4" t="s">
        <v>9</v>
      </c>
      <c r="K3" s="5" t="s">
        <v>10</v>
      </c>
      <c r="L3" s="6" t="s">
        <v>827</v>
      </c>
      <c r="M3" s="6" t="s">
        <v>1023</v>
      </c>
      <c r="N3" s="6" t="s">
        <v>11</v>
      </c>
      <c r="O3" s="92" t="s">
        <v>829</v>
      </c>
      <c r="P3" s="6" t="s">
        <v>828</v>
      </c>
      <c r="Q3" s="66" t="s">
        <v>993</v>
      </c>
    </row>
    <row r="4" spans="1:17" x14ac:dyDescent="0.35">
      <c r="A4" s="8" t="s">
        <v>1010</v>
      </c>
      <c r="B4" s="9" t="s">
        <v>715</v>
      </c>
      <c r="C4" s="10" t="s">
        <v>716</v>
      </c>
      <c r="D4" s="10" t="s">
        <v>756</v>
      </c>
      <c r="E4" s="10" t="s">
        <v>152</v>
      </c>
      <c r="F4" s="10" t="s">
        <v>823</v>
      </c>
      <c r="G4" s="11">
        <v>17513291</v>
      </c>
      <c r="H4" s="18">
        <v>2273997.7400000002</v>
      </c>
      <c r="I4" s="19">
        <v>411735</v>
      </c>
      <c r="J4" s="11">
        <v>13954427.720000001</v>
      </c>
      <c r="K4" s="15">
        <v>873130.54000000097</v>
      </c>
      <c r="L4" s="16"/>
      <c r="M4" s="16"/>
      <c r="N4" s="16"/>
      <c r="O4" s="93">
        <f t="shared" ref="O4:O35" si="0">K4-L4-M4</f>
        <v>873130.54000000097</v>
      </c>
      <c r="P4" s="27">
        <v>0</v>
      </c>
      <c r="Q4" s="83" t="s">
        <v>994</v>
      </c>
    </row>
    <row r="5" spans="1:17" x14ac:dyDescent="0.35">
      <c r="A5" s="8" t="s">
        <v>1002</v>
      </c>
      <c r="B5" s="9" t="s">
        <v>324</v>
      </c>
      <c r="C5" s="10" t="s">
        <v>325</v>
      </c>
      <c r="D5" s="10" t="s">
        <v>761</v>
      </c>
      <c r="E5" s="10" t="s">
        <v>762</v>
      </c>
      <c r="F5" s="10" t="s">
        <v>778</v>
      </c>
      <c r="G5" s="11">
        <v>151348</v>
      </c>
      <c r="H5" s="18">
        <v>35280</v>
      </c>
      <c r="I5" s="19">
        <v>0</v>
      </c>
      <c r="J5" s="11">
        <v>0</v>
      </c>
      <c r="K5" s="15">
        <v>116068</v>
      </c>
      <c r="L5" s="17"/>
      <c r="M5" s="17"/>
      <c r="N5" s="17"/>
      <c r="O5" s="93">
        <f t="shared" si="0"/>
        <v>116068</v>
      </c>
      <c r="P5" s="27">
        <v>0</v>
      </c>
      <c r="Q5" s="83" t="s">
        <v>994</v>
      </c>
    </row>
    <row r="6" spans="1:17" x14ac:dyDescent="0.35">
      <c r="A6" s="8" t="s">
        <v>1010</v>
      </c>
      <c r="B6" s="9" t="s">
        <v>715</v>
      </c>
      <c r="C6" s="10" t="s">
        <v>716</v>
      </c>
      <c r="D6" s="10" t="s">
        <v>761</v>
      </c>
      <c r="E6" s="10" t="s">
        <v>762</v>
      </c>
      <c r="F6" s="10" t="s">
        <v>822</v>
      </c>
      <c r="G6" s="11">
        <v>913656</v>
      </c>
      <c r="H6" s="18">
        <v>509222</v>
      </c>
      <c r="I6" s="19">
        <v>311500</v>
      </c>
      <c r="J6" s="11">
        <v>13412</v>
      </c>
      <c r="K6" s="15">
        <v>79522</v>
      </c>
      <c r="L6" s="16"/>
      <c r="M6" s="13"/>
      <c r="N6" s="16"/>
      <c r="O6" s="93">
        <f t="shared" si="0"/>
        <v>79522</v>
      </c>
      <c r="P6" s="27">
        <v>0</v>
      </c>
      <c r="Q6" s="83" t="s">
        <v>994</v>
      </c>
    </row>
    <row r="7" spans="1:17" x14ac:dyDescent="0.35">
      <c r="A7" s="8" t="s">
        <v>1007</v>
      </c>
      <c r="B7" s="9" t="s">
        <v>534</v>
      </c>
      <c r="C7" s="10" t="s">
        <v>535</v>
      </c>
      <c r="D7" s="10" t="s">
        <v>809</v>
      </c>
      <c r="E7" s="10" t="s">
        <v>810</v>
      </c>
      <c r="F7" s="10" t="s">
        <v>811</v>
      </c>
      <c r="G7" s="11">
        <v>650000</v>
      </c>
      <c r="H7" s="12"/>
      <c r="I7" s="19">
        <v>0</v>
      </c>
      <c r="J7" s="11">
        <v>583836</v>
      </c>
      <c r="K7" s="15">
        <v>66164</v>
      </c>
      <c r="L7" s="17"/>
      <c r="M7" s="17"/>
      <c r="N7" s="17"/>
      <c r="O7" s="93">
        <f t="shared" si="0"/>
        <v>66164</v>
      </c>
      <c r="P7" s="75" t="s">
        <v>990</v>
      </c>
      <c r="Q7" s="83" t="s">
        <v>995</v>
      </c>
    </row>
    <row r="8" spans="1:17" x14ac:dyDescent="0.35">
      <c r="A8" s="8" t="s">
        <v>1000</v>
      </c>
      <c r="B8" s="9" t="s">
        <v>106</v>
      </c>
      <c r="C8" s="10" t="s">
        <v>107</v>
      </c>
      <c r="D8" s="10" t="s">
        <v>761</v>
      </c>
      <c r="E8" s="10" t="s">
        <v>762</v>
      </c>
      <c r="F8" s="10" t="s">
        <v>764</v>
      </c>
      <c r="G8" s="11">
        <v>1380709</v>
      </c>
      <c r="H8" s="18">
        <v>1333260</v>
      </c>
      <c r="I8" s="19">
        <v>0</v>
      </c>
      <c r="J8" s="11">
        <v>0</v>
      </c>
      <c r="K8" s="15">
        <v>47449</v>
      </c>
      <c r="L8" s="17"/>
      <c r="M8" s="17"/>
      <c r="N8" s="17"/>
      <c r="O8" s="93">
        <f t="shared" si="0"/>
        <v>47449</v>
      </c>
      <c r="P8" s="27">
        <v>0</v>
      </c>
      <c r="Q8" s="83" t="s">
        <v>994</v>
      </c>
    </row>
    <row r="9" spans="1:17" x14ac:dyDescent="0.35">
      <c r="A9" s="8" t="s">
        <v>1002</v>
      </c>
      <c r="B9" s="9" t="s">
        <v>375</v>
      </c>
      <c r="C9" s="10" t="s">
        <v>376</v>
      </c>
      <c r="D9" s="10" t="s">
        <v>761</v>
      </c>
      <c r="E9" s="10" t="s">
        <v>762</v>
      </c>
      <c r="F9" s="10" t="s">
        <v>780</v>
      </c>
      <c r="G9" s="11">
        <v>126346</v>
      </c>
      <c r="H9" s="12"/>
      <c r="I9" s="19">
        <v>0</v>
      </c>
      <c r="J9" s="11">
        <v>80205</v>
      </c>
      <c r="K9" s="15">
        <v>46141</v>
      </c>
      <c r="L9" s="17"/>
      <c r="M9" s="17"/>
      <c r="N9" s="17"/>
      <c r="O9" s="93">
        <f t="shared" si="0"/>
        <v>46141</v>
      </c>
      <c r="P9" s="27">
        <v>0</v>
      </c>
      <c r="Q9" s="83" t="s">
        <v>994</v>
      </c>
    </row>
    <row r="10" spans="1:17" x14ac:dyDescent="0.35">
      <c r="A10" s="8" t="s">
        <v>1002</v>
      </c>
      <c r="B10" s="9" t="s">
        <v>384</v>
      </c>
      <c r="C10" s="10" t="s">
        <v>385</v>
      </c>
      <c r="D10" s="10" t="s">
        <v>756</v>
      </c>
      <c r="E10" s="10" t="s">
        <v>152</v>
      </c>
      <c r="F10" s="10" t="s">
        <v>782</v>
      </c>
      <c r="G10" s="11">
        <v>1754263</v>
      </c>
      <c r="H10" s="12"/>
      <c r="I10" s="19">
        <v>1603654</v>
      </c>
      <c r="J10" s="11">
        <v>106062.5</v>
      </c>
      <c r="K10" s="15">
        <v>44546.5</v>
      </c>
      <c r="L10" s="17"/>
      <c r="M10" s="17"/>
      <c r="N10" s="17"/>
      <c r="O10" s="93">
        <f t="shared" si="0"/>
        <v>44546.5</v>
      </c>
      <c r="P10" s="27">
        <v>0</v>
      </c>
      <c r="Q10" s="83" t="s">
        <v>994</v>
      </c>
    </row>
    <row r="11" spans="1:17" x14ac:dyDescent="0.35">
      <c r="A11" s="8" t="s">
        <v>1001</v>
      </c>
      <c r="B11" s="9" t="s">
        <v>209</v>
      </c>
      <c r="C11" s="10" t="s">
        <v>210</v>
      </c>
      <c r="D11" s="10" t="s">
        <v>756</v>
      </c>
      <c r="E11" s="10" t="s">
        <v>152</v>
      </c>
      <c r="F11" s="10" t="s">
        <v>771</v>
      </c>
      <c r="G11" s="11">
        <v>611783</v>
      </c>
      <c r="H11" s="18">
        <v>136875</v>
      </c>
      <c r="I11" s="19">
        <v>0</v>
      </c>
      <c r="J11" s="11">
        <v>435945</v>
      </c>
      <c r="K11" s="15">
        <v>38963</v>
      </c>
      <c r="L11" s="17"/>
      <c r="M11" s="17"/>
      <c r="N11" s="17"/>
      <c r="O11" s="93">
        <f t="shared" si="0"/>
        <v>38963</v>
      </c>
      <c r="P11" s="27">
        <v>0</v>
      </c>
      <c r="Q11" s="83" t="s">
        <v>994</v>
      </c>
    </row>
    <row r="12" spans="1:17" x14ac:dyDescent="0.35">
      <c r="A12" s="8" t="s">
        <v>1002</v>
      </c>
      <c r="B12" s="9" t="s">
        <v>375</v>
      </c>
      <c r="C12" s="10" t="s">
        <v>376</v>
      </c>
      <c r="D12" s="10" t="s">
        <v>756</v>
      </c>
      <c r="E12" s="10" t="s">
        <v>152</v>
      </c>
      <c r="F12" s="10" t="s">
        <v>781</v>
      </c>
      <c r="G12" s="11">
        <v>146498</v>
      </c>
      <c r="H12" s="18">
        <v>309.52</v>
      </c>
      <c r="I12" s="19">
        <v>117930</v>
      </c>
      <c r="J12" s="14"/>
      <c r="K12" s="15">
        <v>28258.48</v>
      </c>
      <c r="L12" s="17"/>
      <c r="M12" s="17"/>
      <c r="N12" s="17"/>
      <c r="O12" s="93">
        <f t="shared" si="0"/>
        <v>28258.48</v>
      </c>
      <c r="P12" s="27">
        <v>0</v>
      </c>
      <c r="Q12" s="83" t="s">
        <v>994</v>
      </c>
    </row>
    <row r="13" spans="1:17" x14ac:dyDescent="0.35">
      <c r="A13" s="8" t="s">
        <v>1001</v>
      </c>
      <c r="B13" s="9" t="s">
        <v>180</v>
      </c>
      <c r="C13" s="10" t="s">
        <v>181</v>
      </c>
      <c r="D13" s="10" t="s">
        <v>756</v>
      </c>
      <c r="E13" s="10" t="s">
        <v>152</v>
      </c>
      <c r="F13" s="10" t="s">
        <v>766</v>
      </c>
      <c r="G13" s="11">
        <v>700693</v>
      </c>
      <c r="H13" s="18">
        <v>272226</v>
      </c>
      <c r="I13" s="19">
        <v>22325.129999999899</v>
      </c>
      <c r="J13" s="11">
        <v>379567.9</v>
      </c>
      <c r="K13" s="15">
        <v>26573.970000000099</v>
      </c>
      <c r="L13" s="17"/>
      <c r="M13" s="17"/>
      <c r="N13" s="17"/>
      <c r="O13" s="93">
        <f t="shared" si="0"/>
        <v>26573.970000000099</v>
      </c>
      <c r="P13" s="27">
        <v>0</v>
      </c>
      <c r="Q13" s="83" t="s">
        <v>994</v>
      </c>
    </row>
    <row r="14" spans="1:17" x14ac:dyDescent="0.35">
      <c r="A14" s="8" t="s">
        <v>1001</v>
      </c>
      <c r="B14" s="9" t="s">
        <v>195</v>
      </c>
      <c r="C14" s="10" t="s">
        <v>196</v>
      </c>
      <c r="D14" s="10" t="s">
        <v>756</v>
      </c>
      <c r="E14" s="10" t="s">
        <v>152</v>
      </c>
      <c r="F14" s="10" t="s">
        <v>767</v>
      </c>
      <c r="G14" s="11">
        <v>1813427</v>
      </c>
      <c r="H14" s="12"/>
      <c r="I14" s="19">
        <v>1748015.1</v>
      </c>
      <c r="J14" s="11">
        <v>39000</v>
      </c>
      <c r="K14" s="15">
        <v>26411.8999999999</v>
      </c>
      <c r="L14" s="17"/>
      <c r="M14" s="17"/>
      <c r="N14" s="17"/>
      <c r="O14" s="93">
        <f t="shared" si="0"/>
        <v>26411.8999999999</v>
      </c>
      <c r="P14" s="27">
        <v>0</v>
      </c>
      <c r="Q14" s="83" t="s">
        <v>994</v>
      </c>
    </row>
    <row r="15" spans="1:17" x14ac:dyDescent="0.35">
      <c r="A15" s="8" t="s">
        <v>1001</v>
      </c>
      <c r="B15" s="9" t="s">
        <v>264</v>
      </c>
      <c r="C15" s="10" t="s">
        <v>265</v>
      </c>
      <c r="D15" s="10" t="s">
        <v>756</v>
      </c>
      <c r="E15" s="10" t="s">
        <v>152</v>
      </c>
      <c r="F15" s="10" t="s">
        <v>775</v>
      </c>
      <c r="G15" s="11">
        <v>551330</v>
      </c>
      <c r="H15" s="18">
        <v>62000</v>
      </c>
      <c r="I15" s="19">
        <v>95000</v>
      </c>
      <c r="J15" s="11">
        <v>370670</v>
      </c>
      <c r="K15" s="15">
        <v>23660</v>
      </c>
      <c r="L15" s="17"/>
      <c r="M15" s="17"/>
      <c r="N15" s="17"/>
      <c r="O15" s="93">
        <f t="shared" si="0"/>
        <v>23660</v>
      </c>
      <c r="P15" s="27">
        <v>0</v>
      </c>
      <c r="Q15" s="83" t="s">
        <v>994</v>
      </c>
    </row>
    <row r="16" spans="1:17" x14ac:dyDescent="0.35">
      <c r="A16" s="8" t="s">
        <v>1002</v>
      </c>
      <c r="B16" s="9" t="s">
        <v>324</v>
      </c>
      <c r="C16" s="10" t="s">
        <v>325</v>
      </c>
      <c r="D16" s="10" t="s">
        <v>756</v>
      </c>
      <c r="E16" s="10" t="s">
        <v>152</v>
      </c>
      <c r="F16" s="10" t="s">
        <v>779</v>
      </c>
      <c r="G16" s="11">
        <v>1551340</v>
      </c>
      <c r="H16" s="18">
        <v>242437.3</v>
      </c>
      <c r="I16" s="19">
        <v>1119881.73</v>
      </c>
      <c r="J16" s="11">
        <v>166330.07999999999</v>
      </c>
      <c r="K16" s="15">
        <v>22690.889999999901</v>
      </c>
      <c r="L16" s="17"/>
      <c r="M16" s="17"/>
      <c r="N16" s="17"/>
      <c r="O16" s="93">
        <f t="shared" si="0"/>
        <v>22690.889999999901</v>
      </c>
      <c r="P16" s="27">
        <v>0</v>
      </c>
      <c r="Q16" s="83" t="s">
        <v>994</v>
      </c>
    </row>
    <row r="17" spans="1:17" ht="36" x14ac:dyDescent="0.35">
      <c r="A17" s="8" t="s">
        <v>1009</v>
      </c>
      <c r="B17" s="9" t="s">
        <v>601</v>
      </c>
      <c r="C17" s="10" t="s">
        <v>602</v>
      </c>
      <c r="D17" s="10" t="s">
        <v>756</v>
      </c>
      <c r="E17" s="10" t="s">
        <v>152</v>
      </c>
      <c r="F17" s="10" t="s">
        <v>815</v>
      </c>
      <c r="G17" s="11">
        <v>358538</v>
      </c>
      <c r="H17" s="18">
        <v>336314.5</v>
      </c>
      <c r="I17" s="19">
        <v>0</v>
      </c>
      <c r="J17" s="11">
        <v>-1.45519152283669E-11</v>
      </c>
      <c r="K17" s="15">
        <v>22223.5</v>
      </c>
      <c r="L17" s="17"/>
      <c r="M17" s="17"/>
      <c r="N17" s="17"/>
      <c r="O17" s="93">
        <f t="shared" si="0"/>
        <v>22223.5</v>
      </c>
      <c r="P17" s="78" t="s">
        <v>920</v>
      </c>
      <c r="Q17" s="83" t="s">
        <v>995</v>
      </c>
    </row>
    <row r="18" spans="1:17" x14ac:dyDescent="0.35">
      <c r="A18" s="8" t="s">
        <v>1010</v>
      </c>
      <c r="B18" s="9" t="s">
        <v>715</v>
      </c>
      <c r="C18" s="10" t="s">
        <v>716</v>
      </c>
      <c r="D18" s="10" t="s">
        <v>790</v>
      </c>
      <c r="E18" s="10" t="s">
        <v>791</v>
      </c>
      <c r="F18" s="10" t="s">
        <v>824</v>
      </c>
      <c r="G18" s="11">
        <v>19606</v>
      </c>
      <c r="H18" s="12"/>
      <c r="I18" s="13"/>
      <c r="J18" s="14"/>
      <c r="K18" s="15">
        <v>19606</v>
      </c>
      <c r="L18" s="16"/>
      <c r="M18" s="16"/>
      <c r="N18" s="16"/>
      <c r="O18" s="93">
        <f t="shared" si="0"/>
        <v>19606</v>
      </c>
      <c r="P18" s="27">
        <v>0</v>
      </c>
      <c r="Q18" s="83" t="s">
        <v>994</v>
      </c>
    </row>
    <row r="19" spans="1:17" x14ac:dyDescent="0.35">
      <c r="A19" s="8" t="s">
        <v>1007</v>
      </c>
      <c r="B19" s="9" t="s">
        <v>534</v>
      </c>
      <c r="C19" s="10" t="s">
        <v>535</v>
      </c>
      <c r="D19" s="10" t="s">
        <v>803</v>
      </c>
      <c r="E19" s="10" t="s">
        <v>804</v>
      </c>
      <c r="F19" s="10" t="s">
        <v>805</v>
      </c>
      <c r="G19" s="11">
        <v>2016302</v>
      </c>
      <c r="H19" s="12"/>
      <c r="I19" s="19">
        <v>9.4587448984384498E-11</v>
      </c>
      <c r="J19" s="11">
        <v>1999372.61</v>
      </c>
      <c r="K19" s="15">
        <v>16929.389999999901</v>
      </c>
      <c r="L19" s="17"/>
      <c r="M19" s="17"/>
      <c r="N19" s="17"/>
      <c r="O19" s="93">
        <f t="shared" si="0"/>
        <v>16929.389999999901</v>
      </c>
      <c r="P19" s="75" t="s">
        <v>990</v>
      </c>
      <c r="Q19" s="83" t="s">
        <v>995</v>
      </c>
    </row>
    <row r="20" spans="1:17" x14ac:dyDescent="0.35">
      <c r="A20" s="8" t="s">
        <v>1001</v>
      </c>
      <c r="B20" s="9" t="s">
        <v>195</v>
      </c>
      <c r="C20" s="10" t="s">
        <v>196</v>
      </c>
      <c r="D20" s="10" t="s">
        <v>768</v>
      </c>
      <c r="E20" s="10" t="s">
        <v>769</v>
      </c>
      <c r="F20" s="10" t="s">
        <v>770</v>
      </c>
      <c r="G20" s="11">
        <v>16097</v>
      </c>
      <c r="H20" s="12"/>
      <c r="I20" s="13"/>
      <c r="J20" s="14"/>
      <c r="K20" s="15">
        <v>16097</v>
      </c>
      <c r="L20" s="17"/>
      <c r="M20" s="17"/>
      <c r="N20" s="17"/>
      <c r="O20" s="93">
        <f t="shared" si="0"/>
        <v>16097</v>
      </c>
      <c r="P20" s="27">
        <v>0</v>
      </c>
      <c r="Q20" s="83" t="s">
        <v>994</v>
      </c>
    </row>
    <row r="21" spans="1:17" x14ac:dyDescent="0.35">
      <c r="A21" s="8" t="s">
        <v>1007</v>
      </c>
      <c r="B21" s="9" t="s">
        <v>534</v>
      </c>
      <c r="C21" s="10" t="s">
        <v>535</v>
      </c>
      <c r="D21" s="10" t="s">
        <v>761</v>
      </c>
      <c r="E21" s="10" t="s">
        <v>762</v>
      </c>
      <c r="F21" s="10" t="s">
        <v>802</v>
      </c>
      <c r="G21" s="11">
        <v>175000</v>
      </c>
      <c r="H21" s="18">
        <v>162000</v>
      </c>
      <c r="I21" s="19">
        <v>0</v>
      </c>
      <c r="J21" s="11">
        <v>0</v>
      </c>
      <c r="K21" s="15">
        <v>13000</v>
      </c>
      <c r="L21" s="17"/>
      <c r="M21" s="17"/>
      <c r="N21" s="17"/>
      <c r="O21" s="93">
        <f t="shared" si="0"/>
        <v>13000</v>
      </c>
      <c r="P21" s="75" t="s">
        <v>990</v>
      </c>
      <c r="Q21" s="83" t="s">
        <v>995</v>
      </c>
    </row>
    <row r="22" spans="1:17" x14ac:dyDescent="0.35">
      <c r="A22" s="8" t="s">
        <v>997</v>
      </c>
      <c r="B22" s="9" t="s">
        <v>50</v>
      </c>
      <c r="C22" s="10" t="s">
        <v>51</v>
      </c>
      <c r="D22" s="10" t="s">
        <v>758</v>
      </c>
      <c r="E22" s="10" t="s">
        <v>759</v>
      </c>
      <c r="F22" s="10" t="s">
        <v>760</v>
      </c>
      <c r="G22" s="11">
        <v>56000</v>
      </c>
      <c r="H22" s="12"/>
      <c r="I22" s="19">
        <v>0</v>
      </c>
      <c r="J22" s="11">
        <v>44351.48</v>
      </c>
      <c r="K22" s="15">
        <v>11648.52</v>
      </c>
      <c r="L22" s="17"/>
      <c r="M22" s="17"/>
      <c r="N22" s="17"/>
      <c r="O22" s="93">
        <f t="shared" si="0"/>
        <v>11648.52</v>
      </c>
      <c r="P22" s="27">
        <v>0</v>
      </c>
      <c r="Q22" s="83" t="s">
        <v>994</v>
      </c>
    </row>
    <row r="23" spans="1:17" x14ac:dyDescent="0.35">
      <c r="A23" s="8" t="s">
        <v>1000</v>
      </c>
      <c r="B23" s="9" t="s">
        <v>700</v>
      </c>
      <c r="C23" s="10" t="s">
        <v>701</v>
      </c>
      <c r="D23" s="10" t="s">
        <v>756</v>
      </c>
      <c r="E23" s="10" t="s">
        <v>152</v>
      </c>
      <c r="F23" s="10" t="s">
        <v>821</v>
      </c>
      <c r="G23" s="11">
        <v>6879</v>
      </c>
      <c r="H23" s="12"/>
      <c r="I23" s="13"/>
      <c r="J23" s="14"/>
      <c r="K23" s="15">
        <v>6879</v>
      </c>
      <c r="L23" s="17"/>
      <c r="M23" s="17"/>
      <c r="N23" s="17"/>
      <c r="O23" s="93">
        <f t="shared" si="0"/>
        <v>6879</v>
      </c>
      <c r="P23" s="14"/>
      <c r="Q23" s="83" t="s">
        <v>995</v>
      </c>
    </row>
    <row r="24" spans="1:17" x14ac:dyDescent="0.35">
      <c r="A24" s="8" t="s">
        <v>1001</v>
      </c>
      <c r="B24" s="9" t="s">
        <v>221</v>
      </c>
      <c r="C24" s="10" t="s">
        <v>222</v>
      </c>
      <c r="D24" s="10" t="s">
        <v>756</v>
      </c>
      <c r="E24" s="10" t="s">
        <v>152</v>
      </c>
      <c r="F24" s="10" t="s">
        <v>772</v>
      </c>
      <c r="G24" s="11">
        <v>456796</v>
      </c>
      <c r="H24" s="12"/>
      <c r="I24" s="19">
        <v>412250</v>
      </c>
      <c r="J24" s="11">
        <v>38500</v>
      </c>
      <c r="K24" s="15">
        <v>6046</v>
      </c>
      <c r="L24" s="17"/>
      <c r="M24" s="17"/>
      <c r="N24" s="17"/>
      <c r="O24" s="93">
        <f t="shared" si="0"/>
        <v>6046</v>
      </c>
      <c r="P24" s="27">
        <v>0</v>
      </c>
      <c r="Q24" s="83" t="s">
        <v>994</v>
      </c>
    </row>
    <row r="25" spans="1:17" x14ac:dyDescent="0.35">
      <c r="A25" s="8" t="s">
        <v>1001</v>
      </c>
      <c r="B25" s="9" t="s">
        <v>277</v>
      </c>
      <c r="C25" s="10" t="s">
        <v>278</v>
      </c>
      <c r="D25" s="10" t="s">
        <v>756</v>
      </c>
      <c r="E25" s="10" t="s">
        <v>152</v>
      </c>
      <c r="F25" s="10" t="s">
        <v>776</v>
      </c>
      <c r="G25" s="11">
        <v>1446520</v>
      </c>
      <c r="H25" s="18">
        <v>862373.2</v>
      </c>
      <c r="I25" s="19">
        <v>578702.18000000005</v>
      </c>
      <c r="J25" s="11">
        <v>0</v>
      </c>
      <c r="K25" s="15">
        <v>5444.62</v>
      </c>
      <c r="L25" s="17"/>
      <c r="M25" s="17"/>
      <c r="N25" s="17"/>
      <c r="O25" s="93">
        <f t="shared" si="0"/>
        <v>5444.62</v>
      </c>
      <c r="P25" s="27">
        <v>0</v>
      </c>
      <c r="Q25" s="83" t="s">
        <v>994</v>
      </c>
    </row>
    <row r="26" spans="1:17" x14ac:dyDescent="0.35">
      <c r="A26" s="8" t="s">
        <v>1001</v>
      </c>
      <c r="B26" s="9" t="s">
        <v>163</v>
      </c>
      <c r="C26" s="10" t="s">
        <v>164</v>
      </c>
      <c r="D26" s="10" t="s">
        <v>756</v>
      </c>
      <c r="E26" s="10" t="s">
        <v>152</v>
      </c>
      <c r="F26" s="10" t="s">
        <v>765</v>
      </c>
      <c r="G26" s="11">
        <v>1174460</v>
      </c>
      <c r="H26" s="18">
        <v>269624.7</v>
      </c>
      <c r="I26" s="19">
        <v>805100</v>
      </c>
      <c r="J26" s="11">
        <v>95078.62</v>
      </c>
      <c r="K26" s="15">
        <v>4656.6800000000503</v>
      </c>
      <c r="L26" s="17"/>
      <c r="M26" s="17"/>
      <c r="N26" s="17"/>
      <c r="O26" s="93">
        <f t="shared" si="0"/>
        <v>4656.6800000000503</v>
      </c>
      <c r="P26" s="27">
        <v>0</v>
      </c>
      <c r="Q26" s="83" t="s">
        <v>994</v>
      </c>
    </row>
    <row r="27" spans="1:17" x14ac:dyDescent="0.35">
      <c r="A27" s="8" t="s">
        <v>1001</v>
      </c>
      <c r="B27" s="9" t="s">
        <v>249</v>
      </c>
      <c r="C27" s="10" t="s">
        <v>250</v>
      </c>
      <c r="D27" s="10" t="s">
        <v>756</v>
      </c>
      <c r="E27" s="10" t="s">
        <v>152</v>
      </c>
      <c r="F27" s="10" t="s">
        <v>774</v>
      </c>
      <c r="G27" s="11">
        <v>533159</v>
      </c>
      <c r="H27" s="12"/>
      <c r="I27" s="19">
        <v>0</v>
      </c>
      <c r="J27" s="11">
        <v>532460</v>
      </c>
      <c r="K27" s="15">
        <v>699</v>
      </c>
      <c r="L27" s="17"/>
      <c r="M27" s="17"/>
      <c r="N27" s="17"/>
      <c r="O27" s="93">
        <f t="shared" si="0"/>
        <v>699</v>
      </c>
      <c r="P27" s="27">
        <v>0</v>
      </c>
      <c r="Q27" s="83" t="s">
        <v>994</v>
      </c>
    </row>
    <row r="28" spans="1:17" x14ac:dyDescent="0.35">
      <c r="A28" s="8" t="s">
        <v>1007</v>
      </c>
      <c r="B28" s="9" t="s">
        <v>534</v>
      </c>
      <c r="C28" s="10" t="s">
        <v>535</v>
      </c>
      <c r="D28" s="10" t="s">
        <v>758</v>
      </c>
      <c r="E28" s="10" t="s">
        <v>759</v>
      </c>
      <c r="F28" s="10" t="s">
        <v>813</v>
      </c>
      <c r="G28" s="11">
        <v>228670</v>
      </c>
      <c r="H28" s="12"/>
      <c r="I28" s="13"/>
      <c r="J28" s="14"/>
      <c r="K28" s="15">
        <v>228670</v>
      </c>
      <c r="L28" s="61">
        <v>228000</v>
      </c>
      <c r="M28" s="61"/>
      <c r="N28" s="62" t="s">
        <v>989</v>
      </c>
      <c r="O28" s="93">
        <f t="shared" si="0"/>
        <v>670</v>
      </c>
      <c r="P28" s="14"/>
      <c r="Q28" s="83" t="s">
        <v>995</v>
      </c>
    </row>
    <row r="29" spans="1:17" ht="21" x14ac:dyDescent="0.35">
      <c r="A29" s="8" t="s">
        <v>1007</v>
      </c>
      <c r="B29" s="9" t="s">
        <v>534</v>
      </c>
      <c r="C29" s="10" t="s">
        <v>535</v>
      </c>
      <c r="D29" s="10" t="s">
        <v>806</v>
      </c>
      <c r="E29" s="10" t="s">
        <v>807</v>
      </c>
      <c r="F29" s="10" t="s">
        <v>808</v>
      </c>
      <c r="G29" s="11">
        <v>321500</v>
      </c>
      <c r="H29" s="12"/>
      <c r="I29" s="19">
        <v>321320</v>
      </c>
      <c r="J29" s="14"/>
      <c r="K29" s="15">
        <v>180</v>
      </c>
      <c r="L29" s="17"/>
      <c r="M29" s="17"/>
      <c r="N29" s="17"/>
      <c r="O29" s="93">
        <f t="shared" si="0"/>
        <v>180</v>
      </c>
      <c r="P29" s="75" t="s">
        <v>990</v>
      </c>
      <c r="Q29" s="83" t="s">
        <v>995</v>
      </c>
    </row>
    <row r="30" spans="1:17" x14ac:dyDescent="0.35">
      <c r="A30" s="8" t="s">
        <v>1001</v>
      </c>
      <c r="B30" s="9" t="s">
        <v>235</v>
      </c>
      <c r="C30" s="10" t="s">
        <v>236</v>
      </c>
      <c r="D30" s="10" t="s">
        <v>756</v>
      </c>
      <c r="E30" s="10" t="s">
        <v>152</v>
      </c>
      <c r="F30" s="10" t="s">
        <v>773</v>
      </c>
      <c r="G30" s="11">
        <v>234334</v>
      </c>
      <c r="H30" s="18">
        <v>11026.05</v>
      </c>
      <c r="I30" s="19">
        <v>177000</v>
      </c>
      <c r="J30" s="11">
        <v>46277</v>
      </c>
      <c r="K30" s="15">
        <v>30.950000000011599</v>
      </c>
      <c r="L30" s="17"/>
      <c r="M30" s="17"/>
      <c r="N30" s="17"/>
      <c r="O30" s="93">
        <f t="shared" si="0"/>
        <v>30.950000000011599</v>
      </c>
      <c r="P30" s="27">
        <v>0</v>
      </c>
      <c r="Q30" s="83" t="s">
        <v>994</v>
      </c>
    </row>
    <row r="31" spans="1:17" x14ac:dyDescent="0.35">
      <c r="A31" s="8" t="s">
        <v>1003</v>
      </c>
      <c r="B31" s="9" t="s">
        <v>407</v>
      </c>
      <c r="C31" s="10" t="s">
        <v>408</v>
      </c>
      <c r="D31" s="10" t="s">
        <v>768</v>
      </c>
      <c r="E31" s="10" t="s">
        <v>769</v>
      </c>
      <c r="F31" s="10" t="s">
        <v>796</v>
      </c>
      <c r="G31" s="11">
        <v>30312</v>
      </c>
      <c r="H31" s="12"/>
      <c r="I31" s="13"/>
      <c r="J31" s="11">
        <v>30302.25</v>
      </c>
      <c r="K31" s="15">
        <v>9.75</v>
      </c>
      <c r="L31" s="17"/>
      <c r="M31" s="17"/>
      <c r="N31" s="17"/>
      <c r="O31" s="93">
        <f t="shared" si="0"/>
        <v>9.75</v>
      </c>
      <c r="P31" s="14"/>
      <c r="Q31" s="83" t="s">
        <v>995</v>
      </c>
    </row>
    <row r="32" spans="1:17" ht="21" x14ac:dyDescent="0.35">
      <c r="A32" s="8" t="s">
        <v>1002</v>
      </c>
      <c r="B32" s="9" t="s">
        <v>310</v>
      </c>
      <c r="C32" s="10" t="s">
        <v>311</v>
      </c>
      <c r="D32" s="10" t="s">
        <v>756</v>
      </c>
      <c r="E32" s="10" t="s">
        <v>152</v>
      </c>
      <c r="F32" s="10" t="s">
        <v>777</v>
      </c>
      <c r="G32" s="11">
        <v>1891417</v>
      </c>
      <c r="H32" s="12"/>
      <c r="I32" s="19">
        <v>1774402</v>
      </c>
      <c r="J32" s="11">
        <v>102313</v>
      </c>
      <c r="K32" s="15">
        <v>14702</v>
      </c>
      <c r="L32" s="17">
        <v>14700</v>
      </c>
      <c r="M32" s="17"/>
      <c r="N32" s="17" t="s">
        <v>879</v>
      </c>
      <c r="O32" s="93">
        <f t="shared" si="0"/>
        <v>2</v>
      </c>
      <c r="P32" s="14"/>
      <c r="Q32" s="83" t="s">
        <v>995</v>
      </c>
    </row>
    <row r="33" spans="1:17" x14ac:dyDescent="0.35">
      <c r="A33" s="8" t="s">
        <v>997</v>
      </c>
      <c r="B33" s="9" t="s">
        <v>12</v>
      </c>
      <c r="C33" s="10" t="s">
        <v>13</v>
      </c>
      <c r="D33" s="10" t="s">
        <v>756</v>
      </c>
      <c r="E33" s="10" t="s">
        <v>152</v>
      </c>
      <c r="F33" s="10" t="s">
        <v>757</v>
      </c>
      <c r="G33" s="11">
        <v>1220302</v>
      </c>
      <c r="H33" s="18">
        <v>1220301.8</v>
      </c>
      <c r="I33" s="13"/>
      <c r="J33" s="11">
        <v>0</v>
      </c>
      <c r="K33" s="15">
        <v>0.19999999995343401</v>
      </c>
      <c r="L33" s="17"/>
      <c r="M33" s="17"/>
      <c r="N33" s="17"/>
      <c r="O33" s="93">
        <f t="shared" si="0"/>
        <v>0.19999999995343401</v>
      </c>
      <c r="P33" s="27">
        <v>0</v>
      </c>
      <c r="Q33" s="83" t="s">
        <v>994</v>
      </c>
    </row>
    <row r="34" spans="1:17" x14ac:dyDescent="0.35">
      <c r="A34" s="8" t="s">
        <v>998</v>
      </c>
      <c r="B34" s="9" t="s">
        <v>63</v>
      </c>
      <c r="C34" s="10" t="s">
        <v>64</v>
      </c>
      <c r="D34" s="10" t="s">
        <v>761</v>
      </c>
      <c r="E34" s="10" t="s">
        <v>762</v>
      </c>
      <c r="F34" s="10" t="s">
        <v>763</v>
      </c>
      <c r="G34" s="11">
        <v>137589</v>
      </c>
      <c r="H34" s="12"/>
      <c r="I34" s="13"/>
      <c r="J34" s="14"/>
      <c r="K34" s="15">
        <v>137589</v>
      </c>
      <c r="L34" s="17"/>
      <c r="M34" s="91">
        <v>137589</v>
      </c>
      <c r="N34" s="17"/>
      <c r="O34" s="93">
        <f t="shared" si="0"/>
        <v>0</v>
      </c>
      <c r="P34" s="14"/>
      <c r="Q34" s="83" t="s">
        <v>995</v>
      </c>
    </row>
    <row r="35" spans="1:17" ht="43.5" x14ac:dyDescent="0.35">
      <c r="A35" s="8" t="s">
        <v>1003</v>
      </c>
      <c r="B35" s="9" t="s">
        <v>396</v>
      </c>
      <c r="C35" s="10" t="s">
        <v>397</v>
      </c>
      <c r="D35" s="10" t="s">
        <v>756</v>
      </c>
      <c r="E35" s="10" t="s">
        <v>152</v>
      </c>
      <c r="F35" s="10" t="s">
        <v>783</v>
      </c>
      <c r="G35" s="11">
        <v>171987</v>
      </c>
      <c r="H35" s="12"/>
      <c r="I35" s="19">
        <v>171800</v>
      </c>
      <c r="J35" s="14"/>
      <c r="K35" s="15">
        <v>187</v>
      </c>
      <c r="L35" s="17">
        <v>187</v>
      </c>
      <c r="M35" s="17"/>
      <c r="N35" s="17"/>
      <c r="O35" s="93">
        <f t="shared" si="0"/>
        <v>0</v>
      </c>
      <c r="P35" s="14" t="s">
        <v>834</v>
      </c>
      <c r="Q35" s="83" t="s">
        <v>995</v>
      </c>
    </row>
    <row r="36" spans="1:17" x14ac:dyDescent="0.35">
      <c r="A36" s="8" t="s">
        <v>1003</v>
      </c>
      <c r="B36" s="9" t="s">
        <v>407</v>
      </c>
      <c r="C36" s="10" t="s">
        <v>408</v>
      </c>
      <c r="D36" s="10" t="s">
        <v>784</v>
      </c>
      <c r="E36" s="10" t="s">
        <v>785</v>
      </c>
      <c r="F36" s="10" t="s">
        <v>786</v>
      </c>
      <c r="G36" s="11">
        <v>2818350</v>
      </c>
      <c r="H36" s="12"/>
      <c r="I36" s="19">
        <v>2818350</v>
      </c>
      <c r="J36" s="14"/>
      <c r="K36" s="15">
        <v>0</v>
      </c>
      <c r="L36" s="17"/>
      <c r="M36" s="17"/>
      <c r="N36" s="17"/>
      <c r="O36" s="93">
        <f t="shared" ref="O36:O54" si="1">K36-L36-M36</f>
        <v>0</v>
      </c>
      <c r="P36" s="14"/>
      <c r="Q36" s="83" t="s">
        <v>995</v>
      </c>
    </row>
    <row r="37" spans="1:17" x14ac:dyDescent="0.35">
      <c r="A37" s="8" t="s">
        <v>1003</v>
      </c>
      <c r="B37" s="9" t="s">
        <v>407</v>
      </c>
      <c r="C37" s="10" t="s">
        <v>408</v>
      </c>
      <c r="D37" s="10" t="s">
        <v>784</v>
      </c>
      <c r="E37" s="10" t="s">
        <v>785</v>
      </c>
      <c r="F37" s="10" t="s">
        <v>787</v>
      </c>
      <c r="G37" s="11">
        <v>21067319</v>
      </c>
      <c r="H37" s="18">
        <v>4786548.21</v>
      </c>
      <c r="I37" s="19">
        <v>5615292.7800000003</v>
      </c>
      <c r="J37" s="11">
        <v>8872317</v>
      </c>
      <c r="K37" s="15">
        <v>1793161.01</v>
      </c>
      <c r="L37" s="17">
        <v>1793161.01</v>
      </c>
      <c r="M37" s="17"/>
      <c r="N37" s="17" t="s">
        <v>846</v>
      </c>
      <c r="O37" s="93">
        <f t="shared" si="1"/>
        <v>0</v>
      </c>
      <c r="P37" s="14"/>
      <c r="Q37" s="83" t="s">
        <v>995</v>
      </c>
    </row>
    <row r="38" spans="1:17" x14ac:dyDescent="0.35">
      <c r="A38" s="8" t="s">
        <v>1003</v>
      </c>
      <c r="B38" s="9" t="s">
        <v>407</v>
      </c>
      <c r="C38" s="10" t="s">
        <v>408</v>
      </c>
      <c r="D38" s="10" t="s">
        <v>784</v>
      </c>
      <c r="E38" s="10" t="s">
        <v>785</v>
      </c>
      <c r="F38" s="10" t="s">
        <v>788</v>
      </c>
      <c r="G38" s="11">
        <v>0</v>
      </c>
      <c r="H38" s="12"/>
      <c r="I38" s="13"/>
      <c r="J38" s="14"/>
      <c r="K38" s="15">
        <v>0</v>
      </c>
      <c r="L38" s="17">
        <v>0</v>
      </c>
      <c r="M38" s="17"/>
      <c r="N38" s="17"/>
      <c r="O38" s="93">
        <f t="shared" si="1"/>
        <v>0</v>
      </c>
      <c r="P38" s="14"/>
      <c r="Q38" s="83" t="s">
        <v>995</v>
      </c>
    </row>
    <row r="39" spans="1:17" x14ac:dyDescent="0.35">
      <c r="A39" s="8" t="s">
        <v>1003</v>
      </c>
      <c r="B39" s="9" t="s">
        <v>407</v>
      </c>
      <c r="C39" s="10" t="s">
        <v>408</v>
      </c>
      <c r="D39" s="10" t="s">
        <v>784</v>
      </c>
      <c r="E39" s="10" t="s">
        <v>785</v>
      </c>
      <c r="F39" s="10" t="s">
        <v>789</v>
      </c>
      <c r="G39" s="11">
        <v>21508949</v>
      </c>
      <c r="H39" s="18">
        <v>6691482.4000000004</v>
      </c>
      <c r="I39" s="19">
        <v>7102853</v>
      </c>
      <c r="J39" s="11">
        <v>7677586.5999999996</v>
      </c>
      <c r="K39" s="15">
        <v>7027</v>
      </c>
      <c r="L39" s="17">
        <v>7027</v>
      </c>
      <c r="M39" s="17"/>
      <c r="N39" s="17"/>
      <c r="O39" s="93">
        <f t="shared" si="1"/>
        <v>0</v>
      </c>
      <c r="P39" s="14"/>
      <c r="Q39" s="83" t="s">
        <v>995</v>
      </c>
    </row>
    <row r="40" spans="1:17" x14ac:dyDescent="0.35">
      <c r="A40" s="8" t="s">
        <v>1003</v>
      </c>
      <c r="B40" s="9" t="s">
        <v>407</v>
      </c>
      <c r="C40" s="10" t="s">
        <v>408</v>
      </c>
      <c r="D40" s="10" t="s">
        <v>790</v>
      </c>
      <c r="E40" s="10" t="s">
        <v>791</v>
      </c>
      <c r="F40" s="10" t="s">
        <v>792</v>
      </c>
      <c r="G40" s="11">
        <v>1096162</v>
      </c>
      <c r="H40" s="18">
        <v>53100</v>
      </c>
      <c r="I40" s="19">
        <v>668595</v>
      </c>
      <c r="J40" s="11">
        <v>49374</v>
      </c>
      <c r="K40" s="15">
        <v>325093</v>
      </c>
      <c r="L40" s="17">
        <v>325093</v>
      </c>
      <c r="M40" s="17"/>
      <c r="N40" s="17" t="s">
        <v>846</v>
      </c>
      <c r="O40" s="93">
        <f t="shared" si="1"/>
        <v>0</v>
      </c>
      <c r="P40" s="14"/>
      <c r="Q40" s="83" t="s">
        <v>995</v>
      </c>
    </row>
    <row r="41" spans="1:17" x14ac:dyDescent="0.35">
      <c r="A41" s="8" t="s">
        <v>1003</v>
      </c>
      <c r="B41" s="9" t="s">
        <v>407</v>
      </c>
      <c r="C41" s="10" t="s">
        <v>408</v>
      </c>
      <c r="D41" s="10" t="s">
        <v>790</v>
      </c>
      <c r="E41" s="10" t="s">
        <v>791</v>
      </c>
      <c r="F41" s="10" t="s">
        <v>793</v>
      </c>
      <c r="G41" s="11">
        <v>32800</v>
      </c>
      <c r="H41" s="18">
        <v>31488</v>
      </c>
      <c r="I41" s="13"/>
      <c r="J41" s="11">
        <v>0</v>
      </c>
      <c r="K41" s="15">
        <v>1312</v>
      </c>
      <c r="L41" s="17">
        <v>1312</v>
      </c>
      <c r="M41" s="17"/>
      <c r="N41" s="17"/>
      <c r="O41" s="93">
        <f t="shared" si="1"/>
        <v>0</v>
      </c>
      <c r="P41" s="14"/>
      <c r="Q41" s="83" t="s">
        <v>995</v>
      </c>
    </row>
    <row r="42" spans="1:17" x14ac:dyDescent="0.35">
      <c r="A42" s="8" t="s">
        <v>1003</v>
      </c>
      <c r="B42" s="9" t="s">
        <v>407</v>
      </c>
      <c r="C42" s="10" t="s">
        <v>408</v>
      </c>
      <c r="D42" s="10" t="s">
        <v>790</v>
      </c>
      <c r="E42" s="10" t="s">
        <v>791</v>
      </c>
      <c r="F42" s="10" t="s">
        <v>794</v>
      </c>
      <c r="G42" s="11">
        <v>530893</v>
      </c>
      <c r="H42" s="12"/>
      <c r="I42" s="19">
        <v>82282</v>
      </c>
      <c r="J42" s="14"/>
      <c r="K42" s="15">
        <v>448611</v>
      </c>
      <c r="L42" s="11">
        <v>448611</v>
      </c>
      <c r="M42" s="15"/>
      <c r="N42" s="17" t="s">
        <v>846</v>
      </c>
      <c r="O42" s="93">
        <f t="shared" si="1"/>
        <v>0</v>
      </c>
      <c r="P42" s="14"/>
      <c r="Q42" s="83" t="s">
        <v>995</v>
      </c>
    </row>
    <row r="43" spans="1:17" x14ac:dyDescent="0.35">
      <c r="A43" s="8" t="s">
        <v>1003</v>
      </c>
      <c r="B43" s="9" t="s">
        <v>407</v>
      </c>
      <c r="C43" s="10" t="s">
        <v>408</v>
      </c>
      <c r="D43" s="10" t="s">
        <v>758</v>
      </c>
      <c r="E43" s="10" t="s">
        <v>759</v>
      </c>
      <c r="F43" s="10" t="s">
        <v>795</v>
      </c>
      <c r="G43" s="11">
        <v>1000000</v>
      </c>
      <c r="H43" s="12"/>
      <c r="I43" s="19">
        <v>1000000</v>
      </c>
      <c r="J43" s="14"/>
      <c r="K43" s="15">
        <v>0</v>
      </c>
      <c r="L43" s="17"/>
      <c r="M43" s="17"/>
      <c r="N43" s="17"/>
      <c r="O43" s="93">
        <f t="shared" si="1"/>
        <v>0</v>
      </c>
      <c r="P43" s="14"/>
      <c r="Q43" s="83" t="s">
        <v>995</v>
      </c>
    </row>
    <row r="44" spans="1:17" x14ac:dyDescent="0.35">
      <c r="A44" s="8" t="s">
        <v>1005</v>
      </c>
      <c r="B44" s="9" t="s">
        <v>513</v>
      </c>
      <c r="C44" s="10" t="s">
        <v>514</v>
      </c>
      <c r="D44" s="10" t="s">
        <v>797</v>
      </c>
      <c r="E44" s="10" t="s">
        <v>798</v>
      </c>
      <c r="F44" s="10" t="s">
        <v>799</v>
      </c>
      <c r="G44" s="11">
        <v>0</v>
      </c>
      <c r="H44" s="12"/>
      <c r="I44" s="13"/>
      <c r="J44" s="14"/>
      <c r="K44" s="15">
        <v>0</v>
      </c>
      <c r="L44" s="17"/>
      <c r="M44" s="17"/>
      <c r="N44" s="17"/>
      <c r="O44" s="93">
        <f t="shared" si="1"/>
        <v>0</v>
      </c>
      <c r="P44" s="14"/>
      <c r="Q44" s="83" t="s">
        <v>995</v>
      </c>
    </row>
    <row r="45" spans="1:17" x14ac:dyDescent="0.35">
      <c r="A45" s="8" t="s">
        <v>1005</v>
      </c>
      <c r="B45" s="9" t="s">
        <v>513</v>
      </c>
      <c r="C45" s="10" t="s">
        <v>514</v>
      </c>
      <c r="D45" s="10" t="s">
        <v>758</v>
      </c>
      <c r="E45" s="10" t="s">
        <v>759</v>
      </c>
      <c r="F45" s="10" t="s">
        <v>800</v>
      </c>
      <c r="G45" s="11">
        <v>69286</v>
      </c>
      <c r="H45" s="18">
        <v>69286</v>
      </c>
      <c r="I45" s="19">
        <v>0</v>
      </c>
      <c r="J45" s="11">
        <v>0</v>
      </c>
      <c r="K45" s="15">
        <v>0</v>
      </c>
      <c r="L45" s="17"/>
      <c r="M45" s="17"/>
      <c r="N45" s="17"/>
      <c r="O45" s="93">
        <f t="shared" si="1"/>
        <v>0</v>
      </c>
      <c r="P45" s="14"/>
      <c r="Q45" s="83" t="s">
        <v>995</v>
      </c>
    </row>
    <row r="46" spans="1:17" x14ac:dyDescent="0.35">
      <c r="A46" s="8" t="s">
        <v>1006</v>
      </c>
      <c r="B46" s="9" t="s">
        <v>522</v>
      </c>
      <c r="C46" s="10" t="s">
        <v>523</v>
      </c>
      <c r="D46" s="10" t="s">
        <v>790</v>
      </c>
      <c r="E46" s="10" t="s">
        <v>791</v>
      </c>
      <c r="F46" s="10" t="s">
        <v>801</v>
      </c>
      <c r="G46" s="11">
        <v>0</v>
      </c>
      <c r="H46" s="12"/>
      <c r="I46" s="13"/>
      <c r="J46" s="14"/>
      <c r="K46" s="15">
        <v>0</v>
      </c>
      <c r="L46" s="17"/>
      <c r="M46" s="17"/>
      <c r="N46" s="17"/>
      <c r="O46" s="93">
        <f t="shared" si="1"/>
        <v>0</v>
      </c>
      <c r="P46" s="14"/>
      <c r="Q46" s="83" t="s">
        <v>995</v>
      </c>
    </row>
    <row r="47" spans="1:17" x14ac:dyDescent="0.35">
      <c r="A47" s="8" t="s">
        <v>1007</v>
      </c>
      <c r="B47" s="9" t="s">
        <v>534</v>
      </c>
      <c r="C47" s="10" t="s">
        <v>535</v>
      </c>
      <c r="D47" s="10" t="s">
        <v>797</v>
      </c>
      <c r="E47" s="10" t="s">
        <v>798</v>
      </c>
      <c r="F47" s="10" t="s">
        <v>812</v>
      </c>
      <c r="G47" s="11">
        <v>0</v>
      </c>
      <c r="H47" s="12"/>
      <c r="I47" s="13"/>
      <c r="J47" s="14"/>
      <c r="K47" s="15">
        <v>0</v>
      </c>
      <c r="L47" s="17"/>
      <c r="M47" s="17"/>
      <c r="N47" s="17"/>
      <c r="O47" s="93">
        <f t="shared" si="1"/>
        <v>0</v>
      </c>
      <c r="P47" s="14"/>
      <c r="Q47" s="83" t="s">
        <v>995</v>
      </c>
    </row>
    <row r="48" spans="1:17" ht="42" x14ac:dyDescent="0.35">
      <c r="A48" s="8" t="s">
        <v>1009</v>
      </c>
      <c r="B48" s="9" t="s">
        <v>613</v>
      </c>
      <c r="C48" s="10" t="s">
        <v>614</v>
      </c>
      <c r="D48" s="10" t="s">
        <v>756</v>
      </c>
      <c r="E48" s="10" t="s">
        <v>152</v>
      </c>
      <c r="F48" s="10" t="s">
        <v>817</v>
      </c>
      <c r="G48" s="11">
        <v>15928069</v>
      </c>
      <c r="H48" s="18">
        <v>2281711.5</v>
      </c>
      <c r="I48" s="19">
        <v>11146925.789999999</v>
      </c>
      <c r="J48" s="11">
        <v>1223698.1000000001</v>
      </c>
      <c r="K48" s="15">
        <v>1275733.6100000001</v>
      </c>
      <c r="L48" s="17">
        <v>1275733.6100000001</v>
      </c>
      <c r="M48" s="17"/>
      <c r="N48" s="17" t="s">
        <v>914</v>
      </c>
      <c r="O48" s="93">
        <f t="shared" si="1"/>
        <v>0</v>
      </c>
      <c r="P48" s="68" t="s">
        <v>917</v>
      </c>
      <c r="Q48" s="83" t="s">
        <v>995</v>
      </c>
    </row>
    <row r="49" spans="1:17" ht="31.5" x14ac:dyDescent="0.35">
      <c r="A49" s="8" t="s">
        <v>1009</v>
      </c>
      <c r="B49" s="9" t="s">
        <v>620</v>
      </c>
      <c r="C49" s="10" t="s">
        <v>621</v>
      </c>
      <c r="D49" s="10" t="s">
        <v>756</v>
      </c>
      <c r="E49" s="10" t="s">
        <v>152</v>
      </c>
      <c r="F49" s="10" t="s">
        <v>818</v>
      </c>
      <c r="G49" s="11">
        <v>3308433</v>
      </c>
      <c r="H49" s="12"/>
      <c r="I49" s="13"/>
      <c r="J49" s="14"/>
      <c r="K49" s="15">
        <v>3308433</v>
      </c>
      <c r="L49" s="17"/>
      <c r="M49" s="17">
        <v>3308433</v>
      </c>
      <c r="N49" s="17"/>
      <c r="O49" s="93">
        <f t="shared" si="1"/>
        <v>0</v>
      </c>
      <c r="P49" s="81" t="s">
        <v>921</v>
      </c>
      <c r="Q49" s="83" t="s">
        <v>995</v>
      </c>
    </row>
    <row r="50" spans="1:17" x14ac:dyDescent="0.35">
      <c r="A50" s="8" t="s">
        <v>1009</v>
      </c>
      <c r="B50" s="9" t="s">
        <v>620</v>
      </c>
      <c r="C50" s="10" t="s">
        <v>621</v>
      </c>
      <c r="D50" s="10" t="s">
        <v>797</v>
      </c>
      <c r="E50" s="10" t="s">
        <v>798</v>
      </c>
      <c r="F50" s="10" t="s">
        <v>819</v>
      </c>
      <c r="G50" s="11">
        <v>0</v>
      </c>
      <c r="H50" s="18">
        <v>0</v>
      </c>
      <c r="I50" s="13"/>
      <c r="J50" s="11">
        <v>0</v>
      </c>
      <c r="K50" s="15">
        <v>0</v>
      </c>
      <c r="L50" s="17"/>
      <c r="M50" s="17"/>
      <c r="N50" s="17"/>
      <c r="O50" s="93">
        <f t="shared" si="1"/>
        <v>0</v>
      </c>
      <c r="P50" s="81"/>
      <c r="Q50" s="83" t="s">
        <v>995</v>
      </c>
    </row>
    <row r="51" spans="1:17" ht="31.5" x14ac:dyDescent="0.35">
      <c r="A51" s="8" t="s">
        <v>1009</v>
      </c>
      <c r="B51" s="9" t="s">
        <v>620</v>
      </c>
      <c r="C51" s="10" t="s">
        <v>621</v>
      </c>
      <c r="D51" s="10" t="s">
        <v>758</v>
      </c>
      <c r="E51" s="10" t="s">
        <v>759</v>
      </c>
      <c r="F51" s="10" t="s">
        <v>820</v>
      </c>
      <c r="G51" s="11">
        <v>277018</v>
      </c>
      <c r="H51" s="18">
        <v>138508.82999999999</v>
      </c>
      <c r="I51" s="13"/>
      <c r="J51" s="14"/>
      <c r="K51" s="15">
        <v>138509.17000000001</v>
      </c>
      <c r="L51" s="11"/>
      <c r="M51" s="15">
        <v>138509.17000000001</v>
      </c>
      <c r="N51" s="17"/>
      <c r="O51" s="93">
        <f t="shared" si="1"/>
        <v>0</v>
      </c>
      <c r="P51" s="81" t="s">
        <v>921</v>
      </c>
      <c r="Q51" s="83" t="s">
        <v>995</v>
      </c>
    </row>
    <row r="52" spans="1:17" x14ac:dyDescent="0.35">
      <c r="A52" s="8" t="s">
        <v>1010</v>
      </c>
      <c r="B52" s="9" t="s">
        <v>715</v>
      </c>
      <c r="C52" s="10" t="s">
        <v>716</v>
      </c>
      <c r="D52" s="10" t="s">
        <v>768</v>
      </c>
      <c r="E52" s="10" t="s">
        <v>769</v>
      </c>
      <c r="F52" s="10" t="s">
        <v>825</v>
      </c>
      <c r="G52" s="11">
        <v>0</v>
      </c>
      <c r="H52" s="12"/>
      <c r="I52" s="13"/>
      <c r="J52" s="14"/>
      <c r="K52" s="15">
        <v>0</v>
      </c>
      <c r="L52" s="14"/>
      <c r="M52" s="13"/>
      <c r="N52" s="16"/>
      <c r="O52" s="93">
        <f t="shared" si="1"/>
        <v>0</v>
      </c>
      <c r="P52" s="27">
        <v>0</v>
      </c>
      <c r="Q52" s="83" t="s">
        <v>994</v>
      </c>
    </row>
    <row r="53" spans="1:17" x14ac:dyDescent="0.35">
      <c r="A53" s="8" t="s">
        <v>1009</v>
      </c>
      <c r="B53" s="9" t="s">
        <v>570</v>
      </c>
      <c r="C53" s="10" t="s">
        <v>571</v>
      </c>
      <c r="D53" s="10" t="s">
        <v>756</v>
      </c>
      <c r="E53" s="10" t="s">
        <v>152</v>
      </c>
      <c r="F53" s="10" t="s">
        <v>814</v>
      </c>
      <c r="G53" s="11">
        <v>2998678</v>
      </c>
      <c r="H53" s="18">
        <v>2998678.09</v>
      </c>
      <c r="I53" s="13"/>
      <c r="J53" s="11">
        <v>-3750</v>
      </c>
      <c r="K53" s="15">
        <v>3749.9100000001499</v>
      </c>
      <c r="L53" s="11">
        <v>3750</v>
      </c>
      <c r="M53" s="15"/>
      <c r="N53" s="17"/>
      <c r="O53" s="93">
        <f t="shared" si="1"/>
        <v>-8.9999999850078893E-2</v>
      </c>
      <c r="P53" s="14"/>
      <c r="Q53" s="83" t="s">
        <v>995</v>
      </c>
    </row>
    <row r="54" spans="1:17" ht="63" x14ac:dyDescent="0.35">
      <c r="A54" s="8" t="s">
        <v>1009</v>
      </c>
      <c r="B54" s="9" t="s">
        <v>613</v>
      </c>
      <c r="C54" s="10" t="s">
        <v>614</v>
      </c>
      <c r="D54" s="10" t="s">
        <v>784</v>
      </c>
      <c r="E54" s="10" t="s">
        <v>785</v>
      </c>
      <c r="F54" s="10" t="s">
        <v>816</v>
      </c>
      <c r="G54" s="11">
        <v>1304891</v>
      </c>
      <c r="H54" s="18">
        <v>350147.24</v>
      </c>
      <c r="I54" s="13"/>
      <c r="J54" s="11">
        <v>954743.26</v>
      </c>
      <c r="K54" s="15">
        <v>0.5</v>
      </c>
      <c r="L54" s="11">
        <v>1</v>
      </c>
      <c r="M54" s="15"/>
      <c r="N54" s="17" t="s">
        <v>913</v>
      </c>
      <c r="O54" s="93">
        <f t="shared" si="1"/>
        <v>-0.5</v>
      </c>
      <c r="P54" s="68" t="s">
        <v>917</v>
      </c>
      <c r="Q54" s="83" t="s">
        <v>995</v>
      </c>
    </row>
    <row r="55" spans="1:17" x14ac:dyDescent="0.35">
      <c r="A55" s="3" t="s">
        <v>0</v>
      </c>
      <c r="P55"/>
    </row>
  </sheetData>
  <autoFilter ref="A3:Q55" xr:uid="{00000000-0009-0000-0000-00000500000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opex summary</vt:lpstr>
      <vt:lpstr>XX Sheet1</vt:lpstr>
      <vt:lpstr>Opex no feeback</vt:lpstr>
      <vt:lpstr>Opex - No Feedback Fin Comments</vt:lpstr>
      <vt:lpstr>Ch2 Consolidation Q2 opex</vt:lpstr>
      <vt:lpstr>Ch3 Consolidation Q2 capex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2022-07-18T07:47:04Z</dcterms:created>
  <dcterms:modified xsi:type="dcterms:W3CDTF">2023-10-05T08:28:06Z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