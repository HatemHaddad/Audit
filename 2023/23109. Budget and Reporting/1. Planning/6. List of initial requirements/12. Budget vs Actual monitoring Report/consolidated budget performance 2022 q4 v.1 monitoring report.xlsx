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92" documentId="11_39C74C910BA5FB3317D7AA92667ABC6006C15983" xr6:coauthVersionLast="47" xr6:coauthVersionMax="47" xr10:uidLastSave="{CFEC4B9D-B751-4AB9-98F9-2E547AFAC990}"/>
  <bookViews>
    <workbookView xWindow="-110" yWindow="-110" windowWidth="19420" windowHeight="10420" activeTab="4" xr2:uid="{00000000-000D-0000-FFFF-FFFF00000000}"/>
  </bookViews>
  <sheets>
    <sheet name="Summary (2)" sheetId="9" r:id="rId1"/>
    <sheet name="Summary" sheetId="7" state="hidden" r:id="rId2"/>
    <sheet name="Pivot Opex" sheetId="6" r:id="rId3"/>
    <sheet name="Pivot Capex" sheetId="8" r:id="rId4"/>
    <sheet name="opex q4 22" sheetId="1" r:id="rId5"/>
    <sheet name="capex q4 22" sheetId="2" r:id="rId6"/>
    <sheet name="PR DETAILS" sheetId="4" state="hidden" r:id="rId7"/>
    <sheet name="PO DETAILS" sheetId="5" state="hidden" r:id="rId8"/>
  </sheets>
  <externalReferences>
    <externalReference r:id="rId9"/>
  </externalReferences>
  <definedNames>
    <definedName name="_xlnm._FilterDatabase" localSheetId="5" hidden="1">'capex q4 22'!$A$3:$O$57</definedName>
    <definedName name="_xlnm._FilterDatabase" localSheetId="4" hidden="1">'opex q4 22'!$A$2:$N$511</definedName>
    <definedName name="_xlnm._FilterDatabase" localSheetId="7" hidden="1">'PO DETAILS'!$A$1:$P$560</definedName>
    <definedName name="_xlnm._FilterDatabase" localSheetId="6" hidden="1">'PR DETAILS'!$A$1:$P$559</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0" i="1" l="1"/>
  <c r="H510" i="1"/>
  <c r="I510" i="1"/>
  <c r="J510" i="1"/>
  <c r="F510" i="1"/>
  <c r="H56" i="2"/>
  <c r="I56" i="2"/>
  <c r="J56" i="2"/>
  <c r="K56" i="2"/>
  <c r="G56" i="2"/>
  <c r="N5" i="2"/>
  <c r="O5" i="2"/>
  <c r="N6" i="2"/>
  <c r="O6" i="2"/>
  <c r="N7" i="2"/>
  <c r="O7" i="2"/>
  <c r="N8" i="2"/>
  <c r="O8" i="2"/>
  <c r="N9" i="2"/>
  <c r="O9" i="2"/>
  <c r="N10" i="2"/>
  <c r="O10" i="2"/>
  <c r="N11" i="2"/>
  <c r="O11" i="2"/>
  <c r="N12" i="2"/>
  <c r="O12" i="2"/>
  <c r="N13" i="2"/>
  <c r="O13" i="2"/>
  <c r="N14" i="2"/>
  <c r="O14" i="2"/>
  <c r="N15" i="2"/>
  <c r="O15" i="2"/>
  <c r="N16" i="2"/>
  <c r="O16" i="2"/>
  <c r="N17" i="2"/>
  <c r="O17" i="2"/>
  <c r="N18" i="2"/>
  <c r="O18" i="2"/>
  <c r="N19" i="2"/>
  <c r="O19" i="2"/>
  <c r="N20" i="2"/>
  <c r="O20" i="2"/>
  <c r="N21" i="2"/>
  <c r="O21" i="2"/>
  <c r="N22" i="2"/>
  <c r="O22" i="2"/>
  <c r="N23" i="2"/>
  <c r="O23" i="2"/>
  <c r="N24" i="2"/>
  <c r="O24" i="2"/>
  <c r="N25" i="2"/>
  <c r="O25" i="2"/>
  <c r="N26" i="2"/>
  <c r="O26" i="2"/>
  <c r="N27" i="2"/>
  <c r="O27" i="2"/>
  <c r="N28" i="2"/>
  <c r="O28" i="2"/>
  <c r="N29" i="2"/>
  <c r="O29" i="2"/>
  <c r="N30" i="2"/>
  <c r="O30" i="2"/>
  <c r="N31" i="2"/>
  <c r="O31" i="2"/>
  <c r="N32" i="2"/>
  <c r="O32" i="2"/>
  <c r="N33" i="2"/>
  <c r="O33" i="2"/>
  <c r="N34" i="2"/>
  <c r="O34" i="2"/>
  <c r="N35" i="2"/>
  <c r="O35" i="2"/>
  <c r="N36" i="2"/>
  <c r="O36" i="2"/>
  <c r="N37" i="2"/>
  <c r="O37" i="2"/>
  <c r="N38" i="2"/>
  <c r="O38" i="2"/>
  <c r="N39" i="2"/>
  <c r="O39" i="2"/>
  <c r="N40" i="2"/>
  <c r="O40" i="2"/>
  <c r="N41" i="2"/>
  <c r="O41" i="2"/>
  <c r="N42" i="2"/>
  <c r="O42" i="2"/>
  <c r="N43" i="2"/>
  <c r="O43" i="2"/>
  <c r="N44" i="2"/>
  <c r="O44" i="2"/>
  <c r="N45" i="2"/>
  <c r="O45" i="2"/>
  <c r="N46" i="2"/>
  <c r="O46" i="2"/>
  <c r="N47" i="2"/>
  <c r="O47" i="2"/>
  <c r="N48" i="2"/>
  <c r="O48" i="2"/>
  <c r="N49" i="2"/>
  <c r="O49" i="2"/>
  <c r="N50" i="2"/>
  <c r="O50" i="2"/>
  <c r="N51" i="2"/>
  <c r="O51" i="2"/>
  <c r="N52" i="2"/>
  <c r="O52" i="2"/>
  <c r="N53" i="2"/>
  <c r="O53" i="2"/>
  <c r="N54" i="2"/>
  <c r="O54" i="2"/>
  <c r="O4" i="2"/>
  <c r="N4" i="2"/>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M480" i="1"/>
  <c r="N480" i="1"/>
  <c r="M481" i="1"/>
  <c r="N481" i="1"/>
  <c r="M482" i="1"/>
  <c r="N482" i="1"/>
  <c r="M483" i="1"/>
  <c r="N483" i="1"/>
  <c r="M484" i="1"/>
  <c r="N484" i="1"/>
  <c r="M485" i="1"/>
  <c r="N485" i="1"/>
  <c r="M486" i="1"/>
  <c r="N486" i="1"/>
  <c r="M487" i="1"/>
  <c r="N487" i="1"/>
  <c r="M488" i="1"/>
  <c r="N488" i="1"/>
  <c r="M489" i="1"/>
  <c r="N489" i="1"/>
  <c r="M490" i="1"/>
  <c r="N490" i="1"/>
  <c r="M491" i="1"/>
  <c r="N491" i="1"/>
  <c r="M492" i="1"/>
  <c r="N492" i="1"/>
  <c r="M493" i="1"/>
  <c r="N493" i="1"/>
  <c r="M494" i="1"/>
  <c r="N494" i="1"/>
  <c r="M495" i="1"/>
  <c r="N495" i="1"/>
  <c r="M496" i="1"/>
  <c r="N496" i="1"/>
  <c r="M497" i="1"/>
  <c r="N497" i="1"/>
  <c r="M498" i="1"/>
  <c r="N498" i="1"/>
  <c r="M499" i="1"/>
  <c r="N499" i="1"/>
  <c r="M500" i="1"/>
  <c r="N500" i="1"/>
  <c r="M501" i="1"/>
  <c r="N501" i="1"/>
  <c r="M502" i="1"/>
  <c r="N502" i="1"/>
  <c r="M503" i="1"/>
  <c r="N503" i="1"/>
  <c r="M504" i="1"/>
  <c r="N504" i="1"/>
  <c r="M505" i="1"/>
  <c r="N505" i="1"/>
  <c r="M506" i="1"/>
  <c r="N506" i="1"/>
  <c r="M507" i="1"/>
  <c r="N507" i="1"/>
  <c r="M508" i="1"/>
  <c r="N508" i="1"/>
  <c r="M509" i="1"/>
  <c r="N509" i="1"/>
  <c r="N3" i="1"/>
  <c r="M3" i="1"/>
  <c r="H511" i="1" l="1"/>
  <c r="I57" i="2"/>
  <c r="G5" i="9"/>
  <c r="G7" i="9" s="1"/>
  <c r="G6" i="9"/>
  <c r="G4" i="9"/>
  <c r="I6" i="7"/>
  <c r="I7" i="7" s="1"/>
  <c r="I5" i="7"/>
  <c r="I4" i="7"/>
  <c r="K407" i="1" l="1"/>
  <c r="K7" i="1" l="1"/>
  <c r="K21" i="1" l="1"/>
  <c r="K15" i="1"/>
  <c r="K505" i="1" l="1"/>
  <c r="K114" i="1"/>
  <c r="K22" i="1"/>
  <c r="K20" i="1"/>
  <c r="K3" i="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4" i="2"/>
  <c r="L56" i="2" l="1"/>
  <c r="K502" i="1"/>
  <c r="K4" i="1"/>
  <c r="K5" i="1"/>
  <c r="K6" i="1"/>
  <c r="K8" i="1"/>
  <c r="K9" i="1"/>
  <c r="K10" i="1"/>
  <c r="K11" i="1"/>
  <c r="K12" i="1"/>
  <c r="K13" i="1"/>
  <c r="K14" i="1"/>
  <c r="K16" i="1"/>
  <c r="K17" i="1"/>
  <c r="K18" i="1"/>
  <c r="K19"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3" i="1"/>
  <c r="K504" i="1"/>
  <c r="K506" i="1"/>
  <c r="K507" i="1"/>
  <c r="K508" i="1"/>
  <c r="K509" i="1"/>
  <c r="K510" i="1" l="1"/>
</calcChain>
</file>

<file path=xl/sharedStrings.xml><?xml version="1.0" encoding="utf-8"?>
<sst xmlns="http://schemas.openxmlformats.org/spreadsheetml/2006/main" count="8002" uniqueCount="892">
  <si>
    <t/>
  </si>
  <si>
    <t>Ledger Name</t>
  </si>
  <si>
    <t>Cost Center Code</t>
  </si>
  <si>
    <t>Cost Center Description</t>
  </si>
  <si>
    <t>Account Code</t>
  </si>
  <si>
    <t>Account Description</t>
  </si>
  <si>
    <t>GL Account Combination</t>
  </si>
  <si>
    <t>Annual Budget</t>
  </si>
  <si>
    <t>Revised Budget</t>
  </si>
  <si>
    <t>Actual Amount</t>
  </si>
  <si>
    <t>PR</t>
  </si>
  <si>
    <t>PO</t>
  </si>
  <si>
    <t>Fund Available</t>
  </si>
  <si>
    <t>KUST Ledger</t>
  </si>
  <si>
    <t>8470110</t>
  </si>
  <si>
    <t>KUST - Office of the President</t>
  </si>
  <si>
    <t>420550</t>
  </si>
  <si>
    <t>Academic Advisory Service</t>
  </si>
  <si>
    <t>847.8470110.1.420550.000000.847001.200179</t>
  </si>
  <si>
    <t>420570</t>
  </si>
  <si>
    <t>Academic Collaborative Partnership Services</t>
  </si>
  <si>
    <t>847.8470110.1.420570.000000.847001.200179</t>
  </si>
  <si>
    <t>420900</t>
  </si>
  <si>
    <t>Legal services</t>
  </si>
  <si>
    <t>847.8470110.1.420900.000000.847001.200179</t>
  </si>
  <si>
    <t>421000</t>
  </si>
  <si>
    <t>Management consultancy</t>
  </si>
  <si>
    <t>847.8470110.1.421000.000000.847001.200179</t>
  </si>
  <si>
    <t>421700</t>
  </si>
  <si>
    <t>Standards Certification Services (e.g. ISO)</t>
  </si>
  <si>
    <t>847.8470110.1.421700.000000.847001.200179</t>
  </si>
  <si>
    <t>425510</t>
  </si>
  <si>
    <t>Conferences, seminars and exhibitions and other events: - Local Events</t>
  </si>
  <si>
    <t>847.8470110.1.425510.000000.847001.200179</t>
  </si>
  <si>
    <t>425550</t>
  </si>
  <si>
    <t>Conferences, seminars and exhibitions and other events: - Overseas event</t>
  </si>
  <si>
    <t>847.8470110.1.425550.000000.847001.200179</t>
  </si>
  <si>
    <t>425900</t>
  </si>
  <si>
    <t>Entertainment and hospitality</t>
  </si>
  <si>
    <t>847.8470110.1.425900.000000.847001.200179</t>
  </si>
  <si>
    <t>426610</t>
  </si>
  <si>
    <t>Computer software licenses-Software License Renewal</t>
  </si>
  <si>
    <t>847.8470110.1.426610.000000.847001.200179</t>
  </si>
  <si>
    <t>428090</t>
  </si>
  <si>
    <t>Business Travel - Combined expenses</t>
  </si>
  <si>
    <t>847.8470110.1.428090.000000.847001.200179</t>
  </si>
  <si>
    <t>428400</t>
  </si>
  <si>
    <t>Sponsorship expenses/contributions</t>
  </si>
  <si>
    <t>847.8470110.1.428400.000000.847001.200179</t>
  </si>
  <si>
    <t>428640</t>
  </si>
  <si>
    <t>Events - Awards, prizes &amp; gifts</t>
  </si>
  <si>
    <t>847.8470110.1.428640.000000.847001.200179</t>
  </si>
  <si>
    <t>8470120</t>
  </si>
  <si>
    <t>KUST - Audit</t>
  </si>
  <si>
    <t>420120</t>
  </si>
  <si>
    <t>Internal Audit service</t>
  </si>
  <si>
    <t>847.8470120.1.420120.000000.847001.200179</t>
  </si>
  <si>
    <t>8470130</t>
  </si>
  <si>
    <t>KUST - Institutional Research &amp; Planning</t>
  </si>
  <si>
    <t>847.8470130.1.421000.000000.847001.200179</t>
  </si>
  <si>
    <t>847.8470130.1.426610.000000.847001.200179</t>
  </si>
  <si>
    <t>427710</t>
  </si>
  <si>
    <t>Subscriptions and membership fees: Trade organisations</t>
  </si>
  <si>
    <t>847.8470130.1.427710.000000.847001.200179</t>
  </si>
  <si>
    <t>847.8470130.1.428090.000000.847001.200179</t>
  </si>
  <si>
    <t>8470140</t>
  </si>
  <si>
    <t>KUST - Communication</t>
  </si>
  <si>
    <t>425100</t>
  </si>
  <si>
    <t>Advertising Services (General)</t>
  </si>
  <si>
    <t>847.8470140.1.425100.000000.847001.200179</t>
  </si>
  <si>
    <t>847.8470140.1.425510.000000.847001.200179</t>
  </si>
  <si>
    <t>847.8470140.1.425550.000000.847001.200179</t>
  </si>
  <si>
    <t>425763</t>
  </si>
  <si>
    <t>Student Project Expenses</t>
  </si>
  <si>
    <t>847.8470140.1.425763.000000.847050.200179</t>
  </si>
  <si>
    <t>427100</t>
  </si>
  <si>
    <t>Public relations</t>
  </si>
  <si>
    <t>847.8470140.1.427100.000000.847001.200179</t>
  </si>
  <si>
    <t>427200</t>
  </si>
  <si>
    <t>Printing and publishing</t>
  </si>
  <si>
    <t>847.8470140.1.427200.000000.847001.200179</t>
  </si>
  <si>
    <t>847.8470140.1.428640.000000.847001.200179</t>
  </si>
  <si>
    <t>435310</t>
  </si>
  <si>
    <t>Newspapers, magazines, journals, etc</t>
  </si>
  <si>
    <t>847.8470140.1.435310.000000.847001.200179</t>
  </si>
  <si>
    <t>435519</t>
  </si>
  <si>
    <t>Photography - Consumable materials /Tools</t>
  </si>
  <si>
    <t>847.8470140.1.435519.000000.847001.200179</t>
  </si>
  <si>
    <t>8470150</t>
  </si>
  <si>
    <t>KUST - General Counsel</t>
  </si>
  <si>
    <t>847.8470150.1.420900.000000.847001.200179</t>
  </si>
  <si>
    <t>8470160</t>
  </si>
  <si>
    <t>KUST - SVP/ Support Services Office</t>
  </si>
  <si>
    <t>847.8470160.1.428090.000000.847001.200179</t>
  </si>
  <si>
    <t>8470210</t>
  </si>
  <si>
    <t>KUST - Khalifa University of Science &amp; Technology - General Administration</t>
  </si>
  <si>
    <t>847.8470210.1.420570.000000.847001.200179</t>
  </si>
  <si>
    <t>425770</t>
  </si>
  <si>
    <t>Academic Missions - Combined expenses</t>
  </si>
  <si>
    <t>847.8470210.1.425770.000000.847001.200179</t>
  </si>
  <si>
    <t>847.8470210.1.427200.000000.847001.200179</t>
  </si>
  <si>
    <t>847.8470210.1.428090.000000.847001.200179</t>
  </si>
  <si>
    <t>847.8470210.1.428640.000000.847001.200179</t>
  </si>
  <si>
    <t>435350</t>
  </si>
  <si>
    <t>Academic Publications</t>
  </si>
  <si>
    <t>847.8470210.1.435350.000000.847001.200179</t>
  </si>
  <si>
    <t>435523</t>
  </si>
  <si>
    <t>Scientific</t>
  </si>
  <si>
    <t>847.8470210.1.435523.000000.847001.200179</t>
  </si>
  <si>
    <t>8470220</t>
  </si>
  <si>
    <t>KUST - Office of the Provost</t>
  </si>
  <si>
    <t>847.8470220.1.420550.000000.847001.200179</t>
  </si>
  <si>
    <t>847.8470220.1.420570.000000.847001.200179</t>
  </si>
  <si>
    <t>847.8470220.1.421700.000000.847001.200179</t>
  </si>
  <si>
    <t>847.8470220.1.425510.000000.847001.200179</t>
  </si>
  <si>
    <t>847.8470220.1.425550.000000.847001.200179</t>
  </si>
  <si>
    <t>425740</t>
  </si>
  <si>
    <t>Scholarships &amp; other financial aid</t>
  </si>
  <si>
    <t>847.8470220.1.425740.000000.847001.200179</t>
  </si>
  <si>
    <t>847.8470220.1.425900.000000.847001.200179</t>
  </si>
  <si>
    <t>847.8470220.1.426610.000000.847001.200179</t>
  </si>
  <si>
    <t>847.8470220.1.428090.000000.847001.200179</t>
  </si>
  <si>
    <t>847.8470220.1.428640.000000.847001.200179</t>
  </si>
  <si>
    <t>432205</t>
  </si>
  <si>
    <t>Maintenance: Computers and peripherals-End user and Infrastructure components maintenance and support</t>
  </si>
  <si>
    <t>847.8470220.1.432205.000000.847001.200179</t>
  </si>
  <si>
    <t>8470230</t>
  </si>
  <si>
    <t>KUST - Graduate Studies</t>
  </si>
  <si>
    <t>847.8470230.1.420550.000000.847001.200179</t>
  </si>
  <si>
    <t>847.8470230.1.425100.000000.847001.200179</t>
  </si>
  <si>
    <t>847.8470230.1.425510.000000.847001.200179</t>
  </si>
  <si>
    <t>847.8470230.1.425550.000000.847001.200179</t>
  </si>
  <si>
    <t>425743</t>
  </si>
  <si>
    <t>Graduation rewards</t>
  </si>
  <si>
    <t>847.8470230.1.425743.000000.847001.200179</t>
  </si>
  <si>
    <t>425744</t>
  </si>
  <si>
    <t>Student medical insurance</t>
  </si>
  <si>
    <t>847.8470230.1.425744.000000.847001.200179</t>
  </si>
  <si>
    <t>425745</t>
  </si>
  <si>
    <t>Student relocation &amp; travel exps</t>
  </si>
  <si>
    <t>847.8470230.1.425745.000000.847001.200179</t>
  </si>
  <si>
    <t>425749</t>
  </si>
  <si>
    <t>Postgraduate Student Salaries</t>
  </si>
  <si>
    <t>847.8470230.1.425749.000000.847001.200179</t>
  </si>
  <si>
    <t>425761</t>
  </si>
  <si>
    <t>Student Field trips</t>
  </si>
  <si>
    <t>847.8470230.1.425761.000000.847001.200179</t>
  </si>
  <si>
    <t>425762</t>
  </si>
  <si>
    <t>Student Internship</t>
  </si>
  <si>
    <t>847.8470230.1.425762.000000.847001.200179</t>
  </si>
  <si>
    <t>847.8470230.1.425900.000000.847001.200179</t>
  </si>
  <si>
    <t>847.8470230.1.426610.000000.847001.200179</t>
  </si>
  <si>
    <t>847.8470230.1.428090.000000.847001.200179</t>
  </si>
  <si>
    <t>847.8470230.1.428640.000000.847001.200179</t>
  </si>
  <si>
    <t>436110</t>
  </si>
  <si>
    <t>Printing supplies</t>
  </si>
  <si>
    <t>847.8470230.1.436110.000000.847001.200179</t>
  </si>
  <si>
    <t>8470305</t>
  </si>
  <si>
    <t>KUST - Dean Of Engineering</t>
  </si>
  <si>
    <t>847.8470305.1.420550.000000.847001.200179</t>
  </si>
  <si>
    <t>847.8470305.1.420570.000000.847001.200179</t>
  </si>
  <si>
    <t>847.8470305.1.421700.000000.847001.200179</t>
  </si>
  <si>
    <t>847.8470305.1.425510.000000.847001.200179</t>
  </si>
  <si>
    <t>847.8470305.1.425763.000000.847001.200179</t>
  </si>
  <si>
    <t>847.8470305.1.425770.000000.847001.200179</t>
  </si>
  <si>
    <t>847.8470305.1.425900.000000.847001.200179</t>
  </si>
  <si>
    <t>847.8470305.1.426610.000000.847001.200179</t>
  </si>
  <si>
    <t>847.8470305.1.428090.000000.847001.200179</t>
  </si>
  <si>
    <t>847.8470305.1.428640.000000.847001.200179</t>
  </si>
  <si>
    <t>432209</t>
  </si>
  <si>
    <t>Laboratory equipment</t>
  </si>
  <si>
    <t>847.8470305.1.432209.000000.847001.200179</t>
  </si>
  <si>
    <t>847.8470305.1.435350.000000.847001.200179</t>
  </si>
  <si>
    <t>435508</t>
  </si>
  <si>
    <t>Laboratory - Scientific</t>
  </si>
  <si>
    <t>847.8470305.1.435508.000000.847001.200179</t>
  </si>
  <si>
    <t>436600</t>
  </si>
  <si>
    <t>Training/Teaching equipment and other educational aid</t>
  </si>
  <si>
    <t>847.8470305.1.436600.000000.847001.200179</t>
  </si>
  <si>
    <t>8470310</t>
  </si>
  <si>
    <t>KUST - Aerospace Engineering</t>
  </si>
  <si>
    <t>847.8470310.1.420550.000000.847001.200179</t>
  </si>
  <si>
    <t>847.8470310.1.425510.000000.847001.200179</t>
  </si>
  <si>
    <t>425760</t>
  </si>
  <si>
    <t>Student activities &amp; field trip expenses</t>
  </si>
  <si>
    <t>847.8470310.1.425760.000000.847001.200179</t>
  </si>
  <si>
    <t>847.8470310.1.425763.000000.847001.200179</t>
  </si>
  <si>
    <t>847.8470310.1.425770.000000.847001.200179</t>
  </si>
  <si>
    <t>847.8470310.1.425900.000000.847001.200179</t>
  </si>
  <si>
    <t>847.8470310.1.426610.000000.847001.200179</t>
  </si>
  <si>
    <t>847.8470310.1.428090.000000.847001.200179</t>
  </si>
  <si>
    <t>847.8470310.1.432209.000000.847001.200179</t>
  </si>
  <si>
    <t>435340</t>
  </si>
  <si>
    <t>Text books and library books</t>
  </si>
  <si>
    <t>847.8470310.1.435340.000000.847001.200179</t>
  </si>
  <si>
    <t>847.8470310.1.435350.000000.847001.200179</t>
  </si>
  <si>
    <t>847.8470310.1.435508.000000.847001.200179</t>
  </si>
  <si>
    <t>847.8470310.1.436110.000000.847001.200179</t>
  </si>
  <si>
    <t>847.8470310.1.436600.000000.847001.200179</t>
  </si>
  <si>
    <t>8470315</t>
  </si>
  <si>
    <t>KUST - Biomedical Engineering</t>
  </si>
  <si>
    <t>847.8470315.1.420550.000000.847001.200179</t>
  </si>
  <si>
    <t>847.8470315.1.425510.000000.847001.200179</t>
  </si>
  <si>
    <t>847.8470315.1.425760.000000.847001.200179</t>
  </si>
  <si>
    <t>847.8470315.1.425763.000000.847001.200179</t>
  </si>
  <si>
    <t>847.8470315.1.425770.000000.847001.200179</t>
  </si>
  <si>
    <t>847.8470315.1.425900.000000.847001.200179</t>
  </si>
  <si>
    <t>847.8470315.1.426610.000000.847001.200179</t>
  </si>
  <si>
    <t>847.8470315.1.428090.000000.847001.200179</t>
  </si>
  <si>
    <t>847.8470315.1.432209.000000.847001.200179</t>
  </si>
  <si>
    <t>847.8470315.1.435350.000000.847001.200179</t>
  </si>
  <si>
    <t>847.8470315.1.435508.000000.847001.200179</t>
  </si>
  <si>
    <t>847.8470315.1.436110.000000.847001.200179</t>
  </si>
  <si>
    <t>847.8470315.1.436600.000000.847001.200179</t>
  </si>
  <si>
    <t>8470320</t>
  </si>
  <si>
    <t>KUST - Chemical Engineering</t>
  </si>
  <si>
    <t>847.8470320.1.420550.000000.847001.200179</t>
  </si>
  <si>
    <t>847.8470320.1.425510.000000.847001.200179</t>
  </si>
  <si>
    <t>847.8470320.1.425760.000000.847001.200179</t>
  </si>
  <si>
    <t>847.8470320.1.425763.000000.847001.200179</t>
  </si>
  <si>
    <t>847.8470320.1.425770.000000.847001.200179</t>
  </si>
  <si>
    <t>847.8470320.1.425900.000000.847001.200179</t>
  </si>
  <si>
    <t>847.8470320.1.426610.000000.847001.200179</t>
  </si>
  <si>
    <t>847.8470320.1.428090.000000.847001.200179</t>
  </si>
  <si>
    <t>847.8470320.1.435350.000000.847001.200179</t>
  </si>
  <si>
    <t>847.8470320.1.435508.000000.847001.200179</t>
  </si>
  <si>
    <t>847.8470320.1.436110.000000.847001.200179</t>
  </si>
  <si>
    <t>847.8470320.1.436600.000000.847001.200179</t>
  </si>
  <si>
    <t>8470325</t>
  </si>
  <si>
    <t>KUST - Civil Engineering</t>
  </si>
  <si>
    <t>847.8470325.1.420550.000000.847001.200179</t>
  </si>
  <si>
    <t>847.8470325.1.425510.000000.847001.200179</t>
  </si>
  <si>
    <t>847.8470325.1.425760.000000.847001.200179</t>
  </si>
  <si>
    <t>847.8470325.1.425763.000000.847001.200179</t>
  </si>
  <si>
    <t>847.8470325.1.425770.000000.847001.200179</t>
  </si>
  <si>
    <t>847.8470325.1.426610.000000.847001.200179</t>
  </si>
  <si>
    <t>847.8470325.1.428090.000000.847001.200179</t>
  </si>
  <si>
    <t>847.8470325.1.432209.000000.847001.200179</t>
  </si>
  <si>
    <t>847.8470325.1.435350.000000.847001.200179</t>
  </si>
  <si>
    <t>847.8470325.1.435508.000000.847001.200179</t>
  </si>
  <si>
    <t>8470330</t>
  </si>
  <si>
    <t>KUST - Electrical &amp; Computer Engineering</t>
  </si>
  <si>
    <t>847.8470330.1.420550.000000.847001.200179</t>
  </si>
  <si>
    <t>847.8470330.1.425510.000000.847001.200179</t>
  </si>
  <si>
    <t>847.8470330.1.425760.000000.847001.200179</t>
  </si>
  <si>
    <t>847.8470330.1.425763.000000.847001.200179</t>
  </si>
  <si>
    <t>847.8470330.1.425770.000000.847001.200179</t>
  </si>
  <si>
    <t>847.8470330.1.425900.000000.847001.200179</t>
  </si>
  <si>
    <t>847.8470330.1.426610.000000.847001.200179</t>
  </si>
  <si>
    <t>847.8470330.1.427710.000000.847001.200179</t>
  </si>
  <si>
    <t>847.8470330.1.428640.000000.847001.200179</t>
  </si>
  <si>
    <t>847.8470330.1.432209.000000.847001.200179</t>
  </si>
  <si>
    <t>847.8470330.1.435340.000000.847001.200179</t>
  </si>
  <si>
    <t>847.8470330.1.435350.000000.847001.200179</t>
  </si>
  <si>
    <t>847.8470330.1.435508.000000.847001.200179</t>
  </si>
  <si>
    <t>847.8470330.1.436600.000000.847001.200179</t>
  </si>
  <si>
    <t>8470335</t>
  </si>
  <si>
    <t>KUST - Industrial &amp; Systems Engineering</t>
  </si>
  <si>
    <t>847.8470335.1.420550.000000.847001.200179</t>
  </si>
  <si>
    <t>847.8470335.1.425510.000000.847001.200179</t>
  </si>
  <si>
    <t>847.8470335.1.425760.000000.847001.200179</t>
  </si>
  <si>
    <t>847.8470335.1.425763.000000.847001.200179</t>
  </si>
  <si>
    <t>847.8470335.1.425770.000000.847001.200179</t>
  </si>
  <si>
    <t>847.8470335.1.425900.000000.847001.200179</t>
  </si>
  <si>
    <t>847.8470335.1.426610.000000.847001.200179</t>
  </si>
  <si>
    <t>847.8470335.1.428090.000000.847001.200179</t>
  </si>
  <si>
    <t>847.8470335.1.435350.000000.847001.200179</t>
  </si>
  <si>
    <t>847.8470335.1.435508.000000.847001.200179</t>
  </si>
  <si>
    <t>847.8470335.1.436110.000000.847001.200179</t>
  </si>
  <si>
    <t>847.8470335.1.436600.000000.847001.200179</t>
  </si>
  <si>
    <t>8470340</t>
  </si>
  <si>
    <t>KUST - Mechanical Engineering</t>
  </si>
  <si>
    <t>847.8470340.1.420550.000000.847001.200179</t>
  </si>
  <si>
    <t>847.8470340.1.425510.000000.847001.200179</t>
  </si>
  <si>
    <t>425720</t>
  </si>
  <si>
    <t>Education-Outsourced training service</t>
  </si>
  <si>
    <t>847.8470340.1.425720.000000.847001.200179</t>
  </si>
  <si>
    <t>847.8470340.1.425760.000000.847001.200179</t>
  </si>
  <si>
    <t>847.8470340.1.425763.000000.847001.200179</t>
  </si>
  <si>
    <t>847.8470340.1.425770.000000.847001.200179</t>
  </si>
  <si>
    <t>847.8470340.1.425900.000000.847001.200179</t>
  </si>
  <si>
    <t>847.8470340.1.426610.000000.847001.200179</t>
  </si>
  <si>
    <t>847.8470340.1.432209.000000.847001.200179</t>
  </si>
  <si>
    <t>847.8470340.1.435350.000000.847001.200179</t>
  </si>
  <si>
    <t>847.8470340.1.435508.000000.847001.200179</t>
  </si>
  <si>
    <t>8470345</t>
  </si>
  <si>
    <t>KUST - Nuclear Engineering</t>
  </si>
  <si>
    <t>847.8470345.1.420550.000000.847001.200179</t>
  </si>
  <si>
    <t>847.8470345.1.425510.000000.847001.200179</t>
  </si>
  <si>
    <t>847.8470345.1.425760.000000.847001.200179</t>
  </si>
  <si>
    <t>847.8470345.1.425770.000000.847001.200179</t>
  </si>
  <si>
    <t>847.8470345.1.425900.000000.847001.200179</t>
  </si>
  <si>
    <t>847.8470345.1.426610.000000.847001.200179</t>
  </si>
  <si>
    <t>847.8470345.1.428090.000000.847001.200179</t>
  </si>
  <si>
    <t>847.8470345.1.435350.000000.847001.200179</t>
  </si>
  <si>
    <t>847.8470345.1.435508.000000.847001.200179</t>
  </si>
  <si>
    <t>847.8470345.1.436110.000000.847001.200179</t>
  </si>
  <si>
    <t>847.8470345.1.436600.000000.847001.200179</t>
  </si>
  <si>
    <t>8470350</t>
  </si>
  <si>
    <t>KUST - Petroleum Engineering</t>
  </si>
  <si>
    <t>847.8470350.1.425510.000000.847001.200179</t>
  </si>
  <si>
    <t>847.8470350.1.425760.000000.847001.200179</t>
  </si>
  <si>
    <t>847.8470350.1.425763.000000.847001.200179</t>
  </si>
  <si>
    <t>847.8470350.1.425770.000000.847001.200179</t>
  </si>
  <si>
    <t>847.8470350.1.425900.000000.847001.200179</t>
  </si>
  <si>
    <t>847.8470350.1.426610.000000.847001.200179</t>
  </si>
  <si>
    <t>847.8470350.1.432209.000000.847001.200179</t>
  </si>
  <si>
    <t>847.8470350.1.435340.000000.847001.200179</t>
  </si>
  <si>
    <t>847.8470350.1.435350.000000.847001.200179</t>
  </si>
  <si>
    <t>847.8470350.1.435508.000000.847001.200179</t>
  </si>
  <si>
    <t>847.8470350.1.436110.000000.847001.200179</t>
  </si>
  <si>
    <t>847.8470350.1.436600.000000.847001.200179</t>
  </si>
  <si>
    <t>8470405</t>
  </si>
  <si>
    <t>KUST - Dean Of Arts &amp; Science</t>
  </si>
  <si>
    <t>847.8470405.1.420550.000000.847001.200179</t>
  </si>
  <si>
    <t>847.8470405.1.421700.000000.847001.200179</t>
  </si>
  <si>
    <t>847.8470405.1.425510.000000.847001.200179</t>
  </si>
  <si>
    <t>847.8470405.1.425550.000000.847001.200179</t>
  </si>
  <si>
    <t>847.8470405.1.425770.000000.847001.200179</t>
  </si>
  <si>
    <t>847.8470405.1.427710.000000.847001.200179</t>
  </si>
  <si>
    <t>847.8470405.1.432209.000000.847001.200179</t>
  </si>
  <si>
    <t>847.8470405.1.435350.000000.847001.200179</t>
  </si>
  <si>
    <t>8470410</t>
  </si>
  <si>
    <t>KUST - Institute of International &amp; Civil Security</t>
  </si>
  <si>
    <t>847.8470410.1.425761.000000.847001.200179</t>
  </si>
  <si>
    <t>847.8470410.1.425770.000000.847001.200179</t>
  </si>
  <si>
    <t>847.8470410.1.426610.000000.847001.200179</t>
  </si>
  <si>
    <t>847.8470410.1.428090.000000.847001.200179</t>
  </si>
  <si>
    <t>847.8470410.1.435310.000000.847001.200179</t>
  </si>
  <si>
    <t>847.8470410.1.435350.000000.847001.200179</t>
  </si>
  <si>
    <t>8470415</t>
  </si>
  <si>
    <t>KUST - Chemistry</t>
  </si>
  <si>
    <t>847.8470415.1.421700.000000.847001.200179</t>
  </si>
  <si>
    <t>847.8470415.1.425100.000000.847001.200179</t>
  </si>
  <si>
    <t>847.8470415.1.425760.000000.847001.200179</t>
  </si>
  <si>
    <t>847.8470415.1.425763.000000.847001.200179</t>
  </si>
  <si>
    <t>847.8470415.1.425770.000000.847001.200179</t>
  </si>
  <si>
    <t>847.8470415.1.425900.000000.847001.200179</t>
  </si>
  <si>
    <t>847.8470415.1.426610.000000.847001.200179</t>
  </si>
  <si>
    <t>847.8470415.1.428640.000000.847001.200179</t>
  </si>
  <si>
    <t>847.8470415.1.432209.000000.847001.200179</t>
  </si>
  <si>
    <t>847.8470415.1.435350.000000.847001.200179</t>
  </si>
  <si>
    <t>847.8470415.1.435508.000000.847001.200179</t>
  </si>
  <si>
    <t>847.8470415.1.435519.000000.847001.200179</t>
  </si>
  <si>
    <t>8470425</t>
  </si>
  <si>
    <t>KUST - Physics</t>
  </si>
  <si>
    <t>847.8470425.1.425510.000000.847001.200179</t>
  </si>
  <si>
    <t>847.8470425.1.425550.000000.847001.200179</t>
  </si>
  <si>
    <t>847.8470425.1.425770.000000.847001.200179</t>
  </si>
  <si>
    <t>847.8470425.1.425900.000000.847001.200179</t>
  </si>
  <si>
    <t>847.8470425.1.426610.000000.847001.200179</t>
  </si>
  <si>
    <t>847.8470425.1.428090.000000.847001.200179</t>
  </si>
  <si>
    <t>847.8470425.1.435350.000000.847001.200179</t>
  </si>
  <si>
    <t>847.8470425.1.435508.000000.847001.200179</t>
  </si>
  <si>
    <t>8470430</t>
  </si>
  <si>
    <t>KUST - Preparatory Program</t>
  </si>
  <si>
    <t>847.8470430.1.425761.000000.847001.200179</t>
  </si>
  <si>
    <t>847.8470430.1.425770.000000.847001.200179</t>
  </si>
  <si>
    <t>847.8470430.1.425900.000000.847001.200179</t>
  </si>
  <si>
    <t>847.8470430.1.426610.000000.847001.200179</t>
  </si>
  <si>
    <t>847.8470430.1.432209.000000.847001.200179</t>
  </si>
  <si>
    <t>847.8470430.1.435508.000000.847001.200179</t>
  </si>
  <si>
    <t>8470435</t>
  </si>
  <si>
    <t>KUST - Department of English</t>
  </si>
  <si>
    <t>847.8470435.1.425770.000000.847001.200179</t>
  </si>
  <si>
    <t>847.8470435.1.426610.000000.847001.200179</t>
  </si>
  <si>
    <t>847.8470435.1.435340.000000.847001.200179</t>
  </si>
  <si>
    <t>847.8470435.1.436600.000000.847001.200179</t>
  </si>
  <si>
    <t>8470440</t>
  </si>
  <si>
    <t>KUST - Humanities &amp; Social Sciences</t>
  </si>
  <si>
    <t>847.8470440.1.420550.000000.847001.200179</t>
  </si>
  <si>
    <t>847.8470440.1.420570.000000.847001.200179</t>
  </si>
  <si>
    <t>847.8470440.1.421700.000000.847001.200179</t>
  </si>
  <si>
    <t>847.8470440.1.425100.000000.847001.200179</t>
  </si>
  <si>
    <t>847.8470440.1.425510.000000.847001.200179</t>
  </si>
  <si>
    <t>847.8470440.1.425550.000000.847001.200179</t>
  </si>
  <si>
    <t>847.8470440.1.425761.000000.847001.200179</t>
  </si>
  <si>
    <t>847.8470440.1.425770.000000.847001.200179</t>
  </si>
  <si>
    <t>847.8470440.1.425900.000000.847001.200179</t>
  </si>
  <si>
    <t>847.8470440.1.426610.000000.847001.200179</t>
  </si>
  <si>
    <t>847.8470440.1.427710.000000.847001.200179</t>
  </si>
  <si>
    <t>847.8470440.1.428090.000000.847001.200179</t>
  </si>
  <si>
    <t>847.8470440.1.428640.000000.847001.200179</t>
  </si>
  <si>
    <t>847.8470440.1.435340.000000.847001.200179</t>
  </si>
  <si>
    <t>847.8470440.1.435350.000000.847001.200179</t>
  </si>
  <si>
    <t>847.8470440.1.436600.000000.847001.200179</t>
  </si>
  <si>
    <t>8470445</t>
  </si>
  <si>
    <t>KUST - Mathematics</t>
  </si>
  <si>
    <t>847.8470445.1.425100.000000.847001.200179</t>
  </si>
  <si>
    <t>847.8470445.1.425510.000000.847001.200179</t>
  </si>
  <si>
    <t>847.8470445.1.425720.000000.847001.200179</t>
  </si>
  <si>
    <t>847.8470445.1.425760.000000.847001.200179</t>
  </si>
  <si>
    <t>847.8470445.1.425763.000000.847001.200179</t>
  </si>
  <si>
    <t>847.8470445.1.425770.000000.847001.200179</t>
  </si>
  <si>
    <t>847.8470445.1.426610.000000.847001.200179</t>
  </si>
  <si>
    <t>847.8470445.1.435350.000000.847001.200179</t>
  </si>
  <si>
    <t>8470450</t>
  </si>
  <si>
    <t>KUST - Earth Science</t>
  </si>
  <si>
    <t>847.8470450.1.425761.000000.847001.200179</t>
  </si>
  <si>
    <t>847.8470450.1.425770.000000.847001.200179</t>
  </si>
  <si>
    <t>847.8470450.1.426610.000000.847001.200179</t>
  </si>
  <si>
    <t>847.8470450.1.428090.000000.847001.200179</t>
  </si>
  <si>
    <t>847.8470450.1.432209.000000.847001.200179</t>
  </si>
  <si>
    <t>847.8470450.1.435350.000000.847001.200179</t>
  </si>
  <si>
    <t>847.8470450.1.435508.000000.847001.200179</t>
  </si>
  <si>
    <t>8470455</t>
  </si>
  <si>
    <t>KUST – Biology</t>
  </si>
  <si>
    <t>847.8470455.1.425760.000000.847001.200179</t>
  </si>
  <si>
    <t>847.8470455.1.425770.000000.847001.200179</t>
  </si>
  <si>
    <t>847.8470455.1.425900.000000.847001.200179</t>
  </si>
  <si>
    <t>847.8470455.1.426610.000000.847001.200179</t>
  </si>
  <si>
    <t>847.8470455.1.428090.000000.847001.200179</t>
  </si>
  <si>
    <t>847.8470455.1.428640.000000.847001.200179</t>
  </si>
  <si>
    <t>847.8470455.1.432209.000000.847001.200179</t>
  </si>
  <si>
    <t>847.8470455.1.435350.000000.847001.200179</t>
  </si>
  <si>
    <t>847.8470455.1.435508.000000.847001.200179</t>
  </si>
  <si>
    <t>847.8470455.1.436110.000000.847001.200179</t>
  </si>
  <si>
    <t>8470520</t>
  </si>
  <si>
    <t>KUST - Environment, Health &amp; Safety</t>
  </si>
  <si>
    <t>847.8470520.1.425510.000000.847001.200179</t>
  </si>
  <si>
    <t>426100</t>
  </si>
  <si>
    <t>Freight and shipping costs, not included elsewhere under purchase costs</t>
  </si>
  <si>
    <t>847.8470520.1.426100.000000.847001.200179</t>
  </si>
  <si>
    <t>847.8470520.1.427710.000000.847001.200179</t>
  </si>
  <si>
    <t>428200</t>
  </si>
  <si>
    <t>Health,safety&amp;environment awareness</t>
  </si>
  <si>
    <t>847.8470520.1.428200.000000.847001.200179</t>
  </si>
  <si>
    <t>847.8470520.1.428200.000000.847951.200179</t>
  </si>
  <si>
    <t>847.8470520.1.428640.000000.847001.200179</t>
  </si>
  <si>
    <t>8470530</t>
  </si>
  <si>
    <t>KUST - Facilities Management</t>
  </si>
  <si>
    <t>420310</t>
  </si>
  <si>
    <t>Cleaning Services: Business premises</t>
  </si>
  <si>
    <t>847.8470530.1.420310.000000.847010.200179</t>
  </si>
  <si>
    <t>847.8470530.1.420310.000000.847015.200179</t>
  </si>
  <si>
    <t>847.8470530.1.420310.000000.847020.200179</t>
  </si>
  <si>
    <t>847.8470530.1.421000.000000.847010.200179</t>
  </si>
  <si>
    <t>421100</t>
  </si>
  <si>
    <t>Manpower supply "Other Than IT Related"</t>
  </si>
  <si>
    <t>847.8470530.1.421100.000000.847010.200179</t>
  </si>
  <si>
    <t>421600</t>
  </si>
  <si>
    <t>Security service</t>
  </si>
  <si>
    <t>847.8470530.1.421600.000000.847010.200179</t>
  </si>
  <si>
    <t>847.8470530.1.421600.000000.847015.200179</t>
  </si>
  <si>
    <t>847.8470530.1.421600.000000.847020.200179</t>
  </si>
  <si>
    <t>847.8470530.1.421600.000000.847030.200179</t>
  </si>
  <si>
    <t>847.8470530.1.421700.000000.847010.200179</t>
  </si>
  <si>
    <t>847.8470530.1.425510.000000.847010.200179</t>
  </si>
  <si>
    <t>847.8470530.1.425510.000000.847951.200179</t>
  </si>
  <si>
    <t>425747</t>
  </si>
  <si>
    <t>Student Accommodation</t>
  </si>
  <si>
    <t>847.8470530.1.425747.000000.847015.200179</t>
  </si>
  <si>
    <t>847.8470530.1.425900.000000.847010.200179</t>
  </si>
  <si>
    <t>426220</t>
  </si>
  <si>
    <t>Insurance - Fire and allied perils</t>
  </si>
  <si>
    <t>847.8470530.1.426220.000000.847010.200179</t>
  </si>
  <si>
    <t>847.8470530.1.426220.000000.847030.200179</t>
  </si>
  <si>
    <t>426250</t>
  </si>
  <si>
    <t>Insurance - Motor vehicles</t>
  </si>
  <si>
    <t>847.8470530.1.426250.000000.847010.200179</t>
  </si>
  <si>
    <t>847.8470530.1.428090.000000.847001.200179</t>
  </si>
  <si>
    <t>430110</t>
  </si>
  <si>
    <t>Rental - Land</t>
  </si>
  <si>
    <t>847.8470530.1.430110.000000.847020.200179</t>
  </si>
  <si>
    <t>432120</t>
  </si>
  <si>
    <t>Bldg maintenance-Business premises</t>
  </si>
  <si>
    <t>847.8470530.1.432120.000000.847010.200179</t>
  </si>
  <si>
    <t>847.8470530.1.432120.000000.847015.200179</t>
  </si>
  <si>
    <t>847.8470530.1.432120.000000.847020.200179</t>
  </si>
  <si>
    <t>847.8470530.1.432120.000000.847030.200179</t>
  </si>
  <si>
    <t>432170</t>
  </si>
  <si>
    <t>Bldg decoration &amp; minor improvements</t>
  </si>
  <si>
    <t>847.8470530.1.432170.000000.847010.200179</t>
  </si>
  <si>
    <t>432320</t>
  </si>
  <si>
    <t>Maintenance: Residential Furniture and fixtures</t>
  </si>
  <si>
    <t>847.8470530.1.432320.000000.847010.200179</t>
  </si>
  <si>
    <t>432540</t>
  </si>
  <si>
    <t>Motor vehicles (non-military)</t>
  </si>
  <si>
    <t>847.8470530.1.432540.000000.847010.200179</t>
  </si>
  <si>
    <t>435410</t>
  </si>
  <si>
    <t>Catering supplies: Offices</t>
  </si>
  <si>
    <t>847.8470530.1.435410.000000.847020.200179</t>
  </si>
  <si>
    <t>436340</t>
  </si>
  <si>
    <t>Sports and other recreational supplies: Students</t>
  </si>
  <si>
    <t>847.8470530.1.436340.000000.847001.200179</t>
  </si>
  <si>
    <t>8470540</t>
  </si>
  <si>
    <t>KUST - Administration</t>
  </si>
  <si>
    <t>847.8470540.1.421100.000000.847010.200179</t>
  </si>
  <si>
    <t>426800</t>
  </si>
  <si>
    <t>Motor vehicle registration and inspection charges</t>
  </si>
  <si>
    <t>847.8470540.1.426800.000000.847010.200179</t>
  </si>
  <si>
    <t>426900</t>
  </si>
  <si>
    <t>Postal, courier and other document delivery expenses</t>
  </si>
  <si>
    <t>847.8470540.1.426900.000000.847010.200179</t>
  </si>
  <si>
    <t>847.8470540.1.427710.000000.847001.200179</t>
  </si>
  <si>
    <t>428111</t>
  </si>
  <si>
    <t>Electricity consumption charges</t>
  </si>
  <si>
    <t>847.8470540.1.428111.000000.847010.200179</t>
  </si>
  <si>
    <t>847.8470540.1.428111.000000.847015.200179</t>
  </si>
  <si>
    <t>847.8470540.1.428111.000000.847020.200179</t>
  </si>
  <si>
    <t>847.8470540.1.428111.000000.847030.200179</t>
  </si>
  <si>
    <t>428112</t>
  </si>
  <si>
    <t>Water consumption charges</t>
  </si>
  <si>
    <t>847.8470540.1.428112.000000.847010.200179</t>
  </si>
  <si>
    <t>847.8470540.1.428112.000000.847015.200179</t>
  </si>
  <si>
    <t>847.8470540.1.428112.000000.847020.200179</t>
  </si>
  <si>
    <t>847.8470540.1.428112.000000.847030.200179</t>
  </si>
  <si>
    <t>429900</t>
  </si>
  <si>
    <t>Other services, not specifically mentioned elsewhere</t>
  </si>
  <si>
    <t>847.8470540.1.429900.000000.847010.200179</t>
  </si>
  <si>
    <t>430230</t>
  </si>
  <si>
    <t>Rental - Equipment</t>
  </si>
  <si>
    <t>847.8470540.1.430230.000000.847001.200179</t>
  </si>
  <si>
    <t>430330</t>
  </si>
  <si>
    <t>Rental - Motor vehicles</t>
  </si>
  <si>
    <t>847.8470540.1.430330.000000.847010.200179</t>
  </si>
  <si>
    <t>847.8470540.1.432120.000000.847010.200179</t>
  </si>
  <si>
    <t>847.8470540.1.432120.000000.847020.200179</t>
  </si>
  <si>
    <t>847.8470540.1.432540.000000.847010.200179</t>
  </si>
  <si>
    <t>847.8470540.1.435410.000000.847020.200179</t>
  </si>
  <si>
    <t>435740</t>
  </si>
  <si>
    <t>Fuel, oil and lubricants: Motor vehicles</t>
  </si>
  <si>
    <t>847.8470540.1.435740.000000.847010.200179</t>
  </si>
  <si>
    <t>847.8470540.1.436110.000000.847010.200179</t>
  </si>
  <si>
    <t>8470610</t>
  </si>
  <si>
    <t>KUST - VP/ Finance and Budget Office</t>
  </si>
  <si>
    <t>847.8470610.1.428090.000000.847001.200179</t>
  </si>
  <si>
    <t>8470620</t>
  </si>
  <si>
    <t>KUST - Finance Operations</t>
  </si>
  <si>
    <t>420130</t>
  </si>
  <si>
    <t>External Audit service</t>
  </si>
  <si>
    <t>847.8470620.1.420130.000000.847001.200179</t>
  </si>
  <si>
    <t>847.8470620.1.421100.000000.847001.200179</t>
  </si>
  <si>
    <t>422900</t>
  </si>
  <si>
    <t>Other specialised professional services, not mentioned elsewhere</t>
  </si>
  <si>
    <t>847.8470620.1.422900.000000.847001.200179</t>
  </si>
  <si>
    <t>425300</t>
  </si>
  <si>
    <t>Banking service charges / Fees</t>
  </si>
  <si>
    <t>847.8470620.1.425300.000000.847001.200179</t>
  </si>
  <si>
    <t>425350</t>
  </si>
  <si>
    <t>Fees for processing e-payments-e-Payment operation</t>
  </si>
  <si>
    <t>847.8470620.1.425350.000000.847001.200179</t>
  </si>
  <si>
    <t>847.8470620.1.425900.000000.847001.200179</t>
  </si>
  <si>
    <t>847.8470620.1.426610.000000.847001.200179</t>
  </si>
  <si>
    <t>847.8470620.1.436110.000000.847001.200179</t>
  </si>
  <si>
    <t>436120</t>
  </si>
  <si>
    <t>Stationery</t>
  </si>
  <si>
    <t>847.8470620.1.436120.000000.847001.200179</t>
  </si>
  <si>
    <t>8470720</t>
  </si>
  <si>
    <t>KUST - Procurement and Contracts</t>
  </si>
  <si>
    <t>847.8470720.1.421000.000000.847001.200179</t>
  </si>
  <si>
    <t>847.8470720.1.421700.000000.847001.200179</t>
  </si>
  <si>
    <t>847.8470720.1.426610.000000.847001.200179</t>
  </si>
  <si>
    <t>847.8470720.1.426900.000000.847001.200179</t>
  </si>
  <si>
    <t>847.8470720.1.428200.000000.847001.200179</t>
  </si>
  <si>
    <t>847.8470720.1.432120.000000.847001.200179</t>
  </si>
  <si>
    <t>847.8470720.1.435410.000000.847001.200179</t>
  </si>
  <si>
    <t>847.8470720.1.436110.000000.847001.200179</t>
  </si>
  <si>
    <t>847.8470720.1.436120.000000.847001.200179</t>
  </si>
  <si>
    <t>8470730</t>
  </si>
  <si>
    <t>KUST - Human Resources</t>
  </si>
  <si>
    <t>847.8470730.1.421000.000000.847001.200179</t>
  </si>
  <si>
    <t>847.8470730.1.425510.000000.847001.200179</t>
  </si>
  <si>
    <t>847.8470730.1.425900.000000.847001.200179</t>
  </si>
  <si>
    <t>847.8470730.1.426610.000000.847001.200179</t>
  </si>
  <si>
    <t>427900</t>
  </si>
  <si>
    <t>Translation and interpretation service</t>
  </si>
  <si>
    <t>847.8470730.1.427900.000000.847001.200179</t>
  </si>
  <si>
    <t>847.8470730.1.428090.000000.847001.200179</t>
  </si>
  <si>
    <t>847.8470730.1.428640.000000.847001.200179</t>
  </si>
  <si>
    <t>847.8470730.1.436110.000000.847001.200179</t>
  </si>
  <si>
    <t>8470810</t>
  </si>
  <si>
    <t>KUST - Ankabut office</t>
  </si>
  <si>
    <t>420810</t>
  </si>
  <si>
    <t>Maintenance: IT Systems &amp; Support expenses</t>
  </si>
  <si>
    <t>847.8470810.1.420810.000000.847001.200179</t>
  </si>
  <si>
    <t>420811</t>
  </si>
  <si>
    <t>IT Systems &amp; Support expenses-Application/Systems Operation</t>
  </si>
  <si>
    <t>847.8470810.1.420811.000000.847001.200179</t>
  </si>
  <si>
    <t>847.8470810.1.421100.000000.847001.200179</t>
  </si>
  <si>
    <t>847.8470810.1.426610.000000.847001.200179</t>
  </si>
  <si>
    <t>427810</t>
  </si>
  <si>
    <t>Telephone and telefax charges-Telecommunication, Satellite services</t>
  </si>
  <si>
    <t>847.8470810.1.427810.000000.847001.200179</t>
  </si>
  <si>
    <t>427850</t>
  </si>
  <si>
    <t>Data Transmission charges-Data Transmission charges</t>
  </si>
  <si>
    <t>847.8470810.1.427850.000000.847001.200179</t>
  </si>
  <si>
    <t>847.8470810.1.428090.000000.847001.200179</t>
  </si>
  <si>
    <t>847.8470810.1.430230.000000.847001.200179</t>
  </si>
  <si>
    <t>430250</t>
  </si>
  <si>
    <t>Rental - Computer hardware-Rental/Subscription - Computer hardware</t>
  </si>
  <si>
    <t>847.8470810.1.430250.000000.847001.200179</t>
  </si>
  <si>
    <t>847.8470810.1.432205.000000.847001.200179</t>
  </si>
  <si>
    <t>432226</t>
  </si>
  <si>
    <t>Computers and peripherals-Printers maintenance and support</t>
  </si>
  <si>
    <t>847.8470810.1.432226.000000.847001.200179</t>
  </si>
  <si>
    <t>847.8470810.1.436110.000000.847001.200179</t>
  </si>
  <si>
    <t>8471010</t>
  </si>
  <si>
    <t>KUST - Continuing Education Office</t>
  </si>
  <si>
    <t>847.8471010.1.425100.000000.847001.200179</t>
  </si>
  <si>
    <t>847.8471010.1.425510.000000.847001.200179</t>
  </si>
  <si>
    <t>847.8471010.1.425550.000000.847001.200179</t>
  </si>
  <si>
    <t>847.8471010.1.425720.000000.847001.200179</t>
  </si>
  <si>
    <t>847.8471010.1.425900.000000.847001.200179</t>
  </si>
  <si>
    <t>847.8471010.1.436110.000000.847001.200179</t>
  </si>
  <si>
    <t>847.8471010.1.436120.000000.847001.200179</t>
  </si>
  <si>
    <t>8471110</t>
  </si>
  <si>
    <t>KUST - SVP/ Research &amp; Development Office</t>
  </si>
  <si>
    <t>847.8471110.1.425900.000000.847001.200179</t>
  </si>
  <si>
    <t>847.8471110.1.427710.000000.847001.200179</t>
  </si>
  <si>
    <t>847.8471110.1.428090.000000.847001.200179</t>
  </si>
  <si>
    <t>847.8471110.1.435508.000000.847001.200179</t>
  </si>
  <si>
    <t>8471120</t>
  </si>
  <si>
    <t>KUST - Institute for Automation, Information Science &amp; Communication</t>
  </si>
  <si>
    <t>847.8471120.1.425900.000000.847001.200179</t>
  </si>
  <si>
    <t>847.8471120.1.428090.000000.847001.200179</t>
  </si>
  <si>
    <t>847.8471120.1.429900.000000.847001.200179</t>
  </si>
  <si>
    <t>847.8471120.1.435523.000000.847001.200179</t>
  </si>
  <si>
    <t>8471121</t>
  </si>
  <si>
    <t>KUST - Petroleum Institute</t>
  </si>
  <si>
    <t>847.8471121.1.425510.000000.847001.200179</t>
  </si>
  <si>
    <t>847.8471121.1.425900.000000.847001.200179</t>
  </si>
  <si>
    <t>847.8471121.1.428090.000000.847001.200179</t>
  </si>
  <si>
    <t>847.8471121.1.432170.000000.847001.200179</t>
  </si>
  <si>
    <t>847.8471121.1.435523.000000.847001.200179</t>
  </si>
  <si>
    <t>8471122</t>
  </si>
  <si>
    <t>KUST - Masdar Institute</t>
  </si>
  <si>
    <t>847.8471122.1.425900.000000.847001.200179</t>
  </si>
  <si>
    <t>847.8471122.1.428090.000000.847001.200179</t>
  </si>
  <si>
    <t>8471130</t>
  </si>
  <si>
    <t>KUST - Research Service</t>
  </si>
  <si>
    <t>847.8471130.1.420811.000000.847001.200179</t>
  </si>
  <si>
    <t>847.8471130.1.426610.000000.847001.200179</t>
  </si>
  <si>
    <t>847.8471130.1.427900.000000.847001.200179</t>
  </si>
  <si>
    <t>847.8471130.1.428090.000000.847001.200179</t>
  </si>
  <si>
    <t>847.8471130.1.435523.000000.847001.200179</t>
  </si>
  <si>
    <t>8471140</t>
  </si>
  <si>
    <t>KUST - University Sponsored Research</t>
  </si>
  <si>
    <t>847.8471140.1.420570.000000.847001.200179</t>
  </si>
  <si>
    <t>847.8471140.1.428090.000000.847001.200179</t>
  </si>
  <si>
    <t>847.8471140.1.435523.000000.847001.200179</t>
  </si>
  <si>
    <t>8471150</t>
  </si>
  <si>
    <t>KUST - Technology Management &amp; Innovation</t>
  </si>
  <si>
    <t>847.8471150.1.420900.000000.847001.200179</t>
  </si>
  <si>
    <t>847.8471150.1.425510.000000.847001.200179</t>
  </si>
  <si>
    <t>847.8471150.1.425550.000000.847001.200179</t>
  </si>
  <si>
    <t>847.8471150.1.425900.000000.847001.200179</t>
  </si>
  <si>
    <t>847.8471150.1.426610.000000.847001.200179</t>
  </si>
  <si>
    <t>847.8471150.1.428090.000000.847001.200179</t>
  </si>
  <si>
    <t>8471160</t>
  </si>
  <si>
    <t>KUST - Research Laboratories</t>
  </si>
  <si>
    <t>847.8471160.1.420810.000000.847001.200179</t>
  </si>
  <si>
    <t>847.8471160.1.420811.000000.847001.200179</t>
  </si>
  <si>
    <t>422100</t>
  </si>
  <si>
    <t>Waste management service</t>
  </si>
  <si>
    <t>847.8471160.1.422100.000000.847001.200179</t>
  </si>
  <si>
    <t>847.8471160.1.426610.000000.847001.200179</t>
  </si>
  <si>
    <t>847.8471160.1.432209.000000.847001.200179</t>
  </si>
  <si>
    <t>847.8471160.1.435508.000000.847001.200179</t>
  </si>
  <si>
    <t>847.8471160.1.436600.000000.847001.200179</t>
  </si>
  <si>
    <t>8471170</t>
  </si>
  <si>
    <t>KUST - Research Computing</t>
  </si>
  <si>
    <t>847.8471170.1.420810.000000.847001.200179</t>
  </si>
  <si>
    <t>847.8471170.1.420811.000000.847001.200179</t>
  </si>
  <si>
    <t>847.8471170.1.425900.000000.847001.200179</t>
  </si>
  <si>
    <t>847.8471170.1.426610.000000.847001.200179</t>
  </si>
  <si>
    <t>847.8471170.1.428090.000000.847001.200179</t>
  </si>
  <si>
    <t>8471210</t>
  </si>
  <si>
    <t>KUST - SVP/ Academic &amp; Student Services Office</t>
  </si>
  <si>
    <t>847.8471210.1.425900.000000.847001.200179</t>
  </si>
  <si>
    <t>847.8471210.1.428090.000000.847001.200179</t>
  </si>
  <si>
    <t>847.8471210.1.428640.000000.847001.200179</t>
  </si>
  <si>
    <t>435530</t>
  </si>
  <si>
    <t>School consumables, not specifically mentioned elsewhere</t>
  </si>
  <si>
    <t>847.8471210.1.435530.000000.847001.200179</t>
  </si>
  <si>
    <t>8471220</t>
  </si>
  <si>
    <t>KUST - Registrar</t>
  </si>
  <si>
    <t>847.8471220.1.425510.000000.847001.200179</t>
  </si>
  <si>
    <t>425741</t>
  </si>
  <si>
    <t>Student stipend</t>
  </si>
  <si>
    <t>847.8471220.1.425741.000000.847001.200179</t>
  </si>
  <si>
    <t>847.8471220.1.425745.000000.847001.200179</t>
  </si>
  <si>
    <t>847.8471220.1.426900.000000.847001.200179</t>
  </si>
  <si>
    <t>847.8471220.1.435340.000000.847001.200179</t>
  </si>
  <si>
    <t>847.8471220.1.436110.000000.847001.200179</t>
  </si>
  <si>
    <t>847.8471220.1.436120.000000.847001.200179</t>
  </si>
  <si>
    <t>8471230</t>
  </si>
  <si>
    <t>KUST - Student Enrollment</t>
  </si>
  <si>
    <t>425742</t>
  </si>
  <si>
    <t>Enrollment expenses</t>
  </si>
  <si>
    <t>847.8471230.1.425742.000000.847001.200179</t>
  </si>
  <si>
    <t>847.8471230.1.426610.000000.847001.200179</t>
  </si>
  <si>
    <t>8471240</t>
  </si>
  <si>
    <t>KUST - Student Success</t>
  </si>
  <si>
    <t>847.8471240.1.425510.000000.847001.200179</t>
  </si>
  <si>
    <t>847.8471240.1.425720.000000.847001.200179</t>
  </si>
  <si>
    <t>425750</t>
  </si>
  <si>
    <t>Skill assessment service</t>
  </si>
  <si>
    <t>847.8471240.1.425750.000000.847001.200179</t>
  </si>
  <si>
    <t>847.8471240.1.425761.000000.847001.200179</t>
  </si>
  <si>
    <t>847.8471240.1.425900.000000.847001.200179</t>
  </si>
  <si>
    <t>847.8471240.1.426610.000000.847001.200179</t>
  </si>
  <si>
    <t>847.8471240.1.427710.000000.847001.200179</t>
  </si>
  <si>
    <t>847.8471240.1.428090.000000.847001.200179</t>
  </si>
  <si>
    <t>847.8471240.1.428640.000000.847001.200179</t>
  </si>
  <si>
    <t>435330</t>
  </si>
  <si>
    <t>Library books</t>
  </si>
  <si>
    <t>847.8471240.1.435330.000000.847001.200179</t>
  </si>
  <si>
    <t>847.8471240.1.436110.000000.847001.200179</t>
  </si>
  <si>
    <t>847.8471240.1.436120.000000.847001.200179</t>
  </si>
  <si>
    <t>8471250</t>
  </si>
  <si>
    <t>KUST - Career Services</t>
  </si>
  <si>
    <t>847.8471250.1.425510.000000.847001.200179</t>
  </si>
  <si>
    <t>847.8471250.1.425720.000000.847001.200179</t>
  </si>
  <si>
    <t>847.8471250.1.425761.000000.847001.200179</t>
  </si>
  <si>
    <t>847.8471250.1.425762.000000.847001.200179</t>
  </si>
  <si>
    <t>847.8471250.1.425900.000000.847001.200179</t>
  </si>
  <si>
    <t>847.8471250.1.426610.000000.847001.200179</t>
  </si>
  <si>
    <t>847.8471250.1.428090.000000.847001.200179</t>
  </si>
  <si>
    <t>847.8471250.1.428640.000000.847001.200179</t>
  </si>
  <si>
    <t>847.8471250.1.436110.000000.847001.200179</t>
  </si>
  <si>
    <t>8471260</t>
  </si>
  <si>
    <t>KUST - Student Life</t>
  </si>
  <si>
    <t>847.8471260.1.421100.000000.847001.200179</t>
  </si>
  <si>
    <t>847.8471260.1.425510.000000.847001.200179</t>
  </si>
  <si>
    <t>847.8471260.1.425720.000000.847001.200179</t>
  </si>
  <si>
    <t>425746</t>
  </si>
  <si>
    <t>Student Transport</t>
  </si>
  <si>
    <t>847.8471260.1.425746.000000.847001.200179</t>
  </si>
  <si>
    <t>847.8471260.1.425747.000000.847001.200179</t>
  </si>
  <si>
    <t>847.8471260.1.425760.000000.847001.200179</t>
  </si>
  <si>
    <t>847.8471260.1.425900.000000.847001.200179</t>
  </si>
  <si>
    <t>847.8471260.1.428640.000000.847001.200179</t>
  </si>
  <si>
    <t>847.8471260.1.435530.000000.847001.200179</t>
  </si>
  <si>
    <t>847.8471260.1.436110.000000.847001.200179</t>
  </si>
  <si>
    <t>8471270</t>
  </si>
  <si>
    <t>KUST - Libraries</t>
  </si>
  <si>
    <t>847.8471270.1.425900.000000.847001.200179</t>
  </si>
  <si>
    <t>847.8471270.1.428090.000000.847001.200179</t>
  </si>
  <si>
    <t>847.8471270.1.435330.000000.847001.200179</t>
  </si>
  <si>
    <t>847.8471270.1.436110.000000.847001.200179</t>
  </si>
  <si>
    <t>8471280</t>
  </si>
  <si>
    <t>KUST - Center for Teaching &amp; Learning</t>
  </si>
  <si>
    <t>847.8471280.1.425100.000000.847001.200179</t>
  </si>
  <si>
    <t>847.8471280.1.425510.000000.847001.200179</t>
  </si>
  <si>
    <t>847.8471280.1.425550.000000.847001.200179</t>
  </si>
  <si>
    <t>425710</t>
  </si>
  <si>
    <t>Higher education and specialisation incentives</t>
  </si>
  <si>
    <t>847.8471280.1.425710.000000.847001.200179</t>
  </si>
  <si>
    <t>847.8471280.1.425760.000000.847001.200179</t>
  </si>
  <si>
    <t>847.8471280.1.425770.000000.847001.200179</t>
  </si>
  <si>
    <t>847.8471280.1.426610.000000.847001.200179</t>
  </si>
  <si>
    <t>847.8471280.1.428640.000000.847001.200179</t>
  </si>
  <si>
    <t>847.8471280.1.432170.000000.847001.200179</t>
  </si>
  <si>
    <t>847.8471280.1.435340.000000.847001.200179</t>
  </si>
  <si>
    <t>847.8471280.1.435530.000000.847001.200179</t>
  </si>
  <si>
    <t>8471305</t>
  </si>
  <si>
    <t>KUST - Dean Of Medicine</t>
  </si>
  <si>
    <t>847.8471305.1.420570.000000.847001.200179</t>
  </si>
  <si>
    <t>847.8471305.1.420810.000000.847001.200179</t>
  </si>
  <si>
    <t>847.8471305.1.420811.000000.847001.200179</t>
  </si>
  <si>
    <t>847.8471305.1.421000.000000.847001.200179</t>
  </si>
  <si>
    <t>847.8471305.1.421700.000000.847001.200179</t>
  </si>
  <si>
    <t>847.8471305.1.422100.000000.847001.200179</t>
  </si>
  <si>
    <t>847.8471305.1.425510.000000.847001.200179</t>
  </si>
  <si>
    <t>847.8471305.1.425550.000000.847001.200179</t>
  </si>
  <si>
    <t>847.8471305.1.425720.000000.847001.200179</t>
  </si>
  <si>
    <t>847.8471305.1.425742.000000.847001.200179</t>
  </si>
  <si>
    <t>847.8471305.1.425744.000000.847001.200179</t>
  </si>
  <si>
    <t>847.8471305.1.425745.000000.847001.200179</t>
  </si>
  <si>
    <t>847.8471305.1.425746.000000.847001.200179</t>
  </si>
  <si>
    <t>847.8471305.1.425749.000000.847001.200179</t>
  </si>
  <si>
    <t>847.8471305.1.425750.000000.847001.200179</t>
  </si>
  <si>
    <t>847.8471305.1.425762.000000.847001.200179</t>
  </si>
  <si>
    <t>847.8471305.1.425763.000000.847001.200179</t>
  </si>
  <si>
    <t>847.8471305.1.425900.000000.847001.200179</t>
  </si>
  <si>
    <t>847.8471305.1.426100.000000.847001.200179</t>
  </si>
  <si>
    <t>847.8471305.1.426610.000000.847001.200179</t>
  </si>
  <si>
    <t>847.8471305.1.426900.000000.847001.200179</t>
  </si>
  <si>
    <t>847.8471305.1.427200.000000.847001.200179</t>
  </si>
  <si>
    <t>847.8471305.1.427710.000000.847001.200179</t>
  </si>
  <si>
    <t>847.8471305.1.427810.000000.847001.200179</t>
  </si>
  <si>
    <t>847.8471305.1.428090.000000.847001.200179</t>
  </si>
  <si>
    <t>847.8471305.1.428640.000000.847001.200179</t>
  </si>
  <si>
    <t>847.8471305.1.432205.000000.847001.200179</t>
  </si>
  <si>
    <t>847.8471305.1.432209.000000.847001.200179</t>
  </si>
  <si>
    <t>432210</t>
  </si>
  <si>
    <t>Medical equipment</t>
  </si>
  <si>
    <t>847.8471305.1.432210.000000.847001.200179</t>
  </si>
  <si>
    <t>847.8471305.1.435330.000000.847001.200179</t>
  </si>
  <si>
    <t>847.8471305.1.435340.000000.847001.200179</t>
  </si>
  <si>
    <t>847.8471305.1.435350.000000.847001.200179</t>
  </si>
  <si>
    <t>847.8471305.1.435508.000000.847001.200179</t>
  </si>
  <si>
    <t>847.8471305.1.435530.000000.847001.200179</t>
  </si>
  <si>
    <t>847.8471305.1.436110.000000.847001.200179</t>
  </si>
  <si>
    <t>847.8471305.1.436120.000000.847001.200179</t>
  </si>
  <si>
    <t>847.8471305.1.436600.000000.847001.200179</t>
  </si>
  <si>
    <t>Budget performance - Capex</t>
  </si>
  <si>
    <t>492316</t>
  </si>
  <si>
    <t>847.8470110.1.492316.000000.847001.300180</t>
  </si>
  <si>
    <t>495113</t>
  </si>
  <si>
    <t>Computer software-Application, Platform</t>
  </si>
  <si>
    <t>847.8470120.1.495113.000000.847001.300180</t>
  </si>
  <si>
    <t>492310</t>
  </si>
  <si>
    <t>Hardware &amp; peripherals</t>
  </si>
  <si>
    <t>847.8470140.1.492310.000000.847001.300180</t>
  </si>
  <si>
    <t>847.8470230.1.492310.000000.847001.300180</t>
  </si>
  <si>
    <t>847.8470310.1.492316.000000.847001.300180</t>
  </si>
  <si>
    <t>847.8470315.1.492316.000000.847001.300180</t>
  </si>
  <si>
    <t>847.8470320.1.492316.000000.847001.300180</t>
  </si>
  <si>
    <t>495140</t>
  </si>
  <si>
    <t>Copyrights, patents and licenses</t>
  </si>
  <si>
    <t>847.8470320.1.495140.000000.847001.300180</t>
  </si>
  <si>
    <t>847.8470325.1.492316.000000.847001.300180</t>
  </si>
  <si>
    <t>847.8470330.1.492316.000000.847001.300180</t>
  </si>
  <si>
    <t>847.8470335.1.492316.000000.847001.300180</t>
  </si>
  <si>
    <t>847.8470340.1.492316.000000.847001.300180</t>
  </si>
  <si>
    <t>847.8470345.1.492316.000000.847001.300180</t>
  </si>
  <si>
    <t>847.8470350.1.492316.000000.847001.300180</t>
  </si>
  <si>
    <t>847.8470415.1.492316.000000.847001.300180</t>
  </si>
  <si>
    <t>847.8470425.1.492310.000000.847001.300180</t>
  </si>
  <si>
    <t>847.8470425.1.492316.000000.847001.300180</t>
  </si>
  <si>
    <t>847.8470450.1.492310.000000.847001.300180</t>
  </si>
  <si>
    <t>847.8470450.1.492316.000000.847001.300180</t>
  </si>
  <si>
    <t>847.8470455.1.492316.000000.847001.300180</t>
  </si>
  <si>
    <t>847.8470520.1.492316.000000.847001.300180</t>
  </si>
  <si>
    <t>492200</t>
  </si>
  <si>
    <t>Capital expense - Buildings</t>
  </si>
  <si>
    <t>847.8470530.1.492200.000000.847001.300180</t>
  </si>
  <si>
    <t>847.8470530.1.492200.000000.847010.300180</t>
  </si>
  <si>
    <t>847.8470530.1.492200.000000.847015.300180</t>
  </si>
  <si>
    <t>847.8470530.1.492200.000000.847020.300180</t>
  </si>
  <si>
    <t>492610</t>
  </si>
  <si>
    <t>Furniture &amp; Fixtures - Offices</t>
  </si>
  <si>
    <t>847.8470530.1.492610.000000.847010.300180</t>
  </si>
  <si>
    <t>847.8470530.1.492610.000000.847015.300180</t>
  </si>
  <si>
    <t>847.8470530.1.492610.000000.847020.300180</t>
  </si>
  <si>
    <t>847.8470530.1.495113.000000.847010.300180</t>
  </si>
  <si>
    <t>847.8470530.1.495140.000000.847010.300180</t>
  </si>
  <si>
    <t>495110</t>
  </si>
  <si>
    <t>Computer software</t>
  </si>
  <si>
    <t>847.8470720.1.495110.000000.847001.300180</t>
  </si>
  <si>
    <t>847.8470720.1.495113.000000.847001.300180</t>
  </si>
  <si>
    <t>847.8470730.1.492610.000000.847001.300180</t>
  </si>
  <si>
    <t>847.8470810.1.492310.000000.847001.300180</t>
  </si>
  <si>
    <t>492352</t>
  </si>
  <si>
    <t>Hardware &amp; peripherals-Network Devices</t>
  </si>
  <si>
    <t>847.8470810.1.492352.000000.847001.300180</t>
  </si>
  <si>
    <t>492354</t>
  </si>
  <si>
    <t>Hardware &amp; peripherals-Peripherals &amp; Infrastructure Components</t>
  </si>
  <si>
    <t>847.8470810.1.492354.000000.847001.300180</t>
  </si>
  <si>
    <t>492356</t>
  </si>
  <si>
    <t>Hardware &amp; peripherals-Conferencing &amp; AV</t>
  </si>
  <si>
    <t>847.8470810.1.492356.000000.847001.300180</t>
  </si>
  <si>
    <t>847.8470810.1.495110.000000.847001.300180</t>
  </si>
  <si>
    <t>847.8470810.1.495113.000000.847001.300180</t>
  </si>
  <si>
    <t>847.8471110.1.492316.000000.847001.300180</t>
  </si>
  <si>
    <t>847.8471140.1.492316.000000.847001.300180</t>
  </si>
  <si>
    <t>847.8471160.1.492200.000000.847001.300180</t>
  </si>
  <si>
    <t>847.8471160.1.492316.000000.847001.300180</t>
  </si>
  <si>
    <t>847.8471170.1.492316.000000.847001.300180</t>
  </si>
  <si>
    <t>847.8471170.1.495110.000000.847001.300180</t>
  </si>
  <si>
    <t>847.8471170.1.495113.000000.847001.300180</t>
  </si>
  <si>
    <t>847.8471280.1.492316.000000.847001.300180</t>
  </si>
  <si>
    <t>847.8471305.1.492310.000000.847001.300180</t>
  </si>
  <si>
    <t>847.8471305.1.492316.000000.847001.300180</t>
  </si>
  <si>
    <t>847.8471305.1.492610.000000.847001.300180</t>
  </si>
  <si>
    <t>847.8471305.1.495140.000000.847001.300180</t>
  </si>
  <si>
    <t>Budget Surplus Amount</t>
  </si>
  <si>
    <t>Expected Surplus Justification</t>
  </si>
  <si>
    <t>Q4 Budget Surplus Amount</t>
  </si>
  <si>
    <t xml:space="preserve">Third quarter reflected 219,065.42 and 118,242.42 utilized.  Laboratories were not approved by Civil Defence which resulted in delays and limited operations. </t>
  </si>
  <si>
    <t>Third quarter reflected 12,308 AED, 96, 746.52 returned once processed and CAPEX closed.  GRN delays resulted in some cost shift into 2023.</t>
  </si>
  <si>
    <t xml:space="preserve">Extra budget planned for movment cost </t>
  </si>
  <si>
    <t xml:space="preserve">AP </t>
  </si>
  <si>
    <t xml:space="preserve"> opened PO's with approved GRN which is not received in 2022 so returned back to account and payments proceeded in 2023</t>
  </si>
  <si>
    <t xml:space="preserve">The PR was submitted based on the costing provided by the Contractor on the estimate requirements against each Course submitted 10-12 weeks in advance, but payments processed only against actual spend. 
The usage always depends on number of textbooks distributed and number of ebooks usage by students, which reduced the spend. 
</t>
  </si>
  <si>
    <t xml:space="preserve">Wiley Open access PO was on hold due to lack of agreement signed by the procurement department with Wiley Publisher as a result, PO 8472109543 was retured an amount of 300,000 AED credited back and lost.  That’s the reason for the surplus budget. </t>
  </si>
  <si>
    <t>“The spreadsheet refers to Capex. The underspend comes from the negotiations with the vendor resulting in a lower price than the original quotation. Under KU rules, we were not able to spend the ‘underspend’ since it arose after the early deadline for spending Capex.”</t>
  </si>
  <si>
    <t>For attached indicated RL CAPEX budget surplus of AED 280,246.15 for Q4 2022 I’m not aware how this occurred as it was agreed all remaining CAPEX was to transferred after the contractual payment was made for the glovebox facility.</t>
  </si>
  <si>
    <r>
      <t xml:space="preserve">Therefore could the surplus have resulted from CAPEX PRs that were subsequently cancelled by Finance in December 2022? For example, was not aware at the time, the PR raised for Arzanah gas lines was cancelled with its value being </t>
    </r>
    <r>
      <rPr>
        <sz val="12"/>
        <color rgb="FF000000"/>
        <rFont val="Symbol"/>
        <family val="1"/>
        <charset val="2"/>
      </rPr>
      <t>~</t>
    </r>
    <r>
      <rPr>
        <sz val="12"/>
        <color rgb="FF000000"/>
        <rFont val="Times New Roman"/>
        <family val="1"/>
      </rPr>
      <t>AED 250,000. Therefore is it possible to advise if the budget surplus is a result of cancelled CAPEX PRs from December 2022.</t>
    </r>
  </si>
  <si>
    <t>Row Labels</t>
  </si>
  <si>
    <t>Grand Total</t>
  </si>
  <si>
    <t xml:space="preserve"> Revised Budget</t>
  </si>
  <si>
    <t xml:space="preserve"> Actual Amount</t>
  </si>
  <si>
    <t>2022 Budget Summary</t>
  </si>
  <si>
    <t>Chapter Name</t>
  </si>
  <si>
    <t>Encumbrances / commitments</t>
  </si>
  <si>
    <t>Surplus</t>
  </si>
  <si>
    <t>1 Personnel Costs</t>
  </si>
  <si>
    <t>2 Other Operating Costs</t>
  </si>
  <si>
    <t>3 Capital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</si>
</sst>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ont>
    <font>
      <sz val="11"/>
      <color theme="1"/>
      <name val="Calibri"/>
      <family val="2"/>
      <scheme val="minor"/>
    </font>
    <font>
      <sz val="11"/>
      <color theme="1"/>
      <name val="Calibri"/>
      <family val="2"/>
      <scheme val="minor"/>
    </font>
    <font>
      <sz val="8"/>
      <color theme="1"/>
      <name val="Calibri"/>
      <family val="2"/>
    </font>
    <font>
      <sz val="11"/>
      <color theme="1"/>
      <name val="Calibri"/>
      <family val="2"/>
    </font>
    <font>
      <sz val="11"/>
      <color theme="1"/>
      <name val="Calibri"/>
      <family val="2"/>
    </font>
    <font>
      <b/>
      <sz val="11"/>
      <color rgb="FF333399"/>
      <name val="Calibri"/>
      <family val="2"/>
    </font>
    <font>
      <sz val="8"/>
      <color theme="1"/>
      <name val="Helvetica"/>
    </font>
    <font>
      <b/>
      <sz val="8"/>
      <color theme="1"/>
      <name val="Helvetica"/>
    </font>
    <font>
      <sz val="6"/>
      <color theme="1"/>
      <name val="Helvetica"/>
    </font>
    <font>
      <b/>
      <sz val="8"/>
      <color theme="1"/>
      <name val="Calibri"/>
      <family val="2"/>
    </font>
    <font>
      <sz val="10"/>
      <color theme="1"/>
      <name val="Calibri"/>
      <family val="2"/>
      <scheme val="minor"/>
    </font>
    <font>
      <sz val="8"/>
      <color theme="1"/>
      <name val="Calibri"/>
      <family val="2"/>
    </font>
    <font>
      <sz val="12"/>
      <color rgb="FF000000"/>
      <name val="Times New Roman"/>
      <family val="1"/>
    </font>
    <font>
      <sz val="12"/>
      <color rgb="FF000000"/>
      <name val="Symbol"/>
      <family val="1"/>
      <charset val="2"/>
    </font>
    <font>
      <b/>
      <sz val="11"/>
      <color rgb="FF333399"/>
      <name val="Helvetica"/>
      <family val="2"/>
    </font>
    <font>
      <sz val="9"/>
      <color theme="1"/>
      <name val="Calibri"/>
      <family val="2"/>
    </font>
    <font>
      <b/>
      <sz val="9"/>
      <color theme="1"/>
      <name val="Calibri"/>
      <family val="2"/>
    </font>
  </fonts>
  <fills count="8">
    <fill>
      <patternFill patternType="none"/>
    </fill>
    <fill>
      <patternFill patternType="gray125"/>
    </fill>
    <fill>
      <patternFill patternType="solid">
        <fgColor rgb="FFF0F4FA"/>
      </patternFill>
    </fill>
    <fill>
      <patternFill patternType="solid">
        <fgColor rgb="FFFFFFFF"/>
      </patternFill>
    </fill>
    <fill>
      <patternFill patternType="solid">
        <fgColor rgb="FF92D050"/>
        <bgColor indexed="64"/>
      </patternFill>
    </fill>
    <fill>
      <patternFill patternType="solid">
        <fgColor rgb="FF00B0F0"/>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right/>
      <top style="thin">
        <color rgb="FF000000"/>
      </top>
      <bottom style="thin">
        <color rgb="FF000000"/>
      </bottom>
      <diagonal/>
    </border>
    <border>
      <left style="thin">
        <color rgb="FF979991"/>
      </left>
      <right/>
      <top style="thin">
        <color rgb="FF979991"/>
      </top>
      <bottom style="thin">
        <color rgb="FF979991"/>
      </bottom>
      <diagonal/>
    </border>
    <border>
      <left/>
      <right/>
      <top/>
      <bottom style="thin">
        <color rgb="FF000000"/>
      </bottom>
      <diagonal/>
    </border>
    <border>
      <left style="thin">
        <color rgb="FF979991"/>
      </left>
      <right/>
      <top style="thin">
        <color rgb="FF979991"/>
      </top>
      <bottom/>
      <diagonal/>
    </border>
    <border>
      <left style="thin">
        <color rgb="FF979991"/>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43" fontId="4" fillId="0" borderId="0" applyFont="0" applyFill="0" applyBorder="0" applyAlignment="0" applyProtection="0"/>
    <xf numFmtId="0" fontId="5"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cellStyleXfs>
  <cellXfs count="66">
    <xf numFmtId="0" fontId="0" fillId="0" borderId="0" xfId="0"/>
    <xf numFmtId="0" fontId="0" fillId="0" borderId="0" xfId="0" applyAlignment="1">
      <alignment horizontal="center" vertical="top" wrapText="1"/>
    </xf>
    <xf numFmtId="0" fontId="3" fillId="3" borderId="3" xfId="0" applyFont="1" applyFill="1" applyBorder="1" applyAlignment="1">
      <alignment horizontal="left" vertical="top" wrapText="1"/>
    </xf>
    <xf numFmtId="3" fontId="3" fillId="3" borderId="3" xfId="0" applyNumberFormat="1" applyFont="1" applyFill="1" applyBorder="1" applyAlignment="1">
      <alignment horizontal="right" vertical="top" wrapText="1"/>
    </xf>
    <xf numFmtId="0" fontId="0" fillId="3" borderId="3" xfId="0" applyFill="1" applyBorder="1" applyAlignment="1">
      <alignment horizontal="right" vertical="top" wrapText="1"/>
    </xf>
    <xf numFmtId="0" fontId="6" fillId="0" borderId="0" xfId="0" applyFont="1" applyAlignment="1">
      <alignment horizontal="left" vertical="top" wrapText="1"/>
    </xf>
    <xf numFmtId="0" fontId="3" fillId="3" borderId="4" xfId="0" applyFont="1" applyFill="1" applyBorder="1" applyAlignment="1">
      <alignment vertical="top"/>
    </xf>
    <xf numFmtId="0" fontId="3" fillId="3" borderId="5" xfId="0" applyFont="1" applyFill="1" applyBorder="1" applyAlignment="1">
      <alignment vertical="top"/>
    </xf>
    <xf numFmtId="0" fontId="5" fillId="0" borderId="0" xfId="2"/>
    <xf numFmtId="0" fontId="7" fillId="2" borderId="1" xfId="2" applyFont="1" applyFill="1" applyBorder="1" applyAlignment="1">
      <alignment horizontal="left" vertical="top" wrapText="1"/>
    </xf>
    <xf numFmtId="0" fontId="7" fillId="3" borderId="3" xfId="2" applyFont="1" applyFill="1" applyBorder="1" applyAlignment="1">
      <alignment horizontal="left" vertical="top" wrapText="1"/>
    </xf>
    <xf numFmtId="3" fontId="7" fillId="3" borderId="3" xfId="2" applyNumberFormat="1" applyFont="1" applyFill="1" applyBorder="1" applyAlignment="1">
      <alignment horizontal="right" vertical="top" wrapText="1"/>
    </xf>
    <xf numFmtId="0" fontId="5" fillId="3" borderId="3" xfId="2" applyFill="1" applyBorder="1" applyAlignment="1">
      <alignment horizontal="right" vertical="top" wrapText="1"/>
    </xf>
    <xf numFmtId="0" fontId="5" fillId="2" borderId="2" xfId="2" applyFill="1" applyBorder="1" applyAlignment="1">
      <alignment horizontal="left" vertical="top" wrapText="1"/>
    </xf>
    <xf numFmtId="3" fontId="8" fillId="2" borderId="0" xfId="2" applyNumberFormat="1" applyFont="1" applyFill="1" applyAlignment="1">
      <alignment horizontal="right" vertical="top" wrapText="1"/>
    </xf>
    <xf numFmtId="43" fontId="0" fillId="0" borderId="0" xfId="1" applyFont="1"/>
    <xf numFmtId="0" fontId="10" fillId="2" borderId="7" xfId="0" applyFont="1" applyFill="1" applyBorder="1" applyAlignment="1">
      <alignment horizontal="left" vertical="center" wrapText="1"/>
    </xf>
    <xf numFmtId="43" fontId="0" fillId="3" borderId="7" xfId="1" applyFont="1" applyFill="1" applyBorder="1" applyAlignment="1">
      <alignment horizontal="right" vertical="top" wrapText="1"/>
    </xf>
    <xf numFmtId="3" fontId="3" fillId="3" borderId="7" xfId="0" applyNumberFormat="1" applyFont="1" applyFill="1" applyBorder="1" applyAlignment="1">
      <alignment horizontal="right" vertical="top" wrapText="1"/>
    </xf>
    <xf numFmtId="0" fontId="0" fillId="0" borderId="7" xfId="0" applyBorder="1"/>
    <xf numFmtId="43" fontId="10" fillId="2" borderId="7" xfId="1" applyFont="1" applyFill="1" applyBorder="1" applyAlignment="1">
      <alignment horizontal="left" vertical="center" wrapText="1"/>
    </xf>
    <xf numFmtId="43" fontId="0" fillId="0" borderId="7" xfId="1" applyFont="1" applyBorder="1"/>
    <xf numFmtId="3" fontId="0" fillId="0" borderId="7" xfId="0" applyNumberFormat="1" applyBorder="1"/>
    <xf numFmtId="0" fontId="11" fillId="0" borderId="7" xfId="0" applyFont="1" applyBorder="1" applyAlignment="1">
      <alignment horizontal="left" vertical="top" wrapText="1"/>
    </xf>
    <xf numFmtId="43" fontId="11" fillId="0" borderId="7" xfId="1" applyFont="1" applyBorder="1" applyAlignment="1">
      <alignment vertical="top" wrapText="1"/>
    </xf>
    <xf numFmtId="0" fontId="12" fillId="0" borderId="7" xfId="0" applyFont="1" applyBorder="1"/>
    <xf numFmtId="0" fontId="13" fillId="0" borderId="0" xfId="0" applyFont="1" applyAlignment="1">
      <alignment vertical="center"/>
    </xf>
    <xf numFmtId="43" fontId="0" fillId="0" borderId="9" xfId="1" applyFont="1" applyBorder="1"/>
    <xf numFmtId="0" fontId="11" fillId="0" borderId="7" xfId="1" applyNumberFormat="1" applyFont="1" applyBorder="1" applyAlignment="1">
      <alignment vertical="top" wrapText="1"/>
    </xf>
    <xf numFmtId="0" fontId="0" fillId="0" borderId="0" xfId="0" pivotButton="1"/>
    <xf numFmtId="0" fontId="0" fillId="0" borderId="0" xfId="0" applyAlignment="1">
      <alignment horizontal="left"/>
    </xf>
    <xf numFmtId="3" fontId="0" fillId="0" borderId="0" xfId="0" applyNumberFormat="1"/>
    <xf numFmtId="0" fontId="7" fillId="2" borderId="7" xfId="2" applyFont="1" applyFill="1" applyBorder="1" applyAlignment="1">
      <alignment horizontal="center" vertical="center" wrapText="1"/>
    </xf>
    <xf numFmtId="3" fontId="12" fillId="3" borderId="7" xfId="2" applyNumberFormat="1" applyFont="1" applyFill="1" applyBorder="1" applyAlignment="1">
      <alignment horizontal="right" vertical="top" wrapText="1"/>
    </xf>
    <xf numFmtId="0" fontId="12" fillId="2" borderId="7" xfId="2" applyFont="1" applyFill="1" applyBorder="1" applyAlignment="1">
      <alignment horizontal="left" vertical="top" wrapText="1"/>
    </xf>
    <xf numFmtId="0" fontId="5" fillId="0" borderId="0" xfId="2"/>
    <xf numFmtId="0" fontId="12" fillId="3" borderId="7" xfId="2" applyFont="1" applyFill="1" applyBorder="1" applyAlignment="1">
      <alignment horizontal="left" vertical="top" wrapText="1"/>
    </xf>
    <xf numFmtId="0" fontId="10" fillId="2" borderId="7" xfId="2" applyFont="1" applyFill="1" applyBorder="1" applyAlignment="1">
      <alignment horizontal="left" vertical="top" wrapText="1"/>
    </xf>
    <xf numFmtId="3" fontId="10" fillId="2" borderId="7" xfId="2" applyNumberFormat="1" applyFont="1" applyFill="1" applyBorder="1" applyAlignment="1">
      <alignment horizontal="right" vertical="top" wrapText="1"/>
    </xf>
    <xf numFmtId="0" fontId="15" fillId="0" borderId="0" xfId="2" applyFont="1" applyBorder="1" applyAlignment="1">
      <alignment vertical="top"/>
    </xf>
    <xf numFmtId="0" fontId="12" fillId="2" borderId="7" xfId="2" applyFont="1" applyFill="1" applyBorder="1" applyAlignment="1">
      <alignment horizontal="center" vertical="top" wrapText="1"/>
    </xf>
    <xf numFmtId="3" fontId="10" fillId="2" borderId="7" xfId="2" applyNumberFormat="1" applyFont="1" applyFill="1" applyBorder="1" applyAlignment="1">
      <alignment horizontal="center" vertical="top" wrapText="1"/>
    </xf>
    <xf numFmtId="0" fontId="16" fillId="0" borderId="0" xfId="0" applyFont="1"/>
    <xf numFmtId="43" fontId="16" fillId="0" borderId="0" xfId="1" applyFont="1"/>
    <xf numFmtId="0" fontId="17" fillId="2" borderId="6"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7" fillId="2" borderId="7" xfId="0" applyFont="1" applyFill="1" applyBorder="1" applyAlignment="1">
      <alignment horizontal="left" vertical="center" wrapText="1"/>
    </xf>
    <xf numFmtId="0" fontId="16" fillId="3" borderId="3" xfId="0" applyFont="1" applyFill="1" applyBorder="1" applyAlignment="1">
      <alignment horizontal="left" vertical="top" wrapText="1"/>
    </xf>
    <xf numFmtId="3" fontId="16" fillId="3" borderId="3" xfId="0" applyNumberFormat="1" applyFont="1" applyFill="1" applyBorder="1" applyAlignment="1">
      <alignment horizontal="right" vertical="top" wrapText="1"/>
    </xf>
    <xf numFmtId="43" fontId="16" fillId="3" borderId="7" xfId="1" applyFont="1" applyFill="1" applyBorder="1" applyAlignment="1">
      <alignment horizontal="right" vertical="top" wrapText="1"/>
    </xf>
    <xf numFmtId="3" fontId="16" fillId="3" borderId="7" xfId="0" applyNumberFormat="1" applyFont="1" applyFill="1" applyBorder="1" applyAlignment="1">
      <alignment horizontal="right" vertical="top" wrapText="1"/>
    </xf>
    <xf numFmtId="0" fontId="16" fillId="0" borderId="7" xfId="0" applyFont="1" applyBorder="1"/>
    <xf numFmtId="0" fontId="16" fillId="3" borderId="3" xfId="0" applyFont="1" applyFill="1" applyBorder="1" applyAlignment="1">
      <alignment horizontal="right" vertical="top" wrapText="1"/>
    </xf>
    <xf numFmtId="0" fontId="16" fillId="0" borderId="7" xfId="3" applyFont="1" applyBorder="1" applyAlignment="1">
      <alignment wrapText="1"/>
    </xf>
    <xf numFmtId="0" fontId="16" fillId="0" borderId="7" xfId="3" applyFont="1" applyBorder="1" applyAlignment="1">
      <alignment vertical="top" wrapText="1"/>
    </xf>
    <xf numFmtId="164" fontId="16" fillId="0" borderId="0" xfId="1" applyNumberFormat="1" applyFont="1"/>
    <xf numFmtId="164" fontId="16" fillId="0" borderId="0" xfId="0" applyNumberFormat="1" applyFont="1"/>
    <xf numFmtId="0" fontId="16" fillId="4" borderId="0" xfId="0" applyFont="1" applyFill="1"/>
    <xf numFmtId="43" fontId="17" fillId="2" borderId="7" xfId="1" applyFont="1" applyFill="1" applyBorder="1" applyAlignment="1">
      <alignment horizontal="left" vertical="center" wrapText="1"/>
    </xf>
    <xf numFmtId="43" fontId="17" fillId="2" borderId="8" xfId="1" applyFont="1" applyFill="1" applyBorder="1" applyAlignment="1">
      <alignment horizontal="left" vertical="center" wrapText="1"/>
    </xf>
    <xf numFmtId="43" fontId="16" fillId="3" borderId="3" xfId="1" applyFont="1" applyFill="1" applyBorder="1" applyAlignment="1">
      <alignment horizontal="right" vertical="top" wrapText="1"/>
    </xf>
    <xf numFmtId="0" fontId="16" fillId="5" borderId="0" xfId="0" applyFont="1" applyFill="1"/>
    <xf numFmtId="0" fontId="0" fillId="6" borderId="0" xfId="0" applyFill="1"/>
    <xf numFmtId="0" fontId="16" fillId="6" borderId="0" xfId="0" applyFont="1" applyFill="1"/>
    <xf numFmtId="0" fontId="9" fillId="0" borderId="0" xfId="2" applyFont="1" applyAlignment="1">
      <alignment horizontal="center" vertical="top" wrapText="1"/>
    </xf>
    <xf numFmtId="0" fontId="16" fillId="7" borderId="3" xfId="0" applyFont="1" applyFill="1" applyBorder="1" applyAlignment="1">
      <alignment horizontal="left" vertical="top" wrapText="1"/>
    </xf>
  </cellXfs>
  <cellStyles count="8">
    <cellStyle name="Comma" xfId="1" builtinId="3"/>
    <cellStyle name="Comma 2" xfId="4" xr:uid="{00000000-0005-0000-0000-000001000000}"/>
    <cellStyle name="Comma 2 2" xfId="7" xr:uid="{00000000-0005-0000-0000-000002000000}"/>
    <cellStyle name="Comma 3" xfId="5" xr:uid="{00000000-0005-0000-0000-000003000000}"/>
    <cellStyle name="Normal" xfId="0" builtinId="0"/>
    <cellStyle name="Normal 2" xfId="2" xr:uid="{00000000-0005-0000-0000-000005000000}"/>
    <cellStyle name="Normal 3" xfId="3" xr:uid="{00000000-0005-0000-0000-000006000000}"/>
    <cellStyle name="Normal 3 2"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personal/ramin3_kpmg_com/Documents/Desktop/work/Engagements/Khalifa%20University/6.%20Data/Updated%20request/updated%20audit%20requirement/4.%20cost%20center%20code%20and%20group%20with%20cost%20center%20numbers.xlsx?106DEBFE" TargetMode="External"/><Relationship Id="rId1" Type="http://schemas.openxmlformats.org/officeDocument/2006/relationships/externalLinkPath" Target="file:///\\106DEBFE\4.%20cost%20center%20code%20and%20group%20with%20cost%20center%20numb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s>
    <sheetDataSet>
      <sheetData sheetId="0">
        <row r="1">
          <cell r="C1" t="str">
            <v>Cost Center Code</v>
          </cell>
          <cell r="D1" t="str">
            <v>Cost Center Description</v>
          </cell>
          <cell r="E1" t="str">
            <v>SVP Level Group</v>
          </cell>
          <cell r="F1" t="str">
            <v>Cost Center Code - Group</v>
          </cell>
        </row>
        <row r="2">
          <cell r="C2">
            <v>8470110</v>
          </cell>
          <cell r="D2" t="str">
            <v>KUST - Office of the President</v>
          </cell>
          <cell r="E2" t="str">
            <v xml:space="preserve">President's Office </v>
          </cell>
          <cell r="F2" t="str">
            <v xml:space="preserve">President's Office </v>
          </cell>
        </row>
        <row r="3">
          <cell r="C3">
            <v>8470120</v>
          </cell>
          <cell r="D3" t="str">
            <v>KUST - Audit</v>
          </cell>
          <cell r="E3" t="str">
            <v xml:space="preserve">President's Office </v>
          </cell>
          <cell r="F3" t="str">
            <v xml:space="preserve">President's Office </v>
          </cell>
        </row>
        <row r="4">
          <cell r="C4">
            <v>8470121</v>
          </cell>
          <cell r="D4" t="str">
            <v>KUST - Compliance and Risk Management</v>
          </cell>
          <cell r="E4" t="str">
            <v xml:space="preserve">President's Office </v>
          </cell>
          <cell r="F4" t="str">
            <v xml:space="preserve">President's Office </v>
          </cell>
        </row>
        <row r="5">
          <cell r="C5">
            <v>8470150</v>
          </cell>
          <cell r="D5" t="str">
            <v>KUST - General Counsel</v>
          </cell>
          <cell r="E5" t="str">
            <v xml:space="preserve">President's Office </v>
          </cell>
          <cell r="F5" t="str">
            <v xml:space="preserve">President's Office </v>
          </cell>
        </row>
        <row r="6">
          <cell r="C6">
            <v>8470910</v>
          </cell>
          <cell r="D6" t="str">
            <v>KUST - Executive Vice President Office</v>
          </cell>
          <cell r="E6" t="str">
            <v>Executive Vice President Office</v>
          </cell>
          <cell r="F6" t="str">
            <v>Executive Vice President Office</v>
          </cell>
        </row>
        <row r="7">
          <cell r="C7">
            <v>8470130</v>
          </cell>
          <cell r="D7" t="str">
            <v>KUST - Institutional Research &amp; Planning</v>
          </cell>
          <cell r="E7" t="str">
            <v>Executive Vice President Office</v>
          </cell>
          <cell r="F7" t="str">
            <v>Executive Vice President Office</v>
          </cell>
        </row>
        <row r="8">
          <cell r="C8">
            <v>8470140</v>
          </cell>
          <cell r="D8" t="str">
            <v>KUST - Communication</v>
          </cell>
          <cell r="E8" t="str">
            <v>Executive Vice President Office</v>
          </cell>
          <cell r="F8" t="str">
            <v>Executive Vice President Office</v>
          </cell>
        </row>
        <row r="9">
          <cell r="C9">
            <v>8470160</v>
          </cell>
          <cell r="D9" t="str">
            <v>KUST - SVP/ Support Services Office</v>
          </cell>
          <cell r="E9" t="str">
            <v>SVP/ Support Services Office</v>
          </cell>
          <cell r="F9" t="str">
            <v>SVP/ Support Services Office</v>
          </cell>
        </row>
        <row r="10">
          <cell r="C10">
            <v>8470520</v>
          </cell>
          <cell r="D10" t="str">
            <v>KUST - Environment, Health &amp; Safety</v>
          </cell>
          <cell r="E10" t="str">
            <v>SVP/ Support Services Office</v>
          </cell>
          <cell r="F10" t="str">
            <v>Administration, Facilities and EHS Office</v>
          </cell>
        </row>
        <row r="11">
          <cell r="C11">
            <v>8470530</v>
          </cell>
          <cell r="D11" t="str">
            <v>KUST - Facilities Management</v>
          </cell>
          <cell r="E11" t="str">
            <v>SVP/ Support Services Office</v>
          </cell>
          <cell r="F11" t="str">
            <v>Administration, Facilities and EHS Office</v>
          </cell>
        </row>
        <row r="12">
          <cell r="C12">
            <v>8470540</v>
          </cell>
          <cell r="D12" t="str">
            <v>KUST - Administration</v>
          </cell>
          <cell r="E12" t="str">
            <v>SVP/ Support Services Office</v>
          </cell>
          <cell r="F12" t="str">
            <v>Administration, Facilities and EHS Office</v>
          </cell>
        </row>
        <row r="13">
          <cell r="C13">
            <v>8470720</v>
          </cell>
          <cell r="D13" t="str">
            <v>KUST - Procurement and Contracts</v>
          </cell>
          <cell r="E13" t="str">
            <v>SVP/ Support Services Office</v>
          </cell>
          <cell r="F13" t="str">
            <v>Procurement and Contracts</v>
          </cell>
        </row>
        <row r="14">
          <cell r="C14">
            <v>8470730</v>
          </cell>
          <cell r="D14" t="str">
            <v>KUST - Human Resources</v>
          </cell>
          <cell r="E14" t="str">
            <v>SVP/ Support Services Office</v>
          </cell>
          <cell r="F14" t="str">
            <v>Human Resources</v>
          </cell>
        </row>
        <row r="15">
          <cell r="C15">
            <v>8470810</v>
          </cell>
          <cell r="D15" t="str">
            <v>KUST - Ankabut office</v>
          </cell>
          <cell r="E15" t="str">
            <v>SVP/ Support Services Office</v>
          </cell>
          <cell r="F15" t="str">
            <v>Information Technology/ANKABUT</v>
          </cell>
        </row>
        <row r="16">
          <cell r="C16">
            <v>8470605</v>
          </cell>
          <cell r="D16" t="str">
            <v>KUST - SVP / Finance &amp; Investment Office</v>
          </cell>
          <cell r="E16" t="str">
            <v>SVP / Finance &amp; Investment Office</v>
          </cell>
          <cell r="F16" t="str">
            <v>SVP / Finance &amp; Investment Office</v>
          </cell>
        </row>
        <row r="17">
          <cell r="C17">
            <v>8470620</v>
          </cell>
          <cell r="D17" t="str">
            <v>KUST - Finance Operations</v>
          </cell>
          <cell r="E17" t="str">
            <v>SVP / Finance &amp; Investment Office</v>
          </cell>
          <cell r="F17" t="str">
            <v xml:space="preserve"> SVP / Finance &amp; Investment Office</v>
          </cell>
        </row>
        <row r="18">
          <cell r="C18">
            <v>8470630</v>
          </cell>
          <cell r="D18" t="str">
            <v>KUST - Business Development</v>
          </cell>
          <cell r="E18" t="str">
            <v>SVP / Finance &amp; Investment Office</v>
          </cell>
          <cell r="F18" t="str">
            <v xml:space="preserve"> SVP / Finance &amp; Investment Office</v>
          </cell>
        </row>
        <row r="19">
          <cell r="C19">
            <v>8470220</v>
          </cell>
          <cell r="D19" t="str">
            <v>KUST - Office of the Provost</v>
          </cell>
          <cell r="E19" t="str">
            <v>Provost</v>
          </cell>
          <cell r="F19" t="str">
            <v>Provost</v>
          </cell>
        </row>
        <row r="20">
          <cell r="C20">
            <v>8470305</v>
          </cell>
          <cell r="D20" t="str">
            <v>KUST - Dean Of Engineering</v>
          </cell>
          <cell r="E20" t="str">
            <v>Provost</v>
          </cell>
          <cell r="F20" t="str">
            <v>College of Engineering</v>
          </cell>
        </row>
        <row r="21">
          <cell r="C21">
            <v>8470310</v>
          </cell>
          <cell r="D21" t="str">
            <v>KUST - Aerospace Engineering</v>
          </cell>
          <cell r="E21" t="str">
            <v>Provost</v>
          </cell>
          <cell r="F21" t="str">
            <v>College of Engineering</v>
          </cell>
        </row>
        <row r="22">
          <cell r="C22">
            <v>8470315</v>
          </cell>
          <cell r="D22" t="str">
            <v>KUST - Biomedical Engineering</v>
          </cell>
          <cell r="E22" t="str">
            <v>Provost</v>
          </cell>
          <cell r="F22" t="str">
            <v>College of Engineering</v>
          </cell>
        </row>
        <row r="23">
          <cell r="C23">
            <v>8470320</v>
          </cell>
          <cell r="D23" t="str">
            <v>KUST - Chemical Engineering</v>
          </cell>
          <cell r="E23" t="str">
            <v>Provost</v>
          </cell>
          <cell r="F23" t="str">
            <v>College of Engineering</v>
          </cell>
        </row>
        <row r="24">
          <cell r="C24">
            <v>8470325</v>
          </cell>
          <cell r="D24" t="str">
            <v>KUST - Civil Engineering</v>
          </cell>
          <cell r="E24" t="str">
            <v>Provost</v>
          </cell>
          <cell r="F24" t="str">
            <v>College of Engineering</v>
          </cell>
        </row>
        <row r="25">
          <cell r="C25">
            <v>8470330</v>
          </cell>
          <cell r="D25" t="str">
            <v>KUST - Electrical &amp; Computer Engineering</v>
          </cell>
          <cell r="E25" t="str">
            <v>Provost</v>
          </cell>
          <cell r="F25" t="str">
            <v>College of Engineering</v>
          </cell>
        </row>
        <row r="26">
          <cell r="C26">
            <v>8470335</v>
          </cell>
          <cell r="D26" t="str">
            <v>KUST - Industrial &amp; Systems Engineering</v>
          </cell>
          <cell r="E26" t="str">
            <v>Provost</v>
          </cell>
          <cell r="F26" t="str">
            <v>College of Engineering</v>
          </cell>
        </row>
        <row r="27">
          <cell r="C27">
            <v>8470340</v>
          </cell>
          <cell r="D27" t="str">
            <v>KUST - Mechanical Engineering</v>
          </cell>
          <cell r="E27" t="str">
            <v>Provost</v>
          </cell>
          <cell r="F27" t="str">
            <v>College of Engineering</v>
          </cell>
        </row>
        <row r="28">
          <cell r="C28">
            <v>8470345</v>
          </cell>
          <cell r="D28" t="str">
            <v>KUST - Nuclear Engineering</v>
          </cell>
          <cell r="E28" t="str">
            <v>Provost</v>
          </cell>
          <cell r="F28" t="str">
            <v>College of Engineering</v>
          </cell>
        </row>
        <row r="29">
          <cell r="C29">
            <v>8470350</v>
          </cell>
          <cell r="D29" t="str">
            <v>KUST - Petroleum Engineering</v>
          </cell>
          <cell r="E29" t="str">
            <v>Provost</v>
          </cell>
          <cell r="F29" t="str">
            <v>College of Engineering</v>
          </cell>
        </row>
        <row r="30">
          <cell r="C30">
            <v>8470405</v>
          </cell>
          <cell r="D30" t="str">
            <v>KUST - Dean Of Arts &amp; Science</v>
          </cell>
          <cell r="E30" t="str">
            <v>Provost</v>
          </cell>
          <cell r="F30" t="str">
            <v>College of Arts &amp; Science</v>
          </cell>
        </row>
        <row r="31">
          <cell r="C31">
            <v>8470410</v>
          </cell>
          <cell r="D31" t="str">
            <v>KUST - Institute of International &amp; Civil Security</v>
          </cell>
          <cell r="E31" t="str">
            <v>Provost</v>
          </cell>
          <cell r="F31" t="str">
            <v>College of Arts &amp; Science</v>
          </cell>
        </row>
        <row r="32">
          <cell r="C32">
            <v>8470415</v>
          </cell>
          <cell r="D32" t="str">
            <v>KUST - Chemistry</v>
          </cell>
          <cell r="E32" t="str">
            <v>Provost</v>
          </cell>
          <cell r="F32" t="str">
            <v>College of Arts &amp; Science</v>
          </cell>
        </row>
        <row r="33">
          <cell r="C33">
            <v>8470425</v>
          </cell>
          <cell r="D33" t="str">
            <v>KUST - Physics</v>
          </cell>
          <cell r="E33" t="str">
            <v>Provost</v>
          </cell>
          <cell r="F33" t="str">
            <v>College of Arts &amp; Science</v>
          </cell>
        </row>
        <row r="34">
          <cell r="C34">
            <v>8470430</v>
          </cell>
          <cell r="D34" t="str">
            <v>KUST - Preparatory Program</v>
          </cell>
          <cell r="E34" t="str">
            <v>Provost</v>
          </cell>
          <cell r="F34" t="str">
            <v>College of Arts &amp; Science</v>
          </cell>
        </row>
        <row r="35">
          <cell r="C35">
            <v>8470435</v>
          </cell>
          <cell r="D35" t="str">
            <v>KUST - Department of English</v>
          </cell>
          <cell r="E35" t="str">
            <v>Provost</v>
          </cell>
          <cell r="F35" t="str">
            <v>College of Arts &amp; Science</v>
          </cell>
        </row>
        <row r="36">
          <cell r="C36">
            <v>8470440</v>
          </cell>
          <cell r="D36" t="str">
            <v>KUST - Humanities &amp; Social Sciences</v>
          </cell>
          <cell r="E36" t="str">
            <v>Provost</v>
          </cell>
          <cell r="F36" t="str">
            <v>College of Arts &amp; Science</v>
          </cell>
        </row>
        <row r="37">
          <cell r="C37">
            <v>8470445</v>
          </cell>
          <cell r="D37" t="str">
            <v>KUST - Mathematics</v>
          </cell>
          <cell r="E37" t="str">
            <v>Provost</v>
          </cell>
          <cell r="F37" t="str">
            <v>College of Arts &amp; Science</v>
          </cell>
        </row>
        <row r="38">
          <cell r="C38">
            <v>8470450</v>
          </cell>
          <cell r="D38" t="str">
            <v>KUST - Earth Science</v>
          </cell>
          <cell r="E38" t="str">
            <v>Provost</v>
          </cell>
          <cell r="F38" t="str">
            <v>College of Arts &amp; Science</v>
          </cell>
        </row>
        <row r="39">
          <cell r="C39">
            <v>8470455</v>
          </cell>
          <cell r="D39" t="str">
            <v>KUST – Biology</v>
          </cell>
          <cell r="E39" t="str">
            <v>Provost</v>
          </cell>
          <cell r="F39" t="str">
            <v>College of Arts &amp; Science</v>
          </cell>
        </row>
        <row r="40">
          <cell r="C40">
            <v>8471305</v>
          </cell>
          <cell r="D40" t="str">
            <v>KUST - Dean Of Medicine</v>
          </cell>
          <cell r="E40" t="str">
            <v>Provost</v>
          </cell>
          <cell r="F40" t="str">
            <v>College of Medicine &amp; Health Sciences</v>
          </cell>
        </row>
        <row r="41">
          <cell r="C41">
            <v>8471110</v>
          </cell>
          <cell r="D41" t="str">
            <v>KUST - SVP/ Research &amp; Development Office</v>
          </cell>
          <cell r="E41" t="str">
            <v>Senior Vice President, Research Office</v>
          </cell>
          <cell r="F41" t="str">
            <v>Senior Vice President, Research Office</v>
          </cell>
        </row>
        <row r="42">
          <cell r="C42">
            <v>8471130</v>
          </cell>
          <cell r="D42" t="str">
            <v>KUST - Research Service</v>
          </cell>
          <cell r="E42" t="str">
            <v>Senior Vice President, Research Office</v>
          </cell>
          <cell r="F42" t="str">
            <v>Senior Vice President, Research Office</v>
          </cell>
        </row>
        <row r="43">
          <cell r="C43">
            <v>8471140</v>
          </cell>
          <cell r="D43" t="str">
            <v>KUST - University Sponsored Research</v>
          </cell>
          <cell r="E43" t="str">
            <v>Senior Vice President, Research Office</v>
          </cell>
          <cell r="F43" t="str">
            <v>Senior Vice President, Research Office</v>
          </cell>
        </row>
        <row r="44">
          <cell r="C44">
            <v>8471150</v>
          </cell>
          <cell r="D44" t="str">
            <v>KUST - Technology Management &amp; Innovation</v>
          </cell>
          <cell r="E44" t="str">
            <v>Senior Vice President, Research Office</v>
          </cell>
          <cell r="F44" t="str">
            <v>Senior Vice President, Research Office</v>
          </cell>
        </row>
        <row r="45">
          <cell r="C45">
            <v>8471160</v>
          </cell>
          <cell r="D45" t="str">
            <v>KUST - Research Laboratories</v>
          </cell>
          <cell r="E45" t="str">
            <v>Senior Vice President, Research Office</v>
          </cell>
          <cell r="F45" t="str">
            <v>Senior Vice President, Research Office</v>
          </cell>
        </row>
        <row r="46">
          <cell r="C46">
            <v>8471170</v>
          </cell>
          <cell r="D46" t="str">
            <v>KUST - Research Computing</v>
          </cell>
          <cell r="E46" t="str">
            <v>Senior Vice President, Research Office</v>
          </cell>
          <cell r="F46" t="str">
            <v>Senior Vice President, Research Office</v>
          </cell>
        </row>
        <row r="47">
          <cell r="C47">
            <v>8471210</v>
          </cell>
          <cell r="D47" t="str">
            <v>KUST - SVP/ Academic &amp; Student Services Office</v>
          </cell>
          <cell r="E47" t="str">
            <v>Academic and Student Services Office</v>
          </cell>
          <cell r="F47" t="str">
            <v>Academic and Student Services Office</v>
          </cell>
        </row>
        <row r="48">
          <cell r="C48">
            <v>8470230</v>
          </cell>
          <cell r="D48" t="str">
            <v>KUST - Graduate Studies</v>
          </cell>
          <cell r="E48" t="str">
            <v>Academic and Student Services Office</v>
          </cell>
          <cell r="F48" t="str">
            <v>Academic and Student Services Office</v>
          </cell>
        </row>
        <row r="49">
          <cell r="C49">
            <v>8471220</v>
          </cell>
          <cell r="D49" t="str">
            <v>KUST - Registrar</v>
          </cell>
          <cell r="E49" t="str">
            <v>Academic and Student Services Office</v>
          </cell>
          <cell r="F49" t="str">
            <v>Academic and Student Services Office</v>
          </cell>
        </row>
        <row r="50">
          <cell r="C50">
            <v>8471230</v>
          </cell>
          <cell r="D50" t="str">
            <v>KUST - Student Enrollment</v>
          </cell>
          <cell r="E50" t="str">
            <v>Academic and Student Services Office</v>
          </cell>
          <cell r="F50" t="str">
            <v>Academic and Student Services Office</v>
          </cell>
        </row>
        <row r="51">
          <cell r="C51">
            <v>8471240</v>
          </cell>
          <cell r="D51" t="str">
            <v>KUST - Student Success</v>
          </cell>
          <cell r="E51" t="str">
            <v>Academic and Student Services Office</v>
          </cell>
          <cell r="F51" t="str">
            <v>Academic and Student Services Office</v>
          </cell>
        </row>
        <row r="52">
          <cell r="C52">
            <v>8471250</v>
          </cell>
          <cell r="D52" t="str">
            <v>KUST - Career Services</v>
          </cell>
          <cell r="E52" t="str">
            <v>Academic and Student Services Office</v>
          </cell>
          <cell r="F52" t="str">
            <v>Academic and Student Services Office</v>
          </cell>
        </row>
        <row r="53">
          <cell r="C53">
            <v>8471260</v>
          </cell>
          <cell r="D53" t="str">
            <v>KUST - Student Life</v>
          </cell>
          <cell r="E53" t="str">
            <v>Academic and Student Services Office</v>
          </cell>
          <cell r="F53" t="str">
            <v>Academic and Student Services Office</v>
          </cell>
        </row>
        <row r="54">
          <cell r="C54">
            <v>8471270</v>
          </cell>
          <cell r="D54" t="str">
            <v>KUST - Libraries</v>
          </cell>
          <cell r="E54" t="str">
            <v>Academic and Student Services Office</v>
          </cell>
          <cell r="F54" t="str">
            <v>Academic and Student Services Office</v>
          </cell>
        </row>
        <row r="55">
          <cell r="C55">
            <v>8471280</v>
          </cell>
          <cell r="D55" t="str">
            <v>KUST - Center for Teaching &amp; Learning</v>
          </cell>
          <cell r="E55" t="str">
            <v>Academic and Student Services Office</v>
          </cell>
          <cell r="F55" t="str">
            <v>Academic and Student Services Office</v>
          </cell>
        </row>
        <row r="56">
          <cell r="C56">
            <v>8471010</v>
          </cell>
          <cell r="D56" t="str">
            <v>KUST - Continuing Education Office</v>
          </cell>
          <cell r="E56" t="str">
            <v>Academic and Student Services Office</v>
          </cell>
          <cell r="F56" t="str">
            <v>Academic and Student Services Office</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77.407950115739" createdVersion="6" refreshedVersion="6" minRefreshableVersion="3" recordCount="507" xr:uid="{00000000-000A-0000-FFFF-FFFF05000000}">
  <cacheSource type="worksheet">
    <worksheetSource ref="A2:L509" sheet="opex q4 22"/>
  </cacheSource>
  <cacheFields count="12">
    <cacheField name="Cost Center Code" numFmtId="0">
      <sharedItems/>
    </cacheField>
    <cacheField name="Cost Center Description" numFmtId="0">
      <sharedItems/>
    </cacheField>
    <cacheField name="Account Code" numFmtId="0">
      <sharedItems/>
    </cacheField>
    <cacheField name="Account Description" numFmtId="0">
      <sharedItems count="82">
        <s v="Academic Advisory Service"/>
        <s v="Academic Collaborative Partnership Services"/>
        <s v="Legal services"/>
        <s v="Management consultancy"/>
        <s v="Standards Certification Services (e.g. ISO)"/>
        <s v="Conferences, seminars and exhibitions and other events: - Local Events"/>
        <s v="Conferences, seminars and exhibitions and other events: - Overseas event"/>
        <s v="Entertainment and hospitality"/>
        <s v="Computer software licenses-Software License Renewal"/>
        <s v="Business Travel - Combined expenses"/>
        <s v="Sponsorship expenses/contributions"/>
        <s v="Events - Awards, prizes &amp; gifts"/>
        <s v="Internal Audit service"/>
        <s v="Subscriptions and membership fees: Trade organisations"/>
        <s v="Advertising Services (General)"/>
        <s v="Student Project Expenses"/>
        <s v="Public relations"/>
        <s v="Printing and publishing"/>
        <s v="Newspapers, magazines, journals, etc"/>
        <s v="Photography - Consumable materials /Tools"/>
        <s v="Academic Missions - Combined expenses"/>
        <s v="Academic Publications"/>
        <s v="Scientific"/>
        <s v="Scholarships &amp; other financial aid"/>
        <s v="Maintenance: Computers and peripherals-End user and Infrastructure components maintenance and support"/>
        <s v="Graduation rewards"/>
        <s v="Student medical insurance"/>
        <s v="Student relocation &amp; travel exps"/>
        <s v="Postgraduate Student Salaries"/>
        <s v="Student Field trips"/>
        <s v="Student Internship"/>
        <s v="Printing supplies"/>
        <s v="Laboratory equipment"/>
        <s v="Laboratory - Scientific"/>
        <s v="Training/Teaching equipment and other educational aid"/>
        <s v="Student activities &amp; field trip expenses"/>
        <s v="Text books and library books"/>
        <s v="Education-Outsourced training service"/>
        <s v="Freight and shipping costs, not included elsewhere under purchase costs"/>
        <s v="Health,safety&amp;environment awareness"/>
        <s v="Cleaning Services: Business premises"/>
        <s v="Manpower supply &quot;Other Than IT Related&quot;"/>
        <s v="Security service"/>
        <s v="Student Accommodation"/>
        <s v="Insurance - Fire and allied perils"/>
        <s v="Insurance - Motor vehicles"/>
        <s v="Rental - Land"/>
        <s v="Bldg maintenance-Business premises"/>
        <s v="Bldg decoration &amp; minor improvements"/>
        <s v="Maintenance: Residential Furniture and fixtures"/>
        <s v="Motor vehicles (non-military)"/>
        <s v="Catering supplies: Offices"/>
        <s v="Sports and other recreational supplies: Students"/>
        <s v="Motor vehicle registration and inspection charges"/>
        <s v="Postal, courier and other document delivery expenses"/>
        <s v="Electricity consumption charges"/>
        <s v="Water consumption charges"/>
        <s v="Other services, not specifically mentioned elsewhere"/>
        <s v="Rental - Equipment"/>
        <s v="Rental - Motor vehicles"/>
        <s v="Fuel, oil and lubricants: Motor vehicles"/>
        <s v="External Audit service"/>
        <s v="Other specialised professional services, not mentioned elsewhere"/>
        <s v="Banking service charges / Fees"/>
        <s v="Fees for processing e-payments-e-Payment operation"/>
        <s v="Stationery"/>
        <s v="Translation and interpretation service"/>
        <s v="Maintenance: IT Systems &amp; Support expenses"/>
        <s v="IT Systems &amp; Support expenses-Application/Systems Operation"/>
        <s v="Telephone and telefax charges-Telecommunication, Satellite services"/>
        <s v="Data Transmission charges-Data Transmission charges"/>
        <s v="Rental - Computer hardware-Rental/Subscription - Computer hardware"/>
        <s v="Computers and peripherals-Printers maintenance and support"/>
        <s v="Waste management service"/>
        <s v="School consumables, not specifically mentioned elsewhere"/>
        <s v="Student stipend"/>
        <s v="Enrollment expenses"/>
        <s v="Skill assessment service"/>
        <s v="Library books"/>
        <s v="Student Transport"/>
        <s v="Higher education and specialisation incentives"/>
        <s v="Medical equipment"/>
      </sharedItems>
    </cacheField>
    <cacheField name="GL Account Combination" numFmtId="0">
      <sharedItems/>
    </cacheField>
    <cacheField name="Annual Budget" numFmtId="0">
      <sharedItems containsString="0" containsBlank="1" containsNumber="1" containsInteger="1" minValue="0" maxValue="110824684"/>
    </cacheField>
    <cacheField name="Revised Budget" numFmtId="0">
      <sharedItems containsString="0" containsBlank="1" containsNumber="1" containsInteger="1" minValue="-367211" maxValue="118214474"/>
    </cacheField>
    <cacheField name="Actual Amount" numFmtId="0">
      <sharedItems containsString="0" containsBlank="1" containsNumber="1" minValue="-371826.82" maxValue="118211465.31999999"/>
    </cacheField>
    <cacheField name="PR" numFmtId="43">
      <sharedItems containsSemiMixedTypes="0" containsString="0" containsNumber="1" minValue="0" maxValue="1330211.04"/>
    </cacheField>
    <cacheField name="PO" numFmtId="43">
      <sharedItems containsString="0" containsBlank="1" containsNumber="1" minValue="0" maxValue="3208636.84"/>
    </cacheField>
    <cacheField name="Q4 Budget Surplus Amount" numFmtId="3">
      <sharedItems containsSemiMixedTypes="0" containsString="0" containsNumber="1" minValue="-1327116.9200000002" maxValue="1608553.6100000003"/>
    </cacheField>
    <cacheField name="Expected Surplus Justificatio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77.446248495369" createdVersion="6" refreshedVersion="6" minRefreshableVersion="3" recordCount="51" xr:uid="{00000000-000A-0000-FFFF-FFFF08000000}">
  <cacheSource type="worksheet">
    <worksheetSource ref="B3:M54" sheet="capex q4 22"/>
  </cacheSource>
  <cacheFields count="12">
    <cacheField name="Cost Center Code" numFmtId="0">
      <sharedItems/>
    </cacheField>
    <cacheField name="Cost Center Description" numFmtId="0">
      <sharedItems/>
    </cacheField>
    <cacheField name="Account Code" numFmtId="0">
      <sharedItems/>
    </cacheField>
    <cacheField name="Account Description" numFmtId="0">
      <sharedItems count="10">
        <s v="Laboratory equipment"/>
        <s v="Computer software-Application, Platform"/>
        <s v="Hardware &amp; peripherals"/>
        <s v="Copyrights, patents and licenses"/>
        <s v="Capital expense - Buildings"/>
        <s v="Furniture &amp; Fixtures - Offices"/>
        <s v="Computer software"/>
        <s v="Hardware &amp; peripherals-Network Devices"/>
        <s v="Hardware &amp; peripherals-Peripherals &amp; Infrastructure Components"/>
        <s v="Hardware &amp; peripherals-Conferencing &amp; AV"/>
      </sharedItems>
    </cacheField>
    <cacheField name="GL Account Combination" numFmtId="0">
      <sharedItems/>
    </cacheField>
    <cacheField name="Annual Budget" numFmtId="43">
      <sharedItems containsSemiMixedTypes="0" containsString="0" containsNumber="1" containsInteger="1" minValue="0" maxValue="19458929"/>
    </cacheField>
    <cacheField name="Revised Budget" numFmtId="43">
      <sharedItems containsSemiMixedTypes="0" containsString="0" containsNumber="1" containsInteger="1" minValue="0" maxValue="30271159"/>
    </cacheField>
    <cacheField name="Actual Amount" numFmtId="43">
      <sharedItems containsString="0" containsBlank="1" containsNumber="1" minValue="0" maxValue="28839438.300000001"/>
    </cacheField>
    <cacheField name="PR" numFmtId="43">
      <sharedItems containsSemiMixedTypes="0" containsString="0" containsNumber="1" minValue="0" maxValue="440666.76"/>
    </cacheField>
    <cacheField name="PO" numFmtId="43">
      <sharedItems containsSemiMixedTypes="0" containsString="0" containsNumber="1" minValue="-5.8207660913467401E-11" maxValue="1053463.22"/>
    </cacheField>
    <cacheField name="Budget Surplus Amount" numFmtId="43">
      <sharedItems containsSemiMixedTypes="0" containsString="0" containsNumber="1" minValue="-176788.05" maxValue="1132345.6999999993"/>
    </cacheField>
    <cacheField name="Expected Surplus Justificatio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7">
  <r>
    <s v="8470110"/>
    <s v="KUST - Office of the President"/>
    <s v="420550"/>
    <x v="0"/>
    <s v="847.8470110.1.420550.000000.847001.200179"/>
    <n v="30000"/>
    <n v="0"/>
    <m/>
    <n v="0"/>
    <n v="0"/>
    <n v="0"/>
    <m/>
  </r>
  <r>
    <s v="8470110"/>
    <s v="KUST - Office of the President"/>
    <s v="420570"/>
    <x v="1"/>
    <s v="847.8470110.1.420570.000000.847001.200179"/>
    <n v="3705121"/>
    <n v="1"/>
    <m/>
    <n v="0"/>
    <n v="0"/>
    <n v="1"/>
    <m/>
  </r>
  <r>
    <s v="8470110"/>
    <s v="KUST - Office of the President"/>
    <s v="420900"/>
    <x v="2"/>
    <s v="847.8470110.1.420900.000000.847001.200179"/>
    <n v="1500"/>
    <n v="4500"/>
    <m/>
    <n v="0"/>
    <n v="0"/>
    <n v="4500"/>
    <m/>
  </r>
  <r>
    <s v="8470110"/>
    <s v="KUST - Office of the President"/>
    <s v="421000"/>
    <x v="3"/>
    <s v="847.8470110.1.421000.000000.847001.200179"/>
    <n v="200000"/>
    <n v="2"/>
    <m/>
    <n v="0"/>
    <n v="0"/>
    <n v="2"/>
    <m/>
  </r>
  <r>
    <s v="8470110"/>
    <s v="KUST - Office of the President"/>
    <s v="421700"/>
    <x v="4"/>
    <s v="847.8470110.1.421700.000000.847001.200179"/>
    <n v="25000"/>
    <n v="25000"/>
    <m/>
    <n v="0"/>
    <n v="0"/>
    <n v="25000"/>
    <m/>
  </r>
  <r>
    <s v="8470110"/>
    <s v="KUST - Office of the President"/>
    <s v="425510"/>
    <x v="5"/>
    <s v="847.8470110.1.425510.000000.847001.200179"/>
    <n v="300000"/>
    <n v="56431"/>
    <n v="52919.75"/>
    <n v="0"/>
    <n v="0"/>
    <n v="3511.25"/>
    <m/>
  </r>
  <r>
    <s v="8470110"/>
    <s v="KUST - Office of the President"/>
    <s v="425550"/>
    <x v="6"/>
    <s v="847.8470110.1.425550.000000.847001.200179"/>
    <n v="300000"/>
    <n v="23625"/>
    <n v="22225"/>
    <n v="0"/>
    <n v="0"/>
    <n v="1400"/>
    <m/>
  </r>
  <r>
    <s v="8470110"/>
    <s v="KUST - Office of the President"/>
    <s v="425900"/>
    <x v="7"/>
    <s v="847.8470110.1.425900.000000.847001.200179"/>
    <n v="10000"/>
    <n v="19825"/>
    <n v="14286.25"/>
    <n v="0"/>
    <n v="0"/>
    <n v="5538.75"/>
    <m/>
  </r>
  <r>
    <s v="8470110"/>
    <s v="KUST - Office of the President"/>
    <s v="426610"/>
    <x v="8"/>
    <s v="847.8470110.1.426610.000000.847001.200179"/>
    <n v="518388"/>
    <n v="42241"/>
    <n v="42239.5"/>
    <n v="0"/>
    <n v="0"/>
    <n v="1.5"/>
    <m/>
  </r>
  <r>
    <s v="8470110"/>
    <s v="KUST - Office of the President"/>
    <s v="428090"/>
    <x v="9"/>
    <s v="847.8470110.1.428090.000000.847001.200179"/>
    <n v="1000000"/>
    <n v="380463"/>
    <n v="379940.5"/>
    <n v="0"/>
    <n v="0"/>
    <n v="522.5"/>
    <m/>
  </r>
  <r>
    <s v="8470110"/>
    <s v="KUST - Office of the President"/>
    <s v="428400"/>
    <x v="10"/>
    <s v="847.8470110.1.428400.000000.847001.200179"/>
    <n v="50000"/>
    <n v="0"/>
    <m/>
    <n v="0"/>
    <n v="0"/>
    <n v="0"/>
    <m/>
  </r>
  <r>
    <s v="8470110"/>
    <s v="KUST - Office of the President"/>
    <s v="428640"/>
    <x v="11"/>
    <s v="847.8470110.1.428640.000000.847001.200179"/>
    <n v="100000"/>
    <n v="745"/>
    <m/>
    <n v="0"/>
    <n v="0"/>
    <n v="745"/>
    <m/>
  </r>
  <r>
    <s v="8470120"/>
    <s v="KUST - Audit"/>
    <s v="420120"/>
    <x v="12"/>
    <s v="847.8470120.1.420120.000000.847001.200179"/>
    <n v="500000"/>
    <n v="550028"/>
    <n v="307899.53999999998"/>
    <n v="0"/>
    <n v="242128.46"/>
    <n v="0"/>
    <m/>
  </r>
  <r>
    <s v="8470130"/>
    <s v="KUST - Institutional Research &amp; Planning"/>
    <s v="421000"/>
    <x v="3"/>
    <s v="847.8470130.1.421000.000000.847001.200179"/>
    <n v="720000"/>
    <n v="10000"/>
    <n v="10000"/>
    <n v="0"/>
    <n v="0"/>
    <n v="0"/>
    <m/>
  </r>
  <r>
    <s v="8470130"/>
    <s v="KUST - Institutional Research &amp; Planning"/>
    <s v="426610"/>
    <x v="8"/>
    <s v="847.8470130.1.426610.000000.847001.200179"/>
    <n v="735000"/>
    <n v="14694"/>
    <m/>
    <n v="14692"/>
    <n v="0"/>
    <n v="2"/>
    <m/>
  </r>
  <r>
    <s v="8470130"/>
    <s v="KUST - Institutional Research &amp; Planning"/>
    <s v="427710"/>
    <x v="13"/>
    <s v="847.8470130.1.427710.000000.847001.200179"/>
    <n v="0"/>
    <n v="115000"/>
    <n v="114759"/>
    <n v="0"/>
    <n v="0"/>
    <n v="241"/>
    <m/>
  </r>
  <r>
    <s v="8470130"/>
    <s v="KUST - Institutional Research &amp; Planning"/>
    <s v="428090"/>
    <x v="9"/>
    <s v="847.8470130.1.428090.000000.847001.200179"/>
    <n v="180000"/>
    <n v="13533"/>
    <n v="13530.95"/>
    <n v="0"/>
    <n v="0"/>
    <n v="2.0499999999992724"/>
    <m/>
  </r>
  <r>
    <s v="8470140"/>
    <s v="KUST - Communication"/>
    <s v="425100"/>
    <x v="14"/>
    <s v="847.8470140.1.425100.000000.847001.200179"/>
    <n v="4578464"/>
    <n v="5016966"/>
    <n v="4356718.0999999996"/>
    <n v="1000433.36"/>
    <n v="680342.45"/>
    <n v="-1020527.9099999996"/>
    <m/>
  </r>
  <r>
    <s v="8470140"/>
    <s v="KUST - Communication"/>
    <s v="425510"/>
    <x v="5"/>
    <s v="847.8470140.1.425510.000000.847001.200179"/>
    <n v="5425358"/>
    <n v="6769916"/>
    <n v="6768014.9100000001"/>
    <n v="423600"/>
    <n v="9620.3299999999599"/>
    <n v="-431319.24000000011"/>
    <m/>
  </r>
  <r>
    <s v="8470140"/>
    <s v="KUST - Communication"/>
    <s v="425550"/>
    <x v="6"/>
    <s v="847.8470140.1.425550.000000.847001.200179"/>
    <n v="791955"/>
    <n v="59402"/>
    <n v="64327.17"/>
    <n v="0"/>
    <n v="0"/>
    <n v="-4925.1699999999983"/>
    <m/>
  </r>
  <r>
    <s v="8470140"/>
    <s v="KUST - Communication"/>
    <s v="425763"/>
    <x v="15"/>
    <s v="847.8470140.1.425763.000000.847050.200179"/>
    <n v="0"/>
    <n v="403664"/>
    <n v="154662.9"/>
    <n v="249000"/>
    <n v="0"/>
    <n v="1.1000000000058208"/>
    <m/>
  </r>
  <r>
    <s v="8470140"/>
    <s v="KUST - Communication"/>
    <s v="427100"/>
    <x v="16"/>
    <s v="847.8470140.1.427100.000000.847001.200179"/>
    <n v="1157850"/>
    <n v="946677"/>
    <n v="496024.34"/>
    <n v="0"/>
    <n v="432001.91"/>
    <n v="18650.75"/>
    <m/>
  </r>
  <r>
    <s v="8470140"/>
    <s v="KUST - Communication"/>
    <s v="427200"/>
    <x v="17"/>
    <s v="847.8470140.1.427200.000000.847001.200179"/>
    <n v="750000"/>
    <n v="23654"/>
    <n v="23653.37"/>
    <n v="0"/>
    <n v="0"/>
    <n v="0.63000000000101863"/>
    <m/>
  </r>
  <r>
    <s v="8470140"/>
    <s v="KUST - Communication"/>
    <s v="428640"/>
    <x v="11"/>
    <s v="847.8470140.1.428640.000000.847001.200179"/>
    <n v="998000"/>
    <n v="47145"/>
    <n v="45999.01"/>
    <n v="0"/>
    <n v="0"/>
    <n v="1145.989999999998"/>
    <m/>
  </r>
  <r>
    <s v="8470140"/>
    <s v="KUST - Communication"/>
    <s v="435310"/>
    <x v="18"/>
    <s v="847.8470140.1.435310.000000.847001.200179"/>
    <n v="10000"/>
    <n v="1"/>
    <m/>
    <n v="0"/>
    <n v="0"/>
    <n v="1"/>
    <m/>
  </r>
  <r>
    <s v="8470140"/>
    <s v="KUST - Communication"/>
    <s v="435519"/>
    <x v="19"/>
    <s v="847.8470140.1.435519.000000.847001.200179"/>
    <n v="135000"/>
    <n v="43812"/>
    <n v="43812"/>
    <n v="0"/>
    <n v="0"/>
    <n v="0"/>
    <m/>
  </r>
  <r>
    <s v="8470150"/>
    <s v="KUST - General Counsel"/>
    <s v="420900"/>
    <x v="2"/>
    <s v="847.8470150.1.420900.000000.847001.200179"/>
    <n v="0"/>
    <n v="33694"/>
    <n v="33691.82"/>
    <n v="0"/>
    <n v="0"/>
    <n v="2.180000000000291"/>
    <m/>
  </r>
  <r>
    <s v="8470160"/>
    <s v="KUST - SVP/ Support Services Office"/>
    <s v="428090"/>
    <x v="9"/>
    <s v="847.8470160.1.428090.000000.847001.200179"/>
    <n v="0"/>
    <n v="37592"/>
    <n v="37589.800000000003"/>
    <n v="0"/>
    <n v="0"/>
    <n v="2.1999999999970896"/>
    <m/>
  </r>
  <r>
    <s v="8470210"/>
    <s v="KUST - Khalifa University of Science &amp; Technology - General Administration"/>
    <s v="420570"/>
    <x v="1"/>
    <s v="847.8470210.1.420570.000000.847001.200179"/>
    <n v="0"/>
    <n v="14169"/>
    <m/>
    <n v="0"/>
    <n v="0"/>
    <n v="14169"/>
    <m/>
  </r>
  <r>
    <s v="8470210"/>
    <s v="KUST - Khalifa University of Science &amp; Technology - General Administration"/>
    <s v="425770"/>
    <x v="20"/>
    <s v="847.8470210.1.425770.000000.847001.200179"/>
    <n v="0"/>
    <n v="0"/>
    <m/>
    <n v="0"/>
    <n v="0"/>
    <n v="0"/>
    <m/>
  </r>
  <r>
    <s v="8470210"/>
    <s v="KUST - Khalifa University of Science &amp; Technology - General Administration"/>
    <s v="427200"/>
    <x v="17"/>
    <s v="847.8470210.1.427200.000000.847001.200179"/>
    <n v="0"/>
    <n v="331"/>
    <m/>
    <n v="0"/>
    <n v="0"/>
    <n v="331"/>
    <m/>
  </r>
  <r>
    <s v="8470210"/>
    <s v="KUST - Khalifa University of Science &amp; Technology - General Administration"/>
    <s v="428090"/>
    <x v="9"/>
    <s v="847.8470210.1.428090.000000.847001.200179"/>
    <n v="0"/>
    <n v="0"/>
    <m/>
    <n v="0"/>
    <n v="0"/>
    <n v="0"/>
    <m/>
  </r>
  <r>
    <s v="8470210"/>
    <s v="KUST - Khalifa University of Science &amp; Technology - General Administration"/>
    <s v="428640"/>
    <x v="11"/>
    <s v="847.8470210.1.428640.000000.847001.200179"/>
    <n v="0"/>
    <n v="0"/>
    <m/>
    <n v="0"/>
    <n v="0"/>
    <n v="0"/>
    <m/>
  </r>
  <r>
    <s v="8470210"/>
    <s v="KUST - Khalifa University of Science &amp; Technology - General Administration"/>
    <s v="435350"/>
    <x v="21"/>
    <s v="847.8470210.1.435350.000000.847001.200179"/>
    <n v="0"/>
    <n v="0"/>
    <m/>
    <n v="0"/>
    <n v="0"/>
    <n v="0"/>
    <m/>
  </r>
  <r>
    <s v="8470210"/>
    <s v="KUST - Khalifa University of Science &amp; Technology - General Administration"/>
    <s v="435523"/>
    <x v="22"/>
    <s v="847.8470210.1.435523.000000.847001.200179"/>
    <n v="0"/>
    <n v="0"/>
    <m/>
    <n v="0"/>
    <n v="0"/>
    <n v="0"/>
    <m/>
  </r>
  <r>
    <s v="8470220"/>
    <s v="KUST - Office of the Provost"/>
    <s v="420550"/>
    <x v="0"/>
    <s v="847.8470220.1.420550.000000.847001.200179"/>
    <n v="60000"/>
    <n v="9477"/>
    <n v="970.85"/>
    <n v="0"/>
    <n v="0"/>
    <n v="8506.15"/>
    <m/>
  </r>
  <r>
    <s v="8470220"/>
    <s v="KUST - Office of the Provost"/>
    <s v="420570"/>
    <x v="1"/>
    <s v="847.8470220.1.420570.000000.847001.200179"/>
    <n v="492387"/>
    <n v="280033"/>
    <n v="280031.34999999998"/>
    <n v="0"/>
    <n v="0"/>
    <n v="1.6500000000232831"/>
    <m/>
  </r>
  <r>
    <s v="8470220"/>
    <s v="KUST - Office of the Provost"/>
    <s v="421700"/>
    <x v="4"/>
    <s v="847.8470220.1.421700.000000.847001.200179"/>
    <n v="375000"/>
    <n v="1"/>
    <m/>
    <n v="0"/>
    <n v="0"/>
    <n v="1"/>
    <m/>
  </r>
  <r>
    <s v="8470220"/>
    <s v="KUST - Office of the Provost"/>
    <s v="425510"/>
    <x v="5"/>
    <s v="847.8470220.1.425510.000000.847001.200179"/>
    <n v="10000"/>
    <n v="13752"/>
    <n v="13750"/>
    <n v="0"/>
    <n v="0"/>
    <n v="2"/>
    <m/>
  </r>
  <r>
    <s v="8470220"/>
    <s v="KUST - Office of the Provost"/>
    <s v="425550"/>
    <x v="6"/>
    <s v="847.8470220.1.425550.000000.847001.200179"/>
    <n v="25000"/>
    <n v="13792"/>
    <n v="13790"/>
    <n v="0"/>
    <n v="0"/>
    <n v="2"/>
    <m/>
  </r>
  <r>
    <s v="8470220"/>
    <s v="KUST - Office of the Provost"/>
    <s v="425740"/>
    <x v="23"/>
    <s v="847.8470220.1.425740.000000.847001.200179"/>
    <n v="694710"/>
    <n v="2"/>
    <m/>
    <n v="0"/>
    <n v="0"/>
    <n v="2"/>
    <m/>
  </r>
  <r>
    <s v="8470220"/>
    <s v="KUST - Office of the Provost"/>
    <s v="425900"/>
    <x v="7"/>
    <s v="847.8470220.1.425900.000000.847001.200179"/>
    <n v="12000"/>
    <n v="22987"/>
    <n v="21378.1"/>
    <n v="0"/>
    <n v="0"/>
    <n v="1608.9000000000015"/>
    <m/>
  </r>
  <r>
    <s v="8470220"/>
    <s v="KUST - Office of the Provost"/>
    <s v="426610"/>
    <x v="8"/>
    <s v="847.8470220.1.426610.000000.847001.200179"/>
    <n v="50000"/>
    <n v="2"/>
    <m/>
    <n v="0"/>
    <n v="0"/>
    <n v="2"/>
    <m/>
  </r>
  <r>
    <s v="8470220"/>
    <s v="KUST - Office of the Provost"/>
    <s v="428090"/>
    <x v="9"/>
    <s v="847.8470220.1.428090.000000.847001.200179"/>
    <n v="65500"/>
    <n v="33102"/>
    <n v="33100"/>
    <n v="0"/>
    <n v="0"/>
    <n v="2"/>
    <m/>
  </r>
  <r>
    <s v="8470220"/>
    <s v="KUST - Office of the Provost"/>
    <s v="428640"/>
    <x v="11"/>
    <s v="847.8470220.1.428640.000000.847001.200179"/>
    <n v="20000"/>
    <n v="6322"/>
    <n v="6320"/>
    <n v="0"/>
    <n v="0"/>
    <n v="2"/>
    <m/>
  </r>
  <r>
    <s v="8470220"/>
    <s v="KUST - Office of the Provost"/>
    <s v="432205"/>
    <x v="24"/>
    <s v="847.8470220.1.432205.000000.847001.200179"/>
    <n v="10000"/>
    <n v="4650"/>
    <n v="4648"/>
    <n v="0"/>
    <n v="0"/>
    <n v="2"/>
    <m/>
  </r>
  <r>
    <s v="8470230"/>
    <s v="KUST - Graduate Studies"/>
    <s v="420550"/>
    <x v="0"/>
    <s v="847.8470230.1.420550.000000.847001.200179"/>
    <n v="1020620"/>
    <n v="93666"/>
    <n v="93665.1"/>
    <n v="0"/>
    <n v="0"/>
    <n v="0.89999999999417923"/>
    <m/>
  </r>
  <r>
    <s v="8470230"/>
    <s v="KUST - Graduate Studies"/>
    <s v="425100"/>
    <x v="14"/>
    <s v="847.8470230.1.425100.000000.847001.200179"/>
    <n v="300000"/>
    <n v="0"/>
    <m/>
    <n v="0"/>
    <n v="0"/>
    <n v="0"/>
    <m/>
  </r>
  <r>
    <s v="8470230"/>
    <s v="KUST - Graduate Studies"/>
    <s v="425510"/>
    <x v="5"/>
    <s v="847.8470230.1.425510.000000.847001.200179"/>
    <n v="34000"/>
    <n v="9465"/>
    <n v="9463"/>
    <n v="0"/>
    <n v="0"/>
    <n v="2"/>
    <m/>
  </r>
  <r>
    <s v="8470230"/>
    <s v="KUST - Graduate Studies"/>
    <s v="425550"/>
    <x v="6"/>
    <s v="847.8470230.1.425550.000000.847001.200179"/>
    <n v="222000"/>
    <n v="196443"/>
    <n v="196440.99"/>
    <n v="0"/>
    <n v="0"/>
    <n v="2.0100000000093132"/>
    <m/>
  </r>
  <r>
    <s v="8470230"/>
    <s v="KUST - Graduate Studies"/>
    <s v="425743"/>
    <x v="25"/>
    <s v="847.8470230.1.425743.000000.847001.200179"/>
    <n v="240000"/>
    <n v="240000"/>
    <n v="240000"/>
    <n v="0"/>
    <n v="0"/>
    <n v="0"/>
    <m/>
  </r>
  <r>
    <s v="8470230"/>
    <s v="KUST - Graduate Studies"/>
    <s v="425744"/>
    <x v="26"/>
    <s v="847.8470230.1.425744.000000.847001.200179"/>
    <n v="4816800"/>
    <n v="3630931"/>
    <n v="3630763.75"/>
    <n v="0"/>
    <n v="0"/>
    <n v="167.25"/>
    <m/>
  </r>
  <r>
    <s v="8470230"/>
    <s v="KUST - Graduate Studies"/>
    <s v="425745"/>
    <x v="27"/>
    <s v="847.8470230.1.425745.000000.847001.200179"/>
    <n v="1971263"/>
    <n v="1771263"/>
    <n v="1746406.35"/>
    <n v="0"/>
    <n v="0"/>
    <n v="24856.649999999907"/>
    <m/>
  </r>
  <r>
    <s v="8470230"/>
    <s v="KUST - Graduate Studies"/>
    <s v="425749"/>
    <x v="28"/>
    <s v="847.8470230.1.425749.000000.847001.200179"/>
    <n v="110824684"/>
    <n v="118214474"/>
    <n v="118211465.31999999"/>
    <n v="0"/>
    <n v="0"/>
    <n v="3008.6800000071526"/>
    <m/>
  </r>
  <r>
    <s v="8470230"/>
    <s v="KUST - Graduate Studies"/>
    <s v="425761"/>
    <x v="29"/>
    <s v="847.8470230.1.425761.000000.847001.200179"/>
    <n v="150000"/>
    <n v="0"/>
    <m/>
    <n v="0"/>
    <n v="0"/>
    <n v="0"/>
    <m/>
  </r>
  <r>
    <s v="8470230"/>
    <s v="KUST - Graduate Studies"/>
    <s v="425762"/>
    <x v="30"/>
    <s v="847.8470230.1.425762.000000.847001.200179"/>
    <n v="150000"/>
    <n v="213700"/>
    <n v="212707.89"/>
    <n v="0"/>
    <n v="0"/>
    <n v="992.10999999998603"/>
    <m/>
  </r>
  <r>
    <s v="8470230"/>
    <s v="KUST - Graduate Studies"/>
    <s v="425900"/>
    <x v="7"/>
    <s v="847.8470230.1.425900.000000.847001.200179"/>
    <n v="45648"/>
    <n v="2172"/>
    <n v="2169.6999999999998"/>
    <n v="0"/>
    <n v="0"/>
    <n v="2.3000000000001819"/>
    <m/>
  </r>
  <r>
    <s v="8470230"/>
    <s v="KUST - Graduate Studies"/>
    <s v="426610"/>
    <x v="8"/>
    <s v="847.8470230.1.426610.000000.847001.200179"/>
    <n v="10000"/>
    <n v="2"/>
    <m/>
    <n v="0"/>
    <n v="0"/>
    <n v="2"/>
    <m/>
  </r>
  <r>
    <s v="8470230"/>
    <s v="KUST - Graduate Studies"/>
    <s v="428090"/>
    <x v="9"/>
    <s v="847.8470230.1.428090.000000.847001.200179"/>
    <n v="97000"/>
    <n v="2"/>
    <m/>
    <n v="0"/>
    <n v="0"/>
    <n v="2"/>
    <m/>
  </r>
  <r>
    <s v="8470230"/>
    <s v="KUST - Graduate Studies"/>
    <s v="428640"/>
    <x v="11"/>
    <s v="847.8470230.1.428640.000000.847001.200179"/>
    <n v="80000"/>
    <n v="2"/>
    <m/>
    <n v="0"/>
    <n v="0"/>
    <n v="2"/>
    <m/>
  </r>
  <r>
    <s v="8470230"/>
    <s v="KUST - Graduate Studies"/>
    <s v="436110"/>
    <x v="31"/>
    <s v="847.8470230.1.436110.000000.847001.200179"/>
    <n v="5000"/>
    <n v="2"/>
    <m/>
    <n v="0"/>
    <n v="0"/>
    <n v="2"/>
    <m/>
  </r>
  <r>
    <s v="8470305"/>
    <s v="KUST - Dean Of Engineering"/>
    <s v="420550"/>
    <x v="0"/>
    <s v="847.8470305.1.420550.000000.847001.200179"/>
    <n v="10000"/>
    <n v="127000"/>
    <n v="124529.41"/>
    <n v="0"/>
    <n v="0"/>
    <n v="2470.5899999999965"/>
    <m/>
  </r>
  <r>
    <s v="8470305"/>
    <s v="KUST - Dean Of Engineering"/>
    <s v="420570"/>
    <x v="1"/>
    <s v="847.8470305.1.420570.000000.847001.200179"/>
    <n v="10000"/>
    <n v="10000"/>
    <m/>
    <n v="0"/>
    <n v="0"/>
    <n v="10000"/>
    <m/>
  </r>
  <r>
    <s v="8470305"/>
    <s v="KUST - Dean Of Engineering"/>
    <s v="421700"/>
    <x v="4"/>
    <s v="847.8470305.1.421700.000000.847001.200179"/>
    <n v="506004"/>
    <n v="310191"/>
    <n v="310190.40000000002"/>
    <n v="0"/>
    <n v="0"/>
    <n v="0.59999999997671694"/>
    <m/>
  </r>
  <r>
    <s v="8470305"/>
    <s v="KUST - Dean Of Engineering"/>
    <s v="425510"/>
    <x v="5"/>
    <s v="847.8470305.1.425510.000000.847001.200179"/>
    <n v="20000"/>
    <n v="20000"/>
    <n v="12614.75"/>
    <n v="0"/>
    <n v="0"/>
    <n v="7385.25"/>
    <m/>
  </r>
  <r>
    <s v="8470305"/>
    <s v="KUST - Dean Of Engineering"/>
    <s v="425763"/>
    <x v="15"/>
    <s v="847.8470305.1.425763.000000.847001.200179"/>
    <n v="100000"/>
    <n v="66993"/>
    <n v="52243.54"/>
    <n v="0"/>
    <n v="0"/>
    <n v="14749.46"/>
    <m/>
  </r>
  <r>
    <s v="8470305"/>
    <s v="KUST - Dean Of Engineering"/>
    <s v="425770"/>
    <x v="20"/>
    <s v="847.8470305.1.425770.000000.847001.200179"/>
    <n v="704499"/>
    <n v="121586"/>
    <n v="121584.62"/>
    <n v="0"/>
    <n v="0"/>
    <n v="1.3800000000046566"/>
    <m/>
  </r>
  <r>
    <s v="8470305"/>
    <s v="KUST - Dean Of Engineering"/>
    <s v="425900"/>
    <x v="7"/>
    <s v="847.8470305.1.425900.000000.847001.200179"/>
    <n v="18000"/>
    <n v="18000"/>
    <n v="12479.25"/>
    <n v="0"/>
    <n v="0"/>
    <n v="5520.75"/>
    <m/>
  </r>
  <r>
    <s v="8470305"/>
    <s v="KUST - Dean Of Engineering"/>
    <s v="426610"/>
    <x v="8"/>
    <s v="847.8470305.1.426610.000000.847001.200179"/>
    <n v="100000"/>
    <n v="58000"/>
    <n v="54660.06"/>
    <n v="0"/>
    <n v="0"/>
    <n v="3339.9400000000023"/>
    <m/>
  </r>
  <r>
    <s v="8470305"/>
    <s v="KUST - Dean Of Engineering"/>
    <s v="428090"/>
    <x v="9"/>
    <s v="847.8470305.1.428090.000000.847001.200179"/>
    <n v="35000"/>
    <n v="25464"/>
    <m/>
    <n v="0"/>
    <n v="0"/>
    <n v="25464"/>
    <m/>
  </r>
  <r>
    <s v="8470305"/>
    <s v="KUST - Dean Of Engineering"/>
    <s v="428640"/>
    <x v="11"/>
    <s v="847.8470305.1.428640.000000.847001.200179"/>
    <n v="45000"/>
    <n v="22835"/>
    <m/>
    <n v="0"/>
    <n v="0"/>
    <n v="22835"/>
    <m/>
  </r>
  <r>
    <s v="8470305"/>
    <s v="KUST - Dean Of Engineering"/>
    <s v="432209"/>
    <x v="32"/>
    <s v="847.8470305.1.432209.000000.847001.200179"/>
    <n v="45292"/>
    <n v="45292"/>
    <n v="43796.32"/>
    <n v="0"/>
    <n v="0"/>
    <n v="1495.6800000000003"/>
    <m/>
  </r>
  <r>
    <s v="8470305"/>
    <s v="KUST - Dean Of Engineering"/>
    <s v="435350"/>
    <x v="21"/>
    <s v="847.8470305.1.435350.000000.847001.200179"/>
    <n v="260000"/>
    <n v="45789"/>
    <n v="20510.169999999998"/>
    <n v="0"/>
    <n v="0"/>
    <n v="25278.83"/>
    <m/>
  </r>
  <r>
    <s v="8470305"/>
    <s v="KUST - Dean Of Engineering"/>
    <s v="435508"/>
    <x v="33"/>
    <s v="847.8470305.1.435508.000000.847001.200179"/>
    <n v="100000"/>
    <n v="65000"/>
    <n v="40685.050000000003"/>
    <n v="0"/>
    <n v="0"/>
    <n v="24314.949999999997"/>
    <m/>
  </r>
  <r>
    <s v="8470305"/>
    <s v="KUST - Dean Of Engineering"/>
    <s v="436600"/>
    <x v="34"/>
    <s v="847.8470305.1.436600.000000.847001.200179"/>
    <n v="25000"/>
    <n v="25000"/>
    <m/>
    <n v="0"/>
    <n v="0"/>
    <n v="25000"/>
    <m/>
  </r>
  <r>
    <s v="8470310"/>
    <s v="KUST - Aerospace Engineering"/>
    <s v="420550"/>
    <x v="0"/>
    <s v="847.8470310.1.420550.000000.847001.200179"/>
    <n v="20000"/>
    <n v="20000"/>
    <m/>
    <n v="0"/>
    <n v="0"/>
    <n v="20000"/>
    <m/>
  </r>
  <r>
    <s v="8470310"/>
    <s v="KUST - Aerospace Engineering"/>
    <s v="425510"/>
    <x v="5"/>
    <s v="847.8470310.1.425510.000000.847001.200179"/>
    <n v="15000"/>
    <n v="15000"/>
    <n v="5918"/>
    <n v="0"/>
    <n v="0"/>
    <n v="9082"/>
    <m/>
  </r>
  <r>
    <s v="8470310"/>
    <s v="KUST - Aerospace Engineering"/>
    <s v="425760"/>
    <x v="35"/>
    <s v="847.8470310.1.425760.000000.847001.200179"/>
    <n v="150000"/>
    <n v="142000"/>
    <n v="141230.35"/>
    <n v="0"/>
    <n v="0"/>
    <n v="769.64999999999418"/>
    <m/>
  </r>
  <r>
    <s v="8470310"/>
    <s v="KUST - Aerospace Engineering"/>
    <s v="425763"/>
    <x v="15"/>
    <s v="847.8470310.1.425763.000000.847001.200179"/>
    <n v="350000"/>
    <n v="350000"/>
    <n v="346087.16"/>
    <n v="0"/>
    <n v="0"/>
    <n v="3912.8400000000256"/>
    <m/>
  </r>
  <r>
    <s v="8470310"/>
    <s v="KUST - Aerospace Engineering"/>
    <s v="425770"/>
    <x v="20"/>
    <s v="847.8470310.1.425770.000000.847001.200179"/>
    <n v="210000"/>
    <n v="70188"/>
    <n v="69894.84"/>
    <n v="0"/>
    <n v="0"/>
    <n v="293.16000000000349"/>
    <m/>
  </r>
  <r>
    <s v="8470310"/>
    <s v="KUST - Aerospace Engineering"/>
    <s v="425900"/>
    <x v="7"/>
    <s v="847.8470310.1.425900.000000.847001.200179"/>
    <n v="8500"/>
    <n v="8500"/>
    <n v="4600"/>
    <n v="0"/>
    <n v="0"/>
    <n v="3900"/>
    <m/>
  </r>
  <r>
    <s v="8470310"/>
    <s v="KUST - Aerospace Engineering"/>
    <s v="426610"/>
    <x v="8"/>
    <s v="847.8470310.1.426610.000000.847001.200179"/>
    <n v="9114"/>
    <n v="9114"/>
    <n v="8895.2800000000007"/>
    <n v="0"/>
    <n v="0"/>
    <n v="218.71999999999935"/>
    <m/>
  </r>
  <r>
    <s v="8470310"/>
    <s v="KUST - Aerospace Engineering"/>
    <s v="428090"/>
    <x v="9"/>
    <s v="847.8470310.1.428090.000000.847001.200179"/>
    <n v="40000"/>
    <n v="14536"/>
    <n v="7951"/>
    <n v="0"/>
    <n v="0"/>
    <n v="6585"/>
    <m/>
  </r>
  <r>
    <s v="8470310"/>
    <s v="KUST - Aerospace Engineering"/>
    <s v="432209"/>
    <x v="32"/>
    <s v="847.8470310.1.432209.000000.847001.200179"/>
    <n v="80000"/>
    <n v="5000"/>
    <m/>
    <n v="0"/>
    <n v="0"/>
    <n v="5000"/>
    <m/>
  </r>
  <r>
    <s v="8470310"/>
    <s v="KUST - Aerospace Engineering"/>
    <s v="435340"/>
    <x v="36"/>
    <s v="847.8470310.1.435340.000000.847001.200179"/>
    <n v="0"/>
    <n v="60000"/>
    <n v="53660.77"/>
    <n v="0"/>
    <n v="0"/>
    <n v="6339.2300000000032"/>
    <m/>
  </r>
  <r>
    <s v="8470310"/>
    <s v="KUST - Aerospace Engineering"/>
    <s v="435350"/>
    <x v="21"/>
    <s v="847.8470310.1.435350.000000.847001.200179"/>
    <n v="182000"/>
    <n v="99482"/>
    <n v="88017.37"/>
    <n v="0"/>
    <n v="0"/>
    <n v="11464.630000000005"/>
    <m/>
  </r>
  <r>
    <s v="8470310"/>
    <s v="KUST - Aerospace Engineering"/>
    <s v="435508"/>
    <x v="33"/>
    <s v="847.8470310.1.435508.000000.847001.200179"/>
    <n v="80000"/>
    <n v="155000"/>
    <n v="151685.32999999999"/>
    <n v="0"/>
    <n v="0"/>
    <n v="3314.6700000000128"/>
    <m/>
  </r>
  <r>
    <s v="8470310"/>
    <s v="KUST - Aerospace Engineering"/>
    <s v="436110"/>
    <x v="31"/>
    <s v="847.8470310.1.436110.000000.847001.200179"/>
    <n v="4000"/>
    <n v="4000"/>
    <m/>
    <n v="0"/>
    <n v="0"/>
    <n v="4000"/>
    <m/>
  </r>
  <r>
    <s v="8470310"/>
    <s v="KUST - Aerospace Engineering"/>
    <s v="436600"/>
    <x v="34"/>
    <s v="847.8470310.1.436600.000000.847001.200179"/>
    <n v="5000"/>
    <n v="5000"/>
    <m/>
    <n v="0"/>
    <n v="0"/>
    <n v="5000"/>
    <m/>
  </r>
  <r>
    <s v="8470315"/>
    <s v="KUST - Biomedical Engineering"/>
    <s v="420550"/>
    <x v="0"/>
    <s v="847.8470315.1.420550.000000.847001.200179"/>
    <n v="1000"/>
    <n v="31025"/>
    <n v="30455"/>
    <n v="0"/>
    <n v="0"/>
    <n v="570"/>
    <m/>
  </r>
  <r>
    <s v="8470315"/>
    <s v="KUST - Biomedical Engineering"/>
    <s v="425510"/>
    <x v="5"/>
    <s v="847.8470315.1.425510.000000.847001.200179"/>
    <n v="4000"/>
    <n v="5139"/>
    <n v="367.5"/>
    <n v="0"/>
    <n v="0"/>
    <n v="4771.5"/>
    <m/>
  </r>
  <r>
    <s v="8470315"/>
    <s v="KUST - Biomedical Engineering"/>
    <s v="425760"/>
    <x v="35"/>
    <s v="847.8470315.1.425760.000000.847001.200179"/>
    <n v="20000"/>
    <n v="6455"/>
    <n v="6454.01"/>
    <n v="0"/>
    <n v="0"/>
    <n v="0.98999999999978172"/>
    <m/>
  </r>
  <r>
    <s v="8470315"/>
    <s v="KUST - Biomedical Engineering"/>
    <s v="425763"/>
    <x v="15"/>
    <s v="847.8470315.1.425763.000000.847001.200179"/>
    <n v="180000"/>
    <n v="119800"/>
    <n v="119798.77"/>
    <n v="0"/>
    <n v="0"/>
    <n v="1.2299999999959255"/>
    <m/>
  </r>
  <r>
    <s v="8470315"/>
    <s v="KUST - Biomedical Engineering"/>
    <s v="425770"/>
    <x v="20"/>
    <s v="847.8470315.1.425770.000000.847001.200179"/>
    <n v="180000"/>
    <n v="97193"/>
    <n v="80688.58"/>
    <n v="0"/>
    <n v="0"/>
    <n v="16504.419999999998"/>
    <m/>
  </r>
  <r>
    <s v="8470315"/>
    <s v="KUST - Biomedical Engineering"/>
    <s v="425900"/>
    <x v="7"/>
    <s v="847.8470315.1.425900.000000.847001.200179"/>
    <n v="10000"/>
    <n v="17000"/>
    <n v="13875.5"/>
    <n v="0"/>
    <n v="0"/>
    <n v="3124.5"/>
    <m/>
  </r>
  <r>
    <s v="8470315"/>
    <s v="KUST - Biomedical Engineering"/>
    <s v="426610"/>
    <x v="8"/>
    <s v="847.8470315.1.426610.000000.847001.200179"/>
    <n v="99576"/>
    <n v="7412"/>
    <n v="7411.92"/>
    <n v="0"/>
    <n v="0"/>
    <n v="7.999999999992724E-2"/>
    <m/>
  </r>
  <r>
    <s v="8470315"/>
    <s v="KUST - Biomedical Engineering"/>
    <s v="428090"/>
    <x v="9"/>
    <s v="847.8470315.1.428090.000000.847001.200179"/>
    <n v="10000"/>
    <n v="2725"/>
    <m/>
    <n v="0"/>
    <n v="0"/>
    <n v="2725"/>
    <m/>
  </r>
  <r>
    <s v="8470315"/>
    <s v="KUST - Biomedical Engineering"/>
    <s v="432209"/>
    <x v="32"/>
    <s v="847.8470315.1.432209.000000.847001.200179"/>
    <n v="90250"/>
    <n v="90250"/>
    <n v="61376.12"/>
    <n v="0"/>
    <n v="26517.8"/>
    <n v="2356.0799999999981"/>
    <m/>
  </r>
  <r>
    <s v="8470315"/>
    <s v="KUST - Biomedical Engineering"/>
    <s v="435350"/>
    <x v="21"/>
    <s v="847.8470315.1.435350.000000.847001.200179"/>
    <n v="38400"/>
    <n v="38192"/>
    <n v="32030.63"/>
    <n v="0"/>
    <n v="0"/>
    <n v="6161.369999999999"/>
    <m/>
  </r>
  <r>
    <s v="8470315"/>
    <s v="KUST - Biomedical Engineering"/>
    <s v="435508"/>
    <x v="33"/>
    <s v="847.8470315.1.435508.000000.847001.200179"/>
    <n v="150000"/>
    <n v="195655"/>
    <n v="194459.45"/>
    <n v="0"/>
    <n v="1191.78"/>
    <n v="3.7699999999883858"/>
    <m/>
  </r>
  <r>
    <s v="8470315"/>
    <s v="KUST - Biomedical Engineering"/>
    <s v="436110"/>
    <x v="31"/>
    <s v="847.8470315.1.436110.000000.847001.200179"/>
    <n v="2000"/>
    <n v="2000"/>
    <m/>
    <n v="0"/>
    <n v="0"/>
    <n v="2000"/>
    <m/>
  </r>
  <r>
    <s v="8470315"/>
    <s v="KUST - Biomedical Engineering"/>
    <s v="436600"/>
    <x v="34"/>
    <s v="847.8470315.1.436600.000000.847001.200179"/>
    <n v="3000"/>
    <n v="3000"/>
    <m/>
    <n v="0"/>
    <n v="0"/>
    <n v="3000"/>
    <m/>
  </r>
  <r>
    <s v="8470320"/>
    <s v="KUST - Chemical Engineering"/>
    <s v="420550"/>
    <x v="0"/>
    <s v="847.8470320.1.420550.000000.847001.200179"/>
    <n v="20000"/>
    <n v="20000"/>
    <n v="2362.5"/>
    <n v="0"/>
    <n v="0"/>
    <n v="17637.5"/>
    <m/>
  </r>
  <r>
    <s v="8470320"/>
    <s v="KUST - Chemical Engineering"/>
    <s v="425510"/>
    <x v="5"/>
    <s v="847.8470320.1.425510.000000.847001.200179"/>
    <n v="30000"/>
    <n v="30232"/>
    <n v="30230.33"/>
    <n v="0"/>
    <n v="0"/>
    <n v="1.6699999999982538"/>
    <m/>
  </r>
  <r>
    <s v="8470320"/>
    <s v="KUST - Chemical Engineering"/>
    <s v="425760"/>
    <x v="35"/>
    <s v="847.8470320.1.425760.000000.847001.200179"/>
    <n v="25000"/>
    <n v="2"/>
    <m/>
    <n v="0"/>
    <n v="0"/>
    <n v="2"/>
    <m/>
  </r>
  <r>
    <s v="8470320"/>
    <s v="KUST - Chemical Engineering"/>
    <s v="425763"/>
    <x v="15"/>
    <s v="847.8470320.1.425763.000000.847001.200179"/>
    <n v="100000"/>
    <n v="63666"/>
    <n v="63663.57"/>
    <n v="0"/>
    <n v="0"/>
    <n v="2.430000000000291"/>
    <m/>
  </r>
  <r>
    <s v="8470320"/>
    <s v="KUST - Chemical Engineering"/>
    <s v="425770"/>
    <x v="20"/>
    <s v="847.8470320.1.425770.000000.847001.200179"/>
    <n v="450000"/>
    <n v="179134"/>
    <n v="179133.07"/>
    <n v="0"/>
    <n v="0"/>
    <n v="0.92999999999301508"/>
    <m/>
  </r>
  <r>
    <s v="8470320"/>
    <s v="KUST - Chemical Engineering"/>
    <s v="425900"/>
    <x v="7"/>
    <s v="847.8470320.1.425900.000000.847001.200179"/>
    <n v="20000"/>
    <n v="4752"/>
    <n v="4750"/>
    <n v="0"/>
    <n v="0"/>
    <n v="2"/>
    <m/>
  </r>
  <r>
    <s v="8470320"/>
    <s v="KUST - Chemical Engineering"/>
    <s v="426610"/>
    <x v="8"/>
    <s v="847.8470320.1.426610.000000.847001.200179"/>
    <n v="75000"/>
    <n v="60386"/>
    <n v="60384.12"/>
    <n v="0"/>
    <n v="0"/>
    <n v="1.8799999999973807"/>
    <m/>
  </r>
  <r>
    <s v="8470320"/>
    <s v="KUST - Chemical Engineering"/>
    <s v="428090"/>
    <x v="9"/>
    <s v="847.8470320.1.428090.000000.847001.200179"/>
    <n v="35000"/>
    <n v="10401"/>
    <n v="10400"/>
    <n v="0"/>
    <n v="0"/>
    <n v="1"/>
    <m/>
  </r>
  <r>
    <s v="8470320"/>
    <s v="KUST - Chemical Engineering"/>
    <s v="435350"/>
    <x v="21"/>
    <s v="847.8470320.1.435350.000000.847001.200179"/>
    <n v="50000"/>
    <n v="29251"/>
    <n v="22245.54"/>
    <n v="0"/>
    <n v="0"/>
    <n v="7005.4599999999991"/>
    <m/>
  </r>
  <r>
    <s v="8470320"/>
    <s v="KUST - Chemical Engineering"/>
    <s v="435508"/>
    <x v="33"/>
    <s v="847.8470320.1.435508.000000.847001.200179"/>
    <n v="200000"/>
    <n v="212131"/>
    <n v="194915"/>
    <n v="0"/>
    <n v="1613.70000000001"/>
    <n v="15602.29999999999"/>
    <m/>
  </r>
  <r>
    <s v="8470320"/>
    <s v="KUST - Chemical Engineering"/>
    <s v="436110"/>
    <x v="31"/>
    <s v="847.8470320.1.436110.000000.847001.200179"/>
    <n v="35000"/>
    <n v="35000"/>
    <n v="20011.63"/>
    <n v="0"/>
    <n v="0"/>
    <n v="14988.369999999999"/>
    <m/>
  </r>
  <r>
    <s v="8470320"/>
    <s v="KUST - Chemical Engineering"/>
    <s v="436600"/>
    <x v="34"/>
    <s v="847.8470320.1.436600.000000.847001.200179"/>
    <n v="45000"/>
    <n v="38400"/>
    <n v="12485"/>
    <n v="0"/>
    <n v="0"/>
    <n v="25915"/>
    <m/>
  </r>
  <r>
    <s v="8470325"/>
    <s v="KUST - Civil Engineering"/>
    <s v="420550"/>
    <x v="0"/>
    <s v="847.8470325.1.420550.000000.847001.200179"/>
    <n v="4000"/>
    <n v="4000"/>
    <m/>
    <n v="0"/>
    <n v="0"/>
    <n v="4000"/>
    <m/>
  </r>
  <r>
    <s v="8470325"/>
    <s v="KUST - Civil Engineering"/>
    <s v="425510"/>
    <x v="5"/>
    <s v="847.8470325.1.425510.000000.847001.200179"/>
    <n v="6600"/>
    <n v="6600"/>
    <n v="6300"/>
    <n v="0"/>
    <n v="0"/>
    <n v="300"/>
    <m/>
  </r>
  <r>
    <s v="8470325"/>
    <s v="KUST - Civil Engineering"/>
    <s v="425760"/>
    <x v="35"/>
    <s v="847.8470325.1.425760.000000.847001.200179"/>
    <n v="5000"/>
    <n v="5000"/>
    <n v="990.47"/>
    <n v="0"/>
    <n v="0"/>
    <n v="4009.5299999999997"/>
    <m/>
  </r>
  <r>
    <s v="8470325"/>
    <s v="KUST - Civil Engineering"/>
    <s v="425763"/>
    <x v="15"/>
    <s v="847.8470325.1.425763.000000.847001.200179"/>
    <n v="370000"/>
    <n v="272459"/>
    <n v="253397.66"/>
    <n v="0"/>
    <n v="0"/>
    <n v="19061.339999999997"/>
    <m/>
  </r>
  <r>
    <s v="8470325"/>
    <s v="KUST - Civil Engineering"/>
    <s v="425770"/>
    <x v="20"/>
    <s v="847.8470325.1.425770.000000.847001.200179"/>
    <n v="165000"/>
    <n v="112556"/>
    <n v="106816.03"/>
    <n v="0"/>
    <n v="0"/>
    <n v="5739.9700000000012"/>
    <m/>
  </r>
  <r>
    <s v="8470325"/>
    <s v="KUST - Civil Engineering"/>
    <s v="426610"/>
    <x v="8"/>
    <s v="847.8470325.1.426610.000000.847001.200179"/>
    <n v="34910"/>
    <n v="39910"/>
    <n v="24682.400000000001"/>
    <n v="0"/>
    <n v="0"/>
    <n v="15227.599999999999"/>
    <m/>
  </r>
  <r>
    <s v="8470325"/>
    <s v="KUST - Civil Engineering"/>
    <s v="428090"/>
    <x v="9"/>
    <s v="847.8470325.1.428090.000000.847001.200179"/>
    <n v="30000"/>
    <n v="0"/>
    <m/>
    <n v="0"/>
    <n v="0"/>
    <n v="0"/>
    <m/>
  </r>
  <r>
    <s v="8470325"/>
    <s v="KUST - Civil Engineering"/>
    <s v="432209"/>
    <x v="32"/>
    <s v="847.8470325.1.432209.000000.847001.200179"/>
    <n v="171550"/>
    <n v="201550"/>
    <n v="168732"/>
    <n v="0"/>
    <n v="8450"/>
    <n v="24368"/>
    <m/>
  </r>
  <r>
    <s v="8470325"/>
    <s v="KUST - Civil Engineering"/>
    <s v="435350"/>
    <x v="21"/>
    <s v="847.8470325.1.435350.000000.847001.200179"/>
    <n v="80000"/>
    <n v="43337"/>
    <n v="15857"/>
    <n v="0"/>
    <n v="0"/>
    <n v="27480"/>
    <m/>
  </r>
  <r>
    <s v="8470325"/>
    <s v="KUST - Civil Engineering"/>
    <s v="435508"/>
    <x v="33"/>
    <s v="847.8470325.1.435508.000000.847001.200179"/>
    <n v="92573"/>
    <n v="92573"/>
    <n v="57978.7"/>
    <n v="0"/>
    <n v="32830"/>
    <n v="1764.3000000000029"/>
    <m/>
  </r>
  <r>
    <s v="8470330"/>
    <s v="KUST - Electrical &amp; Computer Engineering"/>
    <s v="420550"/>
    <x v="0"/>
    <s v="847.8470330.1.420550.000000.847001.200179"/>
    <n v="3000"/>
    <n v="3000"/>
    <m/>
    <n v="0"/>
    <n v="0"/>
    <n v="3000"/>
    <m/>
  </r>
  <r>
    <s v="8470330"/>
    <s v="KUST - Electrical &amp; Computer Engineering"/>
    <s v="425510"/>
    <x v="5"/>
    <s v="847.8470330.1.425510.000000.847001.200179"/>
    <n v="42000"/>
    <n v="27000"/>
    <n v="13765.96"/>
    <n v="0"/>
    <n v="0"/>
    <n v="13234.04"/>
    <m/>
  </r>
  <r>
    <s v="8470330"/>
    <s v="KUST - Electrical &amp; Computer Engineering"/>
    <s v="425760"/>
    <x v="35"/>
    <s v="847.8470330.1.425760.000000.847001.200179"/>
    <n v="72000"/>
    <n v="4402"/>
    <n v="4400"/>
    <n v="0"/>
    <n v="0"/>
    <n v="2"/>
    <m/>
  </r>
  <r>
    <s v="8470330"/>
    <s v="KUST - Electrical &amp; Computer Engineering"/>
    <s v="425763"/>
    <x v="15"/>
    <s v="847.8470330.1.425763.000000.847001.200179"/>
    <n v="405000"/>
    <n v="170811"/>
    <n v="170809.35"/>
    <n v="0"/>
    <n v="0"/>
    <n v="1.6499999999941792"/>
    <m/>
  </r>
  <r>
    <s v="8470330"/>
    <s v="KUST - Electrical &amp; Computer Engineering"/>
    <s v="425770"/>
    <x v="20"/>
    <s v="847.8470330.1.425770.000000.847001.200179"/>
    <n v="650000"/>
    <n v="264636"/>
    <n v="264435.36"/>
    <n v="0"/>
    <n v="0"/>
    <n v="200.64000000001397"/>
    <m/>
  </r>
  <r>
    <s v="8470330"/>
    <s v="KUST - Electrical &amp; Computer Engineering"/>
    <s v="425900"/>
    <x v="7"/>
    <s v="847.8470330.1.425900.000000.847001.200179"/>
    <n v="16000"/>
    <n v="36000"/>
    <n v="21946"/>
    <n v="0"/>
    <n v="0"/>
    <n v="14054"/>
    <m/>
  </r>
  <r>
    <s v="8470330"/>
    <s v="KUST - Electrical &amp; Computer Engineering"/>
    <s v="426610"/>
    <x v="8"/>
    <s v="847.8470330.1.426610.000000.847001.200179"/>
    <n v="720500"/>
    <n v="414734"/>
    <n v="391033.15"/>
    <n v="0"/>
    <n v="23700"/>
    <n v="0.84999999997671694"/>
    <m/>
  </r>
  <r>
    <s v="8470330"/>
    <s v="KUST - Electrical &amp; Computer Engineering"/>
    <s v="427710"/>
    <x v="13"/>
    <s v="847.8470330.1.427710.000000.847001.200179"/>
    <n v="0"/>
    <n v="10000"/>
    <n v="675.65"/>
    <n v="0"/>
    <n v="0"/>
    <n v="9324.35"/>
    <m/>
  </r>
  <r>
    <s v="8470330"/>
    <s v="KUST - Electrical &amp; Computer Engineering"/>
    <s v="428640"/>
    <x v="11"/>
    <s v="847.8470330.1.428640.000000.847001.200179"/>
    <n v="302000"/>
    <n v="2"/>
    <m/>
    <n v="0"/>
    <n v="0"/>
    <n v="2"/>
    <m/>
  </r>
  <r>
    <s v="8470330"/>
    <s v="KUST - Electrical &amp; Computer Engineering"/>
    <s v="432209"/>
    <x v="32"/>
    <s v="847.8470330.1.432209.000000.847001.200179"/>
    <n v="67400"/>
    <n v="21936"/>
    <n v="18993.86"/>
    <n v="0"/>
    <n v="0"/>
    <n v="2942.1399999999994"/>
    <m/>
  </r>
  <r>
    <s v="8470330"/>
    <s v="KUST - Electrical &amp; Computer Engineering"/>
    <s v="435340"/>
    <x v="36"/>
    <s v="847.8470330.1.435340.000000.847001.200179"/>
    <m/>
    <m/>
    <n v="0"/>
    <n v="0"/>
    <n v="0"/>
    <n v="0"/>
    <m/>
  </r>
  <r>
    <s v="8470330"/>
    <s v="KUST - Electrical &amp; Computer Engineering"/>
    <s v="435350"/>
    <x v="21"/>
    <s v="847.8470330.1.435350.000000.847001.200179"/>
    <n v="420000"/>
    <n v="166190"/>
    <n v="153994.14000000001"/>
    <n v="0"/>
    <n v="0"/>
    <n v="12195.859999999986"/>
    <m/>
  </r>
  <r>
    <s v="8470330"/>
    <s v="KUST - Electrical &amp; Computer Engineering"/>
    <s v="435508"/>
    <x v="33"/>
    <s v="847.8470330.1.435508.000000.847001.200179"/>
    <n v="20000"/>
    <n v="20000"/>
    <n v="14673.64"/>
    <n v="0"/>
    <m/>
    <n v="5326.3600000000006"/>
    <m/>
  </r>
  <r>
    <s v="8470330"/>
    <s v="KUST - Electrical &amp; Computer Engineering"/>
    <s v="436600"/>
    <x v="34"/>
    <s v="847.8470330.1.436600.000000.847001.200179"/>
    <n v="60000"/>
    <n v="15742"/>
    <m/>
    <n v="0"/>
    <n v="15740"/>
    <n v="2"/>
    <m/>
  </r>
  <r>
    <s v="8470335"/>
    <s v="KUST - Industrial &amp; Systems Engineering"/>
    <s v="420550"/>
    <x v="0"/>
    <s v="847.8470335.1.420550.000000.847001.200179"/>
    <n v="10000"/>
    <n v="10000"/>
    <n v="7346"/>
    <n v="0"/>
    <n v="0"/>
    <n v="2654"/>
    <m/>
  </r>
  <r>
    <s v="8470335"/>
    <s v="KUST - Industrial &amp; Systems Engineering"/>
    <s v="425510"/>
    <x v="5"/>
    <s v="847.8470335.1.425510.000000.847001.200179"/>
    <n v="20000"/>
    <n v="8500"/>
    <n v="3750"/>
    <n v="0"/>
    <n v="0"/>
    <n v="4750"/>
    <m/>
  </r>
  <r>
    <s v="8470335"/>
    <s v="KUST - Industrial &amp; Systems Engineering"/>
    <s v="425760"/>
    <x v="35"/>
    <s v="847.8470335.1.425760.000000.847001.200179"/>
    <n v="10000"/>
    <n v="10000"/>
    <n v="5433.75"/>
    <n v="0"/>
    <n v="0"/>
    <n v="4566.25"/>
    <m/>
  </r>
  <r>
    <s v="8470335"/>
    <s v="KUST - Industrial &amp; Systems Engineering"/>
    <s v="425763"/>
    <x v="15"/>
    <s v="847.8470335.1.425763.000000.847001.200179"/>
    <n v="50000"/>
    <n v="50000"/>
    <n v="50000"/>
    <n v="0"/>
    <n v="0"/>
    <n v="0"/>
    <m/>
  </r>
  <r>
    <s v="8470335"/>
    <s v="KUST - Industrial &amp; Systems Engineering"/>
    <s v="425770"/>
    <x v="20"/>
    <s v="847.8470335.1.425770.000000.847001.200179"/>
    <n v="270000"/>
    <n v="108634"/>
    <n v="106489.39"/>
    <n v="0"/>
    <n v="0"/>
    <n v="2144.6100000000006"/>
    <m/>
  </r>
  <r>
    <s v="8470335"/>
    <s v="KUST - Industrial &amp; Systems Engineering"/>
    <s v="425900"/>
    <x v="7"/>
    <s v="847.8470335.1.425900.000000.847001.200179"/>
    <n v="20000"/>
    <n v="15500"/>
    <n v="4095"/>
    <n v="0"/>
    <n v="0"/>
    <n v="11405"/>
    <m/>
  </r>
  <r>
    <s v="8470335"/>
    <s v="KUST - Industrial &amp; Systems Engineering"/>
    <s v="426610"/>
    <x v="8"/>
    <s v="847.8470335.1.426610.000000.847001.200179"/>
    <n v="150257"/>
    <n v="160257"/>
    <n v="155594.01"/>
    <n v="0"/>
    <n v="12794.53"/>
    <n v="-8131.54000000001"/>
    <m/>
  </r>
  <r>
    <s v="8470335"/>
    <s v="KUST - Industrial &amp; Systems Engineering"/>
    <s v="428090"/>
    <x v="9"/>
    <s v="847.8470335.1.428090.000000.847001.200179"/>
    <n v="40000"/>
    <n v="5898"/>
    <m/>
    <n v="0"/>
    <n v="0"/>
    <n v="5898"/>
    <m/>
  </r>
  <r>
    <s v="8470335"/>
    <s v="KUST - Industrial &amp; Systems Engineering"/>
    <s v="435350"/>
    <x v="21"/>
    <s v="847.8470335.1.435350.000000.847001.200179"/>
    <n v="51520"/>
    <n v="30484"/>
    <n v="23639.71"/>
    <n v="0"/>
    <n v="0"/>
    <n v="6844.2900000000009"/>
    <m/>
  </r>
  <r>
    <s v="8470335"/>
    <s v="KUST - Industrial &amp; Systems Engineering"/>
    <s v="435508"/>
    <x v="33"/>
    <s v="847.8470335.1.435508.000000.847001.200179"/>
    <n v="139000"/>
    <n v="246500"/>
    <n v="231258.61"/>
    <n v="0"/>
    <n v="11024.51"/>
    <n v="4216.8800000000138"/>
    <m/>
  </r>
  <r>
    <s v="8470335"/>
    <s v="KUST - Industrial &amp; Systems Engineering"/>
    <s v="436110"/>
    <x v="31"/>
    <s v="847.8470335.1.436110.000000.847001.200179"/>
    <n v="4000"/>
    <n v="500"/>
    <m/>
    <n v="0"/>
    <n v="0"/>
    <n v="500"/>
    <m/>
  </r>
  <r>
    <s v="8470335"/>
    <s v="KUST - Industrial &amp; Systems Engineering"/>
    <s v="436600"/>
    <x v="34"/>
    <s v="847.8470335.1.436600.000000.847001.200179"/>
    <n v="12000"/>
    <n v="12000"/>
    <n v="11500"/>
    <n v="0"/>
    <n v="0"/>
    <n v="500"/>
    <m/>
  </r>
  <r>
    <s v="8470340"/>
    <s v="KUST - Mechanical Engineering"/>
    <s v="420550"/>
    <x v="0"/>
    <s v="847.8470340.1.420550.000000.847001.200179"/>
    <n v="3000"/>
    <n v="0"/>
    <m/>
    <n v="0"/>
    <n v="0"/>
    <n v="0"/>
    <m/>
  </r>
  <r>
    <s v="8470340"/>
    <s v="KUST - Mechanical Engineering"/>
    <s v="425510"/>
    <x v="5"/>
    <s v="847.8470340.1.425510.000000.847001.200179"/>
    <n v="10000"/>
    <n v="10000"/>
    <m/>
    <n v="0"/>
    <n v="0"/>
    <n v="10000"/>
    <m/>
  </r>
  <r>
    <s v="8470340"/>
    <s v="KUST - Mechanical Engineering"/>
    <s v="425720"/>
    <x v="37"/>
    <s v="847.8470340.1.425720.000000.847001.200179"/>
    <n v="30000"/>
    <n v="30000"/>
    <m/>
    <n v="0"/>
    <n v="29766.77"/>
    <n v="233.22999999999956"/>
    <m/>
  </r>
  <r>
    <s v="8470340"/>
    <s v="KUST - Mechanical Engineering"/>
    <s v="425760"/>
    <x v="35"/>
    <s v="847.8470340.1.425760.000000.847001.200179"/>
    <n v="12000"/>
    <n v="12000"/>
    <n v="735"/>
    <n v="0"/>
    <n v="0"/>
    <n v="11265"/>
    <m/>
  </r>
  <r>
    <s v="8470340"/>
    <s v="KUST - Mechanical Engineering"/>
    <s v="425763"/>
    <x v="15"/>
    <s v="847.8470340.1.425763.000000.847001.200179"/>
    <n v="480000"/>
    <n v="423354"/>
    <n v="423351.56"/>
    <n v="0"/>
    <n v="0"/>
    <n v="2.4400000000023283"/>
    <m/>
  </r>
  <r>
    <s v="8470340"/>
    <s v="KUST - Mechanical Engineering"/>
    <s v="425770"/>
    <x v="20"/>
    <s v="847.8470340.1.425770.000000.847001.200179"/>
    <n v="630000"/>
    <n v="194610"/>
    <n v="194608.6"/>
    <n v="0"/>
    <n v="0"/>
    <n v="1.3999999999941792"/>
    <m/>
  </r>
  <r>
    <s v="8470340"/>
    <s v="KUST - Mechanical Engineering"/>
    <s v="425900"/>
    <x v="7"/>
    <s v="847.8470340.1.425900.000000.847001.200179"/>
    <n v="54000"/>
    <n v="20799"/>
    <n v="11997.25"/>
    <n v="8800"/>
    <n v="0"/>
    <n v="1.75"/>
    <m/>
  </r>
  <r>
    <s v="8470340"/>
    <s v="KUST - Mechanical Engineering"/>
    <s v="426610"/>
    <x v="8"/>
    <s v="847.8470340.1.426610.000000.847001.200179"/>
    <n v="210000"/>
    <n v="185000"/>
    <n v="177089.64"/>
    <n v="0"/>
    <n v="0"/>
    <n v="7910.359999999986"/>
    <m/>
  </r>
  <r>
    <s v="8470340"/>
    <s v="KUST - Mechanical Engineering"/>
    <s v="432209"/>
    <x v="32"/>
    <s v="847.8470340.1.432209.000000.847001.200179"/>
    <n v="80000"/>
    <n v="20102"/>
    <n v="20000"/>
    <n v="0"/>
    <n v="0"/>
    <n v="102"/>
    <m/>
  </r>
  <r>
    <s v="8470340"/>
    <s v="KUST - Mechanical Engineering"/>
    <s v="435350"/>
    <x v="21"/>
    <s v="847.8470340.1.435350.000000.847001.200179"/>
    <n v="336000"/>
    <n v="199569"/>
    <n v="181584.71"/>
    <n v="0"/>
    <n v="0"/>
    <n v="17984.290000000008"/>
    <m/>
  </r>
  <r>
    <s v="8470340"/>
    <s v="KUST - Mechanical Engineering"/>
    <s v="435508"/>
    <x v="33"/>
    <s v="847.8470340.1.435508.000000.847001.200179"/>
    <n v="264000"/>
    <n v="297500"/>
    <n v="267107.05"/>
    <n v="0"/>
    <n v="21000"/>
    <n v="9392.9500000000116"/>
    <m/>
  </r>
  <r>
    <s v="8470345"/>
    <s v="KUST - Nuclear Engineering"/>
    <s v="420550"/>
    <x v="0"/>
    <s v="847.8470345.1.420550.000000.847001.200179"/>
    <n v="20000"/>
    <n v="20000"/>
    <m/>
    <n v="0"/>
    <n v="0"/>
    <n v="20000"/>
    <m/>
  </r>
  <r>
    <s v="8470345"/>
    <s v="KUST - Nuclear Engineering"/>
    <s v="425510"/>
    <x v="5"/>
    <s v="847.8470345.1.425510.000000.847001.200179"/>
    <n v="30000"/>
    <n v="29700"/>
    <n v="6485"/>
    <n v="0"/>
    <n v="0"/>
    <n v="23215"/>
    <m/>
  </r>
  <r>
    <s v="8470345"/>
    <s v="KUST - Nuclear Engineering"/>
    <s v="425760"/>
    <x v="35"/>
    <s v="847.8470345.1.425760.000000.847001.200179"/>
    <n v="120000"/>
    <n v="33149"/>
    <n v="10100.75"/>
    <n v="0"/>
    <n v="0"/>
    <n v="23048.25"/>
    <m/>
  </r>
  <r>
    <s v="8470345"/>
    <s v="KUST - Nuclear Engineering"/>
    <s v="425770"/>
    <x v="20"/>
    <s v="847.8470345.1.425770.000000.847001.200179"/>
    <n v="105000"/>
    <n v="54987"/>
    <n v="24053.21"/>
    <n v="0"/>
    <n v="0"/>
    <n v="30933.79"/>
    <m/>
  </r>
  <r>
    <s v="8470345"/>
    <s v="KUST - Nuclear Engineering"/>
    <s v="425900"/>
    <x v="7"/>
    <s v="847.8470345.1.425900.000000.847001.200179"/>
    <n v="3000"/>
    <n v="3000"/>
    <m/>
    <n v="0"/>
    <n v="0"/>
    <n v="3000"/>
    <m/>
  </r>
  <r>
    <s v="8470345"/>
    <s v="KUST - Nuclear Engineering"/>
    <s v="426610"/>
    <x v="8"/>
    <s v="847.8470345.1.426610.000000.847001.200179"/>
    <n v="146983"/>
    <n v="82656"/>
    <n v="33069.589999999997"/>
    <n v="61004.25"/>
    <n v="49585.5"/>
    <n v="-61003.34"/>
    <m/>
  </r>
  <r>
    <s v="8470345"/>
    <s v="KUST - Nuclear Engineering"/>
    <s v="428090"/>
    <x v="9"/>
    <s v="847.8470345.1.428090.000000.847001.200179"/>
    <n v="44592"/>
    <n v="12617"/>
    <n v="9042.6200000000008"/>
    <n v="0"/>
    <n v="0"/>
    <n v="3574.3799999999992"/>
    <m/>
  </r>
  <r>
    <s v="8470345"/>
    <s v="KUST - Nuclear Engineering"/>
    <s v="435350"/>
    <x v="21"/>
    <s v="847.8470345.1.435350.000000.847001.200179"/>
    <n v="70000"/>
    <n v="63220"/>
    <n v="52403.38"/>
    <n v="0"/>
    <n v="0"/>
    <n v="10816.620000000003"/>
    <m/>
  </r>
  <r>
    <s v="8470345"/>
    <s v="KUST - Nuclear Engineering"/>
    <s v="435508"/>
    <x v="33"/>
    <s v="847.8470345.1.435508.000000.847001.200179"/>
    <n v="197477"/>
    <n v="100283"/>
    <n v="25018.639999999999"/>
    <n v="0"/>
    <n v="47935.5"/>
    <n v="27328.86"/>
    <m/>
  </r>
  <r>
    <s v="8470345"/>
    <s v="KUST - Nuclear Engineering"/>
    <s v="436110"/>
    <x v="31"/>
    <s v="847.8470345.1.436110.000000.847001.200179"/>
    <n v="5742"/>
    <n v="5742"/>
    <n v="3328"/>
    <n v="0"/>
    <n v="0"/>
    <n v="2414"/>
    <m/>
  </r>
  <r>
    <s v="8470345"/>
    <s v="KUST - Nuclear Engineering"/>
    <s v="436600"/>
    <x v="34"/>
    <s v="847.8470345.1.436600.000000.847001.200179"/>
    <n v="9640"/>
    <n v="9640"/>
    <n v="7998"/>
    <n v="0"/>
    <n v="0"/>
    <n v="1642"/>
    <m/>
  </r>
  <r>
    <s v="8470350"/>
    <s v="KUST - Petroleum Engineering"/>
    <s v="425510"/>
    <x v="5"/>
    <s v="847.8470350.1.425510.000000.847001.200179"/>
    <n v="16000"/>
    <n v="19448"/>
    <n v="8764.2199999999993"/>
    <n v="0"/>
    <n v="0"/>
    <n v="10683.78"/>
    <m/>
  </r>
  <r>
    <s v="8470350"/>
    <s v="KUST - Petroleum Engineering"/>
    <s v="425760"/>
    <x v="35"/>
    <s v="847.8470350.1.425760.000000.847001.200179"/>
    <n v="25000"/>
    <n v="25000"/>
    <n v="11393.34"/>
    <n v="0"/>
    <n v="0"/>
    <n v="13606.66"/>
    <m/>
  </r>
  <r>
    <s v="8470350"/>
    <s v="KUST - Petroleum Engineering"/>
    <s v="425763"/>
    <x v="15"/>
    <s v="847.8470350.1.425763.000000.847001.200179"/>
    <n v="30000"/>
    <n v="0"/>
    <m/>
    <n v="0"/>
    <n v="0"/>
    <n v="0"/>
    <m/>
  </r>
  <r>
    <s v="8470350"/>
    <s v="KUST - Petroleum Engineering"/>
    <s v="425770"/>
    <x v="20"/>
    <s v="847.8470350.1.425770.000000.847001.200179"/>
    <n v="150000"/>
    <n v="93739"/>
    <n v="72308.259999999995"/>
    <n v="0"/>
    <n v="0"/>
    <n v="21430.740000000005"/>
    <m/>
  </r>
  <r>
    <s v="8470350"/>
    <s v="KUST - Petroleum Engineering"/>
    <s v="425900"/>
    <x v="7"/>
    <s v="847.8470350.1.425900.000000.847001.200179"/>
    <n v="8500"/>
    <n v="8500"/>
    <n v="4359.37"/>
    <n v="0"/>
    <n v="0"/>
    <n v="4140.63"/>
    <m/>
  </r>
  <r>
    <s v="8470350"/>
    <s v="KUST - Petroleum Engineering"/>
    <s v="426610"/>
    <x v="8"/>
    <s v="847.8470350.1.426610.000000.847001.200179"/>
    <n v="210200"/>
    <n v="210200"/>
    <n v="201762.42"/>
    <n v="0"/>
    <n v="0"/>
    <n v="8437.5799999999872"/>
    <m/>
  </r>
  <r>
    <s v="8470350"/>
    <s v="KUST - Petroleum Engineering"/>
    <s v="432209"/>
    <x v="32"/>
    <s v="847.8470350.1.432209.000000.847001.200179"/>
    <n v="305000"/>
    <n v="80483"/>
    <n v="80402"/>
    <n v="0"/>
    <n v="9000"/>
    <n v="-8919"/>
    <m/>
  </r>
  <r>
    <s v="8470350"/>
    <s v="KUST - Petroleum Engineering"/>
    <s v="435340"/>
    <x v="36"/>
    <s v="847.8470350.1.435340.000000.847001.200179"/>
    <n v="10000"/>
    <n v="10000"/>
    <m/>
    <n v="0"/>
    <n v="0"/>
    <n v="10000"/>
    <m/>
  </r>
  <r>
    <s v="8470350"/>
    <s v="KUST - Petroleum Engineering"/>
    <s v="435350"/>
    <x v="21"/>
    <s v="847.8470350.1.435350.000000.847001.200179"/>
    <n v="50000"/>
    <n v="36150"/>
    <n v="36148"/>
    <n v="0"/>
    <n v="0"/>
    <n v="2"/>
    <m/>
  </r>
  <r>
    <s v="8470350"/>
    <s v="KUST - Petroleum Engineering"/>
    <s v="435508"/>
    <x v="33"/>
    <s v="847.8470350.1.435508.000000.847001.200179"/>
    <n v="100000"/>
    <n v="74436"/>
    <n v="70457.740000000005"/>
    <n v="0"/>
    <n v="3976.22"/>
    <n v="2.0399999999949614"/>
    <m/>
  </r>
  <r>
    <s v="8470350"/>
    <s v="KUST - Petroleum Engineering"/>
    <s v="436110"/>
    <x v="31"/>
    <s v="847.8470350.1.436110.000000.847001.200179"/>
    <n v="7500"/>
    <n v="0"/>
    <m/>
    <n v="0"/>
    <n v="0"/>
    <n v="0"/>
    <m/>
  </r>
  <r>
    <s v="8470350"/>
    <s v="KUST - Petroleum Engineering"/>
    <s v="436600"/>
    <x v="34"/>
    <s v="847.8470350.1.436600.000000.847001.200179"/>
    <n v="60000"/>
    <n v="64052"/>
    <n v="43500"/>
    <n v="0"/>
    <n v="18216"/>
    <n v="2336"/>
    <m/>
  </r>
  <r>
    <s v="8470405"/>
    <s v="KUST - Dean Of Arts &amp; Science"/>
    <s v="420550"/>
    <x v="0"/>
    <s v="847.8470405.1.420550.000000.847001.200179"/>
    <n v="0"/>
    <n v="65692"/>
    <n v="64718.46"/>
    <n v="0"/>
    <n v="0"/>
    <n v="973.54000000000087"/>
    <m/>
  </r>
  <r>
    <s v="8470405"/>
    <s v="KUST - Dean Of Arts &amp; Science"/>
    <s v="421700"/>
    <x v="4"/>
    <s v="847.8470405.1.421700.000000.847001.200179"/>
    <n v="560000"/>
    <n v="220355"/>
    <n v="218360.26"/>
    <n v="0"/>
    <n v="0"/>
    <n v="1994.7399999999907"/>
    <m/>
  </r>
  <r>
    <s v="8470405"/>
    <s v="KUST - Dean Of Arts &amp; Science"/>
    <s v="425510"/>
    <x v="5"/>
    <s v="847.8470405.1.425510.000000.847001.200179"/>
    <n v="15000"/>
    <n v="23019"/>
    <n v="22966.65"/>
    <n v="0"/>
    <n v="0"/>
    <n v="52.349999999998545"/>
    <m/>
  </r>
  <r>
    <s v="8470405"/>
    <s v="KUST - Dean Of Arts &amp; Science"/>
    <s v="425550"/>
    <x v="6"/>
    <s v="847.8470405.1.425550.000000.847001.200179"/>
    <n v="15000"/>
    <n v="19800"/>
    <n v="18757.900000000001"/>
    <n v="0"/>
    <n v="0"/>
    <n v="1042.0999999999985"/>
    <m/>
  </r>
  <r>
    <s v="8470405"/>
    <s v="KUST - Dean Of Arts &amp; Science"/>
    <s v="425770"/>
    <x v="20"/>
    <s v="847.8470405.1.425770.000000.847001.200179"/>
    <n v="50000"/>
    <n v="32848"/>
    <n v="30551.57"/>
    <n v="0"/>
    <n v="0"/>
    <n v="2296.4300000000003"/>
    <m/>
  </r>
  <r>
    <s v="8470405"/>
    <s v="KUST - Dean Of Arts &amp; Science"/>
    <s v="427710"/>
    <x v="13"/>
    <s v="847.8470405.1.427710.000000.847001.200179"/>
    <n v="12000"/>
    <n v="20175"/>
    <n v="20174.88"/>
    <n v="0"/>
    <n v="0"/>
    <n v="0.11999999999898137"/>
    <m/>
  </r>
  <r>
    <s v="8470405"/>
    <s v="KUST - Dean Of Arts &amp; Science"/>
    <s v="432209"/>
    <x v="32"/>
    <s v="847.8470405.1.432209.000000.847001.200179"/>
    <n v="200000"/>
    <n v="2"/>
    <m/>
    <n v="0"/>
    <n v="0"/>
    <n v="2"/>
    <m/>
  </r>
  <r>
    <s v="8470405"/>
    <s v="KUST - Dean Of Arts &amp; Science"/>
    <s v="435350"/>
    <x v="21"/>
    <s v="847.8470405.1.435350.000000.847001.200179"/>
    <n v="30000"/>
    <n v="28100"/>
    <n v="28033.25"/>
    <n v="0"/>
    <n v="0"/>
    <n v="66.75"/>
    <m/>
  </r>
  <r>
    <s v="8470410"/>
    <s v="KUST - Institute of International &amp; Civil Security"/>
    <s v="425761"/>
    <x v="29"/>
    <s v="847.8470410.1.425761.000000.847001.200179"/>
    <n v="162000"/>
    <n v="23813"/>
    <m/>
    <n v="0"/>
    <n v="0"/>
    <n v="23813"/>
    <m/>
  </r>
  <r>
    <s v="8470410"/>
    <s v="KUST - Institute of International &amp; Civil Security"/>
    <s v="425770"/>
    <x v="20"/>
    <s v="847.8470410.1.425770.000000.847001.200179"/>
    <n v="120000"/>
    <n v="75704"/>
    <n v="75704"/>
    <n v="0"/>
    <n v="0"/>
    <n v="0"/>
    <m/>
  </r>
  <r>
    <s v="8470410"/>
    <s v="KUST - Institute of International &amp; Civil Security"/>
    <s v="426610"/>
    <x v="8"/>
    <s v="847.8470410.1.426610.000000.847001.200179"/>
    <n v="5600"/>
    <n v="5600"/>
    <n v="1612"/>
    <n v="0"/>
    <n v="0"/>
    <n v="3988"/>
    <m/>
  </r>
  <r>
    <s v="8470410"/>
    <s v="KUST - Institute of International &amp; Civil Security"/>
    <s v="428090"/>
    <x v="9"/>
    <s v="847.8470410.1.428090.000000.847001.200179"/>
    <n v="0"/>
    <n v="12229"/>
    <n v="4529"/>
    <n v="0"/>
    <n v="0"/>
    <n v="7700"/>
    <m/>
  </r>
  <r>
    <s v="8470410"/>
    <s v="KUST - Institute of International &amp; Civil Security"/>
    <s v="435310"/>
    <x v="18"/>
    <s v="847.8470410.1.435310.000000.847001.200179"/>
    <n v="85229"/>
    <n v="27742"/>
    <n v="13287.9"/>
    <n v="0"/>
    <n v="0"/>
    <n v="14454.1"/>
    <m/>
  </r>
  <r>
    <s v="8470410"/>
    <s v="KUST - Institute of International &amp; Civil Security"/>
    <s v="435350"/>
    <x v="21"/>
    <s v="847.8470410.1.435350.000000.847001.200179"/>
    <n v="17900"/>
    <n v="45384"/>
    <n v="25632.9"/>
    <n v="0"/>
    <n v="0"/>
    <n v="19751.099999999999"/>
    <m/>
  </r>
  <r>
    <s v="8470415"/>
    <s v="KUST - Chemistry"/>
    <s v="421700"/>
    <x v="4"/>
    <s v="847.8470415.1.421700.000000.847001.200179"/>
    <n v="150000"/>
    <n v="30000"/>
    <m/>
    <n v="0"/>
    <n v="0"/>
    <n v="30000"/>
    <m/>
  </r>
  <r>
    <s v="8470415"/>
    <s v="KUST - Chemistry"/>
    <s v="425100"/>
    <x v="14"/>
    <s v="847.8470415.1.425100.000000.847001.200179"/>
    <n v="50000"/>
    <n v="23000"/>
    <m/>
    <n v="0"/>
    <n v="0"/>
    <n v="23000"/>
    <m/>
  </r>
  <r>
    <s v="8470415"/>
    <s v="KUST - Chemistry"/>
    <s v="425760"/>
    <x v="35"/>
    <s v="847.8470415.1.425760.000000.847001.200179"/>
    <n v="5000"/>
    <n v="2"/>
    <m/>
    <n v="0"/>
    <n v="0"/>
    <n v="2"/>
    <m/>
  </r>
  <r>
    <s v="8470415"/>
    <s v="KUST - Chemistry"/>
    <s v="425763"/>
    <x v="15"/>
    <s v="847.8470415.1.425763.000000.847001.200179"/>
    <n v="80000"/>
    <n v="48845"/>
    <n v="37063.160000000003"/>
    <n v="0"/>
    <n v="11780"/>
    <n v="1.8399999999965075"/>
    <m/>
  </r>
  <r>
    <s v="8470415"/>
    <s v="KUST - Chemistry"/>
    <s v="425770"/>
    <x v="20"/>
    <s v="847.8470415.1.425770.000000.847001.200179"/>
    <n v="285000"/>
    <n v="316248"/>
    <n v="296305.21999999997"/>
    <n v="0"/>
    <n v="0"/>
    <n v="19942.780000000028"/>
    <m/>
  </r>
  <r>
    <s v="8470415"/>
    <s v="KUST - Chemistry"/>
    <s v="425900"/>
    <x v="7"/>
    <s v="847.8470415.1.425900.000000.847001.200179"/>
    <n v="140000"/>
    <n v="9342"/>
    <n v="9339.73"/>
    <n v="0"/>
    <n v="0"/>
    <n v="2.2700000000004366"/>
    <m/>
  </r>
  <r>
    <s v="8470415"/>
    <s v="KUST - Chemistry"/>
    <s v="426610"/>
    <x v="8"/>
    <s v="847.8470415.1.426610.000000.847001.200179"/>
    <n v="229511"/>
    <n v="144305"/>
    <n v="92696.94"/>
    <n v="0"/>
    <n v="37806.980000000003"/>
    <n v="13801.079999999994"/>
    <m/>
  </r>
  <r>
    <s v="8470415"/>
    <s v="KUST - Chemistry"/>
    <s v="428640"/>
    <x v="11"/>
    <s v="847.8470415.1.428640.000000.847001.200179"/>
    <n v="15000"/>
    <n v="7612"/>
    <m/>
    <n v="0"/>
    <n v="0"/>
    <n v="7612"/>
    <m/>
  </r>
  <r>
    <s v="8470415"/>
    <s v="KUST - Chemistry"/>
    <s v="432209"/>
    <x v="32"/>
    <s v="847.8470415.1.432209.000000.847001.200179"/>
    <n v="301000"/>
    <n v="223957"/>
    <n v="203796.71"/>
    <n v="0"/>
    <n v="899.99999999999602"/>
    <n v="19260.290000000012"/>
    <m/>
  </r>
  <r>
    <s v="8470415"/>
    <s v="KUST - Chemistry"/>
    <s v="435350"/>
    <x v="21"/>
    <s v="847.8470415.1.435350.000000.847001.200179"/>
    <n v="70000"/>
    <n v="5140"/>
    <n v="5138"/>
    <n v="0"/>
    <n v="0"/>
    <n v="2"/>
    <m/>
  </r>
  <r>
    <s v="8470415"/>
    <s v="KUST - Chemistry"/>
    <s v="435508"/>
    <x v="33"/>
    <s v="847.8470415.1.435508.000000.847001.200179"/>
    <n v="525000"/>
    <n v="468973"/>
    <n v="292534.89"/>
    <n v="23837.200000000001"/>
    <n v="148078.48000000001"/>
    <n v="4522.4299999999639"/>
    <m/>
  </r>
  <r>
    <s v="8470415"/>
    <s v="KUST - Chemistry"/>
    <s v="435519"/>
    <x v="19"/>
    <s v="847.8470415.1.435519.000000.847001.200179"/>
    <n v="20000"/>
    <n v="20000"/>
    <m/>
    <n v="0"/>
    <n v="0"/>
    <n v="20000"/>
    <m/>
  </r>
  <r>
    <s v="8470425"/>
    <s v="KUST - Physics"/>
    <s v="425510"/>
    <x v="5"/>
    <s v="847.8470425.1.425510.000000.847001.200179"/>
    <n v="45000"/>
    <n v="35457"/>
    <n v="9658.81"/>
    <n v="0"/>
    <n v="11600"/>
    <n v="14198.190000000002"/>
    <m/>
  </r>
  <r>
    <s v="8470425"/>
    <s v="KUST - Physics"/>
    <s v="425550"/>
    <x v="6"/>
    <s v="847.8470425.1.425550.000000.847001.200179"/>
    <n v="225000"/>
    <n v="54661"/>
    <n v="54660.3"/>
    <n v="0"/>
    <n v="0"/>
    <n v="0.69999999999708962"/>
    <m/>
  </r>
  <r>
    <s v="8470425"/>
    <s v="KUST - Physics"/>
    <s v="425770"/>
    <x v="20"/>
    <s v="847.8470425.1.425770.000000.847001.200179"/>
    <n v="60000"/>
    <n v="39943"/>
    <n v="39895"/>
    <n v="0"/>
    <n v="0"/>
    <n v="48"/>
    <m/>
  </r>
  <r>
    <s v="8470425"/>
    <s v="KUST - Physics"/>
    <s v="425900"/>
    <x v="7"/>
    <s v="847.8470425.1.425900.000000.847001.200179"/>
    <n v="10116"/>
    <n v="10116"/>
    <n v="2973"/>
    <n v="0"/>
    <n v="0"/>
    <n v="7143"/>
    <m/>
  </r>
  <r>
    <s v="8470425"/>
    <s v="KUST - Physics"/>
    <s v="426610"/>
    <x v="8"/>
    <s v="847.8470425.1.426610.000000.847001.200179"/>
    <n v="212000"/>
    <n v="35845"/>
    <n v="22497.13"/>
    <n v="0"/>
    <n v="0"/>
    <n v="13347.869999999999"/>
    <m/>
  </r>
  <r>
    <s v="8470425"/>
    <s v="KUST - Physics"/>
    <s v="428090"/>
    <x v="9"/>
    <s v="847.8470425.1.428090.000000.847001.200179"/>
    <n v="128000"/>
    <n v="34875"/>
    <n v="6445"/>
    <n v="0"/>
    <n v="0"/>
    <n v="28430"/>
    <m/>
  </r>
  <r>
    <s v="8470425"/>
    <s v="KUST - Physics"/>
    <s v="435350"/>
    <x v="21"/>
    <s v="847.8470425.1.435350.000000.847001.200179"/>
    <n v="120000"/>
    <n v="100291"/>
    <n v="97526.43"/>
    <n v="0"/>
    <n v="0"/>
    <n v="2764.570000000007"/>
    <m/>
  </r>
  <r>
    <s v="8470425"/>
    <s v="KUST - Physics"/>
    <s v="435508"/>
    <x v="33"/>
    <s v="847.8470425.1.435508.000000.847001.200179"/>
    <n v="551566"/>
    <n v="212293"/>
    <n v="212291.61"/>
    <n v="0"/>
    <n v="0"/>
    <n v="1.3900000000139698"/>
    <m/>
  </r>
  <r>
    <s v="8470430"/>
    <s v="KUST - Preparatory Program"/>
    <s v="425761"/>
    <x v="29"/>
    <s v="847.8470430.1.425761.000000.847001.200179"/>
    <n v="8500"/>
    <n v="8500"/>
    <m/>
    <n v="0"/>
    <n v="0"/>
    <n v="8500"/>
    <m/>
  </r>
  <r>
    <s v="8470430"/>
    <s v="KUST - Preparatory Program"/>
    <s v="425770"/>
    <x v="20"/>
    <s v="847.8470430.1.425770.000000.847001.200179"/>
    <n v="375000"/>
    <n v="44725"/>
    <n v="44723.79"/>
    <n v="0"/>
    <n v="0"/>
    <n v="1.2099999999991269"/>
    <m/>
  </r>
  <r>
    <s v="8470430"/>
    <s v="KUST - Preparatory Program"/>
    <s v="425900"/>
    <x v="7"/>
    <s v="847.8470430.1.425900.000000.847001.200179"/>
    <n v="12000"/>
    <n v="12000"/>
    <m/>
    <n v="0"/>
    <n v="0"/>
    <n v="12000"/>
    <m/>
  </r>
  <r>
    <s v="8470430"/>
    <s v="KUST - Preparatory Program"/>
    <s v="426610"/>
    <x v="8"/>
    <s v="847.8470430.1.426610.000000.847001.200179"/>
    <n v="26152"/>
    <n v="49452"/>
    <n v="49362.03"/>
    <n v="0"/>
    <n v="0"/>
    <n v="89.970000000001164"/>
    <m/>
  </r>
  <r>
    <s v="8470430"/>
    <s v="KUST - Preparatory Program"/>
    <s v="432209"/>
    <x v="32"/>
    <s v="847.8470430.1.432209.000000.847001.200179"/>
    <n v="0"/>
    <n v="1575"/>
    <n v="1500"/>
    <n v="0"/>
    <n v="0"/>
    <n v="75"/>
    <m/>
  </r>
  <r>
    <s v="8470430"/>
    <s v="KUST - Preparatory Program"/>
    <s v="435508"/>
    <x v="33"/>
    <s v="847.8470430.1.435508.000000.847001.200179"/>
    <n v="84600"/>
    <n v="9791"/>
    <n v="9789.4"/>
    <n v="0"/>
    <n v="0"/>
    <n v="1.6000000000003638"/>
    <m/>
  </r>
  <r>
    <s v="8470435"/>
    <s v="KUST - Department of English"/>
    <s v="425770"/>
    <x v="20"/>
    <s v="847.8470435.1.425770.000000.847001.200179"/>
    <n v="100000"/>
    <n v="101407"/>
    <n v="98631.06"/>
    <n v="0"/>
    <n v="0"/>
    <n v="2775.9400000000023"/>
    <m/>
  </r>
  <r>
    <s v="8470435"/>
    <s v="KUST - Department of English"/>
    <s v="426610"/>
    <x v="8"/>
    <s v="847.8470435.1.426610.000000.847001.200179"/>
    <n v="30000"/>
    <n v="30000"/>
    <n v="29106"/>
    <n v="0"/>
    <n v="0"/>
    <n v="894"/>
    <m/>
  </r>
  <r>
    <s v="8470435"/>
    <s v="KUST - Department of English"/>
    <s v="435340"/>
    <x v="36"/>
    <s v="847.8470435.1.435340.000000.847001.200179"/>
    <n v="35000"/>
    <n v="19000"/>
    <m/>
    <n v="0"/>
    <n v="0"/>
    <n v="19000"/>
    <m/>
  </r>
  <r>
    <s v="8470435"/>
    <s v="KUST - Department of English"/>
    <s v="436600"/>
    <x v="34"/>
    <s v="847.8470435.1.436600.000000.847001.200179"/>
    <n v="30000"/>
    <n v="30000"/>
    <m/>
    <n v="0"/>
    <n v="0"/>
    <n v="30000"/>
    <m/>
  </r>
  <r>
    <s v="8470440"/>
    <s v="KUST - Humanities &amp; Social Sciences"/>
    <s v="420550"/>
    <x v="0"/>
    <s v="847.8470440.1.420550.000000.847001.200179"/>
    <n v="560000"/>
    <n v="20593"/>
    <n v="20592.45"/>
    <n v="0"/>
    <n v="0"/>
    <n v="0.5499999999992724"/>
    <m/>
  </r>
  <r>
    <s v="8470440"/>
    <s v="KUST - Humanities &amp; Social Sciences"/>
    <s v="420570"/>
    <x v="1"/>
    <s v="847.8470440.1.420570.000000.847001.200179"/>
    <n v="150000"/>
    <n v="2"/>
    <m/>
    <n v="0"/>
    <n v="0"/>
    <n v="2"/>
    <m/>
  </r>
  <r>
    <s v="8470440"/>
    <s v="KUST - Humanities &amp; Social Sciences"/>
    <s v="421700"/>
    <x v="4"/>
    <s v="847.8470440.1.421700.000000.847001.200179"/>
    <n v="280000"/>
    <n v="1"/>
    <m/>
    <n v="0"/>
    <n v="0"/>
    <n v="1"/>
    <m/>
  </r>
  <r>
    <s v="8470440"/>
    <s v="KUST - Humanities &amp; Social Sciences"/>
    <s v="425100"/>
    <x v="14"/>
    <s v="847.8470440.1.425100.000000.847001.200179"/>
    <n v="10000"/>
    <n v="10000"/>
    <m/>
    <n v="0"/>
    <n v="0"/>
    <n v="10000"/>
    <m/>
  </r>
  <r>
    <s v="8470440"/>
    <s v="KUST - Humanities &amp; Social Sciences"/>
    <s v="425510"/>
    <x v="5"/>
    <s v="847.8470440.1.425510.000000.847001.200179"/>
    <n v="225000"/>
    <n v="11271"/>
    <n v="11269.01"/>
    <n v="0"/>
    <n v="0"/>
    <n v="1.9899999999997817"/>
    <m/>
  </r>
  <r>
    <s v="8470440"/>
    <s v="KUST - Humanities &amp; Social Sciences"/>
    <s v="425550"/>
    <x v="6"/>
    <s v="847.8470440.1.425550.000000.847001.200179"/>
    <n v="225000"/>
    <n v="25689"/>
    <n v="25687.71"/>
    <n v="0"/>
    <n v="0"/>
    <n v="1.2900000000008731"/>
    <m/>
  </r>
  <r>
    <s v="8470440"/>
    <s v="KUST - Humanities &amp; Social Sciences"/>
    <s v="425761"/>
    <x v="29"/>
    <s v="847.8470440.1.425761.000000.847001.200179"/>
    <n v="750000"/>
    <n v="0"/>
    <m/>
    <n v="0"/>
    <n v="0"/>
    <n v="0"/>
    <m/>
  </r>
  <r>
    <s v="8470440"/>
    <s v="KUST - Humanities &amp; Social Sciences"/>
    <s v="425770"/>
    <x v="20"/>
    <s v="847.8470440.1.425770.000000.847001.200179"/>
    <n v="300000"/>
    <n v="175795"/>
    <n v="174480.33"/>
    <n v="0"/>
    <n v="0"/>
    <n v="1314.6700000000128"/>
    <m/>
  </r>
  <r>
    <s v="8470440"/>
    <s v="KUST - Humanities &amp; Social Sciences"/>
    <s v="425900"/>
    <x v="7"/>
    <s v="847.8470440.1.425900.000000.847001.200179"/>
    <n v="24000"/>
    <n v="2"/>
    <m/>
    <n v="0"/>
    <n v="0"/>
    <n v="2"/>
    <m/>
  </r>
  <r>
    <s v="8470440"/>
    <s v="KUST - Humanities &amp; Social Sciences"/>
    <s v="426610"/>
    <x v="8"/>
    <s v="847.8470440.1.426610.000000.847001.200179"/>
    <n v="120000"/>
    <n v="22590"/>
    <n v="8988.7800000000007"/>
    <n v="0"/>
    <n v="13600"/>
    <n v="1.2199999999993452"/>
    <m/>
  </r>
  <r>
    <s v="8470440"/>
    <s v="KUST - Humanities &amp; Social Sciences"/>
    <s v="427710"/>
    <x v="13"/>
    <s v="847.8470440.1.427710.000000.847001.200179"/>
    <n v="15000"/>
    <n v="1943"/>
    <n v="1941.62"/>
    <n v="0"/>
    <n v="0"/>
    <n v="1.3800000000001091"/>
    <m/>
  </r>
  <r>
    <s v="8470440"/>
    <s v="KUST - Humanities &amp; Social Sciences"/>
    <s v="428090"/>
    <x v="9"/>
    <s v="847.8470440.1.428090.000000.847001.200179"/>
    <n v="225000"/>
    <n v="4221"/>
    <n v="4218.25"/>
    <n v="0"/>
    <n v="0"/>
    <n v="2.75"/>
    <m/>
  </r>
  <r>
    <s v="8470440"/>
    <s v="KUST - Humanities &amp; Social Sciences"/>
    <s v="428640"/>
    <x v="11"/>
    <s v="847.8470440.1.428640.000000.847001.200179"/>
    <n v="100000"/>
    <n v="2174"/>
    <n v="2173.5"/>
    <n v="0"/>
    <n v="0"/>
    <n v="0.5"/>
    <m/>
  </r>
  <r>
    <s v="8470440"/>
    <s v="KUST - Humanities &amp; Social Sciences"/>
    <s v="435340"/>
    <x v="36"/>
    <s v="847.8470440.1.435340.000000.847001.200179"/>
    <n v="120000"/>
    <n v="24000"/>
    <m/>
    <n v="0"/>
    <n v="0"/>
    <n v="24000"/>
    <m/>
  </r>
  <r>
    <s v="8470440"/>
    <s v="KUST - Humanities &amp; Social Sciences"/>
    <s v="435350"/>
    <x v="21"/>
    <s v="847.8470440.1.435350.000000.847001.200179"/>
    <n v="40000"/>
    <n v="57140"/>
    <n v="57008"/>
    <n v="0"/>
    <n v="0"/>
    <n v="132"/>
    <m/>
  </r>
  <r>
    <s v="8470440"/>
    <s v="KUST - Humanities &amp; Social Sciences"/>
    <s v="436600"/>
    <x v="34"/>
    <s v="847.8470440.1.436600.000000.847001.200179"/>
    <n v="22500"/>
    <n v="4196"/>
    <n v="4195"/>
    <n v="0"/>
    <n v="0"/>
    <n v="1"/>
    <m/>
  </r>
  <r>
    <s v="8470445"/>
    <s v="KUST - Mathematics"/>
    <s v="425100"/>
    <x v="14"/>
    <s v="847.8470445.1.425100.000000.847001.200179"/>
    <n v="150000"/>
    <n v="30000"/>
    <m/>
    <n v="0"/>
    <n v="0"/>
    <n v="30000"/>
    <m/>
  </r>
  <r>
    <s v="8470445"/>
    <s v="KUST - Mathematics"/>
    <s v="425510"/>
    <x v="5"/>
    <s v="847.8470445.1.425510.000000.847001.200179"/>
    <n v="0"/>
    <n v="1"/>
    <m/>
    <n v="0"/>
    <n v="0"/>
    <n v="1"/>
    <m/>
  </r>
  <r>
    <s v="8470445"/>
    <s v="KUST - Mathematics"/>
    <s v="425720"/>
    <x v="37"/>
    <s v="847.8470445.1.425720.000000.847001.200179"/>
    <n v="18350"/>
    <n v="19350"/>
    <n v="825"/>
    <n v="0"/>
    <n v="18365"/>
    <n v="160"/>
    <m/>
  </r>
  <r>
    <s v="8470445"/>
    <s v="KUST - Mathematics"/>
    <s v="425760"/>
    <x v="35"/>
    <s v="847.8470445.1.425760.000000.847001.200179"/>
    <n v="36630"/>
    <n v="1"/>
    <m/>
    <n v="0"/>
    <n v="0"/>
    <n v="1"/>
    <m/>
  </r>
  <r>
    <s v="8470445"/>
    <s v="KUST - Mathematics"/>
    <s v="425763"/>
    <x v="15"/>
    <s v="847.8470445.1.425763.000000.847001.200179"/>
    <n v="7590"/>
    <n v="1"/>
    <m/>
    <n v="0"/>
    <n v="0"/>
    <n v="1"/>
    <m/>
  </r>
  <r>
    <s v="8470445"/>
    <s v="KUST - Mathematics"/>
    <s v="425770"/>
    <x v="20"/>
    <s v="847.8470445.1.425770.000000.847001.200179"/>
    <n v="570000"/>
    <n v="299950"/>
    <n v="282009.26"/>
    <n v="0"/>
    <n v="0"/>
    <n v="17940.739999999991"/>
    <m/>
  </r>
  <r>
    <s v="8470445"/>
    <s v="KUST - Mathematics"/>
    <s v="426610"/>
    <x v="8"/>
    <s v="847.8470445.1.426610.000000.847001.200179"/>
    <n v="37650"/>
    <n v="21928"/>
    <n v="21927.29"/>
    <n v="0"/>
    <n v="0"/>
    <n v="0.70999999999912689"/>
    <m/>
  </r>
  <r>
    <s v="8470445"/>
    <s v="KUST - Mathematics"/>
    <s v="435350"/>
    <x v="21"/>
    <s v="847.8470445.1.435350.000000.847001.200179"/>
    <n v="600000"/>
    <n v="206461"/>
    <n v="206459.81"/>
    <n v="0"/>
    <n v="0"/>
    <n v="1.1900000000023283"/>
    <m/>
  </r>
  <r>
    <s v="8470450"/>
    <s v="KUST - Earth Science"/>
    <s v="425761"/>
    <x v="29"/>
    <s v="847.8470450.1.425761.000000.847001.200179"/>
    <n v="500000"/>
    <n v="314383"/>
    <n v="314381.78000000003"/>
    <n v="0"/>
    <n v="0"/>
    <n v="1.2199999999720603"/>
    <m/>
  </r>
  <r>
    <s v="8470450"/>
    <s v="KUST - Earth Science"/>
    <s v="425770"/>
    <x v="20"/>
    <s v="847.8470450.1.425770.000000.847001.200179"/>
    <n v="180000"/>
    <n v="145456"/>
    <n v="139658.82999999999"/>
    <n v="0"/>
    <n v="0"/>
    <n v="5797.1700000000128"/>
    <m/>
  </r>
  <r>
    <s v="8470450"/>
    <s v="KUST - Earth Science"/>
    <s v="426610"/>
    <x v="8"/>
    <s v="847.8470450.1.426610.000000.847001.200179"/>
    <n v="313605"/>
    <n v="35629"/>
    <n v="35628.1"/>
    <n v="0"/>
    <n v="0"/>
    <n v="0.90000000000145519"/>
    <m/>
  </r>
  <r>
    <s v="8470450"/>
    <s v="KUST - Earth Science"/>
    <s v="428090"/>
    <x v="9"/>
    <s v="847.8470450.1.428090.000000.847001.200179"/>
    <n v="30000"/>
    <n v="2201"/>
    <n v="2200"/>
    <n v="0"/>
    <n v="0"/>
    <n v="1"/>
    <m/>
  </r>
  <r>
    <s v="8470450"/>
    <s v="KUST - Earth Science"/>
    <s v="432209"/>
    <x v="32"/>
    <s v="847.8470450.1.432209.000000.847001.200179"/>
    <n v="118157"/>
    <n v="73844"/>
    <n v="12898.45"/>
    <n v="39200"/>
    <n v="21744.959999999999"/>
    <n v="0.5900000000037835"/>
    <m/>
  </r>
  <r>
    <s v="8470450"/>
    <s v="KUST - Earth Science"/>
    <s v="435350"/>
    <x v="21"/>
    <s v="847.8470450.1.435350.000000.847001.200179"/>
    <n v="40000"/>
    <n v="11988"/>
    <n v="11986.79"/>
    <n v="0"/>
    <n v="0"/>
    <n v="1.2099999999991269"/>
    <m/>
  </r>
  <r>
    <s v="8470450"/>
    <s v="KUST - Earth Science"/>
    <s v="435508"/>
    <x v="33"/>
    <s v="847.8470450.1.435508.000000.847001.200179"/>
    <n v="6500"/>
    <n v="9167"/>
    <n v="9101.4599999999991"/>
    <n v="0"/>
    <n v="0"/>
    <n v="65.540000000000873"/>
    <m/>
  </r>
  <r>
    <s v="8470455"/>
    <s v="KUST – Biology"/>
    <s v="425760"/>
    <x v="35"/>
    <s v="847.8470455.1.425760.000000.847001.200179"/>
    <n v="10000"/>
    <n v="1"/>
    <m/>
    <n v="0"/>
    <n v="0"/>
    <n v="1"/>
    <m/>
  </r>
  <r>
    <s v="8470455"/>
    <s v="KUST – Biology"/>
    <s v="425770"/>
    <x v="20"/>
    <s v="847.8470455.1.425770.000000.847001.200179"/>
    <n v="80000"/>
    <n v="43337"/>
    <n v="29264.39"/>
    <n v="0"/>
    <n v="0"/>
    <n v="14072.61"/>
    <m/>
  </r>
  <r>
    <s v="8470455"/>
    <s v="KUST – Biology"/>
    <s v="425900"/>
    <x v="7"/>
    <s v="847.8470455.1.425900.000000.847001.200179"/>
    <n v="15000"/>
    <n v="5021"/>
    <n v="5020.0200000000004"/>
    <n v="0"/>
    <n v="0"/>
    <n v="0.97999999999956344"/>
    <m/>
  </r>
  <r>
    <s v="8470455"/>
    <s v="KUST – Biology"/>
    <s v="426610"/>
    <x v="8"/>
    <s v="847.8470455.1.426610.000000.847001.200179"/>
    <n v="50000"/>
    <n v="30436"/>
    <n v="30435.24"/>
    <n v="0"/>
    <n v="0"/>
    <n v="0.75999999999839929"/>
    <m/>
  </r>
  <r>
    <s v="8470455"/>
    <s v="KUST – Biology"/>
    <s v="428090"/>
    <x v="9"/>
    <s v="847.8470455.1.428090.000000.847001.200179"/>
    <n v="50000"/>
    <n v="1"/>
    <m/>
    <n v="0"/>
    <n v="0"/>
    <n v="1"/>
    <m/>
  </r>
  <r>
    <s v="8470455"/>
    <s v="KUST – Biology"/>
    <s v="428640"/>
    <x v="11"/>
    <s v="847.8470455.1.428640.000000.847001.200179"/>
    <n v="5000"/>
    <n v="2537"/>
    <m/>
    <n v="0"/>
    <n v="0"/>
    <n v="2537"/>
    <m/>
  </r>
  <r>
    <s v="8470455"/>
    <s v="KUST – Biology"/>
    <s v="432209"/>
    <x v="32"/>
    <s v="847.8470455.1.432209.000000.847001.200179"/>
    <n v="300000"/>
    <n v="291801"/>
    <n v="291300"/>
    <n v="0"/>
    <n v="0"/>
    <n v="501"/>
    <m/>
  </r>
  <r>
    <s v="8470455"/>
    <s v="KUST – Biology"/>
    <s v="435350"/>
    <x v="21"/>
    <s v="847.8470455.1.435350.000000.847001.200179"/>
    <n v="80000"/>
    <n v="33190"/>
    <n v="33189.379999999997"/>
    <n v="0"/>
    <n v="0"/>
    <n v="0.62000000000261934"/>
    <m/>
  </r>
  <r>
    <s v="8470455"/>
    <s v="KUST – Biology"/>
    <s v="435508"/>
    <x v="33"/>
    <s v="847.8470455.1.435508.000000.847001.200179"/>
    <n v="675000"/>
    <n v="362391"/>
    <n v="357071.88"/>
    <n v="0"/>
    <n v="65618"/>
    <n v="-60298.880000000005"/>
    <m/>
  </r>
  <r>
    <s v="8470455"/>
    <s v="KUST – Biology"/>
    <s v="436110"/>
    <x v="31"/>
    <s v="847.8470455.1.436110.000000.847001.200179"/>
    <n v="5000"/>
    <n v="1"/>
    <m/>
    <n v="0"/>
    <n v="0"/>
    <n v="1"/>
    <m/>
  </r>
  <r>
    <s v="8470520"/>
    <s v="KUST - Environment, Health &amp; Safety"/>
    <s v="425510"/>
    <x v="5"/>
    <s v="847.8470520.1.425510.000000.847001.200179"/>
    <n v="29519"/>
    <n v="29519"/>
    <n v="7161.75"/>
    <n v="0"/>
    <n v="0"/>
    <n v="22357.25"/>
    <m/>
  </r>
  <r>
    <s v="8470520"/>
    <s v="KUST - Environment, Health &amp; Safety"/>
    <s v="426100"/>
    <x v="38"/>
    <s v="847.8470520.1.426100.000000.847001.200179"/>
    <n v="20000"/>
    <n v="20000"/>
    <m/>
    <n v="0"/>
    <n v="0"/>
    <n v="20000"/>
    <m/>
  </r>
  <r>
    <s v="8470520"/>
    <s v="KUST - Environment, Health &amp; Safety"/>
    <s v="427710"/>
    <x v="13"/>
    <s v="847.8470520.1.427710.000000.847001.200179"/>
    <n v="42000"/>
    <n v="42000"/>
    <n v="10510"/>
    <n v="0"/>
    <n v="0"/>
    <n v="31490"/>
    <m/>
  </r>
  <r>
    <s v="8470520"/>
    <s v="KUST - Environment, Health &amp; Safety"/>
    <s v="428200"/>
    <x v="39"/>
    <s v="847.8470520.1.428200.000000.847001.200179"/>
    <n v="616900"/>
    <n v="571405"/>
    <n v="562349.79"/>
    <n v="1709.15"/>
    <n v="0"/>
    <n v="7346.0599999999631"/>
    <m/>
  </r>
  <r>
    <s v="8470520"/>
    <s v="KUST - Environment, Health &amp; Safety"/>
    <s v="428200"/>
    <x v="39"/>
    <s v="847.8470520.1.428200.000000.847951.200179"/>
    <n v="23100"/>
    <n v="23100"/>
    <n v="22000"/>
    <n v="0"/>
    <n v="0"/>
    <n v="1100"/>
    <m/>
  </r>
  <r>
    <s v="8470520"/>
    <s v="KUST - Environment, Health &amp; Safety"/>
    <s v="428640"/>
    <x v="11"/>
    <s v="847.8470520.1.428640.000000.847001.200179"/>
    <n v="0"/>
    <n v="25000"/>
    <m/>
    <n v="0"/>
    <n v="0"/>
    <n v="25000"/>
    <m/>
  </r>
  <r>
    <s v="8470530"/>
    <s v="KUST - Facilities Management"/>
    <s v="420310"/>
    <x v="40"/>
    <s v="847.8470530.1.420310.000000.847010.200179"/>
    <n v="4056439"/>
    <n v="4081439"/>
    <n v="3932182.16"/>
    <n v="0"/>
    <n v="0"/>
    <n v="149256.83999999985"/>
    <s v="Extra budget planned for movment cost "/>
  </r>
  <r>
    <s v="8470530"/>
    <s v="KUST - Facilities Management"/>
    <s v="420310"/>
    <x v="40"/>
    <s v="847.8470530.1.420310.000000.847015.200179"/>
    <n v="747242"/>
    <n v="747242"/>
    <n v="747242"/>
    <n v="0"/>
    <n v="0"/>
    <n v="0"/>
    <m/>
  </r>
  <r>
    <s v="8470530"/>
    <s v="KUST - Facilities Management"/>
    <s v="420310"/>
    <x v="40"/>
    <s v="847.8470530.1.420310.000000.847020.200179"/>
    <n v="4118107"/>
    <n v="4352677"/>
    <n v="4349277.7"/>
    <n v="0"/>
    <n v="0"/>
    <n v="3399.2999999998137"/>
    <m/>
  </r>
  <r>
    <s v="8470530"/>
    <s v="KUST - Facilities Management"/>
    <s v="421000"/>
    <x v="3"/>
    <s v="847.8470530.1.421000.000000.847010.200179"/>
    <n v="350000"/>
    <n v="855000"/>
    <n v="850000"/>
    <n v="0"/>
    <n v="0"/>
    <n v="5000"/>
    <m/>
  </r>
  <r>
    <s v="8470530"/>
    <s v="KUST - Facilities Management"/>
    <s v="421100"/>
    <x v="41"/>
    <s v="847.8470530.1.421100.000000.847010.200179"/>
    <n v="0"/>
    <n v="-42048"/>
    <n v="-57528.14"/>
    <n v="0"/>
    <n v="0"/>
    <n v="15480.14"/>
    <m/>
  </r>
  <r>
    <s v="8470530"/>
    <s v="KUST - Facilities Management"/>
    <s v="421600"/>
    <x v="42"/>
    <s v="847.8470530.1.421600.000000.847010.200179"/>
    <n v="4137480"/>
    <n v="3615062"/>
    <n v="3615061.42"/>
    <n v="0"/>
    <n v="0"/>
    <n v="0.58000000007450581"/>
    <m/>
  </r>
  <r>
    <s v="8470530"/>
    <s v="KUST - Facilities Management"/>
    <s v="421600"/>
    <x v="42"/>
    <s v="847.8470530.1.421600.000000.847015.200179"/>
    <n v="2649480"/>
    <n v="2421019"/>
    <n v="2403739.48"/>
    <n v="0"/>
    <n v="17278.79"/>
    <n v="0.73000000001775334"/>
    <m/>
  </r>
  <r>
    <s v="8470530"/>
    <s v="KUST - Facilities Management"/>
    <s v="421600"/>
    <x v="42"/>
    <s v="847.8470530.1.421600.000000.847020.200179"/>
    <n v="2601720"/>
    <n v="1972181"/>
    <n v="1810961.74"/>
    <n v="0"/>
    <n v="161217.89000000001"/>
    <n v="1.3699999999953434"/>
    <m/>
  </r>
  <r>
    <s v="8470530"/>
    <s v="KUST - Facilities Management"/>
    <s v="421600"/>
    <x v="42"/>
    <s v="847.8470530.1.421600.000000.847030.200179"/>
    <n v="0"/>
    <n v="592938"/>
    <n v="559320.04"/>
    <n v="0"/>
    <n v="0"/>
    <n v="33617.959999999963"/>
    <m/>
  </r>
  <r>
    <s v="8470530"/>
    <s v="KUST - Facilities Management"/>
    <s v="421700"/>
    <x v="4"/>
    <s v="847.8470530.1.421700.000000.847010.200179"/>
    <n v="0"/>
    <n v="328000"/>
    <n v="326000"/>
    <n v="0"/>
    <n v="0"/>
    <n v="2000"/>
    <m/>
  </r>
  <r>
    <s v="8470530"/>
    <s v="KUST - Facilities Management"/>
    <s v="425510"/>
    <x v="5"/>
    <s v="847.8470530.1.425510.000000.847010.200179"/>
    <n v="20000"/>
    <n v="22200"/>
    <n v="21793.37"/>
    <n v="0"/>
    <n v="0"/>
    <n v="406.63000000000102"/>
    <m/>
  </r>
  <r>
    <s v="8470530"/>
    <s v="KUST - Facilities Management"/>
    <s v="425510"/>
    <x v="5"/>
    <s v="847.8470530.1.425510.000000.847951.200179"/>
    <m/>
    <m/>
    <n v="0"/>
    <n v="0"/>
    <n v="0"/>
    <n v="0"/>
    <m/>
  </r>
  <r>
    <s v="8470530"/>
    <s v="KUST - Facilities Management"/>
    <s v="425747"/>
    <x v="43"/>
    <s v="847.8470530.1.425747.000000.847015.200179"/>
    <n v="0"/>
    <n v="3911430"/>
    <n v="3911425"/>
    <n v="0"/>
    <n v="0"/>
    <n v="5"/>
    <m/>
  </r>
  <r>
    <s v="8470530"/>
    <s v="KUST - Facilities Management"/>
    <s v="425900"/>
    <x v="7"/>
    <s v="847.8470530.1.425900.000000.847010.200179"/>
    <n v="30000"/>
    <n v="30000"/>
    <n v="17073"/>
    <n v="0"/>
    <n v="0"/>
    <n v="12927"/>
    <m/>
  </r>
  <r>
    <s v="8470530"/>
    <s v="KUST - Facilities Management"/>
    <s v="426220"/>
    <x v="44"/>
    <s v="847.8470530.1.426220.000000.847010.200179"/>
    <n v="960437"/>
    <n v="879710"/>
    <n v="879708.25"/>
    <n v="0"/>
    <n v="0"/>
    <n v="1.75"/>
    <m/>
  </r>
  <r>
    <s v="8470530"/>
    <s v="KUST - Facilities Management"/>
    <s v="426220"/>
    <x v="44"/>
    <s v="847.8470530.1.426220.000000.847030.200179"/>
    <n v="23714"/>
    <n v="23714"/>
    <m/>
    <n v="0"/>
    <n v="0"/>
    <n v="23714"/>
    <m/>
  </r>
  <r>
    <s v="8470530"/>
    <s v="KUST - Facilities Management"/>
    <s v="426250"/>
    <x v="45"/>
    <s v="847.8470530.1.426250.000000.847010.200179"/>
    <n v="50000"/>
    <n v="50000"/>
    <n v="29924"/>
    <n v="0"/>
    <n v="0"/>
    <n v="20076"/>
    <m/>
  </r>
  <r>
    <s v="8470530"/>
    <s v="KUST - Facilities Management"/>
    <s v="428090"/>
    <x v="9"/>
    <s v="847.8470530.1.428090.000000.847001.200179"/>
    <n v="50000"/>
    <n v="0"/>
    <m/>
    <n v="0"/>
    <n v="0"/>
    <n v="0"/>
    <m/>
  </r>
  <r>
    <s v="8470530"/>
    <s v="KUST - Facilities Management"/>
    <s v="430110"/>
    <x v="46"/>
    <s v="847.8470530.1.430110.000000.847020.200179"/>
    <n v="0"/>
    <n v="200211"/>
    <n v="199212.79999999999"/>
    <n v="0"/>
    <n v="0"/>
    <n v="998.20000000001164"/>
    <m/>
  </r>
  <r>
    <s v="8470530"/>
    <s v="KUST - Facilities Management"/>
    <s v="432120"/>
    <x v="47"/>
    <s v="847.8470530.1.432120.000000.847010.200179"/>
    <n v="11946037"/>
    <n v="11240258"/>
    <n v="10774042.75"/>
    <n v="87502"/>
    <n v="499464.74"/>
    <n v="-120751.48999999999"/>
    <m/>
  </r>
  <r>
    <s v="8470530"/>
    <s v="KUST - Facilities Management"/>
    <s v="432120"/>
    <x v="47"/>
    <s v="847.8470530.1.432120.000000.847015.200179"/>
    <n v="5071140"/>
    <n v="5021740"/>
    <n v="4695216.1500000004"/>
    <n v="0"/>
    <n v="326424.78999999998"/>
    <n v="99.059999999648426"/>
    <m/>
  </r>
  <r>
    <s v="8470530"/>
    <s v="KUST - Facilities Management"/>
    <s v="432120"/>
    <x v="47"/>
    <s v="847.8470530.1.432120.000000.847020.200179"/>
    <n v="5573134"/>
    <n v="5571316"/>
    <n v="5296336.75"/>
    <n v="0"/>
    <n v="254976.94"/>
    <n v="20002.309999999998"/>
    <m/>
  </r>
  <r>
    <s v="8470530"/>
    <s v="KUST - Facilities Management"/>
    <s v="432120"/>
    <x v="47"/>
    <s v="847.8470530.1.432120.000000.847030.200179"/>
    <n v="1207678"/>
    <n v="1164654"/>
    <n v="1158171.46"/>
    <n v="62070"/>
    <n v="6400"/>
    <n v="-61987.459999999963"/>
    <m/>
  </r>
  <r>
    <s v="8470530"/>
    <s v="KUST - Facilities Management"/>
    <s v="432170"/>
    <x v="48"/>
    <s v="847.8470530.1.432170.000000.847010.200179"/>
    <n v="30000"/>
    <n v="30000"/>
    <n v="20638"/>
    <n v="0"/>
    <n v="0"/>
    <n v="9362"/>
    <m/>
  </r>
  <r>
    <s v="8470530"/>
    <s v="KUST - Facilities Management"/>
    <s v="432320"/>
    <x v="49"/>
    <s v="847.8470530.1.432320.000000.847010.200179"/>
    <n v="26000"/>
    <n v="26000"/>
    <n v="3747.08"/>
    <n v="0"/>
    <n v="0"/>
    <n v="22252.92"/>
    <m/>
  </r>
  <r>
    <s v="8470530"/>
    <s v="KUST - Facilities Management"/>
    <s v="432540"/>
    <x v="50"/>
    <s v="847.8470530.1.432540.000000.847010.200179"/>
    <m/>
    <m/>
    <n v="-219"/>
    <n v="0"/>
    <n v="0"/>
    <n v="219"/>
    <m/>
  </r>
  <r>
    <s v="8470530"/>
    <s v="KUST - Facilities Management"/>
    <s v="435410"/>
    <x v="51"/>
    <s v="847.8470530.1.435410.000000.847020.200179"/>
    <n v="0"/>
    <n v="11750"/>
    <m/>
    <n v="0"/>
    <n v="0"/>
    <n v="11750"/>
    <m/>
  </r>
  <r>
    <s v="8470530"/>
    <s v="KUST - Facilities Management"/>
    <s v="436340"/>
    <x v="52"/>
    <s v="847.8470530.1.436340.000000.847001.200179"/>
    <n v="0"/>
    <n v="20000"/>
    <m/>
    <n v="0"/>
    <n v="0"/>
    <n v="20000"/>
    <m/>
  </r>
  <r>
    <s v="8470540"/>
    <s v="KUST - Administration"/>
    <s v="421100"/>
    <x v="41"/>
    <s v="847.8470540.1.421100.000000.847010.200179"/>
    <n v="3589128"/>
    <n v="247936"/>
    <n v="168512.62"/>
    <n v="50005.48"/>
    <n v="29417.31"/>
    <n v="0.59000000000014552"/>
    <m/>
  </r>
  <r>
    <s v="8470540"/>
    <s v="KUST - Administration"/>
    <s v="426800"/>
    <x v="53"/>
    <s v="847.8470540.1.426800.000000.847010.200179"/>
    <n v="10000"/>
    <n v="10000"/>
    <n v="848"/>
    <n v="0"/>
    <n v="0"/>
    <n v="9152"/>
    <m/>
  </r>
  <r>
    <s v="8470540"/>
    <s v="KUST - Administration"/>
    <s v="426900"/>
    <x v="54"/>
    <s v="847.8470540.1.426900.000000.847010.200179"/>
    <n v="30000"/>
    <n v="6000"/>
    <n v="3000"/>
    <n v="0"/>
    <n v="0"/>
    <n v="3000"/>
    <m/>
  </r>
  <r>
    <s v="8470540"/>
    <s v="KUST - Administration"/>
    <s v="427710"/>
    <x v="13"/>
    <s v="847.8470540.1.427710.000000.847001.200179"/>
    <n v="0"/>
    <n v="7000"/>
    <n v="5106"/>
    <n v="0"/>
    <n v="0"/>
    <n v="1894"/>
    <m/>
  </r>
  <r>
    <s v="8470540"/>
    <s v="KUST - Administration"/>
    <s v="428111"/>
    <x v="55"/>
    <s v="847.8470540.1.428111.000000.847010.200179"/>
    <n v="7349560"/>
    <n v="8500127"/>
    <n v="8409542.0600000005"/>
    <n v="0"/>
    <n v="0"/>
    <n v="90584.939999999478"/>
    <s v="AP "/>
  </r>
  <r>
    <s v="8470540"/>
    <s v="KUST - Administration"/>
    <s v="428111"/>
    <x v="55"/>
    <s v="847.8470540.1.428111.000000.847015.200179"/>
    <n v="4615084"/>
    <n v="4835679"/>
    <n v="4835640.68"/>
    <n v="0"/>
    <n v="0"/>
    <n v="38.320000000298023"/>
    <m/>
  </r>
  <r>
    <s v="8470540"/>
    <s v="KUST - Administration"/>
    <s v="428111"/>
    <x v="55"/>
    <s v="847.8470540.1.428111.000000.847020.200179"/>
    <n v="3058446"/>
    <n v="5374966"/>
    <n v="5257311"/>
    <n v="0"/>
    <n v="0"/>
    <n v="117655"/>
    <s v="AP "/>
  </r>
  <r>
    <s v="8470540"/>
    <s v="KUST - Administration"/>
    <s v="428111"/>
    <x v="55"/>
    <s v="847.8470540.1.428111.000000.847030.200179"/>
    <n v="442627"/>
    <n v="0"/>
    <m/>
    <n v="0"/>
    <n v="0"/>
    <n v="0"/>
    <m/>
  </r>
  <r>
    <s v="8470540"/>
    <s v="KUST - Administration"/>
    <s v="428112"/>
    <x v="56"/>
    <s v="847.8470540.1.428112.000000.847010.200179"/>
    <n v="1153128"/>
    <n v="1242066"/>
    <n v="1187671.8799999999"/>
    <n v="0"/>
    <n v="0"/>
    <n v="54394.120000000112"/>
    <s v="AP "/>
  </r>
  <r>
    <s v="8470540"/>
    <s v="KUST - Administration"/>
    <s v="428112"/>
    <x v="56"/>
    <s v="847.8470540.1.428112.000000.847015.200179"/>
    <n v="1681399"/>
    <n v="1827377"/>
    <n v="1479472.84"/>
    <n v="0"/>
    <n v="0"/>
    <n v="347904.15999999992"/>
    <s v="AP "/>
  </r>
  <r>
    <s v="8470540"/>
    <s v="KUST - Administration"/>
    <s v="428112"/>
    <x v="56"/>
    <s v="847.8470540.1.428112.000000.847020.200179"/>
    <n v="1703132"/>
    <n v="1822786"/>
    <n v="1523249.09"/>
    <n v="0"/>
    <n v="0"/>
    <n v="299536.90999999992"/>
    <s v="AP "/>
  </r>
  <r>
    <s v="8470540"/>
    <s v="KUST - Administration"/>
    <s v="428112"/>
    <x v="56"/>
    <s v="847.8470540.1.428112.000000.847030.200179"/>
    <n v="153570"/>
    <n v="153570"/>
    <m/>
    <n v="0"/>
    <n v="0"/>
    <n v="153570"/>
    <s v="AP "/>
  </r>
  <r>
    <s v="8470540"/>
    <s v="KUST - Administration"/>
    <s v="429900"/>
    <x v="57"/>
    <s v="847.8470540.1.429900.000000.847010.200179"/>
    <n v="44000"/>
    <n v="44000"/>
    <n v="41250"/>
    <n v="0"/>
    <n v="0"/>
    <n v="2750"/>
    <m/>
  </r>
  <r>
    <s v="8470540"/>
    <s v="KUST - Administration"/>
    <s v="430230"/>
    <x v="58"/>
    <s v="847.8470540.1.430230.000000.847001.200179"/>
    <n v="0"/>
    <n v="24416"/>
    <n v="24415"/>
    <n v="0"/>
    <n v="0"/>
    <n v="1"/>
    <m/>
  </r>
  <r>
    <s v="8470540"/>
    <s v="KUST - Administration"/>
    <s v="430330"/>
    <x v="59"/>
    <s v="847.8470540.1.430330.000000.847010.200179"/>
    <n v="967680"/>
    <n v="989464"/>
    <n v="978732.96"/>
    <n v="0"/>
    <n v="10730"/>
    <n v="1.0400000000372529"/>
    <m/>
  </r>
  <r>
    <s v="8470540"/>
    <s v="KUST - Administration"/>
    <s v="432120"/>
    <x v="47"/>
    <s v="847.8470540.1.432120.000000.847010.200179"/>
    <n v="0"/>
    <n v="-367211"/>
    <n v="-371826.82"/>
    <n v="0"/>
    <n v="0"/>
    <n v="4615.820000000007"/>
    <m/>
  </r>
  <r>
    <s v="8470540"/>
    <s v="KUST - Administration"/>
    <s v="432120"/>
    <x v="47"/>
    <s v="847.8470540.1.432120.000000.847020.200179"/>
    <n v="0"/>
    <n v="-241882"/>
    <n v="-242103.6"/>
    <n v="0"/>
    <n v="0"/>
    <n v="221.60000000000582"/>
    <m/>
  </r>
  <r>
    <s v="8470540"/>
    <s v="KUST - Administration"/>
    <s v="432540"/>
    <x v="50"/>
    <s v="847.8470540.1.432540.000000.847010.200179"/>
    <n v="140000"/>
    <n v="89603"/>
    <n v="89601.84"/>
    <n v="0"/>
    <n v="0"/>
    <n v="1.1600000000034925"/>
    <m/>
  </r>
  <r>
    <s v="8470540"/>
    <s v="KUST - Administration"/>
    <s v="435410"/>
    <x v="51"/>
    <s v="847.8470540.1.435410.000000.847020.200179"/>
    <n v="0"/>
    <n v="1477395"/>
    <n v="1441004.98"/>
    <n v="0"/>
    <n v="11386.0800000001"/>
    <n v="25003.939999999919"/>
    <m/>
  </r>
  <r>
    <s v="8470540"/>
    <s v="KUST - Administration"/>
    <s v="435740"/>
    <x v="60"/>
    <s v="847.8470540.1.435740.000000.847010.200179"/>
    <n v="336000"/>
    <n v="266721"/>
    <n v="266719.75"/>
    <n v="0"/>
    <n v="0"/>
    <n v="1.25"/>
    <m/>
  </r>
  <r>
    <s v="8470540"/>
    <s v="KUST - Administration"/>
    <s v="436110"/>
    <x v="31"/>
    <s v="847.8470540.1.436110.000000.847010.200179"/>
    <n v="193910"/>
    <n v="110009"/>
    <n v="110007.78"/>
    <n v="0"/>
    <n v="0"/>
    <n v="1.2200000000011642"/>
    <m/>
  </r>
  <r>
    <s v="8470610"/>
    <s v="KUST - VP/ Finance and Budget Office"/>
    <s v="428090"/>
    <x v="9"/>
    <s v="847.8470610.1.428090.000000.847001.200179"/>
    <n v="0"/>
    <n v="6445"/>
    <n v="5845"/>
    <n v="0"/>
    <n v="0"/>
    <n v="600"/>
    <m/>
  </r>
  <r>
    <s v="8470620"/>
    <s v="KUST - Finance Operations"/>
    <s v="420130"/>
    <x v="61"/>
    <s v="847.8470620.1.420130.000000.847001.200179"/>
    <n v="295000"/>
    <n v="383200"/>
    <n v="383200"/>
    <n v="0"/>
    <n v="0"/>
    <n v="0"/>
    <m/>
  </r>
  <r>
    <s v="8470620"/>
    <s v="KUST - Finance Operations"/>
    <s v="421100"/>
    <x v="41"/>
    <s v="847.8470620.1.421100.000000.847001.200179"/>
    <n v="431160"/>
    <n v="31160"/>
    <n v="31000"/>
    <n v="0"/>
    <n v="0"/>
    <n v="160"/>
    <m/>
  </r>
  <r>
    <s v="8470620"/>
    <s v="KUST - Finance Operations"/>
    <s v="422900"/>
    <x v="62"/>
    <s v="847.8470620.1.422900.000000.847001.200179"/>
    <n v="310500"/>
    <n v="519271"/>
    <n v="386410"/>
    <n v="0"/>
    <n v="132860"/>
    <n v="1"/>
    <m/>
  </r>
  <r>
    <s v="8470620"/>
    <s v="KUST - Finance Operations"/>
    <s v="425300"/>
    <x v="63"/>
    <s v="847.8470620.1.425300.000000.847001.200179"/>
    <n v="3600"/>
    <n v="3600"/>
    <n v="688.64"/>
    <n v="0"/>
    <n v="0"/>
    <n v="2911.36"/>
    <m/>
  </r>
  <r>
    <s v="8470620"/>
    <s v="KUST - Finance Operations"/>
    <s v="425350"/>
    <x v="64"/>
    <s v="847.8470620.1.425350.000000.847001.200179"/>
    <n v="90000"/>
    <n v="124500"/>
    <n v="102471.63"/>
    <n v="0"/>
    <n v="0"/>
    <n v="22028.369999999995"/>
    <m/>
  </r>
  <r>
    <s v="8470620"/>
    <s v="KUST - Finance Operations"/>
    <s v="425900"/>
    <x v="7"/>
    <s v="847.8470620.1.425900.000000.847001.200179"/>
    <n v="0"/>
    <n v="5000"/>
    <n v="4079"/>
    <n v="0"/>
    <n v="0"/>
    <n v="921"/>
    <m/>
  </r>
  <r>
    <s v="8470620"/>
    <s v="KUST - Finance Operations"/>
    <s v="426610"/>
    <x v="8"/>
    <s v="847.8470620.1.426610.000000.847001.200179"/>
    <n v="31680"/>
    <n v="31680"/>
    <n v="31680"/>
    <n v="0"/>
    <n v="0"/>
    <n v="0"/>
    <m/>
  </r>
  <r>
    <s v="8470620"/>
    <s v="KUST - Finance Operations"/>
    <s v="436110"/>
    <x v="31"/>
    <s v="847.8470620.1.436110.000000.847001.200179"/>
    <m/>
    <m/>
    <n v="0"/>
    <n v="0"/>
    <n v="0"/>
    <n v="0"/>
    <m/>
  </r>
  <r>
    <s v="8470620"/>
    <s v="KUST - Finance Operations"/>
    <s v="436120"/>
    <x v="65"/>
    <s v="847.8470620.1.436120.000000.847001.200179"/>
    <n v="2500"/>
    <n v="10870"/>
    <n v="6150"/>
    <n v="0"/>
    <n v="0"/>
    <n v="4720"/>
    <m/>
  </r>
  <r>
    <s v="8470720"/>
    <s v="KUST - Procurement and Contracts"/>
    <s v="421000"/>
    <x v="3"/>
    <s v="847.8470720.1.421000.000000.847001.200179"/>
    <n v="0"/>
    <n v="-177900"/>
    <n v="-177900.66"/>
    <n v="0"/>
    <n v="0"/>
    <n v="0.66000000000349246"/>
    <m/>
  </r>
  <r>
    <s v="8470720"/>
    <s v="KUST - Procurement and Contracts"/>
    <s v="421700"/>
    <x v="4"/>
    <s v="847.8470720.1.421700.000000.847001.200179"/>
    <n v="2000"/>
    <n v="24000"/>
    <n v="12000"/>
    <n v="0"/>
    <n v="0"/>
    <n v="12000"/>
    <m/>
  </r>
  <r>
    <s v="8470720"/>
    <s v="KUST - Procurement and Contracts"/>
    <s v="426610"/>
    <x v="8"/>
    <s v="847.8470720.1.426610.000000.847001.200179"/>
    <n v="0"/>
    <n v="7300"/>
    <n v="6271"/>
    <n v="0"/>
    <n v="0"/>
    <n v="1029"/>
    <m/>
  </r>
  <r>
    <s v="8470720"/>
    <s v="KUST - Procurement and Contracts"/>
    <s v="426900"/>
    <x v="54"/>
    <s v="847.8470720.1.426900.000000.847001.200179"/>
    <n v="10000"/>
    <n v="15000"/>
    <n v="9933.27"/>
    <n v="0"/>
    <n v="0"/>
    <n v="5066.7299999999996"/>
    <m/>
  </r>
  <r>
    <s v="8470720"/>
    <s v="KUST - Procurement and Contracts"/>
    <s v="428200"/>
    <x v="39"/>
    <s v="847.8470720.1.428200.000000.847001.200179"/>
    <n v="250000"/>
    <n v="350000"/>
    <n v="344310.99"/>
    <n v="0"/>
    <n v="0"/>
    <n v="5689.0100000000093"/>
    <m/>
  </r>
  <r>
    <s v="8470720"/>
    <s v="KUST - Procurement and Contracts"/>
    <s v="432120"/>
    <x v="47"/>
    <s v="847.8470720.1.432120.000000.847001.200179"/>
    <n v="236400"/>
    <n v="54400"/>
    <n v="50950"/>
    <n v="0"/>
    <n v="0"/>
    <n v="3450"/>
    <m/>
  </r>
  <r>
    <s v="8470720"/>
    <s v="KUST - Procurement and Contracts"/>
    <s v="435410"/>
    <x v="51"/>
    <s v="847.8470720.1.435410.000000.847001.200179"/>
    <n v="840000"/>
    <n v="164310"/>
    <n v="163337.9"/>
    <n v="0"/>
    <n v="450"/>
    <n v="522.10000000000582"/>
    <m/>
  </r>
  <r>
    <s v="8470720"/>
    <s v="KUST - Procurement and Contracts"/>
    <s v="436110"/>
    <x v="31"/>
    <s v="847.8470720.1.436110.000000.847001.200179"/>
    <n v="50000"/>
    <n v="12854"/>
    <n v="12853.5"/>
    <n v="0"/>
    <n v="0"/>
    <n v="0.5"/>
    <m/>
  </r>
  <r>
    <s v="8470720"/>
    <s v="KUST - Procurement and Contracts"/>
    <s v="436120"/>
    <x v="65"/>
    <s v="847.8470720.1.436120.000000.847001.200179"/>
    <n v="120000"/>
    <n v="180000"/>
    <n v="164281.29"/>
    <n v="53.01"/>
    <n v="0"/>
    <n v="15665.699999999992"/>
    <m/>
  </r>
  <r>
    <s v="8470730"/>
    <s v="KUST - Human Resources"/>
    <s v="421000"/>
    <x v="3"/>
    <s v="847.8470730.1.421000.000000.847001.200179"/>
    <n v="300000"/>
    <n v="55294"/>
    <n v="55214.83"/>
    <n v="0"/>
    <n v="132578.07"/>
    <n v="-132498.90000000002"/>
    <m/>
  </r>
  <r>
    <s v="8470730"/>
    <s v="KUST - Human Resources"/>
    <s v="425510"/>
    <x v="5"/>
    <s v="847.8470730.1.425510.000000.847001.200179"/>
    <n v="50000"/>
    <n v="13191"/>
    <n v="13190"/>
    <n v="0"/>
    <n v="0"/>
    <n v="1"/>
    <m/>
  </r>
  <r>
    <s v="8470730"/>
    <s v="KUST - Human Resources"/>
    <s v="425900"/>
    <x v="7"/>
    <s v="847.8470730.1.425900.000000.847001.200179"/>
    <n v="250000"/>
    <n v="18291"/>
    <n v="11150"/>
    <n v="0"/>
    <n v="7140"/>
    <n v="1"/>
    <m/>
  </r>
  <r>
    <s v="8470730"/>
    <s v="KUST - Human Resources"/>
    <s v="426610"/>
    <x v="8"/>
    <s v="847.8470730.1.426610.000000.847001.200179"/>
    <n v="600000"/>
    <n v="183287"/>
    <n v="165285"/>
    <n v="0"/>
    <n v="18000"/>
    <n v="2"/>
    <m/>
  </r>
  <r>
    <s v="8470730"/>
    <s v="KUST - Human Resources"/>
    <s v="427900"/>
    <x v="66"/>
    <s v="847.8470730.1.427900.000000.847001.200179"/>
    <n v="10000"/>
    <n v="1"/>
    <m/>
    <n v="0"/>
    <n v="0"/>
    <n v="1"/>
    <m/>
  </r>
  <r>
    <s v="8470730"/>
    <s v="KUST - Human Resources"/>
    <s v="428090"/>
    <x v="9"/>
    <s v="847.8470730.1.428090.000000.847001.200179"/>
    <n v="0"/>
    <n v="35100"/>
    <n v="35080"/>
    <n v="0"/>
    <n v="0"/>
    <n v="20"/>
    <m/>
  </r>
  <r>
    <s v="8470730"/>
    <s v="KUST - Human Resources"/>
    <s v="428640"/>
    <x v="11"/>
    <s v="847.8470730.1.428640.000000.847001.200179"/>
    <n v="250000"/>
    <n v="205861"/>
    <n v="61947.6"/>
    <n v="0"/>
    <n v="143100"/>
    <n v="813.39999999999418"/>
    <m/>
  </r>
  <r>
    <s v="8470730"/>
    <s v="KUST - Human Resources"/>
    <s v="436110"/>
    <x v="31"/>
    <s v="847.8470730.1.436110.000000.847001.200179"/>
    <n v="50000"/>
    <n v="51946"/>
    <n v="17470"/>
    <n v="0"/>
    <n v="34475"/>
    <n v="1"/>
    <m/>
  </r>
  <r>
    <s v="8470810"/>
    <s v="KUST - Ankabut office"/>
    <s v="420810"/>
    <x v="67"/>
    <s v="847.8470810.1.420810.000000.847001.200179"/>
    <n v="10351793"/>
    <n v="0"/>
    <m/>
    <n v="0"/>
    <n v="0"/>
    <n v="0"/>
    <m/>
  </r>
  <r>
    <s v="8470810"/>
    <s v="KUST - Ankabut office"/>
    <s v="420811"/>
    <x v="68"/>
    <s v="847.8470810.1.420811.000000.847001.200179"/>
    <n v="0"/>
    <n v="17610696"/>
    <n v="17388539.73"/>
    <n v="0"/>
    <n v="0"/>
    <n v="222156.26999999955"/>
    <m/>
  </r>
  <r>
    <s v="8470810"/>
    <s v="KUST - Ankabut office"/>
    <s v="421100"/>
    <x v="41"/>
    <s v="847.8470810.1.421100.000000.847001.200179"/>
    <n v="7465192"/>
    <n v="373662"/>
    <n v="644.72000000000105"/>
    <n v="0"/>
    <n v="563543.22"/>
    <n v="-190525.93999999994"/>
    <m/>
  </r>
  <r>
    <s v="8470810"/>
    <s v="KUST - Ankabut office"/>
    <s v="426610"/>
    <x v="8"/>
    <s v="847.8470810.1.426610.000000.847001.200179"/>
    <n v="8612571"/>
    <n v="7040922"/>
    <n v="6828663.6799999997"/>
    <n v="81250.09"/>
    <n v="0"/>
    <n v="131008.2300000003"/>
    <m/>
  </r>
  <r>
    <s v="8470810"/>
    <s v="KUST - Ankabut office"/>
    <s v="427810"/>
    <x v="69"/>
    <s v="847.8470810.1.427810.000000.847001.200179"/>
    <n v="800000"/>
    <n v="2640814"/>
    <n v="2617509.5099999998"/>
    <n v="0"/>
    <n v="0"/>
    <n v="23304.490000000224"/>
    <m/>
  </r>
  <r>
    <s v="8470810"/>
    <s v="KUST - Ankabut office"/>
    <s v="427850"/>
    <x v="70"/>
    <s v="847.8470810.1.427850.000000.847001.200179"/>
    <n v="2618028"/>
    <n v="2078615"/>
    <n v="2078611.37"/>
    <n v="0"/>
    <n v="0"/>
    <n v="3.6299999998882413"/>
    <m/>
  </r>
  <r>
    <s v="8470810"/>
    <s v="KUST - Ankabut office"/>
    <s v="428090"/>
    <x v="9"/>
    <s v="847.8470810.1.428090.000000.847001.200179"/>
    <n v="11500"/>
    <n v="4401"/>
    <n v="4400"/>
    <n v="0"/>
    <n v="0"/>
    <n v="1"/>
    <m/>
  </r>
  <r>
    <s v="8470810"/>
    <s v="KUST - Ankabut office"/>
    <s v="430230"/>
    <x v="58"/>
    <s v="847.8470810.1.430230.000000.847001.200179"/>
    <n v="1021317"/>
    <n v="0"/>
    <m/>
    <n v="0"/>
    <n v="0"/>
    <n v="0"/>
    <m/>
  </r>
  <r>
    <s v="8470810"/>
    <s v="KUST - Ankabut office"/>
    <s v="430250"/>
    <x v="71"/>
    <s v="847.8470810.1.430250.000000.847001.200179"/>
    <n v="0"/>
    <n v="1022000"/>
    <n v="754866.67"/>
    <n v="0"/>
    <n v="265899.09999999998"/>
    <n v="1234.2299999999814"/>
    <m/>
  </r>
  <r>
    <s v="8470810"/>
    <s v="KUST - Ankabut office"/>
    <s v="432205"/>
    <x v="24"/>
    <s v="847.8470810.1.432205.000000.847001.200179"/>
    <n v="1475000"/>
    <n v="1455435"/>
    <n v="1454955.95"/>
    <n v="0"/>
    <n v="1.99999999934516"/>
    <n v="477.0500000007014"/>
    <m/>
  </r>
  <r>
    <s v="8470810"/>
    <s v="KUST - Ankabut office"/>
    <s v="432226"/>
    <x v="72"/>
    <s v="847.8470810.1.432226.000000.847001.200179"/>
    <n v="0"/>
    <n v="364500"/>
    <n v="362741.93"/>
    <n v="0"/>
    <n v="0"/>
    <n v="1758.070000000007"/>
    <m/>
  </r>
  <r>
    <s v="8470810"/>
    <s v="KUST - Ankabut office"/>
    <s v="436110"/>
    <x v="31"/>
    <s v="847.8470810.1.436110.000000.847001.200179"/>
    <n v="360000"/>
    <n v="0"/>
    <m/>
    <n v="0"/>
    <n v="0"/>
    <n v="0"/>
    <m/>
  </r>
  <r>
    <s v="8471010"/>
    <s v="KUST - Continuing Education Office"/>
    <s v="425100"/>
    <x v="14"/>
    <s v="847.8471010.1.425100.000000.847001.200179"/>
    <n v="107500"/>
    <n v="107500"/>
    <n v="105000"/>
    <n v="0"/>
    <n v="0"/>
    <n v="2500"/>
    <m/>
  </r>
  <r>
    <s v="8471010"/>
    <s v="KUST - Continuing Education Office"/>
    <s v="425510"/>
    <x v="5"/>
    <s v="847.8471010.1.425510.000000.847001.200179"/>
    <n v="100000"/>
    <n v="37700"/>
    <n v="5876.8"/>
    <n v="0"/>
    <n v="0"/>
    <n v="31823.200000000001"/>
    <m/>
  </r>
  <r>
    <s v="8471010"/>
    <s v="KUST - Continuing Education Office"/>
    <s v="425550"/>
    <x v="6"/>
    <s v="847.8471010.1.425550.000000.847001.200179"/>
    <n v="0"/>
    <n v="6000"/>
    <m/>
    <n v="0"/>
    <n v="0"/>
    <n v="6000"/>
    <m/>
  </r>
  <r>
    <s v="8471010"/>
    <s v="KUST - Continuing Education Office"/>
    <s v="425720"/>
    <x v="37"/>
    <s v="847.8471010.1.425720.000000.847001.200179"/>
    <n v="76120"/>
    <n v="96120"/>
    <n v="88576"/>
    <n v="0"/>
    <n v="0"/>
    <n v="7544"/>
    <m/>
  </r>
  <r>
    <s v="8471010"/>
    <s v="KUST - Continuing Education Office"/>
    <s v="425900"/>
    <x v="7"/>
    <s v="847.8471010.1.425900.000000.847001.200179"/>
    <n v="162500"/>
    <n v="22891"/>
    <n v="16590"/>
    <n v="0"/>
    <n v="0"/>
    <n v="6301"/>
    <m/>
  </r>
  <r>
    <s v="8471010"/>
    <s v="KUST - Continuing Education Office"/>
    <s v="436110"/>
    <x v="31"/>
    <s v="847.8471010.1.436110.000000.847001.200179"/>
    <n v="50625"/>
    <n v="7625"/>
    <n v="7081.52"/>
    <n v="0"/>
    <n v="0"/>
    <n v="543.47999999999956"/>
    <m/>
  </r>
  <r>
    <s v="8471010"/>
    <s v="KUST - Continuing Education Office"/>
    <s v="436120"/>
    <x v="65"/>
    <s v="847.8471010.1.436120.000000.847001.200179"/>
    <n v="5625"/>
    <n v="5625"/>
    <m/>
    <n v="0"/>
    <n v="0"/>
    <n v="5625"/>
    <m/>
  </r>
  <r>
    <s v="8471110"/>
    <s v="KUST - SVP/ Research &amp; Development Office"/>
    <s v="425900"/>
    <x v="7"/>
    <s v="847.8471110.1.425900.000000.847001.200179"/>
    <n v="30000"/>
    <n v="3046"/>
    <n v="3045"/>
    <n v="0"/>
    <n v="0"/>
    <n v="1"/>
    <m/>
  </r>
  <r>
    <s v="8471110"/>
    <s v="KUST - SVP/ Research &amp; Development Office"/>
    <s v="427710"/>
    <x v="13"/>
    <s v="847.8471110.1.427710.000000.847001.200179"/>
    <n v="428951"/>
    <n v="30730"/>
    <n v="30706.28"/>
    <n v="0"/>
    <n v="0"/>
    <n v="23.720000000001164"/>
    <m/>
  </r>
  <r>
    <s v="8471110"/>
    <s v="KUST - SVP/ Research &amp; Development Office"/>
    <s v="428090"/>
    <x v="9"/>
    <s v="847.8471110.1.428090.000000.847001.200179"/>
    <n v="100000"/>
    <n v="48419"/>
    <n v="48418.080000000002"/>
    <n v="0"/>
    <n v="0"/>
    <n v="0.91999999999825377"/>
    <m/>
  </r>
  <r>
    <s v="8471110"/>
    <s v="KUST - SVP/ Research &amp; Development Office"/>
    <s v="435508"/>
    <x v="33"/>
    <s v="847.8471110.1.435508.000000.847001.200179"/>
    <n v="0"/>
    <n v="2000"/>
    <n v="1875"/>
    <n v="0"/>
    <n v="0"/>
    <n v="125"/>
    <m/>
  </r>
  <r>
    <s v="8471120"/>
    <s v="KUST - Institute for Automation, Information Science &amp; Communication"/>
    <s v="425900"/>
    <x v="7"/>
    <s v="847.8471120.1.425900.000000.847001.200179"/>
    <n v="110000"/>
    <n v="0"/>
    <m/>
    <n v="0"/>
    <n v="0"/>
    <n v="0"/>
    <m/>
  </r>
  <r>
    <s v="8471120"/>
    <s v="KUST - Institute for Automation, Information Science &amp; Communication"/>
    <s v="428090"/>
    <x v="9"/>
    <s v="847.8471120.1.428090.000000.847001.200179"/>
    <n v="220000"/>
    <n v="8722"/>
    <n v="8721"/>
    <n v="0"/>
    <n v="0"/>
    <n v="1"/>
    <m/>
  </r>
  <r>
    <s v="8471120"/>
    <s v="KUST - Institute for Automation, Information Science &amp; Communication"/>
    <s v="429900"/>
    <x v="57"/>
    <s v="847.8471120.1.429900.000000.847001.200179"/>
    <n v="55510"/>
    <n v="1"/>
    <m/>
    <n v="0"/>
    <n v="0"/>
    <n v="1"/>
    <m/>
  </r>
  <r>
    <s v="8471120"/>
    <s v="KUST - Institute for Automation, Information Science &amp; Communication"/>
    <s v="435523"/>
    <x v="22"/>
    <s v="847.8471120.1.435523.000000.847001.200179"/>
    <n v="25510"/>
    <n v="0"/>
    <m/>
    <n v="0"/>
    <n v="0"/>
    <n v="0"/>
    <m/>
  </r>
  <r>
    <s v="8471121"/>
    <s v="KUST - Petroleum Institute"/>
    <s v="425510"/>
    <x v="5"/>
    <s v="847.8471121.1.425510.000000.847001.200179"/>
    <n v="50000"/>
    <n v="0"/>
    <m/>
    <n v="0"/>
    <n v="0"/>
    <n v="0"/>
    <m/>
  </r>
  <r>
    <s v="8471121"/>
    <s v="KUST - Petroleum Institute"/>
    <s v="425900"/>
    <x v="7"/>
    <s v="847.8471121.1.425900.000000.847001.200179"/>
    <n v="15000"/>
    <n v="15000"/>
    <m/>
    <n v="0"/>
    <n v="0"/>
    <n v="15000"/>
    <m/>
  </r>
  <r>
    <s v="8471121"/>
    <s v="KUST - Petroleum Institute"/>
    <s v="428090"/>
    <x v="9"/>
    <s v="847.8471121.1.428090.000000.847001.200179"/>
    <n v="50000"/>
    <n v="13623"/>
    <m/>
    <n v="0"/>
    <n v="0"/>
    <n v="13623"/>
    <m/>
  </r>
  <r>
    <s v="8471121"/>
    <s v="KUST - Petroleum Institute"/>
    <s v="432170"/>
    <x v="48"/>
    <s v="847.8471121.1.432170.000000.847001.200179"/>
    <n v="500000"/>
    <n v="0"/>
    <m/>
    <n v="0"/>
    <n v="0"/>
    <n v="0"/>
    <m/>
  </r>
  <r>
    <s v="8471121"/>
    <s v="KUST - Petroleum Institute"/>
    <s v="435523"/>
    <x v="22"/>
    <s v="847.8471121.1.435523.000000.847001.200179"/>
    <n v="926280"/>
    <n v="0"/>
    <m/>
    <n v="0"/>
    <n v="0"/>
    <n v="0"/>
    <m/>
  </r>
  <r>
    <s v="8471122"/>
    <s v="KUST - Masdar Institute"/>
    <s v="425900"/>
    <x v="7"/>
    <s v="847.8471122.1.425900.000000.847001.200179"/>
    <n v="0"/>
    <n v="0"/>
    <m/>
    <n v="0"/>
    <n v="0"/>
    <n v="0"/>
    <m/>
  </r>
  <r>
    <s v="8471122"/>
    <s v="KUST - Masdar Institute"/>
    <s v="428090"/>
    <x v="9"/>
    <s v="847.8471122.1.428090.000000.847001.200179"/>
    <n v="0"/>
    <n v="13623"/>
    <m/>
    <n v="0"/>
    <n v="0"/>
    <n v="13623"/>
    <m/>
  </r>
  <r>
    <s v="8471130"/>
    <s v="KUST - Research Service"/>
    <s v="420811"/>
    <x v="68"/>
    <s v="847.8471130.1.420811.000000.847001.200179"/>
    <n v="0"/>
    <n v="1"/>
    <m/>
    <n v="0"/>
    <n v="0"/>
    <n v="1"/>
    <m/>
  </r>
  <r>
    <s v="8471130"/>
    <s v="KUST - Research Service"/>
    <s v="426610"/>
    <x v="8"/>
    <s v="847.8471130.1.426610.000000.847001.200179"/>
    <n v="0"/>
    <n v="171900"/>
    <n v="171712.75"/>
    <n v="0"/>
    <n v="0"/>
    <n v="187.25"/>
    <m/>
  </r>
  <r>
    <s v="8471130"/>
    <s v="KUST - Research Service"/>
    <s v="427900"/>
    <x v="66"/>
    <s v="847.8471130.1.427900.000000.847001.200179"/>
    <n v="5000"/>
    <n v="0"/>
    <m/>
    <n v="0"/>
    <n v="0"/>
    <n v="0"/>
    <m/>
  </r>
  <r>
    <s v="8471130"/>
    <s v="KUST - Research Service"/>
    <s v="428090"/>
    <x v="9"/>
    <s v="847.8471130.1.428090.000000.847001.200179"/>
    <n v="70000"/>
    <n v="36284"/>
    <n v="23760.37"/>
    <n v="0"/>
    <n v="0"/>
    <n v="12523.630000000001"/>
    <m/>
  </r>
  <r>
    <s v="8471130"/>
    <s v="KUST - Research Service"/>
    <s v="435523"/>
    <x v="22"/>
    <s v="847.8471130.1.435523.000000.847001.200179"/>
    <n v="205962"/>
    <n v="157690"/>
    <n v="157599.53"/>
    <n v="0"/>
    <n v="0"/>
    <n v="90.470000000001164"/>
    <m/>
  </r>
  <r>
    <s v="8471140"/>
    <s v="KUST - University Sponsored Research"/>
    <s v="420570"/>
    <x v="1"/>
    <s v="847.8471140.1.420570.000000.847001.200179"/>
    <n v="231840"/>
    <n v="5109177"/>
    <n v="5108475.72"/>
    <n v="0"/>
    <n v="0"/>
    <n v="701.28000000026077"/>
    <m/>
  </r>
  <r>
    <s v="8471140"/>
    <s v="KUST - University Sponsored Research"/>
    <s v="428090"/>
    <x v="9"/>
    <s v="847.8471140.1.428090.000000.847001.200179"/>
    <n v="80000"/>
    <n v="86693"/>
    <n v="86558.97"/>
    <n v="0"/>
    <n v="0"/>
    <n v="134.02999999999884"/>
    <m/>
  </r>
  <r>
    <s v="8471140"/>
    <s v="KUST - University Sponsored Research"/>
    <s v="435523"/>
    <x v="22"/>
    <s v="847.8471140.1.435523.000000.847001.200179"/>
    <n v="99831748"/>
    <n v="90163948"/>
    <n v="87700680.580000103"/>
    <n v="335923.37"/>
    <n v="2137697.66"/>
    <n v="-10353.610000102781"/>
    <m/>
  </r>
  <r>
    <s v="8471150"/>
    <s v="KUST - Technology Management &amp; Innovation"/>
    <s v="420900"/>
    <x v="2"/>
    <s v="847.8471150.1.420900.000000.847001.200179"/>
    <n v="3332844"/>
    <n v="3918624"/>
    <n v="3918518.28"/>
    <n v="1043624.47"/>
    <n v="0"/>
    <n v="-1043518.7499999998"/>
    <m/>
  </r>
  <r>
    <s v="8471150"/>
    <s v="KUST - Technology Management &amp; Innovation"/>
    <s v="425510"/>
    <x v="5"/>
    <s v="847.8471150.1.425510.000000.847001.200179"/>
    <n v="100002"/>
    <n v="526"/>
    <n v="525"/>
    <n v="0"/>
    <n v="0"/>
    <n v="1"/>
    <m/>
  </r>
  <r>
    <s v="8471150"/>
    <s v="KUST - Technology Management &amp; Innovation"/>
    <s v="425550"/>
    <x v="6"/>
    <s v="847.8471150.1.425550.000000.847001.200179"/>
    <n v="100002"/>
    <n v="26096"/>
    <n v="26095"/>
    <n v="0"/>
    <n v="0"/>
    <n v="1"/>
    <m/>
  </r>
  <r>
    <s v="8471150"/>
    <s v="KUST - Technology Management &amp; Innovation"/>
    <s v="425900"/>
    <x v="7"/>
    <s v="847.8471150.1.425900.000000.847001.200179"/>
    <n v="0"/>
    <n v="920"/>
    <n v="918.75"/>
    <n v="0"/>
    <n v="0"/>
    <n v="1.25"/>
    <m/>
  </r>
  <r>
    <s v="8471150"/>
    <s v="KUST - Technology Management &amp; Innovation"/>
    <s v="426610"/>
    <x v="8"/>
    <s v="847.8471150.1.426610.000000.847001.200179"/>
    <n v="120000"/>
    <n v="3881"/>
    <n v="3880.12"/>
    <n v="0"/>
    <n v="0"/>
    <n v="0.88000000000010914"/>
    <m/>
  </r>
  <r>
    <s v="8471150"/>
    <s v="KUST - Technology Management &amp; Innovation"/>
    <s v="428090"/>
    <x v="9"/>
    <s v="847.8471150.1.428090.000000.847001.200179"/>
    <n v="50001"/>
    <n v="1"/>
    <m/>
    <n v="0"/>
    <n v="0"/>
    <n v="1"/>
    <m/>
  </r>
  <r>
    <s v="8471160"/>
    <s v="KUST - Research Laboratories"/>
    <s v="420810"/>
    <x v="67"/>
    <s v="847.8471160.1.420810.000000.847001.200179"/>
    <n v="588000"/>
    <n v="0"/>
    <m/>
    <n v="0"/>
    <n v="0"/>
    <n v="0"/>
    <m/>
  </r>
  <r>
    <s v="8471160"/>
    <s v="KUST - Research Laboratories"/>
    <s v="420811"/>
    <x v="68"/>
    <s v="847.8471160.1.420811.000000.847001.200179"/>
    <n v="0"/>
    <n v="0"/>
    <m/>
    <n v="0"/>
    <n v="0"/>
    <n v="0"/>
    <m/>
  </r>
  <r>
    <s v="8471160"/>
    <s v="KUST - Research Laboratories"/>
    <s v="422100"/>
    <x v="73"/>
    <s v="847.8471160.1.422100.000000.847001.200179"/>
    <n v="0"/>
    <n v="160400"/>
    <n v="160400"/>
    <n v="0"/>
    <n v="0"/>
    <n v="0"/>
    <m/>
  </r>
  <r>
    <s v="8471160"/>
    <s v="KUST - Research Laboratories"/>
    <s v="426610"/>
    <x v="8"/>
    <s v="847.8471160.1.426610.000000.847001.200179"/>
    <n v="161375"/>
    <n v="436040"/>
    <n v="236203.5"/>
    <n v="0"/>
    <n v="204559.7"/>
    <n v="-4723.2000000000116"/>
    <m/>
  </r>
  <r>
    <s v="8471160"/>
    <s v="KUST - Research Laboratories"/>
    <s v="432209"/>
    <x v="32"/>
    <s v="847.8471160.1.432209.000000.847001.200179"/>
    <n v="15319303"/>
    <n v="11257967"/>
    <n v="8032239.4299999997"/>
    <n v="352767.93"/>
    <n v="3208636.84"/>
    <n v="-335677.19999999972"/>
    <m/>
  </r>
  <r>
    <s v="8471160"/>
    <s v="KUST - Research Laboratories"/>
    <s v="435508"/>
    <x v="33"/>
    <s v="847.8471160.1.435508.000000.847001.200179"/>
    <n v="2753398"/>
    <n v="3600857"/>
    <n v="2788554.18"/>
    <n v="1330211.04"/>
    <n v="809208.7"/>
    <n v="-1327116.9200000002"/>
    <m/>
  </r>
  <r>
    <s v="8471160"/>
    <s v="KUST - Research Laboratories"/>
    <s v="436600"/>
    <x v="34"/>
    <s v="847.8471160.1.436600.000000.847001.200179"/>
    <n v="0"/>
    <n v="15360"/>
    <n v="15359"/>
    <n v="0"/>
    <n v="0"/>
    <n v="1"/>
    <m/>
  </r>
  <r>
    <s v="8471170"/>
    <s v="KUST - Research Computing"/>
    <s v="420810"/>
    <x v="67"/>
    <s v="847.8471170.1.420810.000000.847001.200179"/>
    <n v="1709607"/>
    <n v="0"/>
    <m/>
    <n v="0"/>
    <n v="0"/>
    <n v="0"/>
    <m/>
  </r>
  <r>
    <s v="8471170"/>
    <s v="KUST - Research Computing"/>
    <s v="420811"/>
    <x v="68"/>
    <s v="847.8471170.1.420811.000000.847001.200179"/>
    <n v="0"/>
    <n v="19764215"/>
    <n v="19213214.440000001"/>
    <n v="0"/>
    <n v="551000"/>
    <n v="0.55999999865889549"/>
    <m/>
  </r>
  <r>
    <s v="8471170"/>
    <s v="KUST - Research Computing"/>
    <s v="425900"/>
    <x v="7"/>
    <s v="847.8471170.1.425900.000000.847001.200179"/>
    <n v="10000"/>
    <n v="1"/>
    <m/>
    <n v="0"/>
    <n v="0"/>
    <n v="1"/>
    <m/>
  </r>
  <r>
    <s v="8471170"/>
    <s v="KUST - Research Computing"/>
    <s v="426610"/>
    <x v="8"/>
    <s v="847.8471170.1.426610.000000.847001.200179"/>
    <n v="2618576"/>
    <n v="1654848"/>
    <n v="1620809.21"/>
    <n v="0"/>
    <n v="34040"/>
    <n v="-1.2099999999627471"/>
    <m/>
  </r>
  <r>
    <s v="8471170"/>
    <s v="KUST - Research Computing"/>
    <s v="428090"/>
    <x v="9"/>
    <s v="847.8471170.1.428090.000000.847001.200179"/>
    <n v="45000"/>
    <n v="42586"/>
    <n v="42584.75"/>
    <n v="0"/>
    <n v="0"/>
    <n v="1.25"/>
    <m/>
  </r>
  <r>
    <s v="8471210"/>
    <s v="KUST - SVP/ Academic &amp; Student Services Office"/>
    <s v="425900"/>
    <x v="7"/>
    <s v="847.8471210.1.425900.000000.847001.200179"/>
    <n v="15000"/>
    <n v="15000"/>
    <n v="14792.5"/>
    <n v="0"/>
    <n v="0"/>
    <n v="207.5"/>
    <m/>
  </r>
  <r>
    <s v="8471210"/>
    <s v="KUST - SVP/ Academic &amp; Student Services Office"/>
    <s v="428090"/>
    <x v="9"/>
    <s v="847.8471210.1.428090.000000.847001.200179"/>
    <n v="100000"/>
    <n v="97246"/>
    <n v="56700"/>
    <n v="0"/>
    <n v="0"/>
    <n v="40546"/>
    <m/>
  </r>
  <r>
    <s v="8471210"/>
    <s v="KUST - SVP/ Academic &amp; Student Services Office"/>
    <s v="428640"/>
    <x v="11"/>
    <s v="847.8471210.1.428640.000000.847001.200179"/>
    <n v="20000"/>
    <n v="149"/>
    <m/>
    <n v="0"/>
    <n v="0"/>
    <n v="149"/>
    <m/>
  </r>
  <r>
    <s v="8471210"/>
    <s v="KUST - SVP/ Academic &amp; Student Services Office"/>
    <s v="435530"/>
    <x v="74"/>
    <s v="847.8471210.1.435530.000000.847001.200179"/>
    <n v="20000"/>
    <n v="0"/>
    <m/>
    <n v="0"/>
    <n v="0"/>
    <n v="0"/>
    <m/>
  </r>
  <r>
    <s v="8471220"/>
    <s v="KUST - Registrar"/>
    <s v="425510"/>
    <x v="5"/>
    <s v="847.8471220.1.425510.000000.847001.200179"/>
    <n v="2200"/>
    <n v="22200"/>
    <n v="8800"/>
    <n v="0"/>
    <n v="0"/>
    <n v="13400"/>
    <m/>
  </r>
  <r>
    <s v="8471220"/>
    <s v="KUST - Registrar"/>
    <s v="425741"/>
    <x v="75"/>
    <s v="847.8471220.1.425741.000000.847001.200179"/>
    <n v="80501600"/>
    <n v="77273746"/>
    <n v="77248079.379999995"/>
    <n v="0"/>
    <n v="0"/>
    <n v="25666.620000004768"/>
    <m/>
  </r>
  <r>
    <s v="8471220"/>
    <s v="KUST - Registrar"/>
    <s v="425745"/>
    <x v="27"/>
    <s v="847.8471220.1.425745.000000.847001.200179"/>
    <m/>
    <m/>
    <n v="-21065.72"/>
    <n v="0"/>
    <n v="0"/>
    <n v="21065.72"/>
    <m/>
  </r>
  <r>
    <s v="8471220"/>
    <s v="KUST - Registrar"/>
    <s v="426900"/>
    <x v="54"/>
    <s v="847.8471220.1.426900.000000.847001.200179"/>
    <n v="11000"/>
    <n v="11000"/>
    <m/>
    <n v="0"/>
    <n v="0"/>
    <n v="11000"/>
    <m/>
  </r>
  <r>
    <s v="8471220"/>
    <s v="KUST - Registrar"/>
    <s v="435340"/>
    <x v="36"/>
    <s v="847.8471220.1.435340.000000.847001.200179"/>
    <n v="9500000"/>
    <n v="9132707"/>
    <n v="7524153.3899999997"/>
    <n v="0"/>
    <n v="0"/>
    <n v="1608553.6100000003"/>
    <s v="The PR was submitted based on the costing provided by the Contractor on the estimate requirements against each Course submitted 10-12 weeks in advance, but payments processed only against actual spend. _x000a_The usage always depends on number of textbooks distributed and number of ebooks usage by students, which reduced the spend. _x000a_"/>
  </r>
  <r>
    <s v="8471220"/>
    <s v="KUST - Registrar"/>
    <s v="436110"/>
    <x v="31"/>
    <s v="847.8471220.1.436110.000000.847001.200179"/>
    <n v="300000"/>
    <n v="131301"/>
    <n v="131300"/>
    <n v="0"/>
    <n v="0"/>
    <n v="1"/>
    <m/>
  </r>
  <r>
    <s v="8471220"/>
    <s v="KUST - Registrar"/>
    <s v="436120"/>
    <x v="65"/>
    <s v="847.8471220.1.436120.000000.847001.200179"/>
    <n v="6000"/>
    <n v="6000"/>
    <m/>
    <n v="0"/>
    <n v="0"/>
    <n v="6000"/>
    <m/>
  </r>
  <r>
    <s v="8471230"/>
    <s v="KUST - Student Enrollment"/>
    <s v="425742"/>
    <x v="76"/>
    <s v="847.8471230.1.425742.000000.847001.200179"/>
    <n v="2000000"/>
    <n v="1464833"/>
    <n v="1370181.02"/>
    <n v="0"/>
    <n v="94651.33"/>
    <n v="0.64999999997962732"/>
    <m/>
  </r>
  <r>
    <s v="8471230"/>
    <s v="KUST - Student Enrollment"/>
    <s v="426610"/>
    <x v="8"/>
    <s v="847.8471230.1.426610.000000.847001.200179"/>
    <n v="120000"/>
    <n v="14480"/>
    <n v="14479.23"/>
    <n v="0"/>
    <n v="0"/>
    <n v="0.77000000000043656"/>
    <m/>
  </r>
  <r>
    <s v="8471240"/>
    <s v="KUST - Student Success"/>
    <s v="425510"/>
    <x v="5"/>
    <s v="847.8471240.1.425510.000000.847001.200179"/>
    <n v="220000"/>
    <n v="85000"/>
    <n v="80086.44"/>
    <n v="0"/>
    <n v="0"/>
    <n v="4913.5599999999977"/>
    <m/>
  </r>
  <r>
    <s v="8471240"/>
    <s v="KUST - Student Success"/>
    <s v="425720"/>
    <x v="37"/>
    <s v="847.8471240.1.425720.000000.847001.200179"/>
    <n v="128000"/>
    <n v="246000"/>
    <n v="245500"/>
    <n v="0"/>
    <n v="0"/>
    <n v="500"/>
    <m/>
  </r>
  <r>
    <s v="8471240"/>
    <s v="KUST - Student Success"/>
    <s v="425750"/>
    <x v="77"/>
    <s v="847.8471240.1.425750.000000.847001.200179"/>
    <n v="23000"/>
    <n v="23000"/>
    <m/>
    <n v="0"/>
    <n v="0"/>
    <n v="23000"/>
    <m/>
  </r>
  <r>
    <s v="8471240"/>
    <s v="KUST - Student Success"/>
    <s v="425761"/>
    <x v="29"/>
    <s v="847.8471240.1.425761.000000.847001.200179"/>
    <n v="800000"/>
    <n v="479055"/>
    <n v="477351.06"/>
    <n v="0"/>
    <n v="0"/>
    <n v="1703.9400000000023"/>
    <m/>
  </r>
  <r>
    <s v="8471240"/>
    <s v="KUST - Student Success"/>
    <s v="425900"/>
    <x v="7"/>
    <s v="847.8471240.1.425900.000000.847001.200179"/>
    <n v="24000"/>
    <n v="24000"/>
    <n v="8274"/>
    <n v="0"/>
    <n v="0"/>
    <n v="15726"/>
    <m/>
  </r>
  <r>
    <s v="8471240"/>
    <s v="KUST - Student Success"/>
    <s v="426610"/>
    <x v="8"/>
    <s v="847.8471240.1.426610.000000.847001.200179"/>
    <n v="0"/>
    <n v="363000"/>
    <n v="145112.88"/>
    <n v="0"/>
    <n v="217669.33"/>
    <n v="217.79000000000815"/>
    <m/>
  </r>
  <r>
    <s v="8471240"/>
    <s v="KUST - Student Success"/>
    <s v="427710"/>
    <x v="13"/>
    <s v="847.8471240.1.427710.000000.847001.200179"/>
    <n v="0"/>
    <n v="11020"/>
    <n v="11019"/>
    <n v="0"/>
    <n v="0"/>
    <n v="1"/>
    <m/>
  </r>
  <r>
    <s v="8471240"/>
    <s v="KUST - Student Success"/>
    <s v="428090"/>
    <x v="9"/>
    <s v="847.8471240.1.428090.000000.847001.200179"/>
    <n v="60000"/>
    <n v="20092"/>
    <n v="20091.18"/>
    <n v="0"/>
    <n v="0"/>
    <n v="0.81999999999970896"/>
    <m/>
  </r>
  <r>
    <s v="8471240"/>
    <s v="KUST - Student Success"/>
    <s v="428640"/>
    <x v="11"/>
    <s v="847.8471240.1.428640.000000.847001.200179"/>
    <n v="14000"/>
    <n v="7104"/>
    <m/>
    <n v="0"/>
    <n v="0"/>
    <n v="7104"/>
    <m/>
  </r>
  <r>
    <s v="8471240"/>
    <s v="KUST - Student Success"/>
    <s v="435330"/>
    <x v="78"/>
    <s v="847.8471240.1.435330.000000.847001.200179"/>
    <n v="4750"/>
    <n v="4750"/>
    <m/>
    <n v="0"/>
    <n v="0"/>
    <n v="4750"/>
    <m/>
  </r>
  <r>
    <s v="8471240"/>
    <s v="KUST - Student Success"/>
    <s v="436110"/>
    <x v="31"/>
    <s v="847.8471240.1.436110.000000.847001.200179"/>
    <n v="42000"/>
    <n v="12000"/>
    <m/>
    <n v="0"/>
    <n v="0"/>
    <n v="12000"/>
    <m/>
  </r>
  <r>
    <s v="8471240"/>
    <s v="KUST - Student Success"/>
    <s v="436120"/>
    <x v="65"/>
    <s v="847.8471240.1.436120.000000.847001.200179"/>
    <n v="35000"/>
    <n v="25000"/>
    <m/>
    <n v="0"/>
    <n v="0"/>
    <n v="25000"/>
    <m/>
  </r>
  <r>
    <s v="8471250"/>
    <s v="KUST - Career Services"/>
    <s v="425510"/>
    <x v="5"/>
    <s v="847.8471250.1.425510.000000.847001.200179"/>
    <n v="317500"/>
    <n v="642474"/>
    <n v="627040.85"/>
    <n v="0"/>
    <n v="0.02"/>
    <n v="15433.130000000023"/>
    <m/>
  </r>
  <r>
    <s v="8471250"/>
    <s v="KUST - Career Services"/>
    <s v="425720"/>
    <x v="37"/>
    <s v="847.8471250.1.425720.000000.847001.200179"/>
    <n v="560000"/>
    <n v="0"/>
    <m/>
    <n v="0"/>
    <n v="0"/>
    <n v="0"/>
    <m/>
  </r>
  <r>
    <s v="8471250"/>
    <s v="KUST - Career Services"/>
    <s v="425761"/>
    <x v="29"/>
    <s v="847.8471250.1.425761.000000.847001.200179"/>
    <n v="0"/>
    <n v="80600"/>
    <n v="59045"/>
    <n v="0"/>
    <n v="0"/>
    <n v="21555"/>
    <m/>
  </r>
  <r>
    <s v="8471250"/>
    <s v="KUST - Career Services"/>
    <s v="425762"/>
    <x v="30"/>
    <s v="847.8471250.1.425762.000000.847001.200179"/>
    <n v="520000"/>
    <n v="483339"/>
    <n v="483337.95"/>
    <n v="0"/>
    <n v="0"/>
    <n v="1.0499999999883585"/>
    <m/>
  </r>
  <r>
    <s v="8471250"/>
    <s v="KUST - Career Services"/>
    <s v="425900"/>
    <x v="7"/>
    <s v="847.8471250.1.425900.000000.847001.200179"/>
    <n v="51000"/>
    <n v="31400"/>
    <n v="31400"/>
    <n v="0"/>
    <n v="0"/>
    <n v="0"/>
    <m/>
  </r>
  <r>
    <s v="8471250"/>
    <s v="KUST - Career Services"/>
    <s v="426610"/>
    <x v="8"/>
    <s v="847.8471250.1.426610.000000.847001.200179"/>
    <n v="60608"/>
    <n v="60608"/>
    <n v="60604.5"/>
    <n v="0"/>
    <n v="0"/>
    <n v="3.5"/>
    <m/>
  </r>
  <r>
    <s v="8471250"/>
    <s v="KUST - Career Services"/>
    <s v="428090"/>
    <x v="9"/>
    <s v="847.8471250.1.428090.000000.847001.200179"/>
    <n v="0"/>
    <n v="7536"/>
    <n v="7535"/>
    <n v="0"/>
    <n v="0"/>
    <n v="1"/>
    <m/>
  </r>
  <r>
    <s v="8471250"/>
    <s v="KUST - Career Services"/>
    <s v="428640"/>
    <x v="11"/>
    <s v="847.8471250.1.428640.000000.847001.200179"/>
    <n v="46500"/>
    <n v="1"/>
    <m/>
    <n v="0"/>
    <n v="0"/>
    <n v="1"/>
    <m/>
  </r>
  <r>
    <s v="8471250"/>
    <s v="KUST - Career Services"/>
    <s v="436110"/>
    <x v="31"/>
    <s v="847.8471250.1.436110.000000.847001.200179"/>
    <n v="10000"/>
    <n v="12170"/>
    <m/>
    <n v="12167.5"/>
    <n v="0"/>
    <n v="2.5"/>
    <m/>
  </r>
  <r>
    <s v="8471260"/>
    <s v="KUST - Student Life"/>
    <s v="421100"/>
    <x v="41"/>
    <s v="847.8471260.1.421100.000000.847001.200179"/>
    <n v="2058000"/>
    <n v="353000"/>
    <n v="352238.57"/>
    <n v="0"/>
    <n v="0"/>
    <n v="761.42999999999302"/>
    <m/>
  </r>
  <r>
    <s v="8471260"/>
    <s v="KUST - Student Life"/>
    <s v="425510"/>
    <x v="5"/>
    <s v="847.8471260.1.425510.000000.847001.200179"/>
    <n v="205000"/>
    <n v="99000"/>
    <n v="92133.91"/>
    <n v="0"/>
    <n v="0"/>
    <n v="6866.0899999999965"/>
    <m/>
  </r>
  <r>
    <s v="8471260"/>
    <s v="KUST - Student Life"/>
    <s v="425720"/>
    <x v="37"/>
    <s v="847.8471260.1.425720.000000.847001.200179"/>
    <n v="0"/>
    <n v="0"/>
    <m/>
    <n v="0"/>
    <n v="0"/>
    <n v="0"/>
    <m/>
  </r>
  <r>
    <s v="8471260"/>
    <s v="KUST - Student Life"/>
    <s v="425746"/>
    <x v="79"/>
    <s v="847.8471260.1.425746.000000.847001.200179"/>
    <n v="9349361"/>
    <n v="12799361"/>
    <n v="12789313.02"/>
    <n v="0"/>
    <n v="0"/>
    <n v="10047.980000000447"/>
    <m/>
  </r>
  <r>
    <s v="8471260"/>
    <s v="KUST - Student Life"/>
    <s v="425747"/>
    <x v="43"/>
    <s v="847.8471260.1.425747.000000.847001.200179"/>
    <n v="225000"/>
    <n v="586812"/>
    <n v="580993.6"/>
    <n v="0"/>
    <n v="0"/>
    <n v="5818.4000000000233"/>
    <m/>
  </r>
  <r>
    <s v="8471260"/>
    <s v="KUST - Student Life"/>
    <s v="425760"/>
    <x v="35"/>
    <s v="847.8471260.1.425760.000000.847001.200179"/>
    <n v="936870"/>
    <n v="508334"/>
    <n v="496332.73"/>
    <n v="0"/>
    <n v="12000"/>
    <n v="1.2700000000186265"/>
    <m/>
  </r>
  <r>
    <s v="8471260"/>
    <s v="KUST - Student Life"/>
    <s v="425900"/>
    <x v="7"/>
    <s v="847.8471260.1.425900.000000.847001.200179"/>
    <n v="70800"/>
    <n v="144988"/>
    <n v="139521.91"/>
    <n v="0"/>
    <n v="0"/>
    <n v="5466.0899999999965"/>
    <m/>
  </r>
  <r>
    <s v="8471260"/>
    <s v="KUST - Student Life"/>
    <s v="428640"/>
    <x v="11"/>
    <s v="847.8471260.1.428640.000000.847001.200179"/>
    <n v="32500"/>
    <n v="63492"/>
    <n v="63361.19"/>
    <n v="0"/>
    <n v="0"/>
    <n v="130.80999999999767"/>
    <m/>
  </r>
  <r>
    <s v="8471260"/>
    <s v="KUST - Student Life"/>
    <s v="435530"/>
    <x v="74"/>
    <s v="847.8471260.1.435530.000000.847001.200179"/>
    <n v="12000"/>
    <n v="117000"/>
    <n v="114563.25"/>
    <n v="0"/>
    <n v="0"/>
    <n v="2436.75"/>
    <m/>
  </r>
  <r>
    <s v="8471260"/>
    <s v="KUST - Student Life"/>
    <s v="436110"/>
    <x v="31"/>
    <s v="847.8471260.1.436110.000000.847001.200179"/>
    <n v="13500"/>
    <n v="13500"/>
    <n v="9097.73"/>
    <n v="0"/>
    <n v="0"/>
    <n v="4402.2700000000004"/>
    <m/>
  </r>
  <r>
    <s v="8471270"/>
    <s v="KUST - Libraries"/>
    <s v="425900"/>
    <x v="7"/>
    <s v="847.8471270.1.425900.000000.847001.200179"/>
    <n v="50000"/>
    <n v="5962"/>
    <n v="2961"/>
    <n v="0"/>
    <n v="0"/>
    <n v="3001"/>
    <m/>
  </r>
  <r>
    <s v="8471270"/>
    <s v="KUST - Libraries"/>
    <s v="428090"/>
    <x v="9"/>
    <s v="847.8471270.1.428090.000000.847001.200179"/>
    <n v="300000"/>
    <n v="21738"/>
    <m/>
    <n v="0"/>
    <n v="0"/>
    <n v="21738"/>
    <m/>
  </r>
  <r>
    <s v="8471270"/>
    <s v="KUST - Libraries"/>
    <s v="435330"/>
    <x v="78"/>
    <s v="847.8471270.1.435330.000000.847001.200179"/>
    <n v="15199430"/>
    <n v="14545206"/>
    <n v="14192334.699999999"/>
    <n v="73143.000000000495"/>
    <n v="113154.48"/>
    <n v="166573.8200000003"/>
    <s v="Wiley Open access PO was on hold due to lack of agreement signed by the procurement department with Wiley Publisher as a result, PO 8472109543 was retured an amount of 300,000 AED credited back and lost.  That’s the reason for the surplus budget. "/>
  </r>
  <r>
    <s v="8471270"/>
    <s v="KUST - Libraries"/>
    <s v="436110"/>
    <x v="31"/>
    <s v="847.8471270.1.436110.000000.847001.200179"/>
    <n v="50000"/>
    <n v="0"/>
    <m/>
    <n v="0"/>
    <n v="0"/>
    <n v="0"/>
    <m/>
  </r>
  <r>
    <s v="8471280"/>
    <s v="KUST - Center for Teaching &amp; Learning"/>
    <s v="425100"/>
    <x v="14"/>
    <s v="847.8471280.1.425100.000000.847001.200179"/>
    <n v="2500"/>
    <n v="2500"/>
    <m/>
    <n v="0"/>
    <n v="0"/>
    <n v="2500"/>
    <m/>
  </r>
  <r>
    <s v="8471280"/>
    <s v="KUST - Center for Teaching &amp; Learning"/>
    <s v="425510"/>
    <x v="5"/>
    <s v="847.8471280.1.425510.000000.847001.200179"/>
    <n v="30000"/>
    <n v="147130"/>
    <n v="147128.99"/>
    <n v="0"/>
    <n v="0"/>
    <n v="1.0100000000093132"/>
    <m/>
  </r>
  <r>
    <s v="8471280"/>
    <s v="KUST - Center for Teaching &amp; Learning"/>
    <s v="425550"/>
    <x v="6"/>
    <s v="847.8471280.1.425550.000000.847001.200179"/>
    <n v="60000"/>
    <n v="28418"/>
    <n v="28416.86"/>
    <n v="0"/>
    <n v="0"/>
    <n v="1.1399999999994179"/>
    <m/>
  </r>
  <r>
    <s v="8471280"/>
    <s v="KUST - Center for Teaching &amp; Learning"/>
    <s v="425710"/>
    <x v="80"/>
    <s v="847.8471280.1.425710.000000.847001.200179"/>
    <n v="0"/>
    <n v="200000"/>
    <n v="177500"/>
    <n v="0"/>
    <n v="0"/>
    <n v="22500"/>
    <m/>
  </r>
  <r>
    <s v="8471280"/>
    <s v="KUST - Center for Teaching &amp; Learning"/>
    <s v="425760"/>
    <x v="35"/>
    <s v="847.8471280.1.425760.000000.847001.200179"/>
    <n v="30000"/>
    <n v="3001"/>
    <n v="3000"/>
    <n v="0"/>
    <n v="0"/>
    <n v="1"/>
    <m/>
  </r>
  <r>
    <s v="8471280"/>
    <s v="KUST - Center for Teaching &amp; Learning"/>
    <s v="425770"/>
    <x v="20"/>
    <s v="847.8471280.1.425770.000000.847001.200179"/>
    <n v="500000"/>
    <n v="82743"/>
    <n v="82742.5"/>
    <n v="0"/>
    <n v="0"/>
    <n v="0.5"/>
    <m/>
  </r>
  <r>
    <s v="8471280"/>
    <s v="KUST - Center for Teaching &amp; Learning"/>
    <s v="426610"/>
    <x v="8"/>
    <s v="847.8471280.1.426610.000000.847001.200179"/>
    <n v="321000"/>
    <n v="282201"/>
    <n v="282199.96999999997"/>
    <n v="14692"/>
    <n v="0"/>
    <n v="-14690.969999999972"/>
    <m/>
  </r>
  <r>
    <s v="8471280"/>
    <s v="KUST - Center for Teaching &amp; Learning"/>
    <s v="428640"/>
    <x v="11"/>
    <s v="847.8471280.1.428640.000000.847001.200179"/>
    <n v="15000"/>
    <n v="1"/>
    <m/>
    <n v="0"/>
    <n v="0"/>
    <n v="1"/>
    <m/>
  </r>
  <r>
    <s v="8471280"/>
    <s v="KUST - Center for Teaching &amp; Learning"/>
    <s v="432170"/>
    <x v="48"/>
    <s v="847.8471280.1.432170.000000.847001.200179"/>
    <n v="200000"/>
    <n v="0"/>
    <m/>
    <n v="0"/>
    <n v="0"/>
    <n v="0"/>
    <m/>
  </r>
  <r>
    <s v="8471280"/>
    <s v="KUST - Center for Teaching &amp; Learning"/>
    <s v="435340"/>
    <x v="36"/>
    <s v="847.8471280.1.435340.000000.847001.200179"/>
    <n v="10000"/>
    <n v="10000"/>
    <m/>
    <n v="0"/>
    <n v="0"/>
    <n v="10000"/>
    <m/>
  </r>
  <r>
    <s v="8471280"/>
    <s v="KUST - Center for Teaching &amp; Learning"/>
    <s v="435530"/>
    <x v="74"/>
    <s v="847.8471280.1.435530.000000.847001.200179"/>
    <n v="5000"/>
    <n v="5000"/>
    <n v="1014"/>
    <n v="0"/>
    <n v="0"/>
    <n v="3986"/>
    <m/>
  </r>
  <r>
    <s v="8471305"/>
    <s v="KUST - Dean Of Medicine"/>
    <s v="420570"/>
    <x v="1"/>
    <s v="847.8471305.1.420570.000000.847001.200179"/>
    <n v="21895944"/>
    <n v="25155241"/>
    <n v="25155240"/>
    <n v="0"/>
    <n v="0"/>
    <n v="1"/>
    <m/>
  </r>
  <r>
    <s v="8471305"/>
    <s v="KUST - Dean Of Medicine"/>
    <s v="420810"/>
    <x v="67"/>
    <s v="847.8471305.1.420810.000000.847001.200179"/>
    <n v="263385"/>
    <n v="0"/>
    <m/>
    <n v="0"/>
    <n v="0"/>
    <n v="0"/>
    <m/>
  </r>
  <r>
    <s v="8471305"/>
    <s v="KUST - Dean Of Medicine"/>
    <s v="420811"/>
    <x v="68"/>
    <s v="847.8471305.1.420811.000000.847001.200179"/>
    <n v="0"/>
    <n v="0"/>
    <m/>
    <n v="0"/>
    <n v="0"/>
    <n v="0"/>
    <m/>
  </r>
  <r>
    <s v="8471305"/>
    <s v="KUST - Dean Of Medicine"/>
    <s v="421000"/>
    <x v="3"/>
    <s v="847.8471305.1.421000.000000.847001.200179"/>
    <n v="271000"/>
    <n v="147835"/>
    <n v="147834.06"/>
    <n v="0"/>
    <n v="0"/>
    <n v="0.94000000000232831"/>
    <m/>
  </r>
  <r>
    <s v="8471305"/>
    <s v="KUST - Dean Of Medicine"/>
    <s v="421700"/>
    <x v="4"/>
    <s v="847.8471305.1.421700.000000.847001.200179"/>
    <n v="170000"/>
    <n v="73838"/>
    <n v="73837.02"/>
    <n v="0"/>
    <n v="0"/>
    <n v="0.97999999999592546"/>
    <m/>
  </r>
  <r>
    <s v="8471305"/>
    <s v="KUST - Dean Of Medicine"/>
    <s v="422100"/>
    <x v="73"/>
    <s v="847.8471305.1.422100.000000.847001.200179"/>
    <n v="12000"/>
    <n v="12000"/>
    <m/>
    <n v="0"/>
    <n v="0"/>
    <n v="12000"/>
    <m/>
  </r>
  <r>
    <s v="8471305"/>
    <s v="KUST - Dean Of Medicine"/>
    <s v="425510"/>
    <x v="5"/>
    <s v="847.8471305.1.425510.000000.847001.200179"/>
    <n v="820000"/>
    <n v="343342"/>
    <n v="343341.23"/>
    <n v="0"/>
    <n v="0"/>
    <n v="0.77000000001862645"/>
    <m/>
  </r>
  <r>
    <s v="8471305"/>
    <s v="KUST - Dean Of Medicine"/>
    <s v="425550"/>
    <x v="6"/>
    <s v="847.8471305.1.425550.000000.847001.200179"/>
    <n v="780000"/>
    <n v="388108"/>
    <n v="388106.96"/>
    <n v="0"/>
    <n v="0"/>
    <n v="1.0399999999790452"/>
    <m/>
  </r>
  <r>
    <s v="8471305"/>
    <s v="KUST - Dean Of Medicine"/>
    <s v="425720"/>
    <x v="37"/>
    <s v="847.8471305.1.425720.000000.847001.200179"/>
    <n v="2494345"/>
    <n v="1840472"/>
    <n v="1339891.3"/>
    <n v="0"/>
    <n v="500579.26"/>
    <n v="1.4399999999441206"/>
    <m/>
  </r>
  <r>
    <s v="8471305"/>
    <s v="KUST - Dean Of Medicine"/>
    <s v="425742"/>
    <x v="76"/>
    <s v="847.8471305.1.425742.000000.847001.200179"/>
    <n v="180000"/>
    <n v="180000"/>
    <n v="179039.58"/>
    <n v="0"/>
    <n v="0"/>
    <n v="960.42000000001281"/>
    <m/>
  </r>
  <r>
    <s v="8471305"/>
    <s v="KUST - Dean Of Medicine"/>
    <s v="425744"/>
    <x v="26"/>
    <s v="847.8471305.1.425744.000000.847001.200179"/>
    <n v="0"/>
    <n v="100694"/>
    <n v="100002"/>
    <n v="0"/>
    <n v="0"/>
    <n v="692"/>
    <m/>
  </r>
  <r>
    <s v="8471305"/>
    <s v="KUST - Dean Of Medicine"/>
    <s v="425745"/>
    <x v="27"/>
    <s v="847.8471305.1.425745.000000.847001.200179"/>
    <n v="0"/>
    <n v="55400"/>
    <n v="54543"/>
    <n v="0"/>
    <n v="0"/>
    <n v="857"/>
    <m/>
  </r>
  <r>
    <s v="8471305"/>
    <s v="KUST - Dean Of Medicine"/>
    <s v="425746"/>
    <x v="79"/>
    <s v="847.8471305.1.425746.000000.847001.200179"/>
    <n v="312600"/>
    <n v="1"/>
    <m/>
    <n v="0"/>
    <n v="0"/>
    <n v="1"/>
    <m/>
  </r>
  <r>
    <s v="8471305"/>
    <s v="KUST - Dean Of Medicine"/>
    <s v="425749"/>
    <x v="28"/>
    <s v="847.8471305.1.425749.000000.847001.200179"/>
    <n v="24213178"/>
    <n v="26263178"/>
    <n v="26231200.030000001"/>
    <n v="0"/>
    <n v="0"/>
    <n v="31977.969999998808"/>
    <m/>
  </r>
  <r>
    <s v="8471305"/>
    <s v="KUST - Dean Of Medicine"/>
    <s v="425750"/>
    <x v="77"/>
    <s v="847.8471305.1.425750.000000.847001.200179"/>
    <n v="864069"/>
    <n v="179594"/>
    <n v="179593.48"/>
    <n v="0"/>
    <n v="0"/>
    <n v="0.51999999998952262"/>
    <m/>
  </r>
  <r>
    <s v="8471305"/>
    <s v="KUST - Dean Of Medicine"/>
    <s v="425762"/>
    <x v="30"/>
    <s v="847.8471305.1.425762.000000.847001.200179"/>
    <n v="2759974"/>
    <n v="389098"/>
    <n v="384856.39"/>
    <n v="0"/>
    <n v="0"/>
    <n v="4241.609999999986"/>
    <m/>
  </r>
  <r>
    <s v="8471305"/>
    <s v="KUST - Dean Of Medicine"/>
    <s v="425763"/>
    <x v="15"/>
    <s v="847.8471305.1.425763.000000.847001.200179"/>
    <n v="200000"/>
    <n v="2941"/>
    <n v="2940"/>
    <n v="0"/>
    <n v="0"/>
    <n v="1"/>
    <m/>
  </r>
  <r>
    <s v="8471305"/>
    <s v="KUST - Dean Of Medicine"/>
    <s v="425900"/>
    <x v="7"/>
    <s v="847.8471305.1.425900.000000.847001.200179"/>
    <n v="185000"/>
    <n v="80824"/>
    <n v="80823.08"/>
    <n v="0"/>
    <n v="0"/>
    <n v="0.91999999999825377"/>
    <m/>
  </r>
  <r>
    <s v="8471305"/>
    <s v="KUST - Dean Of Medicine"/>
    <s v="426100"/>
    <x v="38"/>
    <s v="847.8471305.1.426100.000000.847001.200179"/>
    <n v="90000"/>
    <n v="1"/>
    <m/>
    <n v="0"/>
    <n v="0"/>
    <n v="1"/>
    <m/>
  </r>
  <r>
    <s v="8471305"/>
    <s v="KUST - Dean Of Medicine"/>
    <s v="426610"/>
    <x v="8"/>
    <s v="847.8471305.1.426610.000000.847001.200179"/>
    <n v="777363"/>
    <n v="862530"/>
    <n v="855139.77"/>
    <n v="0"/>
    <n v="7390"/>
    <n v="0.22999999998137355"/>
    <m/>
  </r>
  <r>
    <s v="8471305"/>
    <s v="KUST - Dean Of Medicine"/>
    <s v="426900"/>
    <x v="54"/>
    <s v="847.8471305.1.426900.000000.847001.200179"/>
    <n v="21000"/>
    <n v="21000"/>
    <n v="235"/>
    <n v="0"/>
    <n v="0"/>
    <n v="20765"/>
    <m/>
  </r>
  <r>
    <s v="8471305"/>
    <s v="KUST - Dean Of Medicine"/>
    <s v="427200"/>
    <x v="17"/>
    <s v="847.8471305.1.427200.000000.847001.200179"/>
    <n v="903674"/>
    <n v="1"/>
    <m/>
    <n v="0"/>
    <n v="0"/>
    <n v="1"/>
    <m/>
  </r>
  <r>
    <s v="8471305"/>
    <s v="KUST - Dean Of Medicine"/>
    <s v="427710"/>
    <x v="13"/>
    <s v="847.8471305.1.427710.000000.847001.200179"/>
    <n v="153178"/>
    <n v="50518"/>
    <n v="50517.43"/>
    <n v="0"/>
    <n v="0"/>
    <n v="0.56999999999970896"/>
    <m/>
  </r>
  <r>
    <s v="8471305"/>
    <s v="KUST - Dean Of Medicine"/>
    <s v="427810"/>
    <x v="69"/>
    <s v="847.8471305.1.427810.000000.847001.200179"/>
    <n v="10000"/>
    <n v="10000"/>
    <m/>
    <n v="0"/>
    <n v="0"/>
    <n v="10000"/>
    <m/>
  </r>
  <r>
    <s v="8471305"/>
    <s v="KUST - Dean Of Medicine"/>
    <s v="428090"/>
    <x v="9"/>
    <s v="847.8471305.1.428090.000000.847001.200179"/>
    <n v="419000"/>
    <n v="43038"/>
    <n v="43037.5"/>
    <n v="0"/>
    <n v="0"/>
    <n v="0.5"/>
    <m/>
  </r>
  <r>
    <s v="8471305"/>
    <s v="KUST - Dean Of Medicine"/>
    <s v="428640"/>
    <x v="11"/>
    <s v="847.8471305.1.428640.000000.847001.200179"/>
    <n v="5000"/>
    <n v="2887"/>
    <n v="2819.61"/>
    <n v="0"/>
    <n v="0"/>
    <n v="67.389999999999873"/>
    <m/>
  </r>
  <r>
    <s v="8471305"/>
    <s v="KUST - Dean Of Medicine"/>
    <s v="432205"/>
    <x v="24"/>
    <s v="847.8471305.1.432205.000000.847001.200179"/>
    <n v="26000"/>
    <n v="522982"/>
    <n v="522981"/>
    <n v="0"/>
    <n v="0"/>
    <n v="1"/>
    <m/>
  </r>
  <r>
    <s v="8471305"/>
    <s v="KUST - Dean Of Medicine"/>
    <s v="432209"/>
    <x v="32"/>
    <s v="847.8471305.1.432209.000000.847001.200179"/>
    <n v="516900"/>
    <n v="570374"/>
    <n v="566352.41"/>
    <n v="0"/>
    <n v="4021"/>
    <n v="0.58999999996740371"/>
    <m/>
  </r>
  <r>
    <s v="8471305"/>
    <s v="KUST - Dean Of Medicine"/>
    <s v="432210"/>
    <x v="81"/>
    <s v="847.8471305.1.432210.000000.847001.200179"/>
    <n v="35000"/>
    <n v="1"/>
    <m/>
    <n v="0"/>
    <n v="0"/>
    <n v="1"/>
    <m/>
  </r>
  <r>
    <s v="8471305"/>
    <s v="KUST - Dean Of Medicine"/>
    <s v="435330"/>
    <x v="78"/>
    <s v="847.8471305.1.435330.000000.847001.200179"/>
    <n v="72000"/>
    <n v="724006"/>
    <n v="549527.66"/>
    <n v="148095.35999999999"/>
    <n v="474210.18"/>
    <n v="-447827.20000000001"/>
    <m/>
  </r>
  <r>
    <s v="8471305"/>
    <s v="KUST - Dean Of Medicine"/>
    <s v="435340"/>
    <x v="36"/>
    <s v="847.8471305.1.435340.000000.847001.200179"/>
    <n v="591905"/>
    <n v="6515"/>
    <n v="305.68"/>
    <n v="0"/>
    <n v="0"/>
    <n v="6209.32"/>
    <m/>
  </r>
  <r>
    <s v="8471305"/>
    <s v="KUST - Dean Of Medicine"/>
    <s v="435350"/>
    <x v="21"/>
    <s v="847.8471305.1.435350.000000.847001.200179"/>
    <n v="120000"/>
    <n v="367150"/>
    <n v="367149.12"/>
    <n v="0"/>
    <n v="0"/>
    <n v="0.88000000000465661"/>
    <m/>
  </r>
  <r>
    <s v="8471305"/>
    <s v="KUST - Dean Of Medicine"/>
    <s v="435508"/>
    <x v="33"/>
    <s v="847.8471305.1.435508.000000.847001.200179"/>
    <n v="1592072"/>
    <n v="1772499"/>
    <n v="1579208.69"/>
    <n v="5630"/>
    <n v="86836.999999999898"/>
    <n v="100823.31000000016"/>
    <s v="Third quarter reflected 219,065.42 and 118,242.42 utilized.  Laboratories were not approved by Civil Defence which resulted in delays and limited operations. "/>
  </r>
  <r>
    <s v="8471305"/>
    <s v="KUST - Dean Of Medicine"/>
    <s v="435530"/>
    <x v="74"/>
    <s v="847.8471305.1.435530.000000.847001.200179"/>
    <n v="10000"/>
    <n v="10000"/>
    <n v="80"/>
    <n v="0"/>
    <n v="0"/>
    <n v="9920"/>
    <m/>
  </r>
  <r>
    <s v="8471305"/>
    <s v="KUST - Dean Of Medicine"/>
    <s v="436110"/>
    <x v="31"/>
    <s v="847.8471305.1.436110.000000.847001.200179"/>
    <n v="200000"/>
    <n v="0"/>
    <m/>
    <n v="0"/>
    <n v="0"/>
    <n v="0"/>
    <m/>
  </r>
  <r>
    <s v="8471305"/>
    <s v="KUST - Dean Of Medicine"/>
    <s v="436120"/>
    <x v="65"/>
    <s v="847.8471305.1.436120.000000.847001.200179"/>
    <n v="112000"/>
    <n v="3167"/>
    <n v="3165.75"/>
    <n v="0"/>
    <n v="0"/>
    <n v="1.25"/>
    <m/>
  </r>
  <r>
    <s v="8471305"/>
    <s v="KUST - Dean Of Medicine"/>
    <s v="436600"/>
    <x v="34"/>
    <s v="847.8471305.1.436600.000000.847001.200179"/>
    <n v="0"/>
    <n v="6000"/>
    <m/>
    <n v="0"/>
    <n v="0"/>
    <n v="6000"/>
    <m/>
  </r>
</pivotCacheRecords>
</file>

<file path=xl/pivotCache/pivotCacheRecords2.xml><?xml version="1.0" encoding="utf-8"?>
<pivotCacheRecords xmlns="http://schemas.openxmlformats.org/spreadsheetml/2006/main" xmlns:r="http://schemas.openxmlformats.org/officeDocument/2006/relationships" count="51">
  <r>
    <s v="8470110"/>
    <s v="KUST - Office of the President"/>
    <s v="492316"/>
    <x v="0"/>
    <s v="847.8470110.1.492316.000000.847001.300180"/>
    <n v="1220302"/>
    <n v="1220302"/>
    <n v="1220301.8"/>
    <n v="0"/>
    <n v="1.16415321826935E-10"/>
    <n v="0.19999999983701855"/>
    <m/>
  </r>
  <r>
    <s v="8470120"/>
    <s v="KUST - Audit"/>
    <s v="495113"/>
    <x v="1"/>
    <s v="847.8470120.1.495113.000000.847001.300180"/>
    <n v="0"/>
    <n v="55598"/>
    <n v="44351.48"/>
    <n v="11245.5"/>
    <n v="0"/>
    <n v="1.0199999999967986"/>
    <m/>
  </r>
  <r>
    <s v="8470140"/>
    <s v="KUST - Communication"/>
    <s v="492310"/>
    <x v="2"/>
    <s v="847.8470140.1.492310.000000.847001.300180"/>
    <n v="137589"/>
    <n v="1"/>
    <m/>
    <n v="0"/>
    <n v="0"/>
    <n v="1"/>
    <m/>
  </r>
  <r>
    <s v="8470230"/>
    <s v="KUST - Graduate Studies"/>
    <s v="492310"/>
    <x v="2"/>
    <s v="847.8470230.1.492310.000000.847001.300180"/>
    <n v="1380709"/>
    <n v="1333261"/>
    <n v="1333260"/>
    <n v="0"/>
    <n v="0"/>
    <n v="1"/>
    <m/>
  </r>
  <r>
    <s v="8470310"/>
    <s v="KUST - Aerospace Engineering"/>
    <s v="492316"/>
    <x v="0"/>
    <s v="847.8470310.1.492316.000000.847001.300180"/>
    <n v="1174460"/>
    <n v="1169804"/>
    <n v="364703.32"/>
    <n v="0"/>
    <n v="805100"/>
    <n v="0.67999999993480742"/>
    <m/>
  </r>
  <r>
    <s v="8470315"/>
    <s v="KUST - Biomedical Engineering"/>
    <s v="492316"/>
    <x v="0"/>
    <s v="847.8470315.1.492316.000000.847001.300180"/>
    <n v="700693"/>
    <n v="657214"/>
    <n v="657144.79"/>
    <n v="0"/>
    <n v="0"/>
    <n v="69.209999999962747"/>
    <m/>
  </r>
  <r>
    <s v="8470320"/>
    <s v="KUST - Chemical Engineering"/>
    <s v="492316"/>
    <x v="0"/>
    <s v="847.8470320.1.492316.000000.847001.300180"/>
    <n v="1813427"/>
    <n v="743839"/>
    <n v="310516"/>
    <n v="0"/>
    <n v="433322"/>
    <n v="1"/>
    <m/>
  </r>
  <r>
    <s v="8470320"/>
    <s v="KUST - Chemical Engineering"/>
    <s v="495140"/>
    <x v="3"/>
    <s v="847.8470320.1.495140.000000.847001.300180"/>
    <n v="16097"/>
    <n v="1"/>
    <m/>
    <n v="0"/>
    <n v="0"/>
    <n v="1"/>
    <m/>
  </r>
  <r>
    <s v="8470325"/>
    <s v="KUST - Civil Engineering"/>
    <s v="492316"/>
    <x v="0"/>
    <s v="847.8470325.1.492316.000000.847001.300180"/>
    <n v="611783"/>
    <n v="572821"/>
    <n v="559410"/>
    <n v="0"/>
    <n v="13410"/>
    <n v="1"/>
    <m/>
  </r>
  <r>
    <s v="8470330"/>
    <s v="KUST - Electrical &amp; Computer Engineering"/>
    <s v="492316"/>
    <x v="0"/>
    <s v="847.8470330.1.492316.000000.847001.300180"/>
    <n v="456796"/>
    <n v="438961"/>
    <n v="438885"/>
    <n v="0"/>
    <n v="0"/>
    <n v="76"/>
    <m/>
  </r>
  <r>
    <s v="8470335"/>
    <s v="KUST - Industrial &amp; Systems Engineering"/>
    <s v="492316"/>
    <x v="0"/>
    <s v="847.8470335.1.492316.000000.847001.300180"/>
    <n v="234334"/>
    <n v="234093"/>
    <n v="187815.05"/>
    <n v="0"/>
    <n v="223066"/>
    <n v="-176788.05"/>
    <m/>
  </r>
  <r>
    <s v="8470340"/>
    <s v="KUST - Mechanical Engineering"/>
    <s v="492316"/>
    <x v="0"/>
    <s v="847.8470340.1.492316.000000.847001.300180"/>
    <n v="533159"/>
    <n v="532461"/>
    <n v="532460"/>
    <n v="0"/>
    <n v="0"/>
    <n v="1"/>
    <m/>
  </r>
  <r>
    <s v="8470345"/>
    <s v="KUST - Nuclear Engineering"/>
    <s v="492316"/>
    <x v="0"/>
    <s v="847.8470345.1.492316.000000.847001.300180"/>
    <n v="551330"/>
    <n v="548950"/>
    <n v="404980"/>
    <n v="0"/>
    <n v="142219.26999999999"/>
    <n v="1750.7300000000105"/>
    <m/>
  </r>
  <r>
    <s v="8470350"/>
    <s v="KUST - Petroleum Engineering"/>
    <s v="492316"/>
    <x v="0"/>
    <s v="847.8470350.1.492316.000000.847001.300180"/>
    <n v="1446520"/>
    <n v="1353772"/>
    <n v="942948.2"/>
    <n v="440666.76"/>
    <n v="0"/>
    <n v="-29842.959999999963"/>
    <m/>
  </r>
  <r>
    <s v="8470415"/>
    <s v="KUST - Chemistry"/>
    <s v="492316"/>
    <x v="0"/>
    <s v="847.8470415.1.492316.000000.847001.300180"/>
    <n v="1891417"/>
    <n v="1877083"/>
    <n v="1507060.1"/>
    <n v="0"/>
    <n v="57654"/>
    <n v="312368.89999999991"/>
    <s v="“The spreadsheet refers to Capex. The underspend comes from the negotiations with the vendor resulting in a lower price than the original quotation. Under KU rules, we were not able to spend the ‘underspend’ since it arose after the early deadline for spending Capex.”"/>
  </r>
  <r>
    <s v="8470425"/>
    <s v="KUST - Physics"/>
    <s v="492310"/>
    <x v="2"/>
    <s v="847.8470425.1.492310.000000.847001.300180"/>
    <n v="151348"/>
    <n v="35281"/>
    <n v="35280"/>
    <n v="0"/>
    <n v="0"/>
    <n v="1"/>
    <m/>
  </r>
  <r>
    <s v="8470425"/>
    <s v="KUST - Physics"/>
    <s v="492316"/>
    <x v="0"/>
    <s v="847.8470425.1.492316.000000.847001.300180"/>
    <n v="1551340"/>
    <n v="633395"/>
    <n v="408512.58"/>
    <n v="0"/>
    <n v="224881.73"/>
    <n v="0.68999999997322448"/>
    <m/>
  </r>
  <r>
    <s v="8470450"/>
    <s v="KUST - Earth Science"/>
    <s v="492310"/>
    <x v="2"/>
    <s v="847.8470450.1.492310.000000.847001.300180"/>
    <n v="126346"/>
    <n v="80206"/>
    <n v="80205"/>
    <n v="0"/>
    <n v="0"/>
    <n v="1"/>
    <m/>
  </r>
  <r>
    <s v="8470450"/>
    <s v="KUST - Earth Science"/>
    <s v="492316"/>
    <x v="0"/>
    <s v="847.8470450.1.492316.000000.847001.300180"/>
    <n v="146498"/>
    <n v="65176"/>
    <n v="40074.519999999997"/>
    <n v="0"/>
    <n v="25100"/>
    <n v="1.4800000000032014"/>
    <m/>
  </r>
  <r>
    <s v="8470455"/>
    <s v="KUST – Biology"/>
    <s v="492316"/>
    <x v="0"/>
    <s v="847.8470455.1.492316.000000.847001.300180"/>
    <n v="1754263"/>
    <n v="1421069"/>
    <n v="1395868"/>
    <n v="1"/>
    <n v="12967.5"/>
    <n v="12232.5"/>
    <m/>
  </r>
  <r>
    <s v="8470520"/>
    <s v="KUST - Environment, Health &amp; Safety"/>
    <s v="492316"/>
    <x v="0"/>
    <s v="847.8470520.1.492316.000000.847001.300180"/>
    <n v="171987"/>
    <n v="1"/>
    <m/>
    <n v="0"/>
    <n v="0"/>
    <n v="1"/>
    <m/>
  </r>
  <r>
    <s v="8470530"/>
    <s v="KUST - Facilities Management"/>
    <s v="492200"/>
    <x v="4"/>
    <s v="847.8470530.1.492200.000000.847001.300180"/>
    <n v="2910350"/>
    <n v="1624209"/>
    <n v="1624208"/>
    <n v="0"/>
    <n v="0"/>
    <n v="1"/>
    <m/>
  </r>
  <r>
    <s v="8470530"/>
    <s v="KUST - Facilities Management"/>
    <s v="492200"/>
    <x v="4"/>
    <s v="847.8470530.1.492200.000000.847010.300180"/>
    <n v="18425319"/>
    <n v="30271159"/>
    <n v="28839438.300000001"/>
    <n v="0"/>
    <n v="299375"/>
    <n v="1132345.6999999993"/>
    <s v=" opened PO's with approved GRN which is not received in 2022 so returned back to account and payments proceeded in 2023"/>
  </r>
  <r>
    <s v="8470530"/>
    <s v="KUST - Facilities Management"/>
    <s v="492200"/>
    <x v="4"/>
    <s v="847.8470530.1.492200.000000.847015.300180"/>
    <n v="3580020"/>
    <n v="0"/>
    <m/>
    <n v="0"/>
    <n v="0"/>
    <n v="0"/>
    <m/>
  </r>
  <r>
    <s v="8470530"/>
    <s v="KUST - Facilities Management"/>
    <s v="492200"/>
    <x v="4"/>
    <s v="847.8470530.1.492200.000000.847020.300180"/>
    <n v="19458929"/>
    <n v="21619047"/>
    <n v="21619045.739999998"/>
    <n v="0"/>
    <n v="0"/>
    <n v="1.2600000016391277"/>
    <m/>
  </r>
  <r>
    <s v="8470530"/>
    <s v="KUST - Facilities Management"/>
    <s v="492610"/>
    <x v="5"/>
    <s v="847.8470530.1.492610.000000.847010.300180"/>
    <n v="1136050"/>
    <n v="6290521"/>
    <n v="6289920"/>
    <n v="0"/>
    <n v="0"/>
    <n v="601"/>
    <m/>
  </r>
  <r>
    <s v="8470530"/>
    <s v="KUST - Facilities Management"/>
    <s v="492610"/>
    <x v="5"/>
    <s v="847.8470530.1.492610.000000.847015.300180"/>
    <n v="32800"/>
    <n v="31489"/>
    <n v="31488"/>
    <n v="0"/>
    <n v="0"/>
    <n v="1"/>
    <m/>
  </r>
  <r>
    <s v="8470530"/>
    <s v="KUST - Facilities Management"/>
    <s v="492610"/>
    <x v="5"/>
    <s v="847.8470530.1.492610.000000.847020.300180"/>
    <n v="1375893"/>
    <n v="41142"/>
    <n v="39750"/>
    <n v="0"/>
    <n v="0"/>
    <n v="1392"/>
    <m/>
  </r>
  <r>
    <s v="8470530"/>
    <s v="KUST - Facilities Management"/>
    <s v="495113"/>
    <x v="1"/>
    <s v="847.8470530.1.495113.000000.847010.300180"/>
    <n v="0"/>
    <n v="1"/>
    <m/>
    <n v="0"/>
    <n v="0"/>
    <n v="1"/>
    <m/>
  </r>
  <r>
    <s v="8470530"/>
    <s v="KUST - Facilities Management"/>
    <s v="495140"/>
    <x v="3"/>
    <s v="847.8470530.1.495140.000000.847010.300180"/>
    <n v="30302"/>
    <n v="30303"/>
    <m/>
    <n v="30302.25"/>
    <n v="0"/>
    <n v="0.75"/>
    <m/>
  </r>
  <r>
    <s v="8470720"/>
    <s v="KUST - Procurement and Contracts"/>
    <s v="495110"/>
    <x v="6"/>
    <s v="847.8470720.1.495110.000000.847001.300180"/>
    <n v="69286"/>
    <n v="0"/>
    <m/>
    <n v="0"/>
    <n v="0"/>
    <n v="0"/>
    <m/>
  </r>
  <r>
    <s v="8470720"/>
    <s v="KUST - Procurement and Contracts"/>
    <s v="495113"/>
    <x v="1"/>
    <s v="847.8470720.1.495113.000000.847001.300180"/>
    <n v="0"/>
    <n v="69286"/>
    <n v="69286"/>
    <n v="0"/>
    <n v="0"/>
    <n v="0"/>
    <m/>
  </r>
  <r>
    <s v="8470730"/>
    <s v="KUST - Human Resources"/>
    <s v="492610"/>
    <x v="5"/>
    <s v="847.8470730.1.492610.000000.847001.300180"/>
    <n v="1135112"/>
    <n v="0"/>
    <m/>
    <n v="0"/>
    <n v="0"/>
    <n v="0"/>
    <m/>
  </r>
  <r>
    <s v="8470810"/>
    <s v="KUST - Ankabut office"/>
    <s v="492310"/>
    <x v="2"/>
    <s v="847.8470810.1.492310.000000.847001.300180"/>
    <n v="2800802"/>
    <n v="181051"/>
    <n v="181050"/>
    <n v="0"/>
    <n v="0"/>
    <n v="1"/>
    <m/>
  </r>
  <r>
    <s v="8470810"/>
    <s v="KUST - Ankabut office"/>
    <s v="492352"/>
    <x v="7"/>
    <s v="847.8470810.1.492352.000000.847001.300180"/>
    <n v="0"/>
    <n v="1999374"/>
    <n v="1999372.61"/>
    <n v="0"/>
    <n v="1.3824319466948499E-10"/>
    <n v="1.3899999997593113"/>
    <m/>
  </r>
  <r>
    <s v="8470810"/>
    <s v="KUST - Ankabut office"/>
    <s v="492354"/>
    <x v="8"/>
    <s v="847.8470810.1.492354.000000.847001.300180"/>
    <n v="0"/>
    <n v="321321"/>
    <n v="321320"/>
    <n v="0"/>
    <n v="0"/>
    <n v="1"/>
    <m/>
  </r>
  <r>
    <s v="8470810"/>
    <s v="KUST - Ankabut office"/>
    <s v="492356"/>
    <x v="9"/>
    <s v="847.8470810.1.492356.000000.847001.300180"/>
    <n v="0"/>
    <n v="566744"/>
    <n v="566741"/>
    <n v="0"/>
    <n v="2"/>
    <n v="1"/>
    <m/>
  </r>
  <r>
    <s v="8470810"/>
    <s v="KUST - Ankabut office"/>
    <s v="495110"/>
    <x v="6"/>
    <s v="847.8470810.1.495110.000000.847001.300180"/>
    <n v="646670"/>
    <n v="0"/>
    <m/>
    <n v="0"/>
    <n v="0"/>
    <n v="0"/>
    <m/>
  </r>
  <r>
    <s v="8470810"/>
    <s v="KUST - Ankabut office"/>
    <s v="495113"/>
    <x v="1"/>
    <s v="847.8470810.1.495113.000000.847001.300180"/>
    <n v="0"/>
    <n v="23966"/>
    <n v="23965"/>
    <n v="0"/>
    <n v="0"/>
    <n v="1"/>
    <m/>
  </r>
  <r>
    <s v="8471110"/>
    <s v="KUST - SVP/ Research &amp; Development Office"/>
    <s v="492316"/>
    <x v="0"/>
    <s v="847.8471110.1.492316.000000.847001.300180"/>
    <n v="2998678"/>
    <n v="2998729"/>
    <n v="2998678.09"/>
    <n v="0"/>
    <n v="0"/>
    <n v="50.910000000149012"/>
    <m/>
  </r>
  <r>
    <s v="8471140"/>
    <s v="KUST - University Sponsored Research"/>
    <s v="492316"/>
    <x v="0"/>
    <s v="847.8471140.1.492316.000000.847001.300180"/>
    <n v="358538"/>
    <n v="353644"/>
    <n v="353642.9"/>
    <n v="0"/>
    <n v="-3.6379788070917101E-12"/>
    <n v="1.0999999999803549"/>
    <m/>
  </r>
  <r>
    <s v="8471160"/>
    <s v="KUST - Research Laboratories"/>
    <s v="492200"/>
    <x v="4"/>
    <s v="847.8471160.1.492200.000000.847001.300180"/>
    <n v="1304891"/>
    <n v="1337391"/>
    <n v="1304890.5"/>
    <n v="0"/>
    <n v="32500"/>
    <n v="0.5"/>
    <m/>
  </r>
  <r>
    <s v="8471160"/>
    <s v="KUST - Research Laboratories"/>
    <s v="492316"/>
    <x v="0"/>
    <s v="847.8471160.1.492316.000000.847001.300180"/>
    <n v="15928069"/>
    <n v="11544342"/>
    <n v="10712121.68"/>
    <n v="3"/>
    <n v="551971.17000000004"/>
    <n v="280246.15000000026"/>
    <s v="For attached indicated RL CAPEX budget surplus of AED 280,246.15 for Q4 2022 I’m not aware how this occurred as it was agreed all remaining CAPEX was to transferred after the contractual payment was made for the glovebox facility."/>
  </r>
  <r>
    <s v="8471170"/>
    <s v="KUST - Research Computing"/>
    <s v="492316"/>
    <x v="0"/>
    <s v="847.8471170.1.492316.000000.847001.300180"/>
    <n v="2751786"/>
    <n v="1"/>
    <m/>
    <n v="0"/>
    <n v="0"/>
    <n v="1"/>
    <m/>
  </r>
  <r>
    <s v="8471170"/>
    <s v="KUST - Research Computing"/>
    <s v="495110"/>
    <x v="6"/>
    <s v="847.8471170.1.495110.000000.847001.300180"/>
    <n v="833665"/>
    <n v="0"/>
    <n v="0"/>
    <n v="0"/>
    <n v="0"/>
    <n v="0"/>
    <s v="Therefore could the surplus have resulted from CAPEX PRs that were subsequently cancelled by Finance in December 2022? For example, was not aware at the time, the PR raised for Arzanah gas lines was cancelled with its value being ~AED 250,000. Therefore is it possible to advise if the budget surplus is a result of cancelled CAPEX PRs from December 2022."/>
  </r>
  <r>
    <s v="8471170"/>
    <s v="KUST - Research Computing"/>
    <s v="495113"/>
    <x v="1"/>
    <s v="847.8471170.1.495113.000000.847001.300180"/>
    <n v="0"/>
    <n v="138509"/>
    <n v="138508.82999999999"/>
    <n v="0"/>
    <n v="0"/>
    <n v="0.17000000001280569"/>
    <m/>
  </r>
  <r>
    <s v="8471280"/>
    <s v="KUST - Center for Teaching &amp; Learning"/>
    <s v="492316"/>
    <x v="0"/>
    <s v="847.8471280.1.492316.000000.847001.300180"/>
    <n v="6879"/>
    <n v="1"/>
    <m/>
    <n v="0"/>
    <n v="0"/>
    <n v="1"/>
    <m/>
  </r>
  <r>
    <s v="8471305"/>
    <s v="KUST - Dean Of Medicine"/>
    <s v="492310"/>
    <x v="2"/>
    <s v="847.8471305.1.492310.000000.847001.300180"/>
    <n v="466679"/>
    <n v="824085"/>
    <n v="824084"/>
    <n v="0"/>
    <n v="-5.8207660913467401E-11"/>
    <n v="1.0000000000582077"/>
    <m/>
  </r>
  <r>
    <s v="8471305"/>
    <s v="KUST - Dean Of Medicine"/>
    <s v="492316"/>
    <x v="0"/>
    <s v="847.8471305.1.492316.000000.847001.300180"/>
    <n v="17788291"/>
    <n v="17060665"/>
    <n v="15898156.359999999"/>
    <n v="0"/>
    <n v="1053463.22"/>
    <n v="109045.42000000062"/>
    <s v="Third quarter reflected 12,308 AED, 96, 746.52 returned once processed and CAPEX closed.  GRN delays resulted in some cost shift into 2023."/>
  </r>
  <r>
    <s v="8471305"/>
    <s v="KUST - Dean Of Medicine"/>
    <s v="492610"/>
    <x v="5"/>
    <s v="847.8471305.1.492610.000000.847001.300180"/>
    <n v="19606"/>
    <n v="731"/>
    <n v="728.67"/>
    <n v="0"/>
    <n v="0"/>
    <n v="2.3300000000000409"/>
    <m/>
  </r>
  <r>
    <s v="8471305"/>
    <s v="KUST - Dean Of Medicine"/>
    <s v="495140"/>
    <x v="3"/>
    <s v="847.8471305.1.495140.000000.847001.300180"/>
    <n v="171987"/>
    <n v="0"/>
    <m/>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6" firstHeaderRow="0" firstDataRow="1" firstDataCol="1"/>
  <pivotFields count="12">
    <pivotField showAll="0"/>
    <pivotField showAll="0"/>
    <pivotField showAll="0"/>
    <pivotField axis="axisRow" showAll="0">
      <items count="83">
        <item x="0"/>
        <item x="1"/>
        <item x="20"/>
        <item x="21"/>
        <item x="14"/>
        <item x="63"/>
        <item x="48"/>
        <item x="47"/>
        <item x="9"/>
        <item x="51"/>
        <item x="40"/>
        <item x="8"/>
        <item x="72"/>
        <item x="5"/>
        <item x="6"/>
        <item x="70"/>
        <item x="37"/>
        <item x="55"/>
        <item x="76"/>
        <item x="7"/>
        <item x="11"/>
        <item x="61"/>
        <item x="64"/>
        <item x="38"/>
        <item x="60"/>
        <item x="25"/>
        <item x="39"/>
        <item x="80"/>
        <item x="44"/>
        <item x="45"/>
        <item x="12"/>
        <item x="68"/>
        <item x="33"/>
        <item x="32"/>
        <item x="2"/>
        <item x="78"/>
        <item x="24"/>
        <item x="67"/>
        <item x="49"/>
        <item x="3"/>
        <item x="41"/>
        <item x="81"/>
        <item x="53"/>
        <item x="50"/>
        <item x="18"/>
        <item x="57"/>
        <item x="62"/>
        <item x="19"/>
        <item x="54"/>
        <item x="28"/>
        <item x="17"/>
        <item x="31"/>
        <item x="16"/>
        <item x="71"/>
        <item x="58"/>
        <item x="46"/>
        <item x="59"/>
        <item x="23"/>
        <item x="74"/>
        <item x="22"/>
        <item x="42"/>
        <item x="77"/>
        <item x="10"/>
        <item x="52"/>
        <item x="4"/>
        <item x="65"/>
        <item x="43"/>
        <item x="35"/>
        <item x="29"/>
        <item x="30"/>
        <item x="26"/>
        <item x="15"/>
        <item x="27"/>
        <item x="75"/>
        <item x="79"/>
        <item x="13"/>
        <item x="69"/>
        <item x="36"/>
        <item x="34"/>
        <item x="66"/>
        <item x="73"/>
        <item x="56"/>
        <item t="default"/>
      </items>
    </pivotField>
    <pivotField showAll="0"/>
    <pivotField showAll="0"/>
    <pivotField dataField="1" showAll="0"/>
    <pivotField dataField="1" showAll="0"/>
    <pivotField numFmtId="43" showAll="0"/>
    <pivotField showAll="0"/>
    <pivotField numFmtId="3" showAll="0"/>
    <pivotField showAll="0"/>
  </pivotFields>
  <rowFields count="1">
    <field x="3"/>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Fields count="1">
    <field x="-2"/>
  </colFields>
  <colItems count="2">
    <i>
      <x/>
    </i>
    <i i="1">
      <x v="1"/>
    </i>
  </colItems>
  <dataFields count="2">
    <dataField name=" Revised Budget" fld="6" baseField="3" baseItem="0" numFmtId="3"/>
    <dataField name=" Actual Amount" fld="7" baseField="3"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4" firstHeaderRow="0" firstDataRow="1" firstDataCol="1"/>
  <pivotFields count="12">
    <pivotField showAll="0"/>
    <pivotField showAll="0"/>
    <pivotField showAll="0"/>
    <pivotField axis="axisRow" showAll="0">
      <items count="11">
        <item x="4"/>
        <item x="6"/>
        <item x="1"/>
        <item x="3"/>
        <item x="5"/>
        <item x="2"/>
        <item x="9"/>
        <item x="7"/>
        <item x="8"/>
        <item x="0"/>
        <item t="default"/>
      </items>
    </pivotField>
    <pivotField showAll="0"/>
    <pivotField numFmtId="43" showAll="0"/>
    <pivotField dataField="1" numFmtId="43" showAll="0"/>
    <pivotField dataField="1" showAll="0"/>
    <pivotField numFmtId="43" showAll="0"/>
    <pivotField numFmtId="43" showAll="0"/>
    <pivotField numFmtId="43"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 Revised Budget" fld="6" baseField="3" baseItem="6" numFmtId="3"/>
    <dataField name=" Actual Amount" fld="7" baseField="3" baseItem="6"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7"/>
  <sheetViews>
    <sheetView workbookViewId="0">
      <selection activeCell="F5" sqref="F5"/>
    </sheetView>
  </sheetViews>
  <sheetFormatPr defaultRowHeight="14.5" x14ac:dyDescent="0.35"/>
  <cols>
    <col min="2" max="2" width="23.7265625" bestFit="1" customWidth="1"/>
    <col min="3" max="5" width="10.81640625" bestFit="1" customWidth="1"/>
    <col min="6" max="6" width="10.1796875" bestFit="1" customWidth="1"/>
    <col min="7" max="7" width="24.26953125" customWidth="1"/>
    <col min="9" max="9" width="10.7265625" bestFit="1" customWidth="1"/>
  </cols>
  <sheetData>
    <row r="2" spans="2:9" x14ac:dyDescent="0.35">
      <c r="B2" s="39" t="s">
        <v>885</v>
      </c>
      <c r="C2" s="39"/>
      <c r="D2" s="39"/>
      <c r="E2" s="35"/>
      <c r="F2" s="35"/>
      <c r="G2" s="35"/>
    </row>
    <row r="3" spans="2:9" ht="30" x14ac:dyDescent="0.35">
      <c r="B3" s="34" t="s">
        <v>886</v>
      </c>
      <c r="C3" s="34" t="s">
        <v>7</v>
      </c>
      <c r="D3" s="34" t="s">
        <v>8</v>
      </c>
      <c r="E3" s="34" t="s">
        <v>9</v>
      </c>
      <c r="F3" s="32" t="s">
        <v>887</v>
      </c>
      <c r="G3" s="32" t="s">
        <v>888</v>
      </c>
    </row>
    <row r="4" spans="2:9" x14ac:dyDescent="0.35">
      <c r="B4" s="36" t="s">
        <v>889</v>
      </c>
      <c r="C4" s="33">
        <v>610207000</v>
      </c>
      <c r="D4" s="33">
        <v>615263864</v>
      </c>
      <c r="E4" s="33">
        <v>609549812.819996</v>
      </c>
      <c r="F4" s="33">
        <v>1447070.7</v>
      </c>
      <c r="G4" s="33">
        <f>D4-E4-F4</f>
        <v>4266980.4800040005</v>
      </c>
      <c r="I4" s="31"/>
    </row>
    <row r="5" spans="2:9" x14ac:dyDescent="0.35">
      <c r="B5" s="36" t="s">
        <v>890</v>
      </c>
      <c r="C5" s="33">
        <v>592955000</v>
      </c>
      <c r="D5" s="33">
        <v>579850000</v>
      </c>
      <c r="E5" s="33">
        <v>560743682.48000014</v>
      </c>
      <c r="F5" s="33">
        <v>13336128.569999998</v>
      </c>
      <c r="G5" s="33">
        <f t="shared" ref="G5:G6" si="0">D5-E5-F5</f>
        <v>5770188.9499998633</v>
      </c>
      <c r="I5" s="31"/>
    </row>
    <row r="6" spans="2:9" x14ac:dyDescent="0.35">
      <c r="B6" s="36" t="s">
        <v>891</v>
      </c>
      <c r="C6" s="33">
        <v>110301000</v>
      </c>
      <c r="D6" s="33">
        <v>110301000</v>
      </c>
      <c r="E6" s="33">
        <v>104300171.52000001</v>
      </c>
      <c r="F6" s="33">
        <v>4162786.5599999996</v>
      </c>
      <c r="G6" s="33">
        <f t="shared" si="0"/>
        <v>1838041.9199999897</v>
      </c>
      <c r="I6" s="31"/>
    </row>
    <row r="7" spans="2:9" x14ac:dyDescent="0.35">
      <c r="B7" s="37" t="s">
        <v>882</v>
      </c>
      <c r="C7" s="38">
        <v>1313463000</v>
      </c>
      <c r="D7" s="38">
        <v>1305414864</v>
      </c>
      <c r="E7" s="38">
        <v>1277147380.77</v>
      </c>
      <c r="F7" s="38">
        <v>18945985.829999998</v>
      </c>
      <c r="G7" s="38">
        <f>SUM(G4:G6)</f>
        <v>11875211.350003853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7"/>
  <sheetViews>
    <sheetView workbookViewId="0">
      <selection activeCell="E14" sqref="E14"/>
    </sheetView>
  </sheetViews>
  <sheetFormatPr defaultRowHeight="14.5" x14ac:dyDescent="0.35"/>
  <cols>
    <col min="2" max="2" width="23.7265625" bestFit="1" customWidth="1"/>
    <col min="3" max="5" width="10.81640625" bestFit="1" customWidth="1"/>
    <col min="6" max="6" width="6.54296875" bestFit="1" customWidth="1"/>
    <col min="7" max="7" width="8.7265625" bestFit="1" customWidth="1"/>
    <col min="8" max="8" width="10.1796875" bestFit="1" customWidth="1"/>
    <col min="9" max="9" width="24.26953125" customWidth="1"/>
  </cols>
  <sheetData>
    <row r="2" spans="2:9" x14ac:dyDescent="0.35">
      <c r="B2" s="39" t="s">
        <v>885</v>
      </c>
      <c r="C2" s="39"/>
      <c r="D2" s="39"/>
      <c r="E2" s="35"/>
      <c r="F2" s="35"/>
      <c r="G2" s="35"/>
      <c r="H2" s="35"/>
      <c r="I2" s="35"/>
    </row>
    <row r="3" spans="2:9" ht="30" x14ac:dyDescent="0.35">
      <c r="B3" s="34" t="s">
        <v>886</v>
      </c>
      <c r="C3" s="34" t="s">
        <v>7</v>
      </c>
      <c r="D3" s="34" t="s">
        <v>8</v>
      </c>
      <c r="E3" s="34" t="s">
        <v>9</v>
      </c>
      <c r="F3" s="40" t="s">
        <v>10</v>
      </c>
      <c r="G3" s="40" t="s">
        <v>11</v>
      </c>
      <c r="H3" s="32" t="s">
        <v>887</v>
      </c>
      <c r="I3" s="32" t="s">
        <v>888</v>
      </c>
    </row>
    <row r="4" spans="2:9" x14ac:dyDescent="0.35">
      <c r="B4" s="36" t="s">
        <v>889</v>
      </c>
      <c r="C4" s="33">
        <v>610207000</v>
      </c>
      <c r="D4" s="33">
        <v>615263864</v>
      </c>
      <c r="E4" s="33">
        <v>609549812.819996</v>
      </c>
      <c r="F4" s="33">
        <v>0</v>
      </c>
      <c r="G4" s="33">
        <v>1447070.7</v>
      </c>
      <c r="H4" s="33">
        <v>1447070.7</v>
      </c>
      <c r="I4" s="33">
        <f>D4-E4-F4-G4</f>
        <v>4266980.4800040005</v>
      </c>
    </row>
    <row r="5" spans="2:9" x14ac:dyDescent="0.35">
      <c r="B5" s="36" t="s">
        <v>890</v>
      </c>
      <c r="C5" s="33">
        <v>592955000</v>
      </c>
      <c r="D5" s="33">
        <v>579850000</v>
      </c>
      <c r="E5" s="33">
        <v>560743682.48000014</v>
      </c>
      <c r="F5" s="33">
        <v>332716.53000000003</v>
      </c>
      <c r="G5" s="33">
        <v>13003412.039999999</v>
      </c>
      <c r="H5" s="33">
        <v>13336128.569999998</v>
      </c>
      <c r="I5" s="33">
        <f>D5-E5-F5-G5</f>
        <v>5770188.9499998614</v>
      </c>
    </row>
    <row r="6" spans="2:9" x14ac:dyDescent="0.35">
      <c r="B6" s="36" t="s">
        <v>891</v>
      </c>
      <c r="C6" s="33">
        <v>110301000</v>
      </c>
      <c r="D6" s="33">
        <v>110301000</v>
      </c>
      <c r="E6" s="33">
        <v>104300171.52000001</v>
      </c>
      <c r="F6" s="33">
        <v>337405.97</v>
      </c>
      <c r="G6" s="33">
        <v>3825380.59</v>
      </c>
      <c r="H6" s="33">
        <v>4162786.5599999996</v>
      </c>
      <c r="I6" s="33">
        <f>D6-E6-F6-G6</f>
        <v>1838041.9199999897</v>
      </c>
    </row>
    <row r="7" spans="2:9" x14ac:dyDescent="0.35">
      <c r="B7" s="37" t="s">
        <v>882</v>
      </c>
      <c r="C7" s="38">
        <v>1313463000</v>
      </c>
      <c r="D7" s="38">
        <v>1305414864</v>
      </c>
      <c r="E7" s="38">
        <v>1277147380.77</v>
      </c>
      <c r="F7" s="41">
        <v>670122.5</v>
      </c>
      <c r="G7" s="38">
        <v>18275863.329999998</v>
      </c>
      <c r="H7" s="38">
        <v>18945985.829999998</v>
      </c>
      <c r="I7" s="38">
        <f>SUM(I4:I6)</f>
        <v>11875211.350003853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86"/>
  <sheetViews>
    <sheetView topLeftCell="A66" workbookViewId="0">
      <selection activeCell="A86" sqref="A86"/>
    </sheetView>
  </sheetViews>
  <sheetFormatPr defaultRowHeight="14.5" x14ac:dyDescent="0.35"/>
  <cols>
    <col min="1" max="1" width="99.54296875" bestFit="1" customWidth="1"/>
    <col min="2" max="2" width="15.26953125" bestFit="1" customWidth="1"/>
    <col min="3" max="3" width="14.7265625" bestFit="1" customWidth="1"/>
    <col min="4" max="4" width="9.1796875" bestFit="1" customWidth="1"/>
    <col min="5" max="5" width="10.1796875" bestFit="1" customWidth="1"/>
    <col min="6" max="6" width="25.7265625" bestFit="1" customWidth="1"/>
  </cols>
  <sheetData>
    <row r="3" spans="1:3" x14ac:dyDescent="0.35">
      <c r="A3" s="29" t="s">
        <v>881</v>
      </c>
      <c r="B3" t="s">
        <v>883</v>
      </c>
      <c r="C3" t="s">
        <v>884</v>
      </c>
    </row>
    <row r="4" spans="1:3" x14ac:dyDescent="0.35">
      <c r="A4" s="30" t="s">
        <v>17</v>
      </c>
      <c r="B4" s="31">
        <v>424453</v>
      </c>
      <c r="C4" s="31">
        <v>344639.77</v>
      </c>
    </row>
    <row r="5" spans="1:3" x14ac:dyDescent="0.35">
      <c r="A5" s="30" t="s">
        <v>20</v>
      </c>
      <c r="B5" s="31">
        <v>30568623</v>
      </c>
      <c r="C5" s="31">
        <v>30543747.07</v>
      </c>
    </row>
    <row r="6" spans="1:3" x14ac:dyDescent="0.35">
      <c r="A6" s="30" t="s">
        <v>98</v>
      </c>
      <c r="B6" s="31">
        <v>2655419</v>
      </c>
      <c r="C6" s="31">
        <v>2513977.9100000006</v>
      </c>
    </row>
    <row r="7" spans="1:3" x14ac:dyDescent="0.35">
      <c r="A7" s="30" t="s">
        <v>104</v>
      </c>
      <c r="B7" s="31">
        <v>1606508</v>
      </c>
      <c r="C7" s="31">
        <v>1458554.33</v>
      </c>
    </row>
    <row r="8" spans="1:3" x14ac:dyDescent="0.35">
      <c r="A8" s="30" t="s">
        <v>68</v>
      </c>
      <c r="B8" s="31">
        <v>5189966</v>
      </c>
      <c r="C8" s="31">
        <v>4461718.0999999996</v>
      </c>
    </row>
    <row r="9" spans="1:3" x14ac:dyDescent="0.35">
      <c r="A9" s="30" t="s">
        <v>537</v>
      </c>
      <c r="B9" s="31">
        <v>3600</v>
      </c>
      <c r="C9" s="31">
        <v>688.64</v>
      </c>
    </row>
    <row r="10" spans="1:3" x14ac:dyDescent="0.35">
      <c r="A10" s="30" t="s">
        <v>471</v>
      </c>
      <c r="B10" s="31">
        <v>30000</v>
      </c>
      <c r="C10" s="31">
        <v>20638</v>
      </c>
    </row>
    <row r="11" spans="1:3" x14ac:dyDescent="0.35">
      <c r="A11" s="30" t="s">
        <v>465</v>
      </c>
      <c r="B11" s="31">
        <v>22443275</v>
      </c>
      <c r="C11" s="31">
        <v>21360786.689999998</v>
      </c>
    </row>
    <row r="12" spans="1:3" x14ac:dyDescent="0.35">
      <c r="A12" s="30" t="s">
        <v>44</v>
      </c>
      <c r="B12" s="31">
        <v>1075407</v>
      </c>
      <c r="C12" s="31">
        <v>891678.97</v>
      </c>
    </row>
    <row r="13" spans="1:3" x14ac:dyDescent="0.35">
      <c r="A13" s="30" t="s">
        <v>480</v>
      </c>
      <c r="B13" s="31">
        <v>1653455</v>
      </c>
      <c r="C13" s="31">
        <v>1604342.88</v>
      </c>
    </row>
    <row r="14" spans="1:3" x14ac:dyDescent="0.35">
      <c r="A14" s="30" t="s">
        <v>432</v>
      </c>
      <c r="B14" s="31">
        <v>9181358</v>
      </c>
      <c r="C14" s="31">
        <v>9028701.8599999994</v>
      </c>
    </row>
    <row r="15" spans="1:3" x14ac:dyDescent="0.35">
      <c r="A15" s="30" t="s">
        <v>41</v>
      </c>
      <c r="B15" s="31">
        <v>12773070</v>
      </c>
      <c r="C15" s="31">
        <v>11871117.210000001</v>
      </c>
    </row>
    <row r="16" spans="1:3" x14ac:dyDescent="0.35">
      <c r="A16" s="30" t="s">
        <v>594</v>
      </c>
      <c r="B16" s="31">
        <v>364500</v>
      </c>
      <c r="C16" s="31">
        <v>362741.93</v>
      </c>
    </row>
    <row r="17" spans="1:3" x14ac:dyDescent="0.35">
      <c r="A17" s="30" t="s">
        <v>32</v>
      </c>
      <c r="B17" s="31">
        <v>8533213</v>
      </c>
      <c r="C17" s="31">
        <v>8323316.2300000004</v>
      </c>
    </row>
    <row r="18" spans="1:3" x14ac:dyDescent="0.35">
      <c r="A18" s="30" t="s">
        <v>35</v>
      </c>
      <c r="B18" s="31">
        <v>842034</v>
      </c>
      <c r="C18" s="31">
        <v>838507.89</v>
      </c>
    </row>
    <row r="19" spans="1:3" x14ac:dyDescent="0.35">
      <c r="A19" s="30" t="s">
        <v>585</v>
      </c>
      <c r="B19" s="31">
        <v>2078615</v>
      </c>
      <c r="C19" s="31">
        <v>2078611.37</v>
      </c>
    </row>
    <row r="20" spans="1:3" x14ac:dyDescent="0.35">
      <c r="A20" s="30" t="s">
        <v>275</v>
      </c>
      <c r="B20" s="31">
        <v>2231942</v>
      </c>
      <c r="C20" s="31">
        <v>1674792.3</v>
      </c>
    </row>
    <row r="21" spans="1:3" x14ac:dyDescent="0.35">
      <c r="A21" s="30" t="s">
        <v>496</v>
      </c>
      <c r="B21" s="31">
        <v>18710772</v>
      </c>
      <c r="C21" s="31">
        <v>18502493.740000002</v>
      </c>
    </row>
    <row r="22" spans="1:3" x14ac:dyDescent="0.35">
      <c r="A22" s="30" t="s">
        <v>689</v>
      </c>
      <c r="B22" s="31">
        <v>1644833</v>
      </c>
      <c r="C22" s="31">
        <v>1549220.6</v>
      </c>
    </row>
    <row r="23" spans="1:3" x14ac:dyDescent="0.35">
      <c r="A23" s="30" t="s">
        <v>38</v>
      </c>
      <c r="B23" s="31">
        <v>610839</v>
      </c>
      <c r="C23" s="31">
        <v>463897.41</v>
      </c>
    </row>
    <row r="24" spans="1:3" x14ac:dyDescent="0.35">
      <c r="A24" s="30" t="s">
        <v>50</v>
      </c>
      <c r="B24" s="31">
        <v>393869</v>
      </c>
      <c r="C24" s="31">
        <v>182620.90999999997</v>
      </c>
    </row>
    <row r="25" spans="1:3" x14ac:dyDescent="0.35">
      <c r="A25" s="30" t="s">
        <v>530</v>
      </c>
      <c r="B25" s="31">
        <v>383200</v>
      </c>
      <c r="C25" s="31">
        <v>383200</v>
      </c>
    </row>
    <row r="26" spans="1:3" x14ac:dyDescent="0.35">
      <c r="A26" s="30" t="s">
        <v>540</v>
      </c>
      <c r="B26" s="31">
        <v>124500</v>
      </c>
      <c r="C26" s="31">
        <v>102471.63</v>
      </c>
    </row>
    <row r="27" spans="1:3" x14ac:dyDescent="0.35">
      <c r="A27" s="30" t="s">
        <v>421</v>
      </c>
      <c r="B27" s="31">
        <v>20001</v>
      </c>
      <c r="C27" s="31"/>
    </row>
    <row r="28" spans="1:3" x14ac:dyDescent="0.35">
      <c r="A28" s="30" t="s">
        <v>521</v>
      </c>
      <c r="B28" s="31">
        <v>266721</v>
      </c>
      <c r="C28" s="31">
        <v>266719.75</v>
      </c>
    </row>
    <row r="29" spans="1:3" x14ac:dyDescent="0.35">
      <c r="A29" s="30" t="s">
        <v>133</v>
      </c>
      <c r="B29" s="31">
        <v>240000</v>
      </c>
      <c r="C29" s="31">
        <v>240000</v>
      </c>
    </row>
    <row r="30" spans="1:3" x14ac:dyDescent="0.35">
      <c r="A30" s="30" t="s">
        <v>425</v>
      </c>
      <c r="B30" s="31">
        <v>944505</v>
      </c>
      <c r="C30" s="31">
        <v>928660.78</v>
      </c>
    </row>
    <row r="31" spans="1:3" x14ac:dyDescent="0.35">
      <c r="A31" s="30" t="s">
        <v>747</v>
      </c>
      <c r="B31" s="31">
        <v>200000</v>
      </c>
      <c r="C31" s="31">
        <v>177500</v>
      </c>
    </row>
    <row r="32" spans="1:3" x14ac:dyDescent="0.35">
      <c r="A32" s="30" t="s">
        <v>454</v>
      </c>
      <c r="B32" s="31">
        <v>903424</v>
      </c>
      <c r="C32" s="31">
        <v>879708.25</v>
      </c>
    </row>
    <row r="33" spans="1:3" x14ac:dyDescent="0.35">
      <c r="A33" s="30" t="s">
        <v>458</v>
      </c>
      <c r="B33" s="31">
        <v>50000</v>
      </c>
      <c r="C33" s="31">
        <v>29924</v>
      </c>
    </row>
    <row r="34" spans="1:3" x14ac:dyDescent="0.35">
      <c r="A34" s="30" t="s">
        <v>55</v>
      </c>
      <c r="B34" s="31">
        <v>550028</v>
      </c>
      <c r="C34" s="31">
        <v>307899.53999999998</v>
      </c>
    </row>
    <row r="35" spans="1:3" x14ac:dyDescent="0.35">
      <c r="A35" s="30" t="s">
        <v>577</v>
      </c>
      <c r="B35" s="31">
        <v>37374912</v>
      </c>
      <c r="C35" s="31">
        <v>36601754.170000002</v>
      </c>
    </row>
    <row r="36" spans="1:3" x14ac:dyDescent="0.35">
      <c r="A36" s="30" t="s">
        <v>174</v>
      </c>
      <c r="B36" s="31">
        <v>7897049</v>
      </c>
      <c r="C36" s="31">
        <v>6498666.3200000003</v>
      </c>
    </row>
    <row r="37" spans="1:3" x14ac:dyDescent="0.35">
      <c r="A37" s="30" t="s">
        <v>170</v>
      </c>
      <c r="B37" s="31">
        <v>12884133</v>
      </c>
      <c r="C37" s="31">
        <v>9501387.3000000007</v>
      </c>
    </row>
    <row r="38" spans="1:3" x14ac:dyDescent="0.35">
      <c r="A38" s="30" t="s">
        <v>23</v>
      </c>
      <c r="B38" s="31">
        <v>3956818</v>
      </c>
      <c r="C38" s="31">
        <v>3952210.0999999996</v>
      </c>
    </row>
    <row r="39" spans="1:3" x14ac:dyDescent="0.35">
      <c r="A39" s="30" t="s">
        <v>706</v>
      </c>
      <c r="B39" s="31">
        <v>15273962</v>
      </c>
      <c r="C39" s="31">
        <v>14741862.359999999</v>
      </c>
    </row>
    <row r="40" spans="1:3" x14ac:dyDescent="0.35">
      <c r="A40" s="30" t="s">
        <v>124</v>
      </c>
      <c r="B40" s="31">
        <v>1983067</v>
      </c>
      <c r="C40" s="31">
        <v>1982584.95</v>
      </c>
    </row>
    <row r="41" spans="1:3" x14ac:dyDescent="0.35">
      <c r="A41" s="30" t="s">
        <v>574</v>
      </c>
      <c r="B41" s="31">
        <v>0</v>
      </c>
      <c r="C41" s="31"/>
    </row>
    <row r="42" spans="1:3" x14ac:dyDescent="0.35">
      <c r="A42" s="30" t="s">
        <v>474</v>
      </c>
      <c r="B42" s="31">
        <v>26000</v>
      </c>
      <c r="C42" s="31">
        <v>3747.08</v>
      </c>
    </row>
    <row r="43" spans="1:3" x14ac:dyDescent="0.35">
      <c r="A43" s="30" t="s">
        <v>26</v>
      </c>
      <c r="B43" s="31">
        <v>890231</v>
      </c>
      <c r="C43" s="31">
        <v>885148.23</v>
      </c>
    </row>
    <row r="44" spans="1:3" x14ac:dyDescent="0.35">
      <c r="A44" s="30" t="s">
        <v>438</v>
      </c>
      <c r="B44" s="31">
        <v>963710</v>
      </c>
      <c r="C44" s="31">
        <v>494867.77</v>
      </c>
    </row>
    <row r="45" spans="1:3" x14ac:dyDescent="0.35">
      <c r="A45" s="30" t="s">
        <v>787</v>
      </c>
      <c r="B45" s="31">
        <v>1</v>
      </c>
      <c r="C45" s="31"/>
    </row>
    <row r="46" spans="1:3" x14ac:dyDescent="0.35">
      <c r="A46" s="30" t="s">
        <v>489</v>
      </c>
      <c r="B46" s="31">
        <v>10000</v>
      </c>
      <c r="C46" s="31">
        <v>848</v>
      </c>
    </row>
    <row r="47" spans="1:3" x14ac:dyDescent="0.35">
      <c r="A47" s="30" t="s">
        <v>477</v>
      </c>
      <c r="B47" s="31">
        <v>89603</v>
      </c>
      <c r="C47" s="31">
        <v>89382.84</v>
      </c>
    </row>
    <row r="48" spans="1:3" x14ac:dyDescent="0.35">
      <c r="A48" s="30" t="s">
        <v>83</v>
      </c>
      <c r="B48" s="31">
        <v>27743</v>
      </c>
      <c r="C48" s="31">
        <v>13287.9</v>
      </c>
    </row>
    <row r="49" spans="1:3" x14ac:dyDescent="0.35">
      <c r="A49" s="30" t="s">
        <v>508</v>
      </c>
      <c r="B49" s="31">
        <v>44001</v>
      </c>
      <c r="C49" s="31">
        <v>41250</v>
      </c>
    </row>
    <row r="50" spans="1:3" x14ac:dyDescent="0.35">
      <c r="A50" s="30" t="s">
        <v>534</v>
      </c>
      <c r="B50" s="31">
        <v>519271</v>
      </c>
      <c r="C50" s="31">
        <v>386410</v>
      </c>
    </row>
    <row r="51" spans="1:3" x14ac:dyDescent="0.35">
      <c r="A51" s="30" t="s">
        <v>86</v>
      </c>
      <c r="B51" s="31">
        <v>63812</v>
      </c>
      <c r="C51" s="31">
        <v>43812</v>
      </c>
    </row>
    <row r="52" spans="1:3" x14ac:dyDescent="0.35">
      <c r="A52" s="30" t="s">
        <v>492</v>
      </c>
      <c r="B52" s="31">
        <v>53000</v>
      </c>
      <c r="C52" s="31">
        <v>13168.27</v>
      </c>
    </row>
    <row r="53" spans="1:3" x14ac:dyDescent="0.35">
      <c r="A53" s="30" t="s">
        <v>142</v>
      </c>
      <c r="B53" s="31">
        <v>144477652</v>
      </c>
      <c r="C53" s="31">
        <v>144442665.34999999</v>
      </c>
    </row>
    <row r="54" spans="1:3" x14ac:dyDescent="0.35">
      <c r="A54" s="30" t="s">
        <v>79</v>
      </c>
      <c r="B54" s="31">
        <v>23986</v>
      </c>
      <c r="C54" s="31">
        <v>23653.37</v>
      </c>
    </row>
    <row r="55" spans="1:3" x14ac:dyDescent="0.35">
      <c r="A55" s="30" t="s">
        <v>155</v>
      </c>
      <c r="B55" s="31">
        <v>398650</v>
      </c>
      <c r="C55" s="31">
        <v>311150.15999999997</v>
      </c>
    </row>
    <row r="56" spans="1:3" x14ac:dyDescent="0.35">
      <c r="A56" s="30" t="s">
        <v>76</v>
      </c>
      <c r="B56" s="31">
        <v>946677</v>
      </c>
      <c r="C56" s="31">
        <v>496024.34</v>
      </c>
    </row>
    <row r="57" spans="1:3" x14ac:dyDescent="0.35">
      <c r="A57" s="30" t="s">
        <v>590</v>
      </c>
      <c r="B57" s="31">
        <v>1022000</v>
      </c>
      <c r="C57" s="31">
        <v>754866.67</v>
      </c>
    </row>
    <row r="58" spans="1:3" x14ac:dyDescent="0.35">
      <c r="A58" s="30" t="s">
        <v>511</v>
      </c>
      <c r="B58" s="31">
        <v>24416</v>
      </c>
      <c r="C58" s="31">
        <v>24415</v>
      </c>
    </row>
    <row r="59" spans="1:3" x14ac:dyDescent="0.35">
      <c r="A59" s="30" t="s">
        <v>462</v>
      </c>
      <c r="B59" s="31">
        <v>200211</v>
      </c>
      <c r="C59" s="31">
        <v>199212.79999999999</v>
      </c>
    </row>
    <row r="60" spans="1:3" x14ac:dyDescent="0.35">
      <c r="A60" s="30" t="s">
        <v>514</v>
      </c>
      <c r="B60" s="31">
        <v>989464</v>
      </c>
      <c r="C60" s="31">
        <v>978732.96</v>
      </c>
    </row>
    <row r="61" spans="1:3" x14ac:dyDescent="0.35">
      <c r="A61" s="30" t="s">
        <v>117</v>
      </c>
      <c r="B61" s="31">
        <v>2</v>
      </c>
      <c r="C61" s="31"/>
    </row>
    <row r="62" spans="1:3" x14ac:dyDescent="0.35">
      <c r="A62" s="30" t="s">
        <v>673</v>
      </c>
      <c r="B62" s="31">
        <v>132000</v>
      </c>
      <c r="C62" s="31">
        <v>115657.25</v>
      </c>
    </row>
    <row r="63" spans="1:3" x14ac:dyDescent="0.35">
      <c r="A63" s="30" t="s">
        <v>107</v>
      </c>
      <c r="B63" s="31">
        <v>90321638</v>
      </c>
      <c r="C63" s="31">
        <v>87858280.110000104</v>
      </c>
    </row>
    <row r="64" spans="1:3" x14ac:dyDescent="0.35">
      <c r="A64" s="30" t="s">
        <v>441</v>
      </c>
      <c r="B64" s="31">
        <v>8601200</v>
      </c>
      <c r="C64" s="31">
        <v>8389082.6799999997</v>
      </c>
    </row>
    <row r="65" spans="1:3" x14ac:dyDescent="0.35">
      <c r="A65" s="30" t="s">
        <v>697</v>
      </c>
      <c r="B65" s="31">
        <v>202594</v>
      </c>
      <c r="C65" s="31">
        <v>179593.48</v>
      </c>
    </row>
    <row r="66" spans="1:3" x14ac:dyDescent="0.35">
      <c r="A66" s="30" t="s">
        <v>47</v>
      </c>
      <c r="B66" s="31">
        <v>0</v>
      </c>
      <c r="C66" s="31"/>
    </row>
    <row r="67" spans="1:3" x14ac:dyDescent="0.35">
      <c r="A67" s="30" t="s">
        <v>483</v>
      </c>
      <c r="B67" s="31">
        <v>20000</v>
      </c>
      <c r="C67" s="31"/>
    </row>
    <row r="68" spans="1:3" x14ac:dyDescent="0.35">
      <c r="A68" s="30" t="s">
        <v>29</v>
      </c>
      <c r="B68" s="31">
        <v>1011386</v>
      </c>
      <c r="C68" s="31">
        <v>940387.68</v>
      </c>
    </row>
    <row r="69" spans="1:3" x14ac:dyDescent="0.35">
      <c r="A69" s="30" t="s">
        <v>546</v>
      </c>
      <c r="B69" s="31">
        <v>230662</v>
      </c>
      <c r="C69" s="31">
        <v>173597.04</v>
      </c>
    </row>
    <row r="70" spans="1:3" x14ac:dyDescent="0.35">
      <c r="A70" s="30" t="s">
        <v>450</v>
      </c>
      <c r="B70" s="31">
        <v>4498242</v>
      </c>
      <c r="C70" s="31">
        <v>4492418.5999999996</v>
      </c>
    </row>
    <row r="71" spans="1:3" x14ac:dyDescent="0.35">
      <c r="A71" s="30" t="s">
        <v>184</v>
      </c>
      <c r="B71" s="31">
        <v>749347</v>
      </c>
      <c r="C71" s="31">
        <v>680070.4</v>
      </c>
    </row>
    <row r="72" spans="1:3" x14ac:dyDescent="0.35">
      <c r="A72" s="30" t="s">
        <v>145</v>
      </c>
      <c r="B72" s="31">
        <v>906351</v>
      </c>
      <c r="C72" s="31">
        <v>850777.84000000008</v>
      </c>
    </row>
    <row r="73" spans="1:3" x14ac:dyDescent="0.35">
      <c r="A73" s="30" t="s">
        <v>148</v>
      </c>
      <c r="B73" s="31">
        <v>1086137</v>
      </c>
      <c r="C73" s="31">
        <v>1080902.23</v>
      </c>
    </row>
    <row r="74" spans="1:3" x14ac:dyDescent="0.35">
      <c r="A74" s="30" t="s">
        <v>136</v>
      </c>
      <c r="B74" s="31">
        <v>3731625</v>
      </c>
      <c r="C74" s="31">
        <v>3730765.75</v>
      </c>
    </row>
    <row r="75" spans="1:3" x14ac:dyDescent="0.35">
      <c r="A75" s="30" t="s">
        <v>73</v>
      </c>
      <c r="B75" s="31">
        <v>1972534</v>
      </c>
      <c r="C75" s="31">
        <v>1674017.67</v>
      </c>
    </row>
    <row r="76" spans="1:3" x14ac:dyDescent="0.35">
      <c r="A76" s="30" t="s">
        <v>139</v>
      </c>
      <c r="B76" s="31">
        <v>1826663</v>
      </c>
      <c r="C76" s="31">
        <v>1779883.6300000001</v>
      </c>
    </row>
    <row r="77" spans="1:3" x14ac:dyDescent="0.35">
      <c r="A77" s="30" t="s">
        <v>679</v>
      </c>
      <c r="B77" s="31">
        <v>77273746</v>
      </c>
      <c r="C77" s="31">
        <v>77248079.379999995</v>
      </c>
    </row>
    <row r="78" spans="1:3" x14ac:dyDescent="0.35">
      <c r="A78" s="30" t="s">
        <v>727</v>
      </c>
      <c r="B78" s="31">
        <v>12799362</v>
      </c>
      <c r="C78" s="31">
        <v>12789313.02</v>
      </c>
    </row>
    <row r="79" spans="1:3" x14ac:dyDescent="0.35">
      <c r="A79" s="30" t="s">
        <v>62</v>
      </c>
      <c r="B79" s="31">
        <v>288386</v>
      </c>
      <c r="C79" s="31">
        <v>245409.86</v>
      </c>
    </row>
    <row r="80" spans="1:3" x14ac:dyDescent="0.35">
      <c r="A80" s="30" t="s">
        <v>582</v>
      </c>
      <c r="B80" s="31">
        <v>2650814</v>
      </c>
      <c r="C80" s="31">
        <v>2617509.5099999998</v>
      </c>
    </row>
    <row r="81" spans="1:3" x14ac:dyDescent="0.35">
      <c r="A81" s="30" t="s">
        <v>193</v>
      </c>
      <c r="B81" s="31">
        <v>9262222</v>
      </c>
      <c r="C81" s="31">
        <v>7578119.8399999989</v>
      </c>
    </row>
    <row r="82" spans="1:3" x14ac:dyDescent="0.35">
      <c r="A82" s="30" t="s">
        <v>177</v>
      </c>
      <c r="B82" s="31">
        <v>228390</v>
      </c>
      <c r="C82" s="31">
        <v>95037</v>
      </c>
    </row>
    <row r="83" spans="1:3" x14ac:dyDescent="0.35">
      <c r="A83" s="30" t="s">
        <v>566</v>
      </c>
      <c r="B83" s="31">
        <v>1</v>
      </c>
      <c r="C83" s="31"/>
    </row>
    <row r="84" spans="1:3" x14ac:dyDescent="0.35">
      <c r="A84" s="30" t="s">
        <v>654</v>
      </c>
      <c r="B84" s="31">
        <v>172400</v>
      </c>
      <c r="C84" s="31">
        <v>160400</v>
      </c>
    </row>
    <row r="85" spans="1:3" x14ac:dyDescent="0.35">
      <c r="A85" s="30" t="s">
        <v>502</v>
      </c>
      <c r="B85" s="31">
        <v>5045799</v>
      </c>
      <c r="C85" s="31">
        <v>4190393.8099999996</v>
      </c>
    </row>
    <row r="86" spans="1:3" x14ac:dyDescent="0.35">
      <c r="A86" s="30" t="s">
        <v>882</v>
      </c>
      <c r="B86" s="31">
        <v>579850000</v>
      </c>
      <c r="C86" s="31">
        <v>560743682.48000014</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4"/>
  <sheetViews>
    <sheetView workbookViewId="0">
      <selection activeCell="C1" sqref="C1"/>
    </sheetView>
  </sheetViews>
  <sheetFormatPr defaultRowHeight="14.5" x14ac:dyDescent="0.35"/>
  <cols>
    <col min="1" max="1" width="60.7265625" bestFit="1" customWidth="1"/>
    <col min="2" max="2" width="15.26953125" bestFit="1" customWidth="1"/>
    <col min="3" max="3" width="14.7265625" bestFit="1" customWidth="1"/>
  </cols>
  <sheetData>
    <row r="3" spans="1:3" x14ac:dyDescent="0.35">
      <c r="A3" s="29" t="s">
        <v>881</v>
      </c>
      <c r="B3" t="s">
        <v>883</v>
      </c>
      <c r="C3" t="s">
        <v>884</v>
      </c>
    </row>
    <row r="4" spans="1:3" x14ac:dyDescent="0.35">
      <c r="A4" s="30" t="s">
        <v>827</v>
      </c>
      <c r="B4" s="31">
        <v>54851806</v>
      </c>
      <c r="C4" s="31">
        <v>53387582.539999999</v>
      </c>
    </row>
    <row r="5" spans="1:3" x14ac:dyDescent="0.35">
      <c r="A5" s="30" t="s">
        <v>840</v>
      </c>
      <c r="B5" s="31">
        <v>0</v>
      </c>
      <c r="C5" s="31">
        <v>0</v>
      </c>
    </row>
    <row r="6" spans="1:3" x14ac:dyDescent="0.35">
      <c r="A6" s="30" t="s">
        <v>801</v>
      </c>
      <c r="B6" s="31">
        <v>287360</v>
      </c>
      <c r="C6" s="31">
        <v>276111.31</v>
      </c>
    </row>
    <row r="7" spans="1:3" x14ac:dyDescent="0.35">
      <c r="A7" s="30" t="s">
        <v>811</v>
      </c>
      <c r="B7" s="31">
        <v>30304</v>
      </c>
      <c r="C7" s="31"/>
    </row>
    <row r="8" spans="1:3" x14ac:dyDescent="0.35">
      <c r="A8" s="30" t="s">
        <v>833</v>
      </c>
      <c r="B8" s="31">
        <v>6363883</v>
      </c>
      <c r="C8" s="31">
        <v>6361886.6699999999</v>
      </c>
    </row>
    <row r="9" spans="1:3" x14ac:dyDescent="0.35">
      <c r="A9" s="30" t="s">
        <v>804</v>
      </c>
      <c r="B9" s="31">
        <v>2453885</v>
      </c>
      <c r="C9" s="31">
        <v>2453879</v>
      </c>
    </row>
    <row r="10" spans="1:3" x14ac:dyDescent="0.35">
      <c r="A10" s="30" t="s">
        <v>852</v>
      </c>
      <c r="B10" s="31">
        <v>566744</v>
      </c>
      <c r="C10" s="31">
        <v>566741</v>
      </c>
    </row>
    <row r="11" spans="1:3" x14ac:dyDescent="0.35">
      <c r="A11" s="30" t="s">
        <v>846</v>
      </c>
      <c r="B11" s="31">
        <v>1999374</v>
      </c>
      <c r="C11" s="31">
        <v>1999372.61</v>
      </c>
    </row>
    <row r="12" spans="1:3" x14ac:dyDescent="0.35">
      <c r="A12" s="30" t="s">
        <v>849</v>
      </c>
      <c r="B12" s="31">
        <v>321321</v>
      </c>
      <c r="C12" s="31">
        <v>321320</v>
      </c>
    </row>
    <row r="13" spans="1:3" x14ac:dyDescent="0.35">
      <c r="A13" s="30" t="s">
        <v>170</v>
      </c>
      <c r="B13" s="31">
        <v>43426323</v>
      </c>
      <c r="C13" s="31">
        <v>38933278.390000001</v>
      </c>
    </row>
    <row r="14" spans="1:3" x14ac:dyDescent="0.35">
      <c r="A14" s="30" t="s">
        <v>882</v>
      </c>
      <c r="B14" s="31">
        <v>110301000</v>
      </c>
      <c r="C14" s="31">
        <v>104300171.52000001</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511"/>
  <sheetViews>
    <sheetView showGridLines="0" tabSelected="1" topLeftCell="C2" zoomScale="130" zoomScaleNormal="130" workbookViewId="0">
      <selection activeCell="J2" sqref="J2"/>
    </sheetView>
  </sheetViews>
  <sheetFormatPr defaultRowHeight="12" x14ac:dyDescent="0.3"/>
  <cols>
    <col min="1" max="1" width="8.08984375" style="42" bestFit="1" customWidth="1"/>
    <col min="2" max="2" width="12.08984375" style="42" bestFit="1" customWidth="1"/>
    <col min="3" max="3" width="8.81640625" style="42" bestFit="1" customWidth="1"/>
    <col min="4" max="4" width="22.36328125" style="42" bestFit="1" customWidth="1"/>
    <col min="5" max="5" width="32.90625" style="42" bestFit="1" customWidth="1"/>
    <col min="6" max="8" width="12.453125" style="42" bestFit="1" customWidth="1"/>
    <col min="9" max="9" width="12.81640625" style="43" bestFit="1" customWidth="1"/>
    <col min="10" max="10" width="12.81640625" style="42" bestFit="1" customWidth="1"/>
    <col min="11" max="11" width="11" style="42" bestFit="1" customWidth="1"/>
    <col min="12" max="12" width="32.08984375" style="42" bestFit="1" customWidth="1"/>
    <col min="13" max="13" width="32.453125" style="42" bestFit="1" customWidth="1"/>
    <col min="14" max="14" width="34.26953125" style="42" bestFit="1" customWidth="1"/>
    <col min="15" max="16384" width="8.7265625" style="42"/>
  </cols>
  <sheetData>
    <row r="2" spans="1:14" ht="36" x14ac:dyDescent="0.3">
      <c r="A2" s="44" t="s">
        <v>2</v>
      </c>
      <c r="B2" s="44" t="s">
        <v>3</v>
      </c>
      <c r="C2" s="44" t="s">
        <v>4</v>
      </c>
      <c r="D2" s="44" t="s">
        <v>5</v>
      </c>
      <c r="E2" s="44" t="s">
        <v>6</v>
      </c>
      <c r="F2" s="44" t="s">
        <v>7</v>
      </c>
      <c r="G2" s="44" t="s">
        <v>8</v>
      </c>
      <c r="H2" s="45" t="s">
        <v>9</v>
      </c>
      <c r="I2" s="46" t="s">
        <v>10</v>
      </c>
      <c r="J2" s="46" t="s">
        <v>11</v>
      </c>
      <c r="K2" s="46" t="s">
        <v>870</v>
      </c>
      <c r="L2" s="46" t="s">
        <v>869</v>
      </c>
    </row>
    <row r="3" spans="1:14" customFormat="1" ht="21" x14ac:dyDescent="0.35">
      <c r="A3" s="2">
        <v>8470110</v>
      </c>
      <c r="B3" s="2" t="s">
        <v>15</v>
      </c>
      <c r="C3" s="2" t="s">
        <v>16</v>
      </c>
      <c r="D3" s="2" t="s">
        <v>17</v>
      </c>
      <c r="E3" s="2" t="s">
        <v>18</v>
      </c>
      <c r="F3" s="3">
        <v>30000</v>
      </c>
      <c r="G3" s="3">
        <v>0</v>
      </c>
      <c r="H3" s="4"/>
      <c r="I3" s="17">
        <v>0</v>
      </c>
      <c r="J3" s="17">
        <v>0</v>
      </c>
      <c r="K3" s="18">
        <f>G3-H3-I3-J3</f>
        <v>0</v>
      </c>
      <c r="L3" s="19"/>
      <c r="M3" t="str">
        <f>VLOOKUP(A3,[1]Master!$C:$F,3,0)</f>
        <v xml:space="preserve">President's Office </v>
      </c>
      <c r="N3" t="str">
        <f>VLOOKUP(A3,[1]Master!$C:$F,4,0)</f>
        <v xml:space="preserve">President's Office </v>
      </c>
    </row>
    <row r="4" spans="1:14" customFormat="1" ht="21" x14ac:dyDescent="0.35">
      <c r="A4" s="2">
        <v>8470110</v>
      </c>
      <c r="B4" s="2" t="s">
        <v>15</v>
      </c>
      <c r="C4" s="2" t="s">
        <v>19</v>
      </c>
      <c r="D4" s="2" t="s">
        <v>20</v>
      </c>
      <c r="E4" s="2" t="s">
        <v>21</v>
      </c>
      <c r="F4" s="3">
        <v>3705121</v>
      </c>
      <c r="G4" s="3">
        <v>1</v>
      </c>
      <c r="H4" s="4"/>
      <c r="I4" s="17">
        <v>0</v>
      </c>
      <c r="J4" s="17">
        <v>0</v>
      </c>
      <c r="K4" s="18">
        <f t="shared" ref="K4:K67" si="0">G4-H4-I4-J4</f>
        <v>1</v>
      </c>
      <c r="L4" s="19"/>
      <c r="M4" t="str">
        <f>VLOOKUP(A4,[1]Master!$C:$F,3,0)</f>
        <v xml:space="preserve">President's Office </v>
      </c>
      <c r="N4" t="str">
        <f>VLOOKUP(A4,[1]Master!$C:$F,4,0)</f>
        <v xml:space="preserve">President's Office </v>
      </c>
    </row>
    <row r="5" spans="1:14" customFormat="1" ht="21" x14ac:dyDescent="0.35">
      <c r="A5" s="2">
        <v>8470110</v>
      </c>
      <c r="B5" s="2" t="s">
        <v>15</v>
      </c>
      <c r="C5" s="2" t="s">
        <v>22</v>
      </c>
      <c r="D5" s="2" t="s">
        <v>23</v>
      </c>
      <c r="E5" s="2" t="s">
        <v>24</v>
      </c>
      <c r="F5" s="3">
        <v>1500</v>
      </c>
      <c r="G5" s="3">
        <v>4500</v>
      </c>
      <c r="H5" s="4"/>
      <c r="I5" s="17">
        <v>0</v>
      </c>
      <c r="J5" s="17">
        <v>0</v>
      </c>
      <c r="K5" s="18">
        <f t="shared" si="0"/>
        <v>4500</v>
      </c>
      <c r="L5" s="19"/>
      <c r="M5" t="str">
        <f>VLOOKUP(A5,[1]Master!$C:$F,3,0)</f>
        <v xml:space="preserve">President's Office </v>
      </c>
      <c r="N5" t="str">
        <f>VLOOKUP(A5,[1]Master!$C:$F,4,0)</f>
        <v xml:space="preserve">President's Office </v>
      </c>
    </row>
    <row r="6" spans="1:14" customFormat="1" ht="21" x14ac:dyDescent="0.35">
      <c r="A6" s="2">
        <v>8470110</v>
      </c>
      <c r="B6" s="2" t="s">
        <v>15</v>
      </c>
      <c r="C6" s="2" t="s">
        <v>25</v>
      </c>
      <c r="D6" s="2" t="s">
        <v>26</v>
      </c>
      <c r="E6" s="2" t="s">
        <v>27</v>
      </c>
      <c r="F6" s="3">
        <v>200000</v>
      </c>
      <c r="G6" s="3">
        <v>2</v>
      </c>
      <c r="H6" s="4"/>
      <c r="I6" s="17">
        <v>0</v>
      </c>
      <c r="J6" s="17">
        <v>0</v>
      </c>
      <c r="K6" s="18">
        <f t="shared" si="0"/>
        <v>2</v>
      </c>
      <c r="L6" s="19"/>
      <c r="M6" t="str">
        <f>VLOOKUP(A6,[1]Master!$C:$F,3,0)</f>
        <v xml:space="preserve">President's Office </v>
      </c>
      <c r="N6" t="str">
        <f>VLOOKUP(A6,[1]Master!$C:$F,4,0)</f>
        <v xml:space="preserve">President's Office </v>
      </c>
    </row>
    <row r="7" spans="1:14" customFormat="1" ht="21" x14ac:dyDescent="0.35">
      <c r="A7" s="2">
        <v>8470110</v>
      </c>
      <c r="B7" s="2" t="s">
        <v>15</v>
      </c>
      <c r="C7" s="2" t="s">
        <v>28</v>
      </c>
      <c r="D7" s="2" t="s">
        <v>29</v>
      </c>
      <c r="E7" s="2" t="s">
        <v>30</v>
      </c>
      <c r="F7" s="3">
        <v>25000</v>
      </c>
      <c r="G7" s="3">
        <v>25000</v>
      </c>
      <c r="H7" s="4"/>
      <c r="I7" s="17">
        <v>0</v>
      </c>
      <c r="J7" s="17">
        <v>0</v>
      </c>
      <c r="K7" s="18">
        <f>G7-H7-I7-J7</f>
        <v>25000</v>
      </c>
      <c r="L7" s="19"/>
      <c r="M7" t="str">
        <f>VLOOKUP(A7,[1]Master!$C:$F,3,0)</f>
        <v xml:space="preserve">President's Office </v>
      </c>
      <c r="N7" t="str">
        <f>VLOOKUP(A7,[1]Master!$C:$F,4,0)</f>
        <v xml:space="preserve">President's Office </v>
      </c>
    </row>
    <row r="8" spans="1:14" customFormat="1" ht="31.5" x14ac:dyDescent="0.35">
      <c r="A8" s="2">
        <v>8470110</v>
      </c>
      <c r="B8" s="2" t="s">
        <v>15</v>
      </c>
      <c r="C8" s="2" t="s">
        <v>31</v>
      </c>
      <c r="D8" s="2" t="s">
        <v>32</v>
      </c>
      <c r="E8" s="2" t="s">
        <v>33</v>
      </c>
      <c r="F8" s="3">
        <v>300000</v>
      </c>
      <c r="G8" s="3">
        <v>56431</v>
      </c>
      <c r="H8" s="3">
        <v>52919.75</v>
      </c>
      <c r="I8" s="17">
        <v>0</v>
      </c>
      <c r="J8" s="17">
        <v>0</v>
      </c>
      <c r="K8" s="18">
        <f t="shared" si="0"/>
        <v>3511.25</v>
      </c>
      <c r="L8" s="19"/>
      <c r="M8" t="str">
        <f>VLOOKUP(A8,[1]Master!$C:$F,3,0)</f>
        <v xml:space="preserve">President's Office </v>
      </c>
      <c r="N8" t="str">
        <f>VLOOKUP(A8,[1]Master!$C:$F,4,0)</f>
        <v xml:space="preserve">President's Office </v>
      </c>
    </row>
    <row r="9" spans="1:14" customFormat="1" ht="31.5" x14ac:dyDescent="0.35">
      <c r="A9" s="2">
        <v>8470110</v>
      </c>
      <c r="B9" s="2" t="s">
        <v>15</v>
      </c>
      <c r="C9" s="2" t="s">
        <v>34</v>
      </c>
      <c r="D9" s="2" t="s">
        <v>35</v>
      </c>
      <c r="E9" s="2" t="s">
        <v>36</v>
      </c>
      <c r="F9" s="3">
        <v>300000</v>
      </c>
      <c r="G9" s="3">
        <v>23625</v>
      </c>
      <c r="H9" s="3">
        <v>22225</v>
      </c>
      <c r="I9" s="17">
        <v>0</v>
      </c>
      <c r="J9" s="17">
        <v>0</v>
      </c>
      <c r="K9" s="18">
        <f t="shared" si="0"/>
        <v>1400</v>
      </c>
      <c r="L9" s="19"/>
      <c r="M9" t="str">
        <f>VLOOKUP(A9,[1]Master!$C:$F,3,0)</f>
        <v xml:space="preserve">President's Office </v>
      </c>
      <c r="N9" t="str">
        <f>VLOOKUP(A9,[1]Master!$C:$F,4,0)</f>
        <v xml:space="preserve">President's Office </v>
      </c>
    </row>
    <row r="10" spans="1:14" customFormat="1" ht="21" x14ac:dyDescent="0.35">
      <c r="A10" s="2">
        <v>8470110</v>
      </c>
      <c r="B10" s="2" t="s">
        <v>15</v>
      </c>
      <c r="C10" s="2" t="s">
        <v>37</v>
      </c>
      <c r="D10" s="2" t="s">
        <v>38</v>
      </c>
      <c r="E10" s="2" t="s">
        <v>39</v>
      </c>
      <c r="F10" s="3">
        <v>10000</v>
      </c>
      <c r="G10" s="3">
        <v>19825</v>
      </c>
      <c r="H10" s="3">
        <v>14286.25</v>
      </c>
      <c r="I10" s="17">
        <v>0</v>
      </c>
      <c r="J10" s="17">
        <v>0</v>
      </c>
      <c r="K10" s="18">
        <f t="shared" si="0"/>
        <v>5538.75</v>
      </c>
      <c r="L10" s="19"/>
      <c r="M10" t="str">
        <f>VLOOKUP(A10,[1]Master!$C:$F,3,0)</f>
        <v xml:space="preserve">President's Office </v>
      </c>
      <c r="N10" t="str">
        <f>VLOOKUP(A10,[1]Master!$C:$F,4,0)</f>
        <v xml:space="preserve">President's Office </v>
      </c>
    </row>
    <row r="11" spans="1:14" customFormat="1" ht="21" x14ac:dyDescent="0.35">
      <c r="A11" s="2">
        <v>8470110</v>
      </c>
      <c r="B11" s="2" t="s">
        <v>15</v>
      </c>
      <c r="C11" s="2" t="s">
        <v>40</v>
      </c>
      <c r="D11" s="2" t="s">
        <v>41</v>
      </c>
      <c r="E11" s="2" t="s">
        <v>42</v>
      </c>
      <c r="F11" s="3">
        <v>518388</v>
      </c>
      <c r="G11" s="3">
        <v>42241</v>
      </c>
      <c r="H11" s="3">
        <v>42239.5</v>
      </c>
      <c r="I11" s="17">
        <v>0</v>
      </c>
      <c r="J11" s="17">
        <v>0</v>
      </c>
      <c r="K11" s="18">
        <f t="shared" si="0"/>
        <v>1.5</v>
      </c>
      <c r="L11" s="19"/>
      <c r="M11" t="str">
        <f>VLOOKUP(A11,[1]Master!$C:$F,3,0)</f>
        <v xml:space="preserve">President's Office </v>
      </c>
      <c r="N11" t="str">
        <f>VLOOKUP(A11,[1]Master!$C:$F,4,0)</f>
        <v xml:space="preserve">President's Office </v>
      </c>
    </row>
    <row r="12" spans="1:14" customFormat="1" ht="21" x14ac:dyDescent="0.35">
      <c r="A12" s="2">
        <v>8470110</v>
      </c>
      <c r="B12" s="2" t="s">
        <v>15</v>
      </c>
      <c r="C12" s="2" t="s">
        <v>43</v>
      </c>
      <c r="D12" s="2" t="s">
        <v>44</v>
      </c>
      <c r="E12" s="2" t="s">
        <v>45</v>
      </c>
      <c r="F12" s="3">
        <v>1000000</v>
      </c>
      <c r="G12" s="3">
        <v>380463</v>
      </c>
      <c r="H12" s="3">
        <v>379940.5</v>
      </c>
      <c r="I12" s="17">
        <v>0</v>
      </c>
      <c r="J12" s="17">
        <v>0</v>
      </c>
      <c r="K12" s="18">
        <f t="shared" si="0"/>
        <v>522.5</v>
      </c>
      <c r="L12" s="19"/>
      <c r="M12" t="str">
        <f>VLOOKUP(A12,[1]Master!$C:$F,3,0)</f>
        <v xml:space="preserve">President's Office </v>
      </c>
      <c r="N12" t="str">
        <f>VLOOKUP(A12,[1]Master!$C:$F,4,0)</f>
        <v xml:space="preserve">President's Office </v>
      </c>
    </row>
    <row r="13" spans="1:14" customFormat="1" ht="21" x14ac:dyDescent="0.35">
      <c r="A13" s="2">
        <v>8470110</v>
      </c>
      <c r="B13" s="2" t="s">
        <v>15</v>
      </c>
      <c r="C13" s="2" t="s">
        <v>46</v>
      </c>
      <c r="D13" s="2" t="s">
        <v>47</v>
      </c>
      <c r="E13" s="2" t="s">
        <v>48</v>
      </c>
      <c r="F13" s="3">
        <v>50000</v>
      </c>
      <c r="G13" s="3">
        <v>0</v>
      </c>
      <c r="H13" s="4"/>
      <c r="I13" s="17">
        <v>0</v>
      </c>
      <c r="J13" s="17">
        <v>0</v>
      </c>
      <c r="K13" s="18">
        <f t="shared" si="0"/>
        <v>0</v>
      </c>
      <c r="L13" s="19"/>
      <c r="M13" t="str">
        <f>VLOOKUP(A13,[1]Master!$C:$F,3,0)</f>
        <v xml:space="preserve">President's Office </v>
      </c>
      <c r="N13" t="str">
        <f>VLOOKUP(A13,[1]Master!$C:$F,4,0)</f>
        <v xml:space="preserve">President's Office </v>
      </c>
    </row>
    <row r="14" spans="1:14" customFormat="1" ht="21" x14ac:dyDescent="0.35">
      <c r="A14" s="2">
        <v>8470110</v>
      </c>
      <c r="B14" s="2" t="s">
        <v>15</v>
      </c>
      <c r="C14" s="2" t="s">
        <v>49</v>
      </c>
      <c r="D14" s="2" t="s">
        <v>50</v>
      </c>
      <c r="E14" s="2" t="s">
        <v>51</v>
      </c>
      <c r="F14" s="3">
        <v>100000</v>
      </c>
      <c r="G14" s="3">
        <v>745</v>
      </c>
      <c r="H14" s="4"/>
      <c r="I14" s="17">
        <v>0</v>
      </c>
      <c r="J14" s="17">
        <v>0</v>
      </c>
      <c r="K14" s="18">
        <f t="shared" si="0"/>
        <v>745</v>
      </c>
      <c r="L14" s="19"/>
      <c r="M14" t="str">
        <f>VLOOKUP(A14,[1]Master!$C:$F,3,0)</f>
        <v xml:space="preserve">President's Office </v>
      </c>
      <c r="N14" t="str">
        <f>VLOOKUP(A14,[1]Master!$C:$F,4,0)</f>
        <v xml:space="preserve">President's Office </v>
      </c>
    </row>
    <row r="15" spans="1:14" customFormat="1" ht="14.5" x14ac:dyDescent="0.35">
      <c r="A15" s="2">
        <v>8470120</v>
      </c>
      <c r="B15" s="2" t="s">
        <v>53</v>
      </c>
      <c r="C15" s="2" t="s">
        <v>54</v>
      </c>
      <c r="D15" s="2" t="s">
        <v>55</v>
      </c>
      <c r="E15" s="2" t="s">
        <v>56</v>
      </c>
      <c r="F15" s="3">
        <v>500000</v>
      </c>
      <c r="G15" s="3">
        <v>550028</v>
      </c>
      <c r="H15" s="3">
        <v>307899.53999999998</v>
      </c>
      <c r="I15" s="17">
        <v>0</v>
      </c>
      <c r="J15" s="17">
        <v>242128.46</v>
      </c>
      <c r="K15" s="18">
        <f>G15-H15-I15-J15</f>
        <v>0</v>
      </c>
      <c r="L15" s="19"/>
      <c r="M15" t="str">
        <f>VLOOKUP(A15,[1]Master!$C:$F,3,0)</f>
        <v xml:space="preserve">President's Office </v>
      </c>
      <c r="N15" t="str">
        <f>VLOOKUP(A15,[1]Master!$C:$F,4,0)</f>
        <v xml:space="preserve">President's Office </v>
      </c>
    </row>
    <row r="16" spans="1:14" customFormat="1" ht="31.5" x14ac:dyDescent="0.35">
      <c r="A16" s="2">
        <v>8470130</v>
      </c>
      <c r="B16" s="2" t="s">
        <v>58</v>
      </c>
      <c r="C16" s="2" t="s">
        <v>25</v>
      </c>
      <c r="D16" s="2" t="s">
        <v>26</v>
      </c>
      <c r="E16" s="2" t="s">
        <v>59</v>
      </c>
      <c r="F16" s="3">
        <v>720000</v>
      </c>
      <c r="G16" s="3">
        <v>10000</v>
      </c>
      <c r="H16" s="3">
        <v>10000</v>
      </c>
      <c r="I16" s="17">
        <v>0</v>
      </c>
      <c r="J16" s="17">
        <v>0</v>
      </c>
      <c r="K16" s="18">
        <f t="shared" si="0"/>
        <v>0</v>
      </c>
      <c r="L16" s="19"/>
      <c r="M16" t="str">
        <f>VLOOKUP(A16,[1]Master!$C:$F,3,0)</f>
        <v>Executive Vice President Office</v>
      </c>
      <c r="N16" t="str">
        <f>VLOOKUP(A16,[1]Master!$C:$F,4,0)</f>
        <v>Executive Vice President Office</v>
      </c>
    </row>
    <row r="17" spans="1:14" customFormat="1" ht="31.5" x14ac:dyDescent="0.35">
      <c r="A17" s="2">
        <v>8470130</v>
      </c>
      <c r="B17" s="2" t="s">
        <v>58</v>
      </c>
      <c r="C17" s="2" t="s">
        <v>40</v>
      </c>
      <c r="D17" s="2" t="s">
        <v>41</v>
      </c>
      <c r="E17" s="2" t="s">
        <v>60</v>
      </c>
      <c r="F17" s="3">
        <v>735000</v>
      </c>
      <c r="G17" s="3">
        <v>14694</v>
      </c>
      <c r="H17" s="4"/>
      <c r="I17" s="17">
        <v>14692</v>
      </c>
      <c r="J17" s="17">
        <v>0</v>
      </c>
      <c r="K17" s="18">
        <f t="shared" si="0"/>
        <v>2</v>
      </c>
      <c r="L17" s="19"/>
      <c r="M17" t="str">
        <f>VLOOKUP(A17,[1]Master!$C:$F,3,0)</f>
        <v>Executive Vice President Office</v>
      </c>
      <c r="N17" t="str">
        <f>VLOOKUP(A17,[1]Master!$C:$F,4,0)</f>
        <v>Executive Vice President Office</v>
      </c>
    </row>
    <row r="18" spans="1:14" customFormat="1" ht="31.5" x14ac:dyDescent="0.35">
      <c r="A18" s="2">
        <v>8470130</v>
      </c>
      <c r="B18" s="2" t="s">
        <v>58</v>
      </c>
      <c r="C18" s="2" t="s">
        <v>61</v>
      </c>
      <c r="D18" s="2" t="s">
        <v>62</v>
      </c>
      <c r="E18" s="2" t="s">
        <v>63</v>
      </c>
      <c r="F18" s="3">
        <v>0</v>
      </c>
      <c r="G18" s="3">
        <v>115000</v>
      </c>
      <c r="H18" s="3">
        <v>114759</v>
      </c>
      <c r="I18" s="17">
        <v>0</v>
      </c>
      <c r="J18" s="17">
        <v>0</v>
      </c>
      <c r="K18" s="18">
        <f t="shared" si="0"/>
        <v>241</v>
      </c>
      <c r="L18" s="19"/>
      <c r="M18" t="str">
        <f>VLOOKUP(A18,[1]Master!$C:$F,3,0)</f>
        <v>Executive Vice President Office</v>
      </c>
      <c r="N18" t="str">
        <f>VLOOKUP(A18,[1]Master!$C:$F,4,0)</f>
        <v>Executive Vice President Office</v>
      </c>
    </row>
    <row r="19" spans="1:14" customFormat="1" ht="31.5" x14ac:dyDescent="0.35">
      <c r="A19" s="2">
        <v>8470130</v>
      </c>
      <c r="B19" s="2" t="s">
        <v>58</v>
      </c>
      <c r="C19" s="2" t="s">
        <v>43</v>
      </c>
      <c r="D19" s="2" t="s">
        <v>44</v>
      </c>
      <c r="E19" s="2" t="s">
        <v>64</v>
      </c>
      <c r="F19" s="3">
        <v>180000</v>
      </c>
      <c r="G19" s="3">
        <v>13533</v>
      </c>
      <c r="H19" s="3">
        <v>13530.95</v>
      </c>
      <c r="I19" s="17">
        <v>0</v>
      </c>
      <c r="J19" s="17">
        <v>0</v>
      </c>
      <c r="K19" s="18">
        <f t="shared" si="0"/>
        <v>2.0499999999992724</v>
      </c>
      <c r="L19" s="19"/>
      <c r="M19" t="str">
        <f>VLOOKUP(A19,[1]Master!$C:$F,3,0)</f>
        <v>Executive Vice President Office</v>
      </c>
      <c r="N19" t="str">
        <f>VLOOKUP(A19,[1]Master!$C:$F,4,0)</f>
        <v>Executive Vice President Office</v>
      </c>
    </row>
    <row r="20" spans="1:14" customFormat="1" ht="21" x14ac:dyDescent="0.35">
      <c r="A20" s="2">
        <v>8470140</v>
      </c>
      <c r="B20" s="2" t="s">
        <v>66</v>
      </c>
      <c r="C20" s="2" t="s">
        <v>67</v>
      </c>
      <c r="D20" s="2" t="s">
        <v>68</v>
      </c>
      <c r="E20" s="2" t="s">
        <v>69</v>
      </c>
      <c r="F20" s="3">
        <v>4578464</v>
      </c>
      <c r="G20" s="3">
        <v>5016966</v>
      </c>
      <c r="H20" s="3">
        <v>4356718.0999999996</v>
      </c>
      <c r="I20" s="17">
        <v>1000433.36</v>
      </c>
      <c r="J20" s="17">
        <v>680342.45</v>
      </c>
      <c r="K20" s="18">
        <f>G20-H20-I20-J20</f>
        <v>-1020527.9099999996</v>
      </c>
      <c r="L20" s="19"/>
      <c r="M20" t="str">
        <f>VLOOKUP(A20,[1]Master!$C:$F,3,0)</f>
        <v>Executive Vice President Office</v>
      </c>
      <c r="N20" t="str">
        <f>VLOOKUP(A20,[1]Master!$C:$F,4,0)</f>
        <v>Executive Vice President Office</v>
      </c>
    </row>
    <row r="21" spans="1:14" customFormat="1" ht="31.5" x14ac:dyDescent="0.35">
      <c r="A21" s="2">
        <v>8470140</v>
      </c>
      <c r="B21" s="2" t="s">
        <v>66</v>
      </c>
      <c r="C21" s="2" t="s">
        <v>31</v>
      </c>
      <c r="D21" s="2" t="s">
        <v>32</v>
      </c>
      <c r="E21" s="2" t="s">
        <v>70</v>
      </c>
      <c r="F21" s="3">
        <v>5425358</v>
      </c>
      <c r="G21" s="3">
        <v>6769916</v>
      </c>
      <c r="H21" s="3">
        <v>6768014.9100000001</v>
      </c>
      <c r="I21" s="17">
        <v>423600</v>
      </c>
      <c r="J21" s="17">
        <v>9620.3299999999599</v>
      </c>
      <c r="K21" s="18">
        <f>G21-H21-I21-J21</f>
        <v>-431319.24000000011</v>
      </c>
      <c r="L21" s="22"/>
      <c r="M21" t="str">
        <f>VLOOKUP(A21,[1]Master!$C:$F,3,0)</f>
        <v>Executive Vice President Office</v>
      </c>
      <c r="N21" t="str">
        <f>VLOOKUP(A21,[1]Master!$C:$F,4,0)</f>
        <v>Executive Vice President Office</v>
      </c>
    </row>
    <row r="22" spans="1:14" customFormat="1" ht="31.5" x14ac:dyDescent="0.35">
      <c r="A22" s="2">
        <v>8470140</v>
      </c>
      <c r="B22" s="2" t="s">
        <v>66</v>
      </c>
      <c r="C22" s="2" t="s">
        <v>34</v>
      </c>
      <c r="D22" s="2" t="s">
        <v>35</v>
      </c>
      <c r="E22" s="2" t="s">
        <v>71</v>
      </c>
      <c r="F22" s="3">
        <v>791955</v>
      </c>
      <c r="G22" s="3">
        <v>59402</v>
      </c>
      <c r="H22" s="3">
        <v>64327.17</v>
      </c>
      <c r="I22" s="17">
        <v>0</v>
      </c>
      <c r="J22" s="17">
        <v>0</v>
      </c>
      <c r="K22" s="18">
        <f>G22-H22-I22-J22</f>
        <v>-4925.1699999999983</v>
      </c>
      <c r="L22" s="19"/>
      <c r="M22" t="str">
        <f>VLOOKUP(A22,[1]Master!$C:$F,3,0)</f>
        <v>Executive Vice President Office</v>
      </c>
      <c r="N22" t="str">
        <f>VLOOKUP(A22,[1]Master!$C:$F,4,0)</f>
        <v>Executive Vice President Office</v>
      </c>
    </row>
    <row r="23" spans="1:14" customFormat="1" ht="21" x14ac:dyDescent="0.35">
      <c r="A23" s="2">
        <v>8470140</v>
      </c>
      <c r="B23" s="2" t="s">
        <v>66</v>
      </c>
      <c r="C23" s="2" t="s">
        <v>72</v>
      </c>
      <c r="D23" s="2" t="s">
        <v>73</v>
      </c>
      <c r="E23" s="2" t="s">
        <v>74</v>
      </c>
      <c r="F23" s="3">
        <v>0</v>
      </c>
      <c r="G23" s="3">
        <v>403664</v>
      </c>
      <c r="H23" s="3">
        <v>154662.9</v>
      </c>
      <c r="I23" s="17">
        <v>249000</v>
      </c>
      <c r="J23" s="17">
        <v>0</v>
      </c>
      <c r="K23" s="18">
        <f t="shared" si="0"/>
        <v>1.1000000000058208</v>
      </c>
      <c r="L23" s="19"/>
      <c r="M23" t="str">
        <f>VLOOKUP(A23,[1]Master!$C:$F,3,0)</f>
        <v>Executive Vice President Office</v>
      </c>
      <c r="N23" t="str">
        <f>VLOOKUP(A23,[1]Master!$C:$F,4,0)</f>
        <v>Executive Vice President Office</v>
      </c>
    </row>
    <row r="24" spans="1:14" customFormat="1" ht="21" x14ac:dyDescent="0.35">
      <c r="A24" s="2">
        <v>8470140</v>
      </c>
      <c r="B24" s="2" t="s">
        <v>66</v>
      </c>
      <c r="C24" s="2" t="s">
        <v>75</v>
      </c>
      <c r="D24" s="2" t="s">
        <v>76</v>
      </c>
      <c r="E24" s="2" t="s">
        <v>77</v>
      </c>
      <c r="F24" s="3">
        <v>1157850</v>
      </c>
      <c r="G24" s="3">
        <v>946677</v>
      </c>
      <c r="H24" s="3">
        <v>496024.34</v>
      </c>
      <c r="I24" s="17">
        <v>0</v>
      </c>
      <c r="J24" s="17">
        <v>432001.91</v>
      </c>
      <c r="K24" s="18">
        <f t="shared" si="0"/>
        <v>18650.75</v>
      </c>
      <c r="L24" s="19"/>
      <c r="M24" t="str">
        <f>VLOOKUP(A24,[1]Master!$C:$F,3,0)</f>
        <v>Executive Vice President Office</v>
      </c>
      <c r="N24" t="str">
        <f>VLOOKUP(A24,[1]Master!$C:$F,4,0)</f>
        <v>Executive Vice President Office</v>
      </c>
    </row>
    <row r="25" spans="1:14" customFormat="1" ht="21" x14ac:dyDescent="0.35">
      <c r="A25" s="2">
        <v>8470140</v>
      </c>
      <c r="B25" s="2" t="s">
        <v>66</v>
      </c>
      <c r="C25" s="2" t="s">
        <v>78</v>
      </c>
      <c r="D25" s="2" t="s">
        <v>79</v>
      </c>
      <c r="E25" s="2" t="s">
        <v>80</v>
      </c>
      <c r="F25" s="3">
        <v>750000</v>
      </c>
      <c r="G25" s="3">
        <v>23654</v>
      </c>
      <c r="H25" s="3">
        <v>23653.37</v>
      </c>
      <c r="I25" s="17">
        <v>0</v>
      </c>
      <c r="J25" s="17">
        <v>0</v>
      </c>
      <c r="K25" s="18">
        <f t="shared" si="0"/>
        <v>0.63000000000101863</v>
      </c>
      <c r="L25" s="19"/>
      <c r="M25" t="str">
        <f>VLOOKUP(A25,[1]Master!$C:$F,3,0)</f>
        <v>Executive Vice President Office</v>
      </c>
      <c r="N25" t="str">
        <f>VLOOKUP(A25,[1]Master!$C:$F,4,0)</f>
        <v>Executive Vice President Office</v>
      </c>
    </row>
    <row r="26" spans="1:14" customFormat="1" ht="21" x14ac:dyDescent="0.35">
      <c r="A26" s="2">
        <v>8470140</v>
      </c>
      <c r="B26" s="2" t="s">
        <v>66</v>
      </c>
      <c r="C26" s="2" t="s">
        <v>49</v>
      </c>
      <c r="D26" s="2" t="s">
        <v>50</v>
      </c>
      <c r="E26" s="2" t="s">
        <v>81</v>
      </c>
      <c r="F26" s="3">
        <v>998000</v>
      </c>
      <c r="G26" s="3">
        <v>47145</v>
      </c>
      <c r="H26" s="3">
        <v>45999.01</v>
      </c>
      <c r="I26" s="17">
        <v>0</v>
      </c>
      <c r="J26" s="17">
        <v>0</v>
      </c>
      <c r="K26" s="18">
        <f t="shared" si="0"/>
        <v>1145.989999999998</v>
      </c>
      <c r="L26" s="19"/>
      <c r="M26" t="str">
        <f>VLOOKUP(A26,[1]Master!$C:$F,3,0)</f>
        <v>Executive Vice President Office</v>
      </c>
      <c r="N26" t="str">
        <f>VLOOKUP(A26,[1]Master!$C:$F,4,0)</f>
        <v>Executive Vice President Office</v>
      </c>
    </row>
    <row r="27" spans="1:14" customFormat="1" ht="21" x14ac:dyDescent="0.35">
      <c r="A27" s="2">
        <v>8470140</v>
      </c>
      <c r="B27" s="2" t="s">
        <v>66</v>
      </c>
      <c r="C27" s="2" t="s">
        <v>82</v>
      </c>
      <c r="D27" s="2" t="s">
        <v>83</v>
      </c>
      <c r="E27" s="2" t="s">
        <v>84</v>
      </c>
      <c r="F27" s="3">
        <v>10000</v>
      </c>
      <c r="G27" s="3">
        <v>1</v>
      </c>
      <c r="H27" s="4"/>
      <c r="I27" s="17">
        <v>0</v>
      </c>
      <c r="J27" s="17">
        <v>0</v>
      </c>
      <c r="K27" s="18">
        <f t="shared" si="0"/>
        <v>1</v>
      </c>
      <c r="L27" s="19"/>
      <c r="M27" t="str">
        <f>VLOOKUP(A27,[1]Master!$C:$F,3,0)</f>
        <v>Executive Vice President Office</v>
      </c>
      <c r="N27" t="str">
        <f>VLOOKUP(A27,[1]Master!$C:$F,4,0)</f>
        <v>Executive Vice President Office</v>
      </c>
    </row>
    <row r="28" spans="1:14" customFormat="1" ht="21" x14ac:dyDescent="0.35">
      <c r="A28" s="2">
        <v>8470140</v>
      </c>
      <c r="B28" s="2" t="s">
        <v>66</v>
      </c>
      <c r="C28" s="2" t="s">
        <v>85</v>
      </c>
      <c r="D28" s="2" t="s">
        <v>86</v>
      </c>
      <c r="E28" s="2" t="s">
        <v>87</v>
      </c>
      <c r="F28" s="3">
        <v>135000</v>
      </c>
      <c r="G28" s="3">
        <v>43812</v>
      </c>
      <c r="H28" s="3">
        <v>43812</v>
      </c>
      <c r="I28" s="17">
        <v>0</v>
      </c>
      <c r="J28" s="17">
        <v>0</v>
      </c>
      <c r="K28" s="18">
        <f t="shared" si="0"/>
        <v>0</v>
      </c>
      <c r="L28" s="19"/>
      <c r="M28" t="str">
        <f>VLOOKUP(A28,[1]Master!$C:$F,3,0)</f>
        <v>Executive Vice President Office</v>
      </c>
      <c r="N28" t="str">
        <f>VLOOKUP(A28,[1]Master!$C:$F,4,0)</f>
        <v>Executive Vice President Office</v>
      </c>
    </row>
    <row r="29" spans="1:14" customFormat="1" ht="21" x14ac:dyDescent="0.35">
      <c r="A29" s="2">
        <v>8470150</v>
      </c>
      <c r="B29" s="2" t="s">
        <v>89</v>
      </c>
      <c r="C29" s="2" t="s">
        <v>22</v>
      </c>
      <c r="D29" s="2" t="s">
        <v>23</v>
      </c>
      <c r="E29" s="2" t="s">
        <v>90</v>
      </c>
      <c r="F29" s="3">
        <v>0</v>
      </c>
      <c r="G29" s="3">
        <v>33694</v>
      </c>
      <c r="H29" s="3">
        <v>33691.82</v>
      </c>
      <c r="I29" s="17">
        <v>0</v>
      </c>
      <c r="J29" s="17">
        <v>0</v>
      </c>
      <c r="K29" s="18">
        <f t="shared" si="0"/>
        <v>2.180000000000291</v>
      </c>
      <c r="L29" s="19"/>
      <c r="M29" t="str">
        <f>VLOOKUP(A29,[1]Master!$C:$F,3,0)</f>
        <v xml:space="preserve">President's Office </v>
      </c>
      <c r="N29" t="str">
        <f>VLOOKUP(A29,[1]Master!$C:$F,4,0)</f>
        <v xml:space="preserve">President's Office </v>
      </c>
    </row>
    <row r="30" spans="1:14" customFormat="1" ht="31.5" x14ac:dyDescent="0.35">
      <c r="A30" s="2">
        <v>8470160</v>
      </c>
      <c r="B30" s="2" t="s">
        <v>92</v>
      </c>
      <c r="C30" s="2" t="s">
        <v>43</v>
      </c>
      <c r="D30" s="2" t="s">
        <v>44</v>
      </c>
      <c r="E30" s="2" t="s">
        <v>93</v>
      </c>
      <c r="F30" s="3">
        <v>0</v>
      </c>
      <c r="G30" s="3">
        <v>37592</v>
      </c>
      <c r="H30" s="3">
        <v>37589.800000000003</v>
      </c>
      <c r="I30" s="17">
        <v>0</v>
      </c>
      <c r="J30" s="17">
        <v>0</v>
      </c>
      <c r="K30" s="18">
        <f t="shared" si="0"/>
        <v>2.1999999999970896</v>
      </c>
      <c r="L30" s="19"/>
      <c r="M30" t="str">
        <f>VLOOKUP(A30,[1]Master!$C:$F,3,0)</f>
        <v>SVP/ Support Services Office</v>
      </c>
      <c r="N30" t="str">
        <f>VLOOKUP(A30,[1]Master!$C:$F,4,0)</f>
        <v>SVP/ Support Services Office</v>
      </c>
    </row>
    <row r="31" spans="1:14" customFormat="1" ht="63" x14ac:dyDescent="0.35">
      <c r="A31" s="2">
        <v>8470210</v>
      </c>
      <c r="B31" s="2" t="s">
        <v>95</v>
      </c>
      <c r="C31" s="2" t="s">
        <v>19</v>
      </c>
      <c r="D31" s="2" t="s">
        <v>20</v>
      </c>
      <c r="E31" s="2" t="s">
        <v>96</v>
      </c>
      <c r="F31" s="3">
        <v>0</v>
      </c>
      <c r="G31" s="3">
        <v>14169</v>
      </c>
      <c r="H31" s="4"/>
      <c r="I31" s="17">
        <v>0</v>
      </c>
      <c r="J31" s="17">
        <v>0</v>
      </c>
      <c r="K31" s="18">
        <f t="shared" si="0"/>
        <v>14169</v>
      </c>
      <c r="L31" s="19"/>
      <c r="M31" s="62" t="e">
        <f>VLOOKUP(A31,[1]Master!$C:$F,3,0)</f>
        <v>#N/A</v>
      </c>
      <c r="N31" t="e">
        <f>VLOOKUP(A31,[1]Master!$C:$F,4,0)</f>
        <v>#N/A</v>
      </c>
    </row>
    <row r="32" spans="1:14" customFormat="1" ht="63" x14ac:dyDescent="0.35">
      <c r="A32" s="2">
        <v>8470210</v>
      </c>
      <c r="B32" s="2" t="s">
        <v>95</v>
      </c>
      <c r="C32" s="2" t="s">
        <v>97</v>
      </c>
      <c r="D32" s="2" t="s">
        <v>98</v>
      </c>
      <c r="E32" s="2" t="s">
        <v>99</v>
      </c>
      <c r="F32" s="3">
        <v>0</v>
      </c>
      <c r="G32" s="3">
        <v>0</v>
      </c>
      <c r="H32" s="4"/>
      <c r="I32" s="17">
        <v>0</v>
      </c>
      <c r="J32" s="17">
        <v>0</v>
      </c>
      <c r="K32" s="18">
        <f t="shared" si="0"/>
        <v>0</v>
      </c>
      <c r="L32" s="19"/>
      <c r="M32" s="62" t="e">
        <f>VLOOKUP(A32,[1]Master!$C:$F,3,0)</f>
        <v>#N/A</v>
      </c>
      <c r="N32" t="e">
        <f>VLOOKUP(A32,[1]Master!$C:$F,4,0)</f>
        <v>#N/A</v>
      </c>
    </row>
    <row r="33" spans="1:14" customFormat="1" ht="63" x14ac:dyDescent="0.35">
      <c r="A33" s="2">
        <v>8470210</v>
      </c>
      <c r="B33" s="2" t="s">
        <v>95</v>
      </c>
      <c r="C33" s="2" t="s">
        <v>78</v>
      </c>
      <c r="D33" s="2" t="s">
        <v>79</v>
      </c>
      <c r="E33" s="2" t="s">
        <v>100</v>
      </c>
      <c r="F33" s="3">
        <v>0</v>
      </c>
      <c r="G33" s="3">
        <v>331</v>
      </c>
      <c r="H33" s="4"/>
      <c r="I33" s="17">
        <v>0</v>
      </c>
      <c r="J33" s="17">
        <v>0</v>
      </c>
      <c r="K33" s="18">
        <f t="shared" si="0"/>
        <v>331</v>
      </c>
      <c r="L33" s="19"/>
      <c r="M33" s="62" t="e">
        <f>VLOOKUP(A33,[1]Master!$C:$F,3,0)</f>
        <v>#N/A</v>
      </c>
      <c r="N33" t="e">
        <f>VLOOKUP(A33,[1]Master!$C:$F,4,0)</f>
        <v>#N/A</v>
      </c>
    </row>
    <row r="34" spans="1:14" customFormat="1" ht="63" x14ac:dyDescent="0.35">
      <c r="A34" s="2">
        <v>8470210</v>
      </c>
      <c r="B34" s="2" t="s">
        <v>95</v>
      </c>
      <c r="C34" s="2" t="s">
        <v>43</v>
      </c>
      <c r="D34" s="2" t="s">
        <v>44</v>
      </c>
      <c r="E34" s="2" t="s">
        <v>101</v>
      </c>
      <c r="F34" s="3">
        <v>0</v>
      </c>
      <c r="G34" s="3">
        <v>0</v>
      </c>
      <c r="H34" s="4"/>
      <c r="I34" s="17">
        <v>0</v>
      </c>
      <c r="J34" s="17">
        <v>0</v>
      </c>
      <c r="K34" s="18">
        <f t="shared" si="0"/>
        <v>0</v>
      </c>
      <c r="L34" s="19"/>
      <c r="M34" s="62" t="e">
        <f>VLOOKUP(A34,[1]Master!$C:$F,3,0)</f>
        <v>#N/A</v>
      </c>
      <c r="N34" t="e">
        <f>VLOOKUP(A34,[1]Master!$C:$F,4,0)</f>
        <v>#N/A</v>
      </c>
    </row>
    <row r="35" spans="1:14" customFormat="1" ht="63" x14ac:dyDescent="0.35">
      <c r="A35" s="2">
        <v>8470210</v>
      </c>
      <c r="B35" s="2" t="s">
        <v>95</v>
      </c>
      <c r="C35" s="2" t="s">
        <v>49</v>
      </c>
      <c r="D35" s="2" t="s">
        <v>50</v>
      </c>
      <c r="E35" s="2" t="s">
        <v>102</v>
      </c>
      <c r="F35" s="3">
        <v>0</v>
      </c>
      <c r="G35" s="3">
        <v>0</v>
      </c>
      <c r="H35" s="4"/>
      <c r="I35" s="17">
        <v>0</v>
      </c>
      <c r="J35" s="17">
        <v>0</v>
      </c>
      <c r="K35" s="18">
        <f t="shared" si="0"/>
        <v>0</v>
      </c>
      <c r="L35" s="19"/>
      <c r="M35" s="62" t="e">
        <f>VLOOKUP(A35,[1]Master!$C:$F,3,0)</f>
        <v>#N/A</v>
      </c>
      <c r="N35" t="e">
        <f>VLOOKUP(A35,[1]Master!$C:$F,4,0)</f>
        <v>#N/A</v>
      </c>
    </row>
    <row r="36" spans="1:14" customFormat="1" ht="63" x14ac:dyDescent="0.35">
      <c r="A36" s="2">
        <v>8470210</v>
      </c>
      <c r="B36" s="2" t="s">
        <v>95</v>
      </c>
      <c r="C36" s="2" t="s">
        <v>103</v>
      </c>
      <c r="D36" s="2" t="s">
        <v>104</v>
      </c>
      <c r="E36" s="2" t="s">
        <v>105</v>
      </c>
      <c r="F36" s="3">
        <v>0</v>
      </c>
      <c r="G36" s="3">
        <v>0</v>
      </c>
      <c r="H36" s="4"/>
      <c r="I36" s="17">
        <v>0</v>
      </c>
      <c r="J36" s="17">
        <v>0</v>
      </c>
      <c r="K36" s="18">
        <f t="shared" si="0"/>
        <v>0</v>
      </c>
      <c r="L36" s="19"/>
      <c r="M36" s="62" t="e">
        <f>VLOOKUP(A36,[1]Master!$C:$F,3,0)</f>
        <v>#N/A</v>
      </c>
      <c r="N36" t="e">
        <f>VLOOKUP(A36,[1]Master!$C:$F,4,0)</f>
        <v>#N/A</v>
      </c>
    </row>
    <row r="37" spans="1:14" customFormat="1" ht="63" x14ac:dyDescent="0.35">
      <c r="A37" s="2">
        <v>8470210</v>
      </c>
      <c r="B37" s="2" t="s">
        <v>95</v>
      </c>
      <c r="C37" s="2" t="s">
        <v>106</v>
      </c>
      <c r="D37" s="2" t="s">
        <v>107</v>
      </c>
      <c r="E37" s="2" t="s">
        <v>108</v>
      </c>
      <c r="F37" s="3">
        <v>0</v>
      </c>
      <c r="G37" s="3">
        <v>0</v>
      </c>
      <c r="H37" s="4"/>
      <c r="I37" s="17">
        <v>0</v>
      </c>
      <c r="J37" s="17">
        <v>0</v>
      </c>
      <c r="K37" s="18">
        <f t="shared" si="0"/>
        <v>0</v>
      </c>
      <c r="L37" s="19"/>
      <c r="M37" s="62" t="e">
        <f>VLOOKUP(A37,[1]Master!$C:$F,3,0)</f>
        <v>#N/A</v>
      </c>
      <c r="N37" t="e">
        <f>VLOOKUP(A37,[1]Master!$C:$F,4,0)</f>
        <v>#N/A</v>
      </c>
    </row>
    <row r="38" spans="1:14" customFormat="1" ht="21" x14ac:dyDescent="0.35">
      <c r="A38" s="2">
        <v>8470220</v>
      </c>
      <c r="B38" s="2" t="s">
        <v>110</v>
      </c>
      <c r="C38" s="2" t="s">
        <v>16</v>
      </c>
      <c r="D38" s="2" t="s">
        <v>17</v>
      </c>
      <c r="E38" s="2" t="s">
        <v>111</v>
      </c>
      <c r="F38" s="3">
        <v>60000</v>
      </c>
      <c r="G38" s="3">
        <v>9477</v>
      </c>
      <c r="H38" s="3">
        <v>970.85</v>
      </c>
      <c r="I38" s="17">
        <v>0</v>
      </c>
      <c r="J38" s="17">
        <v>0</v>
      </c>
      <c r="K38" s="18">
        <f t="shared" si="0"/>
        <v>8506.15</v>
      </c>
      <c r="L38" s="19"/>
      <c r="M38" t="str">
        <f>VLOOKUP(A38,[1]Master!$C:$F,3,0)</f>
        <v>Provost</v>
      </c>
      <c r="N38" t="str">
        <f>VLOOKUP(A38,[1]Master!$C:$F,4,0)</f>
        <v>Provost</v>
      </c>
    </row>
    <row r="39" spans="1:14" customFormat="1" ht="21" x14ac:dyDescent="0.35">
      <c r="A39" s="2">
        <v>8470220</v>
      </c>
      <c r="B39" s="2" t="s">
        <v>110</v>
      </c>
      <c r="C39" s="2" t="s">
        <v>19</v>
      </c>
      <c r="D39" s="2" t="s">
        <v>20</v>
      </c>
      <c r="E39" s="2" t="s">
        <v>112</v>
      </c>
      <c r="F39" s="3">
        <v>492387</v>
      </c>
      <c r="G39" s="3">
        <v>280033</v>
      </c>
      <c r="H39" s="3">
        <v>280031.34999999998</v>
      </c>
      <c r="I39" s="17">
        <v>0</v>
      </c>
      <c r="J39" s="17">
        <v>0</v>
      </c>
      <c r="K39" s="18">
        <f t="shared" si="0"/>
        <v>1.6500000000232831</v>
      </c>
      <c r="L39" s="19"/>
      <c r="M39" t="str">
        <f>VLOOKUP(A39,[1]Master!$C:$F,3,0)</f>
        <v>Provost</v>
      </c>
      <c r="N39" t="str">
        <f>VLOOKUP(A39,[1]Master!$C:$F,4,0)</f>
        <v>Provost</v>
      </c>
    </row>
    <row r="40" spans="1:14" customFormat="1" ht="21" x14ac:dyDescent="0.35">
      <c r="A40" s="2">
        <v>8470220</v>
      </c>
      <c r="B40" s="2" t="s">
        <v>110</v>
      </c>
      <c r="C40" s="2" t="s">
        <v>28</v>
      </c>
      <c r="D40" s="2" t="s">
        <v>29</v>
      </c>
      <c r="E40" s="2" t="s">
        <v>113</v>
      </c>
      <c r="F40" s="3">
        <v>375000</v>
      </c>
      <c r="G40" s="3">
        <v>1</v>
      </c>
      <c r="H40" s="4"/>
      <c r="I40" s="17">
        <v>0</v>
      </c>
      <c r="J40" s="17">
        <v>0</v>
      </c>
      <c r="K40" s="18">
        <f t="shared" si="0"/>
        <v>1</v>
      </c>
      <c r="L40" s="19"/>
      <c r="M40" t="str">
        <f>VLOOKUP(A40,[1]Master!$C:$F,3,0)</f>
        <v>Provost</v>
      </c>
      <c r="N40" t="str">
        <f>VLOOKUP(A40,[1]Master!$C:$F,4,0)</f>
        <v>Provost</v>
      </c>
    </row>
    <row r="41" spans="1:14" customFormat="1" ht="31.5" x14ac:dyDescent="0.35">
      <c r="A41" s="2">
        <v>8470220</v>
      </c>
      <c r="B41" s="2" t="s">
        <v>110</v>
      </c>
      <c r="C41" s="2" t="s">
        <v>31</v>
      </c>
      <c r="D41" s="2" t="s">
        <v>32</v>
      </c>
      <c r="E41" s="2" t="s">
        <v>114</v>
      </c>
      <c r="F41" s="3">
        <v>10000</v>
      </c>
      <c r="G41" s="3">
        <v>13752</v>
      </c>
      <c r="H41" s="3">
        <v>13750</v>
      </c>
      <c r="I41" s="17">
        <v>0</v>
      </c>
      <c r="J41" s="17">
        <v>0</v>
      </c>
      <c r="K41" s="18">
        <f t="shared" si="0"/>
        <v>2</v>
      </c>
      <c r="L41" s="19"/>
      <c r="M41" t="str">
        <f>VLOOKUP(A41,[1]Master!$C:$F,3,0)</f>
        <v>Provost</v>
      </c>
      <c r="N41" t="str">
        <f>VLOOKUP(A41,[1]Master!$C:$F,4,0)</f>
        <v>Provost</v>
      </c>
    </row>
    <row r="42" spans="1:14" customFormat="1" ht="31.5" x14ac:dyDescent="0.35">
      <c r="A42" s="2">
        <v>8470220</v>
      </c>
      <c r="B42" s="2" t="s">
        <v>110</v>
      </c>
      <c r="C42" s="2" t="s">
        <v>34</v>
      </c>
      <c r="D42" s="2" t="s">
        <v>35</v>
      </c>
      <c r="E42" s="2" t="s">
        <v>115</v>
      </c>
      <c r="F42" s="3">
        <v>25000</v>
      </c>
      <c r="G42" s="3">
        <v>13792</v>
      </c>
      <c r="H42" s="3">
        <v>13790</v>
      </c>
      <c r="I42" s="17">
        <v>0</v>
      </c>
      <c r="J42" s="17">
        <v>0</v>
      </c>
      <c r="K42" s="18">
        <f t="shared" si="0"/>
        <v>2</v>
      </c>
      <c r="L42" s="19"/>
      <c r="M42" t="str">
        <f>VLOOKUP(A42,[1]Master!$C:$F,3,0)</f>
        <v>Provost</v>
      </c>
      <c r="N42" t="str">
        <f>VLOOKUP(A42,[1]Master!$C:$F,4,0)</f>
        <v>Provost</v>
      </c>
    </row>
    <row r="43" spans="1:14" customFormat="1" ht="21" x14ac:dyDescent="0.35">
      <c r="A43" s="2">
        <v>8470220</v>
      </c>
      <c r="B43" s="2" t="s">
        <v>110</v>
      </c>
      <c r="C43" s="2" t="s">
        <v>116</v>
      </c>
      <c r="D43" s="2" t="s">
        <v>117</v>
      </c>
      <c r="E43" s="2" t="s">
        <v>118</v>
      </c>
      <c r="F43" s="3">
        <v>694710</v>
      </c>
      <c r="G43" s="3">
        <v>2</v>
      </c>
      <c r="H43" s="4"/>
      <c r="I43" s="17">
        <v>0</v>
      </c>
      <c r="J43" s="17">
        <v>0</v>
      </c>
      <c r="K43" s="18">
        <f t="shared" si="0"/>
        <v>2</v>
      </c>
      <c r="L43" s="19"/>
      <c r="M43" t="str">
        <f>VLOOKUP(A43,[1]Master!$C:$F,3,0)</f>
        <v>Provost</v>
      </c>
      <c r="N43" t="str">
        <f>VLOOKUP(A43,[1]Master!$C:$F,4,0)</f>
        <v>Provost</v>
      </c>
    </row>
    <row r="44" spans="1:14" customFormat="1" ht="21" x14ac:dyDescent="0.35">
      <c r="A44" s="2">
        <v>8470220</v>
      </c>
      <c r="B44" s="2" t="s">
        <v>110</v>
      </c>
      <c r="C44" s="2" t="s">
        <v>37</v>
      </c>
      <c r="D44" s="2" t="s">
        <v>38</v>
      </c>
      <c r="E44" s="2" t="s">
        <v>119</v>
      </c>
      <c r="F44" s="3">
        <v>12000</v>
      </c>
      <c r="G44" s="3">
        <v>22987</v>
      </c>
      <c r="H44" s="3">
        <v>21378.1</v>
      </c>
      <c r="I44" s="17">
        <v>0</v>
      </c>
      <c r="J44" s="17">
        <v>0</v>
      </c>
      <c r="K44" s="18">
        <f t="shared" si="0"/>
        <v>1608.9000000000015</v>
      </c>
      <c r="L44" s="19"/>
      <c r="M44" t="str">
        <f>VLOOKUP(A44,[1]Master!$C:$F,3,0)</f>
        <v>Provost</v>
      </c>
      <c r="N44" t="str">
        <f>VLOOKUP(A44,[1]Master!$C:$F,4,0)</f>
        <v>Provost</v>
      </c>
    </row>
    <row r="45" spans="1:14" customFormat="1" ht="21" x14ac:dyDescent="0.35">
      <c r="A45" s="2">
        <v>8470220</v>
      </c>
      <c r="B45" s="2" t="s">
        <v>110</v>
      </c>
      <c r="C45" s="2" t="s">
        <v>40</v>
      </c>
      <c r="D45" s="2" t="s">
        <v>41</v>
      </c>
      <c r="E45" s="2" t="s">
        <v>120</v>
      </c>
      <c r="F45" s="3">
        <v>50000</v>
      </c>
      <c r="G45" s="3">
        <v>2</v>
      </c>
      <c r="H45" s="4"/>
      <c r="I45" s="17">
        <v>0</v>
      </c>
      <c r="J45" s="17">
        <v>0</v>
      </c>
      <c r="K45" s="18">
        <f t="shared" si="0"/>
        <v>2</v>
      </c>
      <c r="L45" s="19"/>
      <c r="M45" t="str">
        <f>VLOOKUP(A45,[1]Master!$C:$F,3,0)</f>
        <v>Provost</v>
      </c>
      <c r="N45" t="str">
        <f>VLOOKUP(A45,[1]Master!$C:$F,4,0)</f>
        <v>Provost</v>
      </c>
    </row>
    <row r="46" spans="1:14" customFormat="1" ht="21" x14ac:dyDescent="0.35">
      <c r="A46" s="2">
        <v>8470220</v>
      </c>
      <c r="B46" s="2" t="s">
        <v>110</v>
      </c>
      <c r="C46" s="2" t="s">
        <v>43</v>
      </c>
      <c r="D46" s="2" t="s">
        <v>44</v>
      </c>
      <c r="E46" s="2" t="s">
        <v>121</v>
      </c>
      <c r="F46" s="3">
        <v>65500</v>
      </c>
      <c r="G46" s="3">
        <v>33102</v>
      </c>
      <c r="H46" s="3">
        <v>33100</v>
      </c>
      <c r="I46" s="17">
        <v>0</v>
      </c>
      <c r="J46" s="17">
        <v>0</v>
      </c>
      <c r="K46" s="18">
        <f t="shared" si="0"/>
        <v>2</v>
      </c>
      <c r="L46" s="19"/>
      <c r="M46" t="str">
        <f>VLOOKUP(A46,[1]Master!$C:$F,3,0)</f>
        <v>Provost</v>
      </c>
      <c r="N46" t="str">
        <f>VLOOKUP(A46,[1]Master!$C:$F,4,0)</f>
        <v>Provost</v>
      </c>
    </row>
    <row r="47" spans="1:14" customFormat="1" ht="21" x14ac:dyDescent="0.35">
      <c r="A47" s="2">
        <v>8470220</v>
      </c>
      <c r="B47" s="2" t="s">
        <v>110</v>
      </c>
      <c r="C47" s="2" t="s">
        <v>49</v>
      </c>
      <c r="D47" s="2" t="s">
        <v>50</v>
      </c>
      <c r="E47" s="2" t="s">
        <v>122</v>
      </c>
      <c r="F47" s="3">
        <v>20000</v>
      </c>
      <c r="G47" s="3">
        <v>6322</v>
      </c>
      <c r="H47" s="3">
        <v>6320</v>
      </c>
      <c r="I47" s="17">
        <v>0</v>
      </c>
      <c r="J47" s="17">
        <v>0</v>
      </c>
      <c r="K47" s="18">
        <f t="shared" si="0"/>
        <v>2</v>
      </c>
      <c r="L47" s="19"/>
      <c r="M47" t="str">
        <f>VLOOKUP(A47,[1]Master!$C:$F,3,0)</f>
        <v>Provost</v>
      </c>
      <c r="N47" t="str">
        <f>VLOOKUP(A47,[1]Master!$C:$F,4,0)</f>
        <v>Provost</v>
      </c>
    </row>
    <row r="48" spans="1:14" customFormat="1" ht="42" x14ac:dyDescent="0.35">
      <c r="A48" s="2">
        <v>8470220</v>
      </c>
      <c r="B48" s="2" t="s">
        <v>110</v>
      </c>
      <c r="C48" s="2" t="s">
        <v>123</v>
      </c>
      <c r="D48" s="2" t="s">
        <v>124</v>
      </c>
      <c r="E48" s="2" t="s">
        <v>125</v>
      </c>
      <c r="F48" s="3">
        <v>10000</v>
      </c>
      <c r="G48" s="3">
        <v>4650</v>
      </c>
      <c r="H48" s="3">
        <v>4648</v>
      </c>
      <c r="I48" s="17">
        <v>0</v>
      </c>
      <c r="J48" s="17">
        <v>0</v>
      </c>
      <c r="K48" s="18">
        <f t="shared" si="0"/>
        <v>2</v>
      </c>
      <c r="L48" s="19"/>
      <c r="M48" t="str">
        <f>VLOOKUP(A48,[1]Master!$C:$F,3,0)</f>
        <v>Provost</v>
      </c>
      <c r="N48" t="str">
        <f>VLOOKUP(A48,[1]Master!$C:$F,4,0)</f>
        <v>Provost</v>
      </c>
    </row>
    <row r="49" spans="1:14" ht="24" x14ac:dyDescent="0.3">
      <c r="A49" s="47">
        <v>8470230</v>
      </c>
      <c r="B49" s="47" t="s">
        <v>127</v>
      </c>
      <c r="C49" s="47" t="s">
        <v>16</v>
      </c>
      <c r="D49" s="47" t="s">
        <v>17</v>
      </c>
      <c r="E49" s="47" t="s">
        <v>128</v>
      </c>
      <c r="F49" s="48">
        <v>1020620</v>
      </c>
      <c r="G49" s="48">
        <v>93666</v>
      </c>
      <c r="H49" s="48">
        <v>93665.1</v>
      </c>
      <c r="I49" s="49">
        <v>0</v>
      </c>
      <c r="J49" s="49">
        <v>0</v>
      </c>
      <c r="K49" s="50">
        <f t="shared" si="0"/>
        <v>0.89999999999417923</v>
      </c>
      <c r="L49" s="51"/>
      <c r="M49" s="63" t="str">
        <f>VLOOKUP(A49,[1]Master!$C:$F,3,0)</f>
        <v>Academic and Student Services Office</v>
      </c>
      <c r="N49" s="42" t="str">
        <f>VLOOKUP(A49,[1]Master!$C:$F,4,0)</f>
        <v>Academic and Student Services Office</v>
      </c>
    </row>
    <row r="50" spans="1:14" ht="24" x14ac:dyDescent="0.3">
      <c r="A50" s="47">
        <v>8470230</v>
      </c>
      <c r="B50" s="47" t="s">
        <v>127</v>
      </c>
      <c r="C50" s="47" t="s">
        <v>67</v>
      </c>
      <c r="D50" s="47" t="s">
        <v>68</v>
      </c>
      <c r="E50" s="47" t="s">
        <v>129</v>
      </c>
      <c r="F50" s="48">
        <v>300000</v>
      </c>
      <c r="G50" s="48">
        <v>0</v>
      </c>
      <c r="H50" s="52"/>
      <c r="I50" s="49">
        <v>0</v>
      </c>
      <c r="J50" s="49">
        <v>0</v>
      </c>
      <c r="K50" s="50">
        <f t="shared" si="0"/>
        <v>0</v>
      </c>
      <c r="L50" s="51"/>
      <c r="M50" s="63" t="str">
        <f>VLOOKUP(A50,[1]Master!$C:$F,3,0)</f>
        <v>Academic and Student Services Office</v>
      </c>
      <c r="N50" s="42" t="str">
        <f>VLOOKUP(A50,[1]Master!$C:$F,4,0)</f>
        <v>Academic and Student Services Office</v>
      </c>
    </row>
    <row r="51" spans="1:14" ht="36" x14ac:dyDescent="0.3">
      <c r="A51" s="47">
        <v>8470230</v>
      </c>
      <c r="B51" s="47" t="s">
        <v>127</v>
      </c>
      <c r="C51" s="47" t="s">
        <v>31</v>
      </c>
      <c r="D51" s="47" t="s">
        <v>32</v>
      </c>
      <c r="E51" s="47" t="s">
        <v>130</v>
      </c>
      <c r="F51" s="48">
        <v>34000</v>
      </c>
      <c r="G51" s="48">
        <v>9465</v>
      </c>
      <c r="H51" s="48">
        <v>9463</v>
      </c>
      <c r="I51" s="49">
        <v>0</v>
      </c>
      <c r="J51" s="49">
        <v>0</v>
      </c>
      <c r="K51" s="50">
        <f t="shared" si="0"/>
        <v>2</v>
      </c>
      <c r="L51" s="51"/>
      <c r="M51" s="63" t="str">
        <f>VLOOKUP(A51,[1]Master!$C:$F,3,0)</f>
        <v>Academic and Student Services Office</v>
      </c>
      <c r="N51" s="42" t="str">
        <f>VLOOKUP(A51,[1]Master!$C:$F,4,0)</f>
        <v>Academic and Student Services Office</v>
      </c>
    </row>
    <row r="52" spans="1:14" ht="36" x14ac:dyDescent="0.3">
      <c r="A52" s="47">
        <v>8470230</v>
      </c>
      <c r="B52" s="47" t="s">
        <v>127</v>
      </c>
      <c r="C52" s="47" t="s">
        <v>34</v>
      </c>
      <c r="D52" s="47" t="s">
        <v>35</v>
      </c>
      <c r="E52" s="47" t="s">
        <v>131</v>
      </c>
      <c r="F52" s="48">
        <v>222000</v>
      </c>
      <c r="G52" s="48">
        <v>196443</v>
      </c>
      <c r="H52" s="48">
        <v>196440.99</v>
      </c>
      <c r="I52" s="49">
        <v>0</v>
      </c>
      <c r="J52" s="49">
        <v>0</v>
      </c>
      <c r="K52" s="50">
        <f t="shared" si="0"/>
        <v>2.0100000000093132</v>
      </c>
      <c r="L52" s="51"/>
      <c r="M52" s="63" t="str">
        <f>VLOOKUP(A52,[1]Master!$C:$F,3,0)</f>
        <v>Academic and Student Services Office</v>
      </c>
      <c r="N52" s="42" t="str">
        <f>VLOOKUP(A52,[1]Master!$C:$F,4,0)</f>
        <v>Academic and Student Services Office</v>
      </c>
    </row>
    <row r="53" spans="1:14" ht="24" x14ac:dyDescent="0.3">
      <c r="A53" s="47">
        <v>8470230</v>
      </c>
      <c r="B53" s="47" t="s">
        <v>127</v>
      </c>
      <c r="C53" s="47" t="s">
        <v>132</v>
      </c>
      <c r="D53" s="47" t="s">
        <v>133</v>
      </c>
      <c r="E53" s="47" t="s">
        <v>134</v>
      </c>
      <c r="F53" s="48">
        <v>240000</v>
      </c>
      <c r="G53" s="48">
        <v>240000</v>
      </c>
      <c r="H53" s="48">
        <v>240000</v>
      </c>
      <c r="I53" s="49">
        <v>0</v>
      </c>
      <c r="J53" s="49">
        <v>0</v>
      </c>
      <c r="K53" s="50">
        <f t="shared" si="0"/>
        <v>0</v>
      </c>
      <c r="L53" s="51"/>
      <c r="M53" s="63" t="str">
        <f>VLOOKUP(A53,[1]Master!$C:$F,3,0)</f>
        <v>Academic and Student Services Office</v>
      </c>
      <c r="N53" s="42" t="str">
        <f>VLOOKUP(A53,[1]Master!$C:$F,4,0)</f>
        <v>Academic and Student Services Office</v>
      </c>
    </row>
    <row r="54" spans="1:14" ht="24" x14ac:dyDescent="0.3">
      <c r="A54" s="47">
        <v>8470230</v>
      </c>
      <c r="B54" s="47" t="s">
        <v>127</v>
      </c>
      <c r="C54" s="47" t="s">
        <v>135</v>
      </c>
      <c r="D54" s="47" t="s">
        <v>136</v>
      </c>
      <c r="E54" s="47" t="s">
        <v>137</v>
      </c>
      <c r="F54" s="48">
        <v>4816800</v>
      </c>
      <c r="G54" s="48">
        <v>3630931</v>
      </c>
      <c r="H54" s="48">
        <v>3630763.75</v>
      </c>
      <c r="I54" s="49">
        <v>0</v>
      </c>
      <c r="J54" s="49">
        <v>0</v>
      </c>
      <c r="K54" s="50">
        <f t="shared" si="0"/>
        <v>167.25</v>
      </c>
      <c r="L54" s="51"/>
      <c r="M54" s="63" t="str">
        <f>VLOOKUP(A54,[1]Master!$C:$F,3,0)</f>
        <v>Academic and Student Services Office</v>
      </c>
      <c r="N54" s="42" t="str">
        <f>VLOOKUP(A54,[1]Master!$C:$F,4,0)</f>
        <v>Academic and Student Services Office</v>
      </c>
    </row>
    <row r="55" spans="1:14" ht="24" x14ac:dyDescent="0.3">
      <c r="A55" s="47">
        <v>8470230</v>
      </c>
      <c r="B55" s="47" t="s">
        <v>127</v>
      </c>
      <c r="C55" s="47" t="s">
        <v>138</v>
      </c>
      <c r="D55" s="47" t="s">
        <v>139</v>
      </c>
      <c r="E55" s="47" t="s">
        <v>140</v>
      </c>
      <c r="F55" s="48">
        <v>1971263</v>
      </c>
      <c r="G55" s="48">
        <v>1771263</v>
      </c>
      <c r="H55" s="48">
        <v>1746406.35</v>
      </c>
      <c r="I55" s="49">
        <v>0</v>
      </c>
      <c r="J55" s="49">
        <v>0</v>
      </c>
      <c r="K55" s="50">
        <f t="shared" si="0"/>
        <v>24856.649999999907</v>
      </c>
      <c r="L55" s="51"/>
      <c r="M55" s="63" t="str">
        <f>VLOOKUP(A55,[1]Master!$C:$F,3,0)</f>
        <v>Academic and Student Services Office</v>
      </c>
      <c r="N55" s="42" t="str">
        <f>VLOOKUP(A55,[1]Master!$C:$F,4,0)</f>
        <v>Academic and Student Services Office</v>
      </c>
    </row>
    <row r="56" spans="1:14" ht="24" x14ac:dyDescent="0.3">
      <c r="A56" s="47">
        <v>8470230</v>
      </c>
      <c r="B56" s="47" t="s">
        <v>127</v>
      </c>
      <c r="C56" s="47" t="s">
        <v>141</v>
      </c>
      <c r="D56" s="47" t="s">
        <v>142</v>
      </c>
      <c r="E56" s="47" t="s">
        <v>143</v>
      </c>
      <c r="F56" s="48">
        <v>110824684</v>
      </c>
      <c r="G56" s="48">
        <v>118214474</v>
      </c>
      <c r="H56" s="48">
        <v>118211465.31999999</v>
      </c>
      <c r="I56" s="49">
        <v>0</v>
      </c>
      <c r="J56" s="49">
        <v>0</v>
      </c>
      <c r="K56" s="50">
        <f t="shared" si="0"/>
        <v>3008.6800000071526</v>
      </c>
      <c r="L56" s="51"/>
      <c r="M56" s="63" t="str">
        <f>VLOOKUP(A56,[1]Master!$C:$F,3,0)</f>
        <v>Academic and Student Services Office</v>
      </c>
      <c r="N56" s="42" t="str">
        <f>VLOOKUP(A56,[1]Master!$C:$F,4,0)</f>
        <v>Academic and Student Services Office</v>
      </c>
    </row>
    <row r="57" spans="1:14" ht="24" x14ac:dyDescent="0.3">
      <c r="A57" s="47">
        <v>8470230</v>
      </c>
      <c r="B57" s="47" t="s">
        <v>127</v>
      </c>
      <c r="C57" s="47" t="s">
        <v>144</v>
      </c>
      <c r="D57" s="47" t="s">
        <v>145</v>
      </c>
      <c r="E57" s="47" t="s">
        <v>146</v>
      </c>
      <c r="F57" s="48">
        <v>150000</v>
      </c>
      <c r="G57" s="48">
        <v>0</v>
      </c>
      <c r="H57" s="52"/>
      <c r="I57" s="49">
        <v>0</v>
      </c>
      <c r="J57" s="49">
        <v>0</v>
      </c>
      <c r="K57" s="50">
        <f t="shared" si="0"/>
        <v>0</v>
      </c>
      <c r="L57" s="51"/>
      <c r="M57" s="63" t="str">
        <f>VLOOKUP(A57,[1]Master!$C:$F,3,0)</f>
        <v>Academic and Student Services Office</v>
      </c>
      <c r="N57" s="42" t="str">
        <f>VLOOKUP(A57,[1]Master!$C:$F,4,0)</f>
        <v>Academic and Student Services Office</v>
      </c>
    </row>
    <row r="58" spans="1:14" ht="24" x14ac:dyDescent="0.3">
      <c r="A58" s="47">
        <v>8470230</v>
      </c>
      <c r="B58" s="47" t="s">
        <v>127</v>
      </c>
      <c r="C58" s="47" t="s">
        <v>147</v>
      </c>
      <c r="D58" s="47" t="s">
        <v>148</v>
      </c>
      <c r="E58" s="47" t="s">
        <v>149</v>
      </c>
      <c r="F58" s="48">
        <v>150000</v>
      </c>
      <c r="G58" s="48">
        <v>213700</v>
      </c>
      <c r="H58" s="48">
        <v>212707.89</v>
      </c>
      <c r="I58" s="49">
        <v>0</v>
      </c>
      <c r="J58" s="49">
        <v>0</v>
      </c>
      <c r="K58" s="50">
        <f t="shared" si="0"/>
        <v>992.10999999998603</v>
      </c>
      <c r="L58" s="51"/>
      <c r="M58" s="63" t="str">
        <f>VLOOKUP(A58,[1]Master!$C:$F,3,0)</f>
        <v>Academic and Student Services Office</v>
      </c>
      <c r="N58" s="42" t="str">
        <f>VLOOKUP(A58,[1]Master!$C:$F,4,0)</f>
        <v>Academic and Student Services Office</v>
      </c>
    </row>
    <row r="59" spans="1:14" ht="24" x14ac:dyDescent="0.3">
      <c r="A59" s="47">
        <v>8470230</v>
      </c>
      <c r="B59" s="47" t="s">
        <v>127</v>
      </c>
      <c r="C59" s="47" t="s">
        <v>37</v>
      </c>
      <c r="D59" s="47" t="s">
        <v>38</v>
      </c>
      <c r="E59" s="47" t="s">
        <v>150</v>
      </c>
      <c r="F59" s="48">
        <v>45648</v>
      </c>
      <c r="G59" s="48">
        <v>2172</v>
      </c>
      <c r="H59" s="48">
        <v>2169.6999999999998</v>
      </c>
      <c r="I59" s="49">
        <v>0</v>
      </c>
      <c r="J59" s="49">
        <v>0</v>
      </c>
      <c r="K59" s="50">
        <f t="shared" si="0"/>
        <v>2.3000000000001819</v>
      </c>
      <c r="L59" s="51"/>
      <c r="M59" s="63" t="str">
        <f>VLOOKUP(A59,[1]Master!$C:$F,3,0)</f>
        <v>Academic and Student Services Office</v>
      </c>
      <c r="N59" s="42" t="str">
        <f>VLOOKUP(A59,[1]Master!$C:$F,4,0)</f>
        <v>Academic and Student Services Office</v>
      </c>
    </row>
    <row r="60" spans="1:14" ht="24" x14ac:dyDescent="0.3">
      <c r="A60" s="47">
        <v>8470230</v>
      </c>
      <c r="B60" s="47" t="s">
        <v>127</v>
      </c>
      <c r="C60" s="47" t="s">
        <v>40</v>
      </c>
      <c r="D60" s="47" t="s">
        <v>41</v>
      </c>
      <c r="E60" s="47" t="s">
        <v>151</v>
      </c>
      <c r="F60" s="48">
        <v>10000</v>
      </c>
      <c r="G60" s="48">
        <v>2</v>
      </c>
      <c r="H60" s="52"/>
      <c r="I60" s="49">
        <v>0</v>
      </c>
      <c r="J60" s="49">
        <v>0</v>
      </c>
      <c r="K60" s="50">
        <f t="shared" si="0"/>
        <v>2</v>
      </c>
      <c r="L60" s="51"/>
      <c r="M60" s="63" t="str">
        <f>VLOOKUP(A60,[1]Master!$C:$F,3,0)</f>
        <v>Academic and Student Services Office</v>
      </c>
      <c r="N60" s="42" t="str">
        <f>VLOOKUP(A60,[1]Master!$C:$F,4,0)</f>
        <v>Academic and Student Services Office</v>
      </c>
    </row>
    <row r="61" spans="1:14" ht="24" x14ac:dyDescent="0.3">
      <c r="A61" s="47">
        <v>8470230</v>
      </c>
      <c r="B61" s="47" t="s">
        <v>127</v>
      </c>
      <c r="C61" s="47" t="s">
        <v>43</v>
      </c>
      <c r="D61" s="47" t="s">
        <v>44</v>
      </c>
      <c r="E61" s="47" t="s">
        <v>152</v>
      </c>
      <c r="F61" s="48">
        <v>97000</v>
      </c>
      <c r="G61" s="48">
        <v>2</v>
      </c>
      <c r="H61" s="52"/>
      <c r="I61" s="49">
        <v>0</v>
      </c>
      <c r="J61" s="49">
        <v>0</v>
      </c>
      <c r="K61" s="50">
        <f t="shared" si="0"/>
        <v>2</v>
      </c>
      <c r="L61" s="51"/>
      <c r="M61" s="63" t="str">
        <f>VLOOKUP(A61,[1]Master!$C:$F,3,0)</f>
        <v>Academic and Student Services Office</v>
      </c>
      <c r="N61" s="42" t="str">
        <f>VLOOKUP(A61,[1]Master!$C:$F,4,0)</f>
        <v>Academic and Student Services Office</v>
      </c>
    </row>
    <row r="62" spans="1:14" ht="24" x14ac:dyDescent="0.3">
      <c r="A62" s="47">
        <v>8470230</v>
      </c>
      <c r="B62" s="47" t="s">
        <v>127</v>
      </c>
      <c r="C62" s="47" t="s">
        <v>49</v>
      </c>
      <c r="D62" s="47" t="s">
        <v>50</v>
      </c>
      <c r="E62" s="47" t="s">
        <v>153</v>
      </c>
      <c r="F62" s="48">
        <v>80000</v>
      </c>
      <c r="G62" s="48">
        <v>2</v>
      </c>
      <c r="H62" s="52"/>
      <c r="I62" s="49">
        <v>0</v>
      </c>
      <c r="J62" s="49">
        <v>0</v>
      </c>
      <c r="K62" s="50">
        <f t="shared" si="0"/>
        <v>2</v>
      </c>
      <c r="L62" s="51"/>
      <c r="M62" s="63" t="str">
        <f>VLOOKUP(A62,[1]Master!$C:$F,3,0)</f>
        <v>Academic and Student Services Office</v>
      </c>
      <c r="N62" s="42" t="str">
        <f>VLOOKUP(A62,[1]Master!$C:$F,4,0)</f>
        <v>Academic and Student Services Office</v>
      </c>
    </row>
    <row r="63" spans="1:14" ht="24" x14ac:dyDescent="0.3">
      <c r="A63" s="47">
        <v>8470230</v>
      </c>
      <c r="B63" s="47" t="s">
        <v>127</v>
      </c>
      <c r="C63" s="47" t="s">
        <v>154</v>
      </c>
      <c r="D63" s="47" t="s">
        <v>155</v>
      </c>
      <c r="E63" s="47" t="s">
        <v>156</v>
      </c>
      <c r="F63" s="48">
        <v>5000</v>
      </c>
      <c r="G63" s="48">
        <v>2</v>
      </c>
      <c r="H63" s="52"/>
      <c r="I63" s="49">
        <v>0</v>
      </c>
      <c r="J63" s="49">
        <v>0</v>
      </c>
      <c r="K63" s="50">
        <f t="shared" si="0"/>
        <v>2</v>
      </c>
      <c r="L63" s="51"/>
      <c r="M63" s="63" t="str">
        <f>VLOOKUP(A63,[1]Master!$C:$F,3,0)</f>
        <v>Academic and Student Services Office</v>
      </c>
      <c r="N63" s="42" t="str">
        <f>VLOOKUP(A63,[1]Master!$C:$F,4,0)</f>
        <v>Academic and Student Services Office</v>
      </c>
    </row>
    <row r="64" spans="1:14" customFormat="1" ht="21" x14ac:dyDescent="0.35">
      <c r="A64" s="2">
        <v>8470305</v>
      </c>
      <c r="B64" s="2" t="s">
        <v>158</v>
      </c>
      <c r="C64" s="2" t="s">
        <v>16</v>
      </c>
      <c r="D64" s="2" t="s">
        <v>17</v>
      </c>
      <c r="E64" s="2" t="s">
        <v>159</v>
      </c>
      <c r="F64" s="3">
        <v>10000</v>
      </c>
      <c r="G64" s="3">
        <v>127000</v>
      </c>
      <c r="H64" s="3">
        <v>124529.41</v>
      </c>
      <c r="I64" s="17">
        <v>0</v>
      </c>
      <c r="J64" s="17">
        <v>0</v>
      </c>
      <c r="K64" s="18">
        <f t="shared" si="0"/>
        <v>2470.5899999999965</v>
      </c>
      <c r="L64" s="19"/>
      <c r="M64" s="62" t="str">
        <f>VLOOKUP(A64,[1]Master!$C:$F,3,0)</f>
        <v>Provost</v>
      </c>
      <c r="N64" t="str">
        <f>VLOOKUP(A64,[1]Master!$C:$F,4,0)</f>
        <v>College of Engineering</v>
      </c>
    </row>
    <row r="65" spans="1:14" customFormat="1" ht="21" x14ac:dyDescent="0.35">
      <c r="A65" s="2">
        <v>8470305</v>
      </c>
      <c r="B65" s="2" t="s">
        <v>158</v>
      </c>
      <c r="C65" s="2" t="s">
        <v>19</v>
      </c>
      <c r="D65" s="2" t="s">
        <v>20</v>
      </c>
      <c r="E65" s="2" t="s">
        <v>160</v>
      </c>
      <c r="F65" s="3">
        <v>10000</v>
      </c>
      <c r="G65" s="3">
        <v>10000</v>
      </c>
      <c r="H65" s="4"/>
      <c r="I65" s="17">
        <v>0</v>
      </c>
      <c r="J65" s="17">
        <v>0</v>
      </c>
      <c r="K65" s="18">
        <f t="shared" si="0"/>
        <v>10000</v>
      </c>
      <c r="L65" s="19"/>
      <c r="M65" s="62" t="str">
        <f>VLOOKUP(A65,[1]Master!$C:$F,3,0)</f>
        <v>Provost</v>
      </c>
      <c r="N65" t="str">
        <f>VLOOKUP(A65,[1]Master!$C:$F,4,0)</f>
        <v>College of Engineering</v>
      </c>
    </row>
    <row r="66" spans="1:14" customFormat="1" ht="21" x14ac:dyDescent="0.35">
      <c r="A66" s="2">
        <v>8470305</v>
      </c>
      <c r="B66" s="2" t="s">
        <v>158</v>
      </c>
      <c r="C66" s="2" t="s">
        <v>28</v>
      </c>
      <c r="D66" s="2" t="s">
        <v>29</v>
      </c>
      <c r="E66" s="2" t="s">
        <v>161</v>
      </c>
      <c r="F66" s="3">
        <v>506004</v>
      </c>
      <c r="G66" s="3">
        <v>310191</v>
      </c>
      <c r="H66" s="3">
        <v>310190.40000000002</v>
      </c>
      <c r="I66" s="17">
        <v>0</v>
      </c>
      <c r="J66" s="17">
        <v>0</v>
      </c>
      <c r="K66" s="18">
        <f t="shared" si="0"/>
        <v>0.59999999997671694</v>
      </c>
      <c r="L66" s="19"/>
      <c r="M66" s="62" t="str">
        <f>VLOOKUP(A66,[1]Master!$C:$F,3,0)</f>
        <v>Provost</v>
      </c>
      <c r="N66" t="str">
        <f>VLOOKUP(A66,[1]Master!$C:$F,4,0)</f>
        <v>College of Engineering</v>
      </c>
    </row>
    <row r="67" spans="1:14" customFormat="1" ht="31.5" x14ac:dyDescent="0.35">
      <c r="A67" s="2">
        <v>8470305</v>
      </c>
      <c r="B67" s="2" t="s">
        <v>158</v>
      </c>
      <c r="C67" s="2" t="s">
        <v>31</v>
      </c>
      <c r="D67" s="2" t="s">
        <v>32</v>
      </c>
      <c r="E67" s="2" t="s">
        <v>162</v>
      </c>
      <c r="F67" s="3">
        <v>20000</v>
      </c>
      <c r="G67" s="3">
        <v>20000</v>
      </c>
      <c r="H67" s="3">
        <v>12614.75</v>
      </c>
      <c r="I67" s="17">
        <v>0</v>
      </c>
      <c r="J67" s="17">
        <v>0</v>
      </c>
      <c r="K67" s="18">
        <f t="shared" si="0"/>
        <v>7385.25</v>
      </c>
      <c r="L67" s="19"/>
      <c r="M67" s="62" t="str">
        <f>VLOOKUP(A67,[1]Master!$C:$F,3,0)</f>
        <v>Provost</v>
      </c>
      <c r="N67" t="str">
        <f>VLOOKUP(A67,[1]Master!$C:$F,4,0)</f>
        <v>College of Engineering</v>
      </c>
    </row>
    <row r="68" spans="1:14" customFormat="1" ht="21" x14ac:dyDescent="0.35">
      <c r="A68" s="2">
        <v>8470305</v>
      </c>
      <c r="B68" s="2" t="s">
        <v>158</v>
      </c>
      <c r="C68" s="2" t="s">
        <v>72</v>
      </c>
      <c r="D68" s="2" t="s">
        <v>73</v>
      </c>
      <c r="E68" s="2" t="s">
        <v>163</v>
      </c>
      <c r="F68" s="3">
        <v>100000</v>
      </c>
      <c r="G68" s="3">
        <v>66993</v>
      </c>
      <c r="H68" s="3">
        <v>52243.54</v>
      </c>
      <c r="I68" s="17">
        <v>0</v>
      </c>
      <c r="J68" s="17">
        <v>0</v>
      </c>
      <c r="K68" s="18">
        <f t="shared" ref="K68:K131" si="1">G68-H68-I68-J68</f>
        <v>14749.46</v>
      </c>
      <c r="L68" s="19"/>
      <c r="M68" s="62" t="str">
        <f>VLOOKUP(A68,[1]Master!$C:$F,3,0)</f>
        <v>Provost</v>
      </c>
      <c r="N68" t="str">
        <f>VLOOKUP(A68,[1]Master!$C:$F,4,0)</f>
        <v>College of Engineering</v>
      </c>
    </row>
    <row r="69" spans="1:14" customFormat="1" ht="21" x14ac:dyDescent="0.35">
      <c r="A69" s="2">
        <v>8470305</v>
      </c>
      <c r="B69" s="2" t="s">
        <v>158</v>
      </c>
      <c r="C69" s="2" t="s">
        <v>97</v>
      </c>
      <c r="D69" s="2" t="s">
        <v>98</v>
      </c>
      <c r="E69" s="2" t="s">
        <v>164</v>
      </c>
      <c r="F69" s="3">
        <v>704499</v>
      </c>
      <c r="G69" s="3">
        <v>121586</v>
      </c>
      <c r="H69" s="3">
        <v>121584.62</v>
      </c>
      <c r="I69" s="17">
        <v>0</v>
      </c>
      <c r="J69" s="17">
        <v>0</v>
      </c>
      <c r="K69" s="18">
        <f t="shared" si="1"/>
        <v>1.3800000000046566</v>
      </c>
      <c r="L69" s="19"/>
      <c r="M69" s="62" t="str">
        <f>VLOOKUP(A69,[1]Master!$C:$F,3,0)</f>
        <v>Provost</v>
      </c>
      <c r="N69" t="str">
        <f>VLOOKUP(A69,[1]Master!$C:$F,4,0)</f>
        <v>College of Engineering</v>
      </c>
    </row>
    <row r="70" spans="1:14" customFormat="1" ht="21" x14ac:dyDescent="0.35">
      <c r="A70" s="2">
        <v>8470305</v>
      </c>
      <c r="B70" s="2" t="s">
        <v>158</v>
      </c>
      <c r="C70" s="2" t="s">
        <v>37</v>
      </c>
      <c r="D70" s="2" t="s">
        <v>38</v>
      </c>
      <c r="E70" s="2" t="s">
        <v>165</v>
      </c>
      <c r="F70" s="3">
        <v>18000</v>
      </c>
      <c r="G70" s="3">
        <v>18000</v>
      </c>
      <c r="H70" s="3">
        <v>12479.25</v>
      </c>
      <c r="I70" s="17">
        <v>0</v>
      </c>
      <c r="J70" s="17">
        <v>0</v>
      </c>
      <c r="K70" s="18">
        <f t="shared" si="1"/>
        <v>5520.75</v>
      </c>
      <c r="L70" s="19"/>
      <c r="M70" s="62" t="str">
        <f>VLOOKUP(A70,[1]Master!$C:$F,3,0)</f>
        <v>Provost</v>
      </c>
      <c r="N70" t="str">
        <f>VLOOKUP(A70,[1]Master!$C:$F,4,0)</f>
        <v>College of Engineering</v>
      </c>
    </row>
    <row r="71" spans="1:14" customFormat="1" ht="21" x14ac:dyDescent="0.35">
      <c r="A71" s="2">
        <v>8470305</v>
      </c>
      <c r="B71" s="2" t="s">
        <v>158</v>
      </c>
      <c r="C71" s="2" t="s">
        <v>40</v>
      </c>
      <c r="D71" s="2" t="s">
        <v>41</v>
      </c>
      <c r="E71" s="2" t="s">
        <v>166</v>
      </c>
      <c r="F71" s="3">
        <v>100000</v>
      </c>
      <c r="G71" s="3">
        <v>58000</v>
      </c>
      <c r="H71" s="3">
        <v>54660.06</v>
      </c>
      <c r="I71" s="17">
        <v>0</v>
      </c>
      <c r="J71" s="17">
        <v>0</v>
      </c>
      <c r="K71" s="18">
        <f t="shared" si="1"/>
        <v>3339.9400000000023</v>
      </c>
      <c r="L71" s="19"/>
      <c r="M71" s="62" t="str">
        <f>VLOOKUP(A71,[1]Master!$C:$F,3,0)</f>
        <v>Provost</v>
      </c>
      <c r="N71" t="str">
        <f>VLOOKUP(A71,[1]Master!$C:$F,4,0)</f>
        <v>College of Engineering</v>
      </c>
    </row>
    <row r="72" spans="1:14" customFormat="1" ht="21" x14ac:dyDescent="0.35">
      <c r="A72" s="2">
        <v>8470305</v>
      </c>
      <c r="B72" s="2" t="s">
        <v>158</v>
      </c>
      <c r="C72" s="2" t="s">
        <v>43</v>
      </c>
      <c r="D72" s="2" t="s">
        <v>44</v>
      </c>
      <c r="E72" s="2" t="s">
        <v>167</v>
      </c>
      <c r="F72" s="3">
        <v>35000</v>
      </c>
      <c r="G72" s="3">
        <v>25464</v>
      </c>
      <c r="H72" s="4"/>
      <c r="I72" s="17">
        <v>0</v>
      </c>
      <c r="J72" s="17">
        <v>0</v>
      </c>
      <c r="K72" s="18">
        <f t="shared" si="1"/>
        <v>25464</v>
      </c>
      <c r="L72" s="19"/>
      <c r="M72" s="62" t="str">
        <f>VLOOKUP(A72,[1]Master!$C:$F,3,0)</f>
        <v>Provost</v>
      </c>
      <c r="N72" t="str">
        <f>VLOOKUP(A72,[1]Master!$C:$F,4,0)</f>
        <v>College of Engineering</v>
      </c>
    </row>
    <row r="73" spans="1:14" customFormat="1" ht="21" x14ac:dyDescent="0.35">
      <c r="A73" s="2">
        <v>8470305</v>
      </c>
      <c r="B73" s="2" t="s">
        <v>158</v>
      </c>
      <c r="C73" s="2" t="s">
        <v>49</v>
      </c>
      <c r="D73" s="2" t="s">
        <v>50</v>
      </c>
      <c r="E73" s="2" t="s">
        <v>168</v>
      </c>
      <c r="F73" s="3">
        <v>45000</v>
      </c>
      <c r="G73" s="3">
        <v>22835</v>
      </c>
      <c r="H73" s="4"/>
      <c r="I73" s="17">
        <v>0</v>
      </c>
      <c r="J73" s="17">
        <v>0</v>
      </c>
      <c r="K73" s="18">
        <f t="shared" si="1"/>
        <v>22835</v>
      </c>
      <c r="L73" s="19"/>
      <c r="M73" s="62" t="str">
        <f>VLOOKUP(A73,[1]Master!$C:$F,3,0)</f>
        <v>Provost</v>
      </c>
      <c r="N73" t="str">
        <f>VLOOKUP(A73,[1]Master!$C:$F,4,0)</f>
        <v>College of Engineering</v>
      </c>
    </row>
    <row r="74" spans="1:14" customFormat="1" ht="21" x14ac:dyDescent="0.35">
      <c r="A74" s="2">
        <v>8470305</v>
      </c>
      <c r="B74" s="2" t="s">
        <v>158</v>
      </c>
      <c r="C74" s="2" t="s">
        <v>169</v>
      </c>
      <c r="D74" s="2" t="s">
        <v>170</v>
      </c>
      <c r="E74" s="2" t="s">
        <v>171</v>
      </c>
      <c r="F74" s="3">
        <v>45292</v>
      </c>
      <c r="G74" s="3">
        <v>45292</v>
      </c>
      <c r="H74" s="3">
        <v>43796.32</v>
      </c>
      <c r="I74" s="17">
        <v>0</v>
      </c>
      <c r="J74" s="17">
        <v>0</v>
      </c>
      <c r="K74" s="18">
        <f t="shared" si="1"/>
        <v>1495.6800000000003</v>
      </c>
      <c r="L74" s="19"/>
      <c r="M74" s="62" t="str">
        <f>VLOOKUP(A74,[1]Master!$C:$F,3,0)</f>
        <v>Provost</v>
      </c>
      <c r="N74" t="str">
        <f>VLOOKUP(A74,[1]Master!$C:$F,4,0)</f>
        <v>College of Engineering</v>
      </c>
    </row>
    <row r="75" spans="1:14" customFormat="1" ht="21" x14ac:dyDescent="0.35">
      <c r="A75" s="2">
        <v>8470305</v>
      </c>
      <c r="B75" s="2" t="s">
        <v>158</v>
      </c>
      <c r="C75" s="2" t="s">
        <v>103</v>
      </c>
      <c r="D75" s="2" t="s">
        <v>104</v>
      </c>
      <c r="E75" s="2" t="s">
        <v>172</v>
      </c>
      <c r="F75" s="3">
        <v>260000</v>
      </c>
      <c r="G75" s="3">
        <v>45789</v>
      </c>
      <c r="H75" s="3">
        <v>20510.169999999998</v>
      </c>
      <c r="I75" s="17">
        <v>0</v>
      </c>
      <c r="J75" s="17">
        <v>0</v>
      </c>
      <c r="K75" s="18">
        <f t="shared" si="1"/>
        <v>25278.83</v>
      </c>
      <c r="L75" s="19"/>
      <c r="M75" s="62" t="str">
        <f>VLOOKUP(A75,[1]Master!$C:$F,3,0)</f>
        <v>Provost</v>
      </c>
      <c r="N75" t="str">
        <f>VLOOKUP(A75,[1]Master!$C:$F,4,0)</f>
        <v>College of Engineering</v>
      </c>
    </row>
    <row r="76" spans="1:14" customFormat="1" ht="21" x14ac:dyDescent="0.35">
      <c r="A76" s="2">
        <v>8470305</v>
      </c>
      <c r="B76" s="2" t="s">
        <v>158</v>
      </c>
      <c r="C76" s="2" t="s">
        <v>173</v>
      </c>
      <c r="D76" s="2" t="s">
        <v>174</v>
      </c>
      <c r="E76" s="2" t="s">
        <v>175</v>
      </c>
      <c r="F76" s="3">
        <v>100000</v>
      </c>
      <c r="G76" s="3">
        <v>65000</v>
      </c>
      <c r="H76" s="3">
        <v>40685.050000000003</v>
      </c>
      <c r="I76" s="17">
        <v>0</v>
      </c>
      <c r="J76" s="17">
        <v>0</v>
      </c>
      <c r="K76" s="18">
        <f t="shared" si="1"/>
        <v>24314.949999999997</v>
      </c>
      <c r="L76" s="19"/>
      <c r="M76" s="62" t="str">
        <f>VLOOKUP(A76,[1]Master!$C:$F,3,0)</f>
        <v>Provost</v>
      </c>
      <c r="N76" t="str">
        <f>VLOOKUP(A76,[1]Master!$C:$F,4,0)</f>
        <v>College of Engineering</v>
      </c>
    </row>
    <row r="77" spans="1:14" customFormat="1" ht="21" x14ac:dyDescent="0.35">
      <c r="A77" s="2">
        <v>8470305</v>
      </c>
      <c r="B77" s="2" t="s">
        <v>158</v>
      </c>
      <c r="C77" s="2" t="s">
        <v>176</v>
      </c>
      <c r="D77" s="2" t="s">
        <v>177</v>
      </c>
      <c r="E77" s="2" t="s">
        <v>178</v>
      </c>
      <c r="F77" s="3">
        <v>25000</v>
      </c>
      <c r="G77" s="3">
        <v>25000</v>
      </c>
      <c r="H77" s="4"/>
      <c r="I77" s="17">
        <v>0</v>
      </c>
      <c r="J77" s="17">
        <v>0</v>
      </c>
      <c r="K77" s="18">
        <f t="shared" si="1"/>
        <v>25000</v>
      </c>
      <c r="L77" s="19"/>
      <c r="M77" s="62" t="str">
        <f>VLOOKUP(A77,[1]Master!$C:$F,3,0)</f>
        <v>Provost</v>
      </c>
      <c r="N77" t="str">
        <f>VLOOKUP(A77,[1]Master!$C:$F,4,0)</f>
        <v>College of Engineering</v>
      </c>
    </row>
    <row r="78" spans="1:14" customFormat="1" ht="21" x14ac:dyDescent="0.35">
      <c r="A78" s="2">
        <v>8470310</v>
      </c>
      <c r="B78" s="2" t="s">
        <v>180</v>
      </c>
      <c r="C78" s="2" t="s">
        <v>16</v>
      </c>
      <c r="D78" s="2" t="s">
        <v>17</v>
      </c>
      <c r="E78" s="2" t="s">
        <v>181</v>
      </c>
      <c r="F78" s="3">
        <v>20000</v>
      </c>
      <c r="G78" s="3">
        <v>20000</v>
      </c>
      <c r="H78" s="4"/>
      <c r="I78" s="17">
        <v>0</v>
      </c>
      <c r="J78" s="17">
        <v>0</v>
      </c>
      <c r="K78" s="18">
        <f t="shared" si="1"/>
        <v>20000</v>
      </c>
      <c r="L78" s="19"/>
      <c r="M78" s="62" t="str">
        <f>VLOOKUP(A78,[1]Master!$C:$F,3,0)</f>
        <v>Provost</v>
      </c>
      <c r="N78" t="str">
        <f>VLOOKUP(A78,[1]Master!$C:$F,4,0)</f>
        <v>College of Engineering</v>
      </c>
    </row>
    <row r="79" spans="1:14" customFormat="1" ht="31.5" x14ac:dyDescent="0.35">
      <c r="A79" s="2">
        <v>8470310</v>
      </c>
      <c r="B79" s="2" t="s">
        <v>180</v>
      </c>
      <c r="C79" s="2" t="s">
        <v>31</v>
      </c>
      <c r="D79" s="2" t="s">
        <v>32</v>
      </c>
      <c r="E79" s="2" t="s">
        <v>182</v>
      </c>
      <c r="F79" s="3">
        <v>15000</v>
      </c>
      <c r="G79" s="3">
        <v>15000</v>
      </c>
      <c r="H79" s="3">
        <v>5918</v>
      </c>
      <c r="I79" s="17">
        <v>0</v>
      </c>
      <c r="J79" s="17">
        <v>0</v>
      </c>
      <c r="K79" s="18">
        <f t="shared" si="1"/>
        <v>9082</v>
      </c>
      <c r="L79" s="19"/>
      <c r="M79" s="62" t="str">
        <f>VLOOKUP(A79,[1]Master!$C:$F,3,0)</f>
        <v>Provost</v>
      </c>
      <c r="N79" t="str">
        <f>VLOOKUP(A79,[1]Master!$C:$F,4,0)</f>
        <v>College of Engineering</v>
      </c>
    </row>
    <row r="80" spans="1:14" customFormat="1" ht="21" x14ac:dyDescent="0.35">
      <c r="A80" s="2">
        <v>8470310</v>
      </c>
      <c r="B80" s="2" t="s">
        <v>180</v>
      </c>
      <c r="C80" s="2" t="s">
        <v>183</v>
      </c>
      <c r="D80" s="2" t="s">
        <v>184</v>
      </c>
      <c r="E80" s="2" t="s">
        <v>185</v>
      </c>
      <c r="F80" s="3">
        <v>150000</v>
      </c>
      <c r="G80" s="3">
        <v>142000</v>
      </c>
      <c r="H80" s="3">
        <v>141230.35</v>
      </c>
      <c r="I80" s="17">
        <v>0</v>
      </c>
      <c r="J80" s="17">
        <v>0</v>
      </c>
      <c r="K80" s="18">
        <f t="shared" si="1"/>
        <v>769.64999999999418</v>
      </c>
      <c r="L80" s="19"/>
      <c r="M80" s="62" t="str">
        <f>VLOOKUP(A80,[1]Master!$C:$F,3,0)</f>
        <v>Provost</v>
      </c>
      <c r="N80" t="str">
        <f>VLOOKUP(A80,[1]Master!$C:$F,4,0)</f>
        <v>College of Engineering</v>
      </c>
    </row>
    <row r="81" spans="1:14" customFormat="1" ht="21" x14ac:dyDescent="0.35">
      <c r="A81" s="2">
        <v>8470310</v>
      </c>
      <c r="B81" s="2" t="s">
        <v>180</v>
      </c>
      <c r="C81" s="2" t="s">
        <v>72</v>
      </c>
      <c r="D81" s="2" t="s">
        <v>73</v>
      </c>
      <c r="E81" s="2" t="s">
        <v>186</v>
      </c>
      <c r="F81" s="3">
        <v>350000</v>
      </c>
      <c r="G81" s="3">
        <v>350000</v>
      </c>
      <c r="H81" s="3">
        <v>346087.16</v>
      </c>
      <c r="I81" s="17">
        <v>0</v>
      </c>
      <c r="J81" s="17">
        <v>0</v>
      </c>
      <c r="K81" s="18">
        <f t="shared" si="1"/>
        <v>3912.8400000000256</v>
      </c>
      <c r="L81" s="19"/>
      <c r="M81" s="62" t="str">
        <f>VLOOKUP(A81,[1]Master!$C:$F,3,0)</f>
        <v>Provost</v>
      </c>
      <c r="N81" t="str">
        <f>VLOOKUP(A81,[1]Master!$C:$F,4,0)</f>
        <v>College of Engineering</v>
      </c>
    </row>
    <row r="82" spans="1:14" customFormat="1" ht="21" x14ac:dyDescent="0.35">
      <c r="A82" s="2">
        <v>8470310</v>
      </c>
      <c r="B82" s="2" t="s">
        <v>180</v>
      </c>
      <c r="C82" s="2" t="s">
        <v>97</v>
      </c>
      <c r="D82" s="2" t="s">
        <v>98</v>
      </c>
      <c r="E82" s="2" t="s">
        <v>187</v>
      </c>
      <c r="F82" s="3">
        <v>210000</v>
      </c>
      <c r="G82" s="3">
        <v>70188</v>
      </c>
      <c r="H82" s="3">
        <v>69894.84</v>
      </c>
      <c r="I82" s="17">
        <v>0</v>
      </c>
      <c r="J82" s="17">
        <v>0</v>
      </c>
      <c r="K82" s="18">
        <f t="shared" si="1"/>
        <v>293.16000000000349</v>
      </c>
      <c r="L82" s="19"/>
      <c r="M82" s="62" t="str">
        <f>VLOOKUP(A82,[1]Master!$C:$F,3,0)</f>
        <v>Provost</v>
      </c>
      <c r="N82" t="str">
        <f>VLOOKUP(A82,[1]Master!$C:$F,4,0)</f>
        <v>College of Engineering</v>
      </c>
    </row>
    <row r="83" spans="1:14" customFormat="1" ht="21" x14ac:dyDescent="0.35">
      <c r="A83" s="2">
        <v>8470310</v>
      </c>
      <c r="B83" s="2" t="s">
        <v>180</v>
      </c>
      <c r="C83" s="2" t="s">
        <v>37</v>
      </c>
      <c r="D83" s="2" t="s">
        <v>38</v>
      </c>
      <c r="E83" s="2" t="s">
        <v>188</v>
      </c>
      <c r="F83" s="3">
        <v>8500</v>
      </c>
      <c r="G83" s="3">
        <v>8500</v>
      </c>
      <c r="H83" s="3">
        <v>4600</v>
      </c>
      <c r="I83" s="17">
        <v>0</v>
      </c>
      <c r="J83" s="17">
        <v>0</v>
      </c>
      <c r="K83" s="18">
        <f t="shared" si="1"/>
        <v>3900</v>
      </c>
      <c r="L83" s="19"/>
      <c r="M83" s="62" t="str">
        <f>VLOOKUP(A83,[1]Master!$C:$F,3,0)</f>
        <v>Provost</v>
      </c>
      <c r="N83" t="str">
        <f>VLOOKUP(A83,[1]Master!$C:$F,4,0)</f>
        <v>College of Engineering</v>
      </c>
    </row>
    <row r="84" spans="1:14" customFormat="1" ht="21" x14ac:dyDescent="0.35">
      <c r="A84" s="2">
        <v>8470310</v>
      </c>
      <c r="B84" s="2" t="s">
        <v>180</v>
      </c>
      <c r="C84" s="2" t="s">
        <v>40</v>
      </c>
      <c r="D84" s="2" t="s">
        <v>41</v>
      </c>
      <c r="E84" s="2" t="s">
        <v>189</v>
      </c>
      <c r="F84" s="3">
        <v>9114</v>
      </c>
      <c r="G84" s="3">
        <v>9114</v>
      </c>
      <c r="H84" s="3">
        <v>8895.2800000000007</v>
      </c>
      <c r="I84" s="17">
        <v>0</v>
      </c>
      <c r="J84" s="17">
        <v>0</v>
      </c>
      <c r="K84" s="18">
        <f t="shared" si="1"/>
        <v>218.71999999999935</v>
      </c>
      <c r="L84" s="19"/>
      <c r="M84" s="62" t="str">
        <f>VLOOKUP(A84,[1]Master!$C:$F,3,0)</f>
        <v>Provost</v>
      </c>
      <c r="N84" t="str">
        <f>VLOOKUP(A84,[1]Master!$C:$F,4,0)</f>
        <v>College of Engineering</v>
      </c>
    </row>
    <row r="85" spans="1:14" customFormat="1" ht="21" x14ac:dyDescent="0.35">
      <c r="A85" s="2">
        <v>8470310</v>
      </c>
      <c r="B85" s="2" t="s">
        <v>180</v>
      </c>
      <c r="C85" s="2" t="s">
        <v>43</v>
      </c>
      <c r="D85" s="2" t="s">
        <v>44</v>
      </c>
      <c r="E85" s="2" t="s">
        <v>190</v>
      </c>
      <c r="F85" s="3">
        <v>40000</v>
      </c>
      <c r="G85" s="3">
        <v>14536</v>
      </c>
      <c r="H85" s="3">
        <v>7951</v>
      </c>
      <c r="I85" s="17">
        <v>0</v>
      </c>
      <c r="J85" s="17">
        <v>0</v>
      </c>
      <c r="K85" s="18">
        <f t="shared" si="1"/>
        <v>6585</v>
      </c>
      <c r="L85" s="19"/>
      <c r="M85" s="62" t="str">
        <f>VLOOKUP(A85,[1]Master!$C:$F,3,0)</f>
        <v>Provost</v>
      </c>
      <c r="N85" t="str">
        <f>VLOOKUP(A85,[1]Master!$C:$F,4,0)</f>
        <v>College of Engineering</v>
      </c>
    </row>
    <row r="86" spans="1:14" customFormat="1" ht="21" x14ac:dyDescent="0.35">
      <c r="A86" s="2">
        <v>8470310</v>
      </c>
      <c r="B86" s="2" t="s">
        <v>180</v>
      </c>
      <c r="C86" s="2" t="s">
        <v>169</v>
      </c>
      <c r="D86" s="2" t="s">
        <v>170</v>
      </c>
      <c r="E86" s="2" t="s">
        <v>191</v>
      </c>
      <c r="F86" s="3">
        <v>80000</v>
      </c>
      <c r="G86" s="3">
        <v>5000</v>
      </c>
      <c r="H86" s="4"/>
      <c r="I86" s="17">
        <v>0</v>
      </c>
      <c r="J86" s="17">
        <v>0</v>
      </c>
      <c r="K86" s="18">
        <f t="shared" si="1"/>
        <v>5000</v>
      </c>
      <c r="L86" s="19"/>
      <c r="M86" s="62" t="str">
        <f>VLOOKUP(A86,[1]Master!$C:$F,3,0)</f>
        <v>Provost</v>
      </c>
      <c r="N86" t="str">
        <f>VLOOKUP(A86,[1]Master!$C:$F,4,0)</f>
        <v>College of Engineering</v>
      </c>
    </row>
    <row r="87" spans="1:14" customFormat="1" ht="21" x14ac:dyDescent="0.35">
      <c r="A87" s="2">
        <v>8470310</v>
      </c>
      <c r="B87" s="2" t="s">
        <v>180</v>
      </c>
      <c r="C87" s="2" t="s">
        <v>192</v>
      </c>
      <c r="D87" s="2" t="s">
        <v>193</v>
      </c>
      <c r="E87" s="2" t="s">
        <v>194</v>
      </c>
      <c r="F87" s="3">
        <v>0</v>
      </c>
      <c r="G87" s="3">
        <v>60000</v>
      </c>
      <c r="H87" s="3">
        <v>53660.77</v>
      </c>
      <c r="I87" s="17">
        <v>0</v>
      </c>
      <c r="J87" s="17">
        <v>0</v>
      </c>
      <c r="K87" s="18">
        <f t="shared" si="1"/>
        <v>6339.2300000000032</v>
      </c>
      <c r="L87" s="19"/>
      <c r="M87" s="62" t="str">
        <f>VLOOKUP(A87,[1]Master!$C:$F,3,0)</f>
        <v>Provost</v>
      </c>
      <c r="N87" t="str">
        <f>VLOOKUP(A87,[1]Master!$C:$F,4,0)</f>
        <v>College of Engineering</v>
      </c>
    </row>
    <row r="88" spans="1:14" customFormat="1" ht="21" x14ac:dyDescent="0.35">
      <c r="A88" s="2">
        <v>8470310</v>
      </c>
      <c r="B88" s="2" t="s">
        <v>180</v>
      </c>
      <c r="C88" s="2" t="s">
        <v>103</v>
      </c>
      <c r="D88" s="2" t="s">
        <v>104</v>
      </c>
      <c r="E88" s="2" t="s">
        <v>195</v>
      </c>
      <c r="F88" s="3">
        <v>182000</v>
      </c>
      <c r="G88" s="3">
        <v>99482</v>
      </c>
      <c r="H88" s="3">
        <v>88017.37</v>
      </c>
      <c r="I88" s="17">
        <v>0</v>
      </c>
      <c r="J88" s="17">
        <v>0</v>
      </c>
      <c r="K88" s="18">
        <f t="shared" si="1"/>
        <v>11464.630000000005</v>
      </c>
      <c r="L88" s="19"/>
      <c r="M88" s="62" t="str">
        <f>VLOOKUP(A88,[1]Master!$C:$F,3,0)</f>
        <v>Provost</v>
      </c>
      <c r="N88" t="str">
        <f>VLOOKUP(A88,[1]Master!$C:$F,4,0)</f>
        <v>College of Engineering</v>
      </c>
    </row>
    <row r="89" spans="1:14" customFormat="1" ht="21" x14ac:dyDescent="0.35">
      <c r="A89" s="2">
        <v>8470310</v>
      </c>
      <c r="B89" s="2" t="s">
        <v>180</v>
      </c>
      <c r="C89" s="2" t="s">
        <v>173</v>
      </c>
      <c r="D89" s="2" t="s">
        <v>174</v>
      </c>
      <c r="E89" s="2" t="s">
        <v>196</v>
      </c>
      <c r="F89" s="3">
        <v>80000</v>
      </c>
      <c r="G89" s="3">
        <v>155000</v>
      </c>
      <c r="H89" s="3">
        <v>151685.32999999999</v>
      </c>
      <c r="I89" s="17">
        <v>0</v>
      </c>
      <c r="J89" s="17">
        <v>0</v>
      </c>
      <c r="K89" s="18">
        <f t="shared" si="1"/>
        <v>3314.6700000000128</v>
      </c>
      <c r="L89" s="19"/>
      <c r="M89" s="62" t="str">
        <f>VLOOKUP(A89,[1]Master!$C:$F,3,0)</f>
        <v>Provost</v>
      </c>
      <c r="N89" t="str">
        <f>VLOOKUP(A89,[1]Master!$C:$F,4,0)</f>
        <v>College of Engineering</v>
      </c>
    </row>
    <row r="90" spans="1:14" customFormat="1" ht="21" x14ac:dyDescent="0.35">
      <c r="A90" s="2">
        <v>8470310</v>
      </c>
      <c r="B90" s="2" t="s">
        <v>180</v>
      </c>
      <c r="C90" s="2" t="s">
        <v>154</v>
      </c>
      <c r="D90" s="2" t="s">
        <v>155</v>
      </c>
      <c r="E90" s="2" t="s">
        <v>197</v>
      </c>
      <c r="F90" s="3">
        <v>4000</v>
      </c>
      <c r="G90" s="3">
        <v>4000</v>
      </c>
      <c r="H90" s="4"/>
      <c r="I90" s="17">
        <v>0</v>
      </c>
      <c r="J90" s="17">
        <v>0</v>
      </c>
      <c r="K90" s="18">
        <f t="shared" si="1"/>
        <v>4000</v>
      </c>
      <c r="L90" s="19"/>
      <c r="M90" s="62" t="str">
        <f>VLOOKUP(A90,[1]Master!$C:$F,3,0)</f>
        <v>Provost</v>
      </c>
      <c r="N90" t="str">
        <f>VLOOKUP(A90,[1]Master!$C:$F,4,0)</f>
        <v>College of Engineering</v>
      </c>
    </row>
    <row r="91" spans="1:14" customFormat="1" ht="21" x14ac:dyDescent="0.35">
      <c r="A91" s="2">
        <v>8470310</v>
      </c>
      <c r="B91" s="2" t="s">
        <v>180</v>
      </c>
      <c r="C91" s="2" t="s">
        <v>176</v>
      </c>
      <c r="D91" s="2" t="s">
        <v>177</v>
      </c>
      <c r="E91" s="2" t="s">
        <v>198</v>
      </c>
      <c r="F91" s="3">
        <v>5000</v>
      </c>
      <c r="G91" s="3">
        <v>5000</v>
      </c>
      <c r="H91" s="4"/>
      <c r="I91" s="17">
        <v>0</v>
      </c>
      <c r="J91" s="17">
        <v>0</v>
      </c>
      <c r="K91" s="18">
        <f t="shared" si="1"/>
        <v>5000</v>
      </c>
      <c r="L91" s="19"/>
      <c r="M91" s="62" t="str">
        <f>VLOOKUP(A91,[1]Master!$C:$F,3,0)</f>
        <v>Provost</v>
      </c>
      <c r="N91" t="str">
        <f>VLOOKUP(A91,[1]Master!$C:$F,4,0)</f>
        <v>College of Engineering</v>
      </c>
    </row>
    <row r="92" spans="1:14" customFormat="1" ht="21" x14ac:dyDescent="0.35">
      <c r="A92" s="2">
        <v>8470315</v>
      </c>
      <c r="B92" s="2" t="s">
        <v>200</v>
      </c>
      <c r="C92" s="2" t="s">
        <v>16</v>
      </c>
      <c r="D92" s="2" t="s">
        <v>17</v>
      </c>
      <c r="E92" s="2" t="s">
        <v>201</v>
      </c>
      <c r="F92" s="3">
        <v>1000</v>
      </c>
      <c r="G92" s="3">
        <v>31025</v>
      </c>
      <c r="H92" s="3">
        <v>30455</v>
      </c>
      <c r="I92" s="17">
        <v>0</v>
      </c>
      <c r="J92" s="17">
        <v>0</v>
      </c>
      <c r="K92" s="18">
        <f t="shared" si="1"/>
        <v>570</v>
      </c>
      <c r="L92" s="19"/>
      <c r="M92" s="62" t="str">
        <f>VLOOKUP(A92,[1]Master!$C:$F,3,0)</f>
        <v>Provost</v>
      </c>
      <c r="N92" t="str">
        <f>VLOOKUP(A92,[1]Master!$C:$F,4,0)</f>
        <v>College of Engineering</v>
      </c>
    </row>
    <row r="93" spans="1:14" customFormat="1" ht="31.5" x14ac:dyDescent="0.35">
      <c r="A93" s="2">
        <v>8470315</v>
      </c>
      <c r="B93" s="2" t="s">
        <v>200</v>
      </c>
      <c r="C93" s="2" t="s">
        <v>31</v>
      </c>
      <c r="D93" s="2" t="s">
        <v>32</v>
      </c>
      <c r="E93" s="2" t="s">
        <v>202</v>
      </c>
      <c r="F93" s="3">
        <v>4000</v>
      </c>
      <c r="G93" s="3">
        <v>5139</v>
      </c>
      <c r="H93" s="3">
        <v>367.5</v>
      </c>
      <c r="I93" s="17">
        <v>0</v>
      </c>
      <c r="J93" s="17">
        <v>0</v>
      </c>
      <c r="K93" s="18">
        <f t="shared" si="1"/>
        <v>4771.5</v>
      </c>
      <c r="L93" s="19"/>
      <c r="M93" s="62" t="str">
        <f>VLOOKUP(A93,[1]Master!$C:$F,3,0)</f>
        <v>Provost</v>
      </c>
      <c r="N93" t="str">
        <f>VLOOKUP(A93,[1]Master!$C:$F,4,0)</f>
        <v>College of Engineering</v>
      </c>
    </row>
    <row r="94" spans="1:14" customFormat="1" ht="21" x14ac:dyDescent="0.35">
      <c r="A94" s="2">
        <v>8470315</v>
      </c>
      <c r="B94" s="2" t="s">
        <v>200</v>
      </c>
      <c r="C94" s="2" t="s">
        <v>183</v>
      </c>
      <c r="D94" s="2" t="s">
        <v>184</v>
      </c>
      <c r="E94" s="2" t="s">
        <v>203</v>
      </c>
      <c r="F94" s="3">
        <v>20000</v>
      </c>
      <c r="G94" s="3">
        <v>6455</v>
      </c>
      <c r="H94" s="3">
        <v>6454.01</v>
      </c>
      <c r="I94" s="17">
        <v>0</v>
      </c>
      <c r="J94" s="17">
        <v>0</v>
      </c>
      <c r="K94" s="18">
        <f t="shared" si="1"/>
        <v>0.98999999999978172</v>
      </c>
      <c r="L94" s="19"/>
      <c r="M94" s="62" t="str">
        <f>VLOOKUP(A94,[1]Master!$C:$F,3,0)</f>
        <v>Provost</v>
      </c>
      <c r="N94" t="str">
        <f>VLOOKUP(A94,[1]Master!$C:$F,4,0)</f>
        <v>College of Engineering</v>
      </c>
    </row>
    <row r="95" spans="1:14" customFormat="1" ht="21" x14ac:dyDescent="0.35">
      <c r="A95" s="2">
        <v>8470315</v>
      </c>
      <c r="B95" s="2" t="s">
        <v>200</v>
      </c>
      <c r="C95" s="2" t="s">
        <v>72</v>
      </c>
      <c r="D95" s="2" t="s">
        <v>73</v>
      </c>
      <c r="E95" s="2" t="s">
        <v>204</v>
      </c>
      <c r="F95" s="3">
        <v>180000</v>
      </c>
      <c r="G95" s="3">
        <v>119800</v>
      </c>
      <c r="H95" s="3">
        <v>119798.77</v>
      </c>
      <c r="I95" s="17">
        <v>0</v>
      </c>
      <c r="J95" s="17">
        <v>0</v>
      </c>
      <c r="K95" s="18">
        <f t="shared" si="1"/>
        <v>1.2299999999959255</v>
      </c>
      <c r="L95" s="19"/>
      <c r="M95" s="62" t="str">
        <f>VLOOKUP(A95,[1]Master!$C:$F,3,0)</f>
        <v>Provost</v>
      </c>
      <c r="N95" t="str">
        <f>VLOOKUP(A95,[1]Master!$C:$F,4,0)</f>
        <v>College of Engineering</v>
      </c>
    </row>
    <row r="96" spans="1:14" customFormat="1" ht="21" x14ac:dyDescent="0.35">
      <c r="A96" s="2">
        <v>8470315</v>
      </c>
      <c r="B96" s="2" t="s">
        <v>200</v>
      </c>
      <c r="C96" s="2" t="s">
        <v>97</v>
      </c>
      <c r="D96" s="2" t="s">
        <v>98</v>
      </c>
      <c r="E96" s="2" t="s">
        <v>205</v>
      </c>
      <c r="F96" s="3">
        <v>180000</v>
      </c>
      <c r="G96" s="3">
        <v>97193</v>
      </c>
      <c r="H96" s="3">
        <v>80688.58</v>
      </c>
      <c r="I96" s="17">
        <v>0</v>
      </c>
      <c r="J96" s="17">
        <v>0</v>
      </c>
      <c r="K96" s="18">
        <f t="shared" si="1"/>
        <v>16504.419999999998</v>
      </c>
      <c r="L96" s="19"/>
      <c r="M96" s="62" t="str">
        <f>VLOOKUP(A96,[1]Master!$C:$F,3,0)</f>
        <v>Provost</v>
      </c>
      <c r="N96" t="str">
        <f>VLOOKUP(A96,[1]Master!$C:$F,4,0)</f>
        <v>College of Engineering</v>
      </c>
    </row>
    <row r="97" spans="1:14" customFormat="1" ht="21" x14ac:dyDescent="0.35">
      <c r="A97" s="2">
        <v>8470315</v>
      </c>
      <c r="B97" s="2" t="s">
        <v>200</v>
      </c>
      <c r="C97" s="2" t="s">
        <v>37</v>
      </c>
      <c r="D97" s="2" t="s">
        <v>38</v>
      </c>
      <c r="E97" s="2" t="s">
        <v>206</v>
      </c>
      <c r="F97" s="3">
        <v>10000</v>
      </c>
      <c r="G97" s="3">
        <v>17000</v>
      </c>
      <c r="H97" s="3">
        <v>13875.5</v>
      </c>
      <c r="I97" s="17">
        <v>0</v>
      </c>
      <c r="J97" s="17">
        <v>0</v>
      </c>
      <c r="K97" s="18">
        <f t="shared" si="1"/>
        <v>3124.5</v>
      </c>
      <c r="L97" s="19"/>
      <c r="M97" s="62" t="str">
        <f>VLOOKUP(A97,[1]Master!$C:$F,3,0)</f>
        <v>Provost</v>
      </c>
      <c r="N97" t="str">
        <f>VLOOKUP(A97,[1]Master!$C:$F,4,0)</f>
        <v>College of Engineering</v>
      </c>
    </row>
    <row r="98" spans="1:14" customFormat="1" ht="21" x14ac:dyDescent="0.35">
      <c r="A98" s="2">
        <v>8470315</v>
      </c>
      <c r="B98" s="2" t="s">
        <v>200</v>
      </c>
      <c r="C98" s="2" t="s">
        <v>40</v>
      </c>
      <c r="D98" s="2" t="s">
        <v>41</v>
      </c>
      <c r="E98" s="2" t="s">
        <v>207</v>
      </c>
      <c r="F98" s="3">
        <v>99576</v>
      </c>
      <c r="G98" s="3">
        <v>7412</v>
      </c>
      <c r="H98" s="3">
        <v>7411.92</v>
      </c>
      <c r="I98" s="17">
        <v>0</v>
      </c>
      <c r="J98" s="17">
        <v>0</v>
      </c>
      <c r="K98" s="18">
        <f t="shared" si="1"/>
        <v>7.999999999992724E-2</v>
      </c>
      <c r="L98" s="19"/>
      <c r="M98" s="62" t="str">
        <f>VLOOKUP(A98,[1]Master!$C:$F,3,0)</f>
        <v>Provost</v>
      </c>
      <c r="N98" t="str">
        <f>VLOOKUP(A98,[1]Master!$C:$F,4,0)</f>
        <v>College of Engineering</v>
      </c>
    </row>
    <row r="99" spans="1:14" customFormat="1" ht="21" x14ac:dyDescent="0.35">
      <c r="A99" s="2">
        <v>8470315</v>
      </c>
      <c r="B99" s="2" t="s">
        <v>200</v>
      </c>
      <c r="C99" s="2" t="s">
        <v>43</v>
      </c>
      <c r="D99" s="2" t="s">
        <v>44</v>
      </c>
      <c r="E99" s="2" t="s">
        <v>208</v>
      </c>
      <c r="F99" s="3">
        <v>10000</v>
      </c>
      <c r="G99" s="3">
        <v>2725</v>
      </c>
      <c r="H99" s="4"/>
      <c r="I99" s="17">
        <v>0</v>
      </c>
      <c r="J99" s="17">
        <v>0</v>
      </c>
      <c r="K99" s="18">
        <f t="shared" si="1"/>
        <v>2725</v>
      </c>
      <c r="L99" s="19"/>
      <c r="M99" s="62" t="str">
        <f>VLOOKUP(A99,[1]Master!$C:$F,3,0)</f>
        <v>Provost</v>
      </c>
      <c r="N99" t="str">
        <f>VLOOKUP(A99,[1]Master!$C:$F,4,0)</f>
        <v>College of Engineering</v>
      </c>
    </row>
    <row r="100" spans="1:14" customFormat="1" ht="21" x14ac:dyDescent="0.35">
      <c r="A100" s="2">
        <v>8470315</v>
      </c>
      <c r="B100" s="2" t="s">
        <v>200</v>
      </c>
      <c r="C100" s="2" t="s">
        <v>169</v>
      </c>
      <c r="D100" s="2" t="s">
        <v>170</v>
      </c>
      <c r="E100" s="2" t="s">
        <v>209</v>
      </c>
      <c r="F100" s="3">
        <v>90250</v>
      </c>
      <c r="G100" s="3">
        <v>90250</v>
      </c>
      <c r="H100" s="3">
        <v>61376.12</v>
      </c>
      <c r="I100" s="17">
        <v>0</v>
      </c>
      <c r="J100" s="17">
        <v>26517.8</v>
      </c>
      <c r="K100" s="18">
        <f t="shared" si="1"/>
        <v>2356.0799999999981</v>
      </c>
      <c r="L100" s="19"/>
      <c r="M100" s="62" t="str">
        <f>VLOOKUP(A100,[1]Master!$C:$F,3,0)</f>
        <v>Provost</v>
      </c>
      <c r="N100" t="str">
        <f>VLOOKUP(A100,[1]Master!$C:$F,4,0)</f>
        <v>College of Engineering</v>
      </c>
    </row>
    <row r="101" spans="1:14" customFormat="1" ht="21" x14ac:dyDescent="0.35">
      <c r="A101" s="2">
        <v>8470315</v>
      </c>
      <c r="B101" s="2" t="s">
        <v>200</v>
      </c>
      <c r="C101" s="2" t="s">
        <v>103</v>
      </c>
      <c r="D101" s="2" t="s">
        <v>104</v>
      </c>
      <c r="E101" s="2" t="s">
        <v>210</v>
      </c>
      <c r="F101" s="3">
        <v>38400</v>
      </c>
      <c r="G101" s="3">
        <v>38192</v>
      </c>
      <c r="H101" s="3">
        <v>32030.63</v>
      </c>
      <c r="I101" s="17">
        <v>0</v>
      </c>
      <c r="J101" s="17">
        <v>0</v>
      </c>
      <c r="K101" s="18">
        <f t="shared" si="1"/>
        <v>6161.369999999999</v>
      </c>
      <c r="L101" s="19"/>
      <c r="M101" s="62" t="str">
        <f>VLOOKUP(A101,[1]Master!$C:$F,3,0)</f>
        <v>Provost</v>
      </c>
      <c r="N101" t="str">
        <f>VLOOKUP(A101,[1]Master!$C:$F,4,0)</f>
        <v>College of Engineering</v>
      </c>
    </row>
    <row r="102" spans="1:14" customFormat="1" ht="21" x14ac:dyDescent="0.35">
      <c r="A102" s="2">
        <v>8470315</v>
      </c>
      <c r="B102" s="2" t="s">
        <v>200</v>
      </c>
      <c r="C102" s="2" t="s">
        <v>173</v>
      </c>
      <c r="D102" s="2" t="s">
        <v>174</v>
      </c>
      <c r="E102" s="2" t="s">
        <v>211</v>
      </c>
      <c r="F102" s="3">
        <v>150000</v>
      </c>
      <c r="G102" s="3">
        <v>195655</v>
      </c>
      <c r="H102" s="3">
        <v>194459.45</v>
      </c>
      <c r="I102" s="17">
        <v>0</v>
      </c>
      <c r="J102" s="17">
        <v>1191.78</v>
      </c>
      <c r="K102" s="18">
        <f t="shared" si="1"/>
        <v>3.7699999999883858</v>
      </c>
      <c r="L102" s="19"/>
      <c r="M102" s="62" t="str">
        <f>VLOOKUP(A102,[1]Master!$C:$F,3,0)</f>
        <v>Provost</v>
      </c>
      <c r="N102" t="str">
        <f>VLOOKUP(A102,[1]Master!$C:$F,4,0)</f>
        <v>College of Engineering</v>
      </c>
    </row>
    <row r="103" spans="1:14" customFormat="1" ht="21" x14ac:dyDescent="0.35">
      <c r="A103" s="2">
        <v>8470315</v>
      </c>
      <c r="B103" s="2" t="s">
        <v>200</v>
      </c>
      <c r="C103" s="2" t="s">
        <v>154</v>
      </c>
      <c r="D103" s="2" t="s">
        <v>155</v>
      </c>
      <c r="E103" s="2" t="s">
        <v>212</v>
      </c>
      <c r="F103" s="3">
        <v>2000</v>
      </c>
      <c r="G103" s="3">
        <v>2000</v>
      </c>
      <c r="H103" s="4"/>
      <c r="I103" s="17">
        <v>0</v>
      </c>
      <c r="J103" s="17">
        <v>0</v>
      </c>
      <c r="K103" s="18">
        <f t="shared" si="1"/>
        <v>2000</v>
      </c>
      <c r="L103" s="19"/>
      <c r="M103" s="62" t="str">
        <f>VLOOKUP(A103,[1]Master!$C:$F,3,0)</f>
        <v>Provost</v>
      </c>
      <c r="N103" t="str">
        <f>VLOOKUP(A103,[1]Master!$C:$F,4,0)</f>
        <v>College of Engineering</v>
      </c>
    </row>
    <row r="104" spans="1:14" customFormat="1" ht="21" x14ac:dyDescent="0.35">
      <c r="A104" s="2">
        <v>8470315</v>
      </c>
      <c r="B104" s="2" t="s">
        <v>200</v>
      </c>
      <c r="C104" s="2" t="s">
        <v>176</v>
      </c>
      <c r="D104" s="2" t="s">
        <v>177</v>
      </c>
      <c r="E104" s="2" t="s">
        <v>213</v>
      </c>
      <c r="F104" s="3">
        <v>3000</v>
      </c>
      <c r="G104" s="3">
        <v>3000</v>
      </c>
      <c r="H104" s="4"/>
      <c r="I104" s="17">
        <v>0</v>
      </c>
      <c r="J104" s="17">
        <v>0</v>
      </c>
      <c r="K104" s="18">
        <f t="shared" si="1"/>
        <v>3000</v>
      </c>
      <c r="L104" s="19"/>
      <c r="M104" s="62" t="str">
        <f>VLOOKUP(A104,[1]Master!$C:$F,3,0)</f>
        <v>Provost</v>
      </c>
      <c r="N104" t="str">
        <f>VLOOKUP(A104,[1]Master!$C:$F,4,0)</f>
        <v>College of Engineering</v>
      </c>
    </row>
    <row r="105" spans="1:14" customFormat="1" ht="21" x14ac:dyDescent="0.35">
      <c r="A105" s="2">
        <v>8470320</v>
      </c>
      <c r="B105" s="2" t="s">
        <v>215</v>
      </c>
      <c r="C105" s="2" t="s">
        <v>16</v>
      </c>
      <c r="D105" s="2" t="s">
        <v>17</v>
      </c>
      <c r="E105" s="2" t="s">
        <v>216</v>
      </c>
      <c r="F105" s="3">
        <v>20000</v>
      </c>
      <c r="G105" s="3">
        <v>20000</v>
      </c>
      <c r="H105" s="3">
        <v>2362.5</v>
      </c>
      <c r="I105" s="17">
        <v>0</v>
      </c>
      <c r="J105" s="17">
        <v>0</v>
      </c>
      <c r="K105" s="18">
        <f t="shared" si="1"/>
        <v>17637.5</v>
      </c>
      <c r="L105" s="19"/>
      <c r="M105" s="62" t="str">
        <f>VLOOKUP(A105,[1]Master!$C:$F,3,0)</f>
        <v>Provost</v>
      </c>
      <c r="N105" t="str">
        <f>VLOOKUP(A105,[1]Master!$C:$F,4,0)</f>
        <v>College of Engineering</v>
      </c>
    </row>
    <row r="106" spans="1:14" customFormat="1" ht="31.5" x14ac:dyDescent="0.35">
      <c r="A106" s="2">
        <v>8470320</v>
      </c>
      <c r="B106" s="2" t="s">
        <v>215</v>
      </c>
      <c r="C106" s="2" t="s">
        <v>31</v>
      </c>
      <c r="D106" s="2" t="s">
        <v>32</v>
      </c>
      <c r="E106" s="2" t="s">
        <v>217</v>
      </c>
      <c r="F106" s="3">
        <v>30000</v>
      </c>
      <c r="G106" s="3">
        <v>30232</v>
      </c>
      <c r="H106" s="3">
        <v>30230.33</v>
      </c>
      <c r="I106" s="17">
        <v>0</v>
      </c>
      <c r="J106" s="17">
        <v>0</v>
      </c>
      <c r="K106" s="18">
        <f t="shared" si="1"/>
        <v>1.6699999999982538</v>
      </c>
      <c r="L106" s="19"/>
      <c r="M106" s="62" t="str">
        <f>VLOOKUP(A106,[1]Master!$C:$F,3,0)</f>
        <v>Provost</v>
      </c>
      <c r="N106" t="str">
        <f>VLOOKUP(A106,[1]Master!$C:$F,4,0)</f>
        <v>College of Engineering</v>
      </c>
    </row>
    <row r="107" spans="1:14" customFormat="1" ht="21" x14ac:dyDescent="0.35">
      <c r="A107" s="2">
        <v>8470320</v>
      </c>
      <c r="B107" s="2" t="s">
        <v>215</v>
      </c>
      <c r="C107" s="2" t="s">
        <v>183</v>
      </c>
      <c r="D107" s="2" t="s">
        <v>184</v>
      </c>
      <c r="E107" s="2" t="s">
        <v>218</v>
      </c>
      <c r="F107" s="3">
        <v>25000</v>
      </c>
      <c r="G107" s="3">
        <v>2</v>
      </c>
      <c r="H107" s="4"/>
      <c r="I107" s="17">
        <v>0</v>
      </c>
      <c r="J107" s="17">
        <v>0</v>
      </c>
      <c r="K107" s="18">
        <f t="shared" si="1"/>
        <v>2</v>
      </c>
      <c r="L107" s="19"/>
      <c r="M107" s="62" t="str">
        <f>VLOOKUP(A107,[1]Master!$C:$F,3,0)</f>
        <v>Provost</v>
      </c>
      <c r="N107" t="str">
        <f>VLOOKUP(A107,[1]Master!$C:$F,4,0)</f>
        <v>College of Engineering</v>
      </c>
    </row>
    <row r="108" spans="1:14" customFormat="1" ht="21" x14ac:dyDescent="0.35">
      <c r="A108" s="2">
        <v>8470320</v>
      </c>
      <c r="B108" s="2" t="s">
        <v>215</v>
      </c>
      <c r="C108" s="2" t="s">
        <v>72</v>
      </c>
      <c r="D108" s="2" t="s">
        <v>73</v>
      </c>
      <c r="E108" s="2" t="s">
        <v>219</v>
      </c>
      <c r="F108" s="3">
        <v>100000</v>
      </c>
      <c r="G108" s="3">
        <v>63666</v>
      </c>
      <c r="H108" s="3">
        <v>63663.57</v>
      </c>
      <c r="I108" s="17">
        <v>0</v>
      </c>
      <c r="J108" s="17">
        <v>0</v>
      </c>
      <c r="K108" s="18">
        <f t="shared" si="1"/>
        <v>2.430000000000291</v>
      </c>
      <c r="L108" s="19"/>
      <c r="M108" s="62" t="str">
        <f>VLOOKUP(A108,[1]Master!$C:$F,3,0)</f>
        <v>Provost</v>
      </c>
      <c r="N108" t="str">
        <f>VLOOKUP(A108,[1]Master!$C:$F,4,0)</f>
        <v>College of Engineering</v>
      </c>
    </row>
    <row r="109" spans="1:14" customFormat="1" ht="21" x14ac:dyDescent="0.35">
      <c r="A109" s="2">
        <v>8470320</v>
      </c>
      <c r="B109" s="2" t="s">
        <v>215</v>
      </c>
      <c r="C109" s="2" t="s">
        <v>97</v>
      </c>
      <c r="D109" s="2" t="s">
        <v>98</v>
      </c>
      <c r="E109" s="2" t="s">
        <v>220</v>
      </c>
      <c r="F109" s="3">
        <v>450000</v>
      </c>
      <c r="G109" s="3">
        <v>179134</v>
      </c>
      <c r="H109" s="3">
        <v>179133.07</v>
      </c>
      <c r="I109" s="17">
        <v>0</v>
      </c>
      <c r="J109" s="17">
        <v>0</v>
      </c>
      <c r="K109" s="18">
        <f t="shared" si="1"/>
        <v>0.92999999999301508</v>
      </c>
      <c r="L109" s="19"/>
      <c r="M109" s="62" t="str">
        <f>VLOOKUP(A109,[1]Master!$C:$F,3,0)</f>
        <v>Provost</v>
      </c>
      <c r="N109" t="str">
        <f>VLOOKUP(A109,[1]Master!$C:$F,4,0)</f>
        <v>College of Engineering</v>
      </c>
    </row>
    <row r="110" spans="1:14" customFormat="1" ht="21" x14ac:dyDescent="0.35">
      <c r="A110" s="2">
        <v>8470320</v>
      </c>
      <c r="B110" s="2" t="s">
        <v>215</v>
      </c>
      <c r="C110" s="2" t="s">
        <v>37</v>
      </c>
      <c r="D110" s="2" t="s">
        <v>38</v>
      </c>
      <c r="E110" s="2" t="s">
        <v>221</v>
      </c>
      <c r="F110" s="3">
        <v>20000</v>
      </c>
      <c r="G110" s="3">
        <v>4752</v>
      </c>
      <c r="H110" s="3">
        <v>4750</v>
      </c>
      <c r="I110" s="17">
        <v>0</v>
      </c>
      <c r="J110" s="17">
        <v>0</v>
      </c>
      <c r="K110" s="18">
        <f t="shared" si="1"/>
        <v>2</v>
      </c>
      <c r="L110" s="19"/>
      <c r="M110" s="62" t="str">
        <f>VLOOKUP(A110,[1]Master!$C:$F,3,0)</f>
        <v>Provost</v>
      </c>
      <c r="N110" t="str">
        <f>VLOOKUP(A110,[1]Master!$C:$F,4,0)</f>
        <v>College of Engineering</v>
      </c>
    </row>
    <row r="111" spans="1:14" customFormat="1" ht="21" x14ac:dyDescent="0.35">
      <c r="A111" s="2">
        <v>8470320</v>
      </c>
      <c r="B111" s="2" t="s">
        <v>215</v>
      </c>
      <c r="C111" s="2" t="s">
        <v>40</v>
      </c>
      <c r="D111" s="2" t="s">
        <v>41</v>
      </c>
      <c r="E111" s="2" t="s">
        <v>222</v>
      </c>
      <c r="F111" s="3">
        <v>75000</v>
      </c>
      <c r="G111" s="3">
        <v>60386</v>
      </c>
      <c r="H111" s="3">
        <v>60384.12</v>
      </c>
      <c r="I111" s="17">
        <v>0</v>
      </c>
      <c r="J111" s="17">
        <v>0</v>
      </c>
      <c r="K111" s="18">
        <f t="shared" si="1"/>
        <v>1.8799999999973807</v>
      </c>
      <c r="L111" s="19"/>
      <c r="M111" s="62" t="str">
        <f>VLOOKUP(A111,[1]Master!$C:$F,3,0)</f>
        <v>Provost</v>
      </c>
      <c r="N111" t="str">
        <f>VLOOKUP(A111,[1]Master!$C:$F,4,0)</f>
        <v>College of Engineering</v>
      </c>
    </row>
    <row r="112" spans="1:14" customFormat="1" ht="21" x14ac:dyDescent="0.35">
      <c r="A112" s="2">
        <v>8470320</v>
      </c>
      <c r="B112" s="2" t="s">
        <v>215</v>
      </c>
      <c r="C112" s="2" t="s">
        <v>43</v>
      </c>
      <c r="D112" s="2" t="s">
        <v>44</v>
      </c>
      <c r="E112" s="2" t="s">
        <v>223</v>
      </c>
      <c r="F112" s="3">
        <v>35000</v>
      </c>
      <c r="G112" s="3">
        <v>10401</v>
      </c>
      <c r="H112" s="3">
        <v>10400</v>
      </c>
      <c r="I112" s="17">
        <v>0</v>
      </c>
      <c r="J112" s="17">
        <v>0</v>
      </c>
      <c r="K112" s="18">
        <f t="shared" si="1"/>
        <v>1</v>
      </c>
      <c r="L112" s="19"/>
      <c r="M112" s="62" t="str">
        <f>VLOOKUP(A112,[1]Master!$C:$F,3,0)</f>
        <v>Provost</v>
      </c>
      <c r="N112" t="str">
        <f>VLOOKUP(A112,[1]Master!$C:$F,4,0)</f>
        <v>College of Engineering</v>
      </c>
    </row>
    <row r="113" spans="1:14" customFormat="1" ht="21" x14ac:dyDescent="0.35">
      <c r="A113" s="2">
        <v>8470320</v>
      </c>
      <c r="B113" s="2" t="s">
        <v>215</v>
      </c>
      <c r="C113" s="2" t="s">
        <v>103</v>
      </c>
      <c r="D113" s="2" t="s">
        <v>104</v>
      </c>
      <c r="E113" s="2" t="s">
        <v>224</v>
      </c>
      <c r="F113" s="3">
        <v>50000</v>
      </c>
      <c r="G113" s="3">
        <v>29251</v>
      </c>
      <c r="H113" s="3">
        <v>22245.54</v>
      </c>
      <c r="I113" s="17">
        <v>0</v>
      </c>
      <c r="J113" s="17">
        <v>0</v>
      </c>
      <c r="K113" s="18">
        <f t="shared" si="1"/>
        <v>7005.4599999999991</v>
      </c>
      <c r="L113" s="19"/>
      <c r="M113" s="62" t="str">
        <f>VLOOKUP(A113,[1]Master!$C:$F,3,0)</f>
        <v>Provost</v>
      </c>
      <c r="N113" t="str">
        <f>VLOOKUP(A113,[1]Master!$C:$F,4,0)</f>
        <v>College of Engineering</v>
      </c>
    </row>
    <row r="114" spans="1:14" customFormat="1" ht="21" x14ac:dyDescent="0.35">
      <c r="A114" s="2">
        <v>8470320</v>
      </c>
      <c r="B114" s="2" t="s">
        <v>215</v>
      </c>
      <c r="C114" s="2" t="s">
        <v>173</v>
      </c>
      <c r="D114" s="2" t="s">
        <v>174</v>
      </c>
      <c r="E114" s="2" t="s">
        <v>225</v>
      </c>
      <c r="F114" s="3">
        <v>200000</v>
      </c>
      <c r="G114" s="3">
        <v>212131</v>
      </c>
      <c r="H114" s="3">
        <v>194915</v>
      </c>
      <c r="I114" s="17">
        <v>0</v>
      </c>
      <c r="J114" s="17">
        <v>1613.70000000001</v>
      </c>
      <c r="K114" s="18">
        <f>G114-H114-I114-J114</f>
        <v>15602.29999999999</v>
      </c>
      <c r="L114" s="19"/>
      <c r="M114" s="62" t="str">
        <f>VLOOKUP(A114,[1]Master!$C:$F,3,0)</f>
        <v>Provost</v>
      </c>
      <c r="N114" t="str">
        <f>VLOOKUP(A114,[1]Master!$C:$F,4,0)</f>
        <v>College of Engineering</v>
      </c>
    </row>
    <row r="115" spans="1:14" customFormat="1" ht="21" x14ac:dyDescent="0.35">
      <c r="A115" s="2">
        <v>8470320</v>
      </c>
      <c r="B115" s="2" t="s">
        <v>215</v>
      </c>
      <c r="C115" s="2" t="s">
        <v>154</v>
      </c>
      <c r="D115" s="2" t="s">
        <v>155</v>
      </c>
      <c r="E115" s="2" t="s">
        <v>226</v>
      </c>
      <c r="F115" s="3">
        <v>35000</v>
      </c>
      <c r="G115" s="3">
        <v>35000</v>
      </c>
      <c r="H115" s="3">
        <v>20011.63</v>
      </c>
      <c r="I115" s="17">
        <v>0</v>
      </c>
      <c r="J115" s="17">
        <v>0</v>
      </c>
      <c r="K115" s="18">
        <f t="shared" si="1"/>
        <v>14988.369999999999</v>
      </c>
      <c r="L115" s="19"/>
      <c r="M115" s="62" t="str">
        <f>VLOOKUP(A115,[1]Master!$C:$F,3,0)</f>
        <v>Provost</v>
      </c>
      <c r="N115" t="str">
        <f>VLOOKUP(A115,[1]Master!$C:$F,4,0)</f>
        <v>College of Engineering</v>
      </c>
    </row>
    <row r="116" spans="1:14" customFormat="1" ht="21" x14ac:dyDescent="0.35">
      <c r="A116" s="2">
        <v>8470320</v>
      </c>
      <c r="B116" s="2" t="s">
        <v>215</v>
      </c>
      <c r="C116" s="2" t="s">
        <v>176</v>
      </c>
      <c r="D116" s="2" t="s">
        <v>177</v>
      </c>
      <c r="E116" s="2" t="s">
        <v>227</v>
      </c>
      <c r="F116" s="3">
        <v>45000</v>
      </c>
      <c r="G116" s="3">
        <v>38400</v>
      </c>
      <c r="H116" s="3">
        <v>12485</v>
      </c>
      <c r="I116" s="17">
        <v>0</v>
      </c>
      <c r="J116" s="17">
        <v>0</v>
      </c>
      <c r="K116" s="18">
        <f t="shared" si="1"/>
        <v>25915</v>
      </c>
      <c r="L116" s="19"/>
      <c r="M116" s="62" t="str">
        <f>VLOOKUP(A116,[1]Master!$C:$F,3,0)</f>
        <v>Provost</v>
      </c>
      <c r="N116" t="str">
        <f>VLOOKUP(A116,[1]Master!$C:$F,4,0)</f>
        <v>College of Engineering</v>
      </c>
    </row>
    <row r="117" spans="1:14" customFormat="1" ht="21" x14ac:dyDescent="0.35">
      <c r="A117" s="2">
        <v>8470325</v>
      </c>
      <c r="B117" s="2" t="s">
        <v>229</v>
      </c>
      <c r="C117" s="2" t="s">
        <v>16</v>
      </c>
      <c r="D117" s="2" t="s">
        <v>17</v>
      </c>
      <c r="E117" s="2" t="s">
        <v>230</v>
      </c>
      <c r="F117" s="3">
        <v>4000</v>
      </c>
      <c r="G117" s="3">
        <v>4000</v>
      </c>
      <c r="H117" s="4"/>
      <c r="I117" s="17">
        <v>0</v>
      </c>
      <c r="J117" s="17">
        <v>0</v>
      </c>
      <c r="K117" s="18">
        <f t="shared" si="1"/>
        <v>4000</v>
      </c>
      <c r="L117" s="19"/>
      <c r="M117" s="62" t="str">
        <f>VLOOKUP(A117,[1]Master!$C:$F,3,0)</f>
        <v>Provost</v>
      </c>
      <c r="N117" t="str">
        <f>VLOOKUP(A117,[1]Master!$C:$F,4,0)</f>
        <v>College of Engineering</v>
      </c>
    </row>
    <row r="118" spans="1:14" customFormat="1" ht="31.5" x14ac:dyDescent="0.35">
      <c r="A118" s="2">
        <v>8470325</v>
      </c>
      <c r="B118" s="2" t="s">
        <v>229</v>
      </c>
      <c r="C118" s="2" t="s">
        <v>31</v>
      </c>
      <c r="D118" s="2" t="s">
        <v>32</v>
      </c>
      <c r="E118" s="2" t="s">
        <v>231</v>
      </c>
      <c r="F118" s="3">
        <v>6600</v>
      </c>
      <c r="G118" s="3">
        <v>6600</v>
      </c>
      <c r="H118" s="3">
        <v>6300</v>
      </c>
      <c r="I118" s="17">
        <v>0</v>
      </c>
      <c r="J118" s="17">
        <v>0</v>
      </c>
      <c r="K118" s="18">
        <f t="shared" si="1"/>
        <v>300</v>
      </c>
      <c r="L118" s="19"/>
      <c r="M118" s="62" t="str">
        <f>VLOOKUP(A118,[1]Master!$C:$F,3,0)</f>
        <v>Provost</v>
      </c>
      <c r="N118" t="str">
        <f>VLOOKUP(A118,[1]Master!$C:$F,4,0)</f>
        <v>College of Engineering</v>
      </c>
    </row>
    <row r="119" spans="1:14" customFormat="1" ht="21" x14ac:dyDescent="0.35">
      <c r="A119" s="2">
        <v>8470325</v>
      </c>
      <c r="B119" s="2" t="s">
        <v>229</v>
      </c>
      <c r="C119" s="2" t="s">
        <v>183</v>
      </c>
      <c r="D119" s="2" t="s">
        <v>184</v>
      </c>
      <c r="E119" s="2" t="s">
        <v>232</v>
      </c>
      <c r="F119" s="3">
        <v>5000</v>
      </c>
      <c r="G119" s="3">
        <v>5000</v>
      </c>
      <c r="H119" s="3">
        <v>990.47</v>
      </c>
      <c r="I119" s="17">
        <v>0</v>
      </c>
      <c r="J119" s="17">
        <v>0</v>
      </c>
      <c r="K119" s="18">
        <f t="shared" si="1"/>
        <v>4009.5299999999997</v>
      </c>
      <c r="L119" s="19"/>
      <c r="M119" s="62" t="str">
        <f>VLOOKUP(A119,[1]Master!$C:$F,3,0)</f>
        <v>Provost</v>
      </c>
      <c r="N119" t="str">
        <f>VLOOKUP(A119,[1]Master!$C:$F,4,0)</f>
        <v>College of Engineering</v>
      </c>
    </row>
    <row r="120" spans="1:14" customFormat="1" ht="21" x14ac:dyDescent="0.35">
      <c r="A120" s="2">
        <v>8470325</v>
      </c>
      <c r="B120" s="2" t="s">
        <v>229</v>
      </c>
      <c r="C120" s="2" t="s">
        <v>72</v>
      </c>
      <c r="D120" s="2" t="s">
        <v>73</v>
      </c>
      <c r="E120" s="2" t="s">
        <v>233</v>
      </c>
      <c r="F120" s="3">
        <v>370000</v>
      </c>
      <c r="G120" s="3">
        <v>272459</v>
      </c>
      <c r="H120" s="3">
        <v>253397.66</v>
      </c>
      <c r="I120" s="17">
        <v>0</v>
      </c>
      <c r="J120" s="17">
        <v>0</v>
      </c>
      <c r="K120" s="18">
        <f t="shared" si="1"/>
        <v>19061.339999999997</v>
      </c>
      <c r="L120" s="19"/>
      <c r="M120" s="62" t="str">
        <f>VLOOKUP(A120,[1]Master!$C:$F,3,0)</f>
        <v>Provost</v>
      </c>
      <c r="N120" t="str">
        <f>VLOOKUP(A120,[1]Master!$C:$F,4,0)</f>
        <v>College of Engineering</v>
      </c>
    </row>
    <row r="121" spans="1:14" customFormat="1" ht="21" x14ac:dyDescent="0.35">
      <c r="A121" s="2">
        <v>8470325</v>
      </c>
      <c r="B121" s="2" t="s">
        <v>229</v>
      </c>
      <c r="C121" s="2" t="s">
        <v>97</v>
      </c>
      <c r="D121" s="2" t="s">
        <v>98</v>
      </c>
      <c r="E121" s="2" t="s">
        <v>234</v>
      </c>
      <c r="F121" s="3">
        <v>165000</v>
      </c>
      <c r="G121" s="3">
        <v>112556</v>
      </c>
      <c r="H121" s="3">
        <v>106816.03</v>
      </c>
      <c r="I121" s="17">
        <v>0</v>
      </c>
      <c r="J121" s="17">
        <v>0</v>
      </c>
      <c r="K121" s="18">
        <f t="shared" si="1"/>
        <v>5739.9700000000012</v>
      </c>
      <c r="L121" s="19"/>
      <c r="M121" s="62" t="str">
        <f>VLOOKUP(A121,[1]Master!$C:$F,3,0)</f>
        <v>Provost</v>
      </c>
      <c r="N121" t="str">
        <f>VLOOKUP(A121,[1]Master!$C:$F,4,0)</f>
        <v>College of Engineering</v>
      </c>
    </row>
    <row r="122" spans="1:14" customFormat="1" ht="21" x14ac:dyDescent="0.35">
      <c r="A122" s="2">
        <v>8470325</v>
      </c>
      <c r="B122" s="2" t="s">
        <v>229</v>
      </c>
      <c r="C122" s="2" t="s">
        <v>40</v>
      </c>
      <c r="D122" s="2" t="s">
        <v>41</v>
      </c>
      <c r="E122" s="2" t="s">
        <v>235</v>
      </c>
      <c r="F122" s="3">
        <v>34910</v>
      </c>
      <c r="G122" s="3">
        <v>39910</v>
      </c>
      <c r="H122" s="3">
        <v>24682.400000000001</v>
      </c>
      <c r="I122" s="17">
        <v>0</v>
      </c>
      <c r="J122" s="17">
        <v>0</v>
      </c>
      <c r="K122" s="18">
        <f t="shared" si="1"/>
        <v>15227.599999999999</v>
      </c>
      <c r="L122" s="19"/>
      <c r="M122" s="62" t="str">
        <f>VLOOKUP(A122,[1]Master!$C:$F,3,0)</f>
        <v>Provost</v>
      </c>
      <c r="N122" t="str">
        <f>VLOOKUP(A122,[1]Master!$C:$F,4,0)</f>
        <v>College of Engineering</v>
      </c>
    </row>
    <row r="123" spans="1:14" customFormat="1" ht="21" x14ac:dyDescent="0.35">
      <c r="A123" s="2">
        <v>8470325</v>
      </c>
      <c r="B123" s="2" t="s">
        <v>229</v>
      </c>
      <c r="C123" s="2" t="s">
        <v>43</v>
      </c>
      <c r="D123" s="2" t="s">
        <v>44</v>
      </c>
      <c r="E123" s="2" t="s">
        <v>236</v>
      </c>
      <c r="F123" s="3">
        <v>30000</v>
      </c>
      <c r="G123" s="3">
        <v>0</v>
      </c>
      <c r="H123" s="4"/>
      <c r="I123" s="17">
        <v>0</v>
      </c>
      <c r="J123" s="17">
        <v>0</v>
      </c>
      <c r="K123" s="18">
        <f t="shared" si="1"/>
        <v>0</v>
      </c>
      <c r="L123" s="19"/>
      <c r="M123" s="62" t="str">
        <f>VLOOKUP(A123,[1]Master!$C:$F,3,0)</f>
        <v>Provost</v>
      </c>
      <c r="N123" t="str">
        <f>VLOOKUP(A123,[1]Master!$C:$F,4,0)</f>
        <v>College of Engineering</v>
      </c>
    </row>
    <row r="124" spans="1:14" customFormat="1" ht="21" x14ac:dyDescent="0.35">
      <c r="A124" s="2">
        <v>8470325</v>
      </c>
      <c r="B124" s="2" t="s">
        <v>229</v>
      </c>
      <c r="C124" s="2" t="s">
        <v>169</v>
      </c>
      <c r="D124" s="2" t="s">
        <v>170</v>
      </c>
      <c r="E124" s="2" t="s">
        <v>237</v>
      </c>
      <c r="F124" s="3">
        <v>171550</v>
      </c>
      <c r="G124" s="3">
        <v>201550</v>
      </c>
      <c r="H124" s="3">
        <v>168732</v>
      </c>
      <c r="I124" s="17">
        <v>0</v>
      </c>
      <c r="J124" s="17">
        <v>8450</v>
      </c>
      <c r="K124" s="18">
        <f t="shared" si="1"/>
        <v>24368</v>
      </c>
      <c r="L124" s="19"/>
      <c r="M124" s="62" t="str">
        <f>VLOOKUP(A124,[1]Master!$C:$F,3,0)</f>
        <v>Provost</v>
      </c>
      <c r="N124" t="str">
        <f>VLOOKUP(A124,[1]Master!$C:$F,4,0)</f>
        <v>College of Engineering</v>
      </c>
    </row>
    <row r="125" spans="1:14" customFormat="1" ht="21" x14ac:dyDescent="0.35">
      <c r="A125" s="2">
        <v>8470325</v>
      </c>
      <c r="B125" s="2" t="s">
        <v>229</v>
      </c>
      <c r="C125" s="2" t="s">
        <v>103</v>
      </c>
      <c r="D125" s="2" t="s">
        <v>104</v>
      </c>
      <c r="E125" s="2" t="s">
        <v>238</v>
      </c>
      <c r="F125" s="3">
        <v>80000</v>
      </c>
      <c r="G125" s="3">
        <v>43337</v>
      </c>
      <c r="H125" s="3">
        <v>15857</v>
      </c>
      <c r="I125" s="17">
        <v>0</v>
      </c>
      <c r="J125" s="17">
        <v>0</v>
      </c>
      <c r="K125" s="18">
        <f t="shared" si="1"/>
        <v>27480</v>
      </c>
      <c r="L125" s="19"/>
      <c r="M125" s="62" t="str">
        <f>VLOOKUP(A125,[1]Master!$C:$F,3,0)</f>
        <v>Provost</v>
      </c>
      <c r="N125" t="str">
        <f>VLOOKUP(A125,[1]Master!$C:$F,4,0)</f>
        <v>College of Engineering</v>
      </c>
    </row>
    <row r="126" spans="1:14" customFormat="1" ht="21" x14ac:dyDescent="0.35">
      <c r="A126" s="2">
        <v>8470325</v>
      </c>
      <c r="B126" s="2" t="s">
        <v>229</v>
      </c>
      <c r="C126" s="2" t="s">
        <v>173</v>
      </c>
      <c r="D126" s="2" t="s">
        <v>174</v>
      </c>
      <c r="E126" s="2" t="s">
        <v>239</v>
      </c>
      <c r="F126" s="3">
        <v>92573</v>
      </c>
      <c r="G126" s="3">
        <v>92573</v>
      </c>
      <c r="H126" s="3">
        <v>57978.7</v>
      </c>
      <c r="I126" s="17">
        <v>0</v>
      </c>
      <c r="J126" s="17">
        <v>32830</v>
      </c>
      <c r="K126" s="18">
        <f t="shared" si="1"/>
        <v>1764.3000000000029</v>
      </c>
      <c r="L126" s="19"/>
      <c r="M126" s="62" t="str">
        <f>VLOOKUP(A126,[1]Master!$C:$F,3,0)</f>
        <v>Provost</v>
      </c>
      <c r="N126" t="str">
        <f>VLOOKUP(A126,[1]Master!$C:$F,4,0)</f>
        <v>College of Engineering</v>
      </c>
    </row>
    <row r="127" spans="1:14" customFormat="1" ht="31.5" x14ac:dyDescent="0.35">
      <c r="A127" s="2">
        <v>8470330</v>
      </c>
      <c r="B127" s="2" t="s">
        <v>241</v>
      </c>
      <c r="C127" s="2" t="s">
        <v>16</v>
      </c>
      <c r="D127" s="2" t="s">
        <v>17</v>
      </c>
      <c r="E127" s="2" t="s">
        <v>242</v>
      </c>
      <c r="F127" s="3">
        <v>3000</v>
      </c>
      <c r="G127" s="3">
        <v>3000</v>
      </c>
      <c r="H127" s="4"/>
      <c r="I127" s="17">
        <v>0</v>
      </c>
      <c r="J127" s="17">
        <v>0</v>
      </c>
      <c r="K127" s="18">
        <f t="shared" si="1"/>
        <v>3000</v>
      </c>
      <c r="L127" s="19"/>
      <c r="M127" s="62" t="str">
        <f>VLOOKUP(A127,[1]Master!$C:$F,3,0)</f>
        <v>Provost</v>
      </c>
      <c r="N127" t="str">
        <f>VLOOKUP(A127,[1]Master!$C:$F,4,0)</f>
        <v>College of Engineering</v>
      </c>
    </row>
    <row r="128" spans="1:14" customFormat="1" ht="31.5" x14ac:dyDescent="0.35">
      <c r="A128" s="2">
        <v>8470330</v>
      </c>
      <c r="B128" s="2" t="s">
        <v>241</v>
      </c>
      <c r="C128" s="2" t="s">
        <v>31</v>
      </c>
      <c r="D128" s="2" t="s">
        <v>32</v>
      </c>
      <c r="E128" s="2" t="s">
        <v>243</v>
      </c>
      <c r="F128" s="3">
        <v>42000</v>
      </c>
      <c r="G128" s="3">
        <v>27000</v>
      </c>
      <c r="H128" s="3">
        <v>13765.96</v>
      </c>
      <c r="I128" s="17">
        <v>0</v>
      </c>
      <c r="J128" s="17">
        <v>0</v>
      </c>
      <c r="K128" s="18">
        <f t="shared" si="1"/>
        <v>13234.04</v>
      </c>
      <c r="L128" s="19"/>
      <c r="M128" s="62" t="str">
        <f>VLOOKUP(A128,[1]Master!$C:$F,3,0)</f>
        <v>Provost</v>
      </c>
      <c r="N128" t="str">
        <f>VLOOKUP(A128,[1]Master!$C:$F,4,0)</f>
        <v>College of Engineering</v>
      </c>
    </row>
    <row r="129" spans="1:14" customFormat="1" ht="31.5" x14ac:dyDescent="0.35">
      <c r="A129" s="2">
        <v>8470330</v>
      </c>
      <c r="B129" s="2" t="s">
        <v>241</v>
      </c>
      <c r="C129" s="2" t="s">
        <v>183</v>
      </c>
      <c r="D129" s="2" t="s">
        <v>184</v>
      </c>
      <c r="E129" s="2" t="s">
        <v>244</v>
      </c>
      <c r="F129" s="3">
        <v>72000</v>
      </c>
      <c r="G129" s="3">
        <v>4402</v>
      </c>
      <c r="H129" s="3">
        <v>4400</v>
      </c>
      <c r="I129" s="17">
        <v>0</v>
      </c>
      <c r="J129" s="17">
        <v>0</v>
      </c>
      <c r="K129" s="18">
        <f t="shared" si="1"/>
        <v>2</v>
      </c>
      <c r="L129" s="19"/>
      <c r="M129" s="62" t="str">
        <f>VLOOKUP(A129,[1]Master!$C:$F,3,0)</f>
        <v>Provost</v>
      </c>
      <c r="N129" t="str">
        <f>VLOOKUP(A129,[1]Master!$C:$F,4,0)</f>
        <v>College of Engineering</v>
      </c>
    </row>
    <row r="130" spans="1:14" customFormat="1" ht="31.5" x14ac:dyDescent="0.35">
      <c r="A130" s="2">
        <v>8470330</v>
      </c>
      <c r="B130" s="2" t="s">
        <v>241</v>
      </c>
      <c r="C130" s="2" t="s">
        <v>72</v>
      </c>
      <c r="D130" s="2" t="s">
        <v>73</v>
      </c>
      <c r="E130" s="2" t="s">
        <v>245</v>
      </c>
      <c r="F130" s="3">
        <v>405000</v>
      </c>
      <c r="G130" s="3">
        <v>170811</v>
      </c>
      <c r="H130" s="3">
        <v>170809.35</v>
      </c>
      <c r="I130" s="17">
        <v>0</v>
      </c>
      <c r="J130" s="17">
        <v>0</v>
      </c>
      <c r="K130" s="18">
        <f t="shared" si="1"/>
        <v>1.6499999999941792</v>
      </c>
      <c r="L130" s="19"/>
      <c r="M130" s="62" t="str">
        <f>VLOOKUP(A130,[1]Master!$C:$F,3,0)</f>
        <v>Provost</v>
      </c>
      <c r="N130" t="str">
        <f>VLOOKUP(A130,[1]Master!$C:$F,4,0)</f>
        <v>College of Engineering</v>
      </c>
    </row>
    <row r="131" spans="1:14" customFormat="1" ht="31.5" x14ac:dyDescent="0.35">
      <c r="A131" s="2">
        <v>8470330</v>
      </c>
      <c r="B131" s="2" t="s">
        <v>241</v>
      </c>
      <c r="C131" s="2" t="s">
        <v>97</v>
      </c>
      <c r="D131" s="2" t="s">
        <v>98</v>
      </c>
      <c r="E131" s="2" t="s">
        <v>246</v>
      </c>
      <c r="F131" s="3">
        <v>650000</v>
      </c>
      <c r="G131" s="3">
        <v>264636</v>
      </c>
      <c r="H131" s="3">
        <v>264435.36</v>
      </c>
      <c r="I131" s="17">
        <v>0</v>
      </c>
      <c r="J131" s="17">
        <v>0</v>
      </c>
      <c r="K131" s="18">
        <f t="shared" si="1"/>
        <v>200.64000000001397</v>
      </c>
      <c r="L131" s="19"/>
      <c r="M131" s="62" t="str">
        <f>VLOOKUP(A131,[1]Master!$C:$F,3,0)</f>
        <v>Provost</v>
      </c>
      <c r="N131" t="str">
        <f>VLOOKUP(A131,[1]Master!$C:$F,4,0)</f>
        <v>College of Engineering</v>
      </c>
    </row>
    <row r="132" spans="1:14" customFormat="1" ht="31.5" x14ac:dyDescent="0.35">
      <c r="A132" s="2">
        <v>8470330</v>
      </c>
      <c r="B132" s="2" t="s">
        <v>241</v>
      </c>
      <c r="C132" s="2" t="s">
        <v>37</v>
      </c>
      <c r="D132" s="2" t="s">
        <v>38</v>
      </c>
      <c r="E132" s="2" t="s">
        <v>247</v>
      </c>
      <c r="F132" s="3">
        <v>16000</v>
      </c>
      <c r="G132" s="3">
        <v>36000</v>
      </c>
      <c r="H132" s="3">
        <v>21946</v>
      </c>
      <c r="I132" s="17">
        <v>0</v>
      </c>
      <c r="J132" s="17">
        <v>0</v>
      </c>
      <c r="K132" s="18">
        <f t="shared" ref="K132:K195" si="2">G132-H132-I132-J132</f>
        <v>14054</v>
      </c>
      <c r="L132" s="19"/>
      <c r="M132" s="62" t="str">
        <f>VLOOKUP(A132,[1]Master!$C:$F,3,0)</f>
        <v>Provost</v>
      </c>
      <c r="N132" t="str">
        <f>VLOOKUP(A132,[1]Master!$C:$F,4,0)</f>
        <v>College of Engineering</v>
      </c>
    </row>
    <row r="133" spans="1:14" customFormat="1" ht="31.5" x14ac:dyDescent="0.35">
      <c r="A133" s="2">
        <v>8470330</v>
      </c>
      <c r="B133" s="2" t="s">
        <v>241</v>
      </c>
      <c r="C133" s="2" t="s">
        <v>40</v>
      </c>
      <c r="D133" s="2" t="s">
        <v>41</v>
      </c>
      <c r="E133" s="2" t="s">
        <v>248</v>
      </c>
      <c r="F133" s="3">
        <v>720500</v>
      </c>
      <c r="G133" s="3">
        <v>414734</v>
      </c>
      <c r="H133" s="3">
        <v>391033.15</v>
      </c>
      <c r="I133" s="17">
        <v>0</v>
      </c>
      <c r="J133" s="17">
        <v>23700</v>
      </c>
      <c r="K133" s="18">
        <f t="shared" si="2"/>
        <v>0.84999999997671694</v>
      </c>
      <c r="L133" s="19"/>
      <c r="M133" s="62" t="str">
        <f>VLOOKUP(A133,[1]Master!$C:$F,3,0)</f>
        <v>Provost</v>
      </c>
      <c r="N133" t="str">
        <f>VLOOKUP(A133,[1]Master!$C:$F,4,0)</f>
        <v>College of Engineering</v>
      </c>
    </row>
    <row r="134" spans="1:14" customFormat="1" ht="31.5" x14ac:dyDescent="0.35">
      <c r="A134" s="2">
        <v>8470330</v>
      </c>
      <c r="B134" s="2" t="s">
        <v>241</v>
      </c>
      <c r="C134" s="2" t="s">
        <v>61</v>
      </c>
      <c r="D134" s="2" t="s">
        <v>62</v>
      </c>
      <c r="E134" s="2" t="s">
        <v>249</v>
      </c>
      <c r="F134" s="3">
        <v>0</v>
      </c>
      <c r="G134" s="3">
        <v>10000</v>
      </c>
      <c r="H134" s="3">
        <v>675.65</v>
      </c>
      <c r="I134" s="17">
        <v>0</v>
      </c>
      <c r="J134" s="17">
        <v>0</v>
      </c>
      <c r="K134" s="18">
        <f t="shared" si="2"/>
        <v>9324.35</v>
      </c>
      <c r="L134" s="19"/>
      <c r="M134" s="62" t="str">
        <f>VLOOKUP(A134,[1]Master!$C:$F,3,0)</f>
        <v>Provost</v>
      </c>
      <c r="N134" t="str">
        <f>VLOOKUP(A134,[1]Master!$C:$F,4,0)</f>
        <v>College of Engineering</v>
      </c>
    </row>
    <row r="135" spans="1:14" customFormat="1" ht="31.5" x14ac:dyDescent="0.35">
      <c r="A135" s="2">
        <v>8470330</v>
      </c>
      <c r="B135" s="2" t="s">
        <v>241</v>
      </c>
      <c r="C135" s="2" t="s">
        <v>49</v>
      </c>
      <c r="D135" s="2" t="s">
        <v>50</v>
      </c>
      <c r="E135" s="2" t="s">
        <v>250</v>
      </c>
      <c r="F135" s="3">
        <v>302000</v>
      </c>
      <c r="G135" s="3">
        <v>2</v>
      </c>
      <c r="H135" s="4"/>
      <c r="I135" s="17">
        <v>0</v>
      </c>
      <c r="J135" s="17">
        <v>0</v>
      </c>
      <c r="K135" s="18">
        <f t="shared" si="2"/>
        <v>2</v>
      </c>
      <c r="L135" s="19"/>
      <c r="M135" s="62" t="str">
        <f>VLOOKUP(A135,[1]Master!$C:$F,3,0)</f>
        <v>Provost</v>
      </c>
      <c r="N135" t="str">
        <f>VLOOKUP(A135,[1]Master!$C:$F,4,0)</f>
        <v>College of Engineering</v>
      </c>
    </row>
    <row r="136" spans="1:14" customFormat="1" ht="31.5" x14ac:dyDescent="0.35">
      <c r="A136" s="2">
        <v>8470330</v>
      </c>
      <c r="B136" s="2" t="s">
        <v>241</v>
      </c>
      <c r="C136" s="2" t="s">
        <v>169</v>
      </c>
      <c r="D136" s="2" t="s">
        <v>170</v>
      </c>
      <c r="E136" s="2" t="s">
        <v>251</v>
      </c>
      <c r="F136" s="3">
        <v>67400</v>
      </c>
      <c r="G136" s="3">
        <v>21936</v>
      </c>
      <c r="H136" s="3">
        <v>18993.86</v>
      </c>
      <c r="I136" s="17">
        <v>0</v>
      </c>
      <c r="J136" s="17">
        <v>0</v>
      </c>
      <c r="K136" s="18">
        <f t="shared" si="2"/>
        <v>2942.1399999999994</v>
      </c>
      <c r="L136" s="19"/>
      <c r="M136" s="62" t="str">
        <f>VLOOKUP(A136,[1]Master!$C:$F,3,0)</f>
        <v>Provost</v>
      </c>
      <c r="N136" t="str">
        <f>VLOOKUP(A136,[1]Master!$C:$F,4,0)</f>
        <v>College of Engineering</v>
      </c>
    </row>
    <row r="137" spans="1:14" customFormat="1" ht="31.5" x14ac:dyDescent="0.35">
      <c r="A137" s="2">
        <v>8470330</v>
      </c>
      <c r="B137" s="2" t="s">
        <v>241</v>
      </c>
      <c r="C137" s="2" t="s">
        <v>192</v>
      </c>
      <c r="D137" s="2" t="s">
        <v>193</v>
      </c>
      <c r="E137" s="2" t="s">
        <v>252</v>
      </c>
      <c r="F137" s="4"/>
      <c r="G137" s="4"/>
      <c r="H137" s="3">
        <v>0</v>
      </c>
      <c r="I137" s="17">
        <v>0</v>
      </c>
      <c r="J137" s="17">
        <v>0</v>
      </c>
      <c r="K137" s="18">
        <f t="shared" si="2"/>
        <v>0</v>
      </c>
      <c r="L137" s="19"/>
      <c r="M137" s="62" t="str">
        <f>VLOOKUP(A137,[1]Master!$C:$F,3,0)</f>
        <v>Provost</v>
      </c>
      <c r="N137" t="str">
        <f>VLOOKUP(A137,[1]Master!$C:$F,4,0)</f>
        <v>College of Engineering</v>
      </c>
    </row>
    <row r="138" spans="1:14" customFormat="1" ht="31.5" x14ac:dyDescent="0.35">
      <c r="A138" s="2">
        <v>8470330</v>
      </c>
      <c r="B138" s="2" t="s">
        <v>241</v>
      </c>
      <c r="C138" s="2" t="s">
        <v>103</v>
      </c>
      <c r="D138" s="2" t="s">
        <v>104</v>
      </c>
      <c r="E138" s="2" t="s">
        <v>253</v>
      </c>
      <c r="F138" s="3">
        <v>420000</v>
      </c>
      <c r="G138" s="3">
        <v>166190</v>
      </c>
      <c r="H138" s="3">
        <v>153994.14000000001</v>
      </c>
      <c r="I138" s="17">
        <v>0</v>
      </c>
      <c r="J138" s="17">
        <v>0</v>
      </c>
      <c r="K138" s="18">
        <f t="shared" si="2"/>
        <v>12195.859999999986</v>
      </c>
      <c r="L138" s="19"/>
      <c r="M138" s="62" t="str">
        <f>VLOOKUP(A138,[1]Master!$C:$F,3,0)</f>
        <v>Provost</v>
      </c>
      <c r="N138" t="str">
        <f>VLOOKUP(A138,[1]Master!$C:$F,4,0)</f>
        <v>College of Engineering</v>
      </c>
    </row>
    <row r="139" spans="1:14" customFormat="1" ht="31.5" x14ac:dyDescent="0.35">
      <c r="A139" s="2">
        <v>8470330</v>
      </c>
      <c r="B139" s="2" t="s">
        <v>241</v>
      </c>
      <c r="C139" s="2" t="s">
        <v>173</v>
      </c>
      <c r="D139" s="2" t="s">
        <v>174</v>
      </c>
      <c r="E139" s="2" t="s">
        <v>254</v>
      </c>
      <c r="F139" s="3">
        <v>20000</v>
      </c>
      <c r="G139" s="3">
        <v>20000</v>
      </c>
      <c r="H139" s="3">
        <v>14673.64</v>
      </c>
      <c r="I139" s="17">
        <v>0</v>
      </c>
      <c r="J139" s="17"/>
      <c r="K139" s="18">
        <f t="shared" si="2"/>
        <v>5326.3600000000006</v>
      </c>
      <c r="L139" s="19"/>
      <c r="M139" s="62" t="str">
        <f>VLOOKUP(A139,[1]Master!$C:$F,3,0)</f>
        <v>Provost</v>
      </c>
      <c r="N139" t="str">
        <f>VLOOKUP(A139,[1]Master!$C:$F,4,0)</f>
        <v>College of Engineering</v>
      </c>
    </row>
    <row r="140" spans="1:14" customFormat="1" ht="31.5" x14ac:dyDescent="0.35">
      <c r="A140" s="2">
        <v>8470330</v>
      </c>
      <c r="B140" s="2" t="s">
        <v>241</v>
      </c>
      <c r="C140" s="2" t="s">
        <v>176</v>
      </c>
      <c r="D140" s="2" t="s">
        <v>177</v>
      </c>
      <c r="E140" s="2" t="s">
        <v>255</v>
      </c>
      <c r="F140" s="3">
        <v>60000</v>
      </c>
      <c r="G140" s="3">
        <v>15742</v>
      </c>
      <c r="H140" s="4"/>
      <c r="I140" s="17">
        <v>0</v>
      </c>
      <c r="J140" s="17">
        <v>15740</v>
      </c>
      <c r="K140" s="18">
        <f t="shared" si="2"/>
        <v>2</v>
      </c>
      <c r="L140" s="19"/>
      <c r="M140" s="62" t="str">
        <f>VLOOKUP(A140,[1]Master!$C:$F,3,0)</f>
        <v>Provost</v>
      </c>
      <c r="N140" t="str">
        <f>VLOOKUP(A140,[1]Master!$C:$F,4,0)</f>
        <v>College of Engineering</v>
      </c>
    </row>
    <row r="141" spans="1:14" customFormat="1" ht="31.5" x14ac:dyDescent="0.35">
      <c r="A141" s="2">
        <v>8470335</v>
      </c>
      <c r="B141" s="2" t="s">
        <v>257</v>
      </c>
      <c r="C141" s="2" t="s">
        <v>16</v>
      </c>
      <c r="D141" s="2" t="s">
        <v>17</v>
      </c>
      <c r="E141" s="2" t="s">
        <v>258</v>
      </c>
      <c r="F141" s="3">
        <v>10000</v>
      </c>
      <c r="G141" s="3">
        <v>10000</v>
      </c>
      <c r="H141" s="3">
        <v>7346</v>
      </c>
      <c r="I141" s="17">
        <v>0</v>
      </c>
      <c r="J141" s="17">
        <v>0</v>
      </c>
      <c r="K141" s="18">
        <f t="shared" si="2"/>
        <v>2654</v>
      </c>
      <c r="L141" s="19"/>
      <c r="M141" s="62" t="str">
        <f>VLOOKUP(A141,[1]Master!$C:$F,3,0)</f>
        <v>Provost</v>
      </c>
      <c r="N141" t="str">
        <f>VLOOKUP(A141,[1]Master!$C:$F,4,0)</f>
        <v>College of Engineering</v>
      </c>
    </row>
    <row r="142" spans="1:14" customFormat="1" ht="31.5" x14ac:dyDescent="0.35">
      <c r="A142" s="2">
        <v>8470335</v>
      </c>
      <c r="B142" s="2" t="s">
        <v>257</v>
      </c>
      <c r="C142" s="2" t="s">
        <v>31</v>
      </c>
      <c r="D142" s="2" t="s">
        <v>32</v>
      </c>
      <c r="E142" s="2" t="s">
        <v>259</v>
      </c>
      <c r="F142" s="3">
        <v>20000</v>
      </c>
      <c r="G142" s="3">
        <v>8500</v>
      </c>
      <c r="H142" s="3">
        <v>3750</v>
      </c>
      <c r="I142" s="17">
        <v>0</v>
      </c>
      <c r="J142" s="17">
        <v>0</v>
      </c>
      <c r="K142" s="18">
        <f t="shared" si="2"/>
        <v>4750</v>
      </c>
      <c r="L142" s="19"/>
      <c r="M142" s="62" t="str">
        <f>VLOOKUP(A142,[1]Master!$C:$F,3,0)</f>
        <v>Provost</v>
      </c>
      <c r="N142" t="str">
        <f>VLOOKUP(A142,[1]Master!$C:$F,4,0)</f>
        <v>College of Engineering</v>
      </c>
    </row>
    <row r="143" spans="1:14" customFormat="1" ht="31.5" x14ac:dyDescent="0.35">
      <c r="A143" s="2">
        <v>8470335</v>
      </c>
      <c r="B143" s="2" t="s">
        <v>257</v>
      </c>
      <c r="C143" s="2" t="s">
        <v>183</v>
      </c>
      <c r="D143" s="2" t="s">
        <v>184</v>
      </c>
      <c r="E143" s="2" t="s">
        <v>260</v>
      </c>
      <c r="F143" s="3">
        <v>10000</v>
      </c>
      <c r="G143" s="3">
        <v>10000</v>
      </c>
      <c r="H143" s="3">
        <v>5433.75</v>
      </c>
      <c r="I143" s="17">
        <v>0</v>
      </c>
      <c r="J143" s="17">
        <v>0</v>
      </c>
      <c r="K143" s="18">
        <f t="shared" si="2"/>
        <v>4566.25</v>
      </c>
      <c r="L143" s="19"/>
      <c r="M143" s="62" t="str">
        <f>VLOOKUP(A143,[1]Master!$C:$F,3,0)</f>
        <v>Provost</v>
      </c>
      <c r="N143" t="str">
        <f>VLOOKUP(A143,[1]Master!$C:$F,4,0)</f>
        <v>College of Engineering</v>
      </c>
    </row>
    <row r="144" spans="1:14" customFormat="1" ht="31.5" x14ac:dyDescent="0.35">
      <c r="A144" s="2">
        <v>8470335</v>
      </c>
      <c r="B144" s="2" t="s">
        <v>257</v>
      </c>
      <c r="C144" s="2" t="s">
        <v>72</v>
      </c>
      <c r="D144" s="2" t="s">
        <v>73</v>
      </c>
      <c r="E144" s="2" t="s">
        <v>261</v>
      </c>
      <c r="F144" s="3">
        <v>50000</v>
      </c>
      <c r="G144" s="3">
        <v>50000</v>
      </c>
      <c r="H144" s="3">
        <v>50000</v>
      </c>
      <c r="I144" s="17">
        <v>0</v>
      </c>
      <c r="J144" s="17">
        <v>0</v>
      </c>
      <c r="K144" s="18">
        <f t="shared" si="2"/>
        <v>0</v>
      </c>
      <c r="L144" s="19"/>
      <c r="M144" s="62" t="str">
        <f>VLOOKUP(A144,[1]Master!$C:$F,3,0)</f>
        <v>Provost</v>
      </c>
      <c r="N144" t="str">
        <f>VLOOKUP(A144,[1]Master!$C:$F,4,0)</f>
        <v>College of Engineering</v>
      </c>
    </row>
    <row r="145" spans="1:14" customFormat="1" ht="31.5" x14ac:dyDescent="0.35">
      <c r="A145" s="2">
        <v>8470335</v>
      </c>
      <c r="B145" s="2" t="s">
        <v>257</v>
      </c>
      <c r="C145" s="2" t="s">
        <v>97</v>
      </c>
      <c r="D145" s="2" t="s">
        <v>98</v>
      </c>
      <c r="E145" s="2" t="s">
        <v>262</v>
      </c>
      <c r="F145" s="3">
        <v>270000</v>
      </c>
      <c r="G145" s="3">
        <v>108634</v>
      </c>
      <c r="H145" s="3">
        <v>106489.39</v>
      </c>
      <c r="I145" s="17">
        <v>0</v>
      </c>
      <c r="J145" s="17">
        <v>0</v>
      </c>
      <c r="K145" s="18">
        <f t="shared" si="2"/>
        <v>2144.6100000000006</v>
      </c>
      <c r="L145" s="19"/>
      <c r="M145" s="62" t="str">
        <f>VLOOKUP(A145,[1]Master!$C:$F,3,0)</f>
        <v>Provost</v>
      </c>
      <c r="N145" t="str">
        <f>VLOOKUP(A145,[1]Master!$C:$F,4,0)</f>
        <v>College of Engineering</v>
      </c>
    </row>
    <row r="146" spans="1:14" customFormat="1" ht="31.5" x14ac:dyDescent="0.35">
      <c r="A146" s="2">
        <v>8470335</v>
      </c>
      <c r="B146" s="2" t="s">
        <v>257</v>
      </c>
      <c r="C146" s="2" t="s">
        <v>37</v>
      </c>
      <c r="D146" s="2" t="s">
        <v>38</v>
      </c>
      <c r="E146" s="2" t="s">
        <v>263</v>
      </c>
      <c r="F146" s="3">
        <v>20000</v>
      </c>
      <c r="G146" s="3">
        <v>15500</v>
      </c>
      <c r="H146" s="3">
        <v>4095</v>
      </c>
      <c r="I146" s="17">
        <v>0</v>
      </c>
      <c r="J146" s="17">
        <v>0</v>
      </c>
      <c r="K146" s="18">
        <f t="shared" si="2"/>
        <v>11405</v>
      </c>
      <c r="L146" s="19"/>
      <c r="M146" s="62" t="str">
        <f>VLOOKUP(A146,[1]Master!$C:$F,3,0)</f>
        <v>Provost</v>
      </c>
      <c r="N146" t="str">
        <f>VLOOKUP(A146,[1]Master!$C:$F,4,0)</f>
        <v>College of Engineering</v>
      </c>
    </row>
    <row r="147" spans="1:14" customFormat="1" ht="31.5" x14ac:dyDescent="0.35">
      <c r="A147" s="2">
        <v>8470335</v>
      </c>
      <c r="B147" s="2" t="s">
        <v>257</v>
      </c>
      <c r="C147" s="2" t="s">
        <v>40</v>
      </c>
      <c r="D147" s="2" t="s">
        <v>41</v>
      </c>
      <c r="E147" s="2" t="s">
        <v>264</v>
      </c>
      <c r="F147" s="3">
        <v>150257</v>
      </c>
      <c r="G147" s="3">
        <v>160257</v>
      </c>
      <c r="H147" s="3">
        <v>155594.01</v>
      </c>
      <c r="I147" s="17">
        <v>0</v>
      </c>
      <c r="J147" s="17">
        <v>12794.53</v>
      </c>
      <c r="K147" s="18">
        <f t="shared" si="2"/>
        <v>-8131.54000000001</v>
      </c>
      <c r="L147" s="19"/>
      <c r="M147" s="62" t="str">
        <f>VLOOKUP(A147,[1]Master!$C:$F,3,0)</f>
        <v>Provost</v>
      </c>
      <c r="N147" t="str">
        <f>VLOOKUP(A147,[1]Master!$C:$F,4,0)</f>
        <v>College of Engineering</v>
      </c>
    </row>
    <row r="148" spans="1:14" customFormat="1" ht="31.5" x14ac:dyDescent="0.35">
      <c r="A148" s="2">
        <v>8470335</v>
      </c>
      <c r="B148" s="2" t="s">
        <v>257</v>
      </c>
      <c r="C148" s="2" t="s">
        <v>43</v>
      </c>
      <c r="D148" s="2" t="s">
        <v>44</v>
      </c>
      <c r="E148" s="2" t="s">
        <v>265</v>
      </c>
      <c r="F148" s="3">
        <v>40000</v>
      </c>
      <c r="G148" s="3">
        <v>5898</v>
      </c>
      <c r="H148" s="4"/>
      <c r="I148" s="17">
        <v>0</v>
      </c>
      <c r="J148" s="17">
        <v>0</v>
      </c>
      <c r="K148" s="18">
        <f t="shared" si="2"/>
        <v>5898</v>
      </c>
      <c r="L148" s="19"/>
      <c r="M148" s="62" t="str">
        <f>VLOOKUP(A148,[1]Master!$C:$F,3,0)</f>
        <v>Provost</v>
      </c>
      <c r="N148" t="str">
        <f>VLOOKUP(A148,[1]Master!$C:$F,4,0)</f>
        <v>College of Engineering</v>
      </c>
    </row>
    <row r="149" spans="1:14" customFormat="1" ht="31.5" x14ac:dyDescent="0.35">
      <c r="A149" s="2">
        <v>8470335</v>
      </c>
      <c r="B149" s="2" t="s">
        <v>257</v>
      </c>
      <c r="C149" s="2" t="s">
        <v>103</v>
      </c>
      <c r="D149" s="2" t="s">
        <v>104</v>
      </c>
      <c r="E149" s="2" t="s">
        <v>266</v>
      </c>
      <c r="F149" s="3">
        <v>51520</v>
      </c>
      <c r="G149" s="3">
        <v>30484</v>
      </c>
      <c r="H149" s="3">
        <v>23639.71</v>
      </c>
      <c r="I149" s="17">
        <v>0</v>
      </c>
      <c r="J149" s="17">
        <v>0</v>
      </c>
      <c r="K149" s="18">
        <f t="shared" si="2"/>
        <v>6844.2900000000009</v>
      </c>
      <c r="L149" s="19"/>
      <c r="M149" s="62" t="str">
        <f>VLOOKUP(A149,[1]Master!$C:$F,3,0)</f>
        <v>Provost</v>
      </c>
      <c r="N149" t="str">
        <f>VLOOKUP(A149,[1]Master!$C:$F,4,0)</f>
        <v>College of Engineering</v>
      </c>
    </row>
    <row r="150" spans="1:14" customFormat="1" ht="31.5" x14ac:dyDescent="0.35">
      <c r="A150" s="2">
        <v>8470335</v>
      </c>
      <c r="B150" s="2" t="s">
        <v>257</v>
      </c>
      <c r="C150" s="2" t="s">
        <v>173</v>
      </c>
      <c r="D150" s="2" t="s">
        <v>174</v>
      </c>
      <c r="E150" s="2" t="s">
        <v>267</v>
      </c>
      <c r="F150" s="3">
        <v>139000</v>
      </c>
      <c r="G150" s="3">
        <v>246500</v>
      </c>
      <c r="H150" s="3">
        <v>231258.61</v>
      </c>
      <c r="I150" s="17">
        <v>0</v>
      </c>
      <c r="J150" s="17">
        <v>11024.51</v>
      </c>
      <c r="K150" s="18">
        <f t="shared" si="2"/>
        <v>4216.8800000000138</v>
      </c>
      <c r="L150" s="19"/>
      <c r="M150" s="62" t="str">
        <f>VLOOKUP(A150,[1]Master!$C:$F,3,0)</f>
        <v>Provost</v>
      </c>
      <c r="N150" t="str">
        <f>VLOOKUP(A150,[1]Master!$C:$F,4,0)</f>
        <v>College of Engineering</v>
      </c>
    </row>
    <row r="151" spans="1:14" customFormat="1" ht="31.5" x14ac:dyDescent="0.35">
      <c r="A151" s="2">
        <v>8470335</v>
      </c>
      <c r="B151" s="2" t="s">
        <v>257</v>
      </c>
      <c r="C151" s="2" t="s">
        <v>154</v>
      </c>
      <c r="D151" s="2" t="s">
        <v>155</v>
      </c>
      <c r="E151" s="2" t="s">
        <v>268</v>
      </c>
      <c r="F151" s="3">
        <v>4000</v>
      </c>
      <c r="G151" s="3">
        <v>500</v>
      </c>
      <c r="H151" s="4"/>
      <c r="I151" s="17">
        <v>0</v>
      </c>
      <c r="J151" s="17">
        <v>0</v>
      </c>
      <c r="K151" s="18">
        <f t="shared" si="2"/>
        <v>500</v>
      </c>
      <c r="L151" s="19"/>
      <c r="M151" s="62" t="str">
        <f>VLOOKUP(A151,[1]Master!$C:$F,3,0)</f>
        <v>Provost</v>
      </c>
      <c r="N151" t="str">
        <f>VLOOKUP(A151,[1]Master!$C:$F,4,0)</f>
        <v>College of Engineering</v>
      </c>
    </row>
    <row r="152" spans="1:14" customFormat="1" ht="31.5" x14ac:dyDescent="0.35">
      <c r="A152" s="2">
        <v>8470335</v>
      </c>
      <c r="B152" s="2" t="s">
        <v>257</v>
      </c>
      <c r="C152" s="2" t="s">
        <v>176</v>
      </c>
      <c r="D152" s="2" t="s">
        <v>177</v>
      </c>
      <c r="E152" s="2" t="s">
        <v>269</v>
      </c>
      <c r="F152" s="3">
        <v>12000</v>
      </c>
      <c r="G152" s="3">
        <v>12000</v>
      </c>
      <c r="H152" s="3">
        <v>11500</v>
      </c>
      <c r="I152" s="17">
        <v>0</v>
      </c>
      <c r="J152" s="17">
        <v>0</v>
      </c>
      <c r="K152" s="18">
        <f t="shared" si="2"/>
        <v>500</v>
      </c>
      <c r="L152" s="19"/>
      <c r="M152" s="62" t="str">
        <f>VLOOKUP(A152,[1]Master!$C:$F,3,0)</f>
        <v>Provost</v>
      </c>
      <c r="N152" t="str">
        <f>VLOOKUP(A152,[1]Master!$C:$F,4,0)</f>
        <v>College of Engineering</v>
      </c>
    </row>
    <row r="153" spans="1:14" customFormat="1" ht="21" x14ac:dyDescent="0.35">
      <c r="A153" s="2">
        <v>8470340</v>
      </c>
      <c r="B153" s="2" t="s">
        <v>271</v>
      </c>
      <c r="C153" s="2" t="s">
        <v>16</v>
      </c>
      <c r="D153" s="2" t="s">
        <v>17</v>
      </c>
      <c r="E153" s="2" t="s">
        <v>272</v>
      </c>
      <c r="F153" s="3">
        <v>3000</v>
      </c>
      <c r="G153" s="3">
        <v>0</v>
      </c>
      <c r="H153" s="4"/>
      <c r="I153" s="17">
        <v>0</v>
      </c>
      <c r="J153" s="17">
        <v>0</v>
      </c>
      <c r="K153" s="18">
        <f t="shared" si="2"/>
        <v>0</v>
      </c>
      <c r="L153" s="19"/>
      <c r="M153" s="62" t="str">
        <f>VLOOKUP(A153,[1]Master!$C:$F,3,0)</f>
        <v>Provost</v>
      </c>
      <c r="N153" t="str">
        <f>VLOOKUP(A153,[1]Master!$C:$F,4,0)</f>
        <v>College of Engineering</v>
      </c>
    </row>
    <row r="154" spans="1:14" customFormat="1" ht="31.5" x14ac:dyDescent="0.35">
      <c r="A154" s="2">
        <v>8470340</v>
      </c>
      <c r="B154" s="2" t="s">
        <v>271</v>
      </c>
      <c r="C154" s="2" t="s">
        <v>31</v>
      </c>
      <c r="D154" s="2" t="s">
        <v>32</v>
      </c>
      <c r="E154" s="2" t="s">
        <v>273</v>
      </c>
      <c r="F154" s="3">
        <v>10000</v>
      </c>
      <c r="G154" s="3">
        <v>10000</v>
      </c>
      <c r="H154" s="4"/>
      <c r="I154" s="17">
        <v>0</v>
      </c>
      <c r="J154" s="17">
        <v>0</v>
      </c>
      <c r="K154" s="18">
        <f t="shared" si="2"/>
        <v>10000</v>
      </c>
      <c r="L154" s="19"/>
      <c r="M154" s="62" t="str">
        <f>VLOOKUP(A154,[1]Master!$C:$F,3,0)</f>
        <v>Provost</v>
      </c>
      <c r="N154" t="str">
        <f>VLOOKUP(A154,[1]Master!$C:$F,4,0)</f>
        <v>College of Engineering</v>
      </c>
    </row>
    <row r="155" spans="1:14" customFormat="1" ht="21" x14ac:dyDescent="0.35">
      <c r="A155" s="2">
        <v>8470340</v>
      </c>
      <c r="B155" s="2" t="s">
        <v>271</v>
      </c>
      <c r="C155" s="2" t="s">
        <v>274</v>
      </c>
      <c r="D155" s="2" t="s">
        <v>275</v>
      </c>
      <c r="E155" s="2" t="s">
        <v>276</v>
      </c>
      <c r="F155" s="3">
        <v>30000</v>
      </c>
      <c r="G155" s="3">
        <v>30000</v>
      </c>
      <c r="H155" s="4"/>
      <c r="I155" s="17">
        <v>0</v>
      </c>
      <c r="J155" s="17">
        <v>29766.77</v>
      </c>
      <c r="K155" s="18">
        <f t="shared" si="2"/>
        <v>233.22999999999956</v>
      </c>
      <c r="L155" s="19"/>
      <c r="M155" s="62" t="str">
        <f>VLOOKUP(A155,[1]Master!$C:$F,3,0)</f>
        <v>Provost</v>
      </c>
      <c r="N155" t="str">
        <f>VLOOKUP(A155,[1]Master!$C:$F,4,0)</f>
        <v>College of Engineering</v>
      </c>
    </row>
    <row r="156" spans="1:14" customFormat="1" ht="21" x14ac:dyDescent="0.35">
      <c r="A156" s="2">
        <v>8470340</v>
      </c>
      <c r="B156" s="2" t="s">
        <v>271</v>
      </c>
      <c r="C156" s="2" t="s">
        <v>183</v>
      </c>
      <c r="D156" s="2" t="s">
        <v>184</v>
      </c>
      <c r="E156" s="2" t="s">
        <v>277</v>
      </c>
      <c r="F156" s="3">
        <v>12000</v>
      </c>
      <c r="G156" s="3">
        <v>12000</v>
      </c>
      <c r="H156" s="3">
        <v>735</v>
      </c>
      <c r="I156" s="17">
        <v>0</v>
      </c>
      <c r="J156" s="17">
        <v>0</v>
      </c>
      <c r="K156" s="18">
        <f t="shared" si="2"/>
        <v>11265</v>
      </c>
      <c r="L156" s="19"/>
      <c r="M156" s="62" t="str">
        <f>VLOOKUP(A156,[1]Master!$C:$F,3,0)</f>
        <v>Provost</v>
      </c>
      <c r="N156" t="str">
        <f>VLOOKUP(A156,[1]Master!$C:$F,4,0)</f>
        <v>College of Engineering</v>
      </c>
    </row>
    <row r="157" spans="1:14" customFormat="1" ht="21" x14ac:dyDescent="0.35">
      <c r="A157" s="2">
        <v>8470340</v>
      </c>
      <c r="B157" s="2" t="s">
        <v>271</v>
      </c>
      <c r="C157" s="2" t="s">
        <v>72</v>
      </c>
      <c r="D157" s="2" t="s">
        <v>73</v>
      </c>
      <c r="E157" s="2" t="s">
        <v>278</v>
      </c>
      <c r="F157" s="3">
        <v>480000</v>
      </c>
      <c r="G157" s="3">
        <v>423354</v>
      </c>
      <c r="H157" s="3">
        <v>423351.56</v>
      </c>
      <c r="I157" s="17">
        <v>0</v>
      </c>
      <c r="J157" s="17">
        <v>0</v>
      </c>
      <c r="K157" s="18">
        <f t="shared" si="2"/>
        <v>2.4400000000023283</v>
      </c>
      <c r="L157" s="19"/>
      <c r="M157" s="62" t="str">
        <f>VLOOKUP(A157,[1]Master!$C:$F,3,0)</f>
        <v>Provost</v>
      </c>
      <c r="N157" t="str">
        <f>VLOOKUP(A157,[1]Master!$C:$F,4,0)</f>
        <v>College of Engineering</v>
      </c>
    </row>
    <row r="158" spans="1:14" customFormat="1" ht="21" x14ac:dyDescent="0.35">
      <c r="A158" s="2">
        <v>8470340</v>
      </c>
      <c r="B158" s="2" t="s">
        <v>271</v>
      </c>
      <c r="C158" s="2" t="s">
        <v>97</v>
      </c>
      <c r="D158" s="2" t="s">
        <v>98</v>
      </c>
      <c r="E158" s="2" t="s">
        <v>279</v>
      </c>
      <c r="F158" s="3">
        <v>630000</v>
      </c>
      <c r="G158" s="3">
        <v>194610</v>
      </c>
      <c r="H158" s="3">
        <v>194608.6</v>
      </c>
      <c r="I158" s="17">
        <v>0</v>
      </c>
      <c r="J158" s="17">
        <v>0</v>
      </c>
      <c r="K158" s="18">
        <f t="shared" si="2"/>
        <v>1.3999999999941792</v>
      </c>
      <c r="L158" s="19"/>
      <c r="M158" s="62" t="str">
        <f>VLOOKUP(A158,[1]Master!$C:$F,3,0)</f>
        <v>Provost</v>
      </c>
      <c r="N158" t="str">
        <f>VLOOKUP(A158,[1]Master!$C:$F,4,0)</f>
        <v>College of Engineering</v>
      </c>
    </row>
    <row r="159" spans="1:14" customFormat="1" ht="21" x14ac:dyDescent="0.35">
      <c r="A159" s="2">
        <v>8470340</v>
      </c>
      <c r="B159" s="2" t="s">
        <v>271</v>
      </c>
      <c r="C159" s="2" t="s">
        <v>37</v>
      </c>
      <c r="D159" s="2" t="s">
        <v>38</v>
      </c>
      <c r="E159" s="2" t="s">
        <v>280</v>
      </c>
      <c r="F159" s="3">
        <v>54000</v>
      </c>
      <c r="G159" s="3">
        <v>20799</v>
      </c>
      <c r="H159" s="3">
        <v>11997.25</v>
      </c>
      <c r="I159" s="17">
        <v>8800</v>
      </c>
      <c r="J159" s="17">
        <v>0</v>
      </c>
      <c r="K159" s="18">
        <f t="shared" si="2"/>
        <v>1.75</v>
      </c>
      <c r="L159" s="19"/>
      <c r="M159" s="62" t="str">
        <f>VLOOKUP(A159,[1]Master!$C:$F,3,0)</f>
        <v>Provost</v>
      </c>
      <c r="N159" t="str">
        <f>VLOOKUP(A159,[1]Master!$C:$F,4,0)</f>
        <v>College of Engineering</v>
      </c>
    </row>
    <row r="160" spans="1:14" customFormat="1" ht="21" x14ac:dyDescent="0.35">
      <c r="A160" s="2">
        <v>8470340</v>
      </c>
      <c r="B160" s="2" t="s">
        <v>271</v>
      </c>
      <c r="C160" s="2" t="s">
        <v>40</v>
      </c>
      <c r="D160" s="2" t="s">
        <v>41</v>
      </c>
      <c r="E160" s="2" t="s">
        <v>281</v>
      </c>
      <c r="F160" s="3">
        <v>210000</v>
      </c>
      <c r="G160" s="3">
        <v>185000</v>
      </c>
      <c r="H160" s="3">
        <v>177089.64</v>
      </c>
      <c r="I160" s="17">
        <v>0</v>
      </c>
      <c r="J160" s="17">
        <v>0</v>
      </c>
      <c r="K160" s="18">
        <f t="shared" si="2"/>
        <v>7910.359999999986</v>
      </c>
      <c r="L160" s="19"/>
      <c r="M160" s="62" t="str">
        <f>VLOOKUP(A160,[1]Master!$C:$F,3,0)</f>
        <v>Provost</v>
      </c>
      <c r="N160" t="str">
        <f>VLOOKUP(A160,[1]Master!$C:$F,4,0)</f>
        <v>College of Engineering</v>
      </c>
    </row>
    <row r="161" spans="1:14" customFormat="1" ht="21" x14ac:dyDescent="0.35">
      <c r="A161" s="2">
        <v>8470340</v>
      </c>
      <c r="B161" s="2" t="s">
        <v>271</v>
      </c>
      <c r="C161" s="2" t="s">
        <v>169</v>
      </c>
      <c r="D161" s="2" t="s">
        <v>170</v>
      </c>
      <c r="E161" s="2" t="s">
        <v>282</v>
      </c>
      <c r="F161" s="3">
        <v>80000</v>
      </c>
      <c r="G161" s="3">
        <v>20102</v>
      </c>
      <c r="H161" s="3">
        <v>20000</v>
      </c>
      <c r="I161" s="17">
        <v>0</v>
      </c>
      <c r="J161" s="17">
        <v>0</v>
      </c>
      <c r="K161" s="18">
        <f t="shared" si="2"/>
        <v>102</v>
      </c>
      <c r="L161" s="19"/>
      <c r="M161" s="62" t="str">
        <f>VLOOKUP(A161,[1]Master!$C:$F,3,0)</f>
        <v>Provost</v>
      </c>
      <c r="N161" t="str">
        <f>VLOOKUP(A161,[1]Master!$C:$F,4,0)</f>
        <v>College of Engineering</v>
      </c>
    </row>
    <row r="162" spans="1:14" customFormat="1" ht="21" x14ac:dyDescent="0.35">
      <c r="A162" s="2">
        <v>8470340</v>
      </c>
      <c r="B162" s="2" t="s">
        <v>271</v>
      </c>
      <c r="C162" s="2" t="s">
        <v>103</v>
      </c>
      <c r="D162" s="2" t="s">
        <v>104</v>
      </c>
      <c r="E162" s="2" t="s">
        <v>283</v>
      </c>
      <c r="F162" s="3">
        <v>336000</v>
      </c>
      <c r="G162" s="3">
        <v>199569</v>
      </c>
      <c r="H162" s="3">
        <v>181584.71</v>
      </c>
      <c r="I162" s="17">
        <v>0</v>
      </c>
      <c r="J162" s="17">
        <v>0</v>
      </c>
      <c r="K162" s="18">
        <f t="shared" si="2"/>
        <v>17984.290000000008</v>
      </c>
      <c r="L162" s="19"/>
      <c r="M162" s="62" t="str">
        <f>VLOOKUP(A162,[1]Master!$C:$F,3,0)</f>
        <v>Provost</v>
      </c>
      <c r="N162" t="str">
        <f>VLOOKUP(A162,[1]Master!$C:$F,4,0)</f>
        <v>College of Engineering</v>
      </c>
    </row>
    <row r="163" spans="1:14" customFormat="1" ht="21" x14ac:dyDescent="0.35">
      <c r="A163" s="2">
        <v>8470340</v>
      </c>
      <c r="B163" s="2" t="s">
        <v>271</v>
      </c>
      <c r="C163" s="2" t="s">
        <v>173</v>
      </c>
      <c r="D163" s="2" t="s">
        <v>174</v>
      </c>
      <c r="E163" s="2" t="s">
        <v>284</v>
      </c>
      <c r="F163" s="3">
        <v>264000</v>
      </c>
      <c r="G163" s="3">
        <v>297500</v>
      </c>
      <c r="H163" s="3">
        <v>267107.05</v>
      </c>
      <c r="I163" s="17">
        <v>0</v>
      </c>
      <c r="J163" s="17">
        <v>21000</v>
      </c>
      <c r="K163" s="18">
        <f t="shared" si="2"/>
        <v>9392.9500000000116</v>
      </c>
      <c r="L163" s="19"/>
      <c r="M163" s="62" t="str">
        <f>VLOOKUP(A163,[1]Master!$C:$F,3,0)</f>
        <v>Provost</v>
      </c>
      <c r="N163" t="str">
        <f>VLOOKUP(A163,[1]Master!$C:$F,4,0)</f>
        <v>College of Engineering</v>
      </c>
    </row>
    <row r="164" spans="1:14" customFormat="1" ht="21" x14ac:dyDescent="0.35">
      <c r="A164" s="2">
        <v>8470345</v>
      </c>
      <c r="B164" s="2" t="s">
        <v>286</v>
      </c>
      <c r="C164" s="2" t="s">
        <v>16</v>
      </c>
      <c r="D164" s="2" t="s">
        <v>17</v>
      </c>
      <c r="E164" s="2" t="s">
        <v>287</v>
      </c>
      <c r="F164" s="3">
        <v>20000</v>
      </c>
      <c r="G164" s="3">
        <v>20000</v>
      </c>
      <c r="H164" s="4"/>
      <c r="I164" s="17">
        <v>0</v>
      </c>
      <c r="J164" s="17">
        <v>0</v>
      </c>
      <c r="K164" s="18">
        <f t="shared" si="2"/>
        <v>20000</v>
      </c>
      <c r="L164" s="19"/>
      <c r="M164" s="62" t="str">
        <f>VLOOKUP(A164,[1]Master!$C:$F,3,0)</f>
        <v>Provost</v>
      </c>
      <c r="N164" t="str">
        <f>VLOOKUP(A164,[1]Master!$C:$F,4,0)</f>
        <v>College of Engineering</v>
      </c>
    </row>
    <row r="165" spans="1:14" customFormat="1" ht="31.5" x14ac:dyDescent="0.35">
      <c r="A165" s="2">
        <v>8470345</v>
      </c>
      <c r="B165" s="2" t="s">
        <v>286</v>
      </c>
      <c r="C165" s="2" t="s">
        <v>31</v>
      </c>
      <c r="D165" s="2" t="s">
        <v>32</v>
      </c>
      <c r="E165" s="2" t="s">
        <v>288</v>
      </c>
      <c r="F165" s="3">
        <v>30000</v>
      </c>
      <c r="G165" s="3">
        <v>29700</v>
      </c>
      <c r="H165" s="3">
        <v>6485</v>
      </c>
      <c r="I165" s="17">
        <v>0</v>
      </c>
      <c r="J165" s="17">
        <v>0</v>
      </c>
      <c r="K165" s="18">
        <f t="shared" si="2"/>
        <v>23215</v>
      </c>
      <c r="L165" s="19"/>
      <c r="M165" s="62" t="str">
        <f>VLOOKUP(A165,[1]Master!$C:$F,3,0)</f>
        <v>Provost</v>
      </c>
      <c r="N165" t="str">
        <f>VLOOKUP(A165,[1]Master!$C:$F,4,0)</f>
        <v>College of Engineering</v>
      </c>
    </row>
    <row r="166" spans="1:14" customFormat="1" ht="21" x14ac:dyDescent="0.35">
      <c r="A166" s="2">
        <v>8470345</v>
      </c>
      <c r="B166" s="2" t="s">
        <v>286</v>
      </c>
      <c r="C166" s="2" t="s">
        <v>183</v>
      </c>
      <c r="D166" s="2" t="s">
        <v>184</v>
      </c>
      <c r="E166" s="2" t="s">
        <v>289</v>
      </c>
      <c r="F166" s="3">
        <v>120000</v>
      </c>
      <c r="G166" s="3">
        <v>33149</v>
      </c>
      <c r="H166" s="3">
        <v>10100.75</v>
      </c>
      <c r="I166" s="17">
        <v>0</v>
      </c>
      <c r="J166" s="17">
        <v>0</v>
      </c>
      <c r="K166" s="18">
        <f t="shared" si="2"/>
        <v>23048.25</v>
      </c>
      <c r="L166" s="19"/>
      <c r="M166" s="62" t="str">
        <f>VLOOKUP(A166,[1]Master!$C:$F,3,0)</f>
        <v>Provost</v>
      </c>
      <c r="N166" t="str">
        <f>VLOOKUP(A166,[1]Master!$C:$F,4,0)</f>
        <v>College of Engineering</v>
      </c>
    </row>
    <row r="167" spans="1:14" customFormat="1" ht="21" x14ac:dyDescent="0.35">
      <c r="A167" s="2">
        <v>8470345</v>
      </c>
      <c r="B167" s="2" t="s">
        <v>286</v>
      </c>
      <c r="C167" s="2" t="s">
        <v>97</v>
      </c>
      <c r="D167" s="2" t="s">
        <v>98</v>
      </c>
      <c r="E167" s="2" t="s">
        <v>290</v>
      </c>
      <c r="F167" s="3">
        <v>105000</v>
      </c>
      <c r="G167" s="3">
        <v>54987</v>
      </c>
      <c r="H167" s="3">
        <v>24053.21</v>
      </c>
      <c r="I167" s="17">
        <v>0</v>
      </c>
      <c r="J167" s="17">
        <v>0</v>
      </c>
      <c r="K167" s="18">
        <f t="shared" si="2"/>
        <v>30933.79</v>
      </c>
      <c r="L167" s="19"/>
      <c r="M167" s="62" t="str">
        <f>VLOOKUP(A167,[1]Master!$C:$F,3,0)</f>
        <v>Provost</v>
      </c>
      <c r="N167" t="str">
        <f>VLOOKUP(A167,[1]Master!$C:$F,4,0)</f>
        <v>College of Engineering</v>
      </c>
    </row>
    <row r="168" spans="1:14" customFormat="1" ht="21" x14ac:dyDescent="0.35">
      <c r="A168" s="2">
        <v>8470345</v>
      </c>
      <c r="B168" s="2" t="s">
        <v>286</v>
      </c>
      <c r="C168" s="2" t="s">
        <v>37</v>
      </c>
      <c r="D168" s="2" t="s">
        <v>38</v>
      </c>
      <c r="E168" s="2" t="s">
        <v>291</v>
      </c>
      <c r="F168" s="3">
        <v>3000</v>
      </c>
      <c r="G168" s="3">
        <v>3000</v>
      </c>
      <c r="H168" s="4"/>
      <c r="I168" s="17">
        <v>0</v>
      </c>
      <c r="J168" s="17">
        <v>0</v>
      </c>
      <c r="K168" s="18">
        <f t="shared" si="2"/>
        <v>3000</v>
      </c>
      <c r="L168" s="19"/>
      <c r="M168" s="62" t="str">
        <f>VLOOKUP(A168,[1]Master!$C:$F,3,0)</f>
        <v>Provost</v>
      </c>
      <c r="N168" t="str">
        <f>VLOOKUP(A168,[1]Master!$C:$F,4,0)</f>
        <v>College of Engineering</v>
      </c>
    </row>
    <row r="169" spans="1:14" customFormat="1" ht="21" x14ac:dyDescent="0.35">
      <c r="A169" s="2">
        <v>8470345</v>
      </c>
      <c r="B169" s="2" t="s">
        <v>286</v>
      </c>
      <c r="C169" s="2" t="s">
        <v>40</v>
      </c>
      <c r="D169" s="2" t="s">
        <v>41</v>
      </c>
      <c r="E169" s="2" t="s">
        <v>292</v>
      </c>
      <c r="F169" s="3">
        <v>146983</v>
      </c>
      <c r="G169" s="3">
        <v>82656</v>
      </c>
      <c r="H169" s="3">
        <v>33069.589999999997</v>
      </c>
      <c r="I169" s="17">
        <v>61004.25</v>
      </c>
      <c r="J169" s="17">
        <v>49585.5</v>
      </c>
      <c r="K169" s="18">
        <f t="shared" si="2"/>
        <v>-61003.34</v>
      </c>
      <c r="L169" s="19"/>
      <c r="M169" s="62" t="str">
        <f>VLOOKUP(A169,[1]Master!$C:$F,3,0)</f>
        <v>Provost</v>
      </c>
      <c r="N169" t="str">
        <f>VLOOKUP(A169,[1]Master!$C:$F,4,0)</f>
        <v>College of Engineering</v>
      </c>
    </row>
    <row r="170" spans="1:14" customFormat="1" ht="21" x14ac:dyDescent="0.35">
      <c r="A170" s="2">
        <v>8470345</v>
      </c>
      <c r="B170" s="2" t="s">
        <v>286</v>
      </c>
      <c r="C170" s="2" t="s">
        <v>43</v>
      </c>
      <c r="D170" s="2" t="s">
        <v>44</v>
      </c>
      <c r="E170" s="2" t="s">
        <v>293</v>
      </c>
      <c r="F170" s="3">
        <v>44592</v>
      </c>
      <c r="G170" s="3">
        <v>12617</v>
      </c>
      <c r="H170" s="3">
        <v>9042.6200000000008</v>
      </c>
      <c r="I170" s="17">
        <v>0</v>
      </c>
      <c r="J170" s="17">
        <v>0</v>
      </c>
      <c r="K170" s="18">
        <f t="shared" si="2"/>
        <v>3574.3799999999992</v>
      </c>
      <c r="L170" s="19"/>
      <c r="M170" s="62" t="str">
        <f>VLOOKUP(A170,[1]Master!$C:$F,3,0)</f>
        <v>Provost</v>
      </c>
      <c r="N170" t="str">
        <f>VLOOKUP(A170,[1]Master!$C:$F,4,0)</f>
        <v>College of Engineering</v>
      </c>
    </row>
    <row r="171" spans="1:14" customFormat="1" ht="21" x14ac:dyDescent="0.35">
      <c r="A171" s="2">
        <v>8470345</v>
      </c>
      <c r="B171" s="2" t="s">
        <v>286</v>
      </c>
      <c r="C171" s="2" t="s">
        <v>103</v>
      </c>
      <c r="D171" s="2" t="s">
        <v>104</v>
      </c>
      <c r="E171" s="2" t="s">
        <v>294</v>
      </c>
      <c r="F171" s="3">
        <v>70000</v>
      </c>
      <c r="G171" s="3">
        <v>63220</v>
      </c>
      <c r="H171" s="3">
        <v>52403.38</v>
      </c>
      <c r="I171" s="17">
        <v>0</v>
      </c>
      <c r="J171" s="17">
        <v>0</v>
      </c>
      <c r="K171" s="18">
        <f t="shared" si="2"/>
        <v>10816.620000000003</v>
      </c>
      <c r="L171" s="19"/>
      <c r="M171" s="62" t="str">
        <f>VLOOKUP(A171,[1]Master!$C:$F,3,0)</f>
        <v>Provost</v>
      </c>
      <c r="N171" t="str">
        <f>VLOOKUP(A171,[1]Master!$C:$F,4,0)</f>
        <v>College of Engineering</v>
      </c>
    </row>
    <row r="172" spans="1:14" customFormat="1" ht="21" x14ac:dyDescent="0.35">
      <c r="A172" s="2">
        <v>8470345</v>
      </c>
      <c r="B172" s="2" t="s">
        <v>286</v>
      </c>
      <c r="C172" s="2" t="s">
        <v>173</v>
      </c>
      <c r="D172" s="2" t="s">
        <v>174</v>
      </c>
      <c r="E172" s="2" t="s">
        <v>295</v>
      </c>
      <c r="F172" s="3">
        <v>197477</v>
      </c>
      <c r="G172" s="3">
        <v>100283</v>
      </c>
      <c r="H172" s="3">
        <v>25018.639999999999</v>
      </c>
      <c r="I172" s="17">
        <v>0</v>
      </c>
      <c r="J172" s="17">
        <v>47935.5</v>
      </c>
      <c r="K172" s="18">
        <f t="shared" si="2"/>
        <v>27328.86</v>
      </c>
      <c r="L172" s="19"/>
      <c r="M172" s="62" t="str">
        <f>VLOOKUP(A172,[1]Master!$C:$F,3,0)</f>
        <v>Provost</v>
      </c>
      <c r="N172" t="str">
        <f>VLOOKUP(A172,[1]Master!$C:$F,4,0)</f>
        <v>College of Engineering</v>
      </c>
    </row>
    <row r="173" spans="1:14" customFormat="1" ht="21" x14ac:dyDescent="0.35">
      <c r="A173" s="2">
        <v>8470345</v>
      </c>
      <c r="B173" s="2" t="s">
        <v>286</v>
      </c>
      <c r="C173" s="2" t="s">
        <v>154</v>
      </c>
      <c r="D173" s="2" t="s">
        <v>155</v>
      </c>
      <c r="E173" s="2" t="s">
        <v>296</v>
      </c>
      <c r="F173" s="3">
        <v>5742</v>
      </c>
      <c r="G173" s="3">
        <v>5742</v>
      </c>
      <c r="H173" s="3">
        <v>3328</v>
      </c>
      <c r="I173" s="17">
        <v>0</v>
      </c>
      <c r="J173" s="17">
        <v>0</v>
      </c>
      <c r="K173" s="18">
        <f t="shared" si="2"/>
        <v>2414</v>
      </c>
      <c r="L173" s="19"/>
      <c r="M173" s="62" t="str">
        <f>VLOOKUP(A173,[1]Master!$C:$F,3,0)</f>
        <v>Provost</v>
      </c>
      <c r="N173" t="str">
        <f>VLOOKUP(A173,[1]Master!$C:$F,4,0)</f>
        <v>College of Engineering</v>
      </c>
    </row>
    <row r="174" spans="1:14" customFormat="1" ht="21" x14ac:dyDescent="0.35">
      <c r="A174" s="2">
        <v>8470345</v>
      </c>
      <c r="B174" s="2" t="s">
        <v>286</v>
      </c>
      <c r="C174" s="2" t="s">
        <v>176</v>
      </c>
      <c r="D174" s="2" t="s">
        <v>177</v>
      </c>
      <c r="E174" s="2" t="s">
        <v>297</v>
      </c>
      <c r="F174" s="3">
        <v>9640</v>
      </c>
      <c r="G174" s="3">
        <v>9640</v>
      </c>
      <c r="H174" s="3">
        <v>7998</v>
      </c>
      <c r="I174" s="17">
        <v>0</v>
      </c>
      <c r="J174" s="17">
        <v>0</v>
      </c>
      <c r="K174" s="18">
        <f t="shared" si="2"/>
        <v>1642</v>
      </c>
      <c r="L174" s="19"/>
      <c r="M174" s="62" t="str">
        <f>VLOOKUP(A174,[1]Master!$C:$F,3,0)</f>
        <v>Provost</v>
      </c>
      <c r="N174" t="str">
        <f>VLOOKUP(A174,[1]Master!$C:$F,4,0)</f>
        <v>College of Engineering</v>
      </c>
    </row>
    <row r="175" spans="1:14" customFormat="1" ht="31.5" x14ac:dyDescent="0.35">
      <c r="A175" s="2">
        <v>8470350</v>
      </c>
      <c r="B175" s="2" t="s">
        <v>299</v>
      </c>
      <c r="C175" s="2" t="s">
        <v>31</v>
      </c>
      <c r="D175" s="2" t="s">
        <v>32</v>
      </c>
      <c r="E175" s="2" t="s">
        <v>300</v>
      </c>
      <c r="F175" s="3">
        <v>16000</v>
      </c>
      <c r="G175" s="3">
        <v>19448</v>
      </c>
      <c r="H175" s="3">
        <v>8764.2199999999993</v>
      </c>
      <c r="I175" s="17">
        <v>0</v>
      </c>
      <c r="J175" s="17">
        <v>0</v>
      </c>
      <c r="K175" s="18">
        <f t="shared" si="2"/>
        <v>10683.78</v>
      </c>
      <c r="L175" s="19"/>
      <c r="M175" s="62" t="str">
        <f>VLOOKUP(A175,[1]Master!$C:$F,3,0)</f>
        <v>Provost</v>
      </c>
      <c r="N175" t="str">
        <f>VLOOKUP(A175,[1]Master!$C:$F,4,0)</f>
        <v>College of Engineering</v>
      </c>
    </row>
    <row r="176" spans="1:14" customFormat="1" ht="21" x14ac:dyDescent="0.35">
      <c r="A176" s="2">
        <v>8470350</v>
      </c>
      <c r="B176" s="2" t="s">
        <v>299</v>
      </c>
      <c r="C176" s="2" t="s">
        <v>183</v>
      </c>
      <c r="D176" s="2" t="s">
        <v>184</v>
      </c>
      <c r="E176" s="2" t="s">
        <v>301</v>
      </c>
      <c r="F176" s="3">
        <v>25000</v>
      </c>
      <c r="G176" s="3">
        <v>25000</v>
      </c>
      <c r="H176" s="3">
        <v>11393.34</v>
      </c>
      <c r="I176" s="17">
        <v>0</v>
      </c>
      <c r="J176" s="17">
        <v>0</v>
      </c>
      <c r="K176" s="18">
        <f t="shared" si="2"/>
        <v>13606.66</v>
      </c>
      <c r="L176" s="19"/>
      <c r="M176" s="62" t="str">
        <f>VLOOKUP(A176,[1]Master!$C:$F,3,0)</f>
        <v>Provost</v>
      </c>
      <c r="N176" t="str">
        <f>VLOOKUP(A176,[1]Master!$C:$F,4,0)</f>
        <v>College of Engineering</v>
      </c>
    </row>
    <row r="177" spans="1:14" customFormat="1" ht="21" x14ac:dyDescent="0.35">
      <c r="A177" s="2">
        <v>8470350</v>
      </c>
      <c r="B177" s="2" t="s">
        <v>299</v>
      </c>
      <c r="C177" s="2" t="s">
        <v>72</v>
      </c>
      <c r="D177" s="2" t="s">
        <v>73</v>
      </c>
      <c r="E177" s="2" t="s">
        <v>302</v>
      </c>
      <c r="F177" s="3">
        <v>30000</v>
      </c>
      <c r="G177" s="3">
        <v>0</v>
      </c>
      <c r="H177" s="4"/>
      <c r="I177" s="17">
        <v>0</v>
      </c>
      <c r="J177" s="17">
        <v>0</v>
      </c>
      <c r="K177" s="18">
        <f t="shared" si="2"/>
        <v>0</v>
      </c>
      <c r="L177" s="19"/>
      <c r="M177" s="62" t="str">
        <f>VLOOKUP(A177,[1]Master!$C:$F,3,0)</f>
        <v>Provost</v>
      </c>
      <c r="N177" t="str">
        <f>VLOOKUP(A177,[1]Master!$C:$F,4,0)</f>
        <v>College of Engineering</v>
      </c>
    </row>
    <row r="178" spans="1:14" customFormat="1" ht="21" x14ac:dyDescent="0.35">
      <c r="A178" s="2">
        <v>8470350</v>
      </c>
      <c r="B178" s="2" t="s">
        <v>299</v>
      </c>
      <c r="C178" s="2" t="s">
        <v>97</v>
      </c>
      <c r="D178" s="2" t="s">
        <v>98</v>
      </c>
      <c r="E178" s="2" t="s">
        <v>303</v>
      </c>
      <c r="F178" s="3">
        <v>150000</v>
      </c>
      <c r="G178" s="3">
        <v>93739</v>
      </c>
      <c r="H178" s="3">
        <v>72308.259999999995</v>
      </c>
      <c r="I178" s="17">
        <v>0</v>
      </c>
      <c r="J178" s="17">
        <v>0</v>
      </c>
      <c r="K178" s="18">
        <f t="shared" si="2"/>
        <v>21430.740000000005</v>
      </c>
      <c r="L178" s="19"/>
      <c r="M178" s="62" t="str">
        <f>VLOOKUP(A178,[1]Master!$C:$F,3,0)</f>
        <v>Provost</v>
      </c>
      <c r="N178" t="str">
        <f>VLOOKUP(A178,[1]Master!$C:$F,4,0)</f>
        <v>College of Engineering</v>
      </c>
    </row>
    <row r="179" spans="1:14" customFormat="1" ht="21" x14ac:dyDescent="0.35">
      <c r="A179" s="2">
        <v>8470350</v>
      </c>
      <c r="B179" s="2" t="s">
        <v>299</v>
      </c>
      <c r="C179" s="2" t="s">
        <v>37</v>
      </c>
      <c r="D179" s="2" t="s">
        <v>38</v>
      </c>
      <c r="E179" s="2" t="s">
        <v>304</v>
      </c>
      <c r="F179" s="3">
        <v>8500</v>
      </c>
      <c r="G179" s="3">
        <v>8500</v>
      </c>
      <c r="H179" s="3">
        <v>4359.37</v>
      </c>
      <c r="I179" s="17">
        <v>0</v>
      </c>
      <c r="J179" s="17">
        <v>0</v>
      </c>
      <c r="K179" s="18">
        <f t="shared" si="2"/>
        <v>4140.63</v>
      </c>
      <c r="L179" s="19"/>
      <c r="M179" s="62" t="str">
        <f>VLOOKUP(A179,[1]Master!$C:$F,3,0)</f>
        <v>Provost</v>
      </c>
      <c r="N179" t="str">
        <f>VLOOKUP(A179,[1]Master!$C:$F,4,0)</f>
        <v>College of Engineering</v>
      </c>
    </row>
    <row r="180" spans="1:14" customFormat="1" ht="21" x14ac:dyDescent="0.35">
      <c r="A180" s="2">
        <v>8470350</v>
      </c>
      <c r="B180" s="2" t="s">
        <v>299</v>
      </c>
      <c r="C180" s="2" t="s">
        <v>40</v>
      </c>
      <c r="D180" s="2" t="s">
        <v>41</v>
      </c>
      <c r="E180" s="2" t="s">
        <v>305</v>
      </c>
      <c r="F180" s="3">
        <v>210200</v>
      </c>
      <c r="G180" s="3">
        <v>210200</v>
      </c>
      <c r="H180" s="3">
        <v>201762.42</v>
      </c>
      <c r="I180" s="17">
        <v>0</v>
      </c>
      <c r="J180" s="17">
        <v>0</v>
      </c>
      <c r="K180" s="18">
        <f t="shared" si="2"/>
        <v>8437.5799999999872</v>
      </c>
      <c r="L180" s="19"/>
      <c r="M180" s="62" t="str">
        <f>VLOOKUP(A180,[1]Master!$C:$F,3,0)</f>
        <v>Provost</v>
      </c>
      <c r="N180" t="str">
        <f>VLOOKUP(A180,[1]Master!$C:$F,4,0)</f>
        <v>College of Engineering</v>
      </c>
    </row>
    <row r="181" spans="1:14" customFormat="1" ht="21" x14ac:dyDescent="0.35">
      <c r="A181" s="2">
        <v>8470350</v>
      </c>
      <c r="B181" s="2" t="s">
        <v>299</v>
      </c>
      <c r="C181" s="2" t="s">
        <v>169</v>
      </c>
      <c r="D181" s="2" t="s">
        <v>170</v>
      </c>
      <c r="E181" s="2" t="s">
        <v>306</v>
      </c>
      <c r="F181" s="3">
        <v>305000</v>
      </c>
      <c r="G181" s="3">
        <v>80483</v>
      </c>
      <c r="H181" s="3">
        <v>80402</v>
      </c>
      <c r="I181" s="17">
        <v>0</v>
      </c>
      <c r="J181" s="17">
        <v>9000</v>
      </c>
      <c r="K181" s="18">
        <f t="shared" si="2"/>
        <v>-8919</v>
      </c>
      <c r="L181" s="19"/>
      <c r="M181" s="62" t="str">
        <f>VLOOKUP(A181,[1]Master!$C:$F,3,0)</f>
        <v>Provost</v>
      </c>
      <c r="N181" t="str">
        <f>VLOOKUP(A181,[1]Master!$C:$F,4,0)</f>
        <v>College of Engineering</v>
      </c>
    </row>
    <row r="182" spans="1:14" customFormat="1" ht="21" x14ac:dyDescent="0.35">
      <c r="A182" s="2">
        <v>8470350</v>
      </c>
      <c r="B182" s="2" t="s">
        <v>299</v>
      </c>
      <c r="C182" s="2" t="s">
        <v>192</v>
      </c>
      <c r="D182" s="2" t="s">
        <v>193</v>
      </c>
      <c r="E182" s="2" t="s">
        <v>307</v>
      </c>
      <c r="F182" s="3">
        <v>10000</v>
      </c>
      <c r="G182" s="3">
        <v>10000</v>
      </c>
      <c r="H182" s="4"/>
      <c r="I182" s="17">
        <v>0</v>
      </c>
      <c r="J182" s="17">
        <v>0</v>
      </c>
      <c r="K182" s="18">
        <f t="shared" si="2"/>
        <v>10000</v>
      </c>
      <c r="L182" s="19"/>
      <c r="M182" s="62" t="str">
        <f>VLOOKUP(A182,[1]Master!$C:$F,3,0)</f>
        <v>Provost</v>
      </c>
      <c r="N182" t="str">
        <f>VLOOKUP(A182,[1]Master!$C:$F,4,0)</f>
        <v>College of Engineering</v>
      </c>
    </row>
    <row r="183" spans="1:14" customFormat="1" ht="21" x14ac:dyDescent="0.35">
      <c r="A183" s="2">
        <v>8470350</v>
      </c>
      <c r="B183" s="2" t="s">
        <v>299</v>
      </c>
      <c r="C183" s="2" t="s">
        <v>103</v>
      </c>
      <c r="D183" s="2" t="s">
        <v>104</v>
      </c>
      <c r="E183" s="2" t="s">
        <v>308</v>
      </c>
      <c r="F183" s="3">
        <v>50000</v>
      </c>
      <c r="G183" s="3">
        <v>36150</v>
      </c>
      <c r="H183" s="3">
        <v>36148</v>
      </c>
      <c r="I183" s="17">
        <v>0</v>
      </c>
      <c r="J183" s="17">
        <v>0</v>
      </c>
      <c r="K183" s="18">
        <f t="shared" si="2"/>
        <v>2</v>
      </c>
      <c r="L183" s="19"/>
      <c r="M183" s="62" t="str">
        <f>VLOOKUP(A183,[1]Master!$C:$F,3,0)</f>
        <v>Provost</v>
      </c>
      <c r="N183" t="str">
        <f>VLOOKUP(A183,[1]Master!$C:$F,4,0)</f>
        <v>College of Engineering</v>
      </c>
    </row>
    <row r="184" spans="1:14" customFormat="1" ht="21" x14ac:dyDescent="0.35">
      <c r="A184" s="2">
        <v>8470350</v>
      </c>
      <c r="B184" s="2" t="s">
        <v>299</v>
      </c>
      <c r="C184" s="2" t="s">
        <v>173</v>
      </c>
      <c r="D184" s="2" t="s">
        <v>174</v>
      </c>
      <c r="E184" s="2" t="s">
        <v>309</v>
      </c>
      <c r="F184" s="3">
        <v>100000</v>
      </c>
      <c r="G184" s="3">
        <v>74436</v>
      </c>
      <c r="H184" s="3">
        <v>70457.740000000005</v>
      </c>
      <c r="I184" s="17">
        <v>0</v>
      </c>
      <c r="J184" s="17">
        <v>3976.22</v>
      </c>
      <c r="K184" s="18">
        <f t="shared" si="2"/>
        <v>2.0399999999949614</v>
      </c>
      <c r="L184" s="19"/>
      <c r="M184" s="62" t="str">
        <f>VLOOKUP(A184,[1]Master!$C:$F,3,0)</f>
        <v>Provost</v>
      </c>
      <c r="N184" t="str">
        <f>VLOOKUP(A184,[1]Master!$C:$F,4,0)</f>
        <v>College of Engineering</v>
      </c>
    </row>
    <row r="185" spans="1:14" customFormat="1" ht="21" x14ac:dyDescent="0.35">
      <c r="A185" s="2">
        <v>8470350</v>
      </c>
      <c r="B185" s="2" t="s">
        <v>299</v>
      </c>
      <c r="C185" s="2" t="s">
        <v>154</v>
      </c>
      <c r="D185" s="2" t="s">
        <v>155</v>
      </c>
      <c r="E185" s="2" t="s">
        <v>310</v>
      </c>
      <c r="F185" s="3">
        <v>7500</v>
      </c>
      <c r="G185" s="3">
        <v>0</v>
      </c>
      <c r="H185" s="4"/>
      <c r="I185" s="17">
        <v>0</v>
      </c>
      <c r="J185" s="17">
        <v>0</v>
      </c>
      <c r="K185" s="18">
        <f t="shared" si="2"/>
        <v>0</v>
      </c>
      <c r="L185" s="19"/>
      <c r="M185" s="62" t="str">
        <f>VLOOKUP(A185,[1]Master!$C:$F,3,0)</f>
        <v>Provost</v>
      </c>
      <c r="N185" t="str">
        <f>VLOOKUP(A185,[1]Master!$C:$F,4,0)</f>
        <v>College of Engineering</v>
      </c>
    </row>
    <row r="186" spans="1:14" customFormat="1" ht="21" x14ac:dyDescent="0.35">
      <c r="A186" s="2">
        <v>8470350</v>
      </c>
      <c r="B186" s="2" t="s">
        <v>299</v>
      </c>
      <c r="C186" s="2" t="s">
        <v>176</v>
      </c>
      <c r="D186" s="2" t="s">
        <v>177</v>
      </c>
      <c r="E186" s="2" t="s">
        <v>311</v>
      </c>
      <c r="F186" s="3">
        <v>60000</v>
      </c>
      <c r="G186" s="3">
        <v>64052</v>
      </c>
      <c r="H186" s="3">
        <v>43500</v>
      </c>
      <c r="I186" s="17">
        <v>0</v>
      </c>
      <c r="J186" s="17">
        <v>18216</v>
      </c>
      <c r="K186" s="18">
        <f t="shared" si="2"/>
        <v>2336</v>
      </c>
      <c r="L186" s="19"/>
      <c r="M186" s="62" t="str">
        <f>VLOOKUP(A186,[1]Master!$C:$F,3,0)</f>
        <v>Provost</v>
      </c>
      <c r="N186" t="str">
        <f>VLOOKUP(A186,[1]Master!$C:$F,4,0)</f>
        <v>College of Engineering</v>
      </c>
    </row>
    <row r="187" spans="1:14" customFormat="1" ht="21" x14ac:dyDescent="0.35">
      <c r="A187" s="2">
        <v>8470405</v>
      </c>
      <c r="B187" s="2" t="s">
        <v>313</v>
      </c>
      <c r="C187" s="2" t="s">
        <v>16</v>
      </c>
      <c r="D187" s="2" t="s">
        <v>17</v>
      </c>
      <c r="E187" s="2" t="s">
        <v>314</v>
      </c>
      <c r="F187" s="3">
        <v>0</v>
      </c>
      <c r="G187" s="3">
        <v>65692</v>
      </c>
      <c r="H187" s="3">
        <v>64718.46</v>
      </c>
      <c r="I187" s="17">
        <v>0</v>
      </c>
      <c r="J187" s="17">
        <v>0</v>
      </c>
      <c r="K187" s="18">
        <f t="shared" si="2"/>
        <v>973.54000000000087</v>
      </c>
      <c r="L187" s="19"/>
      <c r="M187" s="62" t="str">
        <f>VLOOKUP(A187,[1]Master!$C:$F,3,0)</f>
        <v>Provost</v>
      </c>
      <c r="N187" t="str">
        <f>VLOOKUP(A187,[1]Master!$C:$F,4,0)</f>
        <v>College of Arts &amp; Science</v>
      </c>
    </row>
    <row r="188" spans="1:14" customFormat="1" ht="21" x14ac:dyDescent="0.35">
      <c r="A188" s="2">
        <v>8470405</v>
      </c>
      <c r="B188" s="2" t="s">
        <v>313</v>
      </c>
      <c r="C188" s="2" t="s">
        <v>28</v>
      </c>
      <c r="D188" s="2" t="s">
        <v>29</v>
      </c>
      <c r="E188" s="2" t="s">
        <v>315</v>
      </c>
      <c r="F188" s="3">
        <v>560000</v>
      </c>
      <c r="G188" s="3">
        <v>220355</v>
      </c>
      <c r="H188" s="3">
        <v>218360.26</v>
      </c>
      <c r="I188" s="17">
        <v>0</v>
      </c>
      <c r="J188" s="17">
        <v>0</v>
      </c>
      <c r="K188" s="18">
        <f t="shared" si="2"/>
        <v>1994.7399999999907</v>
      </c>
      <c r="L188" s="19"/>
      <c r="M188" s="62" t="str">
        <f>VLOOKUP(A188,[1]Master!$C:$F,3,0)</f>
        <v>Provost</v>
      </c>
      <c r="N188" t="str">
        <f>VLOOKUP(A188,[1]Master!$C:$F,4,0)</f>
        <v>College of Arts &amp; Science</v>
      </c>
    </row>
    <row r="189" spans="1:14" customFormat="1" ht="31.5" x14ac:dyDescent="0.35">
      <c r="A189" s="2">
        <v>8470405</v>
      </c>
      <c r="B189" s="2" t="s">
        <v>313</v>
      </c>
      <c r="C189" s="2" t="s">
        <v>31</v>
      </c>
      <c r="D189" s="2" t="s">
        <v>32</v>
      </c>
      <c r="E189" s="2" t="s">
        <v>316</v>
      </c>
      <c r="F189" s="3">
        <v>15000</v>
      </c>
      <c r="G189" s="3">
        <v>23019</v>
      </c>
      <c r="H189" s="3">
        <v>22966.65</v>
      </c>
      <c r="I189" s="17">
        <v>0</v>
      </c>
      <c r="J189" s="17">
        <v>0</v>
      </c>
      <c r="K189" s="18">
        <f t="shared" si="2"/>
        <v>52.349999999998545</v>
      </c>
      <c r="L189" s="19"/>
      <c r="M189" s="62" t="str">
        <f>VLOOKUP(A189,[1]Master!$C:$F,3,0)</f>
        <v>Provost</v>
      </c>
      <c r="N189" t="str">
        <f>VLOOKUP(A189,[1]Master!$C:$F,4,0)</f>
        <v>College of Arts &amp; Science</v>
      </c>
    </row>
    <row r="190" spans="1:14" customFormat="1" ht="31.5" x14ac:dyDescent="0.35">
      <c r="A190" s="2">
        <v>8470405</v>
      </c>
      <c r="B190" s="2" t="s">
        <v>313</v>
      </c>
      <c r="C190" s="2" t="s">
        <v>34</v>
      </c>
      <c r="D190" s="2" t="s">
        <v>35</v>
      </c>
      <c r="E190" s="2" t="s">
        <v>317</v>
      </c>
      <c r="F190" s="3">
        <v>15000</v>
      </c>
      <c r="G190" s="3">
        <v>19800</v>
      </c>
      <c r="H190" s="3">
        <v>18757.900000000001</v>
      </c>
      <c r="I190" s="17">
        <v>0</v>
      </c>
      <c r="J190" s="17">
        <v>0</v>
      </c>
      <c r="K190" s="18">
        <f t="shared" si="2"/>
        <v>1042.0999999999985</v>
      </c>
      <c r="L190" s="19"/>
      <c r="M190" s="62" t="str">
        <f>VLOOKUP(A190,[1]Master!$C:$F,3,0)</f>
        <v>Provost</v>
      </c>
      <c r="N190" t="str">
        <f>VLOOKUP(A190,[1]Master!$C:$F,4,0)</f>
        <v>College of Arts &amp; Science</v>
      </c>
    </row>
    <row r="191" spans="1:14" customFormat="1" ht="21" x14ac:dyDescent="0.35">
      <c r="A191" s="2">
        <v>8470405</v>
      </c>
      <c r="B191" s="2" t="s">
        <v>313</v>
      </c>
      <c r="C191" s="2" t="s">
        <v>97</v>
      </c>
      <c r="D191" s="2" t="s">
        <v>98</v>
      </c>
      <c r="E191" s="2" t="s">
        <v>318</v>
      </c>
      <c r="F191" s="3">
        <v>50000</v>
      </c>
      <c r="G191" s="3">
        <v>32848</v>
      </c>
      <c r="H191" s="3">
        <v>30551.57</v>
      </c>
      <c r="I191" s="17">
        <v>0</v>
      </c>
      <c r="J191" s="17">
        <v>0</v>
      </c>
      <c r="K191" s="18">
        <f t="shared" si="2"/>
        <v>2296.4300000000003</v>
      </c>
      <c r="L191" s="19"/>
      <c r="M191" s="62" t="str">
        <f>VLOOKUP(A191,[1]Master!$C:$F,3,0)</f>
        <v>Provost</v>
      </c>
      <c r="N191" t="str">
        <f>VLOOKUP(A191,[1]Master!$C:$F,4,0)</f>
        <v>College of Arts &amp; Science</v>
      </c>
    </row>
    <row r="192" spans="1:14" customFormat="1" ht="21" x14ac:dyDescent="0.35">
      <c r="A192" s="2">
        <v>8470405</v>
      </c>
      <c r="B192" s="2" t="s">
        <v>313</v>
      </c>
      <c r="C192" s="2" t="s">
        <v>61</v>
      </c>
      <c r="D192" s="2" t="s">
        <v>62</v>
      </c>
      <c r="E192" s="2" t="s">
        <v>319</v>
      </c>
      <c r="F192" s="3">
        <v>12000</v>
      </c>
      <c r="G192" s="3">
        <v>20175</v>
      </c>
      <c r="H192" s="3">
        <v>20174.88</v>
      </c>
      <c r="I192" s="17">
        <v>0</v>
      </c>
      <c r="J192" s="17">
        <v>0</v>
      </c>
      <c r="K192" s="18">
        <f t="shared" si="2"/>
        <v>0.11999999999898137</v>
      </c>
      <c r="L192" s="19"/>
      <c r="M192" s="62" t="str">
        <f>VLOOKUP(A192,[1]Master!$C:$F,3,0)</f>
        <v>Provost</v>
      </c>
      <c r="N192" t="str">
        <f>VLOOKUP(A192,[1]Master!$C:$F,4,0)</f>
        <v>College of Arts &amp; Science</v>
      </c>
    </row>
    <row r="193" spans="1:14" customFormat="1" ht="21" x14ac:dyDescent="0.35">
      <c r="A193" s="2">
        <v>8470405</v>
      </c>
      <c r="B193" s="2" t="s">
        <v>313</v>
      </c>
      <c r="C193" s="2" t="s">
        <v>169</v>
      </c>
      <c r="D193" s="2" t="s">
        <v>170</v>
      </c>
      <c r="E193" s="2" t="s">
        <v>320</v>
      </c>
      <c r="F193" s="3">
        <v>200000</v>
      </c>
      <c r="G193" s="3">
        <v>2</v>
      </c>
      <c r="H193" s="4"/>
      <c r="I193" s="17">
        <v>0</v>
      </c>
      <c r="J193" s="17">
        <v>0</v>
      </c>
      <c r="K193" s="18">
        <f t="shared" si="2"/>
        <v>2</v>
      </c>
      <c r="L193" s="19"/>
      <c r="M193" s="62" t="str">
        <f>VLOOKUP(A193,[1]Master!$C:$F,3,0)</f>
        <v>Provost</v>
      </c>
      <c r="N193" t="str">
        <f>VLOOKUP(A193,[1]Master!$C:$F,4,0)</f>
        <v>College of Arts &amp; Science</v>
      </c>
    </row>
    <row r="194" spans="1:14" customFormat="1" ht="21" x14ac:dyDescent="0.35">
      <c r="A194" s="2">
        <v>8470405</v>
      </c>
      <c r="B194" s="2" t="s">
        <v>313</v>
      </c>
      <c r="C194" s="2" t="s">
        <v>103</v>
      </c>
      <c r="D194" s="2" t="s">
        <v>104</v>
      </c>
      <c r="E194" s="2" t="s">
        <v>321</v>
      </c>
      <c r="F194" s="3">
        <v>30000</v>
      </c>
      <c r="G194" s="3">
        <v>28100</v>
      </c>
      <c r="H194" s="3">
        <v>28033.25</v>
      </c>
      <c r="I194" s="17">
        <v>0</v>
      </c>
      <c r="J194" s="17">
        <v>0</v>
      </c>
      <c r="K194" s="18">
        <f t="shared" si="2"/>
        <v>66.75</v>
      </c>
      <c r="L194" s="19"/>
      <c r="M194" s="62" t="str">
        <f>VLOOKUP(A194,[1]Master!$C:$F,3,0)</f>
        <v>Provost</v>
      </c>
      <c r="N194" t="str">
        <f>VLOOKUP(A194,[1]Master!$C:$F,4,0)</f>
        <v>College of Arts &amp; Science</v>
      </c>
    </row>
    <row r="195" spans="1:14" customFormat="1" ht="31.5" x14ac:dyDescent="0.35">
      <c r="A195" s="2">
        <v>8470410</v>
      </c>
      <c r="B195" s="2" t="s">
        <v>323</v>
      </c>
      <c r="C195" s="2" t="s">
        <v>144</v>
      </c>
      <c r="D195" s="2" t="s">
        <v>145</v>
      </c>
      <c r="E195" s="2" t="s">
        <v>324</v>
      </c>
      <c r="F195" s="3">
        <v>162000</v>
      </c>
      <c r="G195" s="3">
        <v>23813</v>
      </c>
      <c r="H195" s="4"/>
      <c r="I195" s="17">
        <v>0</v>
      </c>
      <c r="J195" s="17">
        <v>0</v>
      </c>
      <c r="K195" s="18">
        <f t="shared" si="2"/>
        <v>23813</v>
      </c>
      <c r="L195" s="19"/>
      <c r="M195" s="62" t="str">
        <f>VLOOKUP(A195,[1]Master!$C:$F,3,0)</f>
        <v>Provost</v>
      </c>
      <c r="N195" t="str">
        <f>VLOOKUP(A195,[1]Master!$C:$F,4,0)</f>
        <v>College of Arts &amp; Science</v>
      </c>
    </row>
    <row r="196" spans="1:14" customFormat="1" ht="31.5" x14ac:dyDescent="0.35">
      <c r="A196" s="2">
        <v>8470410</v>
      </c>
      <c r="B196" s="2" t="s">
        <v>323</v>
      </c>
      <c r="C196" s="2" t="s">
        <v>97</v>
      </c>
      <c r="D196" s="2" t="s">
        <v>98</v>
      </c>
      <c r="E196" s="2" t="s">
        <v>325</v>
      </c>
      <c r="F196" s="3">
        <v>120000</v>
      </c>
      <c r="G196" s="3">
        <v>75704</v>
      </c>
      <c r="H196" s="3">
        <v>75704</v>
      </c>
      <c r="I196" s="17">
        <v>0</v>
      </c>
      <c r="J196" s="17">
        <v>0</v>
      </c>
      <c r="K196" s="18">
        <f t="shared" ref="K196:K259" si="3">G196-H196-I196-J196</f>
        <v>0</v>
      </c>
      <c r="L196" s="19"/>
      <c r="M196" s="62" t="str">
        <f>VLOOKUP(A196,[1]Master!$C:$F,3,0)</f>
        <v>Provost</v>
      </c>
      <c r="N196" t="str">
        <f>VLOOKUP(A196,[1]Master!$C:$F,4,0)</f>
        <v>College of Arts &amp; Science</v>
      </c>
    </row>
    <row r="197" spans="1:14" customFormat="1" ht="31.5" x14ac:dyDescent="0.35">
      <c r="A197" s="2">
        <v>8470410</v>
      </c>
      <c r="B197" s="2" t="s">
        <v>323</v>
      </c>
      <c r="C197" s="2" t="s">
        <v>40</v>
      </c>
      <c r="D197" s="2" t="s">
        <v>41</v>
      </c>
      <c r="E197" s="2" t="s">
        <v>326</v>
      </c>
      <c r="F197" s="3">
        <v>5600</v>
      </c>
      <c r="G197" s="3">
        <v>5600</v>
      </c>
      <c r="H197" s="3">
        <v>1612</v>
      </c>
      <c r="I197" s="17">
        <v>0</v>
      </c>
      <c r="J197" s="17">
        <v>0</v>
      </c>
      <c r="K197" s="18">
        <f t="shared" si="3"/>
        <v>3988</v>
      </c>
      <c r="L197" s="19"/>
      <c r="M197" s="62" t="str">
        <f>VLOOKUP(A197,[1]Master!$C:$F,3,0)</f>
        <v>Provost</v>
      </c>
      <c r="N197" t="str">
        <f>VLOOKUP(A197,[1]Master!$C:$F,4,0)</f>
        <v>College of Arts &amp; Science</v>
      </c>
    </row>
    <row r="198" spans="1:14" customFormat="1" ht="31.5" x14ac:dyDescent="0.35">
      <c r="A198" s="2">
        <v>8470410</v>
      </c>
      <c r="B198" s="2" t="s">
        <v>323</v>
      </c>
      <c r="C198" s="2" t="s">
        <v>43</v>
      </c>
      <c r="D198" s="2" t="s">
        <v>44</v>
      </c>
      <c r="E198" s="2" t="s">
        <v>327</v>
      </c>
      <c r="F198" s="3">
        <v>0</v>
      </c>
      <c r="G198" s="3">
        <v>12229</v>
      </c>
      <c r="H198" s="3">
        <v>4529</v>
      </c>
      <c r="I198" s="17">
        <v>0</v>
      </c>
      <c r="J198" s="17">
        <v>0</v>
      </c>
      <c r="K198" s="18">
        <f t="shared" si="3"/>
        <v>7700</v>
      </c>
      <c r="L198" s="19"/>
      <c r="M198" s="62" t="str">
        <f>VLOOKUP(A198,[1]Master!$C:$F,3,0)</f>
        <v>Provost</v>
      </c>
      <c r="N198" t="str">
        <f>VLOOKUP(A198,[1]Master!$C:$F,4,0)</f>
        <v>College of Arts &amp; Science</v>
      </c>
    </row>
    <row r="199" spans="1:14" customFormat="1" ht="31.5" x14ac:dyDescent="0.35">
      <c r="A199" s="2">
        <v>8470410</v>
      </c>
      <c r="B199" s="2" t="s">
        <v>323</v>
      </c>
      <c r="C199" s="2" t="s">
        <v>82</v>
      </c>
      <c r="D199" s="2" t="s">
        <v>83</v>
      </c>
      <c r="E199" s="2" t="s">
        <v>328</v>
      </c>
      <c r="F199" s="3">
        <v>85229</v>
      </c>
      <c r="G199" s="3">
        <v>27742</v>
      </c>
      <c r="H199" s="3">
        <v>13287.9</v>
      </c>
      <c r="I199" s="17">
        <v>0</v>
      </c>
      <c r="J199" s="17">
        <v>0</v>
      </c>
      <c r="K199" s="18">
        <f t="shared" si="3"/>
        <v>14454.1</v>
      </c>
      <c r="L199" s="19"/>
      <c r="M199" s="62" t="str">
        <f>VLOOKUP(A199,[1]Master!$C:$F,3,0)</f>
        <v>Provost</v>
      </c>
      <c r="N199" t="str">
        <f>VLOOKUP(A199,[1]Master!$C:$F,4,0)</f>
        <v>College of Arts &amp; Science</v>
      </c>
    </row>
    <row r="200" spans="1:14" customFormat="1" ht="31.5" x14ac:dyDescent="0.35">
      <c r="A200" s="2">
        <v>8470410</v>
      </c>
      <c r="B200" s="2" t="s">
        <v>323</v>
      </c>
      <c r="C200" s="2" t="s">
        <v>103</v>
      </c>
      <c r="D200" s="2" t="s">
        <v>104</v>
      </c>
      <c r="E200" s="2" t="s">
        <v>329</v>
      </c>
      <c r="F200" s="3">
        <v>17900</v>
      </c>
      <c r="G200" s="3">
        <v>45384</v>
      </c>
      <c r="H200" s="3">
        <v>25632.9</v>
      </c>
      <c r="I200" s="17">
        <v>0</v>
      </c>
      <c r="J200" s="17">
        <v>0</v>
      </c>
      <c r="K200" s="18">
        <f t="shared" si="3"/>
        <v>19751.099999999999</v>
      </c>
      <c r="L200" s="19"/>
      <c r="M200" s="62" t="str">
        <f>VLOOKUP(A200,[1]Master!$C:$F,3,0)</f>
        <v>Provost</v>
      </c>
      <c r="N200" t="str">
        <f>VLOOKUP(A200,[1]Master!$C:$F,4,0)</f>
        <v>College of Arts &amp; Science</v>
      </c>
    </row>
    <row r="201" spans="1:14" customFormat="1" ht="21" x14ac:dyDescent="0.35">
      <c r="A201" s="2">
        <v>8470415</v>
      </c>
      <c r="B201" s="2" t="s">
        <v>331</v>
      </c>
      <c r="C201" s="2" t="s">
        <v>28</v>
      </c>
      <c r="D201" s="2" t="s">
        <v>29</v>
      </c>
      <c r="E201" s="2" t="s">
        <v>332</v>
      </c>
      <c r="F201" s="3">
        <v>150000</v>
      </c>
      <c r="G201" s="3">
        <v>30000</v>
      </c>
      <c r="H201" s="4"/>
      <c r="I201" s="17">
        <v>0</v>
      </c>
      <c r="J201" s="17">
        <v>0</v>
      </c>
      <c r="K201" s="18">
        <f t="shared" si="3"/>
        <v>30000</v>
      </c>
      <c r="L201" s="19"/>
      <c r="M201" s="62" t="str">
        <f>VLOOKUP(A201,[1]Master!$C:$F,3,0)</f>
        <v>Provost</v>
      </c>
      <c r="N201" t="str">
        <f>VLOOKUP(A201,[1]Master!$C:$F,4,0)</f>
        <v>College of Arts &amp; Science</v>
      </c>
    </row>
    <row r="202" spans="1:14" customFormat="1" ht="14.5" x14ac:dyDescent="0.35">
      <c r="A202" s="2">
        <v>8470415</v>
      </c>
      <c r="B202" s="2" t="s">
        <v>331</v>
      </c>
      <c r="C202" s="2" t="s">
        <v>67</v>
      </c>
      <c r="D202" s="2" t="s">
        <v>68</v>
      </c>
      <c r="E202" s="2" t="s">
        <v>333</v>
      </c>
      <c r="F202" s="3">
        <v>50000</v>
      </c>
      <c r="G202" s="3">
        <v>23000</v>
      </c>
      <c r="H202" s="4"/>
      <c r="I202" s="17">
        <v>0</v>
      </c>
      <c r="J202" s="17">
        <v>0</v>
      </c>
      <c r="K202" s="18">
        <f t="shared" si="3"/>
        <v>23000</v>
      </c>
      <c r="L202" s="19"/>
      <c r="M202" s="62" t="str">
        <f>VLOOKUP(A202,[1]Master!$C:$F,3,0)</f>
        <v>Provost</v>
      </c>
      <c r="N202" t="str">
        <f>VLOOKUP(A202,[1]Master!$C:$F,4,0)</f>
        <v>College of Arts &amp; Science</v>
      </c>
    </row>
    <row r="203" spans="1:14" customFormat="1" ht="21" x14ac:dyDescent="0.35">
      <c r="A203" s="2">
        <v>8470415</v>
      </c>
      <c r="B203" s="2" t="s">
        <v>331</v>
      </c>
      <c r="C203" s="2" t="s">
        <v>183</v>
      </c>
      <c r="D203" s="2" t="s">
        <v>184</v>
      </c>
      <c r="E203" s="2" t="s">
        <v>334</v>
      </c>
      <c r="F203" s="3">
        <v>5000</v>
      </c>
      <c r="G203" s="3">
        <v>2</v>
      </c>
      <c r="H203" s="4"/>
      <c r="I203" s="17">
        <v>0</v>
      </c>
      <c r="J203" s="17">
        <v>0</v>
      </c>
      <c r="K203" s="18">
        <f t="shared" si="3"/>
        <v>2</v>
      </c>
      <c r="L203" s="19"/>
      <c r="M203" s="62" t="str">
        <f>VLOOKUP(A203,[1]Master!$C:$F,3,0)</f>
        <v>Provost</v>
      </c>
      <c r="N203" t="str">
        <f>VLOOKUP(A203,[1]Master!$C:$F,4,0)</f>
        <v>College of Arts &amp; Science</v>
      </c>
    </row>
    <row r="204" spans="1:14" customFormat="1" ht="14.5" x14ac:dyDescent="0.35">
      <c r="A204" s="2">
        <v>8470415</v>
      </c>
      <c r="B204" s="2" t="s">
        <v>331</v>
      </c>
      <c r="C204" s="2" t="s">
        <v>72</v>
      </c>
      <c r="D204" s="2" t="s">
        <v>73</v>
      </c>
      <c r="E204" s="2" t="s">
        <v>335</v>
      </c>
      <c r="F204" s="3">
        <v>80000</v>
      </c>
      <c r="G204" s="3">
        <v>48845</v>
      </c>
      <c r="H204" s="3">
        <v>37063.160000000003</v>
      </c>
      <c r="I204" s="17">
        <v>0</v>
      </c>
      <c r="J204" s="17">
        <v>11780</v>
      </c>
      <c r="K204" s="18">
        <f t="shared" si="3"/>
        <v>1.8399999999965075</v>
      </c>
      <c r="L204" s="19"/>
      <c r="M204" s="62" t="str">
        <f>VLOOKUP(A204,[1]Master!$C:$F,3,0)</f>
        <v>Provost</v>
      </c>
      <c r="N204" t="str">
        <f>VLOOKUP(A204,[1]Master!$C:$F,4,0)</f>
        <v>College of Arts &amp; Science</v>
      </c>
    </row>
    <row r="205" spans="1:14" customFormat="1" ht="21" x14ac:dyDescent="0.35">
      <c r="A205" s="2">
        <v>8470415</v>
      </c>
      <c r="B205" s="2" t="s">
        <v>331</v>
      </c>
      <c r="C205" s="2" t="s">
        <v>97</v>
      </c>
      <c r="D205" s="2" t="s">
        <v>98</v>
      </c>
      <c r="E205" s="2" t="s">
        <v>336</v>
      </c>
      <c r="F205" s="3">
        <v>285000</v>
      </c>
      <c r="G205" s="3">
        <v>316248</v>
      </c>
      <c r="H205" s="3">
        <v>296305.21999999997</v>
      </c>
      <c r="I205" s="17">
        <v>0</v>
      </c>
      <c r="J205" s="17">
        <v>0</v>
      </c>
      <c r="K205" s="18">
        <f t="shared" si="3"/>
        <v>19942.780000000028</v>
      </c>
      <c r="L205" s="19"/>
      <c r="M205" s="62" t="str">
        <f>VLOOKUP(A205,[1]Master!$C:$F,3,0)</f>
        <v>Provost</v>
      </c>
      <c r="N205" t="str">
        <f>VLOOKUP(A205,[1]Master!$C:$F,4,0)</f>
        <v>College of Arts &amp; Science</v>
      </c>
    </row>
    <row r="206" spans="1:14" customFormat="1" ht="14.5" x14ac:dyDescent="0.35">
      <c r="A206" s="2">
        <v>8470415</v>
      </c>
      <c r="B206" s="2" t="s">
        <v>331</v>
      </c>
      <c r="C206" s="2" t="s">
        <v>37</v>
      </c>
      <c r="D206" s="2" t="s">
        <v>38</v>
      </c>
      <c r="E206" s="2" t="s">
        <v>337</v>
      </c>
      <c r="F206" s="3">
        <v>140000</v>
      </c>
      <c r="G206" s="3">
        <v>9342</v>
      </c>
      <c r="H206" s="3">
        <v>9339.73</v>
      </c>
      <c r="I206" s="17">
        <v>0</v>
      </c>
      <c r="J206" s="17">
        <v>0</v>
      </c>
      <c r="K206" s="18">
        <f t="shared" si="3"/>
        <v>2.2700000000004366</v>
      </c>
      <c r="L206" s="19"/>
      <c r="M206" s="62" t="str">
        <f>VLOOKUP(A206,[1]Master!$C:$F,3,0)</f>
        <v>Provost</v>
      </c>
      <c r="N206" t="str">
        <f>VLOOKUP(A206,[1]Master!$C:$F,4,0)</f>
        <v>College of Arts &amp; Science</v>
      </c>
    </row>
    <row r="207" spans="1:14" customFormat="1" ht="21" x14ac:dyDescent="0.35">
      <c r="A207" s="2">
        <v>8470415</v>
      </c>
      <c r="B207" s="2" t="s">
        <v>331</v>
      </c>
      <c r="C207" s="2" t="s">
        <v>40</v>
      </c>
      <c r="D207" s="2" t="s">
        <v>41</v>
      </c>
      <c r="E207" s="2" t="s">
        <v>338</v>
      </c>
      <c r="F207" s="3">
        <v>229511</v>
      </c>
      <c r="G207" s="3">
        <v>144305</v>
      </c>
      <c r="H207" s="3">
        <v>92696.94</v>
      </c>
      <c r="I207" s="17">
        <v>0</v>
      </c>
      <c r="J207" s="17">
        <v>37806.980000000003</v>
      </c>
      <c r="K207" s="18">
        <f t="shared" si="3"/>
        <v>13801.079999999994</v>
      </c>
      <c r="L207" s="19"/>
      <c r="M207" s="62" t="str">
        <f>VLOOKUP(A207,[1]Master!$C:$F,3,0)</f>
        <v>Provost</v>
      </c>
      <c r="N207" t="str">
        <f>VLOOKUP(A207,[1]Master!$C:$F,4,0)</f>
        <v>College of Arts &amp; Science</v>
      </c>
    </row>
    <row r="208" spans="1:14" customFormat="1" ht="14.5" x14ac:dyDescent="0.35">
      <c r="A208" s="2">
        <v>8470415</v>
      </c>
      <c r="B208" s="2" t="s">
        <v>331</v>
      </c>
      <c r="C208" s="2" t="s">
        <v>49</v>
      </c>
      <c r="D208" s="2" t="s">
        <v>50</v>
      </c>
      <c r="E208" s="2" t="s">
        <v>339</v>
      </c>
      <c r="F208" s="3">
        <v>15000</v>
      </c>
      <c r="G208" s="3">
        <v>7612</v>
      </c>
      <c r="H208" s="4"/>
      <c r="I208" s="17">
        <v>0</v>
      </c>
      <c r="J208" s="17">
        <v>0</v>
      </c>
      <c r="K208" s="18">
        <f t="shared" si="3"/>
        <v>7612</v>
      </c>
      <c r="L208" s="19"/>
      <c r="M208" s="62" t="str">
        <f>VLOOKUP(A208,[1]Master!$C:$F,3,0)</f>
        <v>Provost</v>
      </c>
      <c r="N208" t="str">
        <f>VLOOKUP(A208,[1]Master!$C:$F,4,0)</f>
        <v>College of Arts &amp; Science</v>
      </c>
    </row>
    <row r="209" spans="1:14" customFormat="1" ht="14.5" x14ac:dyDescent="0.35">
      <c r="A209" s="2">
        <v>8470415</v>
      </c>
      <c r="B209" s="2" t="s">
        <v>331</v>
      </c>
      <c r="C209" s="2" t="s">
        <v>169</v>
      </c>
      <c r="D209" s="2" t="s">
        <v>170</v>
      </c>
      <c r="E209" s="2" t="s">
        <v>340</v>
      </c>
      <c r="F209" s="3">
        <v>301000</v>
      </c>
      <c r="G209" s="3">
        <v>223957</v>
      </c>
      <c r="H209" s="3">
        <v>203796.71</v>
      </c>
      <c r="I209" s="17">
        <v>0</v>
      </c>
      <c r="J209" s="17">
        <v>899.99999999999602</v>
      </c>
      <c r="K209" s="18">
        <f t="shared" si="3"/>
        <v>19260.290000000012</v>
      </c>
      <c r="L209" s="19"/>
      <c r="M209" s="62" t="str">
        <f>VLOOKUP(A209,[1]Master!$C:$F,3,0)</f>
        <v>Provost</v>
      </c>
      <c r="N209" t="str">
        <f>VLOOKUP(A209,[1]Master!$C:$F,4,0)</f>
        <v>College of Arts &amp; Science</v>
      </c>
    </row>
    <row r="210" spans="1:14" customFormat="1" ht="14.5" x14ac:dyDescent="0.35">
      <c r="A210" s="2">
        <v>8470415</v>
      </c>
      <c r="B210" s="2" t="s">
        <v>331</v>
      </c>
      <c r="C210" s="2" t="s">
        <v>103</v>
      </c>
      <c r="D210" s="2" t="s">
        <v>104</v>
      </c>
      <c r="E210" s="2" t="s">
        <v>341</v>
      </c>
      <c r="F210" s="3">
        <v>70000</v>
      </c>
      <c r="G210" s="3">
        <v>5140</v>
      </c>
      <c r="H210" s="3">
        <v>5138</v>
      </c>
      <c r="I210" s="17">
        <v>0</v>
      </c>
      <c r="J210" s="17">
        <v>0</v>
      </c>
      <c r="K210" s="18">
        <f t="shared" si="3"/>
        <v>2</v>
      </c>
      <c r="L210" s="19"/>
      <c r="M210" s="62" t="str">
        <f>VLOOKUP(A210,[1]Master!$C:$F,3,0)</f>
        <v>Provost</v>
      </c>
      <c r="N210" t="str">
        <f>VLOOKUP(A210,[1]Master!$C:$F,4,0)</f>
        <v>College of Arts &amp; Science</v>
      </c>
    </row>
    <row r="211" spans="1:14" customFormat="1" ht="14.5" x14ac:dyDescent="0.35">
      <c r="A211" s="2">
        <v>8470415</v>
      </c>
      <c r="B211" s="2" t="s">
        <v>331</v>
      </c>
      <c r="C211" s="2" t="s">
        <v>173</v>
      </c>
      <c r="D211" s="2" t="s">
        <v>174</v>
      </c>
      <c r="E211" s="2" t="s">
        <v>342</v>
      </c>
      <c r="F211" s="3">
        <v>525000</v>
      </c>
      <c r="G211" s="3">
        <v>468973</v>
      </c>
      <c r="H211" s="3">
        <v>292534.89</v>
      </c>
      <c r="I211" s="17">
        <v>23837.200000000001</v>
      </c>
      <c r="J211" s="17">
        <v>148078.48000000001</v>
      </c>
      <c r="K211" s="18">
        <f t="shared" si="3"/>
        <v>4522.4299999999639</v>
      </c>
      <c r="L211" s="19"/>
      <c r="M211" s="62" t="str">
        <f>VLOOKUP(A211,[1]Master!$C:$F,3,0)</f>
        <v>Provost</v>
      </c>
      <c r="N211" t="str">
        <f>VLOOKUP(A211,[1]Master!$C:$F,4,0)</f>
        <v>College of Arts &amp; Science</v>
      </c>
    </row>
    <row r="212" spans="1:14" customFormat="1" ht="21" x14ac:dyDescent="0.35">
      <c r="A212" s="2">
        <v>8470415</v>
      </c>
      <c r="B212" s="2" t="s">
        <v>331</v>
      </c>
      <c r="C212" s="2" t="s">
        <v>85</v>
      </c>
      <c r="D212" s="2" t="s">
        <v>86</v>
      </c>
      <c r="E212" s="2" t="s">
        <v>343</v>
      </c>
      <c r="F212" s="3">
        <v>20000</v>
      </c>
      <c r="G212" s="3">
        <v>20000</v>
      </c>
      <c r="H212" s="4"/>
      <c r="I212" s="17">
        <v>0</v>
      </c>
      <c r="J212" s="17">
        <v>0</v>
      </c>
      <c r="K212" s="18">
        <f t="shared" si="3"/>
        <v>20000</v>
      </c>
      <c r="L212" s="19"/>
      <c r="M212" s="62" t="str">
        <f>VLOOKUP(A212,[1]Master!$C:$F,3,0)</f>
        <v>Provost</v>
      </c>
      <c r="N212" t="str">
        <f>VLOOKUP(A212,[1]Master!$C:$F,4,0)</f>
        <v>College of Arts &amp; Science</v>
      </c>
    </row>
    <row r="213" spans="1:14" customFormat="1" ht="31.5" x14ac:dyDescent="0.35">
      <c r="A213" s="2">
        <v>8470425</v>
      </c>
      <c r="B213" s="2" t="s">
        <v>345</v>
      </c>
      <c r="C213" s="2" t="s">
        <v>31</v>
      </c>
      <c r="D213" s="2" t="s">
        <v>32</v>
      </c>
      <c r="E213" s="2" t="s">
        <v>346</v>
      </c>
      <c r="F213" s="3">
        <v>45000</v>
      </c>
      <c r="G213" s="3">
        <v>35457</v>
      </c>
      <c r="H213" s="3">
        <v>9658.81</v>
      </c>
      <c r="I213" s="17">
        <v>0</v>
      </c>
      <c r="J213" s="17">
        <v>11600</v>
      </c>
      <c r="K213" s="18">
        <f t="shared" si="3"/>
        <v>14198.190000000002</v>
      </c>
      <c r="L213" s="19"/>
      <c r="M213" s="62" t="str">
        <f>VLOOKUP(A213,[1]Master!$C:$F,3,0)</f>
        <v>Provost</v>
      </c>
      <c r="N213" t="str">
        <f>VLOOKUP(A213,[1]Master!$C:$F,4,0)</f>
        <v>College of Arts &amp; Science</v>
      </c>
    </row>
    <row r="214" spans="1:14" customFormat="1" ht="31.5" x14ac:dyDescent="0.35">
      <c r="A214" s="2">
        <v>8470425</v>
      </c>
      <c r="B214" s="2" t="s">
        <v>345</v>
      </c>
      <c r="C214" s="2" t="s">
        <v>34</v>
      </c>
      <c r="D214" s="2" t="s">
        <v>35</v>
      </c>
      <c r="E214" s="2" t="s">
        <v>347</v>
      </c>
      <c r="F214" s="3">
        <v>225000</v>
      </c>
      <c r="G214" s="3">
        <v>54661</v>
      </c>
      <c r="H214" s="3">
        <v>54660.3</v>
      </c>
      <c r="I214" s="17">
        <v>0</v>
      </c>
      <c r="J214" s="17">
        <v>0</v>
      </c>
      <c r="K214" s="18">
        <f t="shared" si="3"/>
        <v>0.69999999999708962</v>
      </c>
      <c r="L214" s="19"/>
      <c r="M214" s="62" t="str">
        <f>VLOOKUP(A214,[1]Master!$C:$F,3,0)</f>
        <v>Provost</v>
      </c>
      <c r="N214" t="str">
        <f>VLOOKUP(A214,[1]Master!$C:$F,4,0)</f>
        <v>College of Arts &amp; Science</v>
      </c>
    </row>
    <row r="215" spans="1:14" customFormat="1" ht="21" x14ac:dyDescent="0.35">
      <c r="A215" s="2">
        <v>8470425</v>
      </c>
      <c r="B215" s="2" t="s">
        <v>345</v>
      </c>
      <c r="C215" s="2" t="s">
        <v>97</v>
      </c>
      <c r="D215" s="2" t="s">
        <v>98</v>
      </c>
      <c r="E215" s="2" t="s">
        <v>348</v>
      </c>
      <c r="F215" s="3">
        <v>60000</v>
      </c>
      <c r="G215" s="3">
        <v>39943</v>
      </c>
      <c r="H215" s="3">
        <v>39895</v>
      </c>
      <c r="I215" s="17">
        <v>0</v>
      </c>
      <c r="J215" s="17">
        <v>0</v>
      </c>
      <c r="K215" s="18">
        <f t="shared" si="3"/>
        <v>48</v>
      </c>
      <c r="L215" s="19"/>
      <c r="M215" s="62" t="str">
        <f>VLOOKUP(A215,[1]Master!$C:$F,3,0)</f>
        <v>Provost</v>
      </c>
      <c r="N215" t="str">
        <f>VLOOKUP(A215,[1]Master!$C:$F,4,0)</f>
        <v>College of Arts &amp; Science</v>
      </c>
    </row>
    <row r="216" spans="1:14" customFormat="1" ht="14.5" x14ac:dyDescent="0.35">
      <c r="A216" s="2">
        <v>8470425</v>
      </c>
      <c r="B216" s="2" t="s">
        <v>345</v>
      </c>
      <c r="C216" s="2" t="s">
        <v>37</v>
      </c>
      <c r="D216" s="2" t="s">
        <v>38</v>
      </c>
      <c r="E216" s="2" t="s">
        <v>349</v>
      </c>
      <c r="F216" s="3">
        <v>10116</v>
      </c>
      <c r="G216" s="3">
        <v>10116</v>
      </c>
      <c r="H216" s="3">
        <v>2973</v>
      </c>
      <c r="I216" s="17">
        <v>0</v>
      </c>
      <c r="J216" s="17">
        <v>0</v>
      </c>
      <c r="K216" s="18">
        <f t="shared" si="3"/>
        <v>7143</v>
      </c>
      <c r="L216" s="19"/>
      <c r="M216" s="62" t="str">
        <f>VLOOKUP(A216,[1]Master!$C:$F,3,0)</f>
        <v>Provost</v>
      </c>
      <c r="N216" t="str">
        <f>VLOOKUP(A216,[1]Master!$C:$F,4,0)</f>
        <v>College of Arts &amp; Science</v>
      </c>
    </row>
    <row r="217" spans="1:14" customFormat="1" ht="21" x14ac:dyDescent="0.35">
      <c r="A217" s="2">
        <v>8470425</v>
      </c>
      <c r="B217" s="2" t="s">
        <v>345</v>
      </c>
      <c r="C217" s="2" t="s">
        <v>40</v>
      </c>
      <c r="D217" s="2" t="s">
        <v>41</v>
      </c>
      <c r="E217" s="2" t="s">
        <v>350</v>
      </c>
      <c r="F217" s="3">
        <v>212000</v>
      </c>
      <c r="G217" s="3">
        <v>35845</v>
      </c>
      <c r="H217" s="3">
        <v>22497.13</v>
      </c>
      <c r="I217" s="17">
        <v>0</v>
      </c>
      <c r="J217" s="17">
        <v>0</v>
      </c>
      <c r="K217" s="18">
        <f t="shared" si="3"/>
        <v>13347.869999999999</v>
      </c>
      <c r="L217" s="19"/>
      <c r="M217" s="62" t="str">
        <f>VLOOKUP(A217,[1]Master!$C:$F,3,0)</f>
        <v>Provost</v>
      </c>
      <c r="N217" t="str">
        <f>VLOOKUP(A217,[1]Master!$C:$F,4,0)</f>
        <v>College of Arts &amp; Science</v>
      </c>
    </row>
    <row r="218" spans="1:14" customFormat="1" ht="21" x14ac:dyDescent="0.35">
      <c r="A218" s="2">
        <v>8470425</v>
      </c>
      <c r="B218" s="2" t="s">
        <v>345</v>
      </c>
      <c r="C218" s="2" t="s">
        <v>43</v>
      </c>
      <c r="D218" s="2" t="s">
        <v>44</v>
      </c>
      <c r="E218" s="2" t="s">
        <v>351</v>
      </c>
      <c r="F218" s="3">
        <v>128000</v>
      </c>
      <c r="G218" s="3">
        <v>34875</v>
      </c>
      <c r="H218" s="3">
        <v>6445</v>
      </c>
      <c r="I218" s="17">
        <v>0</v>
      </c>
      <c r="J218" s="17">
        <v>0</v>
      </c>
      <c r="K218" s="18">
        <f t="shared" si="3"/>
        <v>28430</v>
      </c>
      <c r="L218" s="19"/>
      <c r="M218" s="62" t="str">
        <f>VLOOKUP(A218,[1]Master!$C:$F,3,0)</f>
        <v>Provost</v>
      </c>
      <c r="N218" t="str">
        <f>VLOOKUP(A218,[1]Master!$C:$F,4,0)</f>
        <v>College of Arts &amp; Science</v>
      </c>
    </row>
    <row r="219" spans="1:14" customFormat="1" ht="14.5" x14ac:dyDescent="0.35">
      <c r="A219" s="2">
        <v>8470425</v>
      </c>
      <c r="B219" s="2" t="s">
        <v>345</v>
      </c>
      <c r="C219" s="2" t="s">
        <v>103</v>
      </c>
      <c r="D219" s="2" t="s">
        <v>104</v>
      </c>
      <c r="E219" s="2" t="s">
        <v>352</v>
      </c>
      <c r="F219" s="3">
        <v>120000</v>
      </c>
      <c r="G219" s="3">
        <v>100291</v>
      </c>
      <c r="H219" s="3">
        <v>97526.43</v>
      </c>
      <c r="I219" s="17">
        <v>0</v>
      </c>
      <c r="J219" s="17">
        <v>0</v>
      </c>
      <c r="K219" s="18">
        <f t="shared" si="3"/>
        <v>2764.570000000007</v>
      </c>
      <c r="L219" s="19"/>
      <c r="M219" s="62" t="str">
        <f>VLOOKUP(A219,[1]Master!$C:$F,3,0)</f>
        <v>Provost</v>
      </c>
      <c r="N219" t="str">
        <f>VLOOKUP(A219,[1]Master!$C:$F,4,0)</f>
        <v>College of Arts &amp; Science</v>
      </c>
    </row>
    <row r="220" spans="1:14" customFormat="1" ht="14.5" x14ac:dyDescent="0.35">
      <c r="A220" s="2">
        <v>8470425</v>
      </c>
      <c r="B220" s="2" t="s">
        <v>345</v>
      </c>
      <c r="C220" s="2" t="s">
        <v>173</v>
      </c>
      <c r="D220" s="2" t="s">
        <v>174</v>
      </c>
      <c r="E220" s="2" t="s">
        <v>353</v>
      </c>
      <c r="F220" s="3">
        <v>551566</v>
      </c>
      <c r="G220" s="3">
        <v>212293</v>
      </c>
      <c r="H220" s="3">
        <v>212291.61</v>
      </c>
      <c r="I220" s="17">
        <v>0</v>
      </c>
      <c r="J220" s="17">
        <v>0</v>
      </c>
      <c r="K220" s="18">
        <f t="shared" si="3"/>
        <v>1.3900000000139698</v>
      </c>
      <c r="L220" s="19"/>
      <c r="M220" s="62" t="str">
        <f>VLOOKUP(A220,[1]Master!$C:$F,3,0)</f>
        <v>Provost</v>
      </c>
      <c r="N220" t="str">
        <f>VLOOKUP(A220,[1]Master!$C:$F,4,0)</f>
        <v>College of Arts &amp; Science</v>
      </c>
    </row>
    <row r="221" spans="1:14" customFormat="1" ht="21" x14ac:dyDescent="0.35">
      <c r="A221" s="2">
        <v>8470430</v>
      </c>
      <c r="B221" s="2" t="s">
        <v>355</v>
      </c>
      <c r="C221" s="2" t="s">
        <v>144</v>
      </c>
      <c r="D221" s="2" t="s">
        <v>145</v>
      </c>
      <c r="E221" s="2" t="s">
        <v>356</v>
      </c>
      <c r="F221" s="3">
        <v>8500</v>
      </c>
      <c r="G221" s="3">
        <v>8500</v>
      </c>
      <c r="H221" s="4"/>
      <c r="I221" s="17">
        <v>0</v>
      </c>
      <c r="J221" s="17">
        <v>0</v>
      </c>
      <c r="K221" s="18">
        <f t="shared" si="3"/>
        <v>8500</v>
      </c>
      <c r="L221" s="19"/>
      <c r="M221" s="62" t="str">
        <f>VLOOKUP(A221,[1]Master!$C:$F,3,0)</f>
        <v>Provost</v>
      </c>
      <c r="N221" t="str">
        <f>VLOOKUP(A221,[1]Master!$C:$F,4,0)</f>
        <v>College of Arts &amp; Science</v>
      </c>
    </row>
    <row r="222" spans="1:14" customFormat="1" ht="21" x14ac:dyDescent="0.35">
      <c r="A222" s="2">
        <v>8470430</v>
      </c>
      <c r="B222" s="2" t="s">
        <v>355</v>
      </c>
      <c r="C222" s="2" t="s">
        <v>97</v>
      </c>
      <c r="D222" s="2" t="s">
        <v>98</v>
      </c>
      <c r="E222" s="2" t="s">
        <v>357</v>
      </c>
      <c r="F222" s="3">
        <v>375000</v>
      </c>
      <c r="G222" s="3">
        <v>44725</v>
      </c>
      <c r="H222" s="3">
        <v>44723.79</v>
      </c>
      <c r="I222" s="17">
        <v>0</v>
      </c>
      <c r="J222" s="17">
        <v>0</v>
      </c>
      <c r="K222" s="18">
        <f t="shared" si="3"/>
        <v>1.2099999999991269</v>
      </c>
      <c r="L222" s="19"/>
      <c r="M222" s="62" t="str">
        <f>VLOOKUP(A222,[1]Master!$C:$F,3,0)</f>
        <v>Provost</v>
      </c>
      <c r="N222" t="str">
        <f>VLOOKUP(A222,[1]Master!$C:$F,4,0)</f>
        <v>College of Arts &amp; Science</v>
      </c>
    </row>
    <row r="223" spans="1:14" customFormat="1" ht="21" x14ac:dyDescent="0.35">
      <c r="A223" s="2">
        <v>8470430</v>
      </c>
      <c r="B223" s="2" t="s">
        <v>355</v>
      </c>
      <c r="C223" s="2" t="s">
        <v>37</v>
      </c>
      <c r="D223" s="2" t="s">
        <v>38</v>
      </c>
      <c r="E223" s="2" t="s">
        <v>358</v>
      </c>
      <c r="F223" s="3">
        <v>12000</v>
      </c>
      <c r="G223" s="3">
        <v>12000</v>
      </c>
      <c r="H223" s="4"/>
      <c r="I223" s="17">
        <v>0</v>
      </c>
      <c r="J223" s="17">
        <v>0</v>
      </c>
      <c r="K223" s="18">
        <f t="shared" si="3"/>
        <v>12000</v>
      </c>
      <c r="L223" s="19"/>
      <c r="M223" s="62" t="str">
        <f>VLOOKUP(A223,[1]Master!$C:$F,3,0)</f>
        <v>Provost</v>
      </c>
      <c r="N223" t="str">
        <f>VLOOKUP(A223,[1]Master!$C:$F,4,0)</f>
        <v>College of Arts &amp; Science</v>
      </c>
    </row>
    <row r="224" spans="1:14" customFormat="1" ht="21" x14ac:dyDescent="0.35">
      <c r="A224" s="2">
        <v>8470430</v>
      </c>
      <c r="B224" s="2" t="s">
        <v>355</v>
      </c>
      <c r="C224" s="2" t="s">
        <v>40</v>
      </c>
      <c r="D224" s="2" t="s">
        <v>41</v>
      </c>
      <c r="E224" s="2" t="s">
        <v>359</v>
      </c>
      <c r="F224" s="3">
        <v>26152</v>
      </c>
      <c r="G224" s="3">
        <v>49452</v>
      </c>
      <c r="H224" s="3">
        <v>49362.03</v>
      </c>
      <c r="I224" s="17">
        <v>0</v>
      </c>
      <c r="J224" s="17">
        <v>0</v>
      </c>
      <c r="K224" s="18">
        <f t="shared" si="3"/>
        <v>89.970000000001164</v>
      </c>
      <c r="L224" s="19"/>
      <c r="M224" s="62" t="str">
        <f>VLOOKUP(A224,[1]Master!$C:$F,3,0)</f>
        <v>Provost</v>
      </c>
      <c r="N224" t="str">
        <f>VLOOKUP(A224,[1]Master!$C:$F,4,0)</f>
        <v>College of Arts &amp; Science</v>
      </c>
    </row>
    <row r="225" spans="1:14" customFormat="1" ht="21" x14ac:dyDescent="0.35">
      <c r="A225" s="2">
        <v>8470430</v>
      </c>
      <c r="B225" s="2" t="s">
        <v>355</v>
      </c>
      <c r="C225" s="2" t="s">
        <v>169</v>
      </c>
      <c r="D225" s="2" t="s">
        <v>170</v>
      </c>
      <c r="E225" s="2" t="s">
        <v>360</v>
      </c>
      <c r="F225" s="3">
        <v>0</v>
      </c>
      <c r="G225" s="3">
        <v>1575</v>
      </c>
      <c r="H225" s="3">
        <v>1500</v>
      </c>
      <c r="I225" s="17">
        <v>0</v>
      </c>
      <c r="J225" s="17">
        <v>0</v>
      </c>
      <c r="K225" s="18">
        <f t="shared" si="3"/>
        <v>75</v>
      </c>
      <c r="L225" s="19"/>
      <c r="M225" s="62" t="str">
        <f>VLOOKUP(A225,[1]Master!$C:$F,3,0)</f>
        <v>Provost</v>
      </c>
      <c r="N225" t="str">
        <f>VLOOKUP(A225,[1]Master!$C:$F,4,0)</f>
        <v>College of Arts &amp; Science</v>
      </c>
    </row>
    <row r="226" spans="1:14" customFormat="1" ht="21" x14ac:dyDescent="0.35">
      <c r="A226" s="2">
        <v>8470430</v>
      </c>
      <c r="B226" s="2" t="s">
        <v>355</v>
      </c>
      <c r="C226" s="2" t="s">
        <v>173</v>
      </c>
      <c r="D226" s="2" t="s">
        <v>174</v>
      </c>
      <c r="E226" s="2" t="s">
        <v>361</v>
      </c>
      <c r="F226" s="3">
        <v>84600</v>
      </c>
      <c r="G226" s="3">
        <v>9791</v>
      </c>
      <c r="H226" s="3">
        <v>9789.4</v>
      </c>
      <c r="I226" s="17">
        <v>0</v>
      </c>
      <c r="J226" s="17">
        <v>0</v>
      </c>
      <c r="K226" s="18">
        <f t="shared" si="3"/>
        <v>1.6000000000003638</v>
      </c>
      <c r="L226" s="19"/>
      <c r="M226" s="62" t="str">
        <f>VLOOKUP(A226,[1]Master!$C:$F,3,0)</f>
        <v>Provost</v>
      </c>
      <c r="N226" t="str">
        <f>VLOOKUP(A226,[1]Master!$C:$F,4,0)</f>
        <v>College of Arts &amp; Science</v>
      </c>
    </row>
    <row r="227" spans="1:14" customFormat="1" ht="21" x14ac:dyDescent="0.35">
      <c r="A227" s="2">
        <v>8470435</v>
      </c>
      <c r="B227" s="2" t="s">
        <v>363</v>
      </c>
      <c r="C227" s="2" t="s">
        <v>97</v>
      </c>
      <c r="D227" s="2" t="s">
        <v>98</v>
      </c>
      <c r="E227" s="2" t="s">
        <v>364</v>
      </c>
      <c r="F227" s="3">
        <v>100000</v>
      </c>
      <c r="G227" s="3">
        <v>101407</v>
      </c>
      <c r="H227" s="3">
        <v>98631.06</v>
      </c>
      <c r="I227" s="17">
        <v>0</v>
      </c>
      <c r="J227" s="17">
        <v>0</v>
      </c>
      <c r="K227" s="18">
        <f t="shared" si="3"/>
        <v>2775.9400000000023</v>
      </c>
      <c r="L227" s="19"/>
      <c r="M227" s="62" t="str">
        <f>VLOOKUP(A227,[1]Master!$C:$F,3,0)</f>
        <v>Provost</v>
      </c>
      <c r="N227" t="str">
        <f>VLOOKUP(A227,[1]Master!$C:$F,4,0)</f>
        <v>College of Arts &amp; Science</v>
      </c>
    </row>
    <row r="228" spans="1:14" customFormat="1" ht="21" x14ac:dyDescent="0.35">
      <c r="A228" s="2">
        <v>8470435</v>
      </c>
      <c r="B228" s="2" t="s">
        <v>363</v>
      </c>
      <c r="C228" s="2" t="s">
        <v>40</v>
      </c>
      <c r="D228" s="2" t="s">
        <v>41</v>
      </c>
      <c r="E228" s="2" t="s">
        <v>365</v>
      </c>
      <c r="F228" s="3">
        <v>30000</v>
      </c>
      <c r="G228" s="3">
        <v>30000</v>
      </c>
      <c r="H228" s="3">
        <v>29106</v>
      </c>
      <c r="I228" s="17">
        <v>0</v>
      </c>
      <c r="J228" s="17">
        <v>0</v>
      </c>
      <c r="K228" s="18">
        <f t="shared" si="3"/>
        <v>894</v>
      </c>
      <c r="L228" s="19"/>
      <c r="M228" s="62" t="str">
        <f>VLOOKUP(A228,[1]Master!$C:$F,3,0)</f>
        <v>Provost</v>
      </c>
      <c r="N228" t="str">
        <f>VLOOKUP(A228,[1]Master!$C:$F,4,0)</f>
        <v>College of Arts &amp; Science</v>
      </c>
    </row>
    <row r="229" spans="1:14" customFormat="1" ht="21" x14ac:dyDescent="0.35">
      <c r="A229" s="2">
        <v>8470435</v>
      </c>
      <c r="B229" s="2" t="s">
        <v>363</v>
      </c>
      <c r="C229" s="2" t="s">
        <v>192</v>
      </c>
      <c r="D229" s="2" t="s">
        <v>193</v>
      </c>
      <c r="E229" s="2" t="s">
        <v>366</v>
      </c>
      <c r="F229" s="3">
        <v>35000</v>
      </c>
      <c r="G229" s="3">
        <v>19000</v>
      </c>
      <c r="H229" s="4"/>
      <c r="I229" s="17">
        <v>0</v>
      </c>
      <c r="J229" s="17">
        <v>0</v>
      </c>
      <c r="K229" s="18">
        <f t="shared" si="3"/>
        <v>19000</v>
      </c>
      <c r="L229" s="19"/>
      <c r="M229" s="62" t="str">
        <f>VLOOKUP(A229,[1]Master!$C:$F,3,0)</f>
        <v>Provost</v>
      </c>
      <c r="N229" t="str">
        <f>VLOOKUP(A229,[1]Master!$C:$F,4,0)</f>
        <v>College of Arts &amp; Science</v>
      </c>
    </row>
    <row r="230" spans="1:14" customFormat="1" ht="21" x14ac:dyDescent="0.35">
      <c r="A230" s="2">
        <v>8470435</v>
      </c>
      <c r="B230" s="2" t="s">
        <v>363</v>
      </c>
      <c r="C230" s="2" t="s">
        <v>176</v>
      </c>
      <c r="D230" s="2" t="s">
        <v>177</v>
      </c>
      <c r="E230" s="2" t="s">
        <v>367</v>
      </c>
      <c r="F230" s="3">
        <v>30000</v>
      </c>
      <c r="G230" s="3">
        <v>30000</v>
      </c>
      <c r="H230" s="4"/>
      <c r="I230" s="17">
        <v>0</v>
      </c>
      <c r="J230" s="17">
        <v>0</v>
      </c>
      <c r="K230" s="18">
        <f t="shared" si="3"/>
        <v>30000</v>
      </c>
      <c r="L230" s="19"/>
      <c r="M230" s="62" t="str">
        <f>VLOOKUP(A230,[1]Master!$C:$F,3,0)</f>
        <v>Provost</v>
      </c>
      <c r="N230" t="str">
        <f>VLOOKUP(A230,[1]Master!$C:$F,4,0)</f>
        <v>College of Arts &amp; Science</v>
      </c>
    </row>
    <row r="231" spans="1:14" customFormat="1" ht="21" x14ac:dyDescent="0.35">
      <c r="A231" s="2">
        <v>8470440</v>
      </c>
      <c r="B231" s="2" t="s">
        <v>369</v>
      </c>
      <c r="C231" s="2" t="s">
        <v>16</v>
      </c>
      <c r="D231" s="2" t="s">
        <v>17</v>
      </c>
      <c r="E231" s="2" t="s">
        <v>370</v>
      </c>
      <c r="F231" s="3">
        <v>560000</v>
      </c>
      <c r="G231" s="3">
        <v>20593</v>
      </c>
      <c r="H231" s="3">
        <v>20592.45</v>
      </c>
      <c r="I231" s="17">
        <v>0</v>
      </c>
      <c r="J231" s="17">
        <v>0</v>
      </c>
      <c r="K231" s="18">
        <f t="shared" si="3"/>
        <v>0.5499999999992724</v>
      </c>
      <c r="L231" s="19"/>
      <c r="M231" s="62" t="str">
        <f>VLOOKUP(A231,[1]Master!$C:$F,3,0)</f>
        <v>Provost</v>
      </c>
      <c r="N231" t="str">
        <f>VLOOKUP(A231,[1]Master!$C:$F,4,0)</f>
        <v>College of Arts &amp; Science</v>
      </c>
    </row>
    <row r="232" spans="1:14" customFormat="1" ht="21" x14ac:dyDescent="0.35">
      <c r="A232" s="2">
        <v>8470440</v>
      </c>
      <c r="B232" s="2" t="s">
        <v>369</v>
      </c>
      <c r="C232" s="2" t="s">
        <v>19</v>
      </c>
      <c r="D232" s="2" t="s">
        <v>20</v>
      </c>
      <c r="E232" s="2" t="s">
        <v>371</v>
      </c>
      <c r="F232" s="3">
        <v>150000</v>
      </c>
      <c r="G232" s="3">
        <v>2</v>
      </c>
      <c r="H232" s="4"/>
      <c r="I232" s="17">
        <v>0</v>
      </c>
      <c r="J232" s="17">
        <v>0</v>
      </c>
      <c r="K232" s="18">
        <f t="shared" si="3"/>
        <v>2</v>
      </c>
      <c r="L232" s="19"/>
      <c r="M232" s="62" t="str">
        <f>VLOOKUP(A232,[1]Master!$C:$F,3,0)</f>
        <v>Provost</v>
      </c>
      <c r="N232" t="str">
        <f>VLOOKUP(A232,[1]Master!$C:$F,4,0)</f>
        <v>College of Arts &amp; Science</v>
      </c>
    </row>
    <row r="233" spans="1:14" customFormat="1" ht="21" x14ac:dyDescent="0.35">
      <c r="A233" s="2">
        <v>8470440</v>
      </c>
      <c r="B233" s="2" t="s">
        <v>369</v>
      </c>
      <c r="C233" s="2" t="s">
        <v>28</v>
      </c>
      <c r="D233" s="2" t="s">
        <v>29</v>
      </c>
      <c r="E233" s="2" t="s">
        <v>372</v>
      </c>
      <c r="F233" s="3">
        <v>280000</v>
      </c>
      <c r="G233" s="3">
        <v>1</v>
      </c>
      <c r="H233" s="4"/>
      <c r="I233" s="17">
        <v>0</v>
      </c>
      <c r="J233" s="17">
        <v>0</v>
      </c>
      <c r="K233" s="18">
        <f t="shared" si="3"/>
        <v>1</v>
      </c>
      <c r="L233" s="19"/>
      <c r="M233" s="62" t="str">
        <f>VLOOKUP(A233,[1]Master!$C:$F,3,0)</f>
        <v>Provost</v>
      </c>
      <c r="N233" t="str">
        <f>VLOOKUP(A233,[1]Master!$C:$F,4,0)</f>
        <v>College of Arts &amp; Science</v>
      </c>
    </row>
    <row r="234" spans="1:14" customFormat="1" ht="21" x14ac:dyDescent="0.35">
      <c r="A234" s="2">
        <v>8470440</v>
      </c>
      <c r="B234" s="2" t="s">
        <v>369</v>
      </c>
      <c r="C234" s="2" t="s">
        <v>67</v>
      </c>
      <c r="D234" s="2" t="s">
        <v>68</v>
      </c>
      <c r="E234" s="2" t="s">
        <v>373</v>
      </c>
      <c r="F234" s="3">
        <v>10000</v>
      </c>
      <c r="G234" s="3">
        <v>10000</v>
      </c>
      <c r="H234" s="4"/>
      <c r="I234" s="17">
        <v>0</v>
      </c>
      <c r="J234" s="17">
        <v>0</v>
      </c>
      <c r="K234" s="18">
        <f t="shared" si="3"/>
        <v>10000</v>
      </c>
      <c r="L234" s="19"/>
      <c r="M234" s="62" t="str">
        <f>VLOOKUP(A234,[1]Master!$C:$F,3,0)</f>
        <v>Provost</v>
      </c>
      <c r="N234" t="str">
        <f>VLOOKUP(A234,[1]Master!$C:$F,4,0)</f>
        <v>College of Arts &amp; Science</v>
      </c>
    </row>
    <row r="235" spans="1:14" customFormat="1" ht="31.5" x14ac:dyDescent="0.35">
      <c r="A235" s="2">
        <v>8470440</v>
      </c>
      <c r="B235" s="2" t="s">
        <v>369</v>
      </c>
      <c r="C235" s="2" t="s">
        <v>31</v>
      </c>
      <c r="D235" s="2" t="s">
        <v>32</v>
      </c>
      <c r="E235" s="2" t="s">
        <v>374</v>
      </c>
      <c r="F235" s="3">
        <v>225000</v>
      </c>
      <c r="G235" s="3">
        <v>11271</v>
      </c>
      <c r="H235" s="3">
        <v>11269.01</v>
      </c>
      <c r="I235" s="17">
        <v>0</v>
      </c>
      <c r="J235" s="17">
        <v>0</v>
      </c>
      <c r="K235" s="18">
        <f t="shared" si="3"/>
        <v>1.9899999999997817</v>
      </c>
      <c r="L235" s="19"/>
      <c r="M235" s="62" t="str">
        <f>VLOOKUP(A235,[1]Master!$C:$F,3,0)</f>
        <v>Provost</v>
      </c>
      <c r="N235" t="str">
        <f>VLOOKUP(A235,[1]Master!$C:$F,4,0)</f>
        <v>College of Arts &amp; Science</v>
      </c>
    </row>
    <row r="236" spans="1:14" customFormat="1" ht="31.5" x14ac:dyDescent="0.35">
      <c r="A236" s="2">
        <v>8470440</v>
      </c>
      <c r="B236" s="2" t="s">
        <v>369</v>
      </c>
      <c r="C236" s="2" t="s">
        <v>34</v>
      </c>
      <c r="D236" s="2" t="s">
        <v>35</v>
      </c>
      <c r="E236" s="2" t="s">
        <v>375</v>
      </c>
      <c r="F236" s="3">
        <v>225000</v>
      </c>
      <c r="G236" s="3">
        <v>25689</v>
      </c>
      <c r="H236" s="3">
        <v>25687.71</v>
      </c>
      <c r="I236" s="17">
        <v>0</v>
      </c>
      <c r="J236" s="17">
        <v>0</v>
      </c>
      <c r="K236" s="18">
        <f t="shared" si="3"/>
        <v>1.2900000000008731</v>
      </c>
      <c r="L236" s="19"/>
      <c r="M236" s="62" t="str">
        <f>VLOOKUP(A236,[1]Master!$C:$F,3,0)</f>
        <v>Provost</v>
      </c>
      <c r="N236" t="str">
        <f>VLOOKUP(A236,[1]Master!$C:$F,4,0)</f>
        <v>College of Arts &amp; Science</v>
      </c>
    </row>
    <row r="237" spans="1:14" customFormat="1" ht="21" x14ac:dyDescent="0.35">
      <c r="A237" s="2">
        <v>8470440</v>
      </c>
      <c r="B237" s="2" t="s">
        <v>369</v>
      </c>
      <c r="C237" s="2" t="s">
        <v>144</v>
      </c>
      <c r="D237" s="2" t="s">
        <v>145</v>
      </c>
      <c r="E237" s="2" t="s">
        <v>376</v>
      </c>
      <c r="F237" s="3">
        <v>750000</v>
      </c>
      <c r="G237" s="3">
        <v>0</v>
      </c>
      <c r="H237" s="4"/>
      <c r="I237" s="17">
        <v>0</v>
      </c>
      <c r="J237" s="17">
        <v>0</v>
      </c>
      <c r="K237" s="18">
        <f t="shared" si="3"/>
        <v>0</v>
      </c>
      <c r="L237" s="19"/>
      <c r="M237" s="62" t="str">
        <f>VLOOKUP(A237,[1]Master!$C:$F,3,0)</f>
        <v>Provost</v>
      </c>
      <c r="N237" t="str">
        <f>VLOOKUP(A237,[1]Master!$C:$F,4,0)</f>
        <v>College of Arts &amp; Science</v>
      </c>
    </row>
    <row r="238" spans="1:14" customFormat="1" ht="21" x14ac:dyDescent="0.35">
      <c r="A238" s="2">
        <v>8470440</v>
      </c>
      <c r="B238" s="2" t="s">
        <v>369</v>
      </c>
      <c r="C238" s="2" t="s">
        <v>97</v>
      </c>
      <c r="D238" s="2" t="s">
        <v>98</v>
      </c>
      <c r="E238" s="2" t="s">
        <v>377</v>
      </c>
      <c r="F238" s="3">
        <v>300000</v>
      </c>
      <c r="G238" s="3">
        <v>175795</v>
      </c>
      <c r="H238" s="3">
        <v>174480.33</v>
      </c>
      <c r="I238" s="17">
        <v>0</v>
      </c>
      <c r="J238" s="17">
        <v>0</v>
      </c>
      <c r="K238" s="18">
        <f t="shared" si="3"/>
        <v>1314.6700000000128</v>
      </c>
      <c r="L238" s="19"/>
      <c r="M238" s="62" t="str">
        <f>VLOOKUP(A238,[1]Master!$C:$F,3,0)</f>
        <v>Provost</v>
      </c>
      <c r="N238" t="str">
        <f>VLOOKUP(A238,[1]Master!$C:$F,4,0)</f>
        <v>College of Arts &amp; Science</v>
      </c>
    </row>
    <row r="239" spans="1:14" customFormat="1" ht="21" x14ac:dyDescent="0.35">
      <c r="A239" s="2">
        <v>8470440</v>
      </c>
      <c r="B239" s="2" t="s">
        <v>369</v>
      </c>
      <c r="C239" s="2" t="s">
        <v>37</v>
      </c>
      <c r="D239" s="2" t="s">
        <v>38</v>
      </c>
      <c r="E239" s="2" t="s">
        <v>378</v>
      </c>
      <c r="F239" s="3">
        <v>24000</v>
      </c>
      <c r="G239" s="3">
        <v>2</v>
      </c>
      <c r="H239" s="4"/>
      <c r="I239" s="17">
        <v>0</v>
      </c>
      <c r="J239" s="17">
        <v>0</v>
      </c>
      <c r="K239" s="18">
        <f t="shared" si="3"/>
        <v>2</v>
      </c>
      <c r="L239" s="19"/>
      <c r="M239" s="62" t="str">
        <f>VLOOKUP(A239,[1]Master!$C:$F,3,0)</f>
        <v>Provost</v>
      </c>
      <c r="N239" t="str">
        <f>VLOOKUP(A239,[1]Master!$C:$F,4,0)</f>
        <v>College of Arts &amp; Science</v>
      </c>
    </row>
    <row r="240" spans="1:14" customFormat="1" ht="21" x14ac:dyDescent="0.35">
      <c r="A240" s="2">
        <v>8470440</v>
      </c>
      <c r="B240" s="2" t="s">
        <v>369</v>
      </c>
      <c r="C240" s="2" t="s">
        <v>40</v>
      </c>
      <c r="D240" s="2" t="s">
        <v>41</v>
      </c>
      <c r="E240" s="2" t="s">
        <v>379</v>
      </c>
      <c r="F240" s="3">
        <v>120000</v>
      </c>
      <c r="G240" s="3">
        <v>22590</v>
      </c>
      <c r="H240" s="3">
        <v>8988.7800000000007</v>
      </c>
      <c r="I240" s="17">
        <v>0</v>
      </c>
      <c r="J240" s="17">
        <v>13600</v>
      </c>
      <c r="K240" s="18">
        <f t="shared" si="3"/>
        <v>1.2199999999993452</v>
      </c>
      <c r="L240" s="19"/>
      <c r="M240" s="62" t="str">
        <f>VLOOKUP(A240,[1]Master!$C:$F,3,0)</f>
        <v>Provost</v>
      </c>
      <c r="N240" t="str">
        <f>VLOOKUP(A240,[1]Master!$C:$F,4,0)</f>
        <v>College of Arts &amp; Science</v>
      </c>
    </row>
    <row r="241" spans="1:14" customFormat="1" ht="21" x14ac:dyDescent="0.35">
      <c r="A241" s="2">
        <v>8470440</v>
      </c>
      <c r="B241" s="2" t="s">
        <v>369</v>
      </c>
      <c r="C241" s="2" t="s">
        <v>61</v>
      </c>
      <c r="D241" s="2" t="s">
        <v>62</v>
      </c>
      <c r="E241" s="2" t="s">
        <v>380</v>
      </c>
      <c r="F241" s="3">
        <v>15000</v>
      </c>
      <c r="G241" s="3">
        <v>1943</v>
      </c>
      <c r="H241" s="3">
        <v>1941.62</v>
      </c>
      <c r="I241" s="17">
        <v>0</v>
      </c>
      <c r="J241" s="17">
        <v>0</v>
      </c>
      <c r="K241" s="18">
        <f t="shared" si="3"/>
        <v>1.3800000000001091</v>
      </c>
      <c r="L241" s="19"/>
      <c r="M241" s="62" t="str">
        <f>VLOOKUP(A241,[1]Master!$C:$F,3,0)</f>
        <v>Provost</v>
      </c>
      <c r="N241" t="str">
        <f>VLOOKUP(A241,[1]Master!$C:$F,4,0)</f>
        <v>College of Arts &amp; Science</v>
      </c>
    </row>
    <row r="242" spans="1:14" customFormat="1" ht="21" x14ac:dyDescent="0.35">
      <c r="A242" s="2">
        <v>8470440</v>
      </c>
      <c r="B242" s="2" t="s">
        <v>369</v>
      </c>
      <c r="C242" s="2" t="s">
        <v>43</v>
      </c>
      <c r="D242" s="2" t="s">
        <v>44</v>
      </c>
      <c r="E242" s="2" t="s">
        <v>381</v>
      </c>
      <c r="F242" s="3">
        <v>225000</v>
      </c>
      <c r="G242" s="3">
        <v>4221</v>
      </c>
      <c r="H242" s="3">
        <v>4218.25</v>
      </c>
      <c r="I242" s="17">
        <v>0</v>
      </c>
      <c r="J242" s="17">
        <v>0</v>
      </c>
      <c r="K242" s="18">
        <f t="shared" si="3"/>
        <v>2.75</v>
      </c>
      <c r="L242" s="19"/>
      <c r="M242" s="62" t="str">
        <f>VLOOKUP(A242,[1]Master!$C:$F,3,0)</f>
        <v>Provost</v>
      </c>
      <c r="N242" t="str">
        <f>VLOOKUP(A242,[1]Master!$C:$F,4,0)</f>
        <v>College of Arts &amp; Science</v>
      </c>
    </row>
    <row r="243" spans="1:14" customFormat="1" ht="21" x14ac:dyDescent="0.35">
      <c r="A243" s="2">
        <v>8470440</v>
      </c>
      <c r="B243" s="2" t="s">
        <v>369</v>
      </c>
      <c r="C243" s="2" t="s">
        <v>49</v>
      </c>
      <c r="D243" s="2" t="s">
        <v>50</v>
      </c>
      <c r="E243" s="2" t="s">
        <v>382</v>
      </c>
      <c r="F243" s="3">
        <v>100000</v>
      </c>
      <c r="G243" s="3">
        <v>2174</v>
      </c>
      <c r="H243" s="3">
        <v>2173.5</v>
      </c>
      <c r="I243" s="17">
        <v>0</v>
      </c>
      <c r="J243" s="17">
        <v>0</v>
      </c>
      <c r="K243" s="18">
        <f t="shared" si="3"/>
        <v>0.5</v>
      </c>
      <c r="L243" s="19"/>
      <c r="M243" s="62" t="str">
        <f>VLOOKUP(A243,[1]Master!$C:$F,3,0)</f>
        <v>Provost</v>
      </c>
      <c r="N243" t="str">
        <f>VLOOKUP(A243,[1]Master!$C:$F,4,0)</f>
        <v>College of Arts &amp; Science</v>
      </c>
    </row>
    <row r="244" spans="1:14" customFormat="1" ht="21" x14ac:dyDescent="0.35">
      <c r="A244" s="2">
        <v>8470440</v>
      </c>
      <c r="B244" s="2" t="s">
        <v>369</v>
      </c>
      <c r="C244" s="2" t="s">
        <v>192</v>
      </c>
      <c r="D244" s="2" t="s">
        <v>193</v>
      </c>
      <c r="E244" s="2" t="s">
        <v>383</v>
      </c>
      <c r="F244" s="3">
        <v>120000</v>
      </c>
      <c r="G244" s="3">
        <v>24000</v>
      </c>
      <c r="H244" s="4"/>
      <c r="I244" s="17">
        <v>0</v>
      </c>
      <c r="J244" s="17">
        <v>0</v>
      </c>
      <c r="K244" s="18">
        <f t="shared" si="3"/>
        <v>24000</v>
      </c>
      <c r="L244" s="19"/>
      <c r="M244" s="62" t="str">
        <f>VLOOKUP(A244,[1]Master!$C:$F,3,0)</f>
        <v>Provost</v>
      </c>
      <c r="N244" t="str">
        <f>VLOOKUP(A244,[1]Master!$C:$F,4,0)</f>
        <v>College of Arts &amp; Science</v>
      </c>
    </row>
    <row r="245" spans="1:14" customFormat="1" ht="21" x14ac:dyDescent="0.35">
      <c r="A245" s="2">
        <v>8470440</v>
      </c>
      <c r="B245" s="2" t="s">
        <v>369</v>
      </c>
      <c r="C245" s="2" t="s">
        <v>103</v>
      </c>
      <c r="D245" s="2" t="s">
        <v>104</v>
      </c>
      <c r="E245" s="2" t="s">
        <v>384</v>
      </c>
      <c r="F245" s="3">
        <v>40000</v>
      </c>
      <c r="G245" s="3">
        <v>57140</v>
      </c>
      <c r="H245" s="3">
        <v>57008</v>
      </c>
      <c r="I245" s="17">
        <v>0</v>
      </c>
      <c r="J245" s="17">
        <v>0</v>
      </c>
      <c r="K245" s="18">
        <f t="shared" si="3"/>
        <v>132</v>
      </c>
      <c r="L245" s="19"/>
      <c r="M245" s="62" t="str">
        <f>VLOOKUP(A245,[1]Master!$C:$F,3,0)</f>
        <v>Provost</v>
      </c>
      <c r="N245" t="str">
        <f>VLOOKUP(A245,[1]Master!$C:$F,4,0)</f>
        <v>College of Arts &amp; Science</v>
      </c>
    </row>
    <row r="246" spans="1:14" customFormat="1" ht="21" x14ac:dyDescent="0.35">
      <c r="A246" s="2">
        <v>8470440</v>
      </c>
      <c r="B246" s="2" t="s">
        <v>369</v>
      </c>
      <c r="C246" s="2" t="s">
        <v>176</v>
      </c>
      <c r="D246" s="2" t="s">
        <v>177</v>
      </c>
      <c r="E246" s="2" t="s">
        <v>385</v>
      </c>
      <c r="F246" s="3">
        <v>22500</v>
      </c>
      <c r="G246" s="3">
        <v>4196</v>
      </c>
      <c r="H246" s="3">
        <v>4195</v>
      </c>
      <c r="I246" s="17">
        <v>0</v>
      </c>
      <c r="J246" s="17">
        <v>0</v>
      </c>
      <c r="K246" s="18">
        <f t="shared" si="3"/>
        <v>1</v>
      </c>
      <c r="L246" s="19"/>
      <c r="M246" s="62" t="str">
        <f>VLOOKUP(A246,[1]Master!$C:$F,3,0)</f>
        <v>Provost</v>
      </c>
      <c r="N246" t="str">
        <f>VLOOKUP(A246,[1]Master!$C:$F,4,0)</f>
        <v>College of Arts &amp; Science</v>
      </c>
    </row>
    <row r="247" spans="1:14" customFormat="1" ht="21" x14ac:dyDescent="0.35">
      <c r="A247" s="2">
        <v>8470445</v>
      </c>
      <c r="B247" s="2" t="s">
        <v>387</v>
      </c>
      <c r="C247" s="2" t="s">
        <v>67</v>
      </c>
      <c r="D247" s="2" t="s">
        <v>68</v>
      </c>
      <c r="E247" s="2" t="s">
        <v>388</v>
      </c>
      <c r="F247" s="3">
        <v>150000</v>
      </c>
      <c r="G247" s="3">
        <v>30000</v>
      </c>
      <c r="H247" s="4"/>
      <c r="I247" s="17">
        <v>0</v>
      </c>
      <c r="J247" s="17">
        <v>0</v>
      </c>
      <c r="K247" s="18">
        <f t="shared" si="3"/>
        <v>30000</v>
      </c>
      <c r="L247" s="19"/>
      <c r="M247" s="62" t="str">
        <f>VLOOKUP(A247,[1]Master!$C:$F,3,0)</f>
        <v>Provost</v>
      </c>
      <c r="N247" t="str">
        <f>VLOOKUP(A247,[1]Master!$C:$F,4,0)</f>
        <v>College of Arts &amp; Science</v>
      </c>
    </row>
    <row r="248" spans="1:14" customFormat="1" ht="31.5" x14ac:dyDescent="0.35">
      <c r="A248" s="2">
        <v>8470445</v>
      </c>
      <c r="B248" s="2" t="s">
        <v>387</v>
      </c>
      <c r="C248" s="2" t="s">
        <v>31</v>
      </c>
      <c r="D248" s="2" t="s">
        <v>32</v>
      </c>
      <c r="E248" s="2" t="s">
        <v>389</v>
      </c>
      <c r="F248" s="3">
        <v>0</v>
      </c>
      <c r="G248" s="3">
        <v>1</v>
      </c>
      <c r="H248" s="4"/>
      <c r="I248" s="17">
        <v>0</v>
      </c>
      <c r="J248" s="17">
        <v>0</v>
      </c>
      <c r="K248" s="18">
        <f t="shared" si="3"/>
        <v>1</v>
      </c>
      <c r="L248" s="19"/>
      <c r="M248" s="62" t="str">
        <f>VLOOKUP(A248,[1]Master!$C:$F,3,0)</f>
        <v>Provost</v>
      </c>
      <c r="N248" t="str">
        <f>VLOOKUP(A248,[1]Master!$C:$F,4,0)</f>
        <v>College of Arts &amp; Science</v>
      </c>
    </row>
    <row r="249" spans="1:14" customFormat="1" ht="21" x14ac:dyDescent="0.35">
      <c r="A249" s="2">
        <v>8470445</v>
      </c>
      <c r="B249" s="2" t="s">
        <v>387</v>
      </c>
      <c r="C249" s="2" t="s">
        <v>274</v>
      </c>
      <c r="D249" s="2" t="s">
        <v>275</v>
      </c>
      <c r="E249" s="2" t="s">
        <v>390</v>
      </c>
      <c r="F249" s="3">
        <v>18350</v>
      </c>
      <c r="G249" s="3">
        <v>19350</v>
      </c>
      <c r="H249" s="3">
        <v>825</v>
      </c>
      <c r="I249" s="17">
        <v>0</v>
      </c>
      <c r="J249" s="17">
        <v>18365</v>
      </c>
      <c r="K249" s="18">
        <f t="shared" si="3"/>
        <v>160</v>
      </c>
      <c r="L249" s="19"/>
      <c r="M249" s="62" t="str">
        <f>VLOOKUP(A249,[1]Master!$C:$F,3,0)</f>
        <v>Provost</v>
      </c>
      <c r="N249" t="str">
        <f>VLOOKUP(A249,[1]Master!$C:$F,4,0)</f>
        <v>College of Arts &amp; Science</v>
      </c>
    </row>
    <row r="250" spans="1:14" customFormat="1" ht="21" x14ac:dyDescent="0.35">
      <c r="A250" s="2">
        <v>8470445</v>
      </c>
      <c r="B250" s="2" t="s">
        <v>387</v>
      </c>
      <c r="C250" s="2" t="s">
        <v>183</v>
      </c>
      <c r="D250" s="2" t="s">
        <v>184</v>
      </c>
      <c r="E250" s="2" t="s">
        <v>391</v>
      </c>
      <c r="F250" s="3">
        <v>36630</v>
      </c>
      <c r="G250" s="3">
        <v>1</v>
      </c>
      <c r="H250" s="4"/>
      <c r="I250" s="17">
        <v>0</v>
      </c>
      <c r="J250" s="17">
        <v>0</v>
      </c>
      <c r="K250" s="18">
        <f t="shared" si="3"/>
        <v>1</v>
      </c>
      <c r="L250" s="19"/>
      <c r="M250" s="62" t="str">
        <f>VLOOKUP(A250,[1]Master!$C:$F,3,0)</f>
        <v>Provost</v>
      </c>
      <c r="N250" t="str">
        <f>VLOOKUP(A250,[1]Master!$C:$F,4,0)</f>
        <v>College of Arts &amp; Science</v>
      </c>
    </row>
    <row r="251" spans="1:14" customFormat="1" ht="21" x14ac:dyDescent="0.35">
      <c r="A251" s="2">
        <v>8470445</v>
      </c>
      <c r="B251" s="2" t="s">
        <v>387</v>
      </c>
      <c r="C251" s="2" t="s">
        <v>72</v>
      </c>
      <c r="D251" s="2" t="s">
        <v>73</v>
      </c>
      <c r="E251" s="2" t="s">
        <v>392</v>
      </c>
      <c r="F251" s="3">
        <v>7590</v>
      </c>
      <c r="G251" s="3">
        <v>1</v>
      </c>
      <c r="H251" s="4"/>
      <c r="I251" s="17">
        <v>0</v>
      </c>
      <c r="J251" s="17">
        <v>0</v>
      </c>
      <c r="K251" s="18">
        <f t="shared" si="3"/>
        <v>1</v>
      </c>
      <c r="L251" s="19"/>
      <c r="M251" s="62" t="str">
        <f>VLOOKUP(A251,[1]Master!$C:$F,3,0)</f>
        <v>Provost</v>
      </c>
      <c r="N251" t="str">
        <f>VLOOKUP(A251,[1]Master!$C:$F,4,0)</f>
        <v>College of Arts &amp; Science</v>
      </c>
    </row>
    <row r="252" spans="1:14" customFormat="1" ht="21" x14ac:dyDescent="0.35">
      <c r="A252" s="2">
        <v>8470445</v>
      </c>
      <c r="B252" s="2" t="s">
        <v>387</v>
      </c>
      <c r="C252" s="2" t="s">
        <v>97</v>
      </c>
      <c r="D252" s="2" t="s">
        <v>98</v>
      </c>
      <c r="E252" s="2" t="s">
        <v>393</v>
      </c>
      <c r="F252" s="3">
        <v>570000</v>
      </c>
      <c r="G252" s="3">
        <v>299950</v>
      </c>
      <c r="H252" s="3">
        <v>282009.26</v>
      </c>
      <c r="I252" s="17">
        <v>0</v>
      </c>
      <c r="J252" s="17">
        <v>0</v>
      </c>
      <c r="K252" s="18">
        <f t="shared" si="3"/>
        <v>17940.739999999991</v>
      </c>
      <c r="L252" s="19"/>
      <c r="M252" s="62" t="str">
        <f>VLOOKUP(A252,[1]Master!$C:$F,3,0)</f>
        <v>Provost</v>
      </c>
      <c r="N252" t="str">
        <f>VLOOKUP(A252,[1]Master!$C:$F,4,0)</f>
        <v>College of Arts &amp; Science</v>
      </c>
    </row>
    <row r="253" spans="1:14" customFormat="1" ht="21" x14ac:dyDescent="0.35">
      <c r="A253" s="2">
        <v>8470445</v>
      </c>
      <c r="B253" s="2" t="s">
        <v>387</v>
      </c>
      <c r="C253" s="2" t="s">
        <v>40</v>
      </c>
      <c r="D253" s="2" t="s">
        <v>41</v>
      </c>
      <c r="E253" s="2" t="s">
        <v>394</v>
      </c>
      <c r="F253" s="3">
        <v>37650</v>
      </c>
      <c r="G253" s="3">
        <v>21928</v>
      </c>
      <c r="H253" s="3">
        <v>21927.29</v>
      </c>
      <c r="I253" s="17">
        <v>0</v>
      </c>
      <c r="J253" s="17">
        <v>0</v>
      </c>
      <c r="K253" s="18">
        <f t="shared" si="3"/>
        <v>0.70999999999912689</v>
      </c>
      <c r="L253" s="19"/>
      <c r="M253" s="62" t="str">
        <f>VLOOKUP(A253,[1]Master!$C:$F,3,0)</f>
        <v>Provost</v>
      </c>
      <c r="N253" t="str">
        <f>VLOOKUP(A253,[1]Master!$C:$F,4,0)</f>
        <v>College of Arts &amp; Science</v>
      </c>
    </row>
    <row r="254" spans="1:14" customFormat="1" ht="21" x14ac:dyDescent="0.35">
      <c r="A254" s="2">
        <v>8470445</v>
      </c>
      <c r="B254" s="2" t="s">
        <v>387</v>
      </c>
      <c r="C254" s="2" t="s">
        <v>103</v>
      </c>
      <c r="D254" s="2" t="s">
        <v>104</v>
      </c>
      <c r="E254" s="2" t="s">
        <v>395</v>
      </c>
      <c r="F254" s="3">
        <v>600000</v>
      </c>
      <c r="G254" s="3">
        <v>206461</v>
      </c>
      <c r="H254" s="3">
        <v>206459.81</v>
      </c>
      <c r="I254" s="17">
        <v>0</v>
      </c>
      <c r="J254" s="17">
        <v>0</v>
      </c>
      <c r="K254" s="18">
        <f t="shared" si="3"/>
        <v>1.1900000000023283</v>
      </c>
      <c r="L254" s="19"/>
      <c r="M254" s="62" t="str">
        <f>VLOOKUP(A254,[1]Master!$C:$F,3,0)</f>
        <v>Provost</v>
      </c>
      <c r="N254" t="str">
        <f>VLOOKUP(A254,[1]Master!$C:$F,4,0)</f>
        <v>College of Arts &amp; Science</v>
      </c>
    </row>
    <row r="255" spans="1:14" customFormat="1" ht="21" x14ac:dyDescent="0.35">
      <c r="A255" s="2">
        <v>8470450</v>
      </c>
      <c r="B255" s="2" t="s">
        <v>397</v>
      </c>
      <c r="C255" s="2" t="s">
        <v>144</v>
      </c>
      <c r="D255" s="2" t="s">
        <v>145</v>
      </c>
      <c r="E255" s="2" t="s">
        <v>398</v>
      </c>
      <c r="F255" s="3">
        <v>500000</v>
      </c>
      <c r="G255" s="3">
        <v>314383</v>
      </c>
      <c r="H255" s="3">
        <v>314381.78000000003</v>
      </c>
      <c r="I255" s="17">
        <v>0</v>
      </c>
      <c r="J255" s="17">
        <v>0</v>
      </c>
      <c r="K255" s="18">
        <f t="shared" si="3"/>
        <v>1.2199999999720603</v>
      </c>
      <c r="L255" s="19"/>
      <c r="M255" s="62" t="str">
        <f>VLOOKUP(A255,[1]Master!$C:$F,3,0)</f>
        <v>Provost</v>
      </c>
      <c r="N255" t="str">
        <f>VLOOKUP(A255,[1]Master!$C:$F,4,0)</f>
        <v>College of Arts &amp; Science</v>
      </c>
    </row>
    <row r="256" spans="1:14" customFormat="1" ht="21" x14ac:dyDescent="0.35">
      <c r="A256" s="2">
        <v>8470450</v>
      </c>
      <c r="B256" s="2" t="s">
        <v>397</v>
      </c>
      <c r="C256" s="2" t="s">
        <v>97</v>
      </c>
      <c r="D256" s="2" t="s">
        <v>98</v>
      </c>
      <c r="E256" s="2" t="s">
        <v>399</v>
      </c>
      <c r="F256" s="3">
        <v>180000</v>
      </c>
      <c r="G256" s="3">
        <v>145456</v>
      </c>
      <c r="H256" s="3">
        <v>139658.82999999999</v>
      </c>
      <c r="I256" s="17">
        <v>0</v>
      </c>
      <c r="J256" s="17">
        <v>0</v>
      </c>
      <c r="K256" s="18">
        <f t="shared" si="3"/>
        <v>5797.1700000000128</v>
      </c>
      <c r="L256" s="19"/>
      <c r="M256" s="62" t="str">
        <f>VLOOKUP(A256,[1]Master!$C:$F,3,0)</f>
        <v>Provost</v>
      </c>
      <c r="N256" t="str">
        <f>VLOOKUP(A256,[1]Master!$C:$F,4,0)</f>
        <v>College of Arts &amp; Science</v>
      </c>
    </row>
    <row r="257" spans="1:14" customFormat="1" ht="21" x14ac:dyDescent="0.35">
      <c r="A257" s="2">
        <v>8470450</v>
      </c>
      <c r="B257" s="2" t="s">
        <v>397</v>
      </c>
      <c r="C257" s="2" t="s">
        <v>40</v>
      </c>
      <c r="D257" s="2" t="s">
        <v>41</v>
      </c>
      <c r="E257" s="2" t="s">
        <v>400</v>
      </c>
      <c r="F257" s="3">
        <v>313605</v>
      </c>
      <c r="G257" s="3">
        <v>35629</v>
      </c>
      <c r="H257" s="3">
        <v>35628.1</v>
      </c>
      <c r="I257" s="17">
        <v>0</v>
      </c>
      <c r="J257" s="17">
        <v>0</v>
      </c>
      <c r="K257" s="18">
        <f t="shared" si="3"/>
        <v>0.90000000000145519</v>
      </c>
      <c r="L257" s="19"/>
      <c r="M257" s="62" t="str">
        <f>VLOOKUP(A257,[1]Master!$C:$F,3,0)</f>
        <v>Provost</v>
      </c>
      <c r="N257" t="str">
        <f>VLOOKUP(A257,[1]Master!$C:$F,4,0)</f>
        <v>College of Arts &amp; Science</v>
      </c>
    </row>
    <row r="258" spans="1:14" customFormat="1" ht="21" x14ac:dyDescent="0.35">
      <c r="A258" s="2">
        <v>8470450</v>
      </c>
      <c r="B258" s="2" t="s">
        <v>397</v>
      </c>
      <c r="C258" s="2" t="s">
        <v>43</v>
      </c>
      <c r="D258" s="2" t="s">
        <v>44</v>
      </c>
      <c r="E258" s="2" t="s">
        <v>401</v>
      </c>
      <c r="F258" s="3">
        <v>30000</v>
      </c>
      <c r="G258" s="3">
        <v>2201</v>
      </c>
      <c r="H258" s="3">
        <v>2200</v>
      </c>
      <c r="I258" s="17">
        <v>0</v>
      </c>
      <c r="J258" s="17">
        <v>0</v>
      </c>
      <c r="K258" s="18">
        <f t="shared" si="3"/>
        <v>1</v>
      </c>
      <c r="L258" s="19"/>
      <c r="M258" s="62" t="str">
        <f>VLOOKUP(A258,[1]Master!$C:$F,3,0)</f>
        <v>Provost</v>
      </c>
      <c r="N258" t="str">
        <f>VLOOKUP(A258,[1]Master!$C:$F,4,0)</f>
        <v>College of Arts &amp; Science</v>
      </c>
    </row>
    <row r="259" spans="1:14" customFormat="1" ht="21" x14ac:dyDescent="0.35">
      <c r="A259" s="2">
        <v>8470450</v>
      </c>
      <c r="B259" s="2" t="s">
        <v>397</v>
      </c>
      <c r="C259" s="2" t="s">
        <v>169</v>
      </c>
      <c r="D259" s="2" t="s">
        <v>170</v>
      </c>
      <c r="E259" s="2" t="s">
        <v>402</v>
      </c>
      <c r="F259" s="3">
        <v>118157</v>
      </c>
      <c r="G259" s="3">
        <v>73844</v>
      </c>
      <c r="H259" s="3">
        <v>12898.45</v>
      </c>
      <c r="I259" s="17">
        <v>39200</v>
      </c>
      <c r="J259" s="17">
        <v>21744.959999999999</v>
      </c>
      <c r="K259" s="18">
        <f t="shared" si="3"/>
        <v>0.5900000000037835</v>
      </c>
      <c r="L259" s="19"/>
      <c r="M259" s="62" t="str">
        <f>VLOOKUP(A259,[1]Master!$C:$F,3,0)</f>
        <v>Provost</v>
      </c>
      <c r="N259" t="str">
        <f>VLOOKUP(A259,[1]Master!$C:$F,4,0)</f>
        <v>College of Arts &amp; Science</v>
      </c>
    </row>
    <row r="260" spans="1:14" customFormat="1" ht="21" x14ac:dyDescent="0.35">
      <c r="A260" s="2">
        <v>8470450</v>
      </c>
      <c r="B260" s="2" t="s">
        <v>397</v>
      </c>
      <c r="C260" s="2" t="s">
        <v>103</v>
      </c>
      <c r="D260" s="2" t="s">
        <v>104</v>
      </c>
      <c r="E260" s="2" t="s">
        <v>403</v>
      </c>
      <c r="F260" s="3">
        <v>40000</v>
      </c>
      <c r="G260" s="3">
        <v>11988</v>
      </c>
      <c r="H260" s="3">
        <v>11986.79</v>
      </c>
      <c r="I260" s="17">
        <v>0</v>
      </c>
      <c r="J260" s="17">
        <v>0</v>
      </c>
      <c r="K260" s="18">
        <f t="shared" ref="K260:K323" si="4">G260-H260-I260-J260</f>
        <v>1.2099999999991269</v>
      </c>
      <c r="L260" s="19"/>
      <c r="M260" s="62" t="str">
        <f>VLOOKUP(A260,[1]Master!$C:$F,3,0)</f>
        <v>Provost</v>
      </c>
      <c r="N260" t="str">
        <f>VLOOKUP(A260,[1]Master!$C:$F,4,0)</f>
        <v>College of Arts &amp; Science</v>
      </c>
    </row>
    <row r="261" spans="1:14" customFormat="1" ht="21" x14ac:dyDescent="0.35">
      <c r="A261" s="2">
        <v>8470450</v>
      </c>
      <c r="B261" s="2" t="s">
        <v>397</v>
      </c>
      <c r="C261" s="2" t="s">
        <v>173</v>
      </c>
      <c r="D261" s="2" t="s">
        <v>174</v>
      </c>
      <c r="E261" s="2" t="s">
        <v>404</v>
      </c>
      <c r="F261" s="3">
        <v>6500</v>
      </c>
      <c r="G261" s="3">
        <v>9167</v>
      </c>
      <c r="H261" s="3">
        <v>9101.4599999999991</v>
      </c>
      <c r="I261" s="17">
        <v>0</v>
      </c>
      <c r="J261" s="17">
        <v>0</v>
      </c>
      <c r="K261" s="18">
        <f t="shared" si="4"/>
        <v>65.540000000000873</v>
      </c>
      <c r="L261" s="19"/>
      <c r="M261" s="62" t="str">
        <f>VLOOKUP(A261,[1]Master!$C:$F,3,0)</f>
        <v>Provost</v>
      </c>
      <c r="N261" t="str">
        <f>VLOOKUP(A261,[1]Master!$C:$F,4,0)</f>
        <v>College of Arts &amp; Science</v>
      </c>
    </row>
    <row r="262" spans="1:14" customFormat="1" ht="21" x14ac:dyDescent="0.35">
      <c r="A262" s="2">
        <v>8470455</v>
      </c>
      <c r="B262" s="2" t="s">
        <v>406</v>
      </c>
      <c r="C262" s="2" t="s">
        <v>183</v>
      </c>
      <c r="D262" s="2" t="s">
        <v>184</v>
      </c>
      <c r="E262" s="2" t="s">
        <v>407</v>
      </c>
      <c r="F262" s="3">
        <v>10000</v>
      </c>
      <c r="G262" s="3">
        <v>1</v>
      </c>
      <c r="H262" s="4"/>
      <c r="I262" s="17">
        <v>0</v>
      </c>
      <c r="J262" s="17">
        <v>0</v>
      </c>
      <c r="K262" s="18">
        <f t="shared" si="4"/>
        <v>1</v>
      </c>
      <c r="L262" s="19"/>
      <c r="M262" s="62" t="str">
        <f>VLOOKUP(A262,[1]Master!$C:$F,3,0)</f>
        <v>Provost</v>
      </c>
      <c r="N262" t="str">
        <f>VLOOKUP(A262,[1]Master!$C:$F,4,0)</f>
        <v>College of Arts &amp; Science</v>
      </c>
    </row>
    <row r="263" spans="1:14" customFormat="1" ht="21" x14ac:dyDescent="0.35">
      <c r="A263" s="2">
        <v>8470455</v>
      </c>
      <c r="B263" s="2" t="s">
        <v>406</v>
      </c>
      <c r="C263" s="2" t="s">
        <v>97</v>
      </c>
      <c r="D263" s="2" t="s">
        <v>98</v>
      </c>
      <c r="E263" s="2" t="s">
        <v>408</v>
      </c>
      <c r="F263" s="3">
        <v>80000</v>
      </c>
      <c r="G263" s="3">
        <v>43337</v>
      </c>
      <c r="H263" s="3">
        <v>29264.39</v>
      </c>
      <c r="I263" s="17">
        <v>0</v>
      </c>
      <c r="J263" s="17">
        <v>0</v>
      </c>
      <c r="K263" s="18">
        <f t="shared" si="4"/>
        <v>14072.61</v>
      </c>
      <c r="L263" s="19"/>
      <c r="M263" s="62" t="str">
        <f>VLOOKUP(A263,[1]Master!$C:$F,3,0)</f>
        <v>Provost</v>
      </c>
      <c r="N263" t="str">
        <f>VLOOKUP(A263,[1]Master!$C:$F,4,0)</f>
        <v>College of Arts &amp; Science</v>
      </c>
    </row>
    <row r="264" spans="1:14" customFormat="1" ht="14.5" x14ac:dyDescent="0.35">
      <c r="A264" s="2">
        <v>8470455</v>
      </c>
      <c r="B264" s="2" t="s">
        <v>406</v>
      </c>
      <c r="C264" s="2" t="s">
        <v>37</v>
      </c>
      <c r="D264" s="2" t="s">
        <v>38</v>
      </c>
      <c r="E264" s="2" t="s">
        <v>409</v>
      </c>
      <c r="F264" s="3">
        <v>15000</v>
      </c>
      <c r="G264" s="3">
        <v>5021</v>
      </c>
      <c r="H264" s="3">
        <v>5020.0200000000004</v>
      </c>
      <c r="I264" s="17">
        <v>0</v>
      </c>
      <c r="J264" s="17">
        <v>0</v>
      </c>
      <c r="K264" s="18">
        <f t="shared" si="4"/>
        <v>0.97999999999956344</v>
      </c>
      <c r="L264" s="19"/>
      <c r="M264" s="62" t="str">
        <f>VLOOKUP(A264,[1]Master!$C:$F,3,0)</f>
        <v>Provost</v>
      </c>
      <c r="N264" t="str">
        <f>VLOOKUP(A264,[1]Master!$C:$F,4,0)</f>
        <v>College of Arts &amp; Science</v>
      </c>
    </row>
    <row r="265" spans="1:14" customFormat="1" ht="21" x14ac:dyDescent="0.35">
      <c r="A265" s="2">
        <v>8470455</v>
      </c>
      <c r="B265" s="2" t="s">
        <v>406</v>
      </c>
      <c r="C265" s="2" t="s">
        <v>40</v>
      </c>
      <c r="D265" s="2" t="s">
        <v>41</v>
      </c>
      <c r="E265" s="2" t="s">
        <v>410</v>
      </c>
      <c r="F265" s="3">
        <v>50000</v>
      </c>
      <c r="G265" s="3">
        <v>30436</v>
      </c>
      <c r="H265" s="3">
        <v>30435.24</v>
      </c>
      <c r="I265" s="17">
        <v>0</v>
      </c>
      <c r="J265" s="17">
        <v>0</v>
      </c>
      <c r="K265" s="18">
        <f t="shared" si="4"/>
        <v>0.75999999999839929</v>
      </c>
      <c r="L265" s="19"/>
      <c r="M265" s="62" t="str">
        <f>VLOOKUP(A265,[1]Master!$C:$F,3,0)</f>
        <v>Provost</v>
      </c>
      <c r="N265" t="str">
        <f>VLOOKUP(A265,[1]Master!$C:$F,4,0)</f>
        <v>College of Arts &amp; Science</v>
      </c>
    </row>
    <row r="266" spans="1:14" customFormat="1" ht="21" x14ac:dyDescent="0.35">
      <c r="A266" s="2">
        <v>8470455</v>
      </c>
      <c r="B266" s="2" t="s">
        <v>406</v>
      </c>
      <c r="C266" s="2" t="s">
        <v>43</v>
      </c>
      <c r="D266" s="2" t="s">
        <v>44</v>
      </c>
      <c r="E266" s="2" t="s">
        <v>411</v>
      </c>
      <c r="F266" s="3">
        <v>50000</v>
      </c>
      <c r="G266" s="3">
        <v>1</v>
      </c>
      <c r="H266" s="4"/>
      <c r="I266" s="17">
        <v>0</v>
      </c>
      <c r="J266" s="17">
        <v>0</v>
      </c>
      <c r="K266" s="18">
        <f t="shared" si="4"/>
        <v>1</v>
      </c>
      <c r="L266" s="19"/>
      <c r="M266" s="62" t="str">
        <f>VLOOKUP(A266,[1]Master!$C:$F,3,0)</f>
        <v>Provost</v>
      </c>
      <c r="N266" t="str">
        <f>VLOOKUP(A266,[1]Master!$C:$F,4,0)</f>
        <v>College of Arts &amp; Science</v>
      </c>
    </row>
    <row r="267" spans="1:14" customFormat="1" ht="14.5" x14ac:dyDescent="0.35">
      <c r="A267" s="2">
        <v>8470455</v>
      </c>
      <c r="B267" s="2" t="s">
        <v>406</v>
      </c>
      <c r="C267" s="2" t="s">
        <v>49</v>
      </c>
      <c r="D267" s="2" t="s">
        <v>50</v>
      </c>
      <c r="E267" s="2" t="s">
        <v>412</v>
      </c>
      <c r="F267" s="3">
        <v>5000</v>
      </c>
      <c r="G267" s="3">
        <v>2537</v>
      </c>
      <c r="H267" s="4"/>
      <c r="I267" s="17">
        <v>0</v>
      </c>
      <c r="J267" s="17">
        <v>0</v>
      </c>
      <c r="K267" s="18">
        <f t="shared" si="4"/>
        <v>2537</v>
      </c>
      <c r="L267" s="19"/>
      <c r="M267" s="62" t="str">
        <f>VLOOKUP(A267,[1]Master!$C:$F,3,0)</f>
        <v>Provost</v>
      </c>
      <c r="N267" t="str">
        <f>VLOOKUP(A267,[1]Master!$C:$F,4,0)</f>
        <v>College of Arts &amp; Science</v>
      </c>
    </row>
    <row r="268" spans="1:14" customFormat="1" ht="14.5" x14ac:dyDescent="0.35">
      <c r="A268" s="2">
        <v>8470455</v>
      </c>
      <c r="B268" s="2" t="s">
        <v>406</v>
      </c>
      <c r="C268" s="2" t="s">
        <v>169</v>
      </c>
      <c r="D268" s="2" t="s">
        <v>170</v>
      </c>
      <c r="E268" s="2" t="s">
        <v>413</v>
      </c>
      <c r="F268" s="3">
        <v>300000</v>
      </c>
      <c r="G268" s="3">
        <v>291801</v>
      </c>
      <c r="H268" s="3">
        <v>291300</v>
      </c>
      <c r="I268" s="17">
        <v>0</v>
      </c>
      <c r="J268" s="17">
        <v>0</v>
      </c>
      <c r="K268" s="18">
        <f t="shared" si="4"/>
        <v>501</v>
      </c>
      <c r="L268" s="19"/>
      <c r="M268" s="62" t="str">
        <f>VLOOKUP(A268,[1]Master!$C:$F,3,0)</f>
        <v>Provost</v>
      </c>
      <c r="N268" t="str">
        <f>VLOOKUP(A268,[1]Master!$C:$F,4,0)</f>
        <v>College of Arts &amp; Science</v>
      </c>
    </row>
    <row r="269" spans="1:14" customFormat="1" ht="14.5" x14ac:dyDescent="0.35">
      <c r="A269" s="2">
        <v>8470455</v>
      </c>
      <c r="B269" s="2" t="s">
        <v>406</v>
      </c>
      <c r="C269" s="2" t="s">
        <v>103</v>
      </c>
      <c r="D269" s="2" t="s">
        <v>104</v>
      </c>
      <c r="E269" s="2" t="s">
        <v>414</v>
      </c>
      <c r="F269" s="3">
        <v>80000</v>
      </c>
      <c r="G269" s="3">
        <v>33190</v>
      </c>
      <c r="H269" s="3">
        <v>33189.379999999997</v>
      </c>
      <c r="I269" s="17">
        <v>0</v>
      </c>
      <c r="J269" s="17">
        <v>0</v>
      </c>
      <c r="K269" s="18">
        <f t="shared" si="4"/>
        <v>0.62000000000261934</v>
      </c>
      <c r="L269" s="19"/>
      <c r="M269" s="62" t="str">
        <f>VLOOKUP(A269,[1]Master!$C:$F,3,0)</f>
        <v>Provost</v>
      </c>
      <c r="N269" t="str">
        <f>VLOOKUP(A269,[1]Master!$C:$F,4,0)</f>
        <v>College of Arts &amp; Science</v>
      </c>
    </row>
    <row r="270" spans="1:14" customFormat="1" ht="14.5" x14ac:dyDescent="0.35">
      <c r="A270" s="2">
        <v>8470455</v>
      </c>
      <c r="B270" s="2" t="s">
        <v>406</v>
      </c>
      <c r="C270" s="2" t="s">
        <v>173</v>
      </c>
      <c r="D270" s="2" t="s">
        <v>174</v>
      </c>
      <c r="E270" s="2" t="s">
        <v>415</v>
      </c>
      <c r="F270" s="3">
        <v>675000</v>
      </c>
      <c r="G270" s="3">
        <v>362391</v>
      </c>
      <c r="H270" s="3">
        <v>357071.88</v>
      </c>
      <c r="I270" s="17">
        <v>0</v>
      </c>
      <c r="J270" s="17">
        <v>65618</v>
      </c>
      <c r="K270" s="18">
        <f t="shared" si="4"/>
        <v>-60298.880000000005</v>
      </c>
      <c r="L270" s="19"/>
      <c r="M270" s="62" t="str">
        <f>VLOOKUP(A270,[1]Master!$C:$F,3,0)</f>
        <v>Provost</v>
      </c>
      <c r="N270" t="str">
        <f>VLOOKUP(A270,[1]Master!$C:$F,4,0)</f>
        <v>College of Arts &amp; Science</v>
      </c>
    </row>
    <row r="271" spans="1:14" customFormat="1" ht="14.5" x14ac:dyDescent="0.35">
      <c r="A271" s="2">
        <v>8470455</v>
      </c>
      <c r="B271" s="2" t="s">
        <v>406</v>
      </c>
      <c r="C271" s="2" t="s">
        <v>154</v>
      </c>
      <c r="D271" s="2" t="s">
        <v>155</v>
      </c>
      <c r="E271" s="2" t="s">
        <v>416</v>
      </c>
      <c r="F271" s="3">
        <v>5000</v>
      </c>
      <c r="G271" s="3">
        <v>1</v>
      </c>
      <c r="H271" s="4"/>
      <c r="I271" s="17">
        <v>0</v>
      </c>
      <c r="J271" s="17">
        <v>0</v>
      </c>
      <c r="K271" s="18">
        <f t="shared" si="4"/>
        <v>1</v>
      </c>
      <c r="L271" s="19"/>
      <c r="M271" s="62" t="str">
        <f>VLOOKUP(A271,[1]Master!$C:$F,3,0)</f>
        <v>Provost</v>
      </c>
      <c r="N271" t="str">
        <f>VLOOKUP(A271,[1]Master!$C:$F,4,0)</f>
        <v>College of Arts &amp; Science</v>
      </c>
    </row>
    <row r="272" spans="1:14" customFormat="1" ht="31.5" x14ac:dyDescent="0.35">
      <c r="A272" s="2">
        <v>8470520</v>
      </c>
      <c r="B272" s="2" t="s">
        <v>418</v>
      </c>
      <c r="C272" s="2" t="s">
        <v>31</v>
      </c>
      <c r="D272" s="2" t="s">
        <v>32</v>
      </c>
      <c r="E272" s="2" t="s">
        <v>419</v>
      </c>
      <c r="F272" s="3">
        <v>29519</v>
      </c>
      <c r="G272" s="3">
        <v>29519</v>
      </c>
      <c r="H272" s="3">
        <v>7161.75</v>
      </c>
      <c r="I272" s="17">
        <v>0</v>
      </c>
      <c r="J272" s="17">
        <v>0</v>
      </c>
      <c r="K272" s="18">
        <f t="shared" si="4"/>
        <v>22357.25</v>
      </c>
      <c r="L272" s="19"/>
      <c r="M272" t="str">
        <f>VLOOKUP(A272,[1]Master!$C:$F,3,0)</f>
        <v>SVP/ Support Services Office</v>
      </c>
      <c r="N272" t="str">
        <f>VLOOKUP(A272,[1]Master!$C:$F,4,0)</f>
        <v>Administration, Facilities and EHS Office</v>
      </c>
    </row>
    <row r="273" spans="1:14" customFormat="1" ht="31.5" x14ac:dyDescent="0.35">
      <c r="A273" s="2">
        <v>8470520</v>
      </c>
      <c r="B273" s="2" t="s">
        <v>418</v>
      </c>
      <c r="C273" s="2" t="s">
        <v>420</v>
      </c>
      <c r="D273" s="2" t="s">
        <v>421</v>
      </c>
      <c r="E273" s="2" t="s">
        <v>422</v>
      </c>
      <c r="F273" s="3">
        <v>20000</v>
      </c>
      <c r="G273" s="3">
        <v>20000</v>
      </c>
      <c r="H273" s="4"/>
      <c r="I273" s="17">
        <v>0</v>
      </c>
      <c r="J273" s="17">
        <v>0</v>
      </c>
      <c r="K273" s="18">
        <f t="shared" si="4"/>
        <v>20000</v>
      </c>
      <c r="L273" s="19"/>
      <c r="M273" t="str">
        <f>VLOOKUP(A273,[1]Master!$C:$F,3,0)</f>
        <v>SVP/ Support Services Office</v>
      </c>
      <c r="N273" t="str">
        <f>VLOOKUP(A273,[1]Master!$C:$F,4,0)</f>
        <v>Administration, Facilities and EHS Office</v>
      </c>
    </row>
    <row r="274" spans="1:14" customFormat="1" ht="31.5" x14ac:dyDescent="0.35">
      <c r="A274" s="2">
        <v>8470520</v>
      </c>
      <c r="B274" s="2" t="s">
        <v>418</v>
      </c>
      <c r="C274" s="2" t="s">
        <v>61</v>
      </c>
      <c r="D274" s="2" t="s">
        <v>62</v>
      </c>
      <c r="E274" s="2" t="s">
        <v>423</v>
      </c>
      <c r="F274" s="3">
        <v>42000</v>
      </c>
      <c r="G274" s="3">
        <v>42000</v>
      </c>
      <c r="H274" s="3">
        <v>10510</v>
      </c>
      <c r="I274" s="17">
        <v>0</v>
      </c>
      <c r="J274" s="17">
        <v>0</v>
      </c>
      <c r="K274" s="18">
        <f t="shared" si="4"/>
        <v>31490</v>
      </c>
      <c r="L274" s="19"/>
      <c r="M274" t="str">
        <f>VLOOKUP(A274,[1]Master!$C:$F,3,0)</f>
        <v>SVP/ Support Services Office</v>
      </c>
      <c r="N274" t="str">
        <f>VLOOKUP(A274,[1]Master!$C:$F,4,0)</f>
        <v>Administration, Facilities and EHS Office</v>
      </c>
    </row>
    <row r="275" spans="1:14" customFormat="1" ht="31.5" x14ac:dyDescent="0.35">
      <c r="A275" s="2">
        <v>8470520</v>
      </c>
      <c r="B275" s="2" t="s">
        <v>418</v>
      </c>
      <c r="C275" s="2" t="s">
        <v>424</v>
      </c>
      <c r="D275" s="2" t="s">
        <v>425</v>
      </c>
      <c r="E275" s="2" t="s">
        <v>426</v>
      </c>
      <c r="F275" s="3">
        <v>616900</v>
      </c>
      <c r="G275" s="3">
        <v>571405</v>
      </c>
      <c r="H275" s="3">
        <v>562349.79</v>
      </c>
      <c r="I275" s="17">
        <v>1709.15</v>
      </c>
      <c r="J275" s="17">
        <v>0</v>
      </c>
      <c r="K275" s="18">
        <f t="shared" si="4"/>
        <v>7346.0599999999631</v>
      </c>
      <c r="L275" s="19"/>
      <c r="M275" t="str">
        <f>VLOOKUP(A275,[1]Master!$C:$F,3,0)</f>
        <v>SVP/ Support Services Office</v>
      </c>
      <c r="N275" t="str">
        <f>VLOOKUP(A275,[1]Master!$C:$F,4,0)</f>
        <v>Administration, Facilities and EHS Office</v>
      </c>
    </row>
    <row r="276" spans="1:14" customFormat="1" ht="31.5" x14ac:dyDescent="0.35">
      <c r="A276" s="2">
        <v>8470520</v>
      </c>
      <c r="B276" s="2" t="s">
        <v>418</v>
      </c>
      <c r="C276" s="2" t="s">
        <v>424</v>
      </c>
      <c r="D276" s="2" t="s">
        <v>425</v>
      </c>
      <c r="E276" s="2" t="s">
        <v>427</v>
      </c>
      <c r="F276" s="3">
        <v>23100</v>
      </c>
      <c r="G276" s="3">
        <v>23100</v>
      </c>
      <c r="H276" s="3">
        <v>22000</v>
      </c>
      <c r="I276" s="17">
        <v>0</v>
      </c>
      <c r="J276" s="17">
        <v>0</v>
      </c>
      <c r="K276" s="18">
        <f t="shared" si="4"/>
        <v>1100</v>
      </c>
      <c r="L276" s="19"/>
      <c r="M276" t="str">
        <f>VLOOKUP(A276,[1]Master!$C:$F,3,0)</f>
        <v>SVP/ Support Services Office</v>
      </c>
      <c r="N276" t="str">
        <f>VLOOKUP(A276,[1]Master!$C:$F,4,0)</f>
        <v>Administration, Facilities and EHS Office</v>
      </c>
    </row>
    <row r="277" spans="1:14" customFormat="1" ht="31.5" x14ac:dyDescent="0.35">
      <c r="A277" s="2">
        <v>8470520</v>
      </c>
      <c r="B277" s="2" t="s">
        <v>418</v>
      </c>
      <c r="C277" s="2" t="s">
        <v>49</v>
      </c>
      <c r="D277" s="2" t="s">
        <v>50</v>
      </c>
      <c r="E277" s="2" t="s">
        <v>428</v>
      </c>
      <c r="F277" s="3">
        <v>0</v>
      </c>
      <c r="G277" s="3">
        <v>25000</v>
      </c>
      <c r="H277" s="4"/>
      <c r="I277" s="17">
        <v>0</v>
      </c>
      <c r="J277" s="17">
        <v>0</v>
      </c>
      <c r="K277" s="18">
        <f t="shared" si="4"/>
        <v>25000</v>
      </c>
      <c r="L277" s="19"/>
      <c r="M277" t="str">
        <f>VLOOKUP(A277,[1]Master!$C:$F,3,0)</f>
        <v>SVP/ Support Services Office</v>
      </c>
      <c r="N277" t="str">
        <f>VLOOKUP(A277,[1]Master!$C:$F,4,0)</f>
        <v>Administration, Facilities and EHS Office</v>
      </c>
    </row>
    <row r="278" spans="1:14" customFormat="1" ht="21" x14ac:dyDescent="0.35">
      <c r="A278" s="2">
        <v>8470530</v>
      </c>
      <c r="B278" s="2" t="s">
        <v>430</v>
      </c>
      <c r="C278" s="2" t="s">
        <v>431</v>
      </c>
      <c r="D278" s="2" t="s">
        <v>432</v>
      </c>
      <c r="E278" s="2" t="s">
        <v>433</v>
      </c>
      <c r="F278" s="3">
        <v>4056439</v>
      </c>
      <c r="G278" s="3">
        <v>4081439</v>
      </c>
      <c r="H278" s="3">
        <v>3932182.16</v>
      </c>
      <c r="I278" s="17">
        <v>0</v>
      </c>
      <c r="J278" s="17">
        <v>0</v>
      </c>
      <c r="K278" s="18">
        <f t="shared" si="4"/>
        <v>149256.83999999985</v>
      </c>
      <c r="L278" s="25" t="s">
        <v>873</v>
      </c>
      <c r="M278" t="str">
        <f>VLOOKUP(A278,[1]Master!$C:$F,3,0)</f>
        <v>SVP/ Support Services Office</v>
      </c>
      <c r="N278" t="str">
        <f>VLOOKUP(A278,[1]Master!$C:$F,4,0)</f>
        <v>Administration, Facilities and EHS Office</v>
      </c>
    </row>
    <row r="279" spans="1:14" customFormat="1" ht="21" x14ac:dyDescent="0.35">
      <c r="A279" s="2">
        <v>8470530</v>
      </c>
      <c r="B279" s="2" t="s">
        <v>430</v>
      </c>
      <c r="C279" s="2" t="s">
        <v>431</v>
      </c>
      <c r="D279" s="2" t="s">
        <v>432</v>
      </c>
      <c r="E279" s="2" t="s">
        <v>434</v>
      </c>
      <c r="F279" s="3">
        <v>747242</v>
      </c>
      <c r="G279" s="3">
        <v>747242</v>
      </c>
      <c r="H279" s="3">
        <v>747242</v>
      </c>
      <c r="I279" s="17">
        <v>0</v>
      </c>
      <c r="J279" s="17">
        <v>0</v>
      </c>
      <c r="K279" s="18">
        <f t="shared" si="4"/>
        <v>0</v>
      </c>
      <c r="L279" s="19"/>
      <c r="M279" t="str">
        <f>VLOOKUP(A279,[1]Master!$C:$F,3,0)</f>
        <v>SVP/ Support Services Office</v>
      </c>
      <c r="N279" t="str">
        <f>VLOOKUP(A279,[1]Master!$C:$F,4,0)</f>
        <v>Administration, Facilities and EHS Office</v>
      </c>
    </row>
    <row r="280" spans="1:14" customFormat="1" ht="21" x14ac:dyDescent="0.35">
      <c r="A280" s="2">
        <v>8470530</v>
      </c>
      <c r="B280" s="2" t="s">
        <v>430</v>
      </c>
      <c r="C280" s="2" t="s">
        <v>431</v>
      </c>
      <c r="D280" s="2" t="s">
        <v>432</v>
      </c>
      <c r="E280" s="2" t="s">
        <v>435</v>
      </c>
      <c r="F280" s="3">
        <v>4118107</v>
      </c>
      <c r="G280" s="3">
        <v>4352677</v>
      </c>
      <c r="H280" s="3">
        <v>4349277.7</v>
      </c>
      <c r="I280" s="17">
        <v>0</v>
      </c>
      <c r="J280" s="17">
        <v>0</v>
      </c>
      <c r="K280" s="18">
        <f t="shared" si="4"/>
        <v>3399.2999999998137</v>
      </c>
      <c r="L280" s="19"/>
      <c r="M280" t="str">
        <f>VLOOKUP(A280,[1]Master!$C:$F,3,0)</f>
        <v>SVP/ Support Services Office</v>
      </c>
      <c r="N280" t="str">
        <f>VLOOKUP(A280,[1]Master!$C:$F,4,0)</f>
        <v>Administration, Facilities and EHS Office</v>
      </c>
    </row>
    <row r="281" spans="1:14" customFormat="1" ht="21" x14ac:dyDescent="0.35">
      <c r="A281" s="2">
        <v>8470530</v>
      </c>
      <c r="B281" s="2" t="s">
        <v>430</v>
      </c>
      <c r="C281" s="2" t="s">
        <v>25</v>
      </c>
      <c r="D281" s="2" t="s">
        <v>26</v>
      </c>
      <c r="E281" s="2" t="s">
        <v>436</v>
      </c>
      <c r="F281" s="3">
        <v>350000</v>
      </c>
      <c r="G281" s="3">
        <v>855000</v>
      </c>
      <c r="H281" s="3">
        <v>850000</v>
      </c>
      <c r="I281" s="17">
        <v>0</v>
      </c>
      <c r="J281" s="17">
        <v>0</v>
      </c>
      <c r="K281" s="18">
        <f t="shared" si="4"/>
        <v>5000</v>
      </c>
      <c r="L281" s="19"/>
      <c r="M281" t="str">
        <f>VLOOKUP(A281,[1]Master!$C:$F,3,0)</f>
        <v>SVP/ Support Services Office</v>
      </c>
      <c r="N281" t="str">
        <f>VLOOKUP(A281,[1]Master!$C:$F,4,0)</f>
        <v>Administration, Facilities and EHS Office</v>
      </c>
    </row>
    <row r="282" spans="1:14" customFormat="1" ht="21" x14ac:dyDescent="0.35">
      <c r="A282" s="2">
        <v>8470530</v>
      </c>
      <c r="B282" s="2" t="s">
        <v>430</v>
      </c>
      <c r="C282" s="2" t="s">
        <v>437</v>
      </c>
      <c r="D282" s="2" t="s">
        <v>438</v>
      </c>
      <c r="E282" s="2" t="s">
        <v>439</v>
      </c>
      <c r="F282" s="3">
        <v>0</v>
      </c>
      <c r="G282" s="3">
        <v>-42048</v>
      </c>
      <c r="H282" s="3">
        <v>-57528.14</v>
      </c>
      <c r="I282" s="17">
        <v>0</v>
      </c>
      <c r="J282" s="17">
        <v>0</v>
      </c>
      <c r="K282" s="18">
        <f t="shared" si="4"/>
        <v>15480.14</v>
      </c>
      <c r="L282" s="19"/>
      <c r="M282" t="str">
        <f>VLOOKUP(A282,[1]Master!$C:$F,3,0)</f>
        <v>SVP/ Support Services Office</v>
      </c>
      <c r="N282" t="str">
        <f>VLOOKUP(A282,[1]Master!$C:$F,4,0)</f>
        <v>Administration, Facilities and EHS Office</v>
      </c>
    </row>
    <row r="283" spans="1:14" customFormat="1" ht="21" x14ac:dyDescent="0.35">
      <c r="A283" s="2">
        <v>8470530</v>
      </c>
      <c r="B283" s="2" t="s">
        <v>430</v>
      </c>
      <c r="C283" s="2" t="s">
        <v>440</v>
      </c>
      <c r="D283" s="2" t="s">
        <v>441</v>
      </c>
      <c r="E283" s="2" t="s">
        <v>442</v>
      </c>
      <c r="F283" s="3">
        <v>4137480</v>
      </c>
      <c r="G283" s="3">
        <v>3615062</v>
      </c>
      <c r="H283" s="3">
        <v>3615061.42</v>
      </c>
      <c r="I283" s="17">
        <v>0</v>
      </c>
      <c r="J283" s="17">
        <v>0</v>
      </c>
      <c r="K283" s="18">
        <f t="shared" si="4"/>
        <v>0.58000000007450581</v>
      </c>
      <c r="L283" s="19"/>
      <c r="M283" t="str">
        <f>VLOOKUP(A283,[1]Master!$C:$F,3,0)</f>
        <v>SVP/ Support Services Office</v>
      </c>
      <c r="N283" t="str">
        <f>VLOOKUP(A283,[1]Master!$C:$F,4,0)</f>
        <v>Administration, Facilities and EHS Office</v>
      </c>
    </row>
    <row r="284" spans="1:14" customFormat="1" ht="21" x14ac:dyDescent="0.35">
      <c r="A284" s="2">
        <v>8470530</v>
      </c>
      <c r="B284" s="2" t="s">
        <v>430</v>
      </c>
      <c r="C284" s="2" t="s">
        <v>440</v>
      </c>
      <c r="D284" s="2" t="s">
        <v>441</v>
      </c>
      <c r="E284" s="2" t="s">
        <v>443</v>
      </c>
      <c r="F284" s="3">
        <v>2649480</v>
      </c>
      <c r="G284" s="3">
        <v>2421019</v>
      </c>
      <c r="H284" s="3">
        <v>2403739.48</v>
      </c>
      <c r="I284" s="17">
        <v>0</v>
      </c>
      <c r="J284" s="17">
        <v>17278.79</v>
      </c>
      <c r="K284" s="18">
        <f t="shared" si="4"/>
        <v>0.73000000001775334</v>
      </c>
      <c r="L284" s="19"/>
      <c r="M284" t="str">
        <f>VLOOKUP(A284,[1]Master!$C:$F,3,0)</f>
        <v>SVP/ Support Services Office</v>
      </c>
      <c r="N284" t="str">
        <f>VLOOKUP(A284,[1]Master!$C:$F,4,0)</f>
        <v>Administration, Facilities and EHS Office</v>
      </c>
    </row>
    <row r="285" spans="1:14" customFormat="1" ht="21" x14ac:dyDescent="0.35">
      <c r="A285" s="2">
        <v>8470530</v>
      </c>
      <c r="B285" s="2" t="s">
        <v>430</v>
      </c>
      <c r="C285" s="2" t="s">
        <v>440</v>
      </c>
      <c r="D285" s="2" t="s">
        <v>441</v>
      </c>
      <c r="E285" s="2" t="s">
        <v>444</v>
      </c>
      <c r="F285" s="3">
        <v>2601720</v>
      </c>
      <c r="G285" s="3">
        <v>1972181</v>
      </c>
      <c r="H285" s="3">
        <v>1810961.74</v>
      </c>
      <c r="I285" s="17">
        <v>0</v>
      </c>
      <c r="J285" s="17">
        <v>161217.89000000001</v>
      </c>
      <c r="K285" s="18">
        <f t="shared" si="4"/>
        <v>1.3699999999953434</v>
      </c>
      <c r="L285" s="19"/>
      <c r="M285" t="str">
        <f>VLOOKUP(A285,[1]Master!$C:$F,3,0)</f>
        <v>SVP/ Support Services Office</v>
      </c>
      <c r="N285" t="str">
        <f>VLOOKUP(A285,[1]Master!$C:$F,4,0)</f>
        <v>Administration, Facilities and EHS Office</v>
      </c>
    </row>
    <row r="286" spans="1:14" customFormat="1" ht="21" x14ac:dyDescent="0.35">
      <c r="A286" s="2">
        <v>8470530</v>
      </c>
      <c r="B286" s="2" t="s">
        <v>430</v>
      </c>
      <c r="C286" s="2" t="s">
        <v>440</v>
      </c>
      <c r="D286" s="2" t="s">
        <v>441</v>
      </c>
      <c r="E286" s="2" t="s">
        <v>445</v>
      </c>
      <c r="F286" s="3">
        <v>0</v>
      </c>
      <c r="G286" s="3">
        <v>592938</v>
      </c>
      <c r="H286" s="3">
        <v>559320.04</v>
      </c>
      <c r="I286" s="17">
        <v>0</v>
      </c>
      <c r="J286" s="17">
        <v>0</v>
      </c>
      <c r="K286" s="18">
        <f t="shared" si="4"/>
        <v>33617.959999999963</v>
      </c>
      <c r="L286" s="19"/>
      <c r="M286" t="str">
        <f>VLOOKUP(A286,[1]Master!$C:$F,3,0)</f>
        <v>SVP/ Support Services Office</v>
      </c>
      <c r="N286" t="str">
        <f>VLOOKUP(A286,[1]Master!$C:$F,4,0)</f>
        <v>Administration, Facilities and EHS Office</v>
      </c>
    </row>
    <row r="287" spans="1:14" customFormat="1" ht="21" x14ac:dyDescent="0.35">
      <c r="A287" s="2">
        <v>8470530</v>
      </c>
      <c r="B287" s="2" t="s">
        <v>430</v>
      </c>
      <c r="C287" s="2" t="s">
        <v>28</v>
      </c>
      <c r="D287" s="2" t="s">
        <v>29</v>
      </c>
      <c r="E287" s="2" t="s">
        <v>446</v>
      </c>
      <c r="F287" s="3">
        <v>0</v>
      </c>
      <c r="G287" s="3">
        <v>328000</v>
      </c>
      <c r="H287" s="3">
        <v>326000</v>
      </c>
      <c r="I287" s="17">
        <v>0</v>
      </c>
      <c r="J287" s="17">
        <v>0</v>
      </c>
      <c r="K287" s="18">
        <f t="shared" si="4"/>
        <v>2000</v>
      </c>
      <c r="L287" s="19"/>
      <c r="M287" t="str">
        <f>VLOOKUP(A287,[1]Master!$C:$F,3,0)</f>
        <v>SVP/ Support Services Office</v>
      </c>
      <c r="N287" t="str">
        <f>VLOOKUP(A287,[1]Master!$C:$F,4,0)</f>
        <v>Administration, Facilities and EHS Office</v>
      </c>
    </row>
    <row r="288" spans="1:14" customFormat="1" ht="31.5" x14ac:dyDescent="0.35">
      <c r="A288" s="2">
        <v>8470530</v>
      </c>
      <c r="B288" s="2" t="s">
        <v>430</v>
      </c>
      <c r="C288" s="2" t="s">
        <v>31</v>
      </c>
      <c r="D288" s="2" t="s">
        <v>32</v>
      </c>
      <c r="E288" s="2" t="s">
        <v>447</v>
      </c>
      <c r="F288" s="3">
        <v>20000</v>
      </c>
      <c r="G288" s="3">
        <v>22200</v>
      </c>
      <c r="H288" s="3">
        <v>21793.37</v>
      </c>
      <c r="I288" s="17">
        <v>0</v>
      </c>
      <c r="J288" s="17">
        <v>0</v>
      </c>
      <c r="K288" s="18">
        <f t="shared" si="4"/>
        <v>406.63000000000102</v>
      </c>
      <c r="L288" s="19"/>
      <c r="M288" t="str">
        <f>VLOOKUP(A288,[1]Master!$C:$F,3,0)</f>
        <v>SVP/ Support Services Office</v>
      </c>
      <c r="N288" t="str">
        <f>VLOOKUP(A288,[1]Master!$C:$F,4,0)</f>
        <v>Administration, Facilities and EHS Office</v>
      </c>
    </row>
    <row r="289" spans="1:14" customFormat="1" ht="31.5" x14ac:dyDescent="0.35">
      <c r="A289" s="2">
        <v>8470530</v>
      </c>
      <c r="B289" s="2" t="s">
        <v>430</v>
      </c>
      <c r="C289" s="2" t="s">
        <v>31</v>
      </c>
      <c r="D289" s="2" t="s">
        <v>32</v>
      </c>
      <c r="E289" s="2" t="s">
        <v>448</v>
      </c>
      <c r="F289" s="4"/>
      <c r="G289" s="4"/>
      <c r="H289" s="3">
        <v>0</v>
      </c>
      <c r="I289" s="17">
        <v>0</v>
      </c>
      <c r="J289" s="17">
        <v>0</v>
      </c>
      <c r="K289" s="18">
        <f t="shared" si="4"/>
        <v>0</v>
      </c>
      <c r="L289" s="19"/>
      <c r="M289" t="str">
        <f>VLOOKUP(A289,[1]Master!$C:$F,3,0)</f>
        <v>SVP/ Support Services Office</v>
      </c>
      <c r="N289" t="str">
        <f>VLOOKUP(A289,[1]Master!$C:$F,4,0)</f>
        <v>Administration, Facilities and EHS Office</v>
      </c>
    </row>
    <row r="290" spans="1:14" customFormat="1" ht="21" x14ac:dyDescent="0.35">
      <c r="A290" s="2">
        <v>8470530</v>
      </c>
      <c r="B290" s="2" t="s">
        <v>430</v>
      </c>
      <c r="C290" s="2" t="s">
        <v>449</v>
      </c>
      <c r="D290" s="2" t="s">
        <v>450</v>
      </c>
      <c r="E290" s="2" t="s">
        <v>451</v>
      </c>
      <c r="F290" s="3">
        <v>0</v>
      </c>
      <c r="G290" s="3">
        <v>3911430</v>
      </c>
      <c r="H290" s="3">
        <v>3911425</v>
      </c>
      <c r="I290" s="17">
        <v>0</v>
      </c>
      <c r="J290" s="17">
        <v>0</v>
      </c>
      <c r="K290" s="18">
        <f t="shared" si="4"/>
        <v>5</v>
      </c>
      <c r="L290" s="19"/>
      <c r="M290" t="str">
        <f>VLOOKUP(A290,[1]Master!$C:$F,3,0)</f>
        <v>SVP/ Support Services Office</v>
      </c>
      <c r="N290" t="str">
        <f>VLOOKUP(A290,[1]Master!$C:$F,4,0)</f>
        <v>Administration, Facilities and EHS Office</v>
      </c>
    </row>
    <row r="291" spans="1:14" customFormat="1" ht="21" x14ac:dyDescent="0.35">
      <c r="A291" s="2">
        <v>8470530</v>
      </c>
      <c r="B291" s="2" t="s">
        <v>430</v>
      </c>
      <c r="C291" s="2" t="s">
        <v>37</v>
      </c>
      <c r="D291" s="2" t="s">
        <v>38</v>
      </c>
      <c r="E291" s="2" t="s">
        <v>452</v>
      </c>
      <c r="F291" s="3">
        <v>30000</v>
      </c>
      <c r="G291" s="3">
        <v>30000</v>
      </c>
      <c r="H291" s="3">
        <v>17073</v>
      </c>
      <c r="I291" s="17">
        <v>0</v>
      </c>
      <c r="J291" s="17">
        <v>0</v>
      </c>
      <c r="K291" s="18">
        <f t="shared" si="4"/>
        <v>12927</v>
      </c>
      <c r="L291" s="19"/>
      <c r="M291" t="str">
        <f>VLOOKUP(A291,[1]Master!$C:$F,3,0)</f>
        <v>SVP/ Support Services Office</v>
      </c>
      <c r="N291" t="str">
        <f>VLOOKUP(A291,[1]Master!$C:$F,4,0)</f>
        <v>Administration, Facilities and EHS Office</v>
      </c>
    </row>
    <row r="292" spans="1:14" customFormat="1" ht="21" x14ac:dyDescent="0.35">
      <c r="A292" s="2">
        <v>8470530</v>
      </c>
      <c r="B292" s="2" t="s">
        <v>430</v>
      </c>
      <c r="C292" s="2" t="s">
        <v>453</v>
      </c>
      <c r="D292" s="2" t="s">
        <v>454</v>
      </c>
      <c r="E292" s="2" t="s">
        <v>455</v>
      </c>
      <c r="F292" s="3">
        <v>960437</v>
      </c>
      <c r="G292" s="3">
        <v>879710</v>
      </c>
      <c r="H292" s="3">
        <v>879708.25</v>
      </c>
      <c r="I292" s="17">
        <v>0</v>
      </c>
      <c r="J292" s="17">
        <v>0</v>
      </c>
      <c r="K292" s="18">
        <f t="shared" si="4"/>
        <v>1.75</v>
      </c>
      <c r="L292" s="19"/>
      <c r="M292" t="str">
        <f>VLOOKUP(A292,[1]Master!$C:$F,3,0)</f>
        <v>SVP/ Support Services Office</v>
      </c>
      <c r="N292" t="str">
        <f>VLOOKUP(A292,[1]Master!$C:$F,4,0)</f>
        <v>Administration, Facilities and EHS Office</v>
      </c>
    </row>
    <row r="293" spans="1:14" customFormat="1" ht="21" x14ac:dyDescent="0.35">
      <c r="A293" s="2">
        <v>8470530</v>
      </c>
      <c r="B293" s="2" t="s">
        <v>430</v>
      </c>
      <c r="C293" s="2" t="s">
        <v>453</v>
      </c>
      <c r="D293" s="2" t="s">
        <v>454</v>
      </c>
      <c r="E293" s="2" t="s">
        <v>456</v>
      </c>
      <c r="F293" s="3">
        <v>23714</v>
      </c>
      <c r="G293" s="3">
        <v>23714</v>
      </c>
      <c r="H293" s="4"/>
      <c r="I293" s="17">
        <v>0</v>
      </c>
      <c r="J293" s="17">
        <v>0</v>
      </c>
      <c r="K293" s="18">
        <f t="shared" si="4"/>
        <v>23714</v>
      </c>
      <c r="L293" s="19"/>
      <c r="M293" t="str">
        <f>VLOOKUP(A293,[1]Master!$C:$F,3,0)</f>
        <v>SVP/ Support Services Office</v>
      </c>
      <c r="N293" t="str">
        <f>VLOOKUP(A293,[1]Master!$C:$F,4,0)</f>
        <v>Administration, Facilities and EHS Office</v>
      </c>
    </row>
    <row r="294" spans="1:14" customFormat="1" ht="21" x14ac:dyDescent="0.35">
      <c r="A294" s="2">
        <v>8470530</v>
      </c>
      <c r="B294" s="2" t="s">
        <v>430</v>
      </c>
      <c r="C294" s="2" t="s">
        <v>457</v>
      </c>
      <c r="D294" s="2" t="s">
        <v>458</v>
      </c>
      <c r="E294" s="2" t="s">
        <v>459</v>
      </c>
      <c r="F294" s="3">
        <v>50000</v>
      </c>
      <c r="G294" s="3">
        <v>50000</v>
      </c>
      <c r="H294" s="3">
        <v>29924</v>
      </c>
      <c r="I294" s="17">
        <v>0</v>
      </c>
      <c r="J294" s="17">
        <v>0</v>
      </c>
      <c r="K294" s="18">
        <f t="shared" si="4"/>
        <v>20076</v>
      </c>
      <c r="L294" s="19"/>
      <c r="M294" t="str">
        <f>VLOOKUP(A294,[1]Master!$C:$F,3,0)</f>
        <v>SVP/ Support Services Office</v>
      </c>
      <c r="N294" t="str">
        <f>VLOOKUP(A294,[1]Master!$C:$F,4,0)</f>
        <v>Administration, Facilities and EHS Office</v>
      </c>
    </row>
    <row r="295" spans="1:14" customFormat="1" ht="21" x14ac:dyDescent="0.35">
      <c r="A295" s="2">
        <v>8470530</v>
      </c>
      <c r="B295" s="2" t="s">
        <v>430</v>
      </c>
      <c r="C295" s="2" t="s">
        <v>43</v>
      </c>
      <c r="D295" s="2" t="s">
        <v>44</v>
      </c>
      <c r="E295" s="2" t="s">
        <v>460</v>
      </c>
      <c r="F295" s="3">
        <v>50000</v>
      </c>
      <c r="G295" s="3">
        <v>0</v>
      </c>
      <c r="H295" s="4"/>
      <c r="I295" s="17">
        <v>0</v>
      </c>
      <c r="J295" s="17">
        <v>0</v>
      </c>
      <c r="K295" s="18">
        <f t="shared" si="4"/>
        <v>0</v>
      </c>
      <c r="L295" s="19"/>
      <c r="M295" t="str">
        <f>VLOOKUP(A295,[1]Master!$C:$F,3,0)</f>
        <v>SVP/ Support Services Office</v>
      </c>
      <c r="N295" t="str">
        <f>VLOOKUP(A295,[1]Master!$C:$F,4,0)</f>
        <v>Administration, Facilities and EHS Office</v>
      </c>
    </row>
    <row r="296" spans="1:14" customFormat="1" ht="21" x14ac:dyDescent="0.35">
      <c r="A296" s="2">
        <v>8470530</v>
      </c>
      <c r="B296" s="2" t="s">
        <v>430</v>
      </c>
      <c r="C296" s="2" t="s">
        <v>461</v>
      </c>
      <c r="D296" s="2" t="s">
        <v>462</v>
      </c>
      <c r="E296" s="2" t="s">
        <v>463</v>
      </c>
      <c r="F296" s="3">
        <v>0</v>
      </c>
      <c r="G296" s="3">
        <v>200211</v>
      </c>
      <c r="H296" s="3">
        <v>199212.79999999999</v>
      </c>
      <c r="I296" s="17">
        <v>0</v>
      </c>
      <c r="J296" s="17">
        <v>0</v>
      </c>
      <c r="K296" s="18">
        <f t="shared" si="4"/>
        <v>998.20000000001164</v>
      </c>
      <c r="L296" s="19"/>
      <c r="M296" t="str">
        <f>VLOOKUP(A296,[1]Master!$C:$F,3,0)</f>
        <v>SVP/ Support Services Office</v>
      </c>
      <c r="N296" t="str">
        <f>VLOOKUP(A296,[1]Master!$C:$F,4,0)</f>
        <v>Administration, Facilities and EHS Office</v>
      </c>
    </row>
    <row r="297" spans="1:14" customFormat="1" ht="21" x14ac:dyDescent="0.35">
      <c r="A297" s="2">
        <v>8470530</v>
      </c>
      <c r="B297" s="2" t="s">
        <v>430</v>
      </c>
      <c r="C297" s="2" t="s">
        <v>464</v>
      </c>
      <c r="D297" s="2" t="s">
        <v>465</v>
      </c>
      <c r="E297" s="2" t="s">
        <v>466</v>
      </c>
      <c r="F297" s="3">
        <v>11946037</v>
      </c>
      <c r="G297" s="3">
        <v>11240258</v>
      </c>
      <c r="H297" s="3">
        <v>10774042.75</v>
      </c>
      <c r="I297" s="17">
        <v>87502</v>
      </c>
      <c r="J297" s="17">
        <v>499464.74</v>
      </c>
      <c r="K297" s="18">
        <f t="shared" si="4"/>
        <v>-120751.48999999999</v>
      </c>
      <c r="L297" s="19"/>
      <c r="M297" t="str">
        <f>VLOOKUP(A297,[1]Master!$C:$F,3,0)</f>
        <v>SVP/ Support Services Office</v>
      </c>
      <c r="N297" t="str">
        <f>VLOOKUP(A297,[1]Master!$C:$F,4,0)</f>
        <v>Administration, Facilities and EHS Office</v>
      </c>
    </row>
    <row r="298" spans="1:14" customFormat="1" ht="21" x14ac:dyDescent="0.35">
      <c r="A298" s="2">
        <v>8470530</v>
      </c>
      <c r="B298" s="2" t="s">
        <v>430</v>
      </c>
      <c r="C298" s="2" t="s">
        <v>464</v>
      </c>
      <c r="D298" s="2" t="s">
        <v>465</v>
      </c>
      <c r="E298" s="2" t="s">
        <v>467</v>
      </c>
      <c r="F298" s="3">
        <v>5071140</v>
      </c>
      <c r="G298" s="3">
        <v>5021740</v>
      </c>
      <c r="H298" s="3">
        <v>4695216.1500000004</v>
      </c>
      <c r="I298" s="17">
        <v>0</v>
      </c>
      <c r="J298" s="17">
        <v>326424.78999999998</v>
      </c>
      <c r="K298" s="18">
        <f t="shared" si="4"/>
        <v>99.059999999648426</v>
      </c>
      <c r="L298" s="19"/>
      <c r="M298" t="str">
        <f>VLOOKUP(A298,[1]Master!$C:$F,3,0)</f>
        <v>SVP/ Support Services Office</v>
      </c>
      <c r="N298" t="str">
        <f>VLOOKUP(A298,[1]Master!$C:$F,4,0)</f>
        <v>Administration, Facilities and EHS Office</v>
      </c>
    </row>
    <row r="299" spans="1:14" customFormat="1" ht="21" x14ac:dyDescent="0.35">
      <c r="A299" s="2">
        <v>8470530</v>
      </c>
      <c r="B299" s="2" t="s">
        <v>430</v>
      </c>
      <c r="C299" s="2" t="s">
        <v>464</v>
      </c>
      <c r="D299" s="2" t="s">
        <v>465</v>
      </c>
      <c r="E299" s="2" t="s">
        <v>468</v>
      </c>
      <c r="F299" s="3">
        <v>5573134</v>
      </c>
      <c r="G299" s="3">
        <v>5571316</v>
      </c>
      <c r="H299" s="3">
        <v>5296336.75</v>
      </c>
      <c r="I299" s="17">
        <v>0</v>
      </c>
      <c r="J299" s="17">
        <v>254976.94</v>
      </c>
      <c r="K299" s="18">
        <f t="shared" si="4"/>
        <v>20002.309999999998</v>
      </c>
      <c r="L299" s="19"/>
      <c r="M299" t="str">
        <f>VLOOKUP(A299,[1]Master!$C:$F,3,0)</f>
        <v>SVP/ Support Services Office</v>
      </c>
      <c r="N299" t="str">
        <f>VLOOKUP(A299,[1]Master!$C:$F,4,0)</f>
        <v>Administration, Facilities and EHS Office</v>
      </c>
    </row>
    <row r="300" spans="1:14" customFormat="1" ht="21" x14ac:dyDescent="0.35">
      <c r="A300" s="2">
        <v>8470530</v>
      </c>
      <c r="B300" s="2" t="s">
        <v>430</v>
      </c>
      <c r="C300" s="2" t="s">
        <v>464</v>
      </c>
      <c r="D300" s="2" t="s">
        <v>465</v>
      </c>
      <c r="E300" s="2" t="s">
        <v>469</v>
      </c>
      <c r="F300" s="3">
        <v>1207678</v>
      </c>
      <c r="G300" s="3">
        <v>1164654</v>
      </c>
      <c r="H300" s="3">
        <v>1158171.46</v>
      </c>
      <c r="I300" s="17">
        <v>62070</v>
      </c>
      <c r="J300" s="17">
        <v>6400</v>
      </c>
      <c r="K300" s="18">
        <f t="shared" si="4"/>
        <v>-61987.459999999963</v>
      </c>
      <c r="L300" s="19"/>
      <c r="M300" t="str">
        <f>VLOOKUP(A300,[1]Master!$C:$F,3,0)</f>
        <v>SVP/ Support Services Office</v>
      </c>
      <c r="N300" t="str">
        <f>VLOOKUP(A300,[1]Master!$C:$F,4,0)</f>
        <v>Administration, Facilities and EHS Office</v>
      </c>
    </row>
    <row r="301" spans="1:14" customFormat="1" ht="21" x14ac:dyDescent="0.35">
      <c r="A301" s="2">
        <v>8470530</v>
      </c>
      <c r="B301" s="2" t="s">
        <v>430</v>
      </c>
      <c r="C301" s="2" t="s">
        <v>470</v>
      </c>
      <c r="D301" s="2" t="s">
        <v>471</v>
      </c>
      <c r="E301" s="2" t="s">
        <v>472</v>
      </c>
      <c r="F301" s="3">
        <v>30000</v>
      </c>
      <c r="G301" s="3">
        <v>30000</v>
      </c>
      <c r="H301" s="3">
        <v>20638</v>
      </c>
      <c r="I301" s="17">
        <v>0</v>
      </c>
      <c r="J301" s="17">
        <v>0</v>
      </c>
      <c r="K301" s="18">
        <f t="shared" si="4"/>
        <v>9362</v>
      </c>
      <c r="L301" s="19"/>
      <c r="M301" t="str">
        <f>VLOOKUP(A301,[1]Master!$C:$F,3,0)</f>
        <v>SVP/ Support Services Office</v>
      </c>
      <c r="N301" t="str">
        <f>VLOOKUP(A301,[1]Master!$C:$F,4,0)</f>
        <v>Administration, Facilities and EHS Office</v>
      </c>
    </row>
    <row r="302" spans="1:14" customFormat="1" ht="21" x14ac:dyDescent="0.35">
      <c r="A302" s="2">
        <v>8470530</v>
      </c>
      <c r="B302" s="2" t="s">
        <v>430</v>
      </c>
      <c r="C302" s="2" t="s">
        <v>473</v>
      </c>
      <c r="D302" s="2" t="s">
        <v>474</v>
      </c>
      <c r="E302" s="2" t="s">
        <v>475</v>
      </c>
      <c r="F302" s="3">
        <v>26000</v>
      </c>
      <c r="G302" s="3">
        <v>26000</v>
      </c>
      <c r="H302" s="3">
        <v>3747.08</v>
      </c>
      <c r="I302" s="17">
        <v>0</v>
      </c>
      <c r="J302" s="17">
        <v>0</v>
      </c>
      <c r="K302" s="18">
        <f t="shared" si="4"/>
        <v>22252.92</v>
      </c>
      <c r="L302" s="19"/>
      <c r="M302" t="str">
        <f>VLOOKUP(A302,[1]Master!$C:$F,3,0)</f>
        <v>SVP/ Support Services Office</v>
      </c>
      <c r="N302" t="str">
        <f>VLOOKUP(A302,[1]Master!$C:$F,4,0)</f>
        <v>Administration, Facilities and EHS Office</v>
      </c>
    </row>
    <row r="303" spans="1:14" customFormat="1" ht="21" x14ac:dyDescent="0.35">
      <c r="A303" s="2">
        <v>8470530</v>
      </c>
      <c r="B303" s="2" t="s">
        <v>430</v>
      </c>
      <c r="C303" s="2" t="s">
        <v>476</v>
      </c>
      <c r="D303" s="2" t="s">
        <v>477</v>
      </c>
      <c r="E303" s="2" t="s">
        <v>478</v>
      </c>
      <c r="F303" s="4"/>
      <c r="G303" s="4"/>
      <c r="H303" s="3">
        <v>-219</v>
      </c>
      <c r="I303" s="17">
        <v>0</v>
      </c>
      <c r="J303" s="17">
        <v>0</v>
      </c>
      <c r="K303" s="18">
        <f t="shared" si="4"/>
        <v>219</v>
      </c>
      <c r="L303" s="19"/>
      <c r="M303" t="str">
        <f>VLOOKUP(A303,[1]Master!$C:$F,3,0)</f>
        <v>SVP/ Support Services Office</v>
      </c>
      <c r="N303" t="str">
        <f>VLOOKUP(A303,[1]Master!$C:$F,4,0)</f>
        <v>Administration, Facilities and EHS Office</v>
      </c>
    </row>
    <row r="304" spans="1:14" customFormat="1" ht="21" x14ac:dyDescent="0.35">
      <c r="A304" s="2">
        <v>8470530</v>
      </c>
      <c r="B304" s="2" t="s">
        <v>430</v>
      </c>
      <c r="C304" s="2" t="s">
        <v>479</v>
      </c>
      <c r="D304" s="2" t="s">
        <v>480</v>
      </c>
      <c r="E304" s="2" t="s">
        <v>481</v>
      </c>
      <c r="F304" s="3">
        <v>0</v>
      </c>
      <c r="G304" s="3">
        <v>11750</v>
      </c>
      <c r="H304" s="4"/>
      <c r="I304" s="17">
        <v>0</v>
      </c>
      <c r="J304" s="17">
        <v>0</v>
      </c>
      <c r="K304" s="18">
        <f t="shared" si="4"/>
        <v>11750</v>
      </c>
      <c r="L304" s="19"/>
      <c r="M304" t="str">
        <f>VLOOKUP(A304,[1]Master!$C:$F,3,0)</f>
        <v>SVP/ Support Services Office</v>
      </c>
      <c r="N304" t="str">
        <f>VLOOKUP(A304,[1]Master!$C:$F,4,0)</f>
        <v>Administration, Facilities and EHS Office</v>
      </c>
    </row>
    <row r="305" spans="1:14" customFormat="1" ht="21" x14ac:dyDescent="0.35">
      <c r="A305" s="2">
        <v>8470530</v>
      </c>
      <c r="B305" s="2" t="s">
        <v>430</v>
      </c>
      <c r="C305" s="2" t="s">
        <v>482</v>
      </c>
      <c r="D305" s="2" t="s">
        <v>483</v>
      </c>
      <c r="E305" s="2" t="s">
        <v>484</v>
      </c>
      <c r="F305" s="3">
        <v>0</v>
      </c>
      <c r="G305" s="3">
        <v>20000</v>
      </c>
      <c r="H305" s="4"/>
      <c r="I305" s="17">
        <v>0</v>
      </c>
      <c r="J305" s="17">
        <v>0</v>
      </c>
      <c r="K305" s="18">
        <f t="shared" si="4"/>
        <v>20000</v>
      </c>
      <c r="L305" s="19"/>
      <c r="M305" t="str">
        <f>VLOOKUP(A305,[1]Master!$C:$F,3,0)</f>
        <v>SVP/ Support Services Office</v>
      </c>
      <c r="N305" t="str">
        <f>VLOOKUP(A305,[1]Master!$C:$F,4,0)</f>
        <v>Administration, Facilities and EHS Office</v>
      </c>
    </row>
    <row r="306" spans="1:14" customFormat="1" ht="21" x14ac:dyDescent="0.35">
      <c r="A306" s="2">
        <v>8470540</v>
      </c>
      <c r="B306" s="2" t="s">
        <v>486</v>
      </c>
      <c r="C306" s="2" t="s">
        <v>437</v>
      </c>
      <c r="D306" s="2" t="s">
        <v>438</v>
      </c>
      <c r="E306" s="2" t="s">
        <v>487</v>
      </c>
      <c r="F306" s="3">
        <v>3589128</v>
      </c>
      <c r="G306" s="3">
        <v>247936</v>
      </c>
      <c r="H306" s="3">
        <v>168512.62</v>
      </c>
      <c r="I306" s="17">
        <v>50005.48</v>
      </c>
      <c r="J306" s="17">
        <v>29417.31</v>
      </c>
      <c r="K306" s="18">
        <f t="shared" si="4"/>
        <v>0.59000000000014552</v>
      </c>
      <c r="L306" s="19"/>
      <c r="M306" t="str">
        <f>VLOOKUP(A306,[1]Master!$C:$F,3,0)</f>
        <v>SVP/ Support Services Office</v>
      </c>
      <c r="N306" t="str">
        <f>VLOOKUP(A306,[1]Master!$C:$F,4,0)</f>
        <v>Administration, Facilities and EHS Office</v>
      </c>
    </row>
    <row r="307" spans="1:14" customFormat="1" ht="21" x14ac:dyDescent="0.35">
      <c r="A307" s="2">
        <v>8470540</v>
      </c>
      <c r="B307" s="2" t="s">
        <v>486</v>
      </c>
      <c r="C307" s="2" t="s">
        <v>488</v>
      </c>
      <c r="D307" s="2" t="s">
        <v>489</v>
      </c>
      <c r="E307" s="2" t="s">
        <v>490</v>
      </c>
      <c r="F307" s="3">
        <v>10000</v>
      </c>
      <c r="G307" s="3">
        <v>10000</v>
      </c>
      <c r="H307" s="3">
        <v>848</v>
      </c>
      <c r="I307" s="17">
        <v>0</v>
      </c>
      <c r="J307" s="17">
        <v>0</v>
      </c>
      <c r="K307" s="18">
        <f t="shared" si="4"/>
        <v>9152</v>
      </c>
      <c r="L307" s="19"/>
      <c r="M307" t="str">
        <f>VLOOKUP(A307,[1]Master!$C:$F,3,0)</f>
        <v>SVP/ Support Services Office</v>
      </c>
      <c r="N307" t="str">
        <f>VLOOKUP(A307,[1]Master!$C:$F,4,0)</f>
        <v>Administration, Facilities and EHS Office</v>
      </c>
    </row>
    <row r="308" spans="1:14" customFormat="1" ht="21" x14ac:dyDescent="0.35">
      <c r="A308" s="2">
        <v>8470540</v>
      </c>
      <c r="B308" s="2" t="s">
        <v>486</v>
      </c>
      <c r="C308" s="2" t="s">
        <v>491</v>
      </c>
      <c r="D308" s="2" t="s">
        <v>492</v>
      </c>
      <c r="E308" s="2" t="s">
        <v>493</v>
      </c>
      <c r="F308" s="3">
        <v>30000</v>
      </c>
      <c r="G308" s="3">
        <v>6000</v>
      </c>
      <c r="H308" s="3">
        <v>3000</v>
      </c>
      <c r="I308" s="17">
        <v>0</v>
      </c>
      <c r="J308" s="17">
        <v>0</v>
      </c>
      <c r="K308" s="18">
        <f t="shared" si="4"/>
        <v>3000</v>
      </c>
      <c r="L308" s="19"/>
      <c r="M308" t="str">
        <f>VLOOKUP(A308,[1]Master!$C:$F,3,0)</f>
        <v>SVP/ Support Services Office</v>
      </c>
      <c r="N308" t="str">
        <f>VLOOKUP(A308,[1]Master!$C:$F,4,0)</f>
        <v>Administration, Facilities and EHS Office</v>
      </c>
    </row>
    <row r="309" spans="1:14" customFormat="1" ht="21" x14ac:dyDescent="0.35">
      <c r="A309" s="2">
        <v>8470540</v>
      </c>
      <c r="B309" s="2" t="s">
        <v>486</v>
      </c>
      <c r="C309" s="2" t="s">
        <v>61</v>
      </c>
      <c r="D309" s="2" t="s">
        <v>62</v>
      </c>
      <c r="E309" s="2" t="s">
        <v>494</v>
      </c>
      <c r="F309" s="3">
        <v>0</v>
      </c>
      <c r="G309" s="3">
        <v>7000</v>
      </c>
      <c r="H309" s="3">
        <v>5106</v>
      </c>
      <c r="I309" s="17">
        <v>0</v>
      </c>
      <c r="J309" s="17">
        <v>0</v>
      </c>
      <c r="K309" s="18">
        <f t="shared" si="4"/>
        <v>1894</v>
      </c>
      <c r="L309" s="19"/>
      <c r="M309" t="str">
        <f>VLOOKUP(A309,[1]Master!$C:$F,3,0)</f>
        <v>SVP/ Support Services Office</v>
      </c>
      <c r="N309" t="str">
        <f>VLOOKUP(A309,[1]Master!$C:$F,4,0)</f>
        <v>Administration, Facilities and EHS Office</v>
      </c>
    </row>
    <row r="310" spans="1:14" customFormat="1" ht="21" x14ac:dyDescent="0.35">
      <c r="A310" s="2">
        <v>8470540</v>
      </c>
      <c r="B310" s="2" t="s">
        <v>486</v>
      </c>
      <c r="C310" s="2" t="s">
        <v>495</v>
      </c>
      <c r="D310" s="2" t="s">
        <v>496</v>
      </c>
      <c r="E310" s="2" t="s">
        <v>497</v>
      </c>
      <c r="F310" s="3">
        <v>7349560</v>
      </c>
      <c r="G310" s="3">
        <v>8500127</v>
      </c>
      <c r="H310" s="3">
        <v>8409542.0600000005</v>
      </c>
      <c r="I310" s="17">
        <v>0</v>
      </c>
      <c r="J310" s="17">
        <v>0</v>
      </c>
      <c r="K310" s="18">
        <f t="shared" si="4"/>
        <v>90584.939999999478</v>
      </c>
      <c r="L310" s="19" t="s">
        <v>874</v>
      </c>
      <c r="M310" t="str">
        <f>VLOOKUP(A310,[1]Master!$C:$F,3,0)</f>
        <v>SVP/ Support Services Office</v>
      </c>
      <c r="N310" t="str">
        <f>VLOOKUP(A310,[1]Master!$C:$F,4,0)</f>
        <v>Administration, Facilities and EHS Office</v>
      </c>
    </row>
    <row r="311" spans="1:14" customFormat="1" ht="21" x14ac:dyDescent="0.35">
      <c r="A311" s="2">
        <v>8470540</v>
      </c>
      <c r="B311" s="2" t="s">
        <v>486</v>
      </c>
      <c r="C311" s="2" t="s">
        <v>495</v>
      </c>
      <c r="D311" s="2" t="s">
        <v>496</v>
      </c>
      <c r="E311" s="2" t="s">
        <v>498</v>
      </c>
      <c r="F311" s="3">
        <v>4615084</v>
      </c>
      <c r="G311" s="3">
        <v>4835679</v>
      </c>
      <c r="H311" s="3">
        <v>4835640.68</v>
      </c>
      <c r="I311" s="17">
        <v>0</v>
      </c>
      <c r="J311" s="17">
        <v>0</v>
      </c>
      <c r="K311" s="18">
        <f t="shared" si="4"/>
        <v>38.320000000298023</v>
      </c>
      <c r="L311" s="19"/>
      <c r="M311" t="str">
        <f>VLOOKUP(A311,[1]Master!$C:$F,3,0)</f>
        <v>SVP/ Support Services Office</v>
      </c>
      <c r="N311" t="str">
        <f>VLOOKUP(A311,[1]Master!$C:$F,4,0)</f>
        <v>Administration, Facilities and EHS Office</v>
      </c>
    </row>
    <row r="312" spans="1:14" customFormat="1" ht="21" x14ac:dyDescent="0.35">
      <c r="A312" s="2">
        <v>8470540</v>
      </c>
      <c r="B312" s="2" t="s">
        <v>486</v>
      </c>
      <c r="C312" s="2" t="s">
        <v>495</v>
      </c>
      <c r="D312" s="2" t="s">
        <v>496</v>
      </c>
      <c r="E312" s="2" t="s">
        <v>499</v>
      </c>
      <c r="F312" s="3">
        <v>3058446</v>
      </c>
      <c r="G312" s="3">
        <v>5374966</v>
      </c>
      <c r="H312" s="3">
        <v>5257311</v>
      </c>
      <c r="I312" s="17">
        <v>0</v>
      </c>
      <c r="J312" s="17">
        <v>0</v>
      </c>
      <c r="K312" s="18">
        <f t="shared" si="4"/>
        <v>117655</v>
      </c>
      <c r="L312" s="19" t="s">
        <v>874</v>
      </c>
      <c r="M312" t="str">
        <f>VLOOKUP(A312,[1]Master!$C:$F,3,0)</f>
        <v>SVP/ Support Services Office</v>
      </c>
      <c r="N312" t="str">
        <f>VLOOKUP(A312,[1]Master!$C:$F,4,0)</f>
        <v>Administration, Facilities and EHS Office</v>
      </c>
    </row>
    <row r="313" spans="1:14" customFormat="1" ht="21" x14ac:dyDescent="0.35">
      <c r="A313" s="2">
        <v>8470540</v>
      </c>
      <c r="B313" s="2" t="s">
        <v>486</v>
      </c>
      <c r="C313" s="2" t="s">
        <v>495</v>
      </c>
      <c r="D313" s="2" t="s">
        <v>496</v>
      </c>
      <c r="E313" s="2" t="s">
        <v>500</v>
      </c>
      <c r="F313" s="3">
        <v>442627</v>
      </c>
      <c r="G313" s="3">
        <v>0</v>
      </c>
      <c r="H313" s="4"/>
      <c r="I313" s="17">
        <v>0</v>
      </c>
      <c r="J313" s="17">
        <v>0</v>
      </c>
      <c r="K313" s="18">
        <f t="shared" si="4"/>
        <v>0</v>
      </c>
      <c r="L313" s="19"/>
      <c r="M313" t="str">
        <f>VLOOKUP(A313,[1]Master!$C:$F,3,0)</f>
        <v>SVP/ Support Services Office</v>
      </c>
      <c r="N313" t="str">
        <f>VLOOKUP(A313,[1]Master!$C:$F,4,0)</f>
        <v>Administration, Facilities and EHS Office</v>
      </c>
    </row>
    <row r="314" spans="1:14" customFormat="1" ht="21" x14ac:dyDescent="0.35">
      <c r="A314" s="2">
        <v>8470540</v>
      </c>
      <c r="B314" s="2" t="s">
        <v>486</v>
      </c>
      <c r="C314" s="2" t="s">
        <v>501</v>
      </c>
      <c r="D314" s="2" t="s">
        <v>502</v>
      </c>
      <c r="E314" s="2" t="s">
        <v>503</v>
      </c>
      <c r="F314" s="3">
        <v>1153128</v>
      </c>
      <c r="G314" s="3">
        <v>1242066</v>
      </c>
      <c r="H314" s="3">
        <v>1187671.8799999999</v>
      </c>
      <c r="I314" s="17">
        <v>0</v>
      </c>
      <c r="J314" s="17">
        <v>0</v>
      </c>
      <c r="K314" s="18">
        <f t="shared" si="4"/>
        <v>54394.120000000112</v>
      </c>
      <c r="L314" s="19" t="s">
        <v>874</v>
      </c>
      <c r="M314" t="str">
        <f>VLOOKUP(A314,[1]Master!$C:$F,3,0)</f>
        <v>SVP/ Support Services Office</v>
      </c>
      <c r="N314" t="str">
        <f>VLOOKUP(A314,[1]Master!$C:$F,4,0)</f>
        <v>Administration, Facilities and EHS Office</v>
      </c>
    </row>
    <row r="315" spans="1:14" customFormat="1" ht="21" x14ac:dyDescent="0.35">
      <c r="A315" s="2">
        <v>8470540</v>
      </c>
      <c r="B315" s="2" t="s">
        <v>486</v>
      </c>
      <c r="C315" s="2" t="s">
        <v>501</v>
      </c>
      <c r="D315" s="2" t="s">
        <v>502</v>
      </c>
      <c r="E315" s="2" t="s">
        <v>504</v>
      </c>
      <c r="F315" s="3">
        <v>1681399</v>
      </c>
      <c r="G315" s="3">
        <v>1827377</v>
      </c>
      <c r="H315" s="3">
        <v>1479472.84</v>
      </c>
      <c r="I315" s="17">
        <v>0</v>
      </c>
      <c r="J315" s="17">
        <v>0</v>
      </c>
      <c r="K315" s="18">
        <f t="shared" si="4"/>
        <v>347904.15999999992</v>
      </c>
      <c r="L315" s="19" t="s">
        <v>874</v>
      </c>
      <c r="M315" t="str">
        <f>VLOOKUP(A315,[1]Master!$C:$F,3,0)</f>
        <v>SVP/ Support Services Office</v>
      </c>
      <c r="N315" t="str">
        <f>VLOOKUP(A315,[1]Master!$C:$F,4,0)</f>
        <v>Administration, Facilities and EHS Office</v>
      </c>
    </row>
    <row r="316" spans="1:14" customFormat="1" ht="21" x14ac:dyDescent="0.35">
      <c r="A316" s="2">
        <v>8470540</v>
      </c>
      <c r="B316" s="2" t="s">
        <v>486</v>
      </c>
      <c r="C316" s="2" t="s">
        <v>501</v>
      </c>
      <c r="D316" s="2" t="s">
        <v>502</v>
      </c>
      <c r="E316" s="2" t="s">
        <v>505</v>
      </c>
      <c r="F316" s="3">
        <v>1703132</v>
      </c>
      <c r="G316" s="3">
        <v>1822786</v>
      </c>
      <c r="H316" s="3">
        <v>1523249.09</v>
      </c>
      <c r="I316" s="17">
        <v>0</v>
      </c>
      <c r="J316" s="17">
        <v>0</v>
      </c>
      <c r="K316" s="18">
        <f t="shared" si="4"/>
        <v>299536.90999999992</v>
      </c>
      <c r="L316" s="19" t="s">
        <v>874</v>
      </c>
      <c r="M316" t="str">
        <f>VLOOKUP(A316,[1]Master!$C:$F,3,0)</f>
        <v>SVP/ Support Services Office</v>
      </c>
      <c r="N316" t="str">
        <f>VLOOKUP(A316,[1]Master!$C:$F,4,0)</f>
        <v>Administration, Facilities and EHS Office</v>
      </c>
    </row>
    <row r="317" spans="1:14" customFormat="1" ht="21" x14ac:dyDescent="0.35">
      <c r="A317" s="2">
        <v>8470540</v>
      </c>
      <c r="B317" s="2" t="s">
        <v>486</v>
      </c>
      <c r="C317" s="2" t="s">
        <v>501</v>
      </c>
      <c r="D317" s="2" t="s">
        <v>502</v>
      </c>
      <c r="E317" s="2" t="s">
        <v>506</v>
      </c>
      <c r="F317" s="3">
        <v>153570</v>
      </c>
      <c r="G317" s="3">
        <v>153570</v>
      </c>
      <c r="H317" s="4"/>
      <c r="I317" s="17">
        <v>0</v>
      </c>
      <c r="J317" s="17">
        <v>0</v>
      </c>
      <c r="K317" s="18">
        <f t="shared" si="4"/>
        <v>153570</v>
      </c>
      <c r="L317" s="19" t="s">
        <v>874</v>
      </c>
      <c r="M317" t="str">
        <f>VLOOKUP(A317,[1]Master!$C:$F,3,0)</f>
        <v>SVP/ Support Services Office</v>
      </c>
      <c r="N317" t="str">
        <f>VLOOKUP(A317,[1]Master!$C:$F,4,0)</f>
        <v>Administration, Facilities and EHS Office</v>
      </c>
    </row>
    <row r="318" spans="1:14" customFormat="1" ht="21" x14ac:dyDescent="0.35">
      <c r="A318" s="2">
        <v>8470540</v>
      </c>
      <c r="B318" s="2" t="s">
        <v>486</v>
      </c>
      <c r="C318" s="2" t="s">
        <v>507</v>
      </c>
      <c r="D318" s="2" t="s">
        <v>508</v>
      </c>
      <c r="E318" s="2" t="s">
        <v>509</v>
      </c>
      <c r="F318" s="3">
        <v>44000</v>
      </c>
      <c r="G318" s="3">
        <v>44000</v>
      </c>
      <c r="H318" s="3">
        <v>41250</v>
      </c>
      <c r="I318" s="17">
        <v>0</v>
      </c>
      <c r="J318" s="17">
        <v>0</v>
      </c>
      <c r="K318" s="18">
        <f t="shared" si="4"/>
        <v>2750</v>
      </c>
      <c r="L318" s="19"/>
      <c r="M318" t="str">
        <f>VLOOKUP(A318,[1]Master!$C:$F,3,0)</f>
        <v>SVP/ Support Services Office</v>
      </c>
      <c r="N318" t="str">
        <f>VLOOKUP(A318,[1]Master!$C:$F,4,0)</f>
        <v>Administration, Facilities and EHS Office</v>
      </c>
    </row>
    <row r="319" spans="1:14" customFormat="1" ht="21" x14ac:dyDescent="0.35">
      <c r="A319" s="2">
        <v>8470540</v>
      </c>
      <c r="B319" s="2" t="s">
        <v>486</v>
      </c>
      <c r="C319" s="2" t="s">
        <v>510</v>
      </c>
      <c r="D319" s="2" t="s">
        <v>511</v>
      </c>
      <c r="E319" s="2" t="s">
        <v>512</v>
      </c>
      <c r="F319" s="3">
        <v>0</v>
      </c>
      <c r="G319" s="3">
        <v>24416</v>
      </c>
      <c r="H319" s="3">
        <v>24415</v>
      </c>
      <c r="I319" s="17">
        <v>0</v>
      </c>
      <c r="J319" s="17">
        <v>0</v>
      </c>
      <c r="K319" s="18">
        <f t="shared" si="4"/>
        <v>1</v>
      </c>
      <c r="L319" s="19"/>
      <c r="M319" t="str">
        <f>VLOOKUP(A319,[1]Master!$C:$F,3,0)</f>
        <v>SVP/ Support Services Office</v>
      </c>
      <c r="N319" t="str">
        <f>VLOOKUP(A319,[1]Master!$C:$F,4,0)</f>
        <v>Administration, Facilities and EHS Office</v>
      </c>
    </row>
    <row r="320" spans="1:14" customFormat="1" ht="21" x14ac:dyDescent="0.35">
      <c r="A320" s="2">
        <v>8470540</v>
      </c>
      <c r="B320" s="2" t="s">
        <v>486</v>
      </c>
      <c r="C320" s="2" t="s">
        <v>513</v>
      </c>
      <c r="D320" s="2" t="s">
        <v>514</v>
      </c>
      <c r="E320" s="2" t="s">
        <v>515</v>
      </c>
      <c r="F320" s="3">
        <v>967680</v>
      </c>
      <c r="G320" s="3">
        <v>989464</v>
      </c>
      <c r="H320" s="3">
        <v>978732.96</v>
      </c>
      <c r="I320" s="17">
        <v>0</v>
      </c>
      <c r="J320" s="17">
        <v>10730</v>
      </c>
      <c r="K320" s="18">
        <f t="shared" si="4"/>
        <v>1.0400000000372529</v>
      </c>
      <c r="L320" s="19"/>
      <c r="M320" t="str">
        <f>VLOOKUP(A320,[1]Master!$C:$F,3,0)</f>
        <v>SVP/ Support Services Office</v>
      </c>
      <c r="N320" t="str">
        <f>VLOOKUP(A320,[1]Master!$C:$F,4,0)</f>
        <v>Administration, Facilities and EHS Office</v>
      </c>
    </row>
    <row r="321" spans="1:14" customFormat="1" ht="21" x14ac:dyDescent="0.35">
      <c r="A321" s="2">
        <v>8470540</v>
      </c>
      <c r="B321" s="2" t="s">
        <v>486</v>
      </c>
      <c r="C321" s="2" t="s">
        <v>464</v>
      </c>
      <c r="D321" s="2" t="s">
        <v>465</v>
      </c>
      <c r="E321" s="2" t="s">
        <v>516</v>
      </c>
      <c r="F321" s="3">
        <v>0</v>
      </c>
      <c r="G321" s="3">
        <v>-367211</v>
      </c>
      <c r="H321" s="3">
        <v>-371826.82</v>
      </c>
      <c r="I321" s="17">
        <v>0</v>
      </c>
      <c r="J321" s="17">
        <v>0</v>
      </c>
      <c r="K321" s="18">
        <f t="shared" si="4"/>
        <v>4615.820000000007</v>
      </c>
      <c r="L321" s="19"/>
      <c r="M321" t="str">
        <f>VLOOKUP(A321,[1]Master!$C:$F,3,0)</f>
        <v>SVP/ Support Services Office</v>
      </c>
      <c r="N321" t="str">
        <f>VLOOKUP(A321,[1]Master!$C:$F,4,0)</f>
        <v>Administration, Facilities and EHS Office</v>
      </c>
    </row>
    <row r="322" spans="1:14" customFormat="1" ht="21" x14ac:dyDescent="0.35">
      <c r="A322" s="2">
        <v>8470540</v>
      </c>
      <c r="B322" s="2" t="s">
        <v>486</v>
      </c>
      <c r="C322" s="2" t="s">
        <v>464</v>
      </c>
      <c r="D322" s="2" t="s">
        <v>465</v>
      </c>
      <c r="E322" s="2" t="s">
        <v>517</v>
      </c>
      <c r="F322" s="3">
        <v>0</v>
      </c>
      <c r="G322" s="3">
        <v>-241882</v>
      </c>
      <c r="H322" s="3">
        <v>-242103.6</v>
      </c>
      <c r="I322" s="17">
        <v>0</v>
      </c>
      <c r="J322" s="17">
        <v>0</v>
      </c>
      <c r="K322" s="18">
        <f t="shared" si="4"/>
        <v>221.60000000000582</v>
      </c>
      <c r="L322" s="19"/>
      <c r="M322" t="str">
        <f>VLOOKUP(A322,[1]Master!$C:$F,3,0)</f>
        <v>SVP/ Support Services Office</v>
      </c>
      <c r="N322" t="str">
        <f>VLOOKUP(A322,[1]Master!$C:$F,4,0)</f>
        <v>Administration, Facilities and EHS Office</v>
      </c>
    </row>
    <row r="323" spans="1:14" customFormat="1" ht="21" x14ac:dyDescent="0.35">
      <c r="A323" s="2">
        <v>8470540</v>
      </c>
      <c r="B323" s="2" t="s">
        <v>486</v>
      </c>
      <c r="C323" s="2" t="s">
        <v>476</v>
      </c>
      <c r="D323" s="2" t="s">
        <v>477</v>
      </c>
      <c r="E323" s="2" t="s">
        <v>518</v>
      </c>
      <c r="F323" s="3">
        <v>140000</v>
      </c>
      <c r="G323" s="3">
        <v>89603</v>
      </c>
      <c r="H323" s="3">
        <v>89601.84</v>
      </c>
      <c r="I323" s="17">
        <v>0</v>
      </c>
      <c r="J323" s="17">
        <v>0</v>
      </c>
      <c r="K323" s="18">
        <f t="shared" si="4"/>
        <v>1.1600000000034925</v>
      </c>
      <c r="L323" s="19"/>
      <c r="M323" t="str">
        <f>VLOOKUP(A323,[1]Master!$C:$F,3,0)</f>
        <v>SVP/ Support Services Office</v>
      </c>
      <c r="N323" t="str">
        <f>VLOOKUP(A323,[1]Master!$C:$F,4,0)</f>
        <v>Administration, Facilities and EHS Office</v>
      </c>
    </row>
    <row r="324" spans="1:14" customFormat="1" ht="21" x14ac:dyDescent="0.35">
      <c r="A324" s="2">
        <v>8470540</v>
      </c>
      <c r="B324" s="2" t="s">
        <v>486</v>
      </c>
      <c r="C324" s="2" t="s">
        <v>479</v>
      </c>
      <c r="D324" s="2" t="s">
        <v>480</v>
      </c>
      <c r="E324" s="2" t="s">
        <v>519</v>
      </c>
      <c r="F324" s="3">
        <v>0</v>
      </c>
      <c r="G324" s="3">
        <v>1477395</v>
      </c>
      <c r="H324" s="3">
        <v>1441004.98</v>
      </c>
      <c r="I324" s="17">
        <v>0</v>
      </c>
      <c r="J324" s="17">
        <v>11386.0800000001</v>
      </c>
      <c r="K324" s="18">
        <f t="shared" ref="K324:K387" si="5">G324-H324-I324-J324</f>
        <v>25003.939999999919</v>
      </c>
      <c r="L324" s="19"/>
      <c r="M324" t="str">
        <f>VLOOKUP(A324,[1]Master!$C:$F,3,0)</f>
        <v>SVP/ Support Services Office</v>
      </c>
      <c r="N324" t="str">
        <f>VLOOKUP(A324,[1]Master!$C:$F,4,0)</f>
        <v>Administration, Facilities and EHS Office</v>
      </c>
    </row>
    <row r="325" spans="1:14" customFormat="1" ht="21" x14ac:dyDescent="0.35">
      <c r="A325" s="2">
        <v>8470540</v>
      </c>
      <c r="B325" s="2" t="s">
        <v>486</v>
      </c>
      <c r="C325" s="2" t="s">
        <v>520</v>
      </c>
      <c r="D325" s="2" t="s">
        <v>521</v>
      </c>
      <c r="E325" s="2" t="s">
        <v>522</v>
      </c>
      <c r="F325" s="3">
        <v>336000</v>
      </c>
      <c r="G325" s="3">
        <v>266721</v>
      </c>
      <c r="H325" s="3">
        <v>266719.75</v>
      </c>
      <c r="I325" s="17">
        <v>0</v>
      </c>
      <c r="J325" s="17">
        <v>0</v>
      </c>
      <c r="K325" s="18">
        <f t="shared" si="5"/>
        <v>1.25</v>
      </c>
      <c r="L325" s="19"/>
      <c r="M325" t="str">
        <f>VLOOKUP(A325,[1]Master!$C:$F,3,0)</f>
        <v>SVP/ Support Services Office</v>
      </c>
      <c r="N325" t="str">
        <f>VLOOKUP(A325,[1]Master!$C:$F,4,0)</f>
        <v>Administration, Facilities and EHS Office</v>
      </c>
    </row>
    <row r="326" spans="1:14" customFormat="1" ht="21" x14ac:dyDescent="0.35">
      <c r="A326" s="2">
        <v>8470540</v>
      </c>
      <c r="B326" s="2" t="s">
        <v>486</v>
      </c>
      <c r="C326" s="2" t="s">
        <v>154</v>
      </c>
      <c r="D326" s="2" t="s">
        <v>155</v>
      </c>
      <c r="E326" s="2" t="s">
        <v>523</v>
      </c>
      <c r="F326" s="3">
        <v>193910</v>
      </c>
      <c r="G326" s="3">
        <v>110009</v>
      </c>
      <c r="H326" s="3">
        <v>110007.78</v>
      </c>
      <c r="I326" s="17">
        <v>0</v>
      </c>
      <c r="J326" s="17">
        <v>0</v>
      </c>
      <c r="K326" s="18">
        <f t="shared" si="5"/>
        <v>1.2200000000011642</v>
      </c>
      <c r="L326" s="19"/>
      <c r="M326" t="str">
        <f>VLOOKUP(A326,[1]Master!$C:$F,3,0)</f>
        <v>SVP/ Support Services Office</v>
      </c>
      <c r="N326" t="str">
        <f>VLOOKUP(A326,[1]Master!$C:$F,4,0)</f>
        <v>Administration, Facilities and EHS Office</v>
      </c>
    </row>
    <row r="327" spans="1:14" customFormat="1" ht="21" x14ac:dyDescent="0.35">
      <c r="A327" s="2">
        <v>8470610</v>
      </c>
      <c r="B327" s="2" t="s">
        <v>525</v>
      </c>
      <c r="C327" s="2" t="s">
        <v>43</v>
      </c>
      <c r="D327" s="2" t="s">
        <v>44</v>
      </c>
      <c r="E327" s="2" t="s">
        <v>526</v>
      </c>
      <c r="F327" s="3">
        <v>0</v>
      </c>
      <c r="G327" s="3">
        <v>6445</v>
      </c>
      <c r="H327" s="3">
        <v>5845</v>
      </c>
      <c r="I327" s="17">
        <v>0</v>
      </c>
      <c r="J327" s="17">
        <v>0</v>
      </c>
      <c r="K327" s="18">
        <f t="shared" si="5"/>
        <v>600</v>
      </c>
      <c r="L327" s="19"/>
      <c r="M327" s="62" t="e">
        <f>VLOOKUP(A327,[1]Master!$C:$F,3,0)</f>
        <v>#N/A</v>
      </c>
      <c r="N327" t="e">
        <f>VLOOKUP(A327,[1]Master!$C:$F,4,0)</f>
        <v>#N/A</v>
      </c>
    </row>
    <row r="328" spans="1:14" customFormat="1" ht="21" x14ac:dyDescent="0.35">
      <c r="A328" s="2">
        <v>8470620</v>
      </c>
      <c r="B328" s="2" t="s">
        <v>528</v>
      </c>
      <c r="C328" s="2" t="s">
        <v>529</v>
      </c>
      <c r="D328" s="2" t="s">
        <v>530</v>
      </c>
      <c r="E328" s="2" t="s">
        <v>531</v>
      </c>
      <c r="F328" s="3">
        <v>295000</v>
      </c>
      <c r="G328" s="3">
        <v>383200</v>
      </c>
      <c r="H328" s="3">
        <v>383200</v>
      </c>
      <c r="I328" s="17">
        <v>0</v>
      </c>
      <c r="J328" s="17">
        <v>0</v>
      </c>
      <c r="K328" s="18">
        <f t="shared" si="5"/>
        <v>0</v>
      </c>
      <c r="L328" s="19"/>
      <c r="M328" t="str">
        <f>VLOOKUP(A328,[1]Master!$C:$F,3,0)</f>
        <v>SVP / Finance &amp; Investment Office</v>
      </c>
      <c r="N328" t="str">
        <f>VLOOKUP(A328,[1]Master!$C:$F,4,0)</f>
        <v xml:space="preserve"> SVP / Finance &amp; Investment Office</v>
      </c>
    </row>
    <row r="329" spans="1:14" customFormat="1" ht="21" x14ac:dyDescent="0.35">
      <c r="A329" s="2">
        <v>8470620</v>
      </c>
      <c r="B329" s="2" t="s">
        <v>528</v>
      </c>
      <c r="C329" s="2" t="s">
        <v>437</v>
      </c>
      <c r="D329" s="2" t="s">
        <v>438</v>
      </c>
      <c r="E329" s="2" t="s">
        <v>532</v>
      </c>
      <c r="F329" s="3">
        <v>431160</v>
      </c>
      <c r="G329" s="3">
        <v>31160</v>
      </c>
      <c r="H329" s="3">
        <v>31000</v>
      </c>
      <c r="I329" s="17">
        <v>0</v>
      </c>
      <c r="J329" s="17">
        <v>0</v>
      </c>
      <c r="K329" s="18">
        <f t="shared" si="5"/>
        <v>160</v>
      </c>
      <c r="L329" s="19"/>
      <c r="M329" t="str">
        <f>VLOOKUP(A329,[1]Master!$C:$F,3,0)</f>
        <v>SVP / Finance &amp; Investment Office</v>
      </c>
      <c r="N329" t="str">
        <f>VLOOKUP(A329,[1]Master!$C:$F,4,0)</f>
        <v xml:space="preserve"> SVP / Finance &amp; Investment Office</v>
      </c>
    </row>
    <row r="330" spans="1:14" customFormat="1" ht="21" x14ac:dyDescent="0.35">
      <c r="A330" s="2">
        <v>8470620</v>
      </c>
      <c r="B330" s="2" t="s">
        <v>528</v>
      </c>
      <c r="C330" s="2" t="s">
        <v>533</v>
      </c>
      <c r="D330" s="2" t="s">
        <v>534</v>
      </c>
      <c r="E330" s="2" t="s">
        <v>535</v>
      </c>
      <c r="F330" s="3">
        <v>310500</v>
      </c>
      <c r="G330" s="3">
        <v>519271</v>
      </c>
      <c r="H330" s="3">
        <v>386410</v>
      </c>
      <c r="I330" s="17">
        <v>0</v>
      </c>
      <c r="J330" s="17">
        <v>132860</v>
      </c>
      <c r="K330" s="18">
        <f t="shared" si="5"/>
        <v>1</v>
      </c>
      <c r="L330" s="19"/>
      <c r="M330" t="str">
        <f>VLOOKUP(A330,[1]Master!$C:$F,3,0)</f>
        <v>SVP / Finance &amp; Investment Office</v>
      </c>
      <c r="N330" t="str">
        <f>VLOOKUP(A330,[1]Master!$C:$F,4,0)</f>
        <v xml:space="preserve"> SVP / Finance &amp; Investment Office</v>
      </c>
    </row>
    <row r="331" spans="1:14" customFormat="1" ht="21" x14ac:dyDescent="0.35">
      <c r="A331" s="2">
        <v>8470620</v>
      </c>
      <c r="B331" s="2" t="s">
        <v>528</v>
      </c>
      <c r="C331" s="2" t="s">
        <v>536</v>
      </c>
      <c r="D331" s="2" t="s">
        <v>537</v>
      </c>
      <c r="E331" s="2" t="s">
        <v>538</v>
      </c>
      <c r="F331" s="3">
        <v>3600</v>
      </c>
      <c r="G331" s="3">
        <v>3600</v>
      </c>
      <c r="H331" s="3">
        <v>688.64</v>
      </c>
      <c r="I331" s="17">
        <v>0</v>
      </c>
      <c r="J331" s="17">
        <v>0</v>
      </c>
      <c r="K331" s="18">
        <f t="shared" si="5"/>
        <v>2911.36</v>
      </c>
      <c r="L331" s="19"/>
      <c r="M331" t="str">
        <f>VLOOKUP(A331,[1]Master!$C:$F,3,0)</f>
        <v>SVP / Finance &amp; Investment Office</v>
      </c>
      <c r="N331" t="str">
        <f>VLOOKUP(A331,[1]Master!$C:$F,4,0)</f>
        <v xml:space="preserve"> SVP / Finance &amp; Investment Office</v>
      </c>
    </row>
    <row r="332" spans="1:14" customFormat="1" ht="21" x14ac:dyDescent="0.35">
      <c r="A332" s="2">
        <v>8470620</v>
      </c>
      <c r="B332" s="2" t="s">
        <v>528</v>
      </c>
      <c r="C332" s="2" t="s">
        <v>539</v>
      </c>
      <c r="D332" s="2" t="s">
        <v>540</v>
      </c>
      <c r="E332" s="2" t="s">
        <v>541</v>
      </c>
      <c r="F332" s="3">
        <v>90000</v>
      </c>
      <c r="G332" s="3">
        <v>124500</v>
      </c>
      <c r="H332" s="3">
        <v>102471.63</v>
      </c>
      <c r="I332" s="17">
        <v>0</v>
      </c>
      <c r="J332" s="17">
        <v>0</v>
      </c>
      <c r="K332" s="18">
        <f t="shared" si="5"/>
        <v>22028.369999999995</v>
      </c>
      <c r="L332" s="19"/>
      <c r="M332" t="str">
        <f>VLOOKUP(A332,[1]Master!$C:$F,3,0)</f>
        <v>SVP / Finance &amp; Investment Office</v>
      </c>
      <c r="N332" t="str">
        <f>VLOOKUP(A332,[1]Master!$C:$F,4,0)</f>
        <v xml:space="preserve"> SVP / Finance &amp; Investment Office</v>
      </c>
    </row>
    <row r="333" spans="1:14" customFormat="1" ht="21" x14ac:dyDescent="0.35">
      <c r="A333" s="2">
        <v>8470620</v>
      </c>
      <c r="B333" s="2" t="s">
        <v>528</v>
      </c>
      <c r="C333" s="2" t="s">
        <v>37</v>
      </c>
      <c r="D333" s="2" t="s">
        <v>38</v>
      </c>
      <c r="E333" s="2" t="s">
        <v>542</v>
      </c>
      <c r="F333" s="3">
        <v>0</v>
      </c>
      <c r="G333" s="3">
        <v>5000</v>
      </c>
      <c r="H333" s="3">
        <v>4079</v>
      </c>
      <c r="I333" s="17">
        <v>0</v>
      </c>
      <c r="J333" s="17">
        <v>0</v>
      </c>
      <c r="K333" s="18">
        <f t="shared" si="5"/>
        <v>921</v>
      </c>
      <c r="L333" s="19"/>
      <c r="M333" t="str">
        <f>VLOOKUP(A333,[1]Master!$C:$F,3,0)</f>
        <v>SVP / Finance &amp; Investment Office</v>
      </c>
      <c r="N333" t="str">
        <f>VLOOKUP(A333,[1]Master!$C:$F,4,0)</f>
        <v xml:space="preserve"> SVP / Finance &amp; Investment Office</v>
      </c>
    </row>
    <row r="334" spans="1:14" customFormat="1" ht="21" x14ac:dyDescent="0.35">
      <c r="A334" s="2">
        <v>8470620</v>
      </c>
      <c r="B334" s="2" t="s">
        <v>528</v>
      </c>
      <c r="C334" s="2" t="s">
        <v>40</v>
      </c>
      <c r="D334" s="2" t="s">
        <v>41</v>
      </c>
      <c r="E334" s="2" t="s">
        <v>543</v>
      </c>
      <c r="F334" s="3">
        <v>31680</v>
      </c>
      <c r="G334" s="3">
        <v>31680</v>
      </c>
      <c r="H334" s="3">
        <v>31680</v>
      </c>
      <c r="I334" s="17">
        <v>0</v>
      </c>
      <c r="J334" s="17">
        <v>0</v>
      </c>
      <c r="K334" s="18">
        <f t="shared" si="5"/>
        <v>0</v>
      </c>
      <c r="L334" s="19"/>
      <c r="M334" t="str">
        <f>VLOOKUP(A334,[1]Master!$C:$F,3,0)</f>
        <v>SVP / Finance &amp; Investment Office</v>
      </c>
      <c r="N334" t="str">
        <f>VLOOKUP(A334,[1]Master!$C:$F,4,0)</f>
        <v xml:space="preserve"> SVP / Finance &amp; Investment Office</v>
      </c>
    </row>
    <row r="335" spans="1:14" customFormat="1" ht="21" x14ac:dyDescent="0.35">
      <c r="A335" s="2">
        <v>8470620</v>
      </c>
      <c r="B335" s="2" t="s">
        <v>528</v>
      </c>
      <c r="C335" s="2" t="s">
        <v>154</v>
      </c>
      <c r="D335" s="2" t="s">
        <v>155</v>
      </c>
      <c r="E335" s="2" t="s">
        <v>544</v>
      </c>
      <c r="F335" s="4"/>
      <c r="G335" s="4"/>
      <c r="H335" s="3">
        <v>0</v>
      </c>
      <c r="I335" s="17">
        <v>0</v>
      </c>
      <c r="J335" s="17">
        <v>0</v>
      </c>
      <c r="K335" s="18">
        <f t="shared" si="5"/>
        <v>0</v>
      </c>
      <c r="L335" s="19"/>
      <c r="M335" t="str">
        <f>VLOOKUP(A335,[1]Master!$C:$F,3,0)</f>
        <v>SVP / Finance &amp; Investment Office</v>
      </c>
      <c r="N335" t="str">
        <f>VLOOKUP(A335,[1]Master!$C:$F,4,0)</f>
        <v xml:space="preserve"> SVP / Finance &amp; Investment Office</v>
      </c>
    </row>
    <row r="336" spans="1:14" customFormat="1" ht="21" x14ac:dyDescent="0.35">
      <c r="A336" s="2">
        <v>8470620</v>
      </c>
      <c r="B336" s="2" t="s">
        <v>528</v>
      </c>
      <c r="C336" s="2" t="s">
        <v>545</v>
      </c>
      <c r="D336" s="2" t="s">
        <v>546</v>
      </c>
      <c r="E336" s="2" t="s">
        <v>547</v>
      </c>
      <c r="F336" s="3">
        <v>2500</v>
      </c>
      <c r="G336" s="3">
        <v>10870</v>
      </c>
      <c r="H336" s="3">
        <v>6150</v>
      </c>
      <c r="I336" s="17">
        <v>0</v>
      </c>
      <c r="J336" s="17">
        <v>0</v>
      </c>
      <c r="K336" s="18">
        <f t="shared" si="5"/>
        <v>4720</v>
      </c>
      <c r="L336" s="19"/>
      <c r="M336" t="str">
        <f>VLOOKUP(A336,[1]Master!$C:$F,3,0)</f>
        <v>SVP / Finance &amp; Investment Office</v>
      </c>
      <c r="N336" t="str">
        <f>VLOOKUP(A336,[1]Master!$C:$F,4,0)</f>
        <v xml:space="preserve"> SVP / Finance &amp; Investment Office</v>
      </c>
    </row>
    <row r="337" spans="1:14" customFormat="1" ht="31.5" x14ac:dyDescent="0.35">
      <c r="A337" s="2">
        <v>8470720</v>
      </c>
      <c r="B337" s="2" t="s">
        <v>549</v>
      </c>
      <c r="C337" s="2" t="s">
        <v>25</v>
      </c>
      <c r="D337" s="2" t="s">
        <v>26</v>
      </c>
      <c r="E337" s="2" t="s">
        <v>550</v>
      </c>
      <c r="F337" s="3">
        <v>0</v>
      </c>
      <c r="G337" s="3">
        <v>-177900</v>
      </c>
      <c r="H337" s="3">
        <v>-177900.66</v>
      </c>
      <c r="I337" s="17">
        <v>0</v>
      </c>
      <c r="J337" s="17">
        <v>0</v>
      </c>
      <c r="K337" s="18">
        <f t="shared" si="5"/>
        <v>0.66000000000349246</v>
      </c>
      <c r="L337" s="19"/>
      <c r="M337" t="str">
        <f>VLOOKUP(A337,[1]Master!$C:$F,3,0)</f>
        <v>SVP/ Support Services Office</v>
      </c>
      <c r="N337" t="str">
        <f>VLOOKUP(A337,[1]Master!$C:$F,4,0)</f>
        <v>Procurement and Contracts</v>
      </c>
    </row>
    <row r="338" spans="1:14" customFormat="1" ht="31.5" x14ac:dyDescent="0.35">
      <c r="A338" s="2">
        <v>8470720</v>
      </c>
      <c r="B338" s="2" t="s">
        <v>549</v>
      </c>
      <c r="C338" s="2" t="s">
        <v>28</v>
      </c>
      <c r="D338" s="2" t="s">
        <v>29</v>
      </c>
      <c r="E338" s="2" t="s">
        <v>551</v>
      </c>
      <c r="F338" s="3">
        <v>2000</v>
      </c>
      <c r="G338" s="3">
        <v>24000</v>
      </c>
      <c r="H338" s="3">
        <v>12000</v>
      </c>
      <c r="I338" s="17">
        <v>0</v>
      </c>
      <c r="J338" s="17">
        <v>0</v>
      </c>
      <c r="K338" s="18">
        <f t="shared" si="5"/>
        <v>12000</v>
      </c>
      <c r="L338" s="19"/>
      <c r="M338" t="str">
        <f>VLOOKUP(A338,[1]Master!$C:$F,3,0)</f>
        <v>SVP/ Support Services Office</v>
      </c>
      <c r="N338" t="str">
        <f>VLOOKUP(A338,[1]Master!$C:$F,4,0)</f>
        <v>Procurement and Contracts</v>
      </c>
    </row>
    <row r="339" spans="1:14" customFormat="1" ht="31.5" x14ac:dyDescent="0.35">
      <c r="A339" s="2">
        <v>8470720</v>
      </c>
      <c r="B339" s="2" t="s">
        <v>549</v>
      </c>
      <c r="C339" s="2" t="s">
        <v>40</v>
      </c>
      <c r="D339" s="2" t="s">
        <v>41</v>
      </c>
      <c r="E339" s="2" t="s">
        <v>552</v>
      </c>
      <c r="F339" s="3">
        <v>0</v>
      </c>
      <c r="G339" s="3">
        <v>7300</v>
      </c>
      <c r="H339" s="3">
        <v>6271</v>
      </c>
      <c r="I339" s="17">
        <v>0</v>
      </c>
      <c r="J339" s="17">
        <v>0</v>
      </c>
      <c r="K339" s="18">
        <f t="shared" si="5"/>
        <v>1029</v>
      </c>
      <c r="L339" s="19"/>
      <c r="M339" t="str">
        <f>VLOOKUP(A339,[1]Master!$C:$F,3,0)</f>
        <v>SVP/ Support Services Office</v>
      </c>
      <c r="N339" t="str">
        <f>VLOOKUP(A339,[1]Master!$C:$F,4,0)</f>
        <v>Procurement and Contracts</v>
      </c>
    </row>
    <row r="340" spans="1:14" customFormat="1" ht="31.5" x14ac:dyDescent="0.35">
      <c r="A340" s="2">
        <v>8470720</v>
      </c>
      <c r="B340" s="2" t="s">
        <v>549</v>
      </c>
      <c r="C340" s="2" t="s">
        <v>491</v>
      </c>
      <c r="D340" s="2" t="s">
        <v>492</v>
      </c>
      <c r="E340" s="2" t="s">
        <v>553</v>
      </c>
      <c r="F340" s="3">
        <v>10000</v>
      </c>
      <c r="G340" s="3">
        <v>15000</v>
      </c>
      <c r="H340" s="3">
        <v>9933.27</v>
      </c>
      <c r="I340" s="17">
        <v>0</v>
      </c>
      <c r="J340" s="17">
        <v>0</v>
      </c>
      <c r="K340" s="18">
        <f t="shared" si="5"/>
        <v>5066.7299999999996</v>
      </c>
      <c r="L340" s="19"/>
      <c r="M340" t="str">
        <f>VLOOKUP(A340,[1]Master!$C:$F,3,0)</f>
        <v>SVP/ Support Services Office</v>
      </c>
      <c r="N340" t="str">
        <f>VLOOKUP(A340,[1]Master!$C:$F,4,0)</f>
        <v>Procurement and Contracts</v>
      </c>
    </row>
    <row r="341" spans="1:14" customFormat="1" ht="31.5" x14ac:dyDescent="0.35">
      <c r="A341" s="2">
        <v>8470720</v>
      </c>
      <c r="B341" s="2" t="s">
        <v>549</v>
      </c>
      <c r="C341" s="2" t="s">
        <v>424</v>
      </c>
      <c r="D341" s="2" t="s">
        <v>425</v>
      </c>
      <c r="E341" s="2" t="s">
        <v>554</v>
      </c>
      <c r="F341" s="3">
        <v>250000</v>
      </c>
      <c r="G341" s="3">
        <v>350000</v>
      </c>
      <c r="H341" s="3">
        <v>344310.99</v>
      </c>
      <c r="I341" s="17">
        <v>0</v>
      </c>
      <c r="J341" s="17">
        <v>0</v>
      </c>
      <c r="K341" s="18">
        <f t="shared" si="5"/>
        <v>5689.0100000000093</v>
      </c>
      <c r="L341" s="19"/>
      <c r="M341" t="str">
        <f>VLOOKUP(A341,[1]Master!$C:$F,3,0)</f>
        <v>SVP/ Support Services Office</v>
      </c>
      <c r="N341" t="str">
        <f>VLOOKUP(A341,[1]Master!$C:$F,4,0)</f>
        <v>Procurement and Contracts</v>
      </c>
    </row>
    <row r="342" spans="1:14" customFormat="1" ht="31.5" x14ac:dyDescent="0.35">
      <c r="A342" s="2">
        <v>8470720</v>
      </c>
      <c r="B342" s="2" t="s">
        <v>549</v>
      </c>
      <c r="C342" s="2" t="s">
        <v>464</v>
      </c>
      <c r="D342" s="2" t="s">
        <v>465</v>
      </c>
      <c r="E342" s="2" t="s">
        <v>555</v>
      </c>
      <c r="F342" s="3">
        <v>236400</v>
      </c>
      <c r="G342" s="3">
        <v>54400</v>
      </c>
      <c r="H342" s="3">
        <v>50950</v>
      </c>
      <c r="I342" s="17">
        <v>0</v>
      </c>
      <c r="J342" s="17">
        <v>0</v>
      </c>
      <c r="K342" s="18">
        <f t="shared" si="5"/>
        <v>3450</v>
      </c>
      <c r="L342" s="19"/>
      <c r="M342" t="str">
        <f>VLOOKUP(A342,[1]Master!$C:$F,3,0)</f>
        <v>SVP/ Support Services Office</v>
      </c>
      <c r="N342" t="str">
        <f>VLOOKUP(A342,[1]Master!$C:$F,4,0)</f>
        <v>Procurement and Contracts</v>
      </c>
    </row>
    <row r="343" spans="1:14" customFormat="1" ht="31.5" x14ac:dyDescent="0.35">
      <c r="A343" s="2">
        <v>8470720</v>
      </c>
      <c r="B343" s="2" t="s">
        <v>549</v>
      </c>
      <c r="C343" s="2" t="s">
        <v>479</v>
      </c>
      <c r="D343" s="2" t="s">
        <v>480</v>
      </c>
      <c r="E343" s="2" t="s">
        <v>556</v>
      </c>
      <c r="F343" s="3">
        <v>840000</v>
      </c>
      <c r="G343" s="3">
        <v>164310</v>
      </c>
      <c r="H343" s="3">
        <v>163337.9</v>
      </c>
      <c r="I343" s="17">
        <v>0</v>
      </c>
      <c r="J343" s="17">
        <v>450</v>
      </c>
      <c r="K343" s="18">
        <f t="shared" si="5"/>
        <v>522.10000000000582</v>
      </c>
      <c r="L343" s="19"/>
      <c r="M343" t="str">
        <f>VLOOKUP(A343,[1]Master!$C:$F,3,0)</f>
        <v>SVP/ Support Services Office</v>
      </c>
      <c r="N343" t="str">
        <f>VLOOKUP(A343,[1]Master!$C:$F,4,0)</f>
        <v>Procurement and Contracts</v>
      </c>
    </row>
    <row r="344" spans="1:14" customFormat="1" ht="31.5" x14ac:dyDescent="0.35">
      <c r="A344" s="2">
        <v>8470720</v>
      </c>
      <c r="B344" s="2" t="s">
        <v>549</v>
      </c>
      <c r="C344" s="2" t="s">
        <v>154</v>
      </c>
      <c r="D344" s="2" t="s">
        <v>155</v>
      </c>
      <c r="E344" s="2" t="s">
        <v>557</v>
      </c>
      <c r="F344" s="3">
        <v>50000</v>
      </c>
      <c r="G344" s="3">
        <v>12854</v>
      </c>
      <c r="H344" s="3">
        <v>12853.5</v>
      </c>
      <c r="I344" s="17">
        <v>0</v>
      </c>
      <c r="J344" s="17">
        <v>0</v>
      </c>
      <c r="K344" s="18">
        <f t="shared" si="5"/>
        <v>0.5</v>
      </c>
      <c r="L344" s="19"/>
      <c r="M344" t="str">
        <f>VLOOKUP(A344,[1]Master!$C:$F,3,0)</f>
        <v>SVP/ Support Services Office</v>
      </c>
      <c r="N344" t="str">
        <f>VLOOKUP(A344,[1]Master!$C:$F,4,0)</f>
        <v>Procurement and Contracts</v>
      </c>
    </row>
    <row r="345" spans="1:14" customFormat="1" ht="31.5" x14ac:dyDescent="0.35">
      <c r="A345" s="2">
        <v>8470720</v>
      </c>
      <c r="B345" s="2" t="s">
        <v>549</v>
      </c>
      <c r="C345" s="2" t="s">
        <v>545</v>
      </c>
      <c r="D345" s="2" t="s">
        <v>546</v>
      </c>
      <c r="E345" s="2" t="s">
        <v>558</v>
      </c>
      <c r="F345" s="3">
        <v>120000</v>
      </c>
      <c r="G345" s="3">
        <v>180000</v>
      </c>
      <c r="H345" s="3">
        <v>164281.29</v>
      </c>
      <c r="I345" s="17">
        <v>53.01</v>
      </c>
      <c r="J345" s="17">
        <v>0</v>
      </c>
      <c r="K345" s="18">
        <f t="shared" si="5"/>
        <v>15665.699999999992</v>
      </c>
      <c r="L345" s="19"/>
      <c r="M345" t="str">
        <f>VLOOKUP(A345,[1]Master!$C:$F,3,0)</f>
        <v>SVP/ Support Services Office</v>
      </c>
      <c r="N345" t="str">
        <f>VLOOKUP(A345,[1]Master!$C:$F,4,0)</f>
        <v>Procurement and Contracts</v>
      </c>
    </row>
    <row r="346" spans="1:14" customFormat="1" ht="21" x14ac:dyDescent="0.35">
      <c r="A346" s="2">
        <v>8470730</v>
      </c>
      <c r="B346" s="2" t="s">
        <v>560</v>
      </c>
      <c r="C346" s="2" t="s">
        <v>25</v>
      </c>
      <c r="D346" s="2" t="s">
        <v>26</v>
      </c>
      <c r="E346" s="2" t="s">
        <v>561</v>
      </c>
      <c r="F346" s="3">
        <v>300000</v>
      </c>
      <c r="G346" s="3">
        <v>55294</v>
      </c>
      <c r="H346" s="3">
        <v>55214.83</v>
      </c>
      <c r="I346" s="17">
        <v>0</v>
      </c>
      <c r="J346" s="17">
        <v>132578.07</v>
      </c>
      <c r="K346" s="18">
        <f t="shared" si="5"/>
        <v>-132498.90000000002</v>
      </c>
      <c r="L346" s="19"/>
      <c r="M346" t="str">
        <f>VLOOKUP(A346,[1]Master!$C:$F,3,0)</f>
        <v>SVP/ Support Services Office</v>
      </c>
      <c r="N346" t="str">
        <f>VLOOKUP(A346,[1]Master!$C:$F,4,0)</f>
        <v>Human Resources</v>
      </c>
    </row>
    <row r="347" spans="1:14" customFormat="1" ht="31.5" x14ac:dyDescent="0.35">
      <c r="A347" s="2">
        <v>8470730</v>
      </c>
      <c r="B347" s="2" t="s">
        <v>560</v>
      </c>
      <c r="C347" s="2" t="s">
        <v>31</v>
      </c>
      <c r="D347" s="2" t="s">
        <v>32</v>
      </c>
      <c r="E347" s="2" t="s">
        <v>562</v>
      </c>
      <c r="F347" s="3">
        <v>50000</v>
      </c>
      <c r="G347" s="3">
        <v>13191</v>
      </c>
      <c r="H347" s="3">
        <v>13190</v>
      </c>
      <c r="I347" s="17">
        <v>0</v>
      </c>
      <c r="J347" s="17">
        <v>0</v>
      </c>
      <c r="K347" s="18">
        <f t="shared" si="5"/>
        <v>1</v>
      </c>
      <c r="L347" s="19"/>
      <c r="M347" t="str">
        <f>VLOOKUP(A347,[1]Master!$C:$F,3,0)</f>
        <v>SVP/ Support Services Office</v>
      </c>
      <c r="N347" t="str">
        <f>VLOOKUP(A347,[1]Master!$C:$F,4,0)</f>
        <v>Human Resources</v>
      </c>
    </row>
    <row r="348" spans="1:14" customFormat="1" ht="21" x14ac:dyDescent="0.35">
      <c r="A348" s="2">
        <v>8470730</v>
      </c>
      <c r="B348" s="2" t="s">
        <v>560</v>
      </c>
      <c r="C348" s="2" t="s">
        <v>37</v>
      </c>
      <c r="D348" s="2" t="s">
        <v>38</v>
      </c>
      <c r="E348" s="2" t="s">
        <v>563</v>
      </c>
      <c r="F348" s="3">
        <v>250000</v>
      </c>
      <c r="G348" s="3">
        <v>18291</v>
      </c>
      <c r="H348" s="3">
        <v>11150</v>
      </c>
      <c r="I348" s="17">
        <v>0</v>
      </c>
      <c r="J348" s="17">
        <v>7140</v>
      </c>
      <c r="K348" s="18">
        <f t="shared" si="5"/>
        <v>1</v>
      </c>
      <c r="L348" s="19"/>
      <c r="M348" t="str">
        <f>VLOOKUP(A348,[1]Master!$C:$F,3,0)</f>
        <v>SVP/ Support Services Office</v>
      </c>
      <c r="N348" t="str">
        <f>VLOOKUP(A348,[1]Master!$C:$F,4,0)</f>
        <v>Human Resources</v>
      </c>
    </row>
    <row r="349" spans="1:14" customFormat="1" ht="21" x14ac:dyDescent="0.35">
      <c r="A349" s="2">
        <v>8470730</v>
      </c>
      <c r="B349" s="2" t="s">
        <v>560</v>
      </c>
      <c r="C349" s="2" t="s">
        <v>40</v>
      </c>
      <c r="D349" s="2" t="s">
        <v>41</v>
      </c>
      <c r="E349" s="2" t="s">
        <v>564</v>
      </c>
      <c r="F349" s="3">
        <v>600000</v>
      </c>
      <c r="G349" s="3">
        <v>183287</v>
      </c>
      <c r="H349" s="3">
        <v>165285</v>
      </c>
      <c r="I349" s="17">
        <v>0</v>
      </c>
      <c r="J349" s="17">
        <v>18000</v>
      </c>
      <c r="K349" s="18">
        <f t="shared" si="5"/>
        <v>2</v>
      </c>
      <c r="L349" s="19"/>
      <c r="M349" t="str">
        <f>VLOOKUP(A349,[1]Master!$C:$F,3,0)</f>
        <v>SVP/ Support Services Office</v>
      </c>
      <c r="N349" t="str">
        <f>VLOOKUP(A349,[1]Master!$C:$F,4,0)</f>
        <v>Human Resources</v>
      </c>
    </row>
    <row r="350" spans="1:14" customFormat="1" ht="21" x14ac:dyDescent="0.35">
      <c r="A350" s="2">
        <v>8470730</v>
      </c>
      <c r="B350" s="2" t="s">
        <v>560</v>
      </c>
      <c r="C350" s="2" t="s">
        <v>565</v>
      </c>
      <c r="D350" s="2" t="s">
        <v>566</v>
      </c>
      <c r="E350" s="2" t="s">
        <v>567</v>
      </c>
      <c r="F350" s="3">
        <v>10000</v>
      </c>
      <c r="G350" s="3">
        <v>1</v>
      </c>
      <c r="H350" s="4"/>
      <c r="I350" s="17">
        <v>0</v>
      </c>
      <c r="J350" s="17">
        <v>0</v>
      </c>
      <c r="K350" s="18">
        <f t="shared" si="5"/>
        <v>1</v>
      </c>
      <c r="L350" s="19"/>
      <c r="M350" t="str">
        <f>VLOOKUP(A350,[1]Master!$C:$F,3,0)</f>
        <v>SVP/ Support Services Office</v>
      </c>
      <c r="N350" t="str">
        <f>VLOOKUP(A350,[1]Master!$C:$F,4,0)</f>
        <v>Human Resources</v>
      </c>
    </row>
    <row r="351" spans="1:14" customFormat="1" ht="21" x14ac:dyDescent="0.35">
      <c r="A351" s="2">
        <v>8470730</v>
      </c>
      <c r="B351" s="2" t="s">
        <v>560</v>
      </c>
      <c r="C351" s="2" t="s">
        <v>43</v>
      </c>
      <c r="D351" s="2" t="s">
        <v>44</v>
      </c>
      <c r="E351" s="2" t="s">
        <v>568</v>
      </c>
      <c r="F351" s="3">
        <v>0</v>
      </c>
      <c r="G351" s="3">
        <v>35100</v>
      </c>
      <c r="H351" s="3">
        <v>35080</v>
      </c>
      <c r="I351" s="17">
        <v>0</v>
      </c>
      <c r="J351" s="17">
        <v>0</v>
      </c>
      <c r="K351" s="18">
        <f t="shared" si="5"/>
        <v>20</v>
      </c>
      <c r="L351" s="19"/>
      <c r="M351" t="str">
        <f>VLOOKUP(A351,[1]Master!$C:$F,3,0)</f>
        <v>SVP/ Support Services Office</v>
      </c>
      <c r="N351" t="str">
        <f>VLOOKUP(A351,[1]Master!$C:$F,4,0)</f>
        <v>Human Resources</v>
      </c>
    </row>
    <row r="352" spans="1:14" customFormat="1" ht="21" x14ac:dyDescent="0.35">
      <c r="A352" s="2">
        <v>8470730</v>
      </c>
      <c r="B352" s="2" t="s">
        <v>560</v>
      </c>
      <c r="C352" s="2" t="s">
        <v>49</v>
      </c>
      <c r="D352" s="2" t="s">
        <v>50</v>
      </c>
      <c r="E352" s="2" t="s">
        <v>569</v>
      </c>
      <c r="F352" s="3">
        <v>250000</v>
      </c>
      <c r="G352" s="3">
        <v>205861</v>
      </c>
      <c r="H352" s="3">
        <v>61947.6</v>
      </c>
      <c r="I352" s="17">
        <v>0</v>
      </c>
      <c r="J352" s="17">
        <v>143100</v>
      </c>
      <c r="K352" s="18">
        <f t="shared" si="5"/>
        <v>813.39999999999418</v>
      </c>
      <c r="L352" s="19"/>
      <c r="M352" t="str">
        <f>VLOOKUP(A352,[1]Master!$C:$F,3,0)</f>
        <v>SVP/ Support Services Office</v>
      </c>
      <c r="N352" t="str">
        <f>VLOOKUP(A352,[1]Master!$C:$F,4,0)</f>
        <v>Human Resources</v>
      </c>
    </row>
    <row r="353" spans="1:14" customFormat="1" ht="21" x14ac:dyDescent="0.35">
      <c r="A353" s="2">
        <v>8470730</v>
      </c>
      <c r="B353" s="2" t="s">
        <v>560</v>
      </c>
      <c r="C353" s="2" t="s">
        <v>154</v>
      </c>
      <c r="D353" s="2" t="s">
        <v>155</v>
      </c>
      <c r="E353" s="2" t="s">
        <v>570</v>
      </c>
      <c r="F353" s="3">
        <v>50000</v>
      </c>
      <c r="G353" s="3">
        <v>51946</v>
      </c>
      <c r="H353" s="3">
        <v>17470</v>
      </c>
      <c r="I353" s="17">
        <v>0</v>
      </c>
      <c r="J353" s="17">
        <v>34475</v>
      </c>
      <c r="K353" s="18">
        <f t="shared" si="5"/>
        <v>1</v>
      </c>
      <c r="L353" s="19"/>
      <c r="M353" t="str">
        <f>VLOOKUP(A353,[1]Master!$C:$F,3,0)</f>
        <v>SVP/ Support Services Office</v>
      </c>
      <c r="N353" t="str">
        <f>VLOOKUP(A353,[1]Master!$C:$F,4,0)</f>
        <v>Human Resources</v>
      </c>
    </row>
    <row r="354" spans="1:14" customFormat="1" ht="21" x14ac:dyDescent="0.35">
      <c r="A354" s="2">
        <v>8470810</v>
      </c>
      <c r="B354" s="2" t="s">
        <v>572</v>
      </c>
      <c r="C354" s="2" t="s">
        <v>573</v>
      </c>
      <c r="D354" s="2" t="s">
        <v>574</v>
      </c>
      <c r="E354" s="2" t="s">
        <v>575</v>
      </c>
      <c r="F354" s="3">
        <v>10351793</v>
      </c>
      <c r="G354" s="3">
        <v>0</v>
      </c>
      <c r="H354" s="4"/>
      <c r="I354" s="17">
        <v>0</v>
      </c>
      <c r="J354" s="17">
        <v>0</v>
      </c>
      <c r="K354" s="18">
        <f t="shared" si="5"/>
        <v>0</v>
      </c>
      <c r="L354" s="19"/>
      <c r="M354" t="str">
        <f>VLOOKUP(A354,[1]Master!$C:$F,3,0)</f>
        <v>SVP/ Support Services Office</v>
      </c>
      <c r="N354" t="str">
        <f>VLOOKUP(A354,[1]Master!$C:$F,4,0)</f>
        <v>Information Technology/ANKABUT</v>
      </c>
    </row>
    <row r="355" spans="1:14" customFormat="1" ht="21" x14ac:dyDescent="0.35">
      <c r="A355" s="2">
        <v>8470810</v>
      </c>
      <c r="B355" s="2" t="s">
        <v>572</v>
      </c>
      <c r="C355" s="2" t="s">
        <v>576</v>
      </c>
      <c r="D355" s="2" t="s">
        <v>577</v>
      </c>
      <c r="E355" s="2" t="s">
        <v>578</v>
      </c>
      <c r="F355" s="3">
        <v>0</v>
      </c>
      <c r="G355" s="3">
        <v>17610696</v>
      </c>
      <c r="H355" s="3">
        <v>17388539.73</v>
      </c>
      <c r="I355" s="17">
        <v>0</v>
      </c>
      <c r="J355" s="17">
        <v>0</v>
      </c>
      <c r="K355" s="18">
        <f t="shared" si="5"/>
        <v>222156.26999999955</v>
      </c>
      <c r="L355" s="19"/>
      <c r="M355" t="str">
        <f>VLOOKUP(A355,[1]Master!$C:$F,3,0)</f>
        <v>SVP/ Support Services Office</v>
      </c>
      <c r="N355" t="str">
        <f>VLOOKUP(A355,[1]Master!$C:$F,4,0)</f>
        <v>Information Technology/ANKABUT</v>
      </c>
    </row>
    <row r="356" spans="1:14" customFormat="1" ht="21" x14ac:dyDescent="0.35">
      <c r="A356" s="2">
        <v>8470810</v>
      </c>
      <c r="B356" s="2" t="s">
        <v>572</v>
      </c>
      <c r="C356" s="2" t="s">
        <v>437</v>
      </c>
      <c r="D356" s="2" t="s">
        <v>438</v>
      </c>
      <c r="E356" s="2" t="s">
        <v>579</v>
      </c>
      <c r="F356" s="3">
        <v>7465192</v>
      </c>
      <c r="G356" s="3">
        <v>373662</v>
      </c>
      <c r="H356" s="3">
        <v>644.72000000000105</v>
      </c>
      <c r="I356" s="17">
        <v>0</v>
      </c>
      <c r="J356" s="17">
        <v>563543.22</v>
      </c>
      <c r="K356" s="18">
        <f t="shared" si="5"/>
        <v>-190525.93999999994</v>
      </c>
      <c r="L356" s="19"/>
      <c r="M356" t="str">
        <f>VLOOKUP(A356,[1]Master!$C:$F,3,0)</f>
        <v>SVP/ Support Services Office</v>
      </c>
      <c r="N356" t="str">
        <f>VLOOKUP(A356,[1]Master!$C:$F,4,0)</f>
        <v>Information Technology/ANKABUT</v>
      </c>
    </row>
    <row r="357" spans="1:14" customFormat="1" ht="21" x14ac:dyDescent="0.35">
      <c r="A357" s="2">
        <v>8470810</v>
      </c>
      <c r="B357" s="2" t="s">
        <v>572</v>
      </c>
      <c r="C357" s="2" t="s">
        <v>40</v>
      </c>
      <c r="D357" s="2" t="s">
        <v>41</v>
      </c>
      <c r="E357" s="2" t="s">
        <v>580</v>
      </c>
      <c r="F357" s="3">
        <v>8612571</v>
      </c>
      <c r="G357" s="3">
        <v>7040922</v>
      </c>
      <c r="H357" s="3">
        <v>6828663.6799999997</v>
      </c>
      <c r="I357" s="17">
        <v>81250.09</v>
      </c>
      <c r="J357" s="17">
        <v>0</v>
      </c>
      <c r="K357" s="18">
        <f t="shared" si="5"/>
        <v>131008.2300000003</v>
      </c>
      <c r="L357" s="19"/>
      <c r="M357" t="str">
        <f>VLOOKUP(A357,[1]Master!$C:$F,3,0)</f>
        <v>SVP/ Support Services Office</v>
      </c>
      <c r="N357" t="str">
        <f>VLOOKUP(A357,[1]Master!$C:$F,4,0)</f>
        <v>Information Technology/ANKABUT</v>
      </c>
    </row>
    <row r="358" spans="1:14" customFormat="1" ht="31.5" x14ac:dyDescent="0.35">
      <c r="A358" s="2">
        <v>8470810</v>
      </c>
      <c r="B358" s="2" t="s">
        <v>572</v>
      </c>
      <c r="C358" s="2" t="s">
        <v>581</v>
      </c>
      <c r="D358" s="2" t="s">
        <v>582</v>
      </c>
      <c r="E358" s="2" t="s">
        <v>583</v>
      </c>
      <c r="F358" s="3">
        <v>800000</v>
      </c>
      <c r="G358" s="3">
        <v>2640814</v>
      </c>
      <c r="H358" s="3">
        <v>2617509.5099999998</v>
      </c>
      <c r="I358" s="17">
        <v>0</v>
      </c>
      <c r="J358" s="17">
        <v>0</v>
      </c>
      <c r="K358" s="18">
        <f t="shared" si="5"/>
        <v>23304.490000000224</v>
      </c>
      <c r="L358" s="19"/>
      <c r="M358" t="str">
        <f>VLOOKUP(A358,[1]Master!$C:$F,3,0)</f>
        <v>SVP/ Support Services Office</v>
      </c>
      <c r="N358" t="str">
        <f>VLOOKUP(A358,[1]Master!$C:$F,4,0)</f>
        <v>Information Technology/ANKABUT</v>
      </c>
    </row>
    <row r="359" spans="1:14" customFormat="1" ht="21" x14ac:dyDescent="0.35">
      <c r="A359" s="2">
        <v>8470810</v>
      </c>
      <c r="B359" s="2" t="s">
        <v>572</v>
      </c>
      <c r="C359" s="2" t="s">
        <v>584</v>
      </c>
      <c r="D359" s="2" t="s">
        <v>585</v>
      </c>
      <c r="E359" s="2" t="s">
        <v>586</v>
      </c>
      <c r="F359" s="3">
        <v>2618028</v>
      </c>
      <c r="G359" s="3">
        <v>2078615</v>
      </c>
      <c r="H359" s="3">
        <v>2078611.37</v>
      </c>
      <c r="I359" s="17">
        <v>0</v>
      </c>
      <c r="J359" s="17">
        <v>0</v>
      </c>
      <c r="K359" s="18">
        <f t="shared" si="5"/>
        <v>3.6299999998882413</v>
      </c>
      <c r="L359" s="19"/>
      <c r="M359" t="str">
        <f>VLOOKUP(A359,[1]Master!$C:$F,3,0)</f>
        <v>SVP/ Support Services Office</v>
      </c>
      <c r="N359" t="str">
        <f>VLOOKUP(A359,[1]Master!$C:$F,4,0)</f>
        <v>Information Technology/ANKABUT</v>
      </c>
    </row>
    <row r="360" spans="1:14" customFormat="1" ht="21" x14ac:dyDescent="0.35">
      <c r="A360" s="2">
        <v>8470810</v>
      </c>
      <c r="B360" s="2" t="s">
        <v>572</v>
      </c>
      <c r="C360" s="2" t="s">
        <v>43</v>
      </c>
      <c r="D360" s="2" t="s">
        <v>44</v>
      </c>
      <c r="E360" s="2" t="s">
        <v>587</v>
      </c>
      <c r="F360" s="3">
        <v>11500</v>
      </c>
      <c r="G360" s="3">
        <v>4401</v>
      </c>
      <c r="H360" s="3">
        <v>4400</v>
      </c>
      <c r="I360" s="17">
        <v>0</v>
      </c>
      <c r="J360" s="17">
        <v>0</v>
      </c>
      <c r="K360" s="18">
        <f t="shared" si="5"/>
        <v>1</v>
      </c>
      <c r="L360" s="19"/>
      <c r="M360" t="str">
        <f>VLOOKUP(A360,[1]Master!$C:$F,3,0)</f>
        <v>SVP/ Support Services Office</v>
      </c>
      <c r="N360" t="str">
        <f>VLOOKUP(A360,[1]Master!$C:$F,4,0)</f>
        <v>Information Technology/ANKABUT</v>
      </c>
    </row>
    <row r="361" spans="1:14" customFormat="1" ht="21" x14ac:dyDescent="0.35">
      <c r="A361" s="2">
        <v>8470810</v>
      </c>
      <c r="B361" s="2" t="s">
        <v>572</v>
      </c>
      <c r="C361" s="2" t="s">
        <v>510</v>
      </c>
      <c r="D361" s="2" t="s">
        <v>511</v>
      </c>
      <c r="E361" s="2" t="s">
        <v>588</v>
      </c>
      <c r="F361" s="3">
        <v>1021317</v>
      </c>
      <c r="G361" s="3">
        <v>0</v>
      </c>
      <c r="H361" s="4"/>
      <c r="I361" s="17">
        <v>0</v>
      </c>
      <c r="J361" s="17">
        <v>0</v>
      </c>
      <c r="K361" s="18">
        <f t="shared" si="5"/>
        <v>0</v>
      </c>
      <c r="L361" s="19"/>
      <c r="M361" t="str">
        <f>VLOOKUP(A361,[1]Master!$C:$F,3,0)</f>
        <v>SVP/ Support Services Office</v>
      </c>
      <c r="N361" t="str">
        <f>VLOOKUP(A361,[1]Master!$C:$F,4,0)</f>
        <v>Information Technology/ANKABUT</v>
      </c>
    </row>
    <row r="362" spans="1:14" customFormat="1" ht="31.5" x14ac:dyDescent="0.35">
      <c r="A362" s="2">
        <v>8470810</v>
      </c>
      <c r="B362" s="2" t="s">
        <v>572</v>
      </c>
      <c r="C362" s="2" t="s">
        <v>589</v>
      </c>
      <c r="D362" s="2" t="s">
        <v>590</v>
      </c>
      <c r="E362" s="2" t="s">
        <v>591</v>
      </c>
      <c r="F362" s="3">
        <v>0</v>
      </c>
      <c r="G362" s="3">
        <v>1022000</v>
      </c>
      <c r="H362" s="3">
        <v>754866.67</v>
      </c>
      <c r="I362" s="17">
        <v>0</v>
      </c>
      <c r="J362" s="17">
        <v>265899.09999999998</v>
      </c>
      <c r="K362" s="18">
        <f t="shared" si="5"/>
        <v>1234.2299999999814</v>
      </c>
      <c r="L362" s="19"/>
      <c r="M362" t="str">
        <f>VLOOKUP(A362,[1]Master!$C:$F,3,0)</f>
        <v>SVP/ Support Services Office</v>
      </c>
      <c r="N362" t="str">
        <f>VLOOKUP(A362,[1]Master!$C:$F,4,0)</f>
        <v>Information Technology/ANKABUT</v>
      </c>
    </row>
    <row r="363" spans="1:14" customFormat="1" ht="42" x14ac:dyDescent="0.35">
      <c r="A363" s="2">
        <v>8470810</v>
      </c>
      <c r="B363" s="2" t="s">
        <v>572</v>
      </c>
      <c r="C363" s="2" t="s">
        <v>123</v>
      </c>
      <c r="D363" s="2" t="s">
        <v>124</v>
      </c>
      <c r="E363" s="2" t="s">
        <v>592</v>
      </c>
      <c r="F363" s="3">
        <v>1475000</v>
      </c>
      <c r="G363" s="3">
        <v>1455435</v>
      </c>
      <c r="H363" s="3">
        <v>1454955.95</v>
      </c>
      <c r="I363" s="17">
        <v>0</v>
      </c>
      <c r="J363" s="17">
        <v>1.99999999934516</v>
      </c>
      <c r="K363" s="18">
        <f t="shared" si="5"/>
        <v>477.0500000007014</v>
      </c>
      <c r="L363" s="19"/>
      <c r="M363" t="str">
        <f>VLOOKUP(A363,[1]Master!$C:$F,3,0)</f>
        <v>SVP/ Support Services Office</v>
      </c>
      <c r="N363" t="str">
        <f>VLOOKUP(A363,[1]Master!$C:$F,4,0)</f>
        <v>Information Technology/ANKABUT</v>
      </c>
    </row>
    <row r="364" spans="1:14" customFormat="1" ht="21" x14ac:dyDescent="0.35">
      <c r="A364" s="2">
        <v>8470810</v>
      </c>
      <c r="B364" s="2" t="s">
        <v>572</v>
      </c>
      <c r="C364" s="2" t="s">
        <v>593</v>
      </c>
      <c r="D364" s="2" t="s">
        <v>594</v>
      </c>
      <c r="E364" s="2" t="s">
        <v>595</v>
      </c>
      <c r="F364" s="3">
        <v>0</v>
      </c>
      <c r="G364" s="3">
        <v>364500</v>
      </c>
      <c r="H364" s="3">
        <v>362741.93</v>
      </c>
      <c r="I364" s="17">
        <v>0</v>
      </c>
      <c r="J364" s="17">
        <v>0</v>
      </c>
      <c r="K364" s="18">
        <f t="shared" si="5"/>
        <v>1758.070000000007</v>
      </c>
      <c r="L364" s="19"/>
      <c r="M364" t="str">
        <f>VLOOKUP(A364,[1]Master!$C:$F,3,0)</f>
        <v>SVP/ Support Services Office</v>
      </c>
      <c r="N364" t="str">
        <f>VLOOKUP(A364,[1]Master!$C:$F,4,0)</f>
        <v>Information Technology/ANKABUT</v>
      </c>
    </row>
    <row r="365" spans="1:14" customFormat="1" ht="21" x14ac:dyDescent="0.35">
      <c r="A365" s="2">
        <v>8470810</v>
      </c>
      <c r="B365" s="2" t="s">
        <v>572</v>
      </c>
      <c r="C365" s="2" t="s">
        <v>154</v>
      </c>
      <c r="D365" s="2" t="s">
        <v>155</v>
      </c>
      <c r="E365" s="2" t="s">
        <v>596</v>
      </c>
      <c r="F365" s="3">
        <v>360000</v>
      </c>
      <c r="G365" s="3">
        <v>0</v>
      </c>
      <c r="H365" s="4"/>
      <c r="I365" s="17">
        <v>0</v>
      </c>
      <c r="J365" s="17">
        <v>0</v>
      </c>
      <c r="K365" s="18">
        <f t="shared" si="5"/>
        <v>0</v>
      </c>
      <c r="L365" s="19"/>
      <c r="M365" t="str">
        <f>VLOOKUP(A365,[1]Master!$C:$F,3,0)</f>
        <v>SVP/ Support Services Office</v>
      </c>
      <c r="N365" t="str">
        <f>VLOOKUP(A365,[1]Master!$C:$F,4,0)</f>
        <v>Information Technology/ANKABUT</v>
      </c>
    </row>
    <row r="366" spans="1:14" ht="36" x14ac:dyDescent="0.3">
      <c r="A366" s="47">
        <v>8471010</v>
      </c>
      <c r="B366" s="47" t="s">
        <v>598</v>
      </c>
      <c r="C366" s="47" t="s">
        <v>67</v>
      </c>
      <c r="D366" s="47" t="s">
        <v>68</v>
      </c>
      <c r="E366" s="47" t="s">
        <v>599</v>
      </c>
      <c r="F366" s="48">
        <v>107500</v>
      </c>
      <c r="G366" s="48">
        <v>107500</v>
      </c>
      <c r="H366" s="48">
        <v>105000</v>
      </c>
      <c r="I366" s="49">
        <v>0</v>
      </c>
      <c r="J366" s="49">
        <v>0</v>
      </c>
      <c r="K366" s="50">
        <f t="shared" si="5"/>
        <v>2500</v>
      </c>
      <c r="L366" s="51"/>
      <c r="M366" s="63" t="str">
        <f>VLOOKUP(A366,[1]Master!$C:$F,3,0)</f>
        <v>Academic and Student Services Office</v>
      </c>
      <c r="N366" s="42" t="str">
        <f>VLOOKUP(A366,[1]Master!$C:$F,4,0)</f>
        <v>Academic and Student Services Office</v>
      </c>
    </row>
    <row r="367" spans="1:14" ht="36" x14ac:dyDescent="0.3">
      <c r="A367" s="47">
        <v>8471010</v>
      </c>
      <c r="B367" s="47" t="s">
        <v>598</v>
      </c>
      <c r="C367" s="47" t="s">
        <v>31</v>
      </c>
      <c r="D367" s="47" t="s">
        <v>32</v>
      </c>
      <c r="E367" s="47" t="s">
        <v>600</v>
      </c>
      <c r="F367" s="48">
        <v>100000</v>
      </c>
      <c r="G367" s="48">
        <v>37700</v>
      </c>
      <c r="H367" s="48">
        <v>5876.8</v>
      </c>
      <c r="I367" s="49">
        <v>0</v>
      </c>
      <c r="J367" s="49">
        <v>0</v>
      </c>
      <c r="K367" s="50">
        <f t="shared" si="5"/>
        <v>31823.200000000001</v>
      </c>
      <c r="L367" s="51"/>
      <c r="M367" s="63" t="str">
        <f>VLOOKUP(A367,[1]Master!$C:$F,3,0)</f>
        <v>Academic and Student Services Office</v>
      </c>
      <c r="N367" s="42" t="str">
        <f>VLOOKUP(A367,[1]Master!$C:$F,4,0)</f>
        <v>Academic and Student Services Office</v>
      </c>
    </row>
    <row r="368" spans="1:14" ht="36" x14ac:dyDescent="0.3">
      <c r="A368" s="47">
        <v>8471010</v>
      </c>
      <c r="B368" s="47" t="s">
        <v>598</v>
      </c>
      <c r="C368" s="47" t="s">
        <v>34</v>
      </c>
      <c r="D368" s="47" t="s">
        <v>35</v>
      </c>
      <c r="E368" s="47" t="s">
        <v>601</v>
      </c>
      <c r="F368" s="48">
        <v>0</v>
      </c>
      <c r="G368" s="48">
        <v>6000</v>
      </c>
      <c r="H368" s="52"/>
      <c r="I368" s="49">
        <v>0</v>
      </c>
      <c r="J368" s="49">
        <v>0</v>
      </c>
      <c r="K368" s="50">
        <f t="shared" si="5"/>
        <v>6000</v>
      </c>
      <c r="L368" s="51"/>
      <c r="M368" s="63" t="str">
        <f>VLOOKUP(A368,[1]Master!$C:$F,3,0)</f>
        <v>Academic and Student Services Office</v>
      </c>
      <c r="N368" s="42" t="str">
        <f>VLOOKUP(A368,[1]Master!$C:$F,4,0)</f>
        <v>Academic and Student Services Office</v>
      </c>
    </row>
    <row r="369" spans="1:14" ht="36" x14ac:dyDescent="0.3">
      <c r="A369" s="47">
        <v>8471010</v>
      </c>
      <c r="B369" s="47" t="s">
        <v>598</v>
      </c>
      <c r="C369" s="47" t="s">
        <v>274</v>
      </c>
      <c r="D369" s="47" t="s">
        <v>275</v>
      </c>
      <c r="E369" s="47" t="s">
        <v>602</v>
      </c>
      <c r="F369" s="48">
        <v>76120</v>
      </c>
      <c r="G369" s="48">
        <v>96120</v>
      </c>
      <c r="H369" s="48">
        <v>88576</v>
      </c>
      <c r="I369" s="49">
        <v>0</v>
      </c>
      <c r="J369" s="49">
        <v>0</v>
      </c>
      <c r="K369" s="50">
        <f t="shared" si="5"/>
        <v>7544</v>
      </c>
      <c r="L369" s="51"/>
      <c r="M369" s="63" t="str">
        <f>VLOOKUP(A369,[1]Master!$C:$F,3,0)</f>
        <v>Academic and Student Services Office</v>
      </c>
      <c r="N369" s="42" t="str">
        <f>VLOOKUP(A369,[1]Master!$C:$F,4,0)</f>
        <v>Academic and Student Services Office</v>
      </c>
    </row>
    <row r="370" spans="1:14" ht="36" x14ac:dyDescent="0.3">
      <c r="A370" s="47">
        <v>8471010</v>
      </c>
      <c r="B370" s="47" t="s">
        <v>598</v>
      </c>
      <c r="C370" s="47" t="s">
        <v>37</v>
      </c>
      <c r="D370" s="47" t="s">
        <v>38</v>
      </c>
      <c r="E370" s="47" t="s">
        <v>603</v>
      </c>
      <c r="F370" s="48">
        <v>162500</v>
      </c>
      <c r="G370" s="48">
        <v>22891</v>
      </c>
      <c r="H370" s="48">
        <v>16590</v>
      </c>
      <c r="I370" s="49">
        <v>0</v>
      </c>
      <c r="J370" s="49">
        <v>0</v>
      </c>
      <c r="K370" s="50">
        <f t="shared" si="5"/>
        <v>6301</v>
      </c>
      <c r="L370" s="51"/>
      <c r="M370" s="63" t="str">
        <f>VLOOKUP(A370,[1]Master!$C:$F,3,0)</f>
        <v>Academic and Student Services Office</v>
      </c>
      <c r="N370" s="42" t="str">
        <f>VLOOKUP(A370,[1]Master!$C:$F,4,0)</f>
        <v>Academic and Student Services Office</v>
      </c>
    </row>
    <row r="371" spans="1:14" ht="36" x14ac:dyDescent="0.3">
      <c r="A371" s="47">
        <v>8471010</v>
      </c>
      <c r="B371" s="47" t="s">
        <v>598</v>
      </c>
      <c r="C371" s="47" t="s">
        <v>154</v>
      </c>
      <c r="D371" s="47" t="s">
        <v>155</v>
      </c>
      <c r="E371" s="47" t="s">
        <v>604</v>
      </c>
      <c r="F371" s="48">
        <v>50625</v>
      </c>
      <c r="G371" s="48">
        <v>7625</v>
      </c>
      <c r="H371" s="48">
        <v>7081.52</v>
      </c>
      <c r="I371" s="49">
        <v>0</v>
      </c>
      <c r="J371" s="49">
        <v>0</v>
      </c>
      <c r="K371" s="50">
        <f t="shared" si="5"/>
        <v>543.47999999999956</v>
      </c>
      <c r="L371" s="51"/>
      <c r="M371" s="63" t="str">
        <f>VLOOKUP(A371,[1]Master!$C:$F,3,0)</f>
        <v>Academic and Student Services Office</v>
      </c>
      <c r="N371" s="42" t="str">
        <f>VLOOKUP(A371,[1]Master!$C:$F,4,0)</f>
        <v>Academic and Student Services Office</v>
      </c>
    </row>
    <row r="372" spans="1:14" ht="36" x14ac:dyDescent="0.3">
      <c r="A372" s="47">
        <v>8471010</v>
      </c>
      <c r="B372" s="47" t="s">
        <v>598</v>
      </c>
      <c r="C372" s="47" t="s">
        <v>545</v>
      </c>
      <c r="D372" s="47" t="s">
        <v>546</v>
      </c>
      <c r="E372" s="47" t="s">
        <v>605</v>
      </c>
      <c r="F372" s="48">
        <v>5625</v>
      </c>
      <c r="G372" s="48">
        <v>5625</v>
      </c>
      <c r="H372" s="52"/>
      <c r="I372" s="49">
        <v>0</v>
      </c>
      <c r="J372" s="49">
        <v>0</v>
      </c>
      <c r="K372" s="50">
        <f t="shared" si="5"/>
        <v>5625</v>
      </c>
      <c r="L372" s="51"/>
      <c r="M372" s="63" t="str">
        <f>VLOOKUP(A372,[1]Master!$C:$F,3,0)</f>
        <v>Academic and Student Services Office</v>
      </c>
      <c r="N372" s="42" t="str">
        <f>VLOOKUP(A372,[1]Master!$C:$F,4,0)</f>
        <v>Academic and Student Services Office</v>
      </c>
    </row>
    <row r="373" spans="1:14" customFormat="1" ht="48" x14ac:dyDescent="0.35">
      <c r="A373" s="47">
        <v>8471110</v>
      </c>
      <c r="B373" s="47" t="s">
        <v>607</v>
      </c>
      <c r="C373" s="47" t="s">
        <v>37</v>
      </c>
      <c r="D373" s="47" t="s">
        <v>38</v>
      </c>
      <c r="E373" s="47" t="s">
        <v>608</v>
      </c>
      <c r="F373" s="48">
        <v>30000</v>
      </c>
      <c r="G373" s="48">
        <v>3046</v>
      </c>
      <c r="H373" s="48">
        <v>3045</v>
      </c>
      <c r="I373" s="49">
        <v>0</v>
      </c>
      <c r="J373" s="49">
        <v>0</v>
      </c>
      <c r="K373" s="50">
        <f t="shared" si="5"/>
        <v>1</v>
      </c>
      <c r="L373" s="51"/>
      <c r="M373" s="57" t="str">
        <f>VLOOKUP(A373,[1]Master!$C:$F,3,0)</f>
        <v>Senior Vice President, Research Office</v>
      </c>
      <c r="N373" s="42" t="str">
        <f>VLOOKUP(A373,[1]Master!$C:$F,4,0)</f>
        <v>Senior Vice President, Research Office</v>
      </c>
    </row>
    <row r="374" spans="1:14" customFormat="1" ht="48" x14ac:dyDescent="0.35">
      <c r="A374" s="47">
        <v>8471110</v>
      </c>
      <c r="B374" s="47" t="s">
        <v>607</v>
      </c>
      <c r="C374" s="47" t="s">
        <v>61</v>
      </c>
      <c r="D374" s="47" t="s">
        <v>62</v>
      </c>
      <c r="E374" s="47" t="s">
        <v>609</v>
      </c>
      <c r="F374" s="48">
        <v>428951</v>
      </c>
      <c r="G374" s="48">
        <v>30730</v>
      </c>
      <c r="H374" s="48">
        <v>30706.28</v>
      </c>
      <c r="I374" s="49">
        <v>0</v>
      </c>
      <c r="J374" s="49">
        <v>0</v>
      </c>
      <c r="K374" s="50">
        <f t="shared" si="5"/>
        <v>23.720000000001164</v>
      </c>
      <c r="L374" s="51"/>
      <c r="M374" s="57" t="str">
        <f>VLOOKUP(A374,[1]Master!$C:$F,3,0)</f>
        <v>Senior Vice President, Research Office</v>
      </c>
      <c r="N374" s="42" t="str">
        <f>VLOOKUP(A374,[1]Master!$C:$F,4,0)</f>
        <v>Senior Vice President, Research Office</v>
      </c>
    </row>
    <row r="375" spans="1:14" customFormat="1" ht="48" x14ac:dyDescent="0.35">
      <c r="A375" s="47">
        <v>8471110</v>
      </c>
      <c r="B375" s="47" t="s">
        <v>607</v>
      </c>
      <c r="C375" s="47" t="s">
        <v>43</v>
      </c>
      <c r="D375" s="47" t="s">
        <v>44</v>
      </c>
      <c r="E375" s="47" t="s">
        <v>610</v>
      </c>
      <c r="F375" s="48">
        <v>100000</v>
      </c>
      <c r="G375" s="48">
        <v>48419</v>
      </c>
      <c r="H375" s="48">
        <v>48418.080000000002</v>
      </c>
      <c r="I375" s="49">
        <v>0</v>
      </c>
      <c r="J375" s="49">
        <v>0</v>
      </c>
      <c r="K375" s="50">
        <f t="shared" si="5"/>
        <v>0.91999999999825377</v>
      </c>
      <c r="L375" s="51"/>
      <c r="M375" s="57" t="str">
        <f>VLOOKUP(A375,[1]Master!$C:$F,3,0)</f>
        <v>Senior Vice President, Research Office</v>
      </c>
      <c r="N375" s="42" t="str">
        <f>VLOOKUP(A375,[1]Master!$C:$F,4,0)</f>
        <v>Senior Vice President, Research Office</v>
      </c>
    </row>
    <row r="376" spans="1:14" customFormat="1" ht="48" x14ac:dyDescent="0.35">
      <c r="A376" s="47">
        <v>8471110</v>
      </c>
      <c r="B376" s="47" t="s">
        <v>607</v>
      </c>
      <c r="C376" s="47" t="s">
        <v>173</v>
      </c>
      <c r="D376" s="47" t="s">
        <v>174</v>
      </c>
      <c r="E376" s="47" t="s">
        <v>611</v>
      </c>
      <c r="F376" s="48">
        <v>0</v>
      </c>
      <c r="G376" s="48">
        <v>2000</v>
      </c>
      <c r="H376" s="48">
        <v>1875</v>
      </c>
      <c r="I376" s="49">
        <v>0</v>
      </c>
      <c r="J376" s="49">
        <v>0</v>
      </c>
      <c r="K376" s="50">
        <f t="shared" si="5"/>
        <v>125</v>
      </c>
      <c r="L376" s="51"/>
      <c r="M376" s="57" t="str">
        <f>VLOOKUP(A376,[1]Master!$C:$F,3,0)</f>
        <v>Senior Vice President, Research Office</v>
      </c>
      <c r="N376" s="42" t="str">
        <f>VLOOKUP(A376,[1]Master!$C:$F,4,0)</f>
        <v>Senior Vice President, Research Office</v>
      </c>
    </row>
    <row r="377" spans="1:14" customFormat="1" ht="52.5" x14ac:dyDescent="0.35">
      <c r="A377" s="2">
        <v>8471120</v>
      </c>
      <c r="B377" s="2" t="s">
        <v>613</v>
      </c>
      <c r="C377" s="2" t="s">
        <v>37</v>
      </c>
      <c r="D377" s="2" t="s">
        <v>38</v>
      </c>
      <c r="E377" s="2" t="s">
        <v>614</v>
      </c>
      <c r="F377" s="3">
        <v>110000</v>
      </c>
      <c r="G377" s="3">
        <v>0</v>
      </c>
      <c r="H377" s="4"/>
      <c r="I377" s="17">
        <v>0</v>
      </c>
      <c r="J377" s="17">
        <v>0</v>
      </c>
      <c r="K377" s="18">
        <f t="shared" si="5"/>
        <v>0</v>
      </c>
      <c r="L377" s="19"/>
      <c r="M377" s="62" t="e">
        <f>VLOOKUP(A377,[1]Master!$C:$F,3,0)</f>
        <v>#N/A</v>
      </c>
      <c r="N377" t="e">
        <f>VLOOKUP(A377,[1]Master!$C:$F,4,0)</f>
        <v>#N/A</v>
      </c>
    </row>
    <row r="378" spans="1:14" customFormat="1" ht="52.5" x14ac:dyDescent="0.35">
      <c r="A378" s="2">
        <v>8471120</v>
      </c>
      <c r="B378" s="2" t="s">
        <v>613</v>
      </c>
      <c r="C378" s="2" t="s">
        <v>43</v>
      </c>
      <c r="D378" s="2" t="s">
        <v>44</v>
      </c>
      <c r="E378" s="2" t="s">
        <v>615</v>
      </c>
      <c r="F378" s="3">
        <v>220000</v>
      </c>
      <c r="G378" s="3">
        <v>8722</v>
      </c>
      <c r="H378" s="3">
        <v>8721</v>
      </c>
      <c r="I378" s="17">
        <v>0</v>
      </c>
      <c r="J378" s="17">
        <v>0</v>
      </c>
      <c r="K378" s="18">
        <f t="shared" si="5"/>
        <v>1</v>
      </c>
      <c r="L378" s="19"/>
      <c r="M378" s="62" t="e">
        <f>VLOOKUP(A378,[1]Master!$C:$F,3,0)</f>
        <v>#N/A</v>
      </c>
      <c r="N378" t="e">
        <f>VLOOKUP(A378,[1]Master!$C:$F,4,0)</f>
        <v>#N/A</v>
      </c>
    </row>
    <row r="379" spans="1:14" customFormat="1" ht="52.5" x14ac:dyDescent="0.35">
      <c r="A379" s="2">
        <v>8471120</v>
      </c>
      <c r="B379" s="2" t="s">
        <v>613</v>
      </c>
      <c r="C379" s="2" t="s">
        <v>507</v>
      </c>
      <c r="D379" s="2" t="s">
        <v>508</v>
      </c>
      <c r="E379" s="2" t="s">
        <v>616</v>
      </c>
      <c r="F379" s="3">
        <v>55510</v>
      </c>
      <c r="G379" s="3">
        <v>1</v>
      </c>
      <c r="H379" s="4"/>
      <c r="I379" s="17">
        <v>0</v>
      </c>
      <c r="J379" s="17">
        <v>0</v>
      </c>
      <c r="K379" s="18">
        <f t="shared" si="5"/>
        <v>1</v>
      </c>
      <c r="L379" s="19"/>
      <c r="M379" s="62" t="e">
        <f>VLOOKUP(A379,[1]Master!$C:$F,3,0)</f>
        <v>#N/A</v>
      </c>
      <c r="N379" t="e">
        <f>VLOOKUP(A379,[1]Master!$C:$F,4,0)</f>
        <v>#N/A</v>
      </c>
    </row>
    <row r="380" spans="1:14" customFormat="1" ht="52.5" x14ac:dyDescent="0.35">
      <c r="A380" s="2">
        <v>8471120</v>
      </c>
      <c r="B380" s="2" t="s">
        <v>613</v>
      </c>
      <c r="C380" s="2" t="s">
        <v>106</v>
      </c>
      <c r="D380" s="2" t="s">
        <v>107</v>
      </c>
      <c r="E380" s="2" t="s">
        <v>617</v>
      </c>
      <c r="F380" s="3">
        <v>25510</v>
      </c>
      <c r="G380" s="3">
        <v>0</v>
      </c>
      <c r="H380" s="4"/>
      <c r="I380" s="17">
        <v>0</v>
      </c>
      <c r="J380" s="17">
        <v>0</v>
      </c>
      <c r="K380" s="18">
        <f t="shared" si="5"/>
        <v>0</v>
      </c>
      <c r="L380" s="19"/>
      <c r="M380" s="62" t="e">
        <f>VLOOKUP(A380,[1]Master!$C:$F,3,0)</f>
        <v>#N/A</v>
      </c>
      <c r="N380" t="e">
        <f>VLOOKUP(A380,[1]Master!$C:$F,4,0)</f>
        <v>#N/A</v>
      </c>
    </row>
    <row r="381" spans="1:14" customFormat="1" ht="31.5" x14ac:dyDescent="0.35">
      <c r="A381" s="2">
        <v>8471121</v>
      </c>
      <c r="B381" s="2" t="s">
        <v>619</v>
      </c>
      <c r="C381" s="2" t="s">
        <v>31</v>
      </c>
      <c r="D381" s="2" t="s">
        <v>32</v>
      </c>
      <c r="E381" s="2" t="s">
        <v>620</v>
      </c>
      <c r="F381" s="3">
        <v>50000</v>
      </c>
      <c r="G381" s="3">
        <v>0</v>
      </c>
      <c r="H381" s="4"/>
      <c r="I381" s="17">
        <v>0</v>
      </c>
      <c r="J381" s="17">
        <v>0</v>
      </c>
      <c r="K381" s="18">
        <f t="shared" si="5"/>
        <v>0</v>
      </c>
      <c r="L381" s="19"/>
      <c r="M381" s="62" t="e">
        <f>VLOOKUP(A381,[1]Master!$C:$F,3,0)</f>
        <v>#N/A</v>
      </c>
      <c r="N381" t="e">
        <f>VLOOKUP(A381,[1]Master!$C:$F,4,0)</f>
        <v>#N/A</v>
      </c>
    </row>
    <row r="382" spans="1:14" customFormat="1" ht="21" x14ac:dyDescent="0.35">
      <c r="A382" s="2">
        <v>8471121</v>
      </c>
      <c r="B382" s="2" t="s">
        <v>619</v>
      </c>
      <c r="C382" s="2" t="s">
        <v>37</v>
      </c>
      <c r="D382" s="2" t="s">
        <v>38</v>
      </c>
      <c r="E382" s="2" t="s">
        <v>621</v>
      </c>
      <c r="F382" s="3">
        <v>15000</v>
      </c>
      <c r="G382" s="3">
        <v>15000</v>
      </c>
      <c r="H382" s="4"/>
      <c r="I382" s="17">
        <v>0</v>
      </c>
      <c r="J382" s="17">
        <v>0</v>
      </c>
      <c r="K382" s="18">
        <f t="shared" si="5"/>
        <v>15000</v>
      </c>
      <c r="L382" s="19"/>
      <c r="M382" s="62" t="e">
        <f>VLOOKUP(A382,[1]Master!$C:$F,3,0)</f>
        <v>#N/A</v>
      </c>
      <c r="N382" t="e">
        <f>VLOOKUP(A382,[1]Master!$C:$F,4,0)</f>
        <v>#N/A</v>
      </c>
    </row>
    <row r="383" spans="1:14" customFormat="1" ht="21" x14ac:dyDescent="0.35">
      <c r="A383" s="2">
        <v>8471121</v>
      </c>
      <c r="B383" s="2" t="s">
        <v>619</v>
      </c>
      <c r="C383" s="2" t="s">
        <v>43</v>
      </c>
      <c r="D383" s="2" t="s">
        <v>44</v>
      </c>
      <c r="E383" s="2" t="s">
        <v>622</v>
      </c>
      <c r="F383" s="3">
        <v>50000</v>
      </c>
      <c r="G383" s="3">
        <v>13623</v>
      </c>
      <c r="H383" s="4"/>
      <c r="I383" s="17">
        <v>0</v>
      </c>
      <c r="J383" s="17">
        <v>0</v>
      </c>
      <c r="K383" s="18">
        <f t="shared" si="5"/>
        <v>13623</v>
      </c>
      <c r="L383" s="19"/>
      <c r="M383" s="62" t="e">
        <f>VLOOKUP(A383,[1]Master!$C:$F,3,0)</f>
        <v>#N/A</v>
      </c>
      <c r="N383" t="e">
        <f>VLOOKUP(A383,[1]Master!$C:$F,4,0)</f>
        <v>#N/A</v>
      </c>
    </row>
    <row r="384" spans="1:14" customFormat="1" ht="21" x14ac:dyDescent="0.35">
      <c r="A384" s="2">
        <v>8471121</v>
      </c>
      <c r="B384" s="2" t="s">
        <v>619</v>
      </c>
      <c r="C384" s="2" t="s">
        <v>470</v>
      </c>
      <c r="D384" s="2" t="s">
        <v>471</v>
      </c>
      <c r="E384" s="2" t="s">
        <v>623</v>
      </c>
      <c r="F384" s="3">
        <v>500000</v>
      </c>
      <c r="G384" s="3">
        <v>0</v>
      </c>
      <c r="H384" s="4"/>
      <c r="I384" s="17">
        <v>0</v>
      </c>
      <c r="J384" s="17">
        <v>0</v>
      </c>
      <c r="K384" s="18">
        <f t="shared" si="5"/>
        <v>0</v>
      </c>
      <c r="L384" s="19"/>
      <c r="M384" s="62" t="e">
        <f>VLOOKUP(A384,[1]Master!$C:$F,3,0)</f>
        <v>#N/A</v>
      </c>
      <c r="N384" t="e">
        <f>VLOOKUP(A384,[1]Master!$C:$F,4,0)</f>
        <v>#N/A</v>
      </c>
    </row>
    <row r="385" spans="1:14" customFormat="1" ht="21" x14ac:dyDescent="0.35">
      <c r="A385" s="2">
        <v>8471121</v>
      </c>
      <c r="B385" s="2" t="s">
        <v>619</v>
      </c>
      <c r="C385" s="2" t="s">
        <v>106</v>
      </c>
      <c r="D385" s="2" t="s">
        <v>107</v>
      </c>
      <c r="E385" s="2" t="s">
        <v>624</v>
      </c>
      <c r="F385" s="3">
        <v>926280</v>
      </c>
      <c r="G385" s="3">
        <v>0</v>
      </c>
      <c r="H385" s="4"/>
      <c r="I385" s="17">
        <v>0</v>
      </c>
      <c r="J385" s="17">
        <v>0</v>
      </c>
      <c r="K385" s="18">
        <f t="shared" si="5"/>
        <v>0</v>
      </c>
      <c r="L385" s="19"/>
      <c r="M385" s="62" t="e">
        <f>VLOOKUP(A385,[1]Master!$C:$F,3,0)</f>
        <v>#N/A</v>
      </c>
      <c r="N385" t="e">
        <f>VLOOKUP(A385,[1]Master!$C:$F,4,0)</f>
        <v>#N/A</v>
      </c>
    </row>
    <row r="386" spans="1:14" customFormat="1" ht="21" x14ac:dyDescent="0.35">
      <c r="A386" s="2">
        <v>8471122</v>
      </c>
      <c r="B386" s="2" t="s">
        <v>626</v>
      </c>
      <c r="C386" s="2" t="s">
        <v>37</v>
      </c>
      <c r="D386" s="2" t="s">
        <v>38</v>
      </c>
      <c r="E386" s="2" t="s">
        <v>627</v>
      </c>
      <c r="F386" s="3">
        <v>0</v>
      </c>
      <c r="G386" s="3">
        <v>0</v>
      </c>
      <c r="H386" s="4"/>
      <c r="I386" s="17">
        <v>0</v>
      </c>
      <c r="J386" s="17">
        <v>0</v>
      </c>
      <c r="K386" s="18">
        <f t="shared" si="5"/>
        <v>0</v>
      </c>
      <c r="L386" s="19"/>
      <c r="M386" s="62" t="e">
        <f>VLOOKUP(A386,[1]Master!$C:$F,3,0)</f>
        <v>#N/A</v>
      </c>
      <c r="N386" t="e">
        <f>VLOOKUP(A386,[1]Master!$C:$F,4,0)</f>
        <v>#N/A</v>
      </c>
    </row>
    <row r="387" spans="1:14" customFormat="1" ht="21" x14ac:dyDescent="0.35">
      <c r="A387" s="2">
        <v>8471122</v>
      </c>
      <c r="B387" s="2" t="s">
        <v>626</v>
      </c>
      <c r="C387" s="2" t="s">
        <v>43</v>
      </c>
      <c r="D387" s="2" t="s">
        <v>44</v>
      </c>
      <c r="E387" s="2" t="s">
        <v>628</v>
      </c>
      <c r="F387" s="3">
        <v>0</v>
      </c>
      <c r="G387" s="3">
        <v>13623</v>
      </c>
      <c r="H387" s="4"/>
      <c r="I387" s="17">
        <v>0</v>
      </c>
      <c r="J387" s="17">
        <v>0</v>
      </c>
      <c r="K387" s="18">
        <f t="shared" si="5"/>
        <v>13623</v>
      </c>
      <c r="L387" s="19"/>
      <c r="M387" s="62" t="e">
        <f>VLOOKUP(A387,[1]Master!$C:$F,3,0)</f>
        <v>#N/A</v>
      </c>
      <c r="N387" t="e">
        <f>VLOOKUP(A387,[1]Master!$C:$F,4,0)</f>
        <v>#N/A</v>
      </c>
    </row>
    <row r="388" spans="1:14" customFormat="1" ht="24" x14ac:dyDescent="0.35">
      <c r="A388" s="47">
        <v>8471130</v>
      </c>
      <c r="B388" s="47" t="s">
        <v>630</v>
      </c>
      <c r="C388" s="47" t="s">
        <v>576</v>
      </c>
      <c r="D388" s="47" t="s">
        <v>577</v>
      </c>
      <c r="E388" s="47" t="s">
        <v>631</v>
      </c>
      <c r="F388" s="48">
        <v>0</v>
      </c>
      <c r="G388" s="48">
        <v>1</v>
      </c>
      <c r="H388" s="52"/>
      <c r="I388" s="49">
        <v>0</v>
      </c>
      <c r="J388" s="49">
        <v>0</v>
      </c>
      <c r="K388" s="50">
        <f t="shared" ref="K388:K451" si="6">G388-H388-I388-J388</f>
        <v>1</v>
      </c>
      <c r="L388" s="51"/>
      <c r="M388" s="57" t="str">
        <f>VLOOKUP(A388,[1]Master!$C:$F,3,0)</f>
        <v>Senior Vice President, Research Office</v>
      </c>
      <c r="N388" s="42" t="str">
        <f>VLOOKUP(A388,[1]Master!$C:$F,4,0)</f>
        <v>Senior Vice President, Research Office</v>
      </c>
    </row>
    <row r="389" spans="1:14" customFormat="1" ht="24" x14ac:dyDescent="0.35">
      <c r="A389" s="47">
        <v>8471130</v>
      </c>
      <c r="B389" s="47" t="s">
        <v>630</v>
      </c>
      <c r="C389" s="47" t="s">
        <v>40</v>
      </c>
      <c r="D389" s="47" t="s">
        <v>41</v>
      </c>
      <c r="E389" s="47" t="s">
        <v>632</v>
      </c>
      <c r="F389" s="48">
        <v>0</v>
      </c>
      <c r="G389" s="48">
        <v>171900</v>
      </c>
      <c r="H389" s="48">
        <v>171712.75</v>
      </c>
      <c r="I389" s="49">
        <v>0</v>
      </c>
      <c r="J389" s="49">
        <v>0</v>
      </c>
      <c r="K389" s="50">
        <f t="shared" si="6"/>
        <v>187.25</v>
      </c>
      <c r="L389" s="51"/>
      <c r="M389" s="57" t="str">
        <f>VLOOKUP(A389,[1]Master!$C:$F,3,0)</f>
        <v>Senior Vice President, Research Office</v>
      </c>
      <c r="N389" s="42" t="str">
        <f>VLOOKUP(A389,[1]Master!$C:$F,4,0)</f>
        <v>Senior Vice President, Research Office</v>
      </c>
    </row>
    <row r="390" spans="1:14" customFormat="1" ht="24" x14ac:dyDescent="0.35">
      <c r="A390" s="47">
        <v>8471130</v>
      </c>
      <c r="B390" s="47" t="s">
        <v>630</v>
      </c>
      <c r="C390" s="47" t="s">
        <v>565</v>
      </c>
      <c r="D390" s="47" t="s">
        <v>566</v>
      </c>
      <c r="E390" s="47" t="s">
        <v>633</v>
      </c>
      <c r="F390" s="48">
        <v>5000</v>
      </c>
      <c r="G390" s="48">
        <v>0</v>
      </c>
      <c r="H390" s="52"/>
      <c r="I390" s="49">
        <v>0</v>
      </c>
      <c r="J390" s="49">
        <v>0</v>
      </c>
      <c r="K390" s="50">
        <f t="shared" si="6"/>
        <v>0</v>
      </c>
      <c r="L390" s="51"/>
      <c r="M390" s="57" t="str">
        <f>VLOOKUP(A390,[1]Master!$C:$F,3,0)</f>
        <v>Senior Vice President, Research Office</v>
      </c>
      <c r="N390" s="42" t="str">
        <f>VLOOKUP(A390,[1]Master!$C:$F,4,0)</f>
        <v>Senior Vice President, Research Office</v>
      </c>
    </row>
    <row r="391" spans="1:14" customFormat="1" ht="24" x14ac:dyDescent="0.35">
      <c r="A391" s="47">
        <v>8471130</v>
      </c>
      <c r="B391" s="47" t="s">
        <v>630</v>
      </c>
      <c r="C391" s="47" t="s">
        <v>43</v>
      </c>
      <c r="D391" s="47" t="s">
        <v>44</v>
      </c>
      <c r="E391" s="47" t="s">
        <v>634</v>
      </c>
      <c r="F391" s="48">
        <v>70000</v>
      </c>
      <c r="G391" s="48">
        <v>36284</v>
      </c>
      <c r="H391" s="48">
        <v>23760.37</v>
      </c>
      <c r="I391" s="49">
        <v>0</v>
      </c>
      <c r="J391" s="49">
        <v>0</v>
      </c>
      <c r="K391" s="50">
        <f t="shared" si="6"/>
        <v>12523.630000000001</v>
      </c>
      <c r="L391" s="51"/>
      <c r="M391" s="57" t="str">
        <f>VLOOKUP(A391,[1]Master!$C:$F,3,0)</f>
        <v>Senior Vice President, Research Office</v>
      </c>
      <c r="N391" s="42" t="str">
        <f>VLOOKUP(A391,[1]Master!$C:$F,4,0)</f>
        <v>Senior Vice President, Research Office</v>
      </c>
    </row>
    <row r="392" spans="1:14" customFormat="1" ht="24" x14ac:dyDescent="0.35">
      <c r="A392" s="47">
        <v>8471130</v>
      </c>
      <c r="B392" s="47" t="s">
        <v>630</v>
      </c>
      <c r="C392" s="47" t="s">
        <v>106</v>
      </c>
      <c r="D392" s="47" t="s">
        <v>107</v>
      </c>
      <c r="E392" s="47" t="s">
        <v>635</v>
      </c>
      <c r="F392" s="48">
        <v>205962</v>
      </c>
      <c r="G392" s="48">
        <v>157690</v>
      </c>
      <c r="H392" s="48">
        <v>157599.53</v>
      </c>
      <c r="I392" s="49">
        <v>0</v>
      </c>
      <c r="J392" s="49">
        <v>0</v>
      </c>
      <c r="K392" s="50">
        <f t="shared" si="6"/>
        <v>90.470000000001164</v>
      </c>
      <c r="L392" s="51"/>
      <c r="M392" s="57" t="str">
        <f>VLOOKUP(A392,[1]Master!$C:$F,3,0)</f>
        <v>Senior Vice President, Research Office</v>
      </c>
      <c r="N392" s="42" t="str">
        <f>VLOOKUP(A392,[1]Master!$C:$F,4,0)</f>
        <v>Senior Vice President, Research Office</v>
      </c>
    </row>
    <row r="393" spans="1:14" customFormat="1" ht="48" x14ac:dyDescent="0.35">
      <c r="A393" s="47">
        <v>8471140</v>
      </c>
      <c r="B393" s="47" t="s">
        <v>637</v>
      </c>
      <c r="C393" s="47" t="s">
        <v>19</v>
      </c>
      <c r="D393" s="47" t="s">
        <v>20</v>
      </c>
      <c r="E393" s="47" t="s">
        <v>638</v>
      </c>
      <c r="F393" s="48">
        <v>231840</v>
      </c>
      <c r="G393" s="48">
        <v>5109177</v>
      </c>
      <c r="H393" s="48">
        <v>5108475.72</v>
      </c>
      <c r="I393" s="49">
        <v>0</v>
      </c>
      <c r="J393" s="49">
        <v>0</v>
      </c>
      <c r="K393" s="50">
        <f t="shared" si="6"/>
        <v>701.28000000026077</v>
      </c>
      <c r="L393" s="51"/>
      <c r="M393" s="57" t="str">
        <f>VLOOKUP(A393,[1]Master!$C:$F,3,0)</f>
        <v>Senior Vice President, Research Office</v>
      </c>
      <c r="N393" s="42" t="str">
        <f>VLOOKUP(A393,[1]Master!$C:$F,4,0)</f>
        <v>Senior Vice President, Research Office</v>
      </c>
    </row>
    <row r="394" spans="1:14" customFormat="1" ht="48" x14ac:dyDescent="0.35">
      <c r="A394" s="47">
        <v>8471140</v>
      </c>
      <c r="B394" s="47" t="s">
        <v>637</v>
      </c>
      <c r="C394" s="47" t="s">
        <v>43</v>
      </c>
      <c r="D394" s="47" t="s">
        <v>44</v>
      </c>
      <c r="E394" s="47" t="s">
        <v>639</v>
      </c>
      <c r="F394" s="48">
        <v>80000</v>
      </c>
      <c r="G394" s="48">
        <v>86693</v>
      </c>
      <c r="H394" s="48">
        <v>86558.97</v>
      </c>
      <c r="I394" s="49">
        <v>0</v>
      </c>
      <c r="J394" s="49">
        <v>0</v>
      </c>
      <c r="K394" s="50">
        <f t="shared" si="6"/>
        <v>134.02999999999884</v>
      </c>
      <c r="L394" s="51"/>
      <c r="M394" s="57" t="str">
        <f>VLOOKUP(A394,[1]Master!$C:$F,3,0)</f>
        <v>Senior Vice President, Research Office</v>
      </c>
      <c r="N394" s="42" t="str">
        <f>VLOOKUP(A394,[1]Master!$C:$F,4,0)</f>
        <v>Senior Vice President, Research Office</v>
      </c>
    </row>
    <row r="395" spans="1:14" customFormat="1" ht="48" x14ac:dyDescent="0.35">
      <c r="A395" s="47">
        <v>8471140</v>
      </c>
      <c r="B395" s="47" t="s">
        <v>637</v>
      </c>
      <c r="C395" s="47" t="s">
        <v>106</v>
      </c>
      <c r="D395" s="65" t="s">
        <v>107</v>
      </c>
      <c r="E395" s="47" t="s">
        <v>640</v>
      </c>
      <c r="F395" s="48">
        <v>99831748</v>
      </c>
      <c r="G395" s="48">
        <v>90163948</v>
      </c>
      <c r="H395" s="48">
        <v>87700680.580000103</v>
      </c>
      <c r="I395" s="49">
        <v>335923.37</v>
      </c>
      <c r="J395" s="49">
        <v>2137697.66</v>
      </c>
      <c r="K395" s="50">
        <f t="shared" si="6"/>
        <v>-10353.610000102781</v>
      </c>
      <c r="L395" s="51"/>
      <c r="M395" s="57" t="str">
        <f>VLOOKUP(A395,[1]Master!$C:$F,3,0)</f>
        <v>Senior Vice President, Research Office</v>
      </c>
      <c r="N395" s="42" t="str">
        <f>VLOOKUP(A395,[1]Master!$C:$F,4,0)</f>
        <v>Senior Vice President, Research Office</v>
      </c>
    </row>
    <row r="396" spans="1:14" customFormat="1" ht="48" x14ac:dyDescent="0.35">
      <c r="A396" s="47">
        <v>8471150</v>
      </c>
      <c r="B396" s="47" t="s">
        <v>642</v>
      </c>
      <c r="C396" s="47" t="s">
        <v>22</v>
      </c>
      <c r="D396" s="47" t="s">
        <v>23</v>
      </c>
      <c r="E396" s="47" t="s">
        <v>643</v>
      </c>
      <c r="F396" s="48">
        <v>3332844</v>
      </c>
      <c r="G396" s="48">
        <v>3918624</v>
      </c>
      <c r="H396" s="48">
        <v>3918518.28</v>
      </c>
      <c r="I396" s="49">
        <v>1043624.47</v>
      </c>
      <c r="J396" s="49">
        <v>0</v>
      </c>
      <c r="K396" s="50">
        <f t="shared" si="6"/>
        <v>-1043518.7499999998</v>
      </c>
      <c r="L396" s="51"/>
      <c r="M396" s="57" t="str">
        <f>VLOOKUP(A396,[1]Master!$C:$F,3,0)</f>
        <v>Senior Vice President, Research Office</v>
      </c>
      <c r="N396" s="42" t="str">
        <f>VLOOKUP(A396,[1]Master!$C:$F,4,0)</f>
        <v>Senior Vice President, Research Office</v>
      </c>
    </row>
    <row r="397" spans="1:14" customFormat="1" ht="48" x14ac:dyDescent="0.35">
      <c r="A397" s="47">
        <v>8471150</v>
      </c>
      <c r="B397" s="47" t="s">
        <v>642</v>
      </c>
      <c r="C397" s="47" t="s">
        <v>31</v>
      </c>
      <c r="D397" s="47" t="s">
        <v>32</v>
      </c>
      <c r="E397" s="47" t="s">
        <v>644</v>
      </c>
      <c r="F397" s="48">
        <v>100002</v>
      </c>
      <c r="G397" s="48">
        <v>526</v>
      </c>
      <c r="H397" s="48">
        <v>525</v>
      </c>
      <c r="I397" s="49">
        <v>0</v>
      </c>
      <c r="J397" s="49">
        <v>0</v>
      </c>
      <c r="K397" s="50">
        <f t="shared" si="6"/>
        <v>1</v>
      </c>
      <c r="L397" s="51"/>
      <c r="M397" s="57" t="str">
        <f>VLOOKUP(A397,[1]Master!$C:$F,3,0)</f>
        <v>Senior Vice President, Research Office</v>
      </c>
      <c r="N397" s="42" t="str">
        <f>VLOOKUP(A397,[1]Master!$C:$F,4,0)</f>
        <v>Senior Vice President, Research Office</v>
      </c>
    </row>
    <row r="398" spans="1:14" customFormat="1" ht="48" x14ac:dyDescent="0.35">
      <c r="A398" s="47">
        <v>8471150</v>
      </c>
      <c r="B398" s="47" t="s">
        <v>642</v>
      </c>
      <c r="C398" s="47" t="s">
        <v>34</v>
      </c>
      <c r="D398" s="47" t="s">
        <v>35</v>
      </c>
      <c r="E398" s="47" t="s">
        <v>645</v>
      </c>
      <c r="F398" s="48">
        <v>100002</v>
      </c>
      <c r="G398" s="48">
        <v>26096</v>
      </c>
      <c r="H398" s="48">
        <v>26095</v>
      </c>
      <c r="I398" s="49">
        <v>0</v>
      </c>
      <c r="J398" s="49">
        <v>0</v>
      </c>
      <c r="K398" s="50">
        <f t="shared" si="6"/>
        <v>1</v>
      </c>
      <c r="L398" s="51"/>
      <c r="M398" s="57" t="str">
        <f>VLOOKUP(A398,[1]Master!$C:$F,3,0)</f>
        <v>Senior Vice President, Research Office</v>
      </c>
      <c r="N398" s="42" t="str">
        <f>VLOOKUP(A398,[1]Master!$C:$F,4,0)</f>
        <v>Senior Vice President, Research Office</v>
      </c>
    </row>
    <row r="399" spans="1:14" customFormat="1" ht="48" x14ac:dyDescent="0.35">
      <c r="A399" s="47">
        <v>8471150</v>
      </c>
      <c r="B399" s="47" t="s">
        <v>642</v>
      </c>
      <c r="C399" s="47" t="s">
        <v>37</v>
      </c>
      <c r="D399" s="47" t="s">
        <v>38</v>
      </c>
      <c r="E399" s="47" t="s">
        <v>646</v>
      </c>
      <c r="F399" s="48">
        <v>0</v>
      </c>
      <c r="G399" s="48">
        <v>920</v>
      </c>
      <c r="H399" s="48">
        <v>918.75</v>
      </c>
      <c r="I399" s="49">
        <v>0</v>
      </c>
      <c r="J399" s="49">
        <v>0</v>
      </c>
      <c r="K399" s="50">
        <f t="shared" si="6"/>
        <v>1.25</v>
      </c>
      <c r="L399" s="51"/>
      <c r="M399" s="57" t="str">
        <f>VLOOKUP(A399,[1]Master!$C:$F,3,0)</f>
        <v>Senior Vice President, Research Office</v>
      </c>
      <c r="N399" s="42" t="str">
        <f>VLOOKUP(A399,[1]Master!$C:$F,4,0)</f>
        <v>Senior Vice President, Research Office</v>
      </c>
    </row>
    <row r="400" spans="1:14" customFormat="1" ht="48" x14ac:dyDescent="0.35">
      <c r="A400" s="47">
        <v>8471150</v>
      </c>
      <c r="B400" s="47" t="s">
        <v>642</v>
      </c>
      <c r="C400" s="47" t="s">
        <v>40</v>
      </c>
      <c r="D400" s="47" t="s">
        <v>41</v>
      </c>
      <c r="E400" s="47" t="s">
        <v>647</v>
      </c>
      <c r="F400" s="48">
        <v>120000</v>
      </c>
      <c r="G400" s="48">
        <v>3881</v>
      </c>
      <c r="H400" s="48">
        <v>3880.12</v>
      </c>
      <c r="I400" s="49">
        <v>0</v>
      </c>
      <c r="J400" s="49">
        <v>0</v>
      </c>
      <c r="K400" s="50">
        <f t="shared" si="6"/>
        <v>0.88000000000010914</v>
      </c>
      <c r="L400" s="51"/>
      <c r="M400" s="57" t="str">
        <f>VLOOKUP(A400,[1]Master!$C:$F,3,0)</f>
        <v>Senior Vice President, Research Office</v>
      </c>
      <c r="N400" s="42" t="str">
        <f>VLOOKUP(A400,[1]Master!$C:$F,4,0)</f>
        <v>Senior Vice President, Research Office</v>
      </c>
    </row>
    <row r="401" spans="1:14" customFormat="1" ht="48" x14ac:dyDescent="0.35">
      <c r="A401" s="47">
        <v>8471150</v>
      </c>
      <c r="B401" s="47" t="s">
        <v>642</v>
      </c>
      <c r="C401" s="47" t="s">
        <v>43</v>
      </c>
      <c r="D401" s="47" t="s">
        <v>44</v>
      </c>
      <c r="E401" s="47" t="s">
        <v>648</v>
      </c>
      <c r="F401" s="48">
        <v>50001</v>
      </c>
      <c r="G401" s="48">
        <v>1</v>
      </c>
      <c r="H401" s="52"/>
      <c r="I401" s="49">
        <v>0</v>
      </c>
      <c r="J401" s="49">
        <v>0</v>
      </c>
      <c r="K401" s="50">
        <f t="shared" si="6"/>
        <v>1</v>
      </c>
      <c r="L401" s="51"/>
      <c r="M401" s="57" t="str">
        <f>VLOOKUP(A401,[1]Master!$C:$F,3,0)</f>
        <v>Senior Vice President, Research Office</v>
      </c>
      <c r="N401" s="42" t="str">
        <f>VLOOKUP(A401,[1]Master!$C:$F,4,0)</f>
        <v>Senior Vice President, Research Office</v>
      </c>
    </row>
    <row r="402" spans="1:14" customFormat="1" ht="24" x14ac:dyDescent="0.35">
      <c r="A402" s="47">
        <v>8471160</v>
      </c>
      <c r="B402" s="47" t="s">
        <v>650</v>
      </c>
      <c r="C402" s="47" t="s">
        <v>573</v>
      </c>
      <c r="D402" s="47" t="s">
        <v>574</v>
      </c>
      <c r="E402" s="47" t="s">
        <v>651</v>
      </c>
      <c r="F402" s="48">
        <v>588000</v>
      </c>
      <c r="G402" s="48">
        <v>0</v>
      </c>
      <c r="H402" s="52"/>
      <c r="I402" s="49">
        <v>0</v>
      </c>
      <c r="J402" s="49">
        <v>0</v>
      </c>
      <c r="K402" s="50">
        <f t="shared" si="6"/>
        <v>0</v>
      </c>
      <c r="L402" s="51"/>
      <c r="M402" s="57" t="str">
        <f>VLOOKUP(A402,[1]Master!$C:$F,3,0)</f>
        <v>Senior Vice President, Research Office</v>
      </c>
      <c r="N402" s="42" t="str">
        <f>VLOOKUP(A402,[1]Master!$C:$F,4,0)</f>
        <v>Senior Vice President, Research Office</v>
      </c>
    </row>
    <row r="403" spans="1:14" customFormat="1" ht="24" x14ac:dyDescent="0.35">
      <c r="A403" s="47">
        <v>8471160</v>
      </c>
      <c r="B403" s="47" t="s">
        <v>650</v>
      </c>
      <c r="C403" s="47" t="s">
        <v>576</v>
      </c>
      <c r="D403" s="47" t="s">
        <v>577</v>
      </c>
      <c r="E403" s="47" t="s">
        <v>652</v>
      </c>
      <c r="F403" s="48">
        <v>0</v>
      </c>
      <c r="G403" s="48">
        <v>0</v>
      </c>
      <c r="H403" s="52"/>
      <c r="I403" s="49">
        <v>0</v>
      </c>
      <c r="J403" s="49">
        <v>0</v>
      </c>
      <c r="K403" s="50">
        <f t="shared" si="6"/>
        <v>0</v>
      </c>
      <c r="L403" s="51"/>
      <c r="M403" s="57" t="str">
        <f>VLOOKUP(A403,[1]Master!$C:$F,3,0)</f>
        <v>Senior Vice President, Research Office</v>
      </c>
      <c r="N403" s="42" t="str">
        <f>VLOOKUP(A403,[1]Master!$C:$F,4,0)</f>
        <v>Senior Vice President, Research Office</v>
      </c>
    </row>
    <row r="404" spans="1:14" customFormat="1" ht="24" x14ac:dyDescent="0.35">
      <c r="A404" s="47">
        <v>8471160</v>
      </c>
      <c r="B404" s="47" t="s">
        <v>650</v>
      </c>
      <c r="C404" s="47" t="s">
        <v>653</v>
      </c>
      <c r="D404" s="47" t="s">
        <v>654</v>
      </c>
      <c r="E404" s="47" t="s">
        <v>655</v>
      </c>
      <c r="F404" s="48">
        <v>0</v>
      </c>
      <c r="G404" s="48">
        <v>160400</v>
      </c>
      <c r="H404" s="48">
        <v>160400</v>
      </c>
      <c r="I404" s="49">
        <v>0</v>
      </c>
      <c r="J404" s="49">
        <v>0</v>
      </c>
      <c r="K404" s="50">
        <f t="shared" si="6"/>
        <v>0</v>
      </c>
      <c r="L404" s="51"/>
      <c r="M404" s="57" t="str">
        <f>VLOOKUP(A404,[1]Master!$C:$F,3,0)</f>
        <v>Senior Vice President, Research Office</v>
      </c>
      <c r="N404" s="42" t="str">
        <f>VLOOKUP(A404,[1]Master!$C:$F,4,0)</f>
        <v>Senior Vice President, Research Office</v>
      </c>
    </row>
    <row r="405" spans="1:14" customFormat="1" ht="24" x14ac:dyDescent="0.35">
      <c r="A405" s="47">
        <v>8471160</v>
      </c>
      <c r="B405" s="47" t="s">
        <v>650</v>
      </c>
      <c r="C405" s="47" t="s">
        <v>40</v>
      </c>
      <c r="D405" s="47" t="s">
        <v>41</v>
      </c>
      <c r="E405" s="47" t="s">
        <v>656</v>
      </c>
      <c r="F405" s="48">
        <v>161375</v>
      </c>
      <c r="G405" s="48">
        <v>436040</v>
      </c>
      <c r="H405" s="48">
        <v>236203.5</v>
      </c>
      <c r="I405" s="49">
        <v>0</v>
      </c>
      <c r="J405" s="49">
        <v>204559.7</v>
      </c>
      <c r="K405" s="50">
        <f t="shared" si="6"/>
        <v>-4723.2000000000116</v>
      </c>
      <c r="L405" s="51"/>
      <c r="M405" s="57" t="str">
        <f>VLOOKUP(A405,[1]Master!$C:$F,3,0)</f>
        <v>Senior Vice President, Research Office</v>
      </c>
      <c r="N405" s="42" t="str">
        <f>VLOOKUP(A405,[1]Master!$C:$F,4,0)</f>
        <v>Senior Vice President, Research Office</v>
      </c>
    </row>
    <row r="406" spans="1:14" customFormat="1" ht="24" x14ac:dyDescent="0.35">
      <c r="A406" s="47">
        <v>8471160</v>
      </c>
      <c r="B406" s="47" t="s">
        <v>650</v>
      </c>
      <c r="C406" s="47" t="s">
        <v>169</v>
      </c>
      <c r="D406" s="47" t="s">
        <v>170</v>
      </c>
      <c r="E406" s="47" t="s">
        <v>657</v>
      </c>
      <c r="F406" s="48">
        <v>15319303</v>
      </c>
      <c r="G406" s="48">
        <v>11257967</v>
      </c>
      <c r="H406" s="48">
        <v>8032239.4299999997</v>
      </c>
      <c r="I406" s="49">
        <v>352767.93</v>
      </c>
      <c r="J406" s="49">
        <v>3208636.84</v>
      </c>
      <c r="K406" s="50">
        <f t="shared" si="6"/>
        <v>-335677.19999999972</v>
      </c>
      <c r="L406" s="51"/>
      <c r="M406" s="57" t="str">
        <f>VLOOKUP(A406,[1]Master!$C:$F,3,0)</f>
        <v>Senior Vice President, Research Office</v>
      </c>
      <c r="N406" s="42" t="str">
        <f>VLOOKUP(A406,[1]Master!$C:$F,4,0)</f>
        <v>Senior Vice President, Research Office</v>
      </c>
    </row>
    <row r="407" spans="1:14" customFormat="1" ht="24" x14ac:dyDescent="0.35">
      <c r="A407" s="47">
        <v>8471160</v>
      </c>
      <c r="B407" s="47" t="s">
        <v>650</v>
      </c>
      <c r="C407" s="47" t="s">
        <v>173</v>
      </c>
      <c r="D407" s="47" t="s">
        <v>174</v>
      </c>
      <c r="E407" s="47" t="s">
        <v>658</v>
      </c>
      <c r="F407" s="48">
        <v>2753398</v>
      </c>
      <c r="G407" s="48">
        <v>3600857</v>
      </c>
      <c r="H407" s="48">
        <v>2788554.18</v>
      </c>
      <c r="I407" s="49">
        <v>1330211.04</v>
      </c>
      <c r="J407" s="49">
        <v>809208.7</v>
      </c>
      <c r="K407" s="50">
        <f>G407-H407-I407-J407</f>
        <v>-1327116.9200000002</v>
      </c>
      <c r="L407" s="51"/>
      <c r="M407" s="57" t="str">
        <f>VLOOKUP(A407,[1]Master!$C:$F,3,0)</f>
        <v>Senior Vice President, Research Office</v>
      </c>
      <c r="N407" s="42" t="str">
        <f>VLOOKUP(A407,[1]Master!$C:$F,4,0)</f>
        <v>Senior Vice President, Research Office</v>
      </c>
    </row>
    <row r="408" spans="1:14" customFormat="1" ht="24" x14ac:dyDescent="0.35">
      <c r="A408" s="47">
        <v>8471160</v>
      </c>
      <c r="B408" s="47" t="s">
        <v>650</v>
      </c>
      <c r="C408" s="47" t="s">
        <v>176</v>
      </c>
      <c r="D408" s="47" t="s">
        <v>177</v>
      </c>
      <c r="E408" s="47" t="s">
        <v>659</v>
      </c>
      <c r="F408" s="48">
        <v>0</v>
      </c>
      <c r="G408" s="48">
        <v>15360</v>
      </c>
      <c r="H408" s="48">
        <v>15359</v>
      </c>
      <c r="I408" s="49">
        <v>0</v>
      </c>
      <c r="J408" s="49">
        <v>0</v>
      </c>
      <c r="K408" s="50">
        <f t="shared" si="6"/>
        <v>1</v>
      </c>
      <c r="L408" s="51"/>
      <c r="M408" s="57" t="str">
        <f>VLOOKUP(A408,[1]Master!$C:$F,3,0)</f>
        <v>Senior Vice President, Research Office</v>
      </c>
      <c r="N408" s="42" t="str">
        <f>VLOOKUP(A408,[1]Master!$C:$F,4,0)</f>
        <v>Senior Vice President, Research Office</v>
      </c>
    </row>
    <row r="409" spans="1:14" customFormat="1" ht="24" x14ac:dyDescent="0.35">
      <c r="A409" s="47">
        <v>8471170</v>
      </c>
      <c r="B409" s="47" t="s">
        <v>661</v>
      </c>
      <c r="C409" s="47" t="s">
        <v>573</v>
      </c>
      <c r="D409" s="47" t="s">
        <v>574</v>
      </c>
      <c r="E409" s="47" t="s">
        <v>662</v>
      </c>
      <c r="F409" s="48">
        <v>1709607</v>
      </c>
      <c r="G409" s="48">
        <v>0</v>
      </c>
      <c r="H409" s="52"/>
      <c r="I409" s="49">
        <v>0</v>
      </c>
      <c r="J409" s="49">
        <v>0</v>
      </c>
      <c r="K409" s="50">
        <f t="shared" si="6"/>
        <v>0</v>
      </c>
      <c r="L409" s="51"/>
      <c r="M409" s="57" t="str">
        <f>VLOOKUP(A409,[1]Master!$C:$F,3,0)</f>
        <v>Senior Vice President, Research Office</v>
      </c>
      <c r="N409" s="42" t="str">
        <f>VLOOKUP(A409,[1]Master!$C:$F,4,0)</f>
        <v>Senior Vice President, Research Office</v>
      </c>
    </row>
    <row r="410" spans="1:14" customFormat="1" ht="24" x14ac:dyDescent="0.35">
      <c r="A410" s="47">
        <v>8471170</v>
      </c>
      <c r="B410" s="47" t="s">
        <v>661</v>
      </c>
      <c r="C410" s="47" t="s">
        <v>576</v>
      </c>
      <c r="D410" s="47" t="s">
        <v>577</v>
      </c>
      <c r="E410" s="47" t="s">
        <v>663</v>
      </c>
      <c r="F410" s="48">
        <v>0</v>
      </c>
      <c r="G410" s="48">
        <v>19764215</v>
      </c>
      <c r="H410" s="48">
        <v>19213214.440000001</v>
      </c>
      <c r="I410" s="49">
        <v>0</v>
      </c>
      <c r="J410" s="49">
        <v>551000</v>
      </c>
      <c r="K410" s="50">
        <f t="shared" si="6"/>
        <v>0.55999999865889549</v>
      </c>
      <c r="L410" s="51"/>
      <c r="M410" s="57" t="str">
        <f>VLOOKUP(A410,[1]Master!$C:$F,3,0)</f>
        <v>Senior Vice President, Research Office</v>
      </c>
      <c r="N410" s="42" t="str">
        <f>VLOOKUP(A410,[1]Master!$C:$F,4,0)</f>
        <v>Senior Vice President, Research Office</v>
      </c>
    </row>
    <row r="411" spans="1:14" customFormat="1" ht="24" x14ac:dyDescent="0.35">
      <c r="A411" s="47">
        <v>8471170</v>
      </c>
      <c r="B411" s="47" t="s">
        <v>661</v>
      </c>
      <c r="C411" s="47" t="s">
        <v>37</v>
      </c>
      <c r="D411" s="47" t="s">
        <v>38</v>
      </c>
      <c r="E411" s="47" t="s">
        <v>664</v>
      </c>
      <c r="F411" s="48">
        <v>10000</v>
      </c>
      <c r="G411" s="48">
        <v>1</v>
      </c>
      <c r="H411" s="52"/>
      <c r="I411" s="49">
        <v>0</v>
      </c>
      <c r="J411" s="49">
        <v>0</v>
      </c>
      <c r="K411" s="50">
        <f t="shared" si="6"/>
        <v>1</v>
      </c>
      <c r="L411" s="51"/>
      <c r="M411" s="57" t="str">
        <f>VLOOKUP(A411,[1]Master!$C:$F,3,0)</f>
        <v>Senior Vice President, Research Office</v>
      </c>
      <c r="N411" s="42" t="str">
        <f>VLOOKUP(A411,[1]Master!$C:$F,4,0)</f>
        <v>Senior Vice President, Research Office</v>
      </c>
    </row>
    <row r="412" spans="1:14" customFormat="1" ht="24" x14ac:dyDescent="0.35">
      <c r="A412" s="47">
        <v>8471170</v>
      </c>
      <c r="B412" s="47" t="s">
        <v>661</v>
      </c>
      <c r="C412" s="47" t="s">
        <v>40</v>
      </c>
      <c r="D412" s="47" t="s">
        <v>41</v>
      </c>
      <c r="E412" s="47" t="s">
        <v>665</v>
      </c>
      <c r="F412" s="48">
        <v>2618576</v>
      </c>
      <c r="G412" s="48">
        <v>1654848</v>
      </c>
      <c r="H412" s="48">
        <v>1620809.21</v>
      </c>
      <c r="I412" s="49">
        <v>0</v>
      </c>
      <c r="J412" s="49">
        <v>34040</v>
      </c>
      <c r="K412" s="50">
        <f t="shared" si="6"/>
        <v>-1.2099999999627471</v>
      </c>
      <c r="L412" s="51"/>
      <c r="M412" s="57" t="str">
        <f>VLOOKUP(A412,[1]Master!$C:$F,3,0)</f>
        <v>Senior Vice President, Research Office</v>
      </c>
      <c r="N412" s="42" t="str">
        <f>VLOOKUP(A412,[1]Master!$C:$F,4,0)</f>
        <v>Senior Vice President, Research Office</v>
      </c>
    </row>
    <row r="413" spans="1:14" customFormat="1" ht="24" x14ac:dyDescent="0.35">
      <c r="A413" s="47">
        <v>8471170</v>
      </c>
      <c r="B413" s="47" t="s">
        <v>661</v>
      </c>
      <c r="C413" s="47" t="s">
        <v>43</v>
      </c>
      <c r="D413" s="47" t="s">
        <v>44</v>
      </c>
      <c r="E413" s="47" t="s">
        <v>666</v>
      </c>
      <c r="F413" s="48">
        <v>45000</v>
      </c>
      <c r="G413" s="48">
        <v>42586</v>
      </c>
      <c r="H413" s="48">
        <v>42584.75</v>
      </c>
      <c r="I413" s="49">
        <v>0</v>
      </c>
      <c r="J413" s="49">
        <v>0</v>
      </c>
      <c r="K413" s="50">
        <f t="shared" si="6"/>
        <v>1.25</v>
      </c>
      <c r="L413" s="51"/>
      <c r="M413" s="57" t="str">
        <f>VLOOKUP(A413,[1]Master!$C:$F,3,0)</f>
        <v>Senior Vice President, Research Office</v>
      </c>
      <c r="N413" s="42" t="str">
        <f>VLOOKUP(A413,[1]Master!$C:$F,4,0)</f>
        <v>Senior Vice President, Research Office</v>
      </c>
    </row>
    <row r="414" spans="1:14" ht="48" x14ac:dyDescent="0.3">
      <c r="A414" s="47">
        <v>8471210</v>
      </c>
      <c r="B414" s="47" t="s">
        <v>668</v>
      </c>
      <c r="C414" s="47" t="s">
        <v>37</v>
      </c>
      <c r="D414" s="47" t="s">
        <v>38</v>
      </c>
      <c r="E414" s="47" t="s">
        <v>669</v>
      </c>
      <c r="F414" s="48">
        <v>15000</v>
      </c>
      <c r="G414" s="48">
        <v>15000</v>
      </c>
      <c r="H414" s="48">
        <v>14792.5</v>
      </c>
      <c r="I414" s="49">
        <v>0</v>
      </c>
      <c r="J414" s="49">
        <v>0</v>
      </c>
      <c r="K414" s="50">
        <f t="shared" si="6"/>
        <v>207.5</v>
      </c>
      <c r="L414" s="51"/>
      <c r="M414" s="63" t="str">
        <f>VLOOKUP(A414,[1]Master!$C:$F,3,0)</f>
        <v>Academic and Student Services Office</v>
      </c>
      <c r="N414" s="42" t="str">
        <f>VLOOKUP(A414,[1]Master!$C:$F,4,0)</f>
        <v>Academic and Student Services Office</v>
      </c>
    </row>
    <row r="415" spans="1:14" ht="48" x14ac:dyDescent="0.3">
      <c r="A415" s="47">
        <v>8471210</v>
      </c>
      <c r="B415" s="47" t="s">
        <v>668</v>
      </c>
      <c r="C415" s="47" t="s">
        <v>43</v>
      </c>
      <c r="D415" s="47" t="s">
        <v>44</v>
      </c>
      <c r="E415" s="47" t="s">
        <v>670</v>
      </c>
      <c r="F415" s="48">
        <v>100000</v>
      </c>
      <c r="G415" s="48">
        <v>97246</v>
      </c>
      <c r="H415" s="48">
        <v>56700</v>
      </c>
      <c r="I415" s="49">
        <v>0</v>
      </c>
      <c r="J415" s="49">
        <v>0</v>
      </c>
      <c r="K415" s="50">
        <f t="shared" si="6"/>
        <v>40546</v>
      </c>
      <c r="L415" s="51"/>
      <c r="M415" s="63" t="str">
        <f>VLOOKUP(A415,[1]Master!$C:$F,3,0)</f>
        <v>Academic and Student Services Office</v>
      </c>
      <c r="N415" s="42" t="str">
        <f>VLOOKUP(A415,[1]Master!$C:$F,4,0)</f>
        <v>Academic and Student Services Office</v>
      </c>
    </row>
    <row r="416" spans="1:14" ht="48" x14ac:dyDescent="0.3">
      <c r="A416" s="47">
        <v>8471210</v>
      </c>
      <c r="B416" s="47" t="s">
        <v>668</v>
      </c>
      <c r="C416" s="47" t="s">
        <v>49</v>
      </c>
      <c r="D416" s="47" t="s">
        <v>50</v>
      </c>
      <c r="E416" s="47" t="s">
        <v>671</v>
      </c>
      <c r="F416" s="48">
        <v>20000</v>
      </c>
      <c r="G416" s="48">
        <v>149</v>
      </c>
      <c r="H416" s="52"/>
      <c r="I416" s="49">
        <v>0</v>
      </c>
      <c r="J416" s="49">
        <v>0</v>
      </c>
      <c r="K416" s="50">
        <f t="shared" si="6"/>
        <v>149</v>
      </c>
      <c r="L416" s="51"/>
      <c r="M416" s="63" t="str">
        <f>VLOOKUP(A416,[1]Master!$C:$F,3,0)</f>
        <v>Academic and Student Services Office</v>
      </c>
      <c r="N416" s="42" t="str">
        <f>VLOOKUP(A416,[1]Master!$C:$F,4,0)</f>
        <v>Academic and Student Services Office</v>
      </c>
    </row>
    <row r="417" spans="1:14" ht="48" x14ac:dyDescent="0.3">
      <c r="A417" s="47">
        <v>8471210</v>
      </c>
      <c r="B417" s="47" t="s">
        <v>668</v>
      </c>
      <c r="C417" s="47" t="s">
        <v>672</v>
      </c>
      <c r="D417" s="47" t="s">
        <v>673</v>
      </c>
      <c r="E417" s="47" t="s">
        <v>674</v>
      </c>
      <c r="F417" s="48">
        <v>20000</v>
      </c>
      <c r="G417" s="48">
        <v>0</v>
      </c>
      <c r="H417" s="52"/>
      <c r="I417" s="49">
        <v>0</v>
      </c>
      <c r="J417" s="49">
        <v>0</v>
      </c>
      <c r="K417" s="50">
        <f t="shared" si="6"/>
        <v>0</v>
      </c>
      <c r="L417" s="51"/>
      <c r="M417" s="63" t="str">
        <f>VLOOKUP(A417,[1]Master!$C:$F,3,0)</f>
        <v>Academic and Student Services Office</v>
      </c>
      <c r="N417" s="42" t="str">
        <f>VLOOKUP(A417,[1]Master!$C:$F,4,0)</f>
        <v>Academic and Student Services Office</v>
      </c>
    </row>
    <row r="418" spans="1:14" ht="36" x14ac:dyDescent="0.3">
      <c r="A418" s="47">
        <v>8471220</v>
      </c>
      <c r="B418" s="47" t="s">
        <v>676</v>
      </c>
      <c r="C418" s="47" t="s">
        <v>31</v>
      </c>
      <c r="D418" s="47" t="s">
        <v>32</v>
      </c>
      <c r="E418" s="47" t="s">
        <v>677</v>
      </c>
      <c r="F418" s="48">
        <v>2200</v>
      </c>
      <c r="G418" s="48">
        <v>22200</v>
      </c>
      <c r="H418" s="48">
        <v>8800</v>
      </c>
      <c r="I418" s="49">
        <v>0</v>
      </c>
      <c r="J418" s="49">
        <v>0</v>
      </c>
      <c r="K418" s="50">
        <f t="shared" si="6"/>
        <v>13400</v>
      </c>
      <c r="L418" s="51"/>
      <c r="M418" s="63" t="str">
        <f>VLOOKUP(A418,[1]Master!$C:$F,3,0)</f>
        <v>Academic and Student Services Office</v>
      </c>
      <c r="N418" s="42" t="str">
        <f>VLOOKUP(A418,[1]Master!$C:$F,4,0)</f>
        <v>Academic and Student Services Office</v>
      </c>
    </row>
    <row r="419" spans="1:14" x14ac:dyDescent="0.3">
      <c r="A419" s="47">
        <v>8471220</v>
      </c>
      <c r="B419" s="47" t="s">
        <v>676</v>
      </c>
      <c r="C419" s="47" t="s">
        <v>678</v>
      </c>
      <c r="D419" s="47" t="s">
        <v>679</v>
      </c>
      <c r="E419" s="47" t="s">
        <v>680</v>
      </c>
      <c r="F419" s="48">
        <v>80501600</v>
      </c>
      <c r="G419" s="48">
        <v>77273746</v>
      </c>
      <c r="H419" s="48">
        <v>77248079.379999995</v>
      </c>
      <c r="I419" s="49">
        <v>0</v>
      </c>
      <c r="J419" s="49">
        <v>0</v>
      </c>
      <c r="K419" s="50">
        <f t="shared" si="6"/>
        <v>25666.620000004768</v>
      </c>
      <c r="L419" s="51"/>
      <c r="M419" s="63" t="str">
        <f>VLOOKUP(A419,[1]Master!$C:$F,3,0)</f>
        <v>Academic and Student Services Office</v>
      </c>
      <c r="N419" s="42" t="str">
        <f>VLOOKUP(A419,[1]Master!$C:$F,4,0)</f>
        <v>Academic and Student Services Office</v>
      </c>
    </row>
    <row r="420" spans="1:14" x14ac:dyDescent="0.3">
      <c r="A420" s="47">
        <v>8471220</v>
      </c>
      <c r="B420" s="47" t="s">
        <v>676</v>
      </c>
      <c r="C420" s="47" t="s">
        <v>138</v>
      </c>
      <c r="D420" s="47" t="s">
        <v>139</v>
      </c>
      <c r="E420" s="47" t="s">
        <v>681</v>
      </c>
      <c r="F420" s="52"/>
      <c r="G420" s="52"/>
      <c r="H420" s="48">
        <v>-21065.72</v>
      </c>
      <c r="I420" s="49">
        <v>0</v>
      </c>
      <c r="J420" s="49">
        <v>0</v>
      </c>
      <c r="K420" s="50">
        <f t="shared" si="6"/>
        <v>21065.72</v>
      </c>
      <c r="L420" s="51"/>
      <c r="M420" s="63" t="str">
        <f>VLOOKUP(A420,[1]Master!$C:$F,3,0)</f>
        <v>Academic and Student Services Office</v>
      </c>
      <c r="N420" s="42" t="str">
        <f>VLOOKUP(A420,[1]Master!$C:$F,4,0)</f>
        <v>Academic and Student Services Office</v>
      </c>
    </row>
    <row r="421" spans="1:14" ht="24" x14ac:dyDescent="0.3">
      <c r="A421" s="47">
        <v>8471220</v>
      </c>
      <c r="B421" s="47" t="s">
        <v>676</v>
      </c>
      <c r="C421" s="47" t="s">
        <v>491</v>
      </c>
      <c r="D421" s="47" t="s">
        <v>492</v>
      </c>
      <c r="E421" s="47" t="s">
        <v>682</v>
      </c>
      <c r="F421" s="48">
        <v>11000</v>
      </c>
      <c r="G421" s="48">
        <v>11000</v>
      </c>
      <c r="H421" s="52"/>
      <c r="I421" s="49">
        <v>0</v>
      </c>
      <c r="J421" s="49">
        <v>0</v>
      </c>
      <c r="K421" s="50">
        <f t="shared" si="6"/>
        <v>11000</v>
      </c>
      <c r="L421" s="51"/>
      <c r="M421" s="63" t="str">
        <f>VLOOKUP(A421,[1]Master!$C:$F,3,0)</f>
        <v>Academic and Student Services Office</v>
      </c>
      <c r="N421" s="42" t="str">
        <f>VLOOKUP(A421,[1]Master!$C:$F,4,0)</f>
        <v>Academic and Student Services Office</v>
      </c>
    </row>
    <row r="422" spans="1:14" ht="108" x14ac:dyDescent="0.3">
      <c r="A422" s="47">
        <v>8471220</v>
      </c>
      <c r="B422" s="47" t="s">
        <v>676</v>
      </c>
      <c r="C422" s="47" t="s">
        <v>192</v>
      </c>
      <c r="D422" s="47" t="s">
        <v>193</v>
      </c>
      <c r="E422" s="47" t="s">
        <v>683</v>
      </c>
      <c r="F422" s="48">
        <v>9500000</v>
      </c>
      <c r="G422" s="48">
        <v>9132707</v>
      </c>
      <c r="H422" s="48">
        <v>7524153.3899999997</v>
      </c>
      <c r="I422" s="49">
        <v>0</v>
      </c>
      <c r="J422" s="49">
        <v>0</v>
      </c>
      <c r="K422" s="50">
        <f t="shared" si="6"/>
        <v>1608553.6100000003</v>
      </c>
      <c r="L422" s="53" t="s">
        <v>876</v>
      </c>
      <c r="M422" s="63" t="str">
        <f>VLOOKUP(A422,[1]Master!$C:$F,3,0)</f>
        <v>Academic and Student Services Office</v>
      </c>
      <c r="N422" s="42" t="str">
        <f>VLOOKUP(A422,[1]Master!$C:$F,4,0)</f>
        <v>Academic and Student Services Office</v>
      </c>
    </row>
    <row r="423" spans="1:14" x14ac:dyDescent="0.3">
      <c r="A423" s="47">
        <v>8471220</v>
      </c>
      <c r="B423" s="47" t="s">
        <v>676</v>
      </c>
      <c r="C423" s="47" t="s">
        <v>154</v>
      </c>
      <c r="D423" s="47" t="s">
        <v>155</v>
      </c>
      <c r="E423" s="47" t="s">
        <v>684</v>
      </c>
      <c r="F423" s="48">
        <v>300000</v>
      </c>
      <c r="G423" s="48">
        <v>131301</v>
      </c>
      <c r="H423" s="48">
        <v>131300</v>
      </c>
      <c r="I423" s="49">
        <v>0</v>
      </c>
      <c r="J423" s="49">
        <v>0</v>
      </c>
      <c r="K423" s="50">
        <f t="shared" si="6"/>
        <v>1</v>
      </c>
      <c r="L423" s="51"/>
      <c r="M423" s="63" t="str">
        <f>VLOOKUP(A423,[1]Master!$C:$F,3,0)</f>
        <v>Academic and Student Services Office</v>
      </c>
      <c r="N423" s="42" t="str">
        <f>VLOOKUP(A423,[1]Master!$C:$F,4,0)</f>
        <v>Academic and Student Services Office</v>
      </c>
    </row>
    <row r="424" spans="1:14" x14ac:dyDescent="0.3">
      <c r="A424" s="47">
        <v>8471220</v>
      </c>
      <c r="B424" s="47" t="s">
        <v>676</v>
      </c>
      <c r="C424" s="47" t="s">
        <v>545</v>
      </c>
      <c r="D424" s="47" t="s">
        <v>546</v>
      </c>
      <c r="E424" s="47" t="s">
        <v>685</v>
      </c>
      <c r="F424" s="48">
        <v>6000</v>
      </c>
      <c r="G424" s="48">
        <v>6000</v>
      </c>
      <c r="H424" s="52"/>
      <c r="I424" s="49">
        <v>0</v>
      </c>
      <c r="J424" s="49">
        <v>0</v>
      </c>
      <c r="K424" s="50">
        <f t="shared" si="6"/>
        <v>6000</v>
      </c>
      <c r="L424" s="51"/>
      <c r="M424" s="63" t="str">
        <f>VLOOKUP(A424,[1]Master!$C:$F,3,0)</f>
        <v>Academic and Student Services Office</v>
      </c>
      <c r="N424" s="42" t="str">
        <f>VLOOKUP(A424,[1]Master!$C:$F,4,0)</f>
        <v>Academic and Student Services Office</v>
      </c>
    </row>
    <row r="425" spans="1:14" ht="24" x14ac:dyDescent="0.3">
      <c r="A425" s="47">
        <v>8471230</v>
      </c>
      <c r="B425" s="47" t="s">
        <v>687</v>
      </c>
      <c r="C425" s="47" t="s">
        <v>688</v>
      </c>
      <c r="D425" s="47" t="s">
        <v>689</v>
      </c>
      <c r="E425" s="47" t="s">
        <v>690</v>
      </c>
      <c r="F425" s="48">
        <v>2000000</v>
      </c>
      <c r="G425" s="48">
        <v>1464833</v>
      </c>
      <c r="H425" s="48">
        <v>1370181.02</v>
      </c>
      <c r="I425" s="49">
        <v>0</v>
      </c>
      <c r="J425" s="49">
        <v>94651.33</v>
      </c>
      <c r="K425" s="50">
        <f t="shared" si="6"/>
        <v>0.64999999997962732</v>
      </c>
      <c r="L425" s="51"/>
      <c r="M425" s="63" t="str">
        <f>VLOOKUP(A425,[1]Master!$C:$F,3,0)</f>
        <v>Academic and Student Services Office</v>
      </c>
      <c r="N425" s="42" t="str">
        <f>VLOOKUP(A425,[1]Master!$C:$F,4,0)</f>
        <v>Academic and Student Services Office</v>
      </c>
    </row>
    <row r="426" spans="1:14" ht="24" x14ac:dyDescent="0.3">
      <c r="A426" s="47">
        <v>8471230</v>
      </c>
      <c r="B426" s="47" t="s">
        <v>687</v>
      </c>
      <c r="C426" s="47" t="s">
        <v>40</v>
      </c>
      <c r="D426" s="47" t="s">
        <v>41</v>
      </c>
      <c r="E426" s="47" t="s">
        <v>691</v>
      </c>
      <c r="F426" s="48">
        <v>120000</v>
      </c>
      <c r="G426" s="48">
        <v>14480</v>
      </c>
      <c r="H426" s="48">
        <v>14479.23</v>
      </c>
      <c r="I426" s="49">
        <v>0</v>
      </c>
      <c r="J426" s="49">
        <v>0</v>
      </c>
      <c r="K426" s="50">
        <f t="shared" si="6"/>
        <v>0.77000000000043656</v>
      </c>
      <c r="L426" s="51"/>
      <c r="M426" s="63" t="str">
        <f>VLOOKUP(A426,[1]Master!$C:$F,3,0)</f>
        <v>Academic and Student Services Office</v>
      </c>
      <c r="N426" s="42" t="str">
        <f>VLOOKUP(A426,[1]Master!$C:$F,4,0)</f>
        <v>Academic and Student Services Office</v>
      </c>
    </row>
    <row r="427" spans="1:14" ht="36" x14ac:dyDescent="0.3">
      <c r="A427" s="47">
        <v>8471240</v>
      </c>
      <c r="B427" s="47" t="s">
        <v>693</v>
      </c>
      <c r="C427" s="47" t="s">
        <v>31</v>
      </c>
      <c r="D427" s="47" t="s">
        <v>32</v>
      </c>
      <c r="E427" s="47" t="s">
        <v>694</v>
      </c>
      <c r="F427" s="48">
        <v>220000</v>
      </c>
      <c r="G427" s="48">
        <v>85000</v>
      </c>
      <c r="H427" s="48">
        <v>80086.44</v>
      </c>
      <c r="I427" s="49">
        <v>0</v>
      </c>
      <c r="J427" s="49">
        <v>0</v>
      </c>
      <c r="K427" s="50">
        <f t="shared" si="6"/>
        <v>4913.5599999999977</v>
      </c>
      <c r="L427" s="51"/>
      <c r="M427" s="63" t="str">
        <f>VLOOKUP(A427,[1]Master!$C:$F,3,0)</f>
        <v>Academic and Student Services Office</v>
      </c>
      <c r="N427" s="42" t="str">
        <f>VLOOKUP(A427,[1]Master!$C:$F,4,0)</f>
        <v>Academic and Student Services Office</v>
      </c>
    </row>
    <row r="428" spans="1:14" ht="24" x14ac:dyDescent="0.3">
      <c r="A428" s="47">
        <v>8471240</v>
      </c>
      <c r="B428" s="47" t="s">
        <v>693</v>
      </c>
      <c r="C428" s="47" t="s">
        <v>274</v>
      </c>
      <c r="D428" s="47" t="s">
        <v>275</v>
      </c>
      <c r="E428" s="47" t="s">
        <v>695</v>
      </c>
      <c r="F428" s="48">
        <v>128000</v>
      </c>
      <c r="G428" s="48">
        <v>246000</v>
      </c>
      <c r="H428" s="48">
        <v>245500</v>
      </c>
      <c r="I428" s="49">
        <v>0</v>
      </c>
      <c r="J428" s="49">
        <v>0</v>
      </c>
      <c r="K428" s="50">
        <f t="shared" si="6"/>
        <v>500</v>
      </c>
      <c r="L428" s="51"/>
      <c r="M428" s="63" t="str">
        <f>VLOOKUP(A428,[1]Master!$C:$F,3,0)</f>
        <v>Academic and Student Services Office</v>
      </c>
      <c r="N428" s="42" t="str">
        <f>VLOOKUP(A428,[1]Master!$C:$F,4,0)</f>
        <v>Academic and Student Services Office</v>
      </c>
    </row>
    <row r="429" spans="1:14" ht="24" x14ac:dyDescent="0.3">
      <c r="A429" s="47">
        <v>8471240</v>
      </c>
      <c r="B429" s="47" t="s">
        <v>693</v>
      </c>
      <c r="C429" s="47" t="s">
        <v>696</v>
      </c>
      <c r="D429" s="47" t="s">
        <v>697</v>
      </c>
      <c r="E429" s="47" t="s">
        <v>698</v>
      </c>
      <c r="F429" s="48">
        <v>23000</v>
      </c>
      <c r="G429" s="48">
        <v>23000</v>
      </c>
      <c r="H429" s="52"/>
      <c r="I429" s="49">
        <v>0</v>
      </c>
      <c r="J429" s="49">
        <v>0</v>
      </c>
      <c r="K429" s="50">
        <f t="shared" si="6"/>
        <v>23000</v>
      </c>
      <c r="L429" s="51"/>
      <c r="M429" s="63" t="str">
        <f>VLOOKUP(A429,[1]Master!$C:$F,3,0)</f>
        <v>Academic and Student Services Office</v>
      </c>
      <c r="N429" s="42" t="str">
        <f>VLOOKUP(A429,[1]Master!$C:$F,4,0)</f>
        <v>Academic and Student Services Office</v>
      </c>
    </row>
    <row r="430" spans="1:14" ht="24" x14ac:dyDescent="0.3">
      <c r="A430" s="47">
        <v>8471240</v>
      </c>
      <c r="B430" s="47" t="s">
        <v>693</v>
      </c>
      <c r="C430" s="47" t="s">
        <v>144</v>
      </c>
      <c r="D430" s="47" t="s">
        <v>145</v>
      </c>
      <c r="E430" s="47" t="s">
        <v>699</v>
      </c>
      <c r="F430" s="48">
        <v>800000</v>
      </c>
      <c r="G430" s="48">
        <v>479055</v>
      </c>
      <c r="H430" s="48">
        <v>477351.06</v>
      </c>
      <c r="I430" s="49">
        <v>0</v>
      </c>
      <c r="J430" s="49">
        <v>0</v>
      </c>
      <c r="K430" s="50">
        <f t="shared" si="6"/>
        <v>1703.9400000000023</v>
      </c>
      <c r="L430" s="51"/>
      <c r="M430" s="63" t="str">
        <f>VLOOKUP(A430,[1]Master!$C:$F,3,0)</f>
        <v>Academic and Student Services Office</v>
      </c>
      <c r="N430" s="42" t="str">
        <f>VLOOKUP(A430,[1]Master!$C:$F,4,0)</f>
        <v>Academic and Student Services Office</v>
      </c>
    </row>
    <row r="431" spans="1:14" ht="24" x14ac:dyDescent="0.3">
      <c r="A431" s="47">
        <v>8471240</v>
      </c>
      <c r="B431" s="47" t="s">
        <v>693</v>
      </c>
      <c r="C431" s="47" t="s">
        <v>37</v>
      </c>
      <c r="D431" s="47" t="s">
        <v>38</v>
      </c>
      <c r="E431" s="47" t="s">
        <v>700</v>
      </c>
      <c r="F431" s="48">
        <v>24000</v>
      </c>
      <c r="G431" s="48">
        <v>24000</v>
      </c>
      <c r="H431" s="48">
        <v>8274</v>
      </c>
      <c r="I431" s="49">
        <v>0</v>
      </c>
      <c r="J431" s="49">
        <v>0</v>
      </c>
      <c r="K431" s="50">
        <f t="shared" si="6"/>
        <v>15726</v>
      </c>
      <c r="L431" s="51"/>
      <c r="M431" s="63" t="str">
        <f>VLOOKUP(A431,[1]Master!$C:$F,3,0)</f>
        <v>Academic and Student Services Office</v>
      </c>
      <c r="N431" s="42" t="str">
        <f>VLOOKUP(A431,[1]Master!$C:$F,4,0)</f>
        <v>Academic and Student Services Office</v>
      </c>
    </row>
    <row r="432" spans="1:14" ht="24" x14ac:dyDescent="0.3">
      <c r="A432" s="47">
        <v>8471240</v>
      </c>
      <c r="B432" s="47" t="s">
        <v>693</v>
      </c>
      <c r="C432" s="47" t="s">
        <v>40</v>
      </c>
      <c r="D432" s="47" t="s">
        <v>41</v>
      </c>
      <c r="E432" s="47" t="s">
        <v>701</v>
      </c>
      <c r="F432" s="48">
        <v>0</v>
      </c>
      <c r="G432" s="48">
        <v>363000</v>
      </c>
      <c r="H432" s="48">
        <v>145112.88</v>
      </c>
      <c r="I432" s="49">
        <v>0</v>
      </c>
      <c r="J432" s="49">
        <v>217669.33</v>
      </c>
      <c r="K432" s="50">
        <f t="shared" si="6"/>
        <v>217.79000000000815</v>
      </c>
      <c r="L432" s="51"/>
      <c r="M432" s="63" t="str">
        <f>VLOOKUP(A432,[1]Master!$C:$F,3,0)</f>
        <v>Academic and Student Services Office</v>
      </c>
      <c r="N432" s="42" t="str">
        <f>VLOOKUP(A432,[1]Master!$C:$F,4,0)</f>
        <v>Academic and Student Services Office</v>
      </c>
    </row>
    <row r="433" spans="1:14" ht="24" x14ac:dyDescent="0.3">
      <c r="A433" s="47">
        <v>8471240</v>
      </c>
      <c r="B433" s="47" t="s">
        <v>693</v>
      </c>
      <c r="C433" s="47" t="s">
        <v>61</v>
      </c>
      <c r="D433" s="47" t="s">
        <v>62</v>
      </c>
      <c r="E433" s="47" t="s">
        <v>702</v>
      </c>
      <c r="F433" s="48">
        <v>0</v>
      </c>
      <c r="G433" s="48">
        <v>11020</v>
      </c>
      <c r="H433" s="48">
        <v>11019</v>
      </c>
      <c r="I433" s="49">
        <v>0</v>
      </c>
      <c r="J433" s="49">
        <v>0</v>
      </c>
      <c r="K433" s="50">
        <f t="shared" si="6"/>
        <v>1</v>
      </c>
      <c r="L433" s="51"/>
      <c r="M433" s="63" t="str">
        <f>VLOOKUP(A433,[1]Master!$C:$F,3,0)</f>
        <v>Academic and Student Services Office</v>
      </c>
      <c r="N433" s="42" t="str">
        <f>VLOOKUP(A433,[1]Master!$C:$F,4,0)</f>
        <v>Academic and Student Services Office</v>
      </c>
    </row>
    <row r="434" spans="1:14" ht="24" x14ac:dyDescent="0.3">
      <c r="A434" s="47">
        <v>8471240</v>
      </c>
      <c r="B434" s="47" t="s">
        <v>693</v>
      </c>
      <c r="C434" s="47" t="s">
        <v>43</v>
      </c>
      <c r="D434" s="47" t="s">
        <v>44</v>
      </c>
      <c r="E434" s="47" t="s">
        <v>703</v>
      </c>
      <c r="F434" s="48">
        <v>60000</v>
      </c>
      <c r="G434" s="48">
        <v>20092</v>
      </c>
      <c r="H434" s="48">
        <v>20091.18</v>
      </c>
      <c r="I434" s="49">
        <v>0</v>
      </c>
      <c r="J434" s="49">
        <v>0</v>
      </c>
      <c r="K434" s="50">
        <f t="shared" si="6"/>
        <v>0.81999999999970896</v>
      </c>
      <c r="L434" s="51"/>
      <c r="M434" s="63" t="str">
        <f>VLOOKUP(A434,[1]Master!$C:$F,3,0)</f>
        <v>Academic and Student Services Office</v>
      </c>
      <c r="N434" s="42" t="str">
        <f>VLOOKUP(A434,[1]Master!$C:$F,4,0)</f>
        <v>Academic and Student Services Office</v>
      </c>
    </row>
    <row r="435" spans="1:14" ht="24" x14ac:dyDescent="0.3">
      <c r="A435" s="47">
        <v>8471240</v>
      </c>
      <c r="B435" s="47" t="s">
        <v>693</v>
      </c>
      <c r="C435" s="47" t="s">
        <v>49</v>
      </c>
      <c r="D435" s="47" t="s">
        <v>50</v>
      </c>
      <c r="E435" s="47" t="s">
        <v>704</v>
      </c>
      <c r="F435" s="48">
        <v>14000</v>
      </c>
      <c r="G435" s="48">
        <v>7104</v>
      </c>
      <c r="H435" s="52"/>
      <c r="I435" s="49">
        <v>0</v>
      </c>
      <c r="J435" s="49">
        <v>0</v>
      </c>
      <c r="K435" s="50">
        <f t="shared" si="6"/>
        <v>7104</v>
      </c>
      <c r="L435" s="51"/>
      <c r="M435" s="63" t="str">
        <f>VLOOKUP(A435,[1]Master!$C:$F,3,0)</f>
        <v>Academic and Student Services Office</v>
      </c>
      <c r="N435" s="42" t="str">
        <f>VLOOKUP(A435,[1]Master!$C:$F,4,0)</f>
        <v>Academic and Student Services Office</v>
      </c>
    </row>
    <row r="436" spans="1:14" ht="24" x14ac:dyDescent="0.3">
      <c r="A436" s="47">
        <v>8471240</v>
      </c>
      <c r="B436" s="47" t="s">
        <v>693</v>
      </c>
      <c r="C436" s="47" t="s">
        <v>705</v>
      </c>
      <c r="D436" s="47" t="s">
        <v>706</v>
      </c>
      <c r="E436" s="47" t="s">
        <v>707</v>
      </c>
      <c r="F436" s="48">
        <v>4750</v>
      </c>
      <c r="G436" s="48">
        <v>4750</v>
      </c>
      <c r="H436" s="52"/>
      <c r="I436" s="49">
        <v>0</v>
      </c>
      <c r="J436" s="49">
        <v>0</v>
      </c>
      <c r="K436" s="50">
        <f t="shared" si="6"/>
        <v>4750</v>
      </c>
      <c r="L436" s="51"/>
      <c r="M436" s="63" t="str">
        <f>VLOOKUP(A436,[1]Master!$C:$F,3,0)</f>
        <v>Academic and Student Services Office</v>
      </c>
      <c r="N436" s="42" t="str">
        <f>VLOOKUP(A436,[1]Master!$C:$F,4,0)</f>
        <v>Academic and Student Services Office</v>
      </c>
    </row>
    <row r="437" spans="1:14" ht="24" x14ac:dyDescent="0.3">
      <c r="A437" s="47">
        <v>8471240</v>
      </c>
      <c r="B437" s="47" t="s">
        <v>693</v>
      </c>
      <c r="C437" s="47" t="s">
        <v>154</v>
      </c>
      <c r="D437" s="47" t="s">
        <v>155</v>
      </c>
      <c r="E437" s="47" t="s">
        <v>708</v>
      </c>
      <c r="F437" s="48">
        <v>42000</v>
      </c>
      <c r="G437" s="48">
        <v>12000</v>
      </c>
      <c r="H437" s="52"/>
      <c r="I437" s="49">
        <v>0</v>
      </c>
      <c r="J437" s="49">
        <v>0</v>
      </c>
      <c r="K437" s="50">
        <f t="shared" si="6"/>
        <v>12000</v>
      </c>
      <c r="L437" s="51"/>
      <c r="M437" s="63" t="str">
        <f>VLOOKUP(A437,[1]Master!$C:$F,3,0)</f>
        <v>Academic and Student Services Office</v>
      </c>
      <c r="N437" s="42" t="str">
        <f>VLOOKUP(A437,[1]Master!$C:$F,4,0)</f>
        <v>Academic and Student Services Office</v>
      </c>
    </row>
    <row r="438" spans="1:14" ht="24" x14ac:dyDescent="0.3">
      <c r="A438" s="47">
        <v>8471240</v>
      </c>
      <c r="B438" s="47" t="s">
        <v>693</v>
      </c>
      <c r="C438" s="47" t="s">
        <v>545</v>
      </c>
      <c r="D438" s="47" t="s">
        <v>546</v>
      </c>
      <c r="E438" s="47" t="s">
        <v>709</v>
      </c>
      <c r="F438" s="48">
        <v>35000</v>
      </c>
      <c r="G438" s="48">
        <v>25000</v>
      </c>
      <c r="H438" s="52"/>
      <c r="I438" s="49">
        <v>0</v>
      </c>
      <c r="J438" s="49">
        <v>0</v>
      </c>
      <c r="K438" s="50">
        <f t="shared" si="6"/>
        <v>25000</v>
      </c>
      <c r="L438" s="51"/>
      <c r="M438" s="63" t="str">
        <f>VLOOKUP(A438,[1]Master!$C:$F,3,0)</f>
        <v>Academic and Student Services Office</v>
      </c>
      <c r="N438" s="42" t="str">
        <f>VLOOKUP(A438,[1]Master!$C:$F,4,0)</f>
        <v>Academic and Student Services Office</v>
      </c>
    </row>
    <row r="439" spans="1:14" ht="36" x14ac:dyDescent="0.3">
      <c r="A439" s="47">
        <v>8471250</v>
      </c>
      <c r="B439" s="47" t="s">
        <v>711</v>
      </c>
      <c r="C439" s="47" t="s">
        <v>31</v>
      </c>
      <c r="D439" s="47" t="s">
        <v>32</v>
      </c>
      <c r="E439" s="47" t="s">
        <v>712</v>
      </c>
      <c r="F439" s="48">
        <v>317500</v>
      </c>
      <c r="G439" s="48">
        <v>642474</v>
      </c>
      <c r="H439" s="48">
        <v>627040.85</v>
      </c>
      <c r="I439" s="49">
        <v>0</v>
      </c>
      <c r="J439" s="49">
        <v>0.02</v>
      </c>
      <c r="K439" s="50">
        <f t="shared" si="6"/>
        <v>15433.130000000023</v>
      </c>
      <c r="L439" s="51"/>
      <c r="M439" s="63" t="str">
        <f>VLOOKUP(A439,[1]Master!$C:$F,3,0)</f>
        <v>Academic and Student Services Office</v>
      </c>
      <c r="N439" s="42" t="str">
        <f>VLOOKUP(A439,[1]Master!$C:$F,4,0)</f>
        <v>Academic and Student Services Office</v>
      </c>
    </row>
    <row r="440" spans="1:14" ht="24" x14ac:dyDescent="0.3">
      <c r="A440" s="47">
        <v>8471250</v>
      </c>
      <c r="B440" s="47" t="s">
        <v>711</v>
      </c>
      <c r="C440" s="47" t="s">
        <v>274</v>
      </c>
      <c r="D440" s="47" t="s">
        <v>275</v>
      </c>
      <c r="E440" s="47" t="s">
        <v>713</v>
      </c>
      <c r="F440" s="48">
        <v>560000</v>
      </c>
      <c r="G440" s="48">
        <v>0</v>
      </c>
      <c r="H440" s="52"/>
      <c r="I440" s="49">
        <v>0</v>
      </c>
      <c r="J440" s="49">
        <v>0</v>
      </c>
      <c r="K440" s="50">
        <f t="shared" si="6"/>
        <v>0</v>
      </c>
      <c r="L440" s="51"/>
      <c r="M440" s="63" t="str">
        <f>VLOOKUP(A440,[1]Master!$C:$F,3,0)</f>
        <v>Academic and Student Services Office</v>
      </c>
      <c r="N440" s="42" t="str">
        <f>VLOOKUP(A440,[1]Master!$C:$F,4,0)</f>
        <v>Academic and Student Services Office</v>
      </c>
    </row>
    <row r="441" spans="1:14" ht="24" x14ac:dyDescent="0.3">
      <c r="A441" s="47">
        <v>8471250</v>
      </c>
      <c r="B441" s="47" t="s">
        <v>711</v>
      </c>
      <c r="C441" s="47" t="s">
        <v>144</v>
      </c>
      <c r="D441" s="47" t="s">
        <v>145</v>
      </c>
      <c r="E441" s="47" t="s">
        <v>714</v>
      </c>
      <c r="F441" s="48">
        <v>0</v>
      </c>
      <c r="G441" s="48">
        <v>80600</v>
      </c>
      <c r="H441" s="48">
        <v>59045</v>
      </c>
      <c r="I441" s="49">
        <v>0</v>
      </c>
      <c r="J441" s="49">
        <v>0</v>
      </c>
      <c r="K441" s="50">
        <f t="shared" si="6"/>
        <v>21555</v>
      </c>
      <c r="L441" s="51"/>
      <c r="M441" s="63" t="str">
        <f>VLOOKUP(A441,[1]Master!$C:$F,3,0)</f>
        <v>Academic and Student Services Office</v>
      </c>
      <c r="N441" s="42" t="str">
        <f>VLOOKUP(A441,[1]Master!$C:$F,4,0)</f>
        <v>Academic and Student Services Office</v>
      </c>
    </row>
    <row r="442" spans="1:14" ht="24" x14ac:dyDescent="0.3">
      <c r="A442" s="47">
        <v>8471250</v>
      </c>
      <c r="B442" s="47" t="s">
        <v>711</v>
      </c>
      <c r="C442" s="47" t="s">
        <v>147</v>
      </c>
      <c r="D442" s="47" t="s">
        <v>148</v>
      </c>
      <c r="E442" s="47" t="s">
        <v>715</v>
      </c>
      <c r="F442" s="48">
        <v>520000</v>
      </c>
      <c r="G442" s="48">
        <v>483339</v>
      </c>
      <c r="H442" s="48">
        <v>483337.95</v>
      </c>
      <c r="I442" s="49">
        <v>0</v>
      </c>
      <c r="J442" s="49">
        <v>0</v>
      </c>
      <c r="K442" s="50">
        <f t="shared" si="6"/>
        <v>1.0499999999883585</v>
      </c>
      <c r="L442" s="51"/>
      <c r="M442" s="63" t="str">
        <f>VLOOKUP(A442,[1]Master!$C:$F,3,0)</f>
        <v>Academic and Student Services Office</v>
      </c>
      <c r="N442" s="42" t="str">
        <f>VLOOKUP(A442,[1]Master!$C:$F,4,0)</f>
        <v>Academic and Student Services Office</v>
      </c>
    </row>
    <row r="443" spans="1:14" ht="24" x14ac:dyDescent="0.3">
      <c r="A443" s="47">
        <v>8471250</v>
      </c>
      <c r="B443" s="47" t="s">
        <v>711</v>
      </c>
      <c r="C443" s="47" t="s">
        <v>37</v>
      </c>
      <c r="D443" s="47" t="s">
        <v>38</v>
      </c>
      <c r="E443" s="47" t="s">
        <v>716</v>
      </c>
      <c r="F443" s="48">
        <v>51000</v>
      </c>
      <c r="G443" s="48">
        <v>31400</v>
      </c>
      <c r="H443" s="48">
        <v>31400</v>
      </c>
      <c r="I443" s="49">
        <v>0</v>
      </c>
      <c r="J443" s="49">
        <v>0</v>
      </c>
      <c r="K443" s="50">
        <f t="shared" si="6"/>
        <v>0</v>
      </c>
      <c r="L443" s="51"/>
      <c r="M443" s="63" t="str">
        <f>VLOOKUP(A443,[1]Master!$C:$F,3,0)</f>
        <v>Academic and Student Services Office</v>
      </c>
      <c r="N443" s="42" t="str">
        <f>VLOOKUP(A443,[1]Master!$C:$F,4,0)</f>
        <v>Academic and Student Services Office</v>
      </c>
    </row>
    <row r="444" spans="1:14" ht="24" x14ac:dyDescent="0.3">
      <c r="A444" s="47">
        <v>8471250</v>
      </c>
      <c r="B444" s="47" t="s">
        <v>711</v>
      </c>
      <c r="C444" s="47" t="s">
        <v>40</v>
      </c>
      <c r="D444" s="47" t="s">
        <v>41</v>
      </c>
      <c r="E444" s="47" t="s">
        <v>717</v>
      </c>
      <c r="F444" s="48">
        <v>60608</v>
      </c>
      <c r="G444" s="48">
        <v>60608</v>
      </c>
      <c r="H444" s="48">
        <v>60604.5</v>
      </c>
      <c r="I444" s="49">
        <v>0</v>
      </c>
      <c r="J444" s="49">
        <v>0</v>
      </c>
      <c r="K444" s="50">
        <f t="shared" si="6"/>
        <v>3.5</v>
      </c>
      <c r="L444" s="51"/>
      <c r="M444" s="63" t="str">
        <f>VLOOKUP(A444,[1]Master!$C:$F,3,0)</f>
        <v>Academic and Student Services Office</v>
      </c>
      <c r="N444" s="42" t="str">
        <f>VLOOKUP(A444,[1]Master!$C:$F,4,0)</f>
        <v>Academic and Student Services Office</v>
      </c>
    </row>
    <row r="445" spans="1:14" ht="24" x14ac:dyDescent="0.3">
      <c r="A445" s="47">
        <v>8471250</v>
      </c>
      <c r="B445" s="47" t="s">
        <v>711</v>
      </c>
      <c r="C445" s="47" t="s">
        <v>43</v>
      </c>
      <c r="D445" s="47" t="s">
        <v>44</v>
      </c>
      <c r="E445" s="47" t="s">
        <v>718</v>
      </c>
      <c r="F445" s="48">
        <v>0</v>
      </c>
      <c r="G445" s="48">
        <v>7536</v>
      </c>
      <c r="H445" s="48">
        <v>7535</v>
      </c>
      <c r="I445" s="49">
        <v>0</v>
      </c>
      <c r="J445" s="49">
        <v>0</v>
      </c>
      <c r="K445" s="50">
        <f t="shared" si="6"/>
        <v>1</v>
      </c>
      <c r="L445" s="51"/>
      <c r="M445" s="63" t="str">
        <f>VLOOKUP(A445,[1]Master!$C:$F,3,0)</f>
        <v>Academic and Student Services Office</v>
      </c>
      <c r="N445" s="42" t="str">
        <f>VLOOKUP(A445,[1]Master!$C:$F,4,0)</f>
        <v>Academic and Student Services Office</v>
      </c>
    </row>
    <row r="446" spans="1:14" ht="24" x14ac:dyDescent="0.3">
      <c r="A446" s="47">
        <v>8471250</v>
      </c>
      <c r="B446" s="47" t="s">
        <v>711</v>
      </c>
      <c r="C446" s="47" t="s">
        <v>49</v>
      </c>
      <c r="D446" s="47" t="s">
        <v>50</v>
      </c>
      <c r="E446" s="47" t="s">
        <v>719</v>
      </c>
      <c r="F446" s="48">
        <v>46500</v>
      </c>
      <c r="G446" s="48">
        <v>1</v>
      </c>
      <c r="H446" s="52"/>
      <c r="I446" s="49">
        <v>0</v>
      </c>
      <c r="J446" s="49">
        <v>0</v>
      </c>
      <c r="K446" s="50">
        <f t="shared" si="6"/>
        <v>1</v>
      </c>
      <c r="L446" s="51"/>
      <c r="M446" s="63" t="str">
        <f>VLOOKUP(A446,[1]Master!$C:$F,3,0)</f>
        <v>Academic and Student Services Office</v>
      </c>
      <c r="N446" s="42" t="str">
        <f>VLOOKUP(A446,[1]Master!$C:$F,4,0)</f>
        <v>Academic and Student Services Office</v>
      </c>
    </row>
    <row r="447" spans="1:14" ht="24" x14ac:dyDescent="0.3">
      <c r="A447" s="47">
        <v>8471250</v>
      </c>
      <c r="B447" s="47" t="s">
        <v>711</v>
      </c>
      <c r="C447" s="47" t="s">
        <v>154</v>
      </c>
      <c r="D447" s="47" t="s">
        <v>155</v>
      </c>
      <c r="E447" s="47" t="s">
        <v>720</v>
      </c>
      <c r="F447" s="48">
        <v>10000</v>
      </c>
      <c r="G447" s="48">
        <v>12170</v>
      </c>
      <c r="H447" s="52"/>
      <c r="I447" s="49">
        <v>12167.5</v>
      </c>
      <c r="J447" s="49">
        <v>0</v>
      </c>
      <c r="K447" s="50">
        <f t="shared" si="6"/>
        <v>2.5</v>
      </c>
      <c r="L447" s="51"/>
      <c r="M447" s="63" t="str">
        <f>VLOOKUP(A447,[1]Master!$C:$F,3,0)</f>
        <v>Academic and Student Services Office</v>
      </c>
      <c r="N447" s="42" t="str">
        <f>VLOOKUP(A447,[1]Master!$C:$F,4,0)</f>
        <v>Academic and Student Services Office</v>
      </c>
    </row>
    <row r="448" spans="1:14" ht="24" x14ac:dyDescent="0.3">
      <c r="A448" s="47">
        <v>8471260</v>
      </c>
      <c r="B448" s="47" t="s">
        <v>722</v>
      </c>
      <c r="C448" s="47" t="s">
        <v>437</v>
      </c>
      <c r="D448" s="47" t="s">
        <v>438</v>
      </c>
      <c r="E448" s="47" t="s">
        <v>723</v>
      </c>
      <c r="F448" s="48">
        <v>2058000</v>
      </c>
      <c r="G448" s="48">
        <v>353000</v>
      </c>
      <c r="H448" s="48">
        <v>352238.57</v>
      </c>
      <c r="I448" s="49">
        <v>0</v>
      </c>
      <c r="J448" s="49">
        <v>0</v>
      </c>
      <c r="K448" s="50">
        <f t="shared" si="6"/>
        <v>761.42999999999302</v>
      </c>
      <c r="L448" s="51"/>
      <c r="M448" s="63" t="str">
        <f>VLOOKUP(A448,[1]Master!$C:$F,3,0)</f>
        <v>Academic and Student Services Office</v>
      </c>
      <c r="N448" s="42" t="str">
        <f>VLOOKUP(A448,[1]Master!$C:$F,4,0)</f>
        <v>Academic and Student Services Office</v>
      </c>
    </row>
    <row r="449" spans="1:14" ht="36" x14ac:dyDescent="0.3">
      <c r="A449" s="47">
        <v>8471260</v>
      </c>
      <c r="B449" s="47" t="s">
        <v>722</v>
      </c>
      <c r="C449" s="47" t="s">
        <v>31</v>
      </c>
      <c r="D449" s="47" t="s">
        <v>32</v>
      </c>
      <c r="E449" s="47" t="s">
        <v>724</v>
      </c>
      <c r="F449" s="48">
        <v>205000</v>
      </c>
      <c r="G449" s="48">
        <v>99000</v>
      </c>
      <c r="H449" s="48">
        <v>92133.91</v>
      </c>
      <c r="I449" s="49">
        <v>0</v>
      </c>
      <c r="J449" s="49">
        <v>0</v>
      </c>
      <c r="K449" s="50">
        <f t="shared" si="6"/>
        <v>6866.0899999999965</v>
      </c>
      <c r="L449" s="51"/>
      <c r="M449" s="63" t="str">
        <f>VLOOKUP(A449,[1]Master!$C:$F,3,0)</f>
        <v>Academic and Student Services Office</v>
      </c>
      <c r="N449" s="42" t="str">
        <f>VLOOKUP(A449,[1]Master!$C:$F,4,0)</f>
        <v>Academic and Student Services Office</v>
      </c>
    </row>
    <row r="450" spans="1:14" ht="24" x14ac:dyDescent="0.3">
      <c r="A450" s="47">
        <v>8471260</v>
      </c>
      <c r="B450" s="47" t="s">
        <v>722</v>
      </c>
      <c r="C450" s="47" t="s">
        <v>274</v>
      </c>
      <c r="D450" s="47" t="s">
        <v>275</v>
      </c>
      <c r="E450" s="47" t="s">
        <v>725</v>
      </c>
      <c r="F450" s="48">
        <v>0</v>
      </c>
      <c r="G450" s="48">
        <v>0</v>
      </c>
      <c r="H450" s="52"/>
      <c r="I450" s="49">
        <v>0</v>
      </c>
      <c r="J450" s="49">
        <v>0</v>
      </c>
      <c r="K450" s="50">
        <f t="shared" si="6"/>
        <v>0</v>
      </c>
      <c r="L450" s="51"/>
      <c r="M450" s="63" t="str">
        <f>VLOOKUP(A450,[1]Master!$C:$F,3,0)</f>
        <v>Academic and Student Services Office</v>
      </c>
      <c r="N450" s="42" t="str">
        <f>VLOOKUP(A450,[1]Master!$C:$F,4,0)</f>
        <v>Academic and Student Services Office</v>
      </c>
    </row>
    <row r="451" spans="1:14" ht="24" x14ac:dyDescent="0.3">
      <c r="A451" s="47">
        <v>8471260</v>
      </c>
      <c r="B451" s="47" t="s">
        <v>722</v>
      </c>
      <c r="C451" s="47" t="s">
        <v>726</v>
      </c>
      <c r="D451" s="47" t="s">
        <v>727</v>
      </c>
      <c r="E451" s="47" t="s">
        <v>728</v>
      </c>
      <c r="F451" s="48">
        <v>9349361</v>
      </c>
      <c r="G451" s="48">
        <v>12799361</v>
      </c>
      <c r="H451" s="48">
        <v>12789313.02</v>
      </c>
      <c r="I451" s="49">
        <v>0</v>
      </c>
      <c r="J451" s="49">
        <v>0</v>
      </c>
      <c r="K451" s="50">
        <f t="shared" si="6"/>
        <v>10047.980000000447</v>
      </c>
      <c r="L451" s="51"/>
      <c r="M451" s="63" t="str">
        <f>VLOOKUP(A451,[1]Master!$C:$F,3,0)</f>
        <v>Academic and Student Services Office</v>
      </c>
      <c r="N451" s="42" t="str">
        <f>VLOOKUP(A451,[1]Master!$C:$F,4,0)</f>
        <v>Academic and Student Services Office</v>
      </c>
    </row>
    <row r="452" spans="1:14" ht="24" x14ac:dyDescent="0.3">
      <c r="A452" s="47">
        <v>8471260</v>
      </c>
      <c r="B452" s="47" t="s">
        <v>722</v>
      </c>
      <c r="C452" s="47" t="s">
        <v>449</v>
      </c>
      <c r="D452" s="47" t="s">
        <v>450</v>
      </c>
      <c r="E452" s="47" t="s">
        <v>729</v>
      </c>
      <c r="F452" s="48">
        <v>225000</v>
      </c>
      <c r="G452" s="48">
        <v>586812</v>
      </c>
      <c r="H452" s="48">
        <v>580993.6</v>
      </c>
      <c r="I452" s="49">
        <v>0</v>
      </c>
      <c r="J452" s="49">
        <v>0</v>
      </c>
      <c r="K452" s="50">
        <f t="shared" ref="K452:K509" si="7">G452-H452-I452-J452</f>
        <v>5818.4000000000233</v>
      </c>
      <c r="L452" s="51"/>
      <c r="M452" s="63" t="str">
        <f>VLOOKUP(A452,[1]Master!$C:$F,3,0)</f>
        <v>Academic and Student Services Office</v>
      </c>
      <c r="N452" s="42" t="str">
        <f>VLOOKUP(A452,[1]Master!$C:$F,4,0)</f>
        <v>Academic and Student Services Office</v>
      </c>
    </row>
    <row r="453" spans="1:14" ht="24" x14ac:dyDescent="0.3">
      <c r="A453" s="47">
        <v>8471260</v>
      </c>
      <c r="B453" s="47" t="s">
        <v>722</v>
      </c>
      <c r="C453" s="47" t="s">
        <v>183</v>
      </c>
      <c r="D453" s="47" t="s">
        <v>184</v>
      </c>
      <c r="E453" s="47" t="s">
        <v>730</v>
      </c>
      <c r="F453" s="48">
        <v>936870</v>
      </c>
      <c r="G453" s="48">
        <v>508334</v>
      </c>
      <c r="H453" s="48">
        <v>496332.73</v>
      </c>
      <c r="I453" s="49">
        <v>0</v>
      </c>
      <c r="J453" s="49">
        <v>12000</v>
      </c>
      <c r="K453" s="50">
        <f t="shared" si="7"/>
        <v>1.2700000000186265</v>
      </c>
      <c r="L453" s="51"/>
      <c r="M453" s="63" t="str">
        <f>VLOOKUP(A453,[1]Master!$C:$F,3,0)</f>
        <v>Academic and Student Services Office</v>
      </c>
      <c r="N453" s="42" t="str">
        <f>VLOOKUP(A453,[1]Master!$C:$F,4,0)</f>
        <v>Academic and Student Services Office</v>
      </c>
    </row>
    <row r="454" spans="1:14" ht="24" x14ac:dyDescent="0.3">
      <c r="A454" s="47">
        <v>8471260</v>
      </c>
      <c r="B454" s="47" t="s">
        <v>722</v>
      </c>
      <c r="C454" s="47" t="s">
        <v>37</v>
      </c>
      <c r="D454" s="47" t="s">
        <v>38</v>
      </c>
      <c r="E454" s="47" t="s">
        <v>731</v>
      </c>
      <c r="F454" s="48">
        <v>70800</v>
      </c>
      <c r="G454" s="48">
        <v>144988</v>
      </c>
      <c r="H454" s="48">
        <v>139521.91</v>
      </c>
      <c r="I454" s="49">
        <v>0</v>
      </c>
      <c r="J454" s="49">
        <v>0</v>
      </c>
      <c r="K454" s="50">
        <f t="shared" si="7"/>
        <v>5466.0899999999965</v>
      </c>
      <c r="L454" s="51"/>
      <c r="M454" s="63" t="str">
        <f>VLOOKUP(A454,[1]Master!$C:$F,3,0)</f>
        <v>Academic and Student Services Office</v>
      </c>
      <c r="N454" s="42" t="str">
        <f>VLOOKUP(A454,[1]Master!$C:$F,4,0)</f>
        <v>Academic and Student Services Office</v>
      </c>
    </row>
    <row r="455" spans="1:14" ht="24" x14ac:dyDescent="0.3">
      <c r="A455" s="47">
        <v>8471260</v>
      </c>
      <c r="B455" s="47" t="s">
        <v>722</v>
      </c>
      <c r="C455" s="47" t="s">
        <v>49</v>
      </c>
      <c r="D455" s="47" t="s">
        <v>50</v>
      </c>
      <c r="E455" s="47" t="s">
        <v>732</v>
      </c>
      <c r="F455" s="48">
        <v>32500</v>
      </c>
      <c r="G455" s="48">
        <v>63492</v>
      </c>
      <c r="H455" s="48">
        <v>63361.19</v>
      </c>
      <c r="I455" s="49">
        <v>0</v>
      </c>
      <c r="J455" s="49">
        <v>0</v>
      </c>
      <c r="K455" s="50">
        <f t="shared" si="7"/>
        <v>130.80999999999767</v>
      </c>
      <c r="L455" s="51"/>
      <c r="M455" s="63" t="str">
        <f>VLOOKUP(A455,[1]Master!$C:$F,3,0)</f>
        <v>Academic and Student Services Office</v>
      </c>
      <c r="N455" s="42" t="str">
        <f>VLOOKUP(A455,[1]Master!$C:$F,4,0)</f>
        <v>Academic and Student Services Office</v>
      </c>
    </row>
    <row r="456" spans="1:14" ht="36" x14ac:dyDescent="0.3">
      <c r="A456" s="47">
        <v>8471260</v>
      </c>
      <c r="B456" s="47" t="s">
        <v>722</v>
      </c>
      <c r="C456" s="47" t="s">
        <v>672</v>
      </c>
      <c r="D456" s="47" t="s">
        <v>673</v>
      </c>
      <c r="E456" s="47" t="s">
        <v>733</v>
      </c>
      <c r="F456" s="48">
        <v>12000</v>
      </c>
      <c r="G456" s="48">
        <v>117000</v>
      </c>
      <c r="H456" s="48">
        <v>114563.25</v>
      </c>
      <c r="I456" s="49">
        <v>0</v>
      </c>
      <c r="J456" s="49">
        <v>0</v>
      </c>
      <c r="K456" s="50">
        <f t="shared" si="7"/>
        <v>2436.75</v>
      </c>
      <c r="L456" s="51"/>
      <c r="M456" s="63" t="str">
        <f>VLOOKUP(A456,[1]Master!$C:$F,3,0)</f>
        <v>Academic and Student Services Office</v>
      </c>
      <c r="N456" s="42" t="str">
        <f>VLOOKUP(A456,[1]Master!$C:$F,4,0)</f>
        <v>Academic and Student Services Office</v>
      </c>
    </row>
    <row r="457" spans="1:14" ht="24" x14ac:dyDescent="0.3">
      <c r="A457" s="47">
        <v>8471260</v>
      </c>
      <c r="B457" s="47" t="s">
        <v>722</v>
      </c>
      <c r="C457" s="47" t="s">
        <v>154</v>
      </c>
      <c r="D457" s="47" t="s">
        <v>155</v>
      </c>
      <c r="E457" s="47" t="s">
        <v>734</v>
      </c>
      <c r="F457" s="48">
        <v>13500</v>
      </c>
      <c r="G457" s="48">
        <v>13500</v>
      </c>
      <c r="H457" s="48">
        <v>9097.73</v>
      </c>
      <c r="I457" s="49">
        <v>0</v>
      </c>
      <c r="J457" s="49">
        <v>0</v>
      </c>
      <c r="K457" s="50">
        <f t="shared" si="7"/>
        <v>4402.2700000000004</v>
      </c>
      <c r="L457" s="51"/>
      <c r="M457" s="63" t="str">
        <f>VLOOKUP(A457,[1]Master!$C:$F,3,0)</f>
        <v>Academic and Student Services Office</v>
      </c>
      <c r="N457" s="42" t="str">
        <f>VLOOKUP(A457,[1]Master!$C:$F,4,0)</f>
        <v>Academic and Student Services Office</v>
      </c>
    </row>
    <row r="458" spans="1:14" x14ac:dyDescent="0.3">
      <c r="A458" s="47">
        <v>8471270</v>
      </c>
      <c r="B458" s="47" t="s">
        <v>736</v>
      </c>
      <c r="C458" s="47" t="s">
        <v>37</v>
      </c>
      <c r="D458" s="47" t="s">
        <v>38</v>
      </c>
      <c r="E458" s="47" t="s">
        <v>737</v>
      </c>
      <c r="F458" s="48">
        <v>50000</v>
      </c>
      <c r="G458" s="48">
        <v>5962</v>
      </c>
      <c r="H458" s="48">
        <v>2961</v>
      </c>
      <c r="I458" s="49">
        <v>0</v>
      </c>
      <c r="J458" s="49">
        <v>0</v>
      </c>
      <c r="K458" s="50">
        <f t="shared" si="7"/>
        <v>3001</v>
      </c>
      <c r="L458" s="51"/>
      <c r="M458" s="63" t="str">
        <f>VLOOKUP(A458,[1]Master!$C:$F,3,0)</f>
        <v>Academic and Student Services Office</v>
      </c>
      <c r="N458" s="42" t="str">
        <f>VLOOKUP(A458,[1]Master!$C:$F,4,0)</f>
        <v>Academic and Student Services Office</v>
      </c>
    </row>
    <row r="459" spans="1:14" ht="24" x14ac:dyDescent="0.3">
      <c r="A459" s="47">
        <v>8471270</v>
      </c>
      <c r="B459" s="47" t="s">
        <v>736</v>
      </c>
      <c r="C459" s="47" t="s">
        <v>43</v>
      </c>
      <c r="D459" s="47" t="s">
        <v>44</v>
      </c>
      <c r="E459" s="47" t="s">
        <v>738</v>
      </c>
      <c r="F459" s="48">
        <v>300000</v>
      </c>
      <c r="G459" s="48">
        <v>21738</v>
      </c>
      <c r="H459" s="52"/>
      <c r="I459" s="49">
        <v>0</v>
      </c>
      <c r="J459" s="49">
        <v>0</v>
      </c>
      <c r="K459" s="50">
        <f t="shared" si="7"/>
        <v>21738</v>
      </c>
      <c r="L459" s="51"/>
      <c r="M459" s="63" t="str">
        <f>VLOOKUP(A459,[1]Master!$C:$F,3,0)</f>
        <v>Academic and Student Services Office</v>
      </c>
      <c r="N459" s="42" t="str">
        <f>VLOOKUP(A459,[1]Master!$C:$F,4,0)</f>
        <v>Academic and Student Services Office</v>
      </c>
    </row>
    <row r="460" spans="1:14" ht="72" x14ac:dyDescent="0.3">
      <c r="A460" s="47">
        <v>8471270</v>
      </c>
      <c r="B460" s="47" t="s">
        <v>736</v>
      </c>
      <c r="C460" s="47" t="s">
        <v>705</v>
      </c>
      <c r="D460" s="47" t="s">
        <v>706</v>
      </c>
      <c r="E460" s="47" t="s">
        <v>739</v>
      </c>
      <c r="F460" s="48">
        <v>15199430</v>
      </c>
      <c r="G460" s="48">
        <v>14545206</v>
      </c>
      <c r="H460" s="48">
        <v>14192334.699999999</v>
      </c>
      <c r="I460" s="49">
        <v>73143.000000000495</v>
      </c>
      <c r="J460" s="49">
        <v>113154.48</v>
      </c>
      <c r="K460" s="50">
        <f t="shared" si="7"/>
        <v>166573.8200000003</v>
      </c>
      <c r="L460" s="54" t="s">
        <v>877</v>
      </c>
      <c r="M460" s="63" t="str">
        <f>VLOOKUP(A460,[1]Master!$C:$F,3,0)</f>
        <v>Academic and Student Services Office</v>
      </c>
      <c r="N460" s="42" t="str">
        <f>VLOOKUP(A460,[1]Master!$C:$F,4,0)</f>
        <v>Academic and Student Services Office</v>
      </c>
    </row>
    <row r="461" spans="1:14" x14ac:dyDescent="0.3">
      <c r="A461" s="47">
        <v>8471270</v>
      </c>
      <c r="B461" s="47" t="s">
        <v>736</v>
      </c>
      <c r="C461" s="47" t="s">
        <v>154</v>
      </c>
      <c r="D461" s="47" t="s">
        <v>155</v>
      </c>
      <c r="E461" s="47" t="s">
        <v>740</v>
      </c>
      <c r="F461" s="48">
        <v>50000</v>
      </c>
      <c r="G461" s="48">
        <v>0</v>
      </c>
      <c r="H461" s="52"/>
      <c r="I461" s="49">
        <v>0</v>
      </c>
      <c r="J461" s="49">
        <v>0</v>
      </c>
      <c r="K461" s="50">
        <f t="shared" si="7"/>
        <v>0</v>
      </c>
      <c r="L461" s="51"/>
      <c r="M461" s="63" t="str">
        <f>VLOOKUP(A461,[1]Master!$C:$F,3,0)</f>
        <v>Academic and Student Services Office</v>
      </c>
      <c r="N461" s="42" t="str">
        <f>VLOOKUP(A461,[1]Master!$C:$F,4,0)</f>
        <v>Academic and Student Services Office</v>
      </c>
    </row>
    <row r="462" spans="1:14" ht="36" x14ac:dyDescent="0.3">
      <c r="A462" s="47">
        <v>8471280</v>
      </c>
      <c r="B462" s="47" t="s">
        <v>742</v>
      </c>
      <c r="C462" s="47" t="s">
        <v>67</v>
      </c>
      <c r="D462" s="47" t="s">
        <v>68</v>
      </c>
      <c r="E462" s="47" t="s">
        <v>743</v>
      </c>
      <c r="F462" s="48">
        <v>2500</v>
      </c>
      <c r="G462" s="48">
        <v>2500</v>
      </c>
      <c r="H462" s="52"/>
      <c r="I462" s="49">
        <v>0</v>
      </c>
      <c r="J462" s="49">
        <v>0</v>
      </c>
      <c r="K462" s="50">
        <f t="shared" si="7"/>
        <v>2500</v>
      </c>
      <c r="L462" s="51"/>
      <c r="M462" s="63" t="str">
        <f>VLOOKUP(A462,[1]Master!$C:$F,3,0)</f>
        <v>Academic and Student Services Office</v>
      </c>
      <c r="N462" s="42" t="str">
        <f>VLOOKUP(A462,[1]Master!$C:$F,4,0)</f>
        <v>Academic and Student Services Office</v>
      </c>
    </row>
    <row r="463" spans="1:14" ht="36" x14ac:dyDescent="0.3">
      <c r="A463" s="47">
        <v>8471280</v>
      </c>
      <c r="B463" s="47" t="s">
        <v>742</v>
      </c>
      <c r="C463" s="47" t="s">
        <v>31</v>
      </c>
      <c r="D463" s="47" t="s">
        <v>32</v>
      </c>
      <c r="E463" s="47" t="s">
        <v>744</v>
      </c>
      <c r="F463" s="48">
        <v>30000</v>
      </c>
      <c r="G463" s="48">
        <v>147130</v>
      </c>
      <c r="H463" s="48">
        <v>147128.99</v>
      </c>
      <c r="I463" s="49">
        <v>0</v>
      </c>
      <c r="J463" s="49">
        <v>0</v>
      </c>
      <c r="K463" s="50">
        <f t="shared" si="7"/>
        <v>1.0100000000093132</v>
      </c>
      <c r="L463" s="51"/>
      <c r="M463" s="63" t="str">
        <f>VLOOKUP(A463,[1]Master!$C:$F,3,0)</f>
        <v>Academic and Student Services Office</v>
      </c>
      <c r="N463" s="42" t="str">
        <f>VLOOKUP(A463,[1]Master!$C:$F,4,0)</f>
        <v>Academic and Student Services Office</v>
      </c>
    </row>
    <row r="464" spans="1:14" ht="36" x14ac:dyDescent="0.3">
      <c r="A464" s="47">
        <v>8471280</v>
      </c>
      <c r="B464" s="47" t="s">
        <v>742</v>
      </c>
      <c r="C464" s="47" t="s">
        <v>34</v>
      </c>
      <c r="D464" s="47" t="s">
        <v>35</v>
      </c>
      <c r="E464" s="47" t="s">
        <v>745</v>
      </c>
      <c r="F464" s="48">
        <v>60000</v>
      </c>
      <c r="G464" s="48">
        <v>28418</v>
      </c>
      <c r="H464" s="48">
        <v>28416.86</v>
      </c>
      <c r="I464" s="49">
        <v>0</v>
      </c>
      <c r="J464" s="49">
        <v>0</v>
      </c>
      <c r="K464" s="50">
        <f t="shared" si="7"/>
        <v>1.1399999999994179</v>
      </c>
      <c r="L464" s="51"/>
      <c r="M464" s="63" t="str">
        <f>VLOOKUP(A464,[1]Master!$C:$F,3,0)</f>
        <v>Academic and Student Services Office</v>
      </c>
      <c r="N464" s="42" t="str">
        <f>VLOOKUP(A464,[1]Master!$C:$F,4,0)</f>
        <v>Academic and Student Services Office</v>
      </c>
    </row>
    <row r="465" spans="1:14" ht="36" x14ac:dyDescent="0.3">
      <c r="A465" s="47">
        <v>8471280</v>
      </c>
      <c r="B465" s="47" t="s">
        <v>742</v>
      </c>
      <c r="C465" s="47" t="s">
        <v>746</v>
      </c>
      <c r="D465" s="47" t="s">
        <v>747</v>
      </c>
      <c r="E465" s="47" t="s">
        <v>748</v>
      </c>
      <c r="F465" s="48">
        <v>0</v>
      </c>
      <c r="G465" s="48">
        <v>200000</v>
      </c>
      <c r="H465" s="48">
        <v>177500</v>
      </c>
      <c r="I465" s="49">
        <v>0</v>
      </c>
      <c r="J465" s="49">
        <v>0</v>
      </c>
      <c r="K465" s="50">
        <f t="shared" si="7"/>
        <v>22500</v>
      </c>
      <c r="L465" s="51"/>
      <c r="M465" s="63" t="str">
        <f>VLOOKUP(A465,[1]Master!$C:$F,3,0)</f>
        <v>Academic and Student Services Office</v>
      </c>
      <c r="N465" s="42" t="str">
        <f>VLOOKUP(A465,[1]Master!$C:$F,4,0)</f>
        <v>Academic and Student Services Office</v>
      </c>
    </row>
    <row r="466" spans="1:14" ht="36" x14ac:dyDescent="0.3">
      <c r="A466" s="47">
        <v>8471280</v>
      </c>
      <c r="B466" s="47" t="s">
        <v>742</v>
      </c>
      <c r="C466" s="47" t="s">
        <v>183</v>
      </c>
      <c r="D466" s="47" t="s">
        <v>184</v>
      </c>
      <c r="E466" s="47" t="s">
        <v>749</v>
      </c>
      <c r="F466" s="48">
        <v>30000</v>
      </c>
      <c r="G466" s="48">
        <v>3001</v>
      </c>
      <c r="H466" s="48">
        <v>3000</v>
      </c>
      <c r="I466" s="49">
        <v>0</v>
      </c>
      <c r="J466" s="49">
        <v>0</v>
      </c>
      <c r="K466" s="50">
        <f t="shared" si="7"/>
        <v>1</v>
      </c>
      <c r="L466" s="51"/>
      <c r="M466" s="63" t="str">
        <f>VLOOKUP(A466,[1]Master!$C:$F,3,0)</f>
        <v>Academic and Student Services Office</v>
      </c>
      <c r="N466" s="42" t="str">
        <f>VLOOKUP(A466,[1]Master!$C:$F,4,0)</f>
        <v>Academic and Student Services Office</v>
      </c>
    </row>
    <row r="467" spans="1:14" ht="36" x14ac:dyDescent="0.3">
      <c r="A467" s="47">
        <v>8471280</v>
      </c>
      <c r="B467" s="47" t="s">
        <v>742</v>
      </c>
      <c r="C467" s="47" t="s">
        <v>97</v>
      </c>
      <c r="D467" s="47" t="s">
        <v>98</v>
      </c>
      <c r="E467" s="47" t="s">
        <v>750</v>
      </c>
      <c r="F467" s="48">
        <v>500000</v>
      </c>
      <c r="G467" s="48">
        <v>82743</v>
      </c>
      <c r="H467" s="48">
        <v>82742.5</v>
      </c>
      <c r="I467" s="49">
        <v>0</v>
      </c>
      <c r="J467" s="49">
        <v>0</v>
      </c>
      <c r="K467" s="50">
        <f t="shared" si="7"/>
        <v>0.5</v>
      </c>
      <c r="L467" s="51"/>
      <c r="M467" s="63" t="str">
        <f>VLOOKUP(A467,[1]Master!$C:$F,3,0)</f>
        <v>Academic and Student Services Office</v>
      </c>
      <c r="N467" s="42" t="str">
        <f>VLOOKUP(A467,[1]Master!$C:$F,4,0)</f>
        <v>Academic and Student Services Office</v>
      </c>
    </row>
    <row r="468" spans="1:14" ht="36" x14ac:dyDescent="0.3">
      <c r="A468" s="47">
        <v>8471280</v>
      </c>
      <c r="B468" s="47" t="s">
        <v>742</v>
      </c>
      <c r="C468" s="47" t="s">
        <v>40</v>
      </c>
      <c r="D468" s="47" t="s">
        <v>41</v>
      </c>
      <c r="E468" s="47" t="s">
        <v>751</v>
      </c>
      <c r="F468" s="48">
        <v>321000</v>
      </c>
      <c r="G468" s="48">
        <v>282201</v>
      </c>
      <c r="H468" s="48">
        <v>282199.96999999997</v>
      </c>
      <c r="I468" s="49">
        <v>14692</v>
      </c>
      <c r="J468" s="49">
        <v>0</v>
      </c>
      <c r="K468" s="50">
        <f t="shared" si="7"/>
        <v>-14690.969999999972</v>
      </c>
      <c r="L468" s="51"/>
      <c r="M468" s="63" t="str">
        <f>VLOOKUP(A468,[1]Master!$C:$F,3,0)</f>
        <v>Academic and Student Services Office</v>
      </c>
      <c r="N468" s="42" t="str">
        <f>VLOOKUP(A468,[1]Master!$C:$F,4,0)</f>
        <v>Academic and Student Services Office</v>
      </c>
    </row>
    <row r="469" spans="1:14" ht="36" x14ac:dyDescent="0.3">
      <c r="A469" s="47">
        <v>8471280</v>
      </c>
      <c r="B469" s="47" t="s">
        <v>742</v>
      </c>
      <c r="C469" s="47" t="s">
        <v>49</v>
      </c>
      <c r="D469" s="47" t="s">
        <v>50</v>
      </c>
      <c r="E469" s="47" t="s">
        <v>752</v>
      </c>
      <c r="F469" s="48">
        <v>15000</v>
      </c>
      <c r="G469" s="48">
        <v>1</v>
      </c>
      <c r="H469" s="52"/>
      <c r="I469" s="49">
        <v>0</v>
      </c>
      <c r="J469" s="49">
        <v>0</v>
      </c>
      <c r="K469" s="50">
        <f t="shared" si="7"/>
        <v>1</v>
      </c>
      <c r="L469" s="51"/>
      <c r="M469" s="63" t="str">
        <f>VLOOKUP(A469,[1]Master!$C:$F,3,0)</f>
        <v>Academic and Student Services Office</v>
      </c>
      <c r="N469" s="42" t="str">
        <f>VLOOKUP(A469,[1]Master!$C:$F,4,0)</f>
        <v>Academic and Student Services Office</v>
      </c>
    </row>
    <row r="470" spans="1:14" ht="36" x14ac:dyDescent="0.3">
      <c r="A470" s="47">
        <v>8471280</v>
      </c>
      <c r="B470" s="47" t="s">
        <v>742</v>
      </c>
      <c r="C470" s="47" t="s">
        <v>470</v>
      </c>
      <c r="D470" s="47" t="s">
        <v>471</v>
      </c>
      <c r="E470" s="47" t="s">
        <v>753</v>
      </c>
      <c r="F470" s="48">
        <v>200000</v>
      </c>
      <c r="G470" s="48">
        <v>0</v>
      </c>
      <c r="H470" s="52"/>
      <c r="I470" s="49">
        <v>0</v>
      </c>
      <c r="J470" s="49">
        <v>0</v>
      </c>
      <c r="K470" s="50">
        <f t="shared" si="7"/>
        <v>0</v>
      </c>
      <c r="L470" s="51"/>
      <c r="M470" s="63" t="str">
        <f>VLOOKUP(A470,[1]Master!$C:$F,3,0)</f>
        <v>Academic and Student Services Office</v>
      </c>
      <c r="N470" s="42" t="str">
        <f>VLOOKUP(A470,[1]Master!$C:$F,4,0)</f>
        <v>Academic and Student Services Office</v>
      </c>
    </row>
    <row r="471" spans="1:14" ht="36" x14ac:dyDescent="0.3">
      <c r="A471" s="47">
        <v>8471280</v>
      </c>
      <c r="B471" s="47" t="s">
        <v>742</v>
      </c>
      <c r="C471" s="47" t="s">
        <v>192</v>
      </c>
      <c r="D471" s="47" t="s">
        <v>193</v>
      </c>
      <c r="E471" s="47" t="s">
        <v>754</v>
      </c>
      <c r="F471" s="48">
        <v>10000</v>
      </c>
      <c r="G471" s="48">
        <v>10000</v>
      </c>
      <c r="H471" s="52"/>
      <c r="I471" s="49">
        <v>0</v>
      </c>
      <c r="J471" s="49">
        <v>0</v>
      </c>
      <c r="K471" s="50">
        <f t="shared" si="7"/>
        <v>10000</v>
      </c>
      <c r="L471" s="51"/>
      <c r="M471" s="63" t="str">
        <f>VLOOKUP(A471,[1]Master!$C:$F,3,0)</f>
        <v>Academic and Student Services Office</v>
      </c>
      <c r="N471" s="42" t="str">
        <f>VLOOKUP(A471,[1]Master!$C:$F,4,0)</f>
        <v>Academic and Student Services Office</v>
      </c>
    </row>
    <row r="472" spans="1:14" ht="36" x14ac:dyDescent="0.3">
      <c r="A472" s="47">
        <v>8471280</v>
      </c>
      <c r="B472" s="47" t="s">
        <v>742</v>
      </c>
      <c r="C472" s="47" t="s">
        <v>672</v>
      </c>
      <c r="D472" s="47" t="s">
        <v>673</v>
      </c>
      <c r="E472" s="47" t="s">
        <v>755</v>
      </c>
      <c r="F472" s="48">
        <v>5000</v>
      </c>
      <c r="G472" s="48">
        <v>5000</v>
      </c>
      <c r="H472" s="48">
        <v>1014</v>
      </c>
      <c r="I472" s="49">
        <v>0</v>
      </c>
      <c r="J472" s="49">
        <v>0</v>
      </c>
      <c r="K472" s="50">
        <f t="shared" si="7"/>
        <v>3986</v>
      </c>
      <c r="L472" s="51"/>
      <c r="M472" s="63" t="str">
        <f>VLOOKUP(A472,[1]Master!$C:$F,3,0)</f>
        <v>Academic and Student Services Office</v>
      </c>
      <c r="N472" s="42" t="str">
        <f>VLOOKUP(A472,[1]Master!$C:$F,4,0)</f>
        <v>Academic and Student Services Office</v>
      </c>
    </row>
    <row r="473" spans="1:14" customFormat="1" ht="21" x14ac:dyDescent="0.35">
      <c r="A473" s="2">
        <v>8471305</v>
      </c>
      <c r="B473" s="2" t="s">
        <v>757</v>
      </c>
      <c r="C473" s="2" t="s">
        <v>19</v>
      </c>
      <c r="D473" s="2" t="s">
        <v>20</v>
      </c>
      <c r="E473" s="2" t="s">
        <v>758</v>
      </c>
      <c r="F473" s="3">
        <v>21895944</v>
      </c>
      <c r="G473" s="3">
        <v>25155241</v>
      </c>
      <c r="H473" s="3">
        <v>25155240</v>
      </c>
      <c r="I473" s="17">
        <v>0</v>
      </c>
      <c r="J473" s="17">
        <v>0</v>
      </c>
      <c r="K473" s="18">
        <f t="shared" si="7"/>
        <v>1</v>
      </c>
      <c r="L473" s="19"/>
      <c r="M473" s="62" t="str">
        <f>VLOOKUP(A473,[1]Master!$C:$F,3,0)</f>
        <v>Provost</v>
      </c>
      <c r="N473" t="str">
        <f>VLOOKUP(A473,[1]Master!$C:$F,4,0)</f>
        <v>College of Medicine &amp; Health Sciences</v>
      </c>
    </row>
    <row r="474" spans="1:14" customFormat="1" ht="21" x14ac:dyDescent="0.35">
      <c r="A474" s="2">
        <v>8471305</v>
      </c>
      <c r="B474" s="2" t="s">
        <v>757</v>
      </c>
      <c r="C474" s="2" t="s">
        <v>573</v>
      </c>
      <c r="D474" s="2" t="s">
        <v>574</v>
      </c>
      <c r="E474" s="2" t="s">
        <v>759</v>
      </c>
      <c r="F474" s="3">
        <v>263385</v>
      </c>
      <c r="G474" s="3">
        <v>0</v>
      </c>
      <c r="H474" s="4"/>
      <c r="I474" s="17">
        <v>0</v>
      </c>
      <c r="J474" s="17">
        <v>0</v>
      </c>
      <c r="K474" s="18">
        <f t="shared" si="7"/>
        <v>0</v>
      </c>
      <c r="L474" s="19"/>
      <c r="M474" s="62" t="str">
        <f>VLOOKUP(A474,[1]Master!$C:$F,3,0)</f>
        <v>Provost</v>
      </c>
      <c r="N474" t="str">
        <f>VLOOKUP(A474,[1]Master!$C:$F,4,0)</f>
        <v>College of Medicine &amp; Health Sciences</v>
      </c>
    </row>
    <row r="475" spans="1:14" customFormat="1" ht="21" x14ac:dyDescent="0.35">
      <c r="A475" s="2">
        <v>8471305</v>
      </c>
      <c r="B475" s="2" t="s">
        <v>757</v>
      </c>
      <c r="C475" s="2" t="s">
        <v>576</v>
      </c>
      <c r="D475" s="2" t="s">
        <v>577</v>
      </c>
      <c r="E475" s="2" t="s">
        <v>760</v>
      </c>
      <c r="F475" s="3">
        <v>0</v>
      </c>
      <c r="G475" s="3">
        <v>0</v>
      </c>
      <c r="H475" s="4"/>
      <c r="I475" s="17">
        <v>0</v>
      </c>
      <c r="J475" s="17">
        <v>0</v>
      </c>
      <c r="K475" s="18">
        <f t="shared" si="7"/>
        <v>0</v>
      </c>
      <c r="L475" s="19"/>
      <c r="M475" s="62" t="str">
        <f>VLOOKUP(A475,[1]Master!$C:$F,3,0)</f>
        <v>Provost</v>
      </c>
      <c r="N475" t="str">
        <f>VLOOKUP(A475,[1]Master!$C:$F,4,0)</f>
        <v>College of Medicine &amp; Health Sciences</v>
      </c>
    </row>
    <row r="476" spans="1:14" customFormat="1" ht="21" x14ac:dyDescent="0.35">
      <c r="A476" s="2">
        <v>8471305</v>
      </c>
      <c r="B476" s="2" t="s">
        <v>757</v>
      </c>
      <c r="C476" s="2" t="s">
        <v>25</v>
      </c>
      <c r="D476" s="2" t="s">
        <v>26</v>
      </c>
      <c r="E476" s="2" t="s">
        <v>761</v>
      </c>
      <c r="F476" s="3">
        <v>271000</v>
      </c>
      <c r="G476" s="3">
        <v>147835</v>
      </c>
      <c r="H476" s="3">
        <v>147834.06</v>
      </c>
      <c r="I476" s="17">
        <v>0</v>
      </c>
      <c r="J476" s="17">
        <v>0</v>
      </c>
      <c r="K476" s="18">
        <f t="shared" si="7"/>
        <v>0.94000000000232831</v>
      </c>
      <c r="L476" s="19"/>
      <c r="M476" s="62" t="str">
        <f>VLOOKUP(A476,[1]Master!$C:$F,3,0)</f>
        <v>Provost</v>
      </c>
      <c r="N476" t="str">
        <f>VLOOKUP(A476,[1]Master!$C:$F,4,0)</f>
        <v>College of Medicine &amp; Health Sciences</v>
      </c>
    </row>
    <row r="477" spans="1:14" customFormat="1" ht="21" x14ac:dyDescent="0.35">
      <c r="A477" s="2">
        <v>8471305</v>
      </c>
      <c r="B477" s="2" t="s">
        <v>757</v>
      </c>
      <c r="C477" s="2" t="s">
        <v>28</v>
      </c>
      <c r="D477" s="2" t="s">
        <v>29</v>
      </c>
      <c r="E477" s="2" t="s">
        <v>762</v>
      </c>
      <c r="F477" s="3">
        <v>170000</v>
      </c>
      <c r="G477" s="3">
        <v>73838</v>
      </c>
      <c r="H477" s="3">
        <v>73837.02</v>
      </c>
      <c r="I477" s="17">
        <v>0</v>
      </c>
      <c r="J477" s="17">
        <v>0</v>
      </c>
      <c r="K477" s="18">
        <f t="shared" si="7"/>
        <v>0.97999999999592546</v>
      </c>
      <c r="L477" s="19"/>
      <c r="M477" s="62" t="str">
        <f>VLOOKUP(A477,[1]Master!$C:$F,3,0)</f>
        <v>Provost</v>
      </c>
      <c r="N477" t="str">
        <f>VLOOKUP(A477,[1]Master!$C:$F,4,0)</f>
        <v>College of Medicine &amp; Health Sciences</v>
      </c>
    </row>
    <row r="478" spans="1:14" customFormat="1" ht="21" x14ac:dyDescent="0.35">
      <c r="A478" s="2">
        <v>8471305</v>
      </c>
      <c r="B478" s="2" t="s">
        <v>757</v>
      </c>
      <c r="C478" s="2" t="s">
        <v>653</v>
      </c>
      <c r="D478" s="2" t="s">
        <v>654</v>
      </c>
      <c r="E478" s="2" t="s">
        <v>763</v>
      </c>
      <c r="F478" s="3">
        <v>12000</v>
      </c>
      <c r="G478" s="3">
        <v>12000</v>
      </c>
      <c r="H478" s="4"/>
      <c r="I478" s="17">
        <v>0</v>
      </c>
      <c r="J478" s="17">
        <v>0</v>
      </c>
      <c r="K478" s="18">
        <f t="shared" si="7"/>
        <v>12000</v>
      </c>
      <c r="L478" s="19"/>
      <c r="M478" s="62" t="str">
        <f>VLOOKUP(A478,[1]Master!$C:$F,3,0)</f>
        <v>Provost</v>
      </c>
      <c r="N478" t="str">
        <f>VLOOKUP(A478,[1]Master!$C:$F,4,0)</f>
        <v>College of Medicine &amp; Health Sciences</v>
      </c>
    </row>
    <row r="479" spans="1:14" customFormat="1" ht="31.5" x14ac:dyDescent="0.35">
      <c r="A479" s="2">
        <v>8471305</v>
      </c>
      <c r="B479" s="2" t="s">
        <v>757</v>
      </c>
      <c r="C479" s="2" t="s">
        <v>31</v>
      </c>
      <c r="D479" s="2" t="s">
        <v>32</v>
      </c>
      <c r="E479" s="2" t="s">
        <v>764</v>
      </c>
      <c r="F479" s="3">
        <v>820000</v>
      </c>
      <c r="G479" s="3">
        <v>343342</v>
      </c>
      <c r="H479" s="3">
        <v>343341.23</v>
      </c>
      <c r="I479" s="17">
        <v>0</v>
      </c>
      <c r="J479" s="17">
        <v>0</v>
      </c>
      <c r="K479" s="18">
        <f t="shared" si="7"/>
        <v>0.77000000001862645</v>
      </c>
      <c r="L479" s="19"/>
      <c r="M479" s="62" t="str">
        <f>VLOOKUP(A479,[1]Master!$C:$F,3,0)</f>
        <v>Provost</v>
      </c>
      <c r="N479" t="str">
        <f>VLOOKUP(A479,[1]Master!$C:$F,4,0)</f>
        <v>College of Medicine &amp; Health Sciences</v>
      </c>
    </row>
    <row r="480" spans="1:14" customFormat="1" ht="31.5" x14ac:dyDescent="0.35">
      <c r="A480" s="2">
        <v>8471305</v>
      </c>
      <c r="B480" s="2" t="s">
        <v>757</v>
      </c>
      <c r="C480" s="2" t="s">
        <v>34</v>
      </c>
      <c r="D480" s="2" t="s">
        <v>35</v>
      </c>
      <c r="E480" s="2" t="s">
        <v>765</v>
      </c>
      <c r="F480" s="3">
        <v>780000</v>
      </c>
      <c r="G480" s="3">
        <v>388108</v>
      </c>
      <c r="H480" s="3">
        <v>388106.96</v>
      </c>
      <c r="I480" s="17">
        <v>0</v>
      </c>
      <c r="J480" s="17">
        <v>0</v>
      </c>
      <c r="K480" s="18">
        <f t="shared" si="7"/>
        <v>1.0399999999790452</v>
      </c>
      <c r="L480" s="19"/>
      <c r="M480" s="62" t="str">
        <f>VLOOKUP(A480,[1]Master!$C:$F,3,0)</f>
        <v>Provost</v>
      </c>
      <c r="N480" t="str">
        <f>VLOOKUP(A480,[1]Master!$C:$F,4,0)</f>
        <v>College of Medicine &amp; Health Sciences</v>
      </c>
    </row>
    <row r="481" spans="1:14" customFormat="1" ht="21" x14ac:dyDescent="0.35">
      <c r="A481" s="2">
        <v>8471305</v>
      </c>
      <c r="B481" s="2" t="s">
        <v>757</v>
      </c>
      <c r="C481" s="2" t="s">
        <v>274</v>
      </c>
      <c r="D481" s="2" t="s">
        <v>275</v>
      </c>
      <c r="E481" s="2" t="s">
        <v>766</v>
      </c>
      <c r="F481" s="3">
        <v>2494345</v>
      </c>
      <c r="G481" s="3">
        <v>1840472</v>
      </c>
      <c r="H481" s="3">
        <v>1339891.3</v>
      </c>
      <c r="I481" s="17">
        <v>0</v>
      </c>
      <c r="J481" s="17">
        <v>500579.26</v>
      </c>
      <c r="K481" s="18">
        <f t="shared" si="7"/>
        <v>1.4399999999441206</v>
      </c>
      <c r="L481" s="19"/>
      <c r="M481" s="62" t="str">
        <f>VLOOKUP(A481,[1]Master!$C:$F,3,0)</f>
        <v>Provost</v>
      </c>
      <c r="N481" t="str">
        <f>VLOOKUP(A481,[1]Master!$C:$F,4,0)</f>
        <v>College of Medicine &amp; Health Sciences</v>
      </c>
    </row>
    <row r="482" spans="1:14" customFormat="1" ht="21" x14ac:dyDescent="0.35">
      <c r="A482" s="2">
        <v>8471305</v>
      </c>
      <c r="B482" s="2" t="s">
        <v>757</v>
      </c>
      <c r="C482" s="2" t="s">
        <v>688</v>
      </c>
      <c r="D482" s="2" t="s">
        <v>689</v>
      </c>
      <c r="E482" s="2" t="s">
        <v>767</v>
      </c>
      <c r="F482" s="3">
        <v>180000</v>
      </c>
      <c r="G482" s="3">
        <v>180000</v>
      </c>
      <c r="H482" s="3">
        <v>179039.58</v>
      </c>
      <c r="I482" s="17">
        <v>0</v>
      </c>
      <c r="J482" s="17">
        <v>0</v>
      </c>
      <c r="K482" s="18">
        <f t="shared" si="7"/>
        <v>960.42000000001281</v>
      </c>
      <c r="L482" s="19"/>
      <c r="M482" s="62" t="str">
        <f>VLOOKUP(A482,[1]Master!$C:$F,3,0)</f>
        <v>Provost</v>
      </c>
      <c r="N482" t="str">
        <f>VLOOKUP(A482,[1]Master!$C:$F,4,0)</f>
        <v>College of Medicine &amp; Health Sciences</v>
      </c>
    </row>
    <row r="483" spans="1:14" customFormat="1" ht="21" x14ac:dyDescent="0.35">
      <c r="A483" s="2">
        <v>8471305</v>
      </c>
      <c r="B483" s="2" t="s">
        <v>757</v>
      </c>
      <c r="C483" s="2" t="s">
        <v>135</v>
      </c>
      <c r="D483" s="2" t="s">
        <v>136</v>
      </c>
      <c r="E483" s="2" t="s">
        <v>768</v>
      </c>
      <c r="F483" s="3">
        <v>0</v>
      </c>
      <c r="G483" s="3">
        <v>100694</v>
      </c>
      <c r="H483" s="3">
        <v>100002</v>
      </c>
      <c r="I483" s="17">
        <v>0</v>
      </c>
      <c r="J483" s="17">
        <v>0</v>
      </c>
      <c r="K483" s="18">
        <f t="shared" si="7"/>
        <v>692</v>
      </c>
      <c r="L483" s="19"/>
      <c r="M483" s="62" t="str">
        <f>VLOOKUP(A483,[1]Master!$C:$F,3,0)</f>
        <v>Provost</v>
      </c>
      <c r="N483" t="str">
        <f>VLOOKUP(A483,[1]Master!$C:$F,4,0)</f>
        <v>College of Medicine &amp; Health Sciences</v>
      </c>
    </row>
    <row r="484" spans="1:14" customFormat="1" ht="21" x14ac:dyDescent="0.35">
      <c r="A484" s="2">
        <v>8471305</v>
      </c>
      <c r="B484" s="2" t="s">
        <v>757</v>
      </c>
      <c r="C484" s="2" t="s">
        <v>138</v>
      </c>
      <c r="D484" s="2" t="s">
        <v>139</v>
      </c>
      <c r="E484" s="2" t="s">
        <v>769</v>
      </c>
      <c r="F484" s="3">
        <v>0</v>
      </c>
      <c r="G484" s="3">
        <v>55400</v>
      </c>
      <c r="H484" s="3">
        <v>54543</v>
      </c>
      <c r="I484" s="17">
        <v>0</v>
      </c>
      <c r="J484" s="17">
        <v>0</v>
      </c>
      <c r="K484" s="18">
        <f t="shared" si="7"/>
        <v>857</v>
      </c>
      <c r="L484" s="19"/>
      <c r="M484" s="62" t="str">
        <f>VLOOKUP(A484,[1]Master!$C:$F,3,0)</f>
        <v>Provost</v>
      </c>
      <c r="N484" t="str">
        <f>VLOOKUP(A484,[1]Master!$C:$F,4,0)</f>
        <v>College of Medicine &amp; Health Sciences</v>
      </c>
    </row>
    <row r="485" spans="1:14" customFormat="1" ht="21" x14ac:dyDescent="0.35">
      <c r="A485" s="2">
        <v>8471305</v>
      </c>
      <c r="B485" s="2" t="s">
        <v>757</v>
      </c>
      <c r="C485" s="2" t="s">
        <v>726</v>
      </c>
      <c r="D485" s="2" t="s">
        <v>727</v>
      </c>
      <c r="E485" s="2" t="s">
        <v>770</v>
      </c>
      <c r="F485" s="3">
        <v>312600</v>
      </c>
      <c r="G485" s="3">
        <v>1</v>
      </c>
      <c r="H485" s="4"/>
      <c r="I485" s="17">
        <v>0</v>
      </c>
      <c r="J485" s="17">
        <v>0</v>
      </c>
      <c r="K485" s="18">
        <f t="shared" si="7"/>
        <v>1</v>
      </c>
      <c r="L485" s="19"/>
      <c r="M485" s="62" t="str">
        <f>VLOOKUP(A485,[1]Master!$C:$F,3,0)</f>
        <v>Provost</v>
      </c>
      <c r="N485" t="str">
        <f>VLOOKUP(A485,[1]Master!$C:$F,4,0)</f>
        <v>College of Medicine &amp; Health Sciences</v>
      </c>
    </row>
    <row r="486" spans="1:14" customFormat="1" ht="21" x14ac:dyDescent="0.35">
      <c r="A486" s="2">
        <v>8471305</v>
      </c>
      <c r="B486" s="2" t="s">
        <v>757</v>
      </c>
      <c r="C486" s="2" t="s">
        <v>141</v>
      </c>
      <c r="D486" s="2" t="s">
        <v>142</v>
      </c>
      <c r="E486" s="2" t="s">
        <v>771</v>
      </c>
      <c r="F486" s="3">
        <v>24213178</v>
      </c>
      <c r="G486" s="3">
        <v>26263178</v>
      </c>
      <c r="H486" s="3">
        <v>26231200.030000001</v>
      </c>
      <c r="I486" s="17">
        <v>0</v>
      </c>
      <c r="J486" s="17">
        <v>0</v>
      </c>
      <c r="K486" s="18">
        <f t="shared" si="7"/>
        <v>31977.969999998808</v>
      </c>
      <c r="L486" s="19"/>
      <c r="M486" s="62" t="str">
        <f>VLOOKUP(A486,[1]Master!$C:$F,3,0)</f>
        <v>Provost</v>
      </c>
      <c r="N486" t="str">
        <f>VLOOKUP(A486,[1]Master!$C:$F,4,0)</f>
        <v>College of Medicine &amp; Health Sciences</v>
      </c>
    </row>
    <row r="487" spans="1:14" customFormat="1" ht="21" x14ac:dyDescent="0.35">
      <c r="A487" s="2">
        <v>8471305</v>
      </c>
      <c r="B487" s="2" t="s">
        <v>757</v>
      </c>
      <c r="C487" s="2" t="s">
        <v>696</v>
      </c>
      <c r="D487" s="2" t="s">
        <v>697</v>
      </c>
      <c r="E487" s="2" t="s">
        <v>772</v>
      </c>
      <c r="F487" s="3">
        <v>864069</v>
      </c>
      <c r="G487" s="3">
        <v>179594</v>
      </c>
      <c r="H487" s="3">
        <v>179593.48</v>
      </c>
      <c r="I487" s="17">
        <v>0</v>
      </c>
      <c r="J487" s="17">
        <v>0</v>
      </c>
      <c r="K487" s="18">
        <f t="shared" si="7"/>
        <v>0.51999999998952262</v>
      </c>
      <c r="L487" s="19"/>
      <c r="M487" s="62" t="str">
        <f>VLOOKUP(A487,[1]Master!$C:$F,3,0)</f>
        <v>Provost</v>
      </c>
      <c r="N487" t="str">
        <f>VLOOKUP(A487,[1]Master!$C:$F,4,0)</f>
        <v>College of Medicine &amp; Health Sciences</v>
      </c>
    </row>
    <row r="488" spans="1:14" customFormat="1" ht="21" x14ac:dyDescent="0.35">
      <c r="A488" s="2">
        <v>8471305</v>
      </c>
      <c r="B488" s="2" t="s">
        <v>757</v>
      </c>
      <c r="C488" s="2" t="s">
        <v>147</v>
      </c>
      <c r="D488" s="2" t="s">
        <v>148</v>
      </c>
      <c r="E488" s="2" t="s">
        <v>773</v>
      </c>
      <c r="F488" s="3">
        <v>2759974</v>
      </c>
      <c r="G488" s="3">
        <v>389098</v>
      </c>
      <c r="H488" s="3">
        <v>384856.39</v>
      </c>
      <c r="I488" s="17">
        <v>0</v>
      </c>
      <c r="J488" s="17">
        <v>0</v>
      </c>
      <c r="K488" s="18">
        <f t="shared" si="7"/>
        <v>4241.609999999986</v>
      </c>
      <c r="L488" s="19"/>
      <c r="M488" s="62" t="str">
        <f>VLOOKUP(A488,[1]Master!$C:$F,3,0)</f>
        <v>Provost</v>
      </c>
      <c r="N488" t="str">
        <f>VLOOKUP(A488,[1]Master!$C:$F,4,0)</f>
        <v>College of Medicine &amp; Health Sciences</v>
      </c>
    </row>
    <row r="489" spans="1:14" customFormat="1" ht="21" x14ac:dyDescent="0.35">
      <c r="A489" s="2">
        <v>8471305</v>
      </c>
      <c r="B489" s="2" t="s">
        <v>757</v>
      </c>
      <c r="C489" s="2" t="s">
        <v>72</v>
      </c>
      <c r="D489" s="2" t="s">
        <v>73</v>
      </c>
      <c r="E489" s="2" t="s">
        <v>774</v>
      </c>
      <c r="F489" s="3">
        <v>200000</v>
      </c>
      <c r="G489" s="3">
        <v>2941</v>
      </c>
      <c r="H489" s="3">
        <v>2940</v>
      </c>
      <c r="I489" s="17">
        <v>0</v>
      </c>
      <c r="J489" s="17">
        <v>0</v>
      </c>
      <c r="K489" s="18">
        <f t="shared" si="7"/>
        <v>1</v>
      </c>
      <c r="L489" s="19"/>
      <c r="M489" s="62" t="str">
        <f>VLOOKUP(A489,[1]Master!$C:$F,3,0)</f>
        <v>Provost</v>
      </c>
      <c r="N489" t="str">
        <f>VLOOKUP(A489,[1]Master!$C:$F,4,0)</f>
        <v>College of Medicine &amp; Health Sciences</v>
      </c>
    </row>
    <row r="490" spans="1:14" customFormat="1" ht="21" x14ac:dyDescent="0.35">
      <c r="A490" s="2">
        <v>8471305</v>
      </c>
      <c r="B490" s="2" t="s">
        <v>757</v>
      </c>
      <c r="C490" s="2" t="s">
        <v>37</v>
      </c>
      <c r="D490" s="2" t="s">
        <v>38</v>
      </c>
      <c r="E490" s="2" t="s">
        <v>775</v>
      </c>
      <c r="F490" s="3">
        <v>185000</v>
      </c>
      <c r="G490" s="3">
        <v>80824</v>
      </c>
      <c r="H490" s="3">
        <v>80823.08</v>
      </c>
      <c r="I490" s="17">
        <v>0</v>
      </c>
      <c r="J490" s="17">
        <v>0</v>
      </c>
      <c r="K490" s="18">
        <f t="shared" si="7"/>
        <v>0.91999999999825377</v>
      </c>
      <c r="L490" s="19"/>
      <c r="M490" s="62" t="str">
        <f>VLOOKUP(A490,[1]Master!$C:$F,3,0)</f>
        <v>Provost</v>
      </c>
      <c r="N490" t="str">
        <f>VLOOKUP(A490,[1]Master!$C:$F,4,0)</f>
        <v>College of Medicine &amp; Health Sciences</v>
      </c>
    </row>
    <row r="491" spans="1:14" customFormat="1" ht="31.5" x14ac:dyDescent="0.35">
      <c r="A491" s="2">
        <v>8471305</v>
      </c>
      <c r="B491" s="2" t="s">
        <v>757</v>
      </c>
      <c r="C491" s="2" t="s">
        <v>420</v>
      </c>
      <c r="D491" s="2" t="s">
        <v>421</v>
      </c>
      <c r="E491" s="2" t="s">
        <v>776</v>
      </c>
      <c r="F491" s="3">
        <v>90000</v>
      </c>
      <c r="G491" s="3">
        <v>1</v>
      </c>
      <c r="H491" s="4"/>
      <c r="I491" s="17">
        <v>0</v>
      </c>
      <c r="J491" s="17">
        <v>0</v>
      </c>
      <c r="K491" s="18">
        <f t="shared" si="7"/>
        <v>1</v>
      </c>
      <c r="L491" s="19"/>
      <c r="M491" s="62" t="str">
        <f>VLOOKUP(A491,[1]Master!$C:$F,3,0)</f>
        <v>Provost</v>
      </c>
      <c r="N491" t="str">
        <f>VLOOKUP(A491,[1]Master!$C:$F,4,0)</f>
        <v>College of Medicine &amp; Health Sciences</v>
      </c>
    </row>
    <row r="492" spans="1:14" customFormat="1" ht="21" x14ac:dyDescent="0.35">
      <c r="A492" s="2">
        <v>8471305</v>
      </c>
      <c r="B492" s="2" t="s">
        <v>757</v>
      </c>
      <c r="C492" s="2" t="s">
        <v>40</v>
      </c>
      <c r="D492" s="2" t="s">
        <v>41</v>
      </c>
      <c r="E492" s="2" t="s">
        <v>777</v>
      </c>
      <c r="F492" s="3">
        <v>777363</v>
      </c>
      <c r="G492" s="3">
        <v>862530</v>
      </c>
      <c r="H492" s="3">
        <v>855139.77</v>
      </c>
      <c r="I492" s="17">
        <v>0</v>
      </c>
      <c r="J492" s="17">
        <v>7390</v>
      </c>
      <c r="K492" s="18">
        <f t="shared" si="7"/>
        <v>0.22999999998137355</v>
      </c>
      <c r="L492" s="19"/>
      <c r="M492" s="62" t="str">
        <f>VLOOKUP(A492,[1]Master!$C:$F,3,0)</f>
        <v>Provost</v>
      </c>
      <c r="N492" t="str">
        <f>VLOOKUP(A492,[1]Master!$C:$F,4,0)</f>
        <v>College of Medicine &amp; Health Sciences</v>
      </c>
    </row>
    <row r="493" spans="1:14" customFormat="1" ht="21" x14ac:dyDescent="0.35">
      <c r="A493" s="2">
        <v>8471305</v>
      </c>
      <c r="B493" s="2" t="s">
        <v>757</v>
      </c>
      <c r="C493" s="2" t="s">
        <v>491</v>
      </c>
      <c r="D493" s="2" t="s">
        <v>492</v>
      </c>
      <c r="E493" s="2" t="s">
        <v>778</v>
      </c>
      <c r="F493" s="3">
        <v>21000</v>
      </c>
      <c r="G493" s="3">
        <v>21000</v>
      </c>
      <c r="H493" s="3">
        <v>235</v>
      </c>
      <c r="I493" s="17">
        <v>0</v>
      </c>
      <c r="J493" s="17">
        <v>0</v>
      </c>
      <c r="K493" s="18">
        <f t="shared" si="7"/>
        <v>20765</v>
      </c>
      <c r="L493" s="19"/>
      <c r="M493" s="62" t="str">
        <f>VLOOKUP(A493,[1]Master!$C:$F,3,0)</f>
        <v>Provost</v>
      </c>
      <c r="N493" t="str">
        <f>VLOOKUP(A493,[1]Master!$C:$F,4,0)</f>
        <v>College of Medicine &amp; Health Sciences</v>
      </c>
    </row>
    <row r="494" spans="1:14" customFormat="1" ht="21" x14ac:dyDescent="0.35">
      <c r="A494" s="2">
        <v>8471305</v>
      </c>
      <c r="B494" s="2" t="s">
        <v>757</v>
      </c>
      <c r="C494" s="2" t="s">
        <v>78</v>
      </c>
      <c r="D494" s="2" t="s">
        <v>79</v>
      </c>
      <c r="E494" s="2" t="s">
        <v>779</v>
      </c>
      <c r="F494" s="3">
        <v>903674</v>
      </c>
      <c r="G494" s="3">
        <v>1</v>
      </c>
      <c r="H494" s="4"/>
      <c r="I494" s="17">
        <v>0</v>
      </c>
      <c r="J494" s="17">
        <v>0</v>
      </c>
      <c r="K494" s="18">
        <f t="shared" si="7"/>
        <v>1</v>
      </c>
      <c r="L494" s="19"/>
      <c r="M494" s="62" t="str">
        <f>VLOOKUP(A494,[1]Master!$C:$F,3,0)</f>
        <v>Provost</v>
      </c>
      <c r="N494" t="str">
        <f>VLOOKUP(A494,[1]Master!$C:$F,4,0)</f>
        <v>College of Medicine &amp; Health Sciences</v>
      </c>
    </row>
    <row r="495" spans="1:14" customFormat="1" ht="21" x14ac:dyDescent="0.35">
      <c r="A495" s="2">
        <v>8471305</v>
      </c>
      <c r="B495" s="2" t="s">
        <v>757</v>
      </c>
      <c r="C495" s="2" t="s">
        <v>61</v>
      </c>
      <c r="D495" s="2" t="s">
        <v>62</v>
      </c>
      <c r="E495" s="2" t="s">
        <v>780</v>
      </c>
      <c r="F495" s="3">
        <v>153178</v>
      </c>
      <c r="G495" s="3">
        <v>50518</v>
      </c>
      <c r="H495" s="3">
        <v>50517.43</v>
      </c>
      <c r="I495" s="17">
        <v>0</v>
      </c>
      <c r="J495" s="17">
        <v>0</v>
      </c>
      <c r="K495" s="18">
        <f t="shared" si="7"/>
        <v>0.56999999999970896</v>
      </c>
      <c r="L495" s="19"/>
      <c r="M495" s="62" t="str">
        <f>VLOOKUP(A495,[1]Master!$C:$F,3,0)</f>
        <v>Provost</v>
      </c>
      <c r="N495" t="str">
        <f>VLOOKUP(A495,[1]Master!$C:$F,4,0)</f>
        <v>College of Medicine &amp; Health Sciences</v>
      </c>
    </row>
    <row r="496" spans="1:14" customFormat="1" ht="31.5" x14ac:dyDescent="0.35">
      <c r="A496" s="2">
        <v>8471305</v>
      </c>
      <c r="B496" s="2" t="s">
        <v>757</v>
      </c>
      <c r="C496" s="2" t="s">
        <v>581</v>
      </c>
      <c r="D496" s="2" t="s">
        <v>582</v>
      </c>
      <c r="E496" s="2" t="s">
        <v>781</v>
      </c>
      <c r="F496" s="3">
        <v>10000</v>
      </c>
      <c r="G496" s="3">
        <v>10000</v>
      </c>
      <c r="H496" s="4"/>
      <c r="I496" s="17">
        <v>0</v>
      </c>
      <c r="J496" s="17">
        <v>0</v>
      </c>
      <c r="K496" s="18">
        <f t="shared" si="7"/>
        <v>10000</v>
      </c>
      <c r="L496" s="19"/>
      <c r="M496" s="62" t="str">
        <f>VLOOKUP(A496,[1]Master!$C:$F,3,0)</f>
        <v>Provost</v>
      </c>
      <c r="N496" t="str">
        <f>VLOOKUP(A496,[1]Master!$C:$F,4,0)</f>
        <v>College of Medicine &amp; Health Sciences</v>
      </c>
    </row>
    <row r="497" spans="1:14" customFormat="1" ht="21" x14ac:dyDescent="0.35">
      <c r="A497" s="2">
        <v>8471305</v>
      </c>
      <c r="B497" s="2" t="s">
        <v>757</v>
      </c>
      <c r="C497" s="2" t="s">
        <v>43</v>
      </c>
      <c r="D497" s="2" t="s">
        <v>44</v>
      </c>
      <c r="E497" s="2" t="s">
        <v>782</v>
      </c>
      <c r="F497" s="3">
        <v>419000</v>
      </c>
      <c r="G497" s="3">
        <v>43038</v>
      </c>
      <c r="H497" s="3">
        <v>43037.5</v>
      </c>
      <c r="I497" s="17">
        <v>0</v>
      </c>
      <c r="J497" s="17">
        <v>0</v>
      </c>
      <c r="K497" s="18">
        <f t="shared" si="7"/>
        <v>0.5</v>
      </c>
      <c r="L497" s="19"/>
      <c r="M497" s="62" t="str">
        <f>VLOOKUP(A497,[1]Master!$C:$F,3,0)</f>
        <v>Provost</v>
      </c>
      <c r="N497" t="str">
        <f>VLOOKUP(A497,[1]Master!$C:$F,4,0)</f>
        <v>College of Medicine &amp; Health Sciences</v>
      </c>
    </row>
    <row r="498" spans="1:14" customFormat="1" ht="21" x14ac:dyDescent="0.35">
      <c r="A498" s="2">
        <v>8471305</v>
      </c>
      <c r="B498" s="2" t="s">
        <v>757</v>
      </c>
      <c r="C498" s="2" t="s">
        <v>49</v>
      </c>
      <c r="D498" s="2" t="s">
        <v>50</v>
      </c>
      <c r="E498" s="2" t="s">
        <v>783</v>
      </c>
      <c r="F498" s="3">
        <v>5000</v>
      </c>
      <c r="G498" s="3">
        <v>2887</v>
      </c>
      <c r="H498" s="3">
        <v>2819.61</v>
      </c>
      <c r="I498" s="17">
        <v>0</v>
      </c>
      <c r="J498" s="17">
        <v>0</v>
      </c>
      <c r="K498" s="18">
        <f t="shared" si="7"/>
        <v>67.389999999999873</v>
      </c>
      <c r="L498" s="19"/>
      <c r="M498" s="62" t="str">
        <f>VLOOKUP(A498,[1]Master!$C:$F,3,0)</f>
        <v>Provost</v>
      </c>
      <c r="N498" t="str">
        <f>VLOOKUP(A498,[1]Master!$C:$F,4,0)</f>
        <v>College of Medicine &amp; Health Sciences</v>
      </c>
    </row>
    <row r="499" spans="1:14" customFormat="1" ht="42" x14ac:dyDescent="0.35">
      <c r="A499" s="2">
        <v>8471305</v>
      </c>
      <c r="B499" s="2" t="s">
        <v>757</v>
      </c>
      <c r="C499" s="2" t="s">
        <v>123</v>
      </c>
      <c r="D499" s="2" t="s">
        <v>124</v>
      </c>
      <c r="E499" s="2" t="s">
        <v>784</v>
      </c>
      <c r="F499" s="3">
        <v>26000</v>
      </c>
      <c r="G499" s="3">
        <v>522982</v>
      </c>
      <c r="H499" s="3">
        <v>522981</v>
      </c>
      <c r="I499" s="17">
        <v>0</v>
      </c>
      <c r="J499" s="17">
        <v>0</v>
      </c>
      <c r="K499" s="18">
        <f t="shared" si="7"/>
        <v>1</v>
      </c>
      <c r="L499" s="19"/>
      <c r="M499" s="62" t="str">
        <f>VLOOKUP(A499,[1]Master!$C:$F,3,0)</f>
        <v>Provost</v>
      </c>
      <c r="N499" t="str">
        <f>VLOOKUP(A499,[1]Master!$C:$F,4,0)</f>
        <v>College of Medicine &amp; Health Sciences</v>
      </c>
    </row>
    <row r="500" spans="1:14" customFormat="1" ht="21" x14ac:dyDescent="0.35">
      <c r="A500" s="2">
        <v>8471305</v>
      </c>
      <c r="B500" s="2" t="s">
        <v>757</v>
      </c>
      <c r="C500" s="2" t="s">
        <v>169</v>
      </c>
      <c r="D500" s="2" t="s">
        <v>170</v>
      </c>
      <c r="E500" s="2" t="s">
        <v>785</v>
      </c>
      <c r="F500" s="3">
        <v>516900</v>
      </c>
      <c r="G500" s="3">
        <v>570374</v>
      </c>
      <c r="H500" s="3">
        <v>566352.41</v>
      </c>
      <c r="I500" s="17">
        <v>0</v>
      </c>
      <c r="J500" s="17">
        <v>4021</v>
      </c>
      <c r="K500" s="18">
        <f t="shared" si="7"/>
        <v>0.58999999996740371</v>
      </c>
      <c r="L500" s="19"/>
      <c r="M500" s="62" t="str">
        <f>VLOOKUP(A500,[1]Master!$C:$F,3,0)</f>
        <v>Provost</v>
      </c>
      <c r="N500" t="str">
        <f>VLOOKUP(A500,[1]Master!$C:$F,4,0)</f>
        <v>College of Medicine &amp; Health Sciences</v>
      </c>
    </row>
    <row r="501" spans="1:14" customFormat="1" ht="21" x14ac:dyDescent="0.35">
      <c r="A501" s="2">
        <v>8471305</v>
      </c>
      <c r="B501" s="2" t="s">
        <v>757</v>
      </c>
      <c r="C501" s="2" t="s">
        <v>786</v>
      </c>
      <c r="D501" s="2" t="s">
        <v>787</v>
      </c>
      <c r="E501" s="2" t="s">
        <v>788</v>
      </c>
      <c r="F501" s="3">
        <v>35000</v>
      </c>
      <c r="G501" s="3">
        <v>1</v>
      </c>
      <c r="H501" s="4"/>
      <c r="I501" s="17">
        <v>0</v>
      </c>
      <c r="J501" s="17">
        <v>0</v>
      </c>
      <c r="K501" s="18">
        <f t="shared" si="7"/>
        <v>1</v>
      </c>
      <c r="L501" s="19"/>
      <c r="M501" s="62" t="str">
        <f>VLOOKUP(A501,[1]Master!$C:$F,3,0)</f>
        <v>Provost</v>
      </c>
      <c r="N501" t="str">
        <f>VLOOKUP(A501,[1]Master!$C:$F,4,0)</f>
        <v>College of Medicine &amp; Health Sciences</v>
      </c>
    </row>
    <row r="502" spans="1:14" customFormat="1" ht="21" x14ac:dyDescent="0.35">
      <c r="A502" s="2">
        <v>8471305</v>
      </c>
      <c r="B502" s="2" t="s">
        <v>757</v>
      </c>
      <c r="C502" s="2" t="s">
        <v>705</v>
      </c>
      <c r="D502" s="2" t="s">
        <v>706</v>
      </c>
      <c r="E502" s="2" t="s">
        <v>789</v>
      </c>
      <c r="F502" s="3">
        <v>72000</v>
      </c>
      <c r="G502" s="3">
        <v>724006</v>
      </c>
      <c r="H502" s="3">
        <v>549527.66</v>
      </c>
      <c r="I502" s="17">
        <v>148095.35999999999</v>
      </c>
      <c r="J502" s="17">
        <v>474210.18</v>
      </c>
      <c r="K502" s="18">
        <f>G502-H502-I502-J502</f>
        <v>-447827.20000000001</v>
      </c>
      <c r="L502" s="19"/>
      <c r="M502" s="62" t="str">
        <f>VLOOKUP(A502,[1]Master!$C:$F,3,0)</f>
        <v>Provost</v>
      </c>
      <c r="N502" t="str">
        <f>VLOOKUP(A502,[1]Master!$C:$F,4,0)</f>
        <v>College of Medicine &amp; Health Sciences</v>
      </c>
    </row>
    <row r="503" spans="1:14" customFormat="1" ht="21" x14ac:dyDescent="0.35">
      <c r="A503" s="2">
        <v>8471305</v>
      </c>
      <c r="B503" s="2" t="s">
        <v>757</v>
      </c>
      <c r="C503" s="2" t="s">
        <v>192</v>
      </c>
      <c r="D503" s="2" t="s">
        <v>193</v>
      </c>
      <c r="E503" s="2" t="s">
        <v>790</v>
      </c>
      <c r="F503" s="3">
        <v>591905</v>
      </c>
      <c r="G503" s="3">
        <v>6515</v>
      </c>
      <c r="H503" s="3">
        <v>305.68</v>
      </c>
      <c r="I503" s="17">
        <v>0</v>
      </c>
      <c r="J503" s="17">
        <v>0</v>
      </c>
      <c r="K503" s="18">
        <f t="shared" si="7"/>
        <v>6209.32</v>
      </c>
      <c r="L503" s="19"/>
      <c r="M503" s="62" t="str">
        <f>VLOOKUP(A503,[1]Master!$C:$F,3,0)</f>
        <v>Provost</v>
      </c>
      <c r="N503" t="str">
        <f>VLOOKUP(A503,[1]Master!$C:$F,4,0)</f>
        <v>College of Medicine &amp; Health Sciences</v>
      </c>
    </row>
    <row r="504" spans="1:14" customFormat="1" ht="21" x14ac:dyDescent="0.35">
      <c r="A504" s="2">
        <v>8471305</v>
      </c>
      <c r="B504" s="2" t="s">
        <v>757</v>
      </c>
      <c r="C504" s="2" t="s">
        <v>103</v>
      </c>
      <c r="D504" s="2" t="s">
        <v>104</v>
      </c>
      <c r="E504" s="2" t="s">
        <v>791</v>
      </c>
      <c r="F504" s="3">
        <v>120000</v>
      </c>
      <c r="G504" s="3">
        <v>367150</v>
      </c>
      <c r="H504" s="3">
        <v>367149.12</v>
      </c>
      <c r="I504" s="17">
        <v>0</v>
      </c>
      <c r="J504" s="17">
        <v>0</v>
      </c>
      <c r="K504" s="18">
        <f t="shared" si="7"/>
        <v>0.88000000000465661</v>
      </c>
      <c r="L504" s="19"/>
      <c r="M504" s="62" t="str">
        <f>VLOOKUP(A504,[1]Master!$C:$F,3,0)</f>
        <v>Provost</v>
      </c>
      <c r="N504" t="str">
        <f>VLOOKUP(A504,[1]Master!$C:$F,4,0)</f>
        <v>College of Medicine &amp; Health Sciences</v>
      </c>
    </row>
    <row r="505" spans="1:14" customFormat="1" ht="65" x14ac:dyDescent="0.35">
      <c r="A505" s="2">
        <v>8471305</v>
      </c>
      <c r="B505" s="2" t="s">
        <v>757</v>
      </c>
      <c r="C505" s="2" t="s">
        <v>173</v>
      </c>
      <c r="D505" s="2" t="s">
        <v>174</v>
      </c>
      <c r="E505" s="2" t="s">
        <v>792</v>
      </c>
      <c r="F505" s="3">
        <v>1592072</v>
      </c>
      <c r="G505" s="3">
        <v>1772499</v>
      </c>
      <c r="H505" s="3">
        <v>1579208.69</v>
      </c>
      <c r="I505" s="17">
        <v>5630</v>
      </c>
      <c r="J505" s="17">
        <v>86836.999999999898</v>
      </c>
      <c r="K505" s="18">
        <f>G505-H505-I505-J505</f>
        <v>100823.31000000016</v>
      </c>
      <c r="L505" s="23" t="s">
        <v>871</v>
      </c>
      <c r="M505" s="62" t="str">
        <f>VLOOKUP(A505,[1]Master!$C:$F,3,0)</f>
        <v>Provost</v>
      </c>
      <c r="N505" t="str">
        <f>VLOOKUP(A505,[1]Master!$C:$F,4,0)</f>
        <v>College of Medicine &amp; Health Sciences</v>
      </c>
    </row>
    <row r="506" spans="1:14" customFormat="1" ht="21" x14ac:dyDescent="0.35">
      <c r="A506" s="2">
        <v>8471305</v>
      </c>
      <c r="B506" s="2" t="s">
        <v>757</v>
      </c>
      <c r="C506" s="2" t="s">
        <v>672</v>
      </c>
      <c r="D506" s="2" t="s">
        <v>673</v>
      </c>
      <c r="E506" s="2" t="s">
        <v>793</v>
      </c>
      <c r="F506" s="3">
        <v>10000</v>
      </c>
      <c r="G506" s="3">
        <v>10000</v>
      </c>
      <c r="H506" s="3">
        <v>80</v>
      </c>
      <c r="I506" s="17">
        <v>0</v>
      </c>
      <c r="J506" s="17">
        <v>0</v>
      </c>
      <c r="K506" s="18">
        <f t="shared" si="7"/>
        <v>9920</v>
      </c>
      <c r="L506" s="19"/>
      <c r="M506" s="62" t="str">
        <f>VLOOKUP(A506,[1]Master!$C:$F,3,0)</f>
        <v>Provost</v>
      </c>
      <c r="N506" t="str">
        <f>VLOOKUP(A506,[1]Master!$C:$F,4,0)</f>
        <v>College of Medicine &amp; Health Sciences</v>
      </c>
    </row>
    <row r="507" spans="1:14" customFormat="1" ht="21" x14ac:dyDescent="0.35">
      <c r="A507" s="2">
        <v>8471305</v>
      </c>
      <c r="B507" s="2" t="s">
        <v>757</v>
      </c>
      <c r="C507" s="2" t="s">
        <v>154</v>
      </c>
      <c r="D507" s="2" t="s">
        <v>155</v>
      </c>
      <c r="E507" s="2" t="s">
        <v>794</v>
      </c>
      <c r="F507" s="3">
        <v>200000</v>
      </c>
      <c r="G507" s="3">
        <v>0</v>
      </c>
      <c r="H507" s="4"/>
      <c r="I507" s="17">
        <v>0</v>
      </c>
      <c r="J507" s="17">
        <v>0</v>
      </c>
      <c r="K507" s="18">
        <f t="shared" si="7"/>
        <v>0</v>
      </c>
      <c r="L507" s="19"/>
      <c r="M507" s="62" t="str">
        <f>VLOOKUP(A507,[1]Master!$C:$F,3,0)</f>
        <v>Provost</v>
      </c>
      <c r="N507" t="str">
        <f>VLOOKUP(A507,[1]Master!$C:$F,4,0)</f>
        <v>College of Medicine &amp; Health Sciences</v>
      </c>
    </row>
    <row r="508" spans="1:14" customFormat="1" ht="21" x14ac:dyDescent="0.35">
      <c r="A508" s="2">
        <v>8471305</v>
      </c>
      <c r="B508" s="2" t="s">
        <v>757</v>
      </c>
      <c r="C508" s="2" t="s">
        <v>545</v>
      </c>
      <c r="D508" s="2" t="s">
        <v>546</v>
      </c>
      <c r="E508" s="2" t="s">
        <v>795</v>
      </c>
      <c r="F508" s="3">
        <v>112000</v>
      </c>
      <c r="G508" s="3">
        <v>3167</v>
      </c>
      <c r="H508" s="3">
        <v>3165.75</v>
      </c>
      <c r="I508" s="17">
        <v>0</v>
      </c>
      <c r="J508" s="17">
        <v>0</v>
      </c>
      <c r="K508" s="18">
        <f t="shared" si="7"/>
        <v>1.25</v>
      </c>
      <c r="L508" s="19"/>
      <c r="M508" s="62" t="str">
        <f>VLOOKUP(A508,[1]Master!$C:$F,3,0)</f>
        <v>Provost</v>
      </c>
      <c r="N508" t="str">
        <f>VLOOKUP(A508,[1]Master!$C:$F,4,0)</f>
        <v>College of Medicine &amp; Health Sciences</v>
      </c>
    </row>
    <row r="509" spans="1:14" customFormat="1" ht="21" x14ac:dyDescent="0.35">
      <c r="A509" s="2">
        <v>8471305</v>
      </c>
      <c r="B509" s="2" t="s">
        <v>757</v>
      </c>
      <c r="C509" s="2" t="s">
        <v>176</v>
      </c>
      <c r="D509" s="2" t="s">
        <v>177</v>
      </c>
      <c r="E509" s="2" t="s">
        <v>796</v>
      </c>
      <c r="F509" s="3">
        <v>0</v>
      </c>
      <c r="G509" s="3">
        <v>6000</v>
      </c>
      <c r="H509" s="4"/>
      <c r="I509" s="17">
        <v>0</v>
      </c>
      <c r="J509" s="17">
        <v>0</v>
      </c>
      <c r="K509" s="18">
        <f t="shared" si="7"/>
        <v>6000</v>
      </c>
      <c r="L509" s="19"/>
      <c r="M509" s="62" t="str">
        <f>VLOOKUP(A509,[1]Master!$C:$F,3,0)</f>
        <v>Provost</v>
      </c>
      <c r="N509" t="str">
        <f>VLOOKUP(A509,[1]Master!$C:$F,4,0)</f>
        <v>College of Medicine &amp; Health Sciences</v>
      </c>
    </row>
    <row r="510" spans="1:14" x14ac:dyDescent="0.3">
      <c r="F510" s="55">
        <f>SUBTOTAL(9,F3:F509)</f>
        <v>592955000</v>
      </c>
      <c r="G510" s="55">
        <f t="shared" ref="G510:K510" si="8">SUBTOTAL(9,G3:G509)</f>
        <v>579850000</v>
      </c>
      <c r="H510" s="55">
        <f t="shared" si="8"/>
        <v>560743682.48000014</v>
      </c>
      <c r="I510" s="55">
        <f t="shared" si="8"/>
        <v>5419411.2100000009</v>
      </c>
      <c r="J510" s="55">
        <f t="shared" si="8"/>
        <v>13077928.309999997</v>
      </c>
      <c r="K510" s="55">
        <f t="shared" si="8"/>
        <v>608977.99999990838</v>
      </c>
    </row>
    <row r="511" spans="1:14" x14ac:dyDescent="0.3">
      <c r="H511" s="56">
        <f>H510+J510+I510</f>
        <v>579241022.00000012</v>
      </c>
    </row>
  </sheetData>
  <autoFilter ref="A2:N511" xr:uid="{00000000-0001-0000-04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7"/>
  <sheetViews>
    <sheetView showGridLines="0" topLeftCell="B54" workbookViewId="0">
      <selection activeCell="K56" sqref="I56:K56"/>
    </sheetView>
  </sheetViews>
  <sheetFormatPr defaultRowHeight="14.5" x14ac:dyDescent="0.35"/>
  <cols>
    <col min="1" max="1" width="28.54296875" customWidth="1"/>
    <col min="2" max="2" width="7.26953125" customWidth="1"/>
    <col min="3" max="3" width="12" customWidth="1"/>
    <col min="4" max="4" width="6.81640625" customWidth="1"/>
    <col min="5" max="5" width="18.453125" customWidth="1"/>
    <col min="6" max="6" width="33.54296875" customWidth="1"/>
    <col min="7" max="9" width="14.6328125" style="43" bestFit="1" customWidth="1"/>
    <col min="10" max="10" width="11.08984375" style="43" bestFit="1" customWidth="1"/>
    <col min="11" max="12" width="12.54296875" style="43" bestFit="1" customWidth="1"/>
    <col min="13" max="13" width="35.54296875" style="15" customWidth="1"/>
    <col min="14" max="14" width="26.36328125" bestFit="1" customWidth="1"/>
    <col min="15" max="15" width="27.54296875" bestFit="1" customWidth="1"/>
  </cols>
  <sheetData>
    <row r="1" spans="1:15" x14ac:dyDescent="0.35">
      <c r="A1" s="5" t="s">
        <v>797</v>
      </c>
    </row>
    <row r="2" spans="1:15" x14ac:dyDescent="0.35">
      <c r="A2" s="1" t="s">
        <v>0</v>
      </c>
    </row>
    <row r="3" spans="1:15" ht="31.5" x14ac:dyDescent="0.35">
      <c r="A3" s="16" t="s">
        <v>1</v>
      </c>
      <c r="B3" s="16" t="s">
        <v>2</v>
      </c>
      <c r="C3" s="16" t="s">
        <v>3</v>
      </c>
      <c r="D3" s="16" t="s">
        <v>4</v>
      </c>
      <c r="E3" s="16" t="s">
        <v>5</v>
      </c>
      <c r="F3" s="16" t="s">
        <v>6</v>
      </c>
      <c r="G3" s="58" t="s">
        <v>7</v>
      </c>
      <c r="H3" s="58" t="s">
        <v>8</v>
      </c>
      <c r="I3" s="59" t="s">
        <v>9</v>
      </c>
      <c r="J3" s="58" t="s">
        <v>10</v>
      </c>
      <c r="K3" s="58" t="s">
        <v>11</v>
      </c>
      <c r="L3" s="58" t="s">
        <v>868</v>
      </c>
      <c r="M3" s="20" t="s">
        <v>869</v>
      </c>
    </row>
    <row r="4" spans="1:15" ht="21" x14ac:dyDescent="0.35">
      <c r="A4" s="6" t="s">
        <v>13</v>
      </c>
      <c r="B4" s="2">
        <v>8470110</v>
      </c>
      <c r="C4" s="2" t="s">
        <v>15</v>
      </c>
      <c r="D4" s="2" t="s">
        <v>798</v>
      </c>
      <c r="E4" s="2" t="s">
        <v>170</v>
      </c>
      <c r="F4" s="2" t="s">
        <v>799</v>
      </c>
      <c r="G4" s="60">
        <v>1220302</v>
      </c>
      <c r="H4" s="60">
        <v>1220302</v>
      </c>
      <c r="I4" s="60">
        <v>1220301.8</v>
      </c>
      <c r="J4" s="49">
        <v>0</v>
      </c>
      <c r="K4" s="49">
        <v>1.16415321826935E-10</v>
      </c>
      <c r="L4" s="49">
        <f>H4-I4-J4-K4</f>
        <v>0.19999999983701855</v>
      </c>
      <c r="M4" s="21"/>
      <c r="N4" s="42" t="str">
        <f>VLOOKUP(B4,[1]Master!$C:$F,3,0)</f>
        <v xml:space="preserve">President's Office </v>
      </c>
      <c r="O4" s="42" t="str">
        <f>VLOOKUP(B4,[1]Master!$C:$F,4,0)</f>
        <v xml:space="preserve">President's Office </v>
      </c>
    </row>
    <row r="5" spans="1:15" ht="21" x14ac:dyDescent="0.35">
      <c r="A5" s="7"/>
      <c r="B5" s="2">
        <v>8470120</v>
      </c>
      <c r="C5" s="2" t="s">
        <v>53</v>
      </c>
      <c r="D5" s="2" t="s">
        <v>800</v>
      </c>
      <c r="E5" s="2" t="s">
        <v>801</v>
      </c>
      <c r="F5" s="2" t="s">
        <v>802</v>
      </c>
      <c r="G5" s="60">
        <v>0</v>
      </c>
      <c r="H5" s="60">
        <v>55598</v>
      </c>
      <c r="I5" s="60">
        <v>44351.48</v>
      </c>
      <c r="J5" s="49">
        <v>11245.5</v>
      </c>
      <c r="K5" s="49">
        <v>0</v>
      </c>
      <c r="L5" s="49">
        <f t="shared" ref="L5:L54" si="0">H5-I5-J5-K5</f>
        <v>1.0199999999967986</v>
      </c>
      <c r="M5" s="21"/>
      <c r="N5" s="42" t="str">
        <f>VLOOKUP(B5,[1]Master!$C:$F,3,0)</f>
        <v xml:space="preserve">President's Office </v>
      </c>
      <c r="O5" s="42" t="str">
        <f>VLOOKUP(B5,[1]Master!$C:$F,4,0)</f>
        <v xml:space="preserve">President's Office </v>
      </c>
    </row>
    <row r="6" spans="1:15" ht="21" x14ac:dyDescent="0.35">
      <c r="A6" s="7"/>
      <c r="B6" s="2">
        <v>8470140</v>
      </c>
      <c r="C6" s="2" t="s">
        <v>66</v>
      </c>
      <c r="D6" s="2" t="s">
        <v>803</v>
      </c>
      <c r="E6" s="2" t="s">
        <v>804</v>
      </c>
      <c r="F6" s="2" t="s">
        <v>805</v>
      </c>
      <c r="G6" s="60">
        <v>137589</v>
      </c>
      <c r="H6" s="60">
        <v>1</v>
      </c>
      <c r="I6" s="60"/>
      <c r="J6" s="49">
        <v>0</v>
      </c>
      <c r="K6" s="49">
        <v>0</v>
      </c>
      <c r="L6" s="49">
        <f t="shared" si="0"/>
        <v>1</v>
      </c>
      <c r="M6" s="21"/>
      <c r="N6" s="42" t="str">
        <f>VLOOKUP(B6,[1]Master!$C:$F,3,0)</f>
        <v>Executive Vice President Office</v>
      </c>
      <c r="O6" s="42" t="str">
        <f>VLOOKUP(B6,[1]Master!$C:$F,4,0)</f>
        <v>Executive Vice President Office</v>
      </c>
    </row>
    <row r="7" spans="1:15" ht="21" x14ac:dyDescent="0.35">
      <c r="A7" s="7"/>
      <c r="B7" s="2">
        <v>8470230</v>
      </c>
      <c r="C7" s="2" t="s">
        <v>127</v>
      </c>
      <c r="D7" s="2" t="s">
        <v>803</v>
      </c>
      <c r="E7" s="2" t="s">
        <v>804</v>
      </c>
      <c r="F7" s="2" t="s">
        <v>806</v>
      </c>
      <c r="G7" s="60">
        <v>1380709</v>
      </c>
      <c r="H7" s="60">
        <v>1333261</v>
      </c>
      <c r="I7" s="60">
        <v>1333260</v>
      </c>
      <c r="J7" s="49">
        <v>0</v>
      </c>
      <c r="K7" s="49">
        <v>0</v>
      </c>
      <c r="L7" s="49">
        <f t="shared" si="0"/>
        <v>1</v>
      </c>
      <c r="M7" s="21"/>
      <c r="N7" s="57" t="str">
        <f>VLOOKUP(B7,[1]Master!$C:$F,3,0)</f>
        <v>Academic and Student Services Office</v>
      </c>
      <c r="O7" s="42" t="str">
        <f>VLOOKUP(B7,[1]Master!$C:$F,4,0)</f>
        <v>Academic and Student Services Office</v>
      </c>
    </row>
    <row r="8" spans="1:15" ht="21" x14ac:dyDescent="0.35">
      <c r="A8" s="7"/>
      <c r="B8" s="2">
        <v>8470310</v>
      </c>
      <c r="C8" s="2" t="s">
        <v>180</v>
      </c>
      <c r="D8" s="2" t="s">
        <v>798</v>
      </c>
      <c r="E8" s="2" t="s">
        <v>170</v>
      </c>
      <c r="F8" s="2" t="s">
        <v>807</v>
      </c>
      <c r="G8" s="60">
        <v>1174460</v>
      </c>
      <c r="H8" s="60">
        <v>1169804</v>
      </c>
      <c r="I8" s="60">
        <v>364703.32</v>
      </c>
      <c r="J8" s="49">
        <v>0</v>
      </c>
      <c r="K8" s="49">
        <v>805100</v>
      </c>
      <c r="L8" s="49">
        <f t="shared" si="0"/>
        <v>0.67999999993480742</v>
      </c>
      <c r="M8" s="21"/>
      <c r="N8" s="57" t="str">
        <f>VLOOKUP(B8,[1]Master!$C:$F,3,0)</f>
        <v>Provost</v>
      </c>
      <c r="O8" s="42" t="str">
        <f>VLOOKUP(B8,[1]Master!$C:$F,4,0)</f>
        <v>College of Engineering</v>
      </c>
    </row>
    <row r="9" spans="1:15" ht="21" x14ac:dyDescent="0.35">
      <c r="A9" s="7"/>
      <c r="B9" s="2">
        <v>8470315</v>
      </c>
      <c r="C9" s="2" t="s">
        <v>200</v>
      </c>
      <c r="D9" s="2" t="s">
        <v>798</v>
      </c>
      <c r="E9" s="2" t="s">
        <v>170</v>
      </c>
      <c r="F9" s="2" t="s">
        <v>808</v>
      </c>
      <c r="G9" s="60">
        <v>700693</v>
      </c>
      <c r="H9" s="60">
        <v>657214</v>
      </c>
      <c r="I9" s="60">
        <v>657144.79</v>
      </c>
      <c r="J9" s="49">
        <v>0</v>
      </c>
      <c r="K9" s="49">
        <v>0</v>
      </c>
      <c r="L9" s="49">
        <f t="shared" si="0"/>
        <v>69.209999999962747</v>
      </c>
      <c r="M9" s="21"/>
      <c r="N9" s="57" t="str">
        <f>VLOOKUP(B9,[1]Master!$C:$F,3,0)</f>
        <v>Provost</v>
      </c>
      <c r="O9" s="42" t="str">
        <f>VLOOKUP(B9,[1]Master!$C:$F,4,0)</f>
        <v>College of Engineering</v>
      </c>
    </row>
    <row r="10" spans="1:15" ht="21" x14ac:dyDescent="0.35">
      <c r="A10" s="7"/>
      <c r="B10" s="2">
        <v>8470320</v>
      </c>
      <c r="C10" s="2" t="s">
        <v>215</v>
      </c>
      <c r="D10" s="2" t="s">
        <v>798</v>
      </c>
      <c r="E10" s="2" t="s">
        <v>170</v>
      </c>
      <c r="F10" s="2" t="s">
        <v>809</v>
      </c>
      <c r="G10" s="60">
        <v>1813427</v>
      </c>
      <c r="H10" s="60">
        <v>743839</v>
      </c>
      <c r="I10" s="60">
        <v>310516</v>
      </c>
      <c r="J10" s="49">
        <v>0</v>
      </c>
      <c r="K10" s="49">
        <v>433322</v>
      </c>
      <c r="L10" s="49">
        <f t="shared" si="0"/>
        <v>1</v>
      </c>
      <c r="M10" s="21"/>
      <c r="N10" s="57" t="str">
        <f>VLOOKUP(B10,[1]Master!$C:$F,3,0)</f>
        <v>Provost</v>
      </c>
      <c r="O10" s="42" t="str">
        <f>VLOOKUP(B10,[1]Master!$C:$F,4,0)</f>
        <v>College of Engineering</v>
      </c>
    </row>
    <row r="11" spans="1:15" ht="21" x14ac:dyDescent="0.35">
      <c r="A11" s="7"/>
      <c r="B11" s="2">
        <v>8470320</v>
      </c>
      <c r="C11" s="2" t="s">
        <v>215</v>
      </c>
      <c r="D11" s="2" t="s">
        <v>810</v>
      </c>
      <c r="E11" s="2" t="s">
        <v>811</v>
      </c>
      <c r="F11" s="2" t="s">
        <v>812</v>
      </c>
      <c r="G11" s="60">
        <v>16097</v>
      </c>
      <c r="H11" s="60">
        <v>1</v>
      </c>
      <c r="I11" s="60"/>
      <c r="J11" s="49">
        <v>0</v>
      </c>
      <c r="K11" s="49">
        <v>0</v>
      </c>
      <c r="L11" s="49">
        <f t="shared" si="0"/>
        <v>1</v>
      </c>
      <c r="M11" s="21"/>
      <c r="N11" s="57" t="str">
        <f>VLOOKUP(B11,[1]Master!$C:$F,3,0)</f>
        <v>Provost</v>
      </c>
      <c r="O11" s="42" t="str">
        <f>VLOOKUP(B11,[1]Master!$C:$F,4,0)</f>
        <v>College of Engineering</v>
      </c>
    </row>
    <row r="12" spans="1:15" ht="21" x14ac:dyDescent="0.35">
      <c r="A12" s="7"/>
      <c r="B12" s="2">
        <v>8470325</v>
      </c>
      <c r="C12" s="2" t="s">
        <v>229</v>
      </c>
      <c r="D12" s="2" t="s">
        <v>798</v>
      </c>
      <c r="E12" s="2" t="s">
        <v>170</v>
      </c>
      <c r="F12" s="2" t="s">
        <v>813</v>
      </c>
      <c r="G12" s="60">
        <v>611783</v>
      </c>
      <c r="H12" s="60">
        <v>572821</v>
      </c>
      <c r="I12" s="60">
        <v>559410</v>
      </c>
      <c r="J12" s="49">
        <v>0</v>
      </c>
      <c r="K12" s="49">
        <v>13410</v>
      </c>
      <c r="L12" s="49">
        <f t="shared" si="0"/>
        <v>1</v>
      </c>
      <c r="M12" s="21"/>
      <c r="N12" s="57" t="str">
        <f>VLOOKUP(B12,[1]Master!$C:$F,3,0)</f>
        <v>Provost</v>
      </c>
      <c r="O12" s="42" t="str">
        <f>VLOOKUP(B12,[1]Master!$C:$F,4,0)</f>
        <v>College of Engineering</v>
      </c>
    </row>
    <row r="13" spans="1:15" ht="31.5" x14ac:dyDescent="0.35">
      <c r="A13" s="7"/>
      <c r="B13" s="2">
        <v>8470330</v>
      </c>
      <c r="C13" s="2" t="s">
        <v>241</v>
      </c>
      <c r="D13" s="2" t="s">
        <v>798</v>
      </c>
      <c r="E13" s="2" t="s">
        <v>170</v>
      </c>
      <c r="F13" s="2" t="s">
        <v>814</v>
      </c>
      <c r="G13" s="60">
        <v>456796</v>
      </c>
      <c r="H13" s="60">
        <v>438961</v>
      </c>
      <c r="I13" s="60">
        <v>438885</v>
      </c>
      <c r="J13" s="49">
        <v>0</v>
      </c>
      <c r="K13" s="49">
        <v>0</v>
      </c>
      <c r="L13" s="49">
        <f t="shared" si="0"/>
        <v>76</v>
      </c>
      <c r="M13" s="21"/>
      <c r="N13" s="57" t="str">
        <f>VLOOKUP(B13,[1]Master!$C:$F,3,0)</f>
        <v>Provost</v>
      </c>
      <c r="O13" s="42" t="str">
        <f>VLOOKUP(B13,[1]Master!$C:$F,4,0)</f>
        <v>College of Engineering</v>
      </c>
    </row>
    <row r="14" spans="1:15" ht="31.5" x14ac:dyDescent="0.35">
      <c r="A14" s="7"/>
      <c r="B14" s="2">
        <v>8470335</v>
      </c>
      <c r="C14" s="2" t="s">
        <v>257</v>
      </c>
      <c r="D14" s="2" t="s">
        <v>798</v>
      </c>
      <c r="E14" s="2" t="s">
        <v>170</v>
      </c>
      <c r="F14" s="2" t="s">
        <v>815</v>
      </c>
      <c r="G14" s="60">
        <v>234334</v>
      </c>
      <c r="H14" s="60">
        <v>234093</v>
      </c>
      <c r="I14" s="60">
        <v>187815.05</v>
      </c>
      <c r="J14" s="49">
        <v>0</v>
      </c>
      <c r="K14" s="49">
        <v>223066</v>
      </c>
      <c r="L14" s="49">
        <f t="shared" si="0"/>
        <v>-176788.05</v>
      </c>
      <c r="M14" s="21"/>
      <c r="N14" s="57" t="str">
        <f>VLOOKUP(B14,[1]Master!$C:$F,3,0)</f>
        <v>Provost</v>
      </c>
      <c r="O14" s="42" t="str">
        <f>VLOOKUP(B14,[1]Master!$C:$F,4,0)</f>
        <v>College of Engineering</v>
      </c>
    </row>
    <row r="15" spans="1:15" ht="21" x14ac:dyDescent="0.35">
      <c r="A15" s="7"/>
      <c r="B15" s="2">
        <v>8470340</v>
      </c>
      <c r="C15" s="2" t="s">
        <v>271</v>
      </c>
      <c r="D15" s="2" t="s">
        <v>798</v>
      </c>
      <c r="E15" s="2" t="s">
        <v>170</v>
      </c>
      <c r="F15" s="2" t="s">
        <v>816</v>
      </c>
      <c r="G15" s="60">
        <v>533159</v>
      </c>
      <c r="H15" s="60">
        <v>532461</v>
      </c>
      <c r="I15" s="60">
        <v>532460</v>
      </c>
      <c r="J15" s="49">
        <v>0</v>
      </c>
      <c r="K15" s="49">
        <v>0</v>
      </c>
      <c r="L15" s="49">
        <f t="shared" si="0"/>
        <v>1</v>
      </c>
      <c r="M15" s="21"/>
      <c r="N15" s="57" t="str">
        <f>VLOOKUP(B15,[1]Master!$C:$F,3,0)</f>
        <v>Provost</v>
      </c>
      <c r="O15" s="42" t="str">
        <f>VLOOKUP(B15,[1]Master!$C:$F,4,0)</f>
        <v>College of Engineering</v>
      </c>
    </row>
    <row r="16" spans="1:15" ht="21" x14ac:dyDescent="0.35">
      <c r="A16" s="7"/>
      <c r="B16" s="2">
        <v>8470345</v>
      </c>
      <c r="C16" s="2" t="s">
        <v>286</v>
      </c>
      <c r="D16" s="2" t="s">
        <v>798</v>
      </c>
      <c r="E16" s="2" t="s">
        <v>170</v>
      </c>
      <c r="F16" s="2" t="s">
        <v>817</v>
      </c>
      <c r="G16" s="60">
        <v>551330</v>
      </c>
      <c r="H16" s="60">
        <v>548950</v>
      </c>
      <c r="I16" s="60">
        <v>404980</v>
      </c>
      <c r="J16" s="49">
        <v>0</v>
      </c>
      <c r="K16" s="49">
        <v>142219.26999999999</v>
      </c>
      <c r="L16" s="49">
        <f t="shared" si="0"/>
        <v>1750.7300000000105</v>
      </c>
      <c r="M16" s="21"/>
      <c r="N16" s="57" t="str">
        <f>VLOOKUP(B16,[1]Master!$C:$F,3,0)</f>
        <v>Provost</v>
      </c>
      <c r="O16" s="42" t="str">
        <f>VLOOKUP(B16,[1]Master!$C:$F,4,0)</f>
        <v>College of Engineering</v>
      </c>
    </row>
    <row r="17" spans="1:15" ht="21" x14ac:dyDescent="0.35">
      <c r="A17" s="7"/>
      <c r="B17" s="2">
        <v>8470350</v>
      </c>
      <c r="C17" s="2" t="s">
        <v>299</v>
      </c>
      <c r="D17" s="2" t="s">
        <v>798</v>
      </c>
      <c r="E17" s="2" t="s">
        <v>170</v>
      </c>
      <c r="F17" s="2" t="s">
        <v>818</v>
      </c>
      <c r="G17" s="60">
        <v>1446520</v>
      </c>
      <c r="H17" s="60">
        <v>1353772</v>
      </c>
      <c r="I17" s="60">
        <v>942948.2</v>
      </c>
      <c r="J17" s="49">
        <v>440666.76</v>
      </c>
      <c r="K17" s="49">
        <v>0</v>
      </c>
      <c r="L17" s="49">
        <f t="shared" si="0"/>
        <v>-29842.959999999963</v>
      </c>
      <c r="M17" s="27"/>
      <c r="N17" s="57" t="str">
        <f>VLOOKUP(B17,[1]Master!$C:$F,3,0)</f>
        <v>Provost</v>
      </c>
      <c r="O17" s="42" t="str">
        <f>VLOOKUP(B17,[1]Master!$C:$F,4,0)</f>
        <v>College of Engineering</v>
      </c>
    </row>
    <row r="18" spans="1:15" ht="91" x14ac:dyDescent="0.35">
      <c r="A18" s="7"/>
      <c r="B18" s="2">
        <v>8470415</v>
      </c>
      <c r="C18" s="2" t="s">
        <v>331</v>
      </c>
      <c r="D18" s="2" t="s">
        <v>798</v>
      </c>
      <c r="E18" s="2" t="s">
        <v>170</v>
      </c>
      <c r="F18" s="2" t="s">
        <v>819</v>
      </c>
      <c r="G18" s="60">
        <v>1891417</v>
      </c>
      <c r="H18" s="60">
        <v>1877083</v>
      </c>
      <c r="I18" s="60">
        <v>1507060.1</v>
      </c>
      <c r="J18" s="49">
        <v>0</v>
      </c>
      <c r="K18" s="49">
        <v>57654</v>
      </c>
      <c r="L18" s="49">
        <f t="shared" si="0"/>
        <v>312368.89999999991</v>
      </c>
      <c r="M18" s="28" t="s">
        <v>878</v>
      </c>
      <c r="N18" s="57" t="str">
        <f>VLOOKUP(B18,[1]Master!$C:$F,3,0)</f>
        <v>Provost</v>
      </c>
      <c r="O18" s="42" t="str">
        <f>VLOOKUP(B18,[1]Master!$C:$F,4,0)</f>
        <v>College of Arts &amp; Science</v>
      </c>
    </row>
    <row r="19" spans="1:15" x14ac:dyDescent="0.35">
      <c r="A19" s="7"/>
      <c r="B19" s="2">
        <v>8470425</v>
      </c>
      <c r="C19" s="2" t="s">
        <v>345</v>
      </c>
      <c r="D19" s="2" t="s">
        <v>803</v>
      </c>
      <c r="E19" s="2" t="s">
        <v>804</v>
      </c>
      <c r="F19" s="2" t="s">
        <v>820</v>
      </c>
      <c r="G19" s="60">
        <v>151348</v>
      </c>
      <c r="H19" s="60">
        <v>35281</v>
      </c>
      <c r="I19" s="60">
        <v>35280</v>
      </c>
      <c r="J19" s="49">
        <v>0</v>
      </c>
      <c r="K19" s="49">
        <v>0</v>
      </c>
      <c r="L19" s="49">
        <f t="shared" si="0"/>
        <v>1</v>
      </c>
      <c r="M19" s="24"/>
      <c r="N19" s="57" t="str">
        <f>VLOOKUP(B19,[1]Master!$C:$F,3,0)</f>
        <v>Provost</v>
      </c>
      <c r="O19" s="42" t="str">
        <f>VLOOKUP(B19,[1]Master!$C:$F,4,0)</f>
        <v>College of Arts &amp; Science</v>
      </c>
    </row>
    <row r="20" spans="1:15" x14ac:dyDescent="0.35">
      <c r="A20" s="7"/>
      <c r="B20" s="2">
        <v>8470425</v>
      </c>
      <c r="C20" s="2" t="s">
        <v>345</v>
      </c>
      <c r="D20" s="2" t="s">
        <v>798</v>
      </c>
      <c r="E20" s="2" t="s">
        <v>170</v>
      </c>
      <c r="F20" s="2" t="s">
        <v>821</v>
      </c>
      <c r="G20" s="60">
        <v>1551340</v>
      </c>
      <c r="H20" s="60">
        <v>633395</v>
      </c>
      <c r="I20" s="60">
        <v>408512.58</v>
      </c>
      <c r="J20" s="49">
        <v>0</v>
      </c>
      <c r="K20" s="49">
        <v>224881.73</v>
      </c>
      <c r="L20" s="49">
        <f t="shared" si="0"/>
        <v>0.68999999997322448</v>
      </c>
      <c r="M20" s="24"/>
      <c r="N20" s="57" t="str">
        <f>VLOOKUP(B20,[1]Master!$C:$F,3,0)</f>
        <v>Provost</v>
      </c>
      <c r="O20" s="42" t="str">
        <f>VLOOKUP(B20,[1]Master!$C:$F,4,0)</f>
        <v>College of Arts &amp; Science</v>
      </c>
    </row>
    <row r="21" spans="1:15" ht="21" x14ac:dyDescent="0.35">
      <c r="A21" s="7"/>
      <c r="B21" s="2">
        <v>8470450</v>
      </c>
      <c r="C21" s="2" t="s">
        <v>397</v>
      </c>
      <c r="D21" s="2" t="s">
        <v>803</v>
      </c>
      <c r="E21" s="2" t="s">
        <v>804</v>
      </c>
      <c r="F21" s="2" t="s">
        <v>822</v>
      </c>
      <c r="G21" s="60">
        <v>126346</v>
      </c>
      <c r="H21" s="60">
        <v>80206</v>
      </c>
      <c r="I21" s="60">
        <v>80205</v>
      </c>
      <c r="J21" s="49">
        <v>0</v>
      </c>
      <c r="K21" s="49">
        <v>0</v>
      </c>
      <c r="L21" s="49">
        <f t="shared" si="0"/>
        <v>1</v>
      </c>
      <c r="M21" s="24"/>
      <c r="N21" s="57" t="str">
        <f>VLOOKUP(B21,[1]Master!$C:$F,3,0)</f>
        <v>Provost</v>
      </c>
      <c r="O21" s="42" t="str">
        <f>VLOOKUP(B21,[1]Master!$C:$F,4,0)</f>
        <v>College of Arts &amp; Science</v>
      </c>
    </row>
    <row r="22" spans="1:15" ht="21" x14ac:dyDescent="0.35">
      <c r="A22" s="7"/>
      <c r="B22" s="2">
        <v>8470450</v>
      </c>
      <c r="C22" s="2" t="s">
        <v>397</v>
      </c>
      <c r="D22" s="2" t="s">
        <v>798</v>
      </c>
      <c r="E22" s="2" t="s">
        <v>170</v>
      </c>
      <c r="F22" s="2" t="s">
        <v>823</v>
      </c>
      <c r="G22" s="60">
        <v>146498</v>
      </c>
      <c r="H22" s="60">
        <v>65176</v>
      </c>
      <c r="I22" s="60">
        <v>40074.519999999997</v>
      </c>
      <c r="J22" s="49">
        <v>0</v>
      </c>
      <c r="K22" s="49">
        <v>25100</v>
      </c>
      <c r="L22" s="49">
        <f t="shared" si="0"/>
        <v>1.4800000000032014</v>
      </c>
      <c r="M22" s="24"/>
      <c r="N22" s="57" t="str">
        <f>VLOOKUP(B22,[1]Master!$C:$F,3,0)</f>
        <v>Provost</v>
      </c>
      <c r="O22" s="42" t="str">
        <f>VLOOKUP(B22,[1]Master!$C:$F,4,0)</f>
        <v>College of Arts &amp; Science</v>
      </c>
    </row>
    <row r="23" spans="1:15" x14ac:dyDescent="0.35">
      <c r="A23" s="7"/>
      <c r="B23" s="2">
        <v>8470455</v>
      </c>
      <c r="C23" s="2" t="s">
        <v>406</v>
      </c>
      <c r="D23" s="2" t="s">
        <v>798</v>
      </c>
      <c r="E23" s="2" t="s">
        <v>170</v>
      </c>
      <c r="F23" s="2" t="s">
        <v>824</v>
      </c>
      <c r="G23" s="60">
        <v>1754263</v>
      </c>
      <c r="H23" s="60">
        <v>1421069</v>
      </c>
      <c r="I23" s="60">
        <v>1395868</v>
      </c>
      <c r="J23" s="49">
        <v>1</v>
      </c>
      <c r="K23" s="49">
        <v>12967.5</v>
      </c>
      <c r="L23" s="49">
        <f t="shared" si="0"/>
        <v>12232.5</v>
      </c>
      <c r="M23" s="24"/>
      <c r="N23" s="57" t="str">
        <f>VLOOKUP(B23,[1]Master!$C:$F,3,0)</f>
        <v>Provost</v>
      </c>
      <c r="O23" s="42" t="str">
        <f>VLOOKUP(B23,[1]Master!$C:$F,4,0)</f>
        <v>College of Arts &amp; Science</v>
      </c>
    </row>
    <row r="24" spans="1:15" ht="31.5" x14ac:dyDescent="0.35">
      <c r="A24" s="7"/>
      <c r="B24" s="2">
        <v>8470520</v>
      </c>
      <c r="C24" s="2" t="s">
        <v>418</v>
      </c>
      <c r="D24" s="2" t="s">
        <v>798</v>
      </c>
      <c r="E24" s="2" t="s">
        <v>170</v>
      </c>
      <c r="F24" s="2" t="s">
        <v>825</v>
      </c>
      <c r="G24" s="60">
        <v>171987</v>
      </c>
      <c r="H24" s="60">
        <v>1</v>
      </c>
      <c r="I24" s="60"/>
      <c r="J24" s="49">
        <v>0</v>
      </c>
      <c r="K24" s="49">
        <v>0</v>
      </c>
      <c r="L24" s="49">
        <f t="shared" si="0"/>
        <v>1</v>
      </c>
      <c r="M24" s="24"/>
      <c r="N24" s="42" t="str">
        <f>VLOOKUP(B24,[1]Master!$C:$F,3,0)</f>
        <v>SVP/ Support Services Office</v>
      </c>
      <c r="O24" s="42" t="str">
        <f>VLOOKUP(B24,[1]Master!$C:$F,4,0)</f>
        <v>Administration, Facilities and EHS Office</v>
      </c>
    </row>
    <row r="25" spans="1:15" ht="21" x14ac:dyDescent="0.35">
      <c r="A25" s="7"/>
      <c r="B25" s="2">
        <v>8470530</v>
      </c>
      <c r="C25" s="2" t="s">
        <v>430</v>
      </c>
      <c r="D25" s="2" t="s">
        <v>826</v>
      </c>
      <c r="E25" s="2" t="s">
        <v>827</v>
      </c>
      <c r="F25" s="2" t="s">
        <v>828</v>
      </c>
      <c r="G25" s="60">
        <v>2910350</v>
      </c>
      <c r="H25" s="60">
        <v>1624209</v>
      </c>
      <c r="I25" s="60">
        <v>1624208</v>
      </c>
      <c r="J25" s="49">
        <v>0</v>
      </c>
      <c r="K25" s="49">
        <v>0</v>
      </c>
      <c r="L25" s="49">
        <f t="shared" si="0"/>
        <v>1</v>
      </c>
      <c r="M25" s="24"/>
      <c r="N25" s="42" t="str">
        <f>VLOOKUP(B25,[1]Master!$C:$F,3,0)</f>
        <v>SVP/ Support Services Office</v>
      </c>
      <c r="O25" s="42" t="str">
        <f>VLOOKUP(B25,[1]Master!$C:$F,4,0)</f>
        <v>Administration, Facilities and EHS Office</v>
      </c>
    </row>
    <row r="26" spans="1:15" ht="39" x14ac:dyDescent="0.35">
      <c r="A26" s="7"/>
      <c r="B26" s="2">
        <v>8470530</v>
      </c>
      <c r="C26" s="2" t="s">
        <v>430</v>
      </c>
      <c r="D26" s="2" t="s">
        <v>826</v>
      </c>
      <c r="E26" s="2" t="s">
        <v>827</v>
      </c>
      <c r="F26" s="2" t="s">
        <v>829</v>
      </c>
      <c r="G26" s="60">
        <v>18425319</v>
      </c>
      <c r="H26" s="60">
        <v>30271159</v>
      </c>
      <c r="I26" s="60">
        <v>28839438.300000001</v>
      </c>
      <c r="J26" s="49">
        <v>0</v>
      </c>
      <c r="K26" s="49">
        <v>299375</v>
      </c>
      <c r="L26" s="49">
        <f t="shared" si="0"/>
        <v>1132345.6999999993</v>
      </c>
      <c r="M26" s="24" t="s">
        <v>875</v>
      </c>
      <c r="N26" s="42" t="str">
        <f>VLOOKUP(B26,[1]Master!$C:$F,3,0)</f>
        <v>SVP/ Support Services Office</v>
      </c>
      <c r="O26" s="42" t="str">
        <f>VLOOKUP(B26,[1]Master!$C:$F,4,0)</f>
        <v>Administration, Facilities and EHS Office</v>
      </c>
    </row>
    <row r="27" spans="1:15" ht="21" x14ac:dyDescent="0.35">
      <c r="A27" s="7"/>
      <c r="B27" s="2">
        <v>8470530</v>
      </c>
      <c r="C27" s="2" t="s">
        <v>430</v>
      </c>
      <c r="D27" s="2" t="s">
        <v>826</v>
      </c>
      <c r="E27" s="2" t="s">
        <v>827</v>
      </c>
      <c r="F27" s="2" t="s">
        <v>830</v>
      </c>
      <c r="G27" s="60">
        <v>3580020</v>
      </c>
      <c r="H27" s="60">
        <v>0</v>
      </c>
      <c r="I27" s="60"/>
      <c r="J27" s="49">
        <v>0</v>
      </c>
      <c r="K27" s="49">
        <v>0</v>
      </c>
      <c r="L27" s="49">
        <f t="shared" si="0"/>
        <v>0</v>
      </c>
      <c r="M27" s="24"/>
      <c r="N27" s="42" t="str">
        <f>VLOOKUP(B27,[1]Master!$C:$F,3,0)</f>
        <v>SVP/ Support Services Office</v>
      </c>
      <c r="O27" s="42" t="str">
        <f>VLOOKUP(B27,[1]Master!$C:$F,4,0)</f>
        <v>Administration, Facilities and EHS Office</v>
      </c>
    </row>
    <row r="28" spans="1:15" ht="21" x14ac:dyDescent="0.35">
      <c r="A28" s="7"/>
      <c r="B28" s="2">
        <v>8470530</v>
      </c>
      <c r="C28" s="2" t="s">
        <v>430</v>
      </c>
      <c r="D28" s="2" t="s">
        <v>826</v>
      </c>
      <c r="E28" s="2" t="s">
        <v>827</v>
      </c>
      <c r="F28" s="2" t="s">
        <v>831</v>
      </c>
      <c r="G28" s="60">
        <v>19458929</v>
      </c>
      <c r="H28" s="60">
        <v>21619047</v>
      </c>
      <c r="I28" s="60">
        <v>21619045.739999998</v>
      </c>
      <c r="J28" s="49">
        <v>0</v>
      </c>
      <c r="K28" s="49">
        <v>0</v>
      </c>
      <c r="L28" s="49">
        <f t="shared" si="0"/>
        <v>1.2600000016391277</v>
      </c>
      <c r="M28" s="24"/>
      <c r="N28" s="42" t="str">
        <f>VLOOKUP(B28,[1]Master!$C:$F,3,0)</f>
        <v>SVP/ Support Services Office</v>
      </c>
      <c r="O28" s="42" t="str">
        <f>VLOOKUP(B28,[1]Master!$C:$F,4,0)</f>
        <v>Administration, Facilities and EHS Office</v>
      </c>
    </row>
    <row r="29" spans="1:15" ht="21" x14ac:dyDescent="0.35">
      <c r="A29" s="7"/>
      <c r="B29" s="2">
        <v>8470530</v>
      </c>
      <c r="C29" s="2" t="s">
        <v>430</v>
      </c>
      <c r="D29" s="2" t="s">
        <v>832</v>
      </c>
      <c r="E29" s="2" t="s">
        <v>833</v>
      </c>
      <c r="F29" s="2" t="s">
        <v>834</v>
      </c>
      <c r="G29" s="60">
        <v>1136050</v>
      </c>
      <c r="H29" s="60">
        <v>6290521</v>
      </c>
      <c r="I29" s="60">
        <v>6289920</v>
      </c>
      <c r="J29" s="49">
        <v>0</v>
      </c>
      <c r="K29" s="49">
        <v>0</v>
      </c>
      <c r="L29" s="49">
        <f t="shared" si="0"/>
        <v>601</v>
      </c>
      <c r="M29" s="24"/>
      <c r="N29" s="42" t="str">
        <f>VLOOKUP(B29,[1]Master!$C:$F,3,0)</f>
        <v>SVP/ Support Services Office</v>
      </c>
      <c r="O29" s="42" t="str">
        <f>VLOOKUP(B29,[1]Master!$C:$F,4,0)</f>
        <v>Administration, Facilities and EHS Office</v>
      </c>
    </row>
    <row r="30" spans="1:15" ht="21" x14ac:dyDescent="0.35">
      <c r="A30" s="7"/>
      <c r="B30" s="2">
        <v>8470530</v>
      </c>
      <c r="C30" s="2" t="s">
        <v>430</v>
      </c>
      <c r="D30" s="2" t="s">
        <v>832</v>
      </c>
      <c r="E30" s="2" t="s">
        <v>833</v>
      </c>
      <c r="F30" s="2" t="s">
        <v>835</v>
      </c>
      <c r="G30" s="60">
        <v>32800</v>
      </c>
      <c r="H30" s="60">
        <v>31489</v>
      </c>
      <c r="I30" s="60">
        <v>31488</v>
      </c>
      <c r="J30" s="49">
        <v>0</v>
      </c>
      <c r="K30" s="49">
        <v>0</v>
      </c>
      <c r="L30" s="49">
        <f t="shared" si="0"/>
        <v>1</v>
      </c>
      <c r="M30" s="24"/>
      <c r="N30" s="42" t="str">
        <f>VLOOKUP(B30,[1]Master!$C:$F,3,0)</f>
        <v>SVP/ Support Services Office</v>
      </c>
      <c r="O30" s="42" t="str">
        <f>VLOOKUP(B30,[1]Master!$C:$F,4,0)</f>
        <v>Administration, Facilities and EHS Office</v>
      </c>
    </row>
    <row r="31" spans="1:15" ht="21" x14ac:dyDescent="0.35">
      <c r="A31" s="7"/>
      <c r="B31" s="2">
        <v>8470530</v>
      </c>
      <c r="C31" s="2" t="s">
        <v>430</v>
      </c>
      <c r="D31" s="2" t="s">
        <v>832</v>
      </c>
      <c r="E31" s="2" t="s">
        <v>833</v>
      </c>
      <c r="F31" s="2" t="s">
        <v>836</v>
      </c>
      <c r="G31" s="60">
        <v>1375893</v>
      </c>
      <c r="H31" s="60">
        <v>41142</v>
      </c>
      <c r="I31" s="60">
        <v>39750</v>
      </c>
      <c r="J31" s="49">
        <v>0</v>
      </c>
      <c r="K31" s="49">
        <v>0</v>
      </c>
      <c r="L31" s="49">
        <f t="shared" si="0"/>
        <v>1392</v>
      </c>
      <c r="M31" s="24"/>
      <c r="N31" s="42" t="str">
        <f>VLOOKUP(B31,[1]Master!$C:$F,3,0)</f>
        <v>SVP/ Support Services Office</v>
      </c>
      <c r="O31" s="42" t="str">
        <f>VLOOKUP(B31,[1]Master!$C:$F,4,0)</f>
        <v>Administration, Facilities and EHS Office</v>
      </c>
    </row>
    <row r="32" spans="1:15" ht="21" x14ac:dyDescent="0.35">
      <c r="A32" s="7"/>
      <c r="B32" s="2">
        <v>8470530</v>
      </c>
      <c r="C32" s="2" t="s">
        <v>430</v>
      </c>
      <c r="D32" s="2" t="s">
        <v>800</v>
      </c>
      <c r="E32" s="2" t="s">
        <v>801</v>
      </c>
      <c r="F32" s="2" t="s">
        <v>837</v>
      </c>
      <c r="G32" s="60">
        <v>0</v>
      </c>
      <c r="H32" s="60">
        <v>1</v>
      </c>
      <c r="I32" s="60"/>
      <c r="J32" s="49">
        <v>0</v>
      </c>
      <c r="K32" s="49">
        <v>0</v>
      </c>
      <c r="L32" s="49">
        <f t="shared" si="0"/>
        <v>1</v>
      </c>
      <c r="M32" s="24"/>
      <c r="N32" s="42" t="str">
        <f>VLOOKUP(B32,[1]Master!$C:$F,3,0)</f>
        <v>SVP/ Support Services Office</v>
      </c>
      <c r="O32" s="42" t="str">
        <f>VLOOKUP(B32,[1]Master!$C:$F,4,0)</f>
        <v>Administration, Facilities and EHS Office</v>
      </c>
    </row>
    <row r="33" spans="1:15" ht="21" x14ac:dyDescent="0.35">
      <c r="A33" s="7"/>
      <c r="B33" s="2">
        <v>8470530</v>
      </c>
      <c r="C33" s="2" t="s">
        <v>430</v>
      </c>
      <c r="D33" s="2" t="s">
        <v>810</v>
      </c>
      <c r="E33" s="2" t="s">
        <v>811</v>
      </c>
      <c r="F33" s="2" t="s">
        <v>838</v>
      </c>
      <c r="G33" s="60">
        <v>30302</v>
      </c>
      <c r="H33" s="60">
        <v>30303</v>
      </c>
      <c r="I33" s="60"/>
      <c r="J33" s="49">
        <v>30302.25</v>
      </c>
      <c r="K33" s="49">
        <v>0</v>
      </c>
      <c r="L33" s="49">
        <f t="shared" si="0"/>
        <v>0.75</v>
      </c>
      <c r="M33" s="24"/>
      <c r="N33" s="42" t="str">
        <f>VLOOKUP(B33,[1]Master!$C:$F,3,0)</f>
        <v>SVP/ Support Services Office</v>
      </c>
      <c r="O33" s="42" t="str">
        <f>VLOOKUP(B33,[1]Master!$C:$F,4,0)</f>
        <v>Administration, Facilities and EHS Office</v>
      </c>
    </row>
    <row r="34" spans="1:15" ht="31.5" x14ac:dyDescent="0.35">
      <c r="A34" s="7"/>
      <c r="B34" s="2">
        <v>8470720</v>
      </c>
      <c r="C34" s="2" t="s">
        <v>549</v>
      </c>
      <c r="D34" s="2" t="s">
        <v>839</v>
      </c>
      <c r="E34" s="2" t="s">
        <v>840</v>
      </c>
      <c r="F34" s="2" t="s">
        <v>841</v>
      </c>
      <c r="G34" s="60">
        <v>69286</v>
      </c>
      <c r="H34" s="60">
        <v>0</v>
      </c>
      <c r="I34" s="60"/>
      <c r="J34" s="49">
        <v>0</v>
      </c>
      <c r="K34" s="49">
        <v>0</v>
      </c>
      <c r="L34" s="49">
        <f t="shared" si="0"/>
        <v>0</v>
      </c>
      <c r="M34" s="24"/>
      <c r="N34" s="42" t="str">
        <f>VLOOKUP(B34,[1]Master!$C:$F,3,0)</f>
        <v>SVP/ Support Services Office</v>
      </c>
      <c r="O34" s="42" t="str">
        <f>VLOOKUP(B34,[1]Master!$C:$F,4,0)</f>
        <v>Procurement and Contracts</v>
      </c>
    </row>
    <row r="35" spans="1:15" ht="31.5" x14ac:dyDescent="0.35">
      <c r="A35" s="7"/>
      <c r="B35" s="2">
        <v>8470720</v>
      </c>
      <c r="C35" s="2" t="s">
        <v>549</v>
      </c>
      <c r="D35" s="2" t="s">
        <v>800</v>
      </c>
      <c r="E35" s="2" t="s">
        <v>801</v>
      </c>
      <c r="F35" s="2" t="s">
        <v>842</v>
      </c>
      <c r="G35" s="60">
        <v>0</v>
      </c>
      <c r="H35" s="60">
        <v>69286</v>
      </c>
      <c r="I35" s="60">
        <v>69286</v>
      </c>
      <c r="J35" s="49">
        <v>0</v>
      </c>
      <c r="K35" s="49">
        <v>0</v>
      </c>
      <c r="L35" s="49">
        <f t="shared" si="0"/>
        <v>0</v>
      </c>
      <c r="M35" s="24"/>
      <c r="N35" s="42" t="str">
        <f>VLOOKUP(B35,[1]Master!$C:$F,3,0)</f>
        <v>SVP/ Support Services Office</v>
      </c>
      <c r="O35" s="42" t="str">
        <f>VLOOKUP(B35,[1]Master!$C:$F,4,0)</f>
        <v>Procurement and Contracts</v>
      </c>
    </row>
    <row r="36" spans="1:15" ht="21" x14ac:dyDescent="0.35">
      <c r="A36" s="7"/>
      <c r="B36" s="2">
        <v>8470730</v>
      </c>
      <c r="C36" s="2" t="s">
        <v>560</v>
      </c>
      <c r="D36" s="2" t="s">
        <v>832</v>
      </c>
      <c r="E36" s="2" t="s">
        <v>833</v>
      </c>
      <c r="F36" s="2" t="s">
        <v>843</v>
      </c>
      <c r="G36" s="60">
        <v>1135112</v>
      </c>
      <c r="H36" s="60">
        <v>0</v>
      </c>
      <c r="I36" s="60"/>
      <c r="J36" s="49">
        <v>0</v>
      </c>
      <c r="K36" s="49">
        <v>0</v>
      </c>
      <c r="L36" s="49">
        <f t="shared" si="0"/>
        <v>0</v>
      </c>
      <c r="M36" s="24"/>
      <c r="N36" s="42" t="str">
        <f>VLOOKUP(B36,[1]Master!$C:$F,3,0)</f>
        <v>SVP/ Support Services Office</v>
      </c>
      <c r="O36" s="42" t="str">
        <f>VLOOKUP(B36,[1]Master!$C:$F,4,0)</f>
        <v>Human Resources</v>
      </c>
    </row>
    <row r="37" spans="1:15" ht="21" x14ac:dyDescent="0.35">
      <c r="A37" s="7"/>
      <c r="B37" s="2">
        <v>8470810</v>
      </c>
      <c r="C37" s="2" t="s">
        <v>572</v>
      </c>
      <c r="D37" s="2" t="s">
        <v>803</v>
      </c>
      <c r="E37" s="2" t="s">
        <v>804</v>
      </c>
      <c r="F37" s="2" t="s">
        <v>844</v>
      </c>
      <c r="G37" s="60">
        <v>2800802</v>
      </c>
      <c r="H37" s="60">
        <v>181051</v>
      </c>
      <c r="I37" s="60">
        <v>181050</v>
      </c>
      <c r="J37" s="49">
        <v>0</v>
      </c>
      <c r="K37" s="49">
        <v>0</v>
      </c>
      <c r="L37" s="49">
        <f t="shared" si="0"/>
        <v>1</v>
      </c>
      <c r="M37" s="24"/>
      <c r="N37" s="42" t="str">
        <f>VLOOKUP(B37,[1]Master!$C:$F,3,0)</f>
        <v>SVP/ Support Services Office</v>
      </c>
      <c r="O37" s="42" t="str">
        <f>VLOOKUP(B37,[1]Master!$C:$F,4,0)</f>
        <v>Information Technology/ANKABUT</v>
      </c>
    </row>
    <row r="38" spans="1:15" ht="21" x14ac:dyDescent="0.35">
      <c r="A38" s="7"/>
      <c r="B38" s="2">
        <v>8470810</v>
      </c>
      <c r="C38" s="2" t="s">
        <v>572</v>
      </c>
      <c r="D38" s="2" t="s">
        <v>845</v>
      </c>
      <c r="E38" s="2" t="s">
        <v>846</v>
      </c>
      <c r="F38" s="2" t="s">
        <v>847</v>
      </c>
      <c r="G38" s="60">
        <v>0</v>
      </c>
      <c r="H38" s="60">
        <v>1999374</v>
      </c>
      <c r="I38" s="60">
        <v>1999372.61</v>
      </c>
      <c r="J38" s="49">
        <v>0</v>
      </c>
      <c r="K38" s="49">
        <v>1.3824319466948499E-10</v>
      </c>
      <c r="L38" s="49">
        <f t="shared" si="0"/>
        <v>1.3899999997593113</v>
      </c>
      <c r="M38" s="24"/>
      <c r="N38" s="42" t="str">
        <f>VLOOKUP(B38,[1]Master!$C:$F,3,0)</f>
        <v>SVP/ Support Services Office</v>
      </c>
      <c r="O38" s="42" t="str">
        <f>VLOOKUP(B38,[1]Master!$C:$F,4,0)</f>
        <v>Information Technology/ANKABUT</v>
      </c>
    </row>
    <row r="39" spans="1:15" ht="31.5" x14ac:dyDescent="0.35">
      <c r="A39" s="7"/>
      <c r="B39" s="2">
        <v>8470810</v>
      </c>
      <c r="C39" s="2" t="s">
        <v>572</v>
      </c>
      <c r="D39" s="2" t="s">
        <v>848</v>
      </c>
      <c r="E39" s="2" t="s">
        <v>849</v>
      </c>
      <c r="F39" s="2" t="s">
        <v>850</v>
      </c>
      <c r="G39" s="60">
        <v>0</v>
      </c>
      <c r="H39" s="60">
        <v>321321</v>
      </c>
      <c r="I39" s="60">
        <v>321320</v>
      </c>
      <c r="J39" s="49">
        <v>0</v>
      </c>
      <c r="K39" s="49">
        <v>0</v>
      </c>
      <c r="L39" s="49">
        <f t="shared" si="0"/>
        <v>1</v>
      </c>
      <c r="M39" s="24"/>
      <c r="N39" s="42" t="str">
        <f>VLOOKUP(B39,[1]Master!$C:$F,3,0)</f>
        <v>SVP/ Support Services Office</v>
      </c>
      <c r="O39" s="42" t="str">
        <f>VLOOKUP(B39,[1]Master!$C:$F,4,0)</f>
        <v>Information Technology/ANKABUT</v>
      </c>
    </row>
    <row r="40" spans="1:15" ht="21" x14ac:dyDescent="0.35">
      <c r="A40" s="7"/>
      <c r="B40" s="2">
        <v>8470810</v>
      </c>
      <c r="C40" s="2" t="s">
        <v>572</v>
      </c>
      <c r="D40" s="2" t="s">
        <v>851</v>
      </c>
      <c r="E40" s="2" t="s">
        <v>852</v>
      </c>
      <c r="F40" s="2" t="s">
        <v>853</v>
      </c>
      <c r="G40" s="60">
        <v>0</v>
      </c>
      <c r="H40" s="60">
        <v>566744</v>
      </c>
      <c r="I40" s="60">
        <v>566741</v>
      </c>
      <c r="J40" s="49">
        <v>0</v>
      </c>
      <c r="K40" s="49">
        <v>2</v>
      </c>
      <c r="L40" s="49">
        <f t="shared" si="0"/>
        <v>1</v>
      </c>
      <c r="M40" s="24"/>
      <c r="N40" s="42" t="str">
        <f>VLOOKUP(B40,[1]Master!$C:$F,3,0)</f>
        <v>SVP/ Support Services Office</v>
      </c>
      <c r="O40" s="42" t="str">
        <f>VLOOKUP(B40,[1]Master!$C:$F,4,0)</f>
        <v>Information Technology/ANKABUT</v>
      </c>
    </row>
    <row r="41" spans="1:15" ht="21" x14ac:dyDescent="0.35">
      <c r="A41" s="7"/>
      <c r="B41" s="2">
        <v>8470810</v>
      </c>
      <c r="C41" s="2" t="s">
        <v>572</v>
      </c>
      <c r="D41" s="2" t="s">
        <v>839</v>
      </c>
      <c r="E41" s="2" t="s">
        <v>840</v>
      </c>
      <c r="F41" s="2" t="s">
        <v>854</v>
      </c>
      <c r="G41" s="60">
        <v>646670</v>
      </c>
      <c r="H41" s="60">
        <v>0</v>
      </c>
      <c r="I41" s="60"/>
      <c r="J41" s="49">
        <v>0</v>
      </c>
      <c r="K41" s="49">
        <v>0</v>
      </c>
      <c r="L41" s="49">
        <f t="shared" si="0"/>
        <v>0</v>
      </c>
      <c r="M41" s="24"/>
      <c r="N41" s="42" t="str">
        <f>VLOOKUP(B41,[1]Master!$C:$F,3,0)</f>
        <v>SVP/ Support Services Office</v>
      </c>
      <c r="O41" s="42" t="str">
        <f>VLOOKUP(B41,[1]Master!$C:$F,4,0)</f>
        <v>Information Technology/ANKABUT</v>
      </c>
    </row>
    <row r="42" spans="1:15" ht="21" x14ac:dyDescent="0.35">
      <c r="A42" s="7"/>
      <c r="B42" s="2">
        <v>8470810</v>
      </c>
      <c r="C42" s="2" t="s">
        <v>572</v>
      </c>
      <c r="D42" s="2" t="s">
        <v>800</v>
      </c>
      <c r="E42" s="2" t="s">
        <v>801</v>
      </c>
      <c r="F42" s="2" t="s">
        <v>855</v>
      </c>
      <c r="G42" s="60">
        <v>0</v>
      </c>
      <c r="H42" s="60">
        <v>23966</v>
      </c>
      <c r="I42" s="60">
        <v>23965</v>
      </c>
      <c r="J42" s="49">
        <v>0</v>
      </c>
      <c r="K42" s="49">
        <v>0</v>
      </c>
      <c r="L42" s="49">
        <f t="shared" si="0"/>
        <v>1</v>
      </c>
      <c r="M42" s="24"/>
      <c r="N42" s="42" t="str">
        <f>VLOOKUP(B42,[1]Master!$C:$F,3,0)</f>
        <v>SVP/ Support Services Office</v>
      </c>
      <c r="O42" s="42" t="str">
        <f>VLOOKUP(B42,[1]Master!$C:$F,4,0)</f>
        <v>Information Technology/ANKABUT</v>
      </c>
    </row>
    <row r="43" spans="1:15" ht="42" x14ac:dyDescent="0.35">
      <c r="A43" s="7"/>
      <c r="B43" s="2">
        <v>8471110</v>
      </c>
      <c r="C43" s="2" t="s">
        <v>607</v>
      </c>
      <c r="D43" s="2" t="s">
        <v>798</v>
      </c>
      <c r="E43" s="2" t="s">
        <v>170</v>
      </c>
      <c r="F43" s="2" t="s">
        <v>856</v>
      </c>
      <c r="G43" s="60">
        <v>2998678</v>
      </c>
      <c r="H43" s="60">
        <v>2998729</v>
      </c>
      <c r="I43" s="60">
        <v>2998678.09</v>
      </c>
      <c r="J43" s="49">
        <v>0</v>
      </c>
      <c r="K43" s="49">
        <v>0</v>
      </c>
      <c r="L43" s="49">
        <f t="shared" si="0"/>
        <v>50.910000000149012</v>
      </c>
      <c r="M43" s="24"/>
      <c r="N43" s="61" t="str">
        <f>VLOOKUP(B43,[1]Master!$C:$F,3,0)</f>
        <v>Senior Vice President, Research Office</v>
      </c>
      <c r="O43" s="42" t="str">
        <f>VLOOKUP(B43,[1]Master!$C:$F,4,0)</f>
        <v>Senior Vice President, Research Office</v>
      </c>
    </row>
    <row r="44" spans="1:15" ht="31.5" x14ac:dyDescent="0.35">
      <c r="A44" s="7"/>
      <c r="B44" s="2">
        <v>8471140</v>
      </c>
      <c r="C44" s="2" t="s">
        <v>637</v>
      </c>
      <c r="D44" s="2" t="s">
        <v>798</v>
      </c>
      <c r="E44" s="2" t="s">
        <v>170</v>
      </c>
      <c r="F44" s="2" t="s">
        <v>857</v>
      </c>
      <c r="G44" s="60">
        <v>358538</v>
      </c>
      <c r="H44" s="60">
        <v>353644</v>
      </c>
      <c r="I44" s="60">
        <v>353642.9</v>
      </c>
      <c r="J44" s="49">
        <v>0</v>
      </c>
      <c r="K44" s="49">
        <v>-3.6379788070917101E-12</v>
      </c>
      <c r="L44" s="49">
        <f t="shared" si="0"/>
        <v>1.0999999999803549</v>
      </c>
      <c r="M44" s="24"/>
      <c r="N44" s="61" t="str">
        <f>VLOOKUP(B44,[1]Master!$C:$F,3,0)</f>
        <v>Senior Vice President, Research Office</v>
      </c>
      <c r="O44" s="42" t="str">
        <f>VLOOKUP(B44,[1]Master!$C:$F,4,0)</f>
        <v>Senior Vice President, Research Office</v>
      </c>
    </row>
    <row r="45" spans="1:15" ht="21" x14ac:dyDescent="0.35">
      <c r="A45" s="7"/>
      <c r="B45" s="2">
        <v>8471160</v>
      </c>
      <c r="C45" s="2" t="s">
        <v>650</v>
      </c>
      <c r="D45" s="2" t="s">
        <v>826</v>
      </c>
      <c r="E45" s="2" t="s">
        <v>827</v>
      </c>
      <c r="F45" s="2" t="s">
        <v>858</v>
      </c>
      <c r="G45" s="60">
        <v>1304891</v>
      </c>
      <c r="H45" s="60">
        <v>1337391</v>
      </c>
      <c r="I45" s="60">
        <v>1304890.5</v>
      </c>
      <c r="J45" s="49">
        <v>0</v>
      </c>
      <c r="K45" s="49">
        <v>32500</v>
      </c>
      <c r="L45" s="49">
        <f t="shared" si="0"/>
        <v>0.5</v>
      </c>
      <c r="M45" s="24"/>
      <c r="N45" s="61" t="str">
        <f>VLOOKUP(B45,[1]Master!$C:$F,3,0)</f>
        <v>Senior Vice President, Research Office</v>
      </c>
      <c r="O45" s="42" t="str">
        <f>VLOOKUP(B45,[1]Master!$C:$F,4,0)</f>
        <v>Senior Vice President, Research Office</v>
      </c>
    </row>
    <row r="46" spans="1:15" ht="78" x14ac:dyDescent="0.35">
      <c r="A46" s="7"/>
      <c r="B46" s="2">
        <v>8471160</v>
      </c>
      <c r="C46" s="2" t="s">
        <v>650</v>
      </c>
      <c r="D46" s="2" t="s">
        <v>798</v>
      </c>
      <c r="E46" s="2" t="s">
        <v>170</v>
      </c>
      <c r="F46" s="2" t="s">
        <v>859</v>
      </c>
      <c r="G46" s="60">
        <v>15928069</v>
      </c>
      <c r="H46" s="60">
        <v>11544342</v>
      </c>
      <c r="I46" s="60">
        <v>10712121.68</v>
      </c>
      <c r="J46" s="49">
        <v>3</v>
      </c>
      <c r="K46" s="49">
        <v>551971.17000000004</v>
      </c>
      <c r="L46" s="49">
        <f t="shared" si="0"/>
        <v>280246.15000000026</v>
      </c>
      <c r="M46" s="24" t="s">
        <v>879</v>
      </c>
      <c r="N46" s="61" t="str">
        <f>VLOOKUP(B46,[1]Master!$C:$F,3,0)</f>
        <v>Senior Vice President, Research Office</v>
      </c>
      <c r="O46" s="42" t="str">
        <f>VLOOKUP(B46,[1]Master!$C:$F,4,0)</f>
        <v>Senior Vice President, Research Office</v>
      </c>
    </row>
    <row r="47" spans="1:15" ht="21" x14ac:dyDescent="0.35">
      <c r="A47" s="7"/>
      <c r="B47" s="2">
        <v>8471170</v>
      </c>
      <c r="C47" s="2" t="s">
        <v>661</v>
      </c>
      <c r="D47" s="2" t="s">
        <v>798</v>
      </c>
      <c r="E47" s="2" t="s">
        <v>170</v>
      </c>
      <c r="F47" s="2" t="s">
        <v>860</v>
      </c>
      <c r="G47" s="60">
        <v>2751786</v>
      </c>
      <c r="H47" s="60">
        <v>1</v>
      </c>
      <c r="I47" s="60"/>
      <c r="J47" s="49">
        <v>0</v>
      </c>
      <c r="K47" s="49">
        <v>0</v>
      </c>
      <c r="L47" s="49">
        <f t="shared" si="0"/>
        <v>1</v>
      </c>
      <c r="M47" s="26"/>
      <c r="N47" s="61" t="str">
        <f>VLOOKUP(B47,[1]Master!$C:$F,3,0)</f>
        <v>Senior Vice President, Research Office</v>
      </c>
      <c r="O47" s="42" t="str">
        <f>VLOOKUP(B47,[1]Master!$C:$F,4,0)</f>
        <v>Senior Vice President, Research Office</v>
      </c>
    </row>
    <row r="48" spans="1:15" ht="21" x14ac:dyDescent="0.35">
      <c r="A48" s="7"/>
      <c r="B48" s="2">
        <v>8471170</v>
      </c>
      <c r="C48" s="2" t="s">
        <v>661</v>
      </c>
      <c r="D48" s="2" t="s">
        <v>839</v>
      </c>
      <c r="E48" s="2" t="s">
        <v>840</v>
      </c>
      <c r="F48" s="2" t="s">
        <v>861</v>
      </c>
      <c r="G48" s="60">
        <v>833665</v>
      </c>
      <c r="H48" s="60">
        <v>0</v>
      </c>
      <c r="I48" s="60">
        <v>0</v>
      </c>
      <c r="J48" s="49">
        <v>0</v>
      </c>
      <c r="K48" s="49">
        <v>0</v>
      </c>
      <c r="L48" s="49">
        <f t="shared" si="0"/>
        <v>0</v>
      </c>
      <c r="M48" s="26" t="s">
        <v>880</v>
      </c>
      <c r="N48" s="61" t="str">
        <f>VLOOKUP(B48,[1]Master!$C:$F,3,0)</f>
        <v>Senior Vice President, Research Office</v>
      </c>
      <c r="O48" s="42" t="str">
        <f>VLOOKUP(B48,[1]Master!$C:$F,4,0)</f>
        <v>Senior Vice President, Research Office</v>
      </c>
    </row>
    <row r="49" spans="1:15" ht="21" x14ac:dyDescent="0.35">
      <c r="A49" s="7"/>
      <c r="B49" s="2">
        <v>8471170</v>
      </c>
      <c r="C49" s="2" t="s">
        <v>661</v>
      </c>
      <c r="D49" s="2" t="s">
        <v>800</v>
      </c>
      <c r="E49" s="2" t="s">
        <v>801</v>
      </c>
      <c r="F49" s="2" t="s">
        <v>862</v>
      </c>
      <c r="G49" s="60">
        <v>0</v>
      </c>
      <c r="H49" s="60">
        <v>138509</v>
      </c>
      <c r="I49" s="60">
        <v>138508.82999999999</v>
      </c>
      <c r="J49" s="49">
        <v>0</v>
      </c>
      <c r="K49" s="49">
        <v>0</v>
      </c>
      <c r="L49" s="49">
        <f t="shared" si="0"/>
        <v>0.17000000001280569</v>
      </c>
      <c r="M49" s="21"/>
      <c r="N49" s="61" t="str">
        <f>VLOOKUP(B49,[1]Master!$C:$F,3,0)</f>
        <v>Senior Vice President, Research Office</v>
      </c>
      <c r="O49" s="42" t="str">
        <f>VLOOKUP(B49,[1]Master!$C:$F,4,0)</f>
        <v>Senior Vice President, Research Office</v>
      </c>
    </row>
    <row r="50" spans="1:15" ht="31.5" x14ac:dyDescent="0.35">
      <c r="A50" s="7"/>
      <c r="B50" s="2">
        <v>8471280</v>
      </c>
      <c r="C50" s="2" t="s">
        <v>742</v>
      </c>
      <c r="D50" s="2" t="s">
        <v>798</v>
      </c>
      <c r="E50" s="2" t="s">
        <v>170</v>
      </c>
      <c r="F50" s="2" t="s">
        <v>863</v>
      </c>
      <c r="G50" s="60">
        <v>6879</v>
      </c>
      <c r="H50" s="60">
        <v>1</v>
      </c>
      <c r="I50" s="60"/>
      <c r="J50" s="49">
        <v>0</v>
      </c>
      <c r="K50" s="49">
        <v>0</v>
      </c>
      <c r="L50" s="49">
        <f t="shared" si="0"/>
        <v>1</v>
      </c>
      <c r="M50" s="21"/>
      <c r="N50" s="57" t="str">
        <f>VLOOKUP(B50,[1]Master!$C:$F,3,0)</f>
        <v>Academic and Student Services Office</v>
      </c>
      <c r="O50" s="42" t="str">
        <f>VLOOKUP(B50,[1]Master!$C:$F,4,0)</f>
        <v>Academic and Student Services Office</v>
      </c>
    </row>
    <row r="51" spans="1:15" ht="21" x14ac:dyDescent="0.35">
      <c r="A51" s="7"/>
      <c r="B51" s="2">
        <v>8471305</v>
      </c>
      <c r="C51" s="2" t="s">
        <v>757</v>
      </c>
      <c r="D51" s="2" t="s">
        <v>803</v>
      </c>
      <c r="E51" s="2" t="s">
        <v>804</v>
      </c>
      <c r="F51" s="2" t="s">
        <v>864</v>
      </c>
      <c r="G51" s="60">
        <v>466679</v>
      </c>
      <c r="H51" s="60">
        <v>824085</v>
      </c>
      <c r="I51" s="60">
        <v>824084</v>
      </c>
      <c r="J51" s="49">
        <v>0</v>
      </c>
      <c r="K51" s="49">
        <v>-5.8207660913467401E-11</v>
      </c>
      <c r="L51" s="49">
        <f t="shared" si="0"/>
        <v>1.0000000000582077</v>
      </c>
      <c r="M51" s="21"/>
      <c r="N51" s="57" t="str">
        <f>VLOOKUP(B51,[1]Master!$C:$F,3,0)</f>
        <v>Provost</v>
      </c>
      <c r="O51" s="42" t="str">
        <f>VLOOKUP(B51,[1]Master!$C:$F,4,0)</f>
        <v>College of Medicine &amp; Health Sciences</v>
      </c>
    </row>
    <row r="52" spans="1:15" ht="52" x14ac:dyDescent="0.35">
      <c r="A52" s="7"/>
      <c r="B52" s="2">
        <v>8471305</v>
      </c>
      <c r="C52" s="2" t="s">
        <v>757</v>
      </c>
      <c r="D52" s="2" t="s">
        <v>798</v>
      </c>
      <c r="E52" s="2" t="s">
        <v>170</v>
      </c>
      <c r="F52" s="2" t="s">
        <v>865</v>
      </c>
      <c r="G52" s="60">
        <v>17788291</v>
      </c>
      <c r="H52" s="60">
        <v>17060665</v>
      </c>
      <c r="I52" s="60">
        <v>15898156.359999999</v>
      </c>
      <c r="J52" s="49">
        <v>0</v>
      </c>
      <c r="K52" s="49">
        <v>1053463.22</v>
      </c>
      <c r="L52" s="49">
        <f t="shared" si="0"/>
        <v>109045.42000000062</v>
      </c>
      <c r="M52" s="24" t="s">
        <v>872</v>
      </c>
      <c r="N52" s="57" t="str">
        <f>VLOOKUP(B52,[1]Master!$C:$F,3,0)</f>
        <v>Provost</v>
      </c>
      <c r="O52" s="42" t="str">
        <f>VLOOKUP(B52,[1]Master!$C:$F,4,0)</f>
        <v>College of Medicine &amp; Health Sciences</v>
      </c>
    </row>
    <row r="53" spans="1:15" ht="21" x14ac:dyDescent="0.35">
      <c r="A53" s="7"/>
      <c r="B53" s="2">
        <v>8471305</v>
      </c>
      <c r="C53" s="2" t="s">
        <v>757</v>
      </c>
      <c r="D53" s="2" t="s">
        <v>832</v>
      </c>
      <c r="E53" s="2" t="s">
        <v>833</v>
      </c>
      <c r="F53" s="2" t="s">
        <v>866</v>
      </c>
      <c r="G53" s="60">
        <v>19606</v>
      </c>
      <c r="H53" s="60">
        <v>731</v>
      </c>
      <c r="I53" s="60">
        <v>728.67</v>
      </c>
      <c r="J53" s="49">
        <v>0</v>
      </c>
      <c r="K53" s="49">
        <v>0</v>
      </c>
      <c r="L53" s="49">
        <f t="shared" si="0"/>
        <v>2.3300000000000409</v>
      </c>
      <c r="M53" s="21"/>
      <c r="N53" s="57" t="str">
        <f>VLOOKUP(B53,[1]Master!$C:$F,3,0)</f>
        <v>Provost</v>
      </c>
      <c r="O53" s="42" t="str">
        <f>VLOOKUP(B53,[1]Master!$C:$F,4,0)</f>
        <v>College of Medicine &amp; Health Sciences</v>
      </c>
    </row>
    <row r="54" spans="1:15" ht="21" x14ac:dyDescent="0.35">
      <c r="A54" s="7"/>
      <c r="B54" s="2">
        <v>8471305</v>
      </c>
      <c r="C54" s="2" t="s">
        <v>757</v>
      </c>
      <c r="D54" s="2" t="s">
        <v>810</v>
      </c>
      <c r="E54" s="2" t="s">
        <v>811</v>
      </c>
      <c r="F54" s="2" t="s">
        <v>867</v>
      </c>
      <c r="G54" s="60">
        <v>171987</v>
      </c>
      <c r="H54" s="60">
        <v>0</v>
      </c>
      <c r="I54" s="60"/>
      <c r="J54" s="49">
        <v>0</v>
      </c>
      <c r="K54" s="49">
        <v>0</v>
      </c>
      <c r="L54" s="49">
        <f t="shared" si="0"/>
        <v>0</v>
      </c>
      <c r="M54" s="21"/>
      <c r="N54" s="57" t="str">
        <f>VLOOKUP(B54,[1]Master!$C:$F,3,0)</f>
        <v>Provost</v>
      </c>
      <c r="O54" s="42" t="str">
        <f>VLOOKUP(B54,[1]Master!$C:$F,4,0)</f>
        <v>College of Medicine &amp; Health Sciences</v>
      </c>
    </row>
    <row r="55" spans="1:15" x14ac:dyDescent="0.35">
      <c r="A55" s="1" t="s">
        <v>0</v>
      </c>
    </row>
    <row r="56" spans="1:15" x14ac:dyDescent="0.35">
      <c r="G56" s="43">
        <f>SUBTOTAL(9,G4:G55)</f>
        <v>110301000</v>
      </c>
      <c r="H56" s="43">
        <f t="shared" ref="H56:L56" si="1">SUBTOTAL(9,H4:H55)</f>
        <v>110301000</v>
      </c>
      <c r="I56" s="43">
        <f t="shared" si="1"/>
        <v>104300171.52</v>
      </c>
      <c r="J56" s="43">
        <f t="shared" si="1"/>
        <v>482218.51</v>
      </c>
      <c r="K56" s="43">
        <f t="shared" si="1"/>
        <v>3875031.8899999997</v>
      </c>
      <c r="L56" s="43">
        <f t="shared" si="1"/>
        <v>1643578.0800000012</v>
      </c>
    </row>
    <row r="57" spans="1:15" x14ac:dyDescent="0.35">
      <c r="I57" s="43">
        <f>I56+J56+K56</f>
        <v>108657421.92</v>
      </c>
    </row>
  </sheetData>
  <autoFilter ref="A3:O57" xr:uid="{00000000-0001-0000-0500-000000000000}"/>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60"/>
  <sheetViews>
    <sheetView showGridLines="0" topLeftCell="C1" workbookViewId="0">
      <selection activeCell="I1" sqref="I1:I1048576"/>
    </sheetView>
  </sheetViews>
  <sheetFormatPr defaultColWidth="9.1796875" defaultRowHeight="14.5" x14ac:dyDescent="0.35"/>
  <cols>
    <col min="1" max="1" width="45.1796875" style="8" customWidth="1"/>
    <col min="2" max="2" width="52.7265625" style="8" customWidth="1"/>
    <col min="3" max="3" width="28" style="8" customWidth="1"/>
    <col min="4" max="4" width="74.54296875" style="8" customWidth="1"/>
    <col min="5" max="5" width="33.54296875" style="8" customWidth="1"/>
    <col min="6" max="6" width="28" style="8" customWidth="1"/>
    <col min="7" max="7" width="12.1796875" style="8" customWidth="1"/>
    <col min="8" max="8" width="11.26953125" style="8" customWidth="1"/>
    <col min="9" max="9" width="25.1796875" style="8" bestFit="1" customWidth="1"/>
    <col min="10" max="10" width="8.81640625" style="8" customWidth="1"/>
    <col min="11" max="11" width="21.81640625" style="8" customWidth="1"/>
    <col min="12" max="12" width="0.81640625" style="8" customWidth="1"/>
    <col min="13" max="13" width="22" style="8" customWidth="1"/>
    <col min="14" max="14" width="0.81640625" style="8" customWidth="1"/>
    <col min="15" max="15" width="0.7265625" style="8" customWidth="1"/>
    <col min="16" max="16384" width="9.1796875" style="8"/>
  </cols>
  <sheetData>
    <row r="1" spans="1:11" x14ac:dyDescent="0.35">
      <c r="A1" s="9" t="s">
        <v>2</v>
      </c>
      <c r="B1" s="9" t="s">
        <v>3</v>
      </c>
      <c r="C1" s="9" t="s">
        <v>4</v>
      </c>
      <c r="D1" s="9" t="s">
        <v>5</v>
      </c>
      <c r="E1" s="9" t="s">
        <v>6</v>
      </c>
      <c r="F1" s="9" t="s">
        <v>7</v>
      </c>
      <c r="G1" s="9" t="s">
        <v>8</v>
      </c>
      <c r="H1" s="9" t="s">
        <v>9</v>
      </c>
      <c r="I1" s="9" t="s">
        <v>10</v>
      </c>
      <c r="J1" s="9" t="s">
        <v>11</v>
      </c>
      <c r="K1" s="9" t="s">
        <v>12</v>
      </c>
    </row>
    <row r="2" spans="1:11" x14ac:dyDescent="0.35">
      <c r="A2" s="10" t="s">
        <v>14</v>
      </c>
      <c r="B2" s="10" t="s">
        <v>15</v>
      </c>
      <c r="C2" s="10" t="s">
        <v>16</v>
      </c>
      <c r="D2" s="10" t="s">
        <v>17</v>
      </c>
      <c r="E2" s="10" t="s">
        <v>18</v>
      </c>
      <c r="F2" s="11">
        <v>30000</v>
      </c>
      <c r="G2" s="11">
        <v>27000</v>
      </c>
      <c r="H2" s="12"/>
      <c r="I2" s="12"/>
      <c r="J2" s="12"/>
      <c r="K2" s="11">
        <v>27000</v>
      </c>
    </row>
    <row r="3" spans="1:11" x14ac:dyDescent="0.35">
      <c r="A3" s="10" t="s">
        <v>14</v>
      </c>
      <c r="B3" s="10" t="s">
        <v>15</v>
      </c>
      <c r="C3" s="10" t="s">
        <v>19</v>
      </c>
      <c r="D3" s="10" t="s">
        <v>20</v>
      </c>
      <c r="E3" s="10" t="s">
        <v>21</v>
      </c>
      <c r="F3" s="11">
        <v>3705121</v>
      </c>
      <c r="G3" s="11">
        <v>1</v>
      </c>
      <c r="H3" s="12"/>
      <c r="I3" s="12"/>
      <c r="J3" s="12"/>
      <c r="K3" s="11">
        <v>1</v>
      </c>
    </row>
    <row r="4" spans="1:11" x14ac:dyDescent="0.35">
      <c r="A4" s="10" t="s">
        <v>14</v>
      </c>
      <c r="B4" s="10" t="s">
        <v>15</v>
      </c>
      <c r="C4" s="10" t="s">
        <v>22</v>
      </c>
      <c r="D4" s="10" t="s">
        <v>23</v>
      </c>
      <c r="E4" s="10" t="s">
        <v>24</v>
      </c>
      <c r="F4" s="11">
        <v>1500</v>
      </c>
      <c r="G4" s="11">
        <v>4500</v>
      </c>
      <c r="H4" s="12"/>
      <c r="I4" s="12"/>
      <c r="J4" s="12"/>
      <c r="K4" s="11">
        <v>4500</v>
      </c>
    </row>
    <row r="5" spans="1:11" x14ac:dyDescent="0.35">
      <c r="A5" s="10" t="s">
        <v>14</v>
      </c>
      <c r="B5" s="10" t="s">
        <v>15</v>
      </c>
      <c r="C5" s="10" t="s">
        <v>25</v>
      </c>
      <c r="D5" s="10" t="s">
        <v>26</v>
      </c>
      <c r="E5" s="10" t="s">
        <v>27</v>
      </c>
      <c r="F5" s="11">
        <v>200000</v>
      </c>
      <c r="G5" s="11">
        <v>29994</v>
      </c>
      <c r="H5" s="12"/>
      <c r="I5" s="12"/>
      <c r="J5" s="12"/>
      <c r="K5" s="11">
        <v>29994</v>
      </c>
    </row>
    <row r="6" spans="1:11" x14ac:dyDescent="0.35">
      <c r="A6" s="10" t="s">
        <v>14</v>
      </c>
      <c r="B6" s="10" t="s">
        <v>15</v>
      </c>
      <c r="C6" s="10" t="s">
        <v>28</v>
      </c>
      <c r="D6" s="10" t="s">
        <v>29</v>
      </c>
      <c r="E6" s="10" t="s">
        <v>30</v>
      </c>
      <c r="F6" s="11">
        <v>25000</v>
      </c>
      <c r="G6" s="11">
        <v>25000</v>
      </c>
      <c r="H6" s="12"/>
      <c r="I6" s="12"/>
      <c r="J6" s="12"/>
      <c r="K6" s="11">
        <v>25000</v>
      </c>
    </row>
    <row r="7" spans="1:11" x14ac:dyDescent="0.35">
      <c r="A7" s="10" t="s">
        <v>14</v>
      </c>
      <c r="B7" s="10" t="s">
        <v>15</v>
      </c>
      <c r="C7" s="10" t="s">
        <v>31</v>
      </c>
      <c r="D7" s="10" t="s">
        <v>32</v>
      </c>
      <c r="E7" s="10" t="s">
        <v>33</v>
      </c>
      <c r="F7" s="11">
        <v>300000</v>
      </c>
      <c r="G7" s="11">
        <v>56431</v>
      </c>
      <c r="H7" s="11">
        <v>52919.75</v>
      </c>
      <c r="I7" s="12"/>
      <c r="J7" s="12"/>
      <c r="K7" s="11">
        <v>3511.25</v>
      </c>
    </row>
    <row r="8" spans="1:11" x14ac:dyDescent="0.35">
      <c r="A8" s="10" t="s">
        <v>14</v>
      </c>
      <c r="B8" s="10" t="s">
        <v>15</v>
      </c>
      <c r="C8" s="10" t="s">
        <v>34</v>
      </c>
      <c r="D8" s="10" t="s">
        <v>35</v>
      </c>
      <c r="E8" s="10" t="s">
        <v>36</v>
      </c>
      <c r="F8" s="11">
        <v>300000</v>
      </c>
      <c r="G8" s="11">
        <v>28925</v>
      </c>
      <c r="H8" s="11">
        <v>22225</v>
      </c>
      <c r="I8" s="12"/>
      <c r="J8" s="12"/>
      <c r="K8" s="11">
        <v>6700</v>
      </c>
    </row>
    <row r="9" spans="1:11" x14ac:dyDescent="0.35">
      <c r="A9" s="10" t="s">
        <v>14</v>
      </c>
      <c r="B9" s="10" t="s">
        <v>15</v>
      </c>
      <c r="C9" s="10" t="s">
        <v>37</v>
      </c>
      <c r="D9" s="10" t="s">
        <v>38</v>
      </c>
      <c r="E9" s="10" t="s">
        <v>39</v>
      </c>
      <c r="F9" s="11">
        <v>10000</v>
      </c>
      <c r="G9" s="11">
        <v>39425</v>
      </c>
      <c r="H9" s="11">
        <v>7586.25</v>
      </c>
      <c r="I9" s="12"/>
      <c r="J9" s="12"/>
      <c r="K9" s="11">
        <v>31838.75</v>
      </c>
    </row>
    <row r="10" spans="1:11" x14ac:dyDescent="0.35">
      <c r="A10" s="10" t="s">
        <v>14</v>
      </c>
      <c r="B10" s="10" t="s">
        <v>15</v>
      </c>
      <c r="C10" s="10" t="s">
        <v>40</v>
      </c>
      <c r="D10" s="10" t="s">
        <v>41</v>
      </c>
      <c r="E10" s="10" t="s">
        <v>42</v>
      </c>
      <c r="F10" s="11">
        <v>518388</v>
      </c>
      <c r="G10" s="11">
        <v>85469</v>
      </c>
      <c r="H10" s="11">
        <v>42239.5</v>
      </c>
      <c r="I10" s="12"/>
      <c r="J10" s="12"/>
      <c r="K10" s="11">
        <v>43229.5</v>
      </c>
    </row>
    <row r="11" spans="1:11" x14ac:dyDescent="0.35">
      <c r="A11" s="10" t="s">
        <v>14</v>
      </c>
      <c r="B11" s="10" t="s">
        <v>15</v>
      </c>
      <c r="C11" s="10" t="s">
        <v>43</v>
      </c>
      <c r="D11" s="10" t="s">
        <v>44</v>
      </c>
      <c r="E11" s="10" t="s">
        <v>45</v>
      </c>
      <c r="F11" s="11">
        <v>1000000</v>
      </c>
      <c r="G11" s="11">
        <v>380463</v>
      </c>
      <c r="H11" s="11">
        <v>379590.5</v>
      </c>
      <c r="I11" s="12"/>
      <c r="J11" s="12"/>
      <c r="K11" s="11">
        <v>872.5</v>
      </c>
    </row>
    <row r="12" spans="1:11" x14ac:dyDescent="0.35">
      <c r="A12" s="10" t="s">
        <v>14</v>
      </c>
      <c r="B12" s="10" t="s">
        <v>15</v>
      </c>
      <c r="C12" s="10" t="s">
        <v>46</v>
      </c>
      <c r="D12" s="10" t="s">
        <v>47</v>
      </c>
      <c r="E12" s="10" t="s">
        <v>48</v>
      </c>
      <c r="F12" s="11">
        <v>50000</v>
      </c>
      <c r="G12" s="11">
        <v>0</v>
      </c>
      <c r="H12" s="12"/>
      <c r="I12" s="12"/>
      <c r="J12" s="12"/>
      <c r="K12" s="11">
        <v>0</v>
      </c>
    </row>
    <row r="13" spans="1:11" x14ac:dyDescent="0.35">
      <c r="A13" s="10" t="s">
        <v>14</v>
      </c>
      <c r="B13" s="10" t="s">
        <v>15</v>
      </c>
      <c r="C13" s="10" t="s">
        <v>49</v>
      </c>
      <c r="D13" s="10" t="s">
        <v>50</v>
      </c>
      <c r="E13" s="10" t="s">
        <v>51</v>
      </c>
      <c r="F13" s="11">
        <v>100000</v>
      </c>
      <c r="G13" s="11">
        <v>745</v>
      </c>
      <c r="H13" s="12"/>
      <c r="I13" s="12"/>
      <c r="J13" s="12"/>
      <c r="K13" s="11">
        <v>745</v>
      </c>
    </row>
    <row r="14" spans="1:11" x14ac:dyDescent="0.35">
      <c r="A14" s="10" t="s">
        <v>52</v>
      </c>
      <c r="B14" s="10" t="s">
        <v>53</v>
      </c>
      <c r="C14" s="10" t="s">
        <v>54</v>
      </c>
      <c r="D14" s="10" t="s">
        <v>55</v>
      </c>
      <c r="E14" s="10" t="s">
        <v>56</v>
      </c>
      <c r="F14" s="11">
        <v>500000</v>
      </c>
      <c r="G14" s="11">
        <v>550028</v>
      </c>
      <c r="H14" s="11">
        <v>306043</v>
      </c>
      <c r="I14" s="11">
        <v>0</v>
      </c>
      <c r="J14" s="11">
        <v>243985</v>
      </c>
      <c r="K14" s="11">
        <v>0</v>
      </c>
    </row>
    <row r="15" spans="1:11" x14ac:dyDescent="0.35">
      <c r="A15" s="10" t="s">
        <v>57</v>
      </c>
      <c r="B15" s="10" t="s">
        <v>58</v>
      </c>
      <c r="C15" s="10" t="s">
        <v>25</v>
      </c>
      <c r="D15" s="10" t="s">
        <v>26</v>
      </c>
      <c r="E15" s="10" t="s">
        <v>59</v>
      </c>
      <c r="F15" s="11">
        <v>720000</v>
      </c>
      <c r="G15" s="11">
        <v>10000</v>
      </c>
      <c r="H15" s="11">
        <v>10000</v>
      </c>
      <c r="I15" s="12"/>
      <c r="J15" s="12"/>
      <c r="K15" s="11">
        <v>0</v>
      </c>
    </row>
    <row r="16" spans="1:11" x14ac:dyDescent="0.35">
      <c r="A16" s="10" t="s">
        <v>57</v>
      </c>
      <c r="B16" s="10" t="s">
        <v>58</v>
      </c>
      <c r="C16" s="10" t="s">
        <v>40</v>
      </c>
      <c r="D16" s="10" t="s">
        <v>41</v>
      </c>
      <c r="E16" s="10" t="s">
        <v>60</v>
      </c>
      <c r="F16" s="11">
        <v>735000</v>
      </c>
      <c r="G16" s="11">
        <v>312205</v>
      </c>
      <c r="H16" s="12"/>
      <c r="I16" s="11">
        <v>14692</v>
      </c>
      <c r="J16" s="11">
        <v>297513</v>
      </c>
      <c r="K16" s="11">
        <v>0</v>
      </c>
    </row>
    <row r="17" spans="1:11" x14ac:dyDescent="0.35">
      <c r="A17" s="10" t="s">
        <v>57</v>
      </c>
      <c r="B17" s="10" t="s">
        <v>58</v>
      </c>
      <c r="C17" s="10" t="s">
        <v>61</v>
      </c>
      <c r="D17" s="10" t="s">
        <v>62</v>
      </c>
      <c r="E17" s="10" t="s">
        <v>63</v>
      </c>
      <c r="F17" s="11">
        <v>0</v>
      </c>
      <c r="G17" s="11">
        <v>115000</v>
      </c>
      <c r="H17" s="11">
        <v>114759</v>
      </c>
      <c r="I17" s="12"/>
      <c r="J17" s="12"/>
      <c r="K17" s="11">
        <v>241</v>
      </c>
    </row>
    <row r="18" spans="1:11" x14ac:dyDescent="0.35">
      <c r="A18" s="10" t="s">
        <v>57</v>
      </c>
      <c r="B18" s="10" t="s">
        <v>58</v>
      </c>
      <c r="C18" s="10" t="s">
        <v>43</v>
      </c>
      <c r="D18" s="10" t="s">
        <v>44</v>
      </c>
      <c r="E18" s="10" t="s">
        <v>64</v>
      </c>
      <c r="F18" s="11">
        <v>180000</v>
      </c>
      <c r="G18" s="11">
        <v>37543</v>
      </c>
      <c r="H18" s="11">
        <v>13530.95</v>
      </c>
      <c r="I18" s="12"/>
      <c r="J18" s="12"/>
      <c r="K18" s="11">
        <v>24012.05</v>
      </c>
    </row>
    <row r="19" spans="1:11" x14ac:dyDescent="0.35">
      <c r="A19" s="10" t="s">
        <v>65</v>
      </c>
      <c r="B19" s="10" t="s">
        <v>66</v>
      </c>
      <c r="C19" s="10" t="s">
        <v>67</v>
      </c>
      <c r="D19" s="10" t="s">
        <v>68</v>
      </c>
      <c r="E19" s="10" t="s">
        <v>69</v>
      </c>
      <c r="F19" s="11">
        <v>4578464</v>
      </c>
      <c r="G19" s="11">
        <v>6348464</v>
      </c>
      <c r="H19" s="11">
        <v>4220565.07</v>
      </c>
      <c r="I19" s="11">
        <v>1000433.36</v>
      </c>
      <c r="J19" s="11">
        <v>894582.45</v>
      </c>
      <c r="K19" s="11">
        <v>232883.12000000101</v>
      </c>
    </row>
    <row r="20" spans="1:11" x14ac:dyDescent="0.35">
      <c r="A20" s="10" t="s">
        <v>65</v>
      </c>
      <c r="B20" s="10" t="s">
        <v>66</v>
      </c>
      <c r="C20" s="10" t="s">
        <v>31</v>
      </c>
      <c r="D20" s="10" t="s">
        <v>32</v>
      </c>
      <c r="E20" s="10" t="s">
        <v>70</v>
      </c>
      <c r="F20" s="11">
        <v>5425358</v>
      </c>
      <c r="G20" s="11">
        <v>7779199</v>
      </c>
      <c r="H20" s="11">
        <v>6737683.3799999999</v>
      </c>
      <c r="I20" s="11">
        <v>423600</v>
      </c>
      <c r="J20" s="11">
        <v>515250.33</v>
      </c>
      <c r="K20" s="11">
        <v>102665.29</v>
      </c>
    </row>
    <row r="21" spans="1:11" x14ac:dyDescent="0.35">
      <c r="A21" s="10" t="s">
        <v>65</v>
      </c>
      <c r="B21" s="10" t="s">
        <v>66</v>
      </c>
      <c r="C21" s="10" t="s">
        <v>34</v>
      </c>
      <c r="D21" s="10" t="s">
        <v>35</v>
      </c>
      <c r="E21" s="10" t="s">
        <v>71</v>
      </c>
      <c r="F21" s="11">
        <v>791955</v>
      </c>
      <c r="G21" s="11">
        <v>59402</v>
      </c>
      <c r="H21" s="11">
        <v>64327.17</v>
      </c>
      <c r="I21" s="11">
        <v>0</v>
      </c>
      <c r="J21" s="11">
        <v>0</v>
      </c>
      <c r="K21" s="11">
        <v>-4925.17</v>
      </c>
    </row>
    <row r="22" spans="1:11" x14ac:dyDescent="0.35">
      <c r="A22" s="10" t="s">
        <v>65</v>
      </c>
      <c r="B22" s="10" t="s">
        <v>66</v>
      </c>
      <c r="C22" s="10" t="s">
        <v>72</v>
      </c>
      <c r="D22" s="10" t="s">
        <v>73</v>
      </c>
      <c r="E22" s="10" t="s">
        <v>74</v>
      </c>
      <c r="F22" s="11">
        <v>0</v>
      </c>
      <c r="G22" s="11">
        <v>453663</v>
      </c>
      <c r="H22" s="11">
        <v>154662.9</v>
      </c>
      <c r="I22" s="11">
        <v>249000</v>
      </c>
      <c r="J22" s="11">
        <v>49975</v>
      </c>
      <c r="K22" s="11">
        <v>25.099999999976699</v>
      </c>
    </row>
    <row r="23" spans="1:11" x14ac:dyDescent="0.35">
      <c r="A23" s="10" t="s">
        <v>65</v>
      </c>
      <c r="B23" s="10" t="s">
        <v>66</v>
      </c>
      <c r="C23" s="10" t="s">
        <v>75</v>
      </c>
      <c r="D23" s="10" t="s">
        <v>76</v>
      </c>
      <c r="E23" s="10" t="s">
        <v>77</v>
      </c>
      <c r="F23" s="11">
        <v>1157850</v>
      </c>
      <c r="G23" s="11">
        <v>946677</v>
      </c>
      <c r="H23" s="11">
        <v>496024.34</v>
      </c>
      <c r="I23" s="11">
        <v>0</v>
      </c>
      <c r="J23" s="11">
        <v>432001.91</v>
      </c>
      <c r="K23" s="11">
        <v>18650.749999999902</v>
      </c>
    </row>
    <row r="24" spans="1:11" x14ac:dyDescent="0.35">
      <c r="A24" s="10" t="s">
        <v>65</v>
      </c>
      <c r="B24" s="10" t="s">
        <v>66</v>
      </c>
      <c r="C24" s="10" t="s">
        <v>78</v>
      </c>
      <c r="D24" s="10" t="s">
        <v>79</v>
      </c>
      <c r="E24" s="10" t="s">
        <v>80</v>
      </c>
      <c r="F24" s="11">
        <v>750000</v>
      </c>
      <c r="G24" s="11">
        <v>23654</v>
      </c>
      <c r="H24" s="11">
        <v>23653.37</v>
      </c>
      <c r="I24" s="12"/>
      <c r="J24" s="12"/>
      <c r="K24" s="11">
        <v>0.63000000000101897</v>
      </c>
    </row>
    <row r="25" spans="1:11" x14ac:dyDescent="0.35">
      <c r="A25" s="10" t="s">
        <v>65</v>
      </c>
      <c r="B25" s="10" t="s">
        <v>66</v>
      </c>
      <c r="C25" s="10" t="s">
        <v>49</v>
      </c>
      <c r="D25" s="10" t="s">
        <v>50</v>
      </c>
      <c r="E25" s="10" t="s">
        <v>81</v>
      </c>
      <c r="F25" s="11">
        <v>998000</v>
      </c>
      <c r="G25" s="11">
        <v>221867</v>
      </c>
      <c r="H25" s="11">
        <v>44855.01</v>
      </c>
      <c r="I25" s="11">
        <v>0</v>
      </c>
      <c r="J25" s="11">
        <v>177011</v>
      </c>
      <c r="K25" s="11">
        <v>0.989999999990687</v>
      </c>
    </row>
    <row r="26" spans="1:11" x14ac:dyDescent="0.35">
      <c r="A26" s="10" t="s">
        <v>65</v>
      </c>
      <c r="B26" s="10" t="s">
        <v>66</v>
      </c>
      <c r="C26" s="10" t="s">
        <v>82</v>
      </c>
      <c r="D26" s="10" t="s">
        <v>83</v>
      </c>
      <c r="E26" s="10" t="s">
        <v>84</v>
      </c>
      <c r="F26" s="11">
        <v>10000</v>
      </c>
      <c r="G26" s="11">
        <v>1</v>
      </c>
      <c r="H26" s="12"/>
      <c r="I26" s="12"/>
      <c r="J26" s="12"/>
      <c r="K26" s="11">
        <v>1</v>
      </c>
    </row>
    <row r="27" spans="1:11" x14ac:dyDescent="0.35">
      <c r="A27" s="10" t="s">
        <v>65</v>
      </c>
      <c r="B27" s="10" t="s">
        <v>66</v>
      </c>
      <c r="C27" s="10" t="s">
        <v>85</v>
      </c>
      <c r="D27" s="10" t="s">
        <v>86</v>
      </c>
      <c r="E27" s="10" t="s">
        <v>87</v>
      </c>
      <c r="F27" s="11">
        <v>135000</v>
      </c>
      <c r="G27" s="11">
        <v>43812</v>
      </c>
      <c r="H27" s="11">
        <v>43812</v>
      </c>
      <c r="I27" s="11">
        <v>0</v>
      </c>
      <c r="J27" s="11">
        <v>0</v>
      </c>
      <c r="K27" s="11">
        <v>0</v>
      </c>
    </row>
    <row r="28" spans="1:11" x14ac:dyDescent="0.35">
      <c r="A28" s="10" t="s">
        <v>88</v>
      </c>
      <c r="B28" s="10" t="s">
        <v>89</v>
      </c>
      <c r="C28" s="10" t="s">
        <v>22</v>
      </c>
      <c r="D28" s="10" t="s">
        <v>23</v>
      </c>
      <c r="E28" s="10" t="s">
        <v>90</v>
      </c>
      <c r="F28" s="11">
        <v>0</v>
      </c>
      <c r="G28" s="11">
        <v>36882</v>
      </c>
      <c r="H28" s="11">
        <v>27797.82</v>
      </c>
      <c r="I28" s="12"/>
      <c r="J28" s="12"/>
      <c r="K28" s="11">
        <v>9084.18</v>
      </c>
    </row>
    <row r="29" spans="1:11" x14ac:dyDescent="0.35">
      <c r="A29" s="10" t="s">
        <v>91</v>
      </c>
      <c r="B29" s="10" t="s">
        <v>92</v>
      </c>
      <c r="C29" s="10" t="s">
        <v>43</v>
      </c>
      <c r="D29" s="10" t="s">
        <v>44</v>
      </c>
      <c r="E29" s="10" t="s">
        <v>93</v>
      </c>
      <c r="F29" s="11">
        <v>0</v>
      </c>
      <c r="G29" s="11">
        <v>80000</v>
      </c>
      <c r="H29" s="11">
        <v>37589.800000000003</v>
      </c>
      <c r="I29" s="12"/>
      <c r="J29" s="12"/>
      <c r="K29" s="11">
        <v>42410.2</v>
      </c>
    </row>
    <row r="30" spans="1:11" x14ac:dyDescent="0.35">
      <c r="A30" s="10" t="s">
        <v>94</v>
      </c>
      <c r="B30" s="10" t="s">
        <v>95</v>
      </c>
      <c r="C30" s="10" t="s">
        <v>19</v>
      </c>
      <c r="D30" s="10" t="s">
        <v>20</v>
      </c>
      <c r="E30" s="10" t="s">
        <v>96</v>
      </c>
      <c r="F30" s="11">
        <v>0</v>
      </c>
      <c r="G30" s="11">
        <v>14169</v>
      </c>
      <c r="H30" s="12"/>
      <c r="I30" s="12"/>
      <c r="J30" s="12"/>
      <c r="K30" s="11">
        <v>14169</v>
      </c>
    </row>
    <row r="31" spans="1:11" x14ac:dyDescent="0.35">
      <c r="A31" s="10" t="s">
        <v>94</v>
      </c>
      <c r="B31" s="10" t="s">
        <v>95</v>
      </c>
      <c r="C31" s="10" t="s">
        <v>97</v>
      </c>
      <c r="D31" s="10" t="s">
        <v>98</v>
      </c>
      <c r="E31" s="10" t="s">
        <v>99</v>
      </c>
      <c r="F31" s="11">
        <v>0</v>
      </c>
      <c r="G31" s="11">
        <v>0</v>
      </c>
      <c r="H31" s="12"/>
      <c r="I31" s="12"/>
      <c r="J31" s="12"/>
      <c r="K31" s="11">
        <v>0</v>
      </c>
    </row>
    <row r="32" spans="1:11" x14ac:dyDescent="0.35">
      <c r="A32" s="10" t="s">
        <v>94</v>
      </c>
      <c r="B32" s="10" t="s">
        <v>95</v>
      </c>
      <c r="C32" s="10" t="s">
        <v>78</v>
      </c>
      <c r="D32" s="10" t="s">
        <v>79</v>
      </c>
      <c r="E32" s="10" t="s">
        <v>100</v>
      </c>
      <c r="F32" s="11">
        <v>0</v>
      </c>
      <c r="G32" s="11">
        <v>331</v>
      </c>
      <c r="H32" s="12"/>
      <c r="I32" s="12"/>
      <c r="J32" s="12"/>
      <c r="K32" s="11">
        <v>331</v>
      </c>
    </row>
    <row r="33" spans="1:11" x14ac:dyDescent="0.35">
      <c r="A33" s="10" t="s">
        <v>94</v>
      </c>
      <c r="B33" s="10" t="s">
        <v>95</v>
      </c>
      <c r="C33" s="10" t="s">
        <v>43</v>
      </c>
      <c r="D33" s="10" t="s">
        <v>44</v>
      </c>
      <c r="E33" s="10" t="s">
        <v>101</v>
      </c>
      <c r="F33" s="11">
        <v>0</v>
      </c>
      <c r="G33" s="11">
        <v>0</v>
      </c>
      <c r="H33" s="12"/>
      <c r="I33" s="12"/>
      <c r="J33" s="12"/>
      <c r="K33" s="11">
        <v>0</v>
      </c>
    </row>
    <row r="34" spans="1:11" x14ac:dyDescent="0.35">
      <c r="A34" s="10" t="s">
        <v>94</v>
      </c>
      <c r="B34" s="10" t="s">
        <v>95</v>
      </c>
      <c r="C34" s="10" t="s">
        <v>49</v>
      </c>
      <c r="D34" s="10" t="s">
        <v>50</v>
      </c>
      <c r="E34" s="10" t="s">
        <v>102</v>
      </c>
      <c r="F34" s="11">
        <v>0</v>
      </c>
      <c r="G34" s="11">
        <v>0</v>
      </c>
      <c r="H34" s="12"/>
      <c r="I34" s="12"/>
      <c r="J34" s="12"/>
      <c r="K34" s="11">
        <v>0</v>
      </c>
    </row>
    <row r="35" spans="1:11" x14ac:dyDescent="0.35">
      <c r="A35" s="10" t="s">
        <v>94</v>
      </c>
      <c r="B35" s="10" t="s">
        <v>95</v>
      </c>
      <c r="C35" s="10" t="s">
        <v>103</v>
      </c>
      <c r="D35" s="10" t="s">
        <v>104</v>
      </c>
      <c r="E35" s="10" t="s">
        <v>105</v>
      </c>
      <c r="F35" s="11">
        <v>0</v>
      </c>
      <c r="G35" s="11">
        <v>0</v>
      </c>
      <c r="H35" s="12"/>
      <c r="I35" s="12"/>
      <c r="J35" s="12"/>
      <c r="K35" s="11">
        <v>0</v>
      </c>
    </row>
    <row r="36" spans="1:11" x14ac:dyDescent="0.35">
      <c r="A36" s="10" t="s">
        <v>94</v>
      </c>
      <c r="B36" s="10" t="s">
        <v>95</v>
      </c>
      <c r="C36" s="10" t="s">
        <v>106</v>
      </c>
      <c r="D36" s="10" t="s">
        <v>107</v>
      </c>
      <c r="E36" s="10" t="s">
        <v>108</v>
      </c>
      <c r="F36" s="11">
        <v>0</v>
      </c>
      <c r="G36" s="11">
        <v>0</v>
      </c>
      <c r="H36" s="12"/>
      <c r="I36" s="12"/>
      <c r="J36" s="12"/>
      <c r="K36" s="11">
        <v>0</v>
      </c>
    </row>
    <row r="37" spans="1:11" x14ac:dyDescent="0.35">
      <c r="A37" s="10" t="s">
        <v>109</v>
      </c>
      <c r="B37" s="10" t="s">
        <v>110</v>
      </c>
      <c r="C37" s="10" t="s">
        <v>16</v>
      </c>
      <c r="D37" s="10" t="s">
        <v>17</v>
      </c>
      <c r="E37" s="10" t="s">
        <v>111</v>
      </c>
      <c r="F37" s="11">
        <v>60000</v>
      </c>
      <c r="G37" s="11">
        <v>9477</v>
      </c>
      <c r="H37" s="11">
        <v>970.85</v>
      </c>
      <c r="I37" s="12"/>
      <c r="J37" s="12"/>
      <c r="K37" s="11">
        <v>8506.15</v>
      </c>
    </row>
    <row r="38" spans="1:11" x14ac:dyDescent="0.35">
      <c r="A38" s="10" t="s">
        <v>109</v>
      </c>
      <c r="B38" s="10" t="s">
        <v>110</v>
      </c>
      <c r="C38" s="10" t="s">
        <v>19</v>
      </c>
      <c r="D38" s="10" t="s">
        <v>20</v>
      </c>
      <c r="E38" s="10" t="s">
        <v>112</v>
      </c>
      <c r="F38" s="11">
        <v>492387</v>
      </c>
      <c r="G38" s="11">
        <v>290921</v>
      </c>
      <c r="H38" s="11">
        <v>280031.34999999998</v>
      </c>
      <c r="I38" s="11">
        <v>0</v>
      </c>
      <c r="J38" s="11">
        <v>0</v>
      </c>
      <c r="K38" s="11">
        <v>10889.65</v>
      </c>
    </row>
    <row r="39" spans="1:11" x14ac:dyDescent="0.35">
      <c r="A39" s="10" t="s">
        <v>109</v>
      </c>
      <c r="B39" s="10" t="s">
        <v>110</v>
      </c>
      <c r="C39" s="10" t="s">
        <v>28</v>
      </c>
      <c r="D39" s="10" t="s">
        <v>29</v>
      </c>
      <c r="E39" s="10" t="s">
        <v>113</v>
      </c>
      <c r="F39" s="11">
        <v>375000</v>
      </c>
      <c r="G39" s="11">
        <v>75010</v>
      </c>
      <c r="H39" s="12"/>
      <c r="I39" s="12"/>
      <c r="J39" s="12"/>
      <c r="K39" s="11">
        <v>75010</v>
      </c>
    </row>
    <row r="40" spans="1:11" x14ac:dyDescent="0.35">
      <c r="A40" s="10" t="s">
        <v>109</v>
      </c>
      <c r="B40" s="10" t="s">
        <v>110</v>
      </c>
      <c r="C40" s="10" t="s">
        <v>31</v>
      </c>
      <c r="D40" s="10" t="s">
        <v>32</v>
      </c>
      <c r="E40" s="10" t="s">
        <v>114</v>
      </c>
      <c r="F40" s="11">
        <v>10000</v>
      </c>
      <c r="G40" s="11">
        <v>23750</v>
      </c>
      <c r="H40" s="11">
        <v>13750</v>
      </c>
      <c r="I40" s="12"/>
      <c r="J40" s="12"/>
      <c r="K40" s="11">
        <v>10000</v>
      </c>
    </row>
    <row r="41" spans="1:11" x14ac:dyDescent="0.35">
      <c r="A41" s="10" t="s">
        <v>109</v>
      </c>
      <c r="B41" s="10" t="s">
        <v>110</v>
      </c>
      <c r="C41" s="10" t="s">
        <v>34</v>
      </c>
      <c r="D41" s="10" t="s">
        <v>35</v>
      </c>
      <c r="E41" s="10" t="s">
        <v>115</v>
      </c>
      <c r="F41" s="11">
        <v>25000</v>
      </c>
      <c r="G41" s="11">
        <v>25000</v>
      </c>
      <c r="H41" s="11">
        <v>13790</v>
      </c>
      <c r="I41" s="12"/>
      <c r="J41" s="12"/>
      <c r="K41" s="11">
        <v>11210</v>
      </c>
    </row>
    <row r="42" spans="1:11" x14ac:dyDescent="0.35">
      <c r="A42" s="10" t="s">
        <v>109</v>
      </c>
      <c r="B42" s="10" t="s">
        <v>110</v>
      </c>
      <c r="C42" s="10" t="s">
        <v>116</v>
      </c>
      <c r="D42" s="10" t="s">
        <v>117</v>
      </c>
      <c r="E42" s="10" t="s">
        <v>118</v>
      </c>
      <c r="F42" s="11">
        <v>694710</v>
      </c>
      <c r="G42" s="11">
        <v>136942</v>
      </c>
      <c r="H42" s="12"/>
      <c r="I42" s="12"/>
      <c r="J42" s="12"/>
      <c r="K42" s="11">
        <v>136942</v>
      </c>
    </row>
    <row r="43" spans="1:11" x14ac:dyDescent="0.35">
      <c r="A43" s="10" t="s">
        <v>109</v>
      </c>
      <c r="B43" s="10" t="s">
        <v>110</v>
      </c>
      <c r="C43" s="10" t="s">
        <v>37</v>
      </c>
      <c r="D43" s="10" t="s">
        <v>38</v>
      </c>
      <c r="E43" s="10" t="s">
        <v>119</v>
      </c>
      <c r="F43" s="11">
        <v>12000</v>
      </c>
      <c r="G43" s="11">
        <v>22987</v>
      </c>
      <c r="H43" s="11">
        <v>20891.099999999999</v>
      </c>
      <c r="I43" s="12"/>
      <c r="J43" s="12"/>
      <c r="K43" s="11">
        <v>2095.9</v>
      </c>
    </row>
    <row r="44" spans="1:11" x14ac:dyDescent="0.35">
      <c r="A44" s="10" t="s">
        <v>109</v>
      </c>
      <c r="B44" s="10" t="s">
        <v>110</v>
      </c>
      <c r="C44" s="10" t="s">
        <v>40</v>
      </c>
      <c r="D44" s="10" t="s">
        <v>41</v>
      </c>
      <c r="E44" s="10" t="s">
        <v>120</v>
      </c>
      <c r="F44" s="11">
        <v>50000</v>
      </c>
      <c r="G44" s="11">
        <v>15000</v>
      </c>
      <c r="H44" s="12"/>
      <c r="I44" s="12"/>
      <c r="J44" s="12"/>
      <c r="K44" s="11">
        <v>15000</v>
      </c>
    </row>
    <row r="45" spans="1:11" x14ac:dyDescent="0.35">
      <c r="A45" s="10" t="s">
        <v>109</v>
      </c>
      <c r="B45" s="10" t="s">
        <v>110</v>
      </c>
      <c r="C45" s="10" t="s">
        <v>43</v>
      </c>
      <c r="D45" s="10" t="s">
        <v>44</v>
      </c>
      <c r="E45" s="10" t="s">
        <v>121</v>
      </c>
      <c r="F45" s="11">
        <v>65500</v>
      </c>
      <c r="G45" s="11">
        <v>45092</v>
      </c>
      <c r="H45" s="11">
        <v>33100</v>
      </c>
      <c r="I45" s="12"/>
      <c r="J45" s="12"/>
      <c r="K45" s="11">
        <v>11992</v>
      </c>
    </row>
    <row r="46" spans="1:11" x14ac:dyDescent="0.35">
      <c r="A46" s="10" t="s">
        <v>109</v>
      </c>
      <c r="B46" s="10" t="s">
        <v>110</v>
      </c>
      <c r="C46" s="10" t="s">
        <v>49</v>
      </c>
      <c r="D46" s="10" t="s">
        <v>50</v>
      </c>
      <c r="E46" s="10" t="s">
        <v>122</v>
      </c>
      <c r="F46" s="11">
        <v>20000</v>
      </c>
      <c r="G46" s="11">
        <v>13262</v>
      </c>
      <c r="H46" s="11">
        <v>6320</v>
      </c>
      <c r="I46" s="11">
        <v>0</v>
      </c>
      <c r="J46" s="11">
        <v>0</v>
      </c>
      <c r="K46" s="11">
        <v>6942</v>
      </c>
    </row>
    <row r="47" spans="1:11" x14ac:dyDescent="0.35">
      <c r="A47" s="10" t="s">
        <v>109</v>
      </c>
      <c r="B47" s="10" t="s">
        <v>110</v>
      </c>
      <c r="C47" s="10" t="s">
        <v>123</v>
      </c>
      <c r="D47" s="10" t="s">
        <v>124</v>
      </c>
      <c r="E47" s="10" t="s">
        <v>125</v>
      </c>
      <c r="F47" s="11">
        <v>10000</v>
      </c>
      <c r="G47" s="11">
        <v>10000</v>
      </c>
      <c r="H47" s="11">
        <v>4648</v>
      </c>
      <c r="I47" s="12"/>
      <c r="J47" s="12"/>
      <c r="K47" s="11">
        <v>5352</v>
      </c>
    </row>
    <row r="48" spans="1:11" x14ac:dyDescent="0.35">
      <c r="A48" s="10" t="s">
        <v>126</v>
      </c>
      <c r="B48" s="10" t="s">
        <v>127</v>
      </c>
      <c r="C48" s="10" t="s">
        <v>16</v>
      </c>
      <c r="D48" s="10" t="s">
        <v>17</v>
      </c>
      <c r="E48" s="10" t="s">
        <v>128</v>
      </c>
      <c r="F48" s="11">
        <v>1020620</v>
      </c>
      <c r="G48" s="11">
        <v>183620</v>
      </c>
      <c r="H48" s="11">
        <v>93665.1</v>
      </c>
      <c r="I48" s="12"/>
      <c r="J48" s="12"/>
      <c r="K48" s="11">
        <v>89954.9</v>
      </c>
    </row>
    <row r="49" spans="1:11" x14ac:dyDescent="0.35">
      <c r="A49" s="10" t="s">
        <v>126</v>
      </c>
      <c r="B49" s="10" t="s">
        <v>127</v>
      </c>
      <c r="C49" s="10" t="s">
        <v>67</v>
      </c>
      <c r="D49" s="10" t="s">
        <v>68</v>
      </c>
      <c r="E49" s="10" t="s">
        <v>129</v>
      </c>
      <c r="F49" s="11">
        <v>300000</v>
      </c>
      <c r="G49" s="11">
        <v>0</v>
      </c>
      <c r="H49" s="12"/>
      <c r="I49" s="12"/>
      <c r="J49" s="12"/>
      <c r="K49" s="11">
        <v>0</v>
      </c>
    </row>
    <row r="50" spans="1:11" x14ac:dyDescent="0.35">
      <c r="A50" s="10" t="s">
        <v>126</v>
      </c>
      <c r="B50" s="10" t="s">
        <v>127</v>
      </c>
      <c r="C50" s="10" t="s">
        <v>31</v>
      </c>
      <c r="D50" s="10" t="s">
        <v>32</v>
      </c>
      <c r="E50" s="10" t="s">
        <v>130</v>
      </c>
      <c r="F50" s="11">
        <v>34000</v>
      </c>
      <c r="G50" s="11">
        <v>34000</v>
      </c>
      <c r="H50" s="11">
        <v>9463</v>
      </c>
      <c r="I50" s="12"/>
      <c r="J50" s="12"/>
      <c r="K50" s="11">
        <v>24537</v>
      </c>
    </row>
    <row r="51" spans="1:11" x14ac:dyDescent="0.35">
      <c r="A51" s="10" t="s">
        <v>126</v>
      </c>
      <c r="B51" s="10" t="s">
        <v>127</v>
      </c>
      <c r="C51" s="10" t="s">
        <v>34</v>
      </c>
      <c r="D51" s="10" t="s">
        <v>35</v>
      </c>
      <c r="E51" s="10" t="s">
        <v>131</v>
      </c>
      <c r="F51" s="11">
        <v>222000</v>
      </c>
      <c r="G51" s="11">
        <v>222000</v>
      </c>
      <c r="H51" s="11">
        <v>196440.99</v>
      </c>
      <c r="I51" s="12"/>
      <c r="J51" s="12"/>
      <c r="K51" s="11">
        <v>25559.01</v>
      </c>
    </row>
    <row r="52" spans="1:11" x14ac:dyDescent="0.35">
      <c r="A52" s="10" t="s">
        <v>126</v>
      </c>
      <c r="B52" s="10" t="s">
        <v>127</v>
      </c>
      <c r="C52" s="10" t="s">
        <v>132</v>
      </c>
      <c r="D52" s="10" t="s">
        <v>133</v>
      </c>
      <c r="E52" s="10" t="s">
        <v>134</v>
      </c>
      <c r="F52" s="11">
        <v>240000</v>
      </c>
      <c r="G52" s="11">
        <v>240000</v>
      </c>
      <c r="H52" s="11">
        <v>240000</v>
      </c>
      <c r="I52" s="12"/>
      <c r="J52" s="12"/>
      <c r="K52" s="11">
        <v>0</v>
      </c>
    </row>
    <row r="53" spans="1:11" x14ac:dyDescent="0.35">
      <c r="A53" s="10" t="s">
        <v>126</v>
      </c>
      <c r="B53" s="10" t="s">
        <v>127</v>
      </c>
      <c r="C53" s="10" t="s">
        <v>135</v>
      </c>
      <c r="D53" s="10" t="s">
        <v>136</v>
      </c>
      <c r="E53" s="10" t="s">
        <v>137</v>
      </c>
      <c r="F53" s="11">
        <v>4816800</v>
      </c>
      <c r="G53" s="11">
        <v>3716106</v>
      </c>
      <c r="H53" s="11">
        <v>3600380.75</v>
      </c>
      <c r="I53" s="12"/>
      <c r="J53" s="12"/>
      <c r="K53" s="11">
        <v>115725.25</v>
      </c>
    </row>
    <row r="54" spans="1:11" x14ac:dyDescent="0.35">
      <c r="A54" s="10" t="s">
        <v>126</v>
      </c>
      <c r="B54" s="10" t="s">
        <v>127</v>
      </c>
      <c r="C54" s="10" t="s">
        <v>138</v>
      </c>
      <c r="D54" s="10" t="s">
        <v>139</v>
      </c>
      <c r="E54" s="10" t="s">
        <v>140</v>
      </c>
      <c r="F54" s="11">
        <v>1971263</v>
      </c>
      <c r="G54" s="11">
        <v>1771263</v>
      </c>
      <c r="H54" s="11">
        <v>1746406.35</v>
      </c>
      <c r="I54" s="12"/>
      <c r="J54" s="12"/>
      <c r="K54" s="11">
        <v>24856.649999999001</v>
      </c>
    </row>
    <row r="55" spans="1:11" x14ac:dyDescent="0.35">
      <c r="A55" s="10" t="s">
        <v>126</v>
      </c>
      <c r="B55" s="10" t="s">
        <v>127</v>
      </c>
      <c r="C55" s="10" t="s">
        <v>141</v>
      </c>
      <c r="D55" s="10" t="s">
        <v>142</v>
      </c>
      <c r="E55" s="10" t="s">
        <v>143</v>
      </c>
      <c r="F55" s="11">
        <v>110824684</v>
      </c>
      <c r="G55" s="11">
        <v>118214474</v>
      </c>
      <c r="H55" s="11">
        <v>118211465.31999999</v>
      </c>
      <c r="I55" s="12"/>
      <c r="J55" s="12"/>
      <c r="K55" s="11">
        <v>3008.6799999028399</v>
      </c>
    </row>
    <row r="56" spans="1:11" x14ac:dyDescent="0.35">
      <c r="A56" s="10" t="s">
        <v>126</v>
      </c>
      <c r="B56" s="10" t="s">
        <v>127</v>
      </c>
      <c r="C56" s="10" t="s">
        <v>144</v>
      </c>
      <c r="D56" s="10" t="s">
        <v>145</v>
      </c>
      <c r="E56" s="10" t="s">
        <v>146</v>
      </c>
      <c r="F56" s="11">
        <v>150000</v>
      </c>
      <c r="G56" s="11">
        <v>150000</v>
      </c>
      <c r="H56" s="12"/>
      <c r="I56" s="12"/>
      <c r="J56" s="12"/>
      <c r="K56" s="11">
        <v>150000</v>
      </c>
    </row>
    <row r="57" spans="1:11" x14ac:dyDescent="0.35">
      <c r="A57" s="10" t="s">
        <v>126</v>
      </c>
      <c r="B57" s="10" t="s">
        <v>127</v>
      </c>
      <c r="C57" s="10" t="s">
        <v>147</v>
      </c>
      <c r="D57" s="10" t="s">
        <v>148</v>
      </c>
      <c r="E57" s="10" t="s">
        <v>149</v>
      </c>
      <c r="F57" s="11">
        <v>150000</v>
      </c>
      <c r="G57" s="11">
        <v>213700</v>
      </c>
      <c r="H57" s="11">
        <v>69090.570000000007</v>
      </c>
      <c r="I57" s="12"/>
      <c r="J57" s="12"/>
      <c r="K57" s="11">
        <v>144609.43</v>
      </c>
    </row>
    <row r="58" spans="1:11" x14ac:dyDescent="0.35">
      <c r="A58" s="10" t="s">
        <v>126</v>
      </c>
      <c r="B58" s="10" t="s">
        <v>127</v>
      </c>
      <c r="C58" s="10" t="s">
        <v>37</v>
      </c>
      <c r="D58" s="10" t="s">
        <v>38</v>
      </c>
      <c r="E58" s="10" t="s">
        <v>150</v>
      </c>
      <c r="F58" s="11">
        <v>45648</v>
      </c>
      <c r="G58" s="11">
        <v>45648</v>
      </c>
      <c r="H58" s="11">
        <v>2169.6999999999998</v>
      </c>
      <c r="I58" s="12"/>
      <c r="J58" s="12"/>
      <c r="K58" s="11">
        <v>43478.3</v>
      </c>
    </row>
    <row r="59" spans="1:11" x14ac:dyDescent="0.35">
      <c r="A59" s="10" t="s">
        <v>126</v>
      </c>
      <c r="B59" s="10" t="s">
        <v>127</v>
      </c>
      <c r="C59" s="10" t="s">
        <v>40</v>
      </c>
      <c r="D59" s="10" t="s">
        <v>41</v>
      </c>
      <c r="E59" s="10" t="s">
        <v>151</v>
      </c>
      <c r="F59" s="11">
        <v>10000</v>
      </c>
      <c r="G59" s="11">
        <v>10000</v>
      </c>
      <c r="H59" s="12"/>
      <c r="I59" s="12"/>
      <c r="J59" s="12"/>
      <c r="K59" s="11">
        <v>10000</v>
      </c>
    </row>
    <row r="60" spans="1:11" x14ac:dyDescent="0.35">
      <c r="A60" s="10" t="s">
        <v>126</v>
      </c>
      <c r="B60" s="10" t="s">
        <v>127</v>
      </c>
      <c r="C60" s="10" t="s">
        <v>43</v>
      </c>
      <c r="D60" s="10" t="s">
        <v>44</v>
      </c>
      <c r="E60" s="10" t="s">
        <v>152</v>
      </c>
      <c r="F60" s="11">
        <v>97000</v>
      </c>
      <c r="G60" s="11">
        <v>26429</v>
      </c>
      <c r="H60" s="12"/>
      <c r="I60" s="12"/>
      <c r="J60" s="12"/>
      <c r="K60" s="11">
        <v>26429</v>
      </c>
    </row>
    <row r="61" spans="1:11" x14ac:dyDescent="0.35">
      <c r="A61" s="10" t="s">
        <v>126</v>
      </c>
      <c r="B61" s="10" t="s">
        <v>127</v>
      </c>
      <c r="C61" s="10" t="s">
        <v>49</v>
      </c>
      <c r="D61" s="10" t="s">
        <v>50</v>
      </c>
      <c r="E61" s="10" t="s">
        <v>153</v>
      </c>
      <c r="F61" s="11">
        <v>80000</v>
      </c>
      <c r="G61" s="11">
        <v>40596</v>
      </c>
      <c r="H61" s="12"/>
      <c r="I61" s="12"/>
      <c r="J61" s="12"/>
      <c r="K61" s="11">
        <v>40596</v>
      </c>
    </row>
    <row r="62" spans="1:11" x14ac:dyDescent="0.35">
      <c r="A62" s="10" t="s">
        <v>126</v>
      </c>
      <c r="B62" s="10" t="s">
        <v>127</v>
      </c>
      <c r="C62" s="10" t="s">
        <v>154</v>
      </c>
      <c r="D62" s="10" t="s">
        <v>155</v>
      </c>
      <c r="E62" s="10" t="s">
        <v>156</v>
      </c>
      <c r="F62" s="11">
        <v>5000</v>
      </c>
      <c r="G62" s="11">
        <v>5000</v>
      </c>
      <c r="H62" s="12"/>
      <c r="I62" s="12"/>
      <c r="J62" s="12"/>
      <c r="K62" s="11">
        <v>5000</v>
      </c>
    </row>
    <row r="63" spans="1:11" x14ac:dyDescent="0.35">
      <c r="A63" s="10" t="s">
        <v>157</v>
      </c>
      <c r="B63" s="10" t="s">
        <v>158</v>
      </c>
      <c r="C63" s="10" t="s">
        <v>16</v>
      </c>
      <c r="D63" s="10" t="s">
        <v>17</v>
      </c>
      <c r="E63" s="10" t="s">
        <v>159</v>
      </c>
      <c r="F63" s="11">
        <v>10000</v>
      </c>
      <c r="G63" s="11">
        <v>127000</v>
      </c>
      <c r="H63" s="11">
        <v>121576.09</v>
      </c>
      <c r="I63" s="12"/>
      <c r="J63" s="12"/>
      <c r="K63" s="11">
        <v>5423.91</v>
      </c>
    </row>
    <row r="64" spans="1:11" x14ac:dyDescent="0.35">
      <c r="A64" s="10" t="s">
        <v>157</v>
      </c>
      <c r="B64" s="10" t="s">
        <v>158</v>
      </c>
      <c r="C64" s="10" t="s">
        <v>19</v>
      </c>
      <c r="D64" s="10" t="s">
        <v>20</v>
      </c>
      <c r="E64" s="10" t="s">
        <v>160</v>
      </c>
      <c r="F64" s="11">
        <v>10000</v>
      </c>
      <c r="G64" s="11">
        <v>10000</v>
      </c>
      <c r="H64" s="12"/>
      <c r="I64" s="12"/>
      <c r="J64" s="12"/>
      <c r="K64" s="11">
        <v>10000</v>
      </c>
    </row>
    <row r="65" spans="1:11" x14ac:dyDescent="0.35">
      <c r="A65" s="10" t="s">
        <v>157</v>
      </c>
      <c r="B65" s="10" t="s">
        <v>158</v>
      </c>
      <c r="C65" s="10" t="s">
        <v>28</v>
      </c>
      <c r="D65" s="10" t="s">
        <v>29</v>
      </c>
      <c r="E65" s="10" t="s">
        <v>161</v>
      </c>
      <c r="F65" s="11">
        <v>506004</v>
      </c>
      <c r="G65" s="11">
        <v>382777</v>
      </c>
      <c r="H65" s="11">
        <v>310190.40000000002</v>
      </c>
      <c r="I65" s="12"/>
      <c r="J65" s="12"/>
      <c r="K65" s="11">
        <v>72586.600000000006</v>
      </c>
    </row>
    <row r="66" spans="1:11" x14ac:dyDescent="0.35">
      <c r="A66" s="10" t="s">
        <v>157</v>
      </c>
      <c r="B66" s="10" t="s">
        <v>158</v>
      </c>
      <c r="C66" s="10" t="s">
        <v>31</v>
      </c>
      <c r="D66" s="10" t="s">
        <v>32</v>
      </c>
      <c r="E66" s="10" t="s">
        <v>162</v>
      </c>
      <c r="F66" s="11">
        <v>20000</v>
      </c>
      <c r="G66" s="11">
        <v>20000</v>
      </c>
      <c r="H66" s="11">
        <v>12614.75</v>
      </c>
      <c r="I66" s="12"/>
      <c r="J66" s="12"/>
      <c r="K66" s="11">
        <v>7385.25</v>
      </c>
    </row>
    <row r="67" spans="1:11" x14ac:dyDescent="0.35">
      <c r="A67" s="10" t="s">
        <v>157</v>
      </c>
      <c r="B67" s="10" t="s">
        <v>158</v>
      </c>
      <c r="C67" s="10" t="s">
        <v>72</v>
      </c>
      <c r="D67" s="10" t="s">
        <v>73</v>
      </c>
      <c r="E67" s="10" t="s">
        <v>163</v>
      </c>
      <c r="F67" s="11">
        <v>100000</v>
      </c>
      <c r="G67" s="11">
        <v>66993</v>
      </c>
      <c r="H67" s="11">
        <v>52243.54</v>
      </c>
      <c r="I67" s="11">
        <v>0</v>
      </c>
      <c r="J67" s="12"/>
      <c r="K67" s="11">
        <v>14749.46</v>
      </c>
    </row>
    <row r="68" spans="1:11" x14ac:dyDescent="0.35">
      <c r="A68" s="10" t="s">
        <v>157</v>
      </c>
      <c r="B68" s="10" t="s">
        <v>158</v>
      </c>
      <c r="C68" s="10" t="s">
        <v>97</v>
      </c>
      <c r="D68" s="10" t="s">
        <v>98</v>
      </c>
      <c r="E68" s="10" t="s">
        <v>164</v>
      </c>
      <c r="F68" s="11">
        <v>704499</v>
      </c>
      <c r="G68" s="11">
        <v>206267</v>
      </c>
      <c r="H68" s="11">
        <v>121584.62</v>
      </c>
      <c r="I68" s="12"/>
      <c r="J68" s="12"/>
      <c r="K68" s="11">
        <v>84682.38</v>
      </c>
    </row>
    <row r="69" spans="1:11" x14ac:dyDescent="0.35">
      <c r="A69" s="10" t="s">
        <v>157</v>
      </c>
      <c r="B69" s="10" t="s">
        <v>158</v>
      </c>
      <c r="C69" s="10" t="s">
        <v>37</v>
      </c>
      <c r="D69" s="10" t="s">
        <v>38</v>
      </c>
      <c r="E69" s="10" t="s">
        <v>165</v>
      </c>
      <c r="F69" s="11">
        <v>18000</v>
      </c>
      <c r="G69" s="11">
        <v>18000</v>
      </c>
      <c r="H69" s="11">
        <v>12479.25</v>
      </c>
      <c r="I69" s="12"/>
      <c r="J69" s="12"/>
      <c r="K69" s="11">
        <v>5520.75</v>
      </c>
    </row>
    <row r="70" spans="1:11" x14ac:dyDescent="0.35">
      <c r="A70" s="10" t="s">
        <v>157</v>
      </c>
      <c r="B70" s="10" t="s">
        <v>158</v>
      </c>
      <c r="C70" s="10" t="s">
        <v>40</v>
      </c>
      <c r="D70" s="10" t="s">
        <v>41</v>
      </c>
      <c r="E70" s="10" t="s">
        <v>166</v>
      </c>
      <c r="F70" s="11">
        <v>100000</v>
      </c>
      <c r="G70" s="11">
        <v>58000</v>
      </c>
      <c r="H70" s="11">
        <v>46943.25</v>
      </c>
      <c r="I70" s="11">
        <v>0</v>
      </c>
      <c r="J70" s="11">
        <v>0</v>
      </c>
      <c r="K70" s="11">
        <v>11056.75</v>
      </c>
    </row>
    <row r="71" spans="1:11" x14ac:dyDescent="0.35">
      <c r="A71" s="10" t="s">
        <v>157</v>
      </c>
      <c r="B71" s="10" t="s">
        <v>158</v>
      </c>
      <c r="C71" s="10" t="s">
        <v>43</v>
      </c>
      <c r="D71" s="10" t="s">
        <v>44</v>
      </c>
      <c r="E71" s="10" t="s">
        <v>167</v>
      </c>
      <c r="F71" s="11">
        <v>35000</v>
      </c>
      <c r="G71" s="11">
        <v>25464</v>
      </c>
      <c r="H71" s="12"/>
      <c r="I71" s="12"/>
      <c r="J71" s="12"/>
      <c r="K71" s="11">
        <v>25464</v>
      </c>
    </row>
    <row r="72" spans="1:11" x14ac:dyDescent="0.35">
      <c r="A72" s="10" t="s">
        <v>157</v>
      </c>
      <c r="B72" s="10" t="s">
        <v>158</v>
      </c>
      <c r="C72" s="10" t="s">
        <v>49</v>
      </c>
      <c r="D72" s="10" t="s">
        <v>50</v>
      </c>
      <c r="E72" s="10" t="s">
        <v>168</v>
      </c>
      <c r="F72" s="11">
        <v>45000</v>
      </c>
      <c r="G72" s="11">
        <v>22835</v>
      </c>
      <c r="H72" s="12"/>
      <c r="I72" s="12"/>
      <c r="J72" s="12"/>
      <c r="K72" s="11">
        <v>22835</v>
      </c>
    </row>
    <row r="73" spans="1:11" x14ac:dyDescent="0.35">
      <c r="A73" s="10" t="s">
        <v>157</v>
      </c>
      <c r="B73" s="10" t="s">
        <v>158</v>
      </c>
      <c r="C73" s="10" t="s">
        <v>169</v>
      </c>
      <c r="D73" s="10" t="s">
        <v>170</v>
      </c>
      <c r="E73" s="10" t="s">
        <v>171</v>
      </c>
      <c r="F73" s="11">
        <v>45292</v>
      </c>
      <c r="G73" s="11">
        <v>45292</v>
      </c>
      <c r="H73" s="11">
        <v>43796.32</v>
      </c>
      <c r="I73" s="12"/>
      <c r="J73" s="11">
        <v>0</v>
      </c>
      <c r="K73" s="11">
        <v>1495.68</v>
      </c>
    </row>
    <row r="74" spans="1:11" x14ac:dyDescent="0.35">
      <c r="A74" s="10" t="s">
        <v>157</v>
      </c>
      <c r="B74" s="10" t="s">
        <v>158</v>
      </c>
      <c r="C74" s="10" t="s">
        <v>103</v>
      </c>
      <c r="D74" s="10" t="s">
        <v>104</v>
      </c>
      <c r="E74" s="10" t="s">
        <v>172</v>
      </c>
      <c r="F74" s="11">
        <v>260000</v>
      </c>
      <c r="G74" s="11">
        <v>45789</v>
      </c>
      <c r="H74" s="11">
        <v>20510.169999999998</v>
      </c>
      <c r="I74" s="12"/>
      <c r="J74" s="12"/>
      <c r="K74" s="11">
        <v>25278.83</v>
      </c>
    </row>
    <row r="75" spans="1:11" x14ac:dyDescent="0.35">
      <c r="A75" s="10" t="s">
        <v>157</v>
      </c>
      <c r="B75" s="10" t="s">
        <v>158</v>
      </c>
      <c r="C75" s="10" t="s">
        <v>173</v>
      </c>
      <c r="D75" s="10" t="s">
        <v>174</v>
      </c>
      <c r="E75" s="10" t="s">
        <v>175</v>
      </c>
      <c r="F75" s="11">
        <v>100000</v>
      </c>
      <c r="G75" s="11">
        <v>65000</v>
      </c>
      <c r="H75" s="11">
        <v>40685.050000000003</v>
      </c>
      <c r="I75" s="11">
        <v>0</v>
      </c>
      <c r="J75" s="11">
        <v>0</v>
      </c>
      <c r="K75" s="11">
        <v>24314.95</v>
      </c>
    </row>
    <row r="76" spans="1:11" x14ac:dyDescent="0.35">
      <c r="A76" s="10" t="s">
        <v>157</v>
      </c>
      <c r="B76" s="10" t="s">
        <v>158</v>
      </c>
      <c r="C76" s="10" t="s">
        <v>176</v>
      </c>
      <c r="D76" s="10" t="s">
        <v>177</v>
      </c>
      <c r="E76" s="10" t="s">
        <v>178</v>
      </c>
      <c r="F76" s="11">
        <v>25000</v>
      </c>
      <c r="G76" s="11">
        <v>25000</v>
      </c>
      <c r="H76" s="12"/>
      <c r="I76" s="12"/>
      <c r="J76" s="12"/>
      <c r="K76" s="11">
        <v>25000</v>
      </c>
    </row>
    <row r="77" spans="1:11" x14ac:dyDescent="0.35">
      <c r="A77" s="10" t="s">
        <v>179</v>
      </c>
      <c r="B77" s="10" t="s">
        <v>180</v>
      </c>
      <c r="C77" s="10" t="s">
        <v>16</v>
      </c>
      <c r="D77" s="10" t="s">
        <v>17</v>
      </c>
      <c r="E77" s="10" t="s">
        <v>181</v>
      </c>
      <c r="F77" s="11">
        <v>20000</v>
      </c>
      <c r="G77" s="11">
        <v>20000</v>
      </c>
      <c r="H77" s="12"/>
      <c r="I77" s="12"/>
      <c r="J77" s="12"/>
      <c r="K77" s="11">
        <v>20000</v>
      </c>
    </row>
    <row r="78" spans="1:11" x14ac:dyDescent="0.35">
      <c r="A78" s="10" t="s">
        <v>179</v>
      </c>
      <c r="B78" s="10" t="s">
        <v>180</v>
      </c>
      <c r="C78" s="10" t="s">
        <v>31</v>
      </c>
      <c r="D78" s="10" t="s">
        <v>32</v>
      </c>
      <c r="E78" s="10" t="s">
        <v>182</v>
      </c>
      <c r="F78" s="11">
        <v>15000</v>
      </c>
      <c r="G78" s="11">
        <v>15000</v>
      </c>
      <c r="H78" s="11">
        <v>5918</v>
      </c>
      <c r="I78" s="12"/>
      <c r="J78" s="12"/>
      <c r="K78" s="11">
        <v>9082</v>
      </c>
    </row>
    <row r="79" spans="1:11" x14ac:dyDescent="0.35">
      <c r="A79" s="10" t="s">
        <v>179</v>
      </c>
      <c r="B79" s="10" t="s">
        <v>180</v>
      </c>
      <c r="C79" s="10" t="s">
        <v>183</v>
      </c>
      <c r="D79" s="10" t="s">
        <v>184</v>
      </c>
      <c r="E79" s="10" t="s">
        <v>185</v>
      </c>
      <c r="F79" s="11">
        <v>150000</v>
      </c>
      <c r="G79" s="11">
        <v>142000</v>
      </c>
      <c r="H79" s="11">
        <v>141230.35</v>
      </c>
      <c r="I79" s="12"/>
      <c r="J79" s="12"/>
      <c r="K79" s="11">
        <v>769.64999999999395</v>
      </c>
    </row>
    <row r="80" spans="1:11" x14ac:dyDescent="0.35">
      <c r="A80" s="10" t="s">
        <v>179</v>
      </c>
      <c r="B80" s="10" t="s">
        <v>180</v>
      </c>
      <c r="C80" s="10" t="s">
        <v>72</v>
      </c>
      <c r="D80" s="10" t="s">
        <v>73</v>
      </c>
      <c r="E80" s="10" t="s">
        <v>186</v>
      </c>
      <c r="F80" s="11">
        <v>350000</v>
      </c>
      <c r="G80" s="11">
        <v>350000</v>
      </c>
      <c r="H80" s="11">
        <v>346087.16</v>
      </c>
      <c r="I80" s="12"/>
      <c r="J80" s="12"/>
      <c r="K80" s="11">
        <v>3912.8400000000302</v>
      </c>
    </row>
    <row r="81" spans="1:11" x14ac:dyDescent="0.35">
      <c r="A81" s="10" t="s">
        <v>179</v>
      </c>
      <c r="B81" s="10" t="s">
        <v>180</v>
      </c>
      <c r="C81" s="10" t="s">
        <v>97</v>
      </c>
      <c r="D81" s="10" t="s">
        <v>98</v>
      </c>
      <c r="E81" s="10" t="s">
        <v>187</v>
      </c>
      <c r="F81" s="11">
        <v>210000</v>
      </c>
      <c r="G81" s="11">
        <v>70188</v>
      </c>
      <c r="H81" s="11">
        <v>69894.84</v>
      </c>
      <c r="I81" s="12"/>
      <c r="J81" s="12"/>
      <c r="K81" s="11">
        <v>293.16000000000298</v>
      </c>
    </row>
    <row r="82" spans="1:11" x14ac:dyDescent="0.35">
      <c r="A82" s="10" t="s">
        <v>179</v>
      </c>
      <c r="B82" s="10" t="s">
        <v>180</v>
      </c>
      <c r="C82" s="10" t="s">
        <v>37</v>
      </c>
      <c r="D82" s="10" t="s">
        <v>38</v>
      </c>
      <c r="E82" s="10" t="s">
        <v>188</v>
      </c>
      <c r="F82" s="11">
        <v>8500</v>
      </c>
      <c r="G82" s="11">
        <v>8500</v>
      </c>
      <c r="H82" s="11">
        <v>4600</v>
      </c>
      <c r="I82" s="12"/>
      <c r="J82" s="12"/>
      <c r="K82" s="11">
        <v>3900</v>
      </c>
    </row>
    <row r="83" spans="1:11" x14ac:dyDescent="0.35">
      <c r="A83" s="10" t="s">
        <v>179</v>
      </c>
      <c r="B83" s="10" t="s">
        <v>180</v>
      </c>
      <c r="C83" s="10" t="s">
        <v>40</v>
      </c>
      <c r="D83" s="10" t="s">
        <v>41</v>
      </c>
      <c r="E83" s="10" t="s">
        <v>189</v>
      </c>
      <c r="F83" s="11">
        <v>9114</v>
      </c>
      <c r="G83" s="11">
        <v>9114</v>
      </c>
      <c r="H83" s="11">
        <v>8895.2800000000007</v>
      </c>
      <c r="I83" s="12"/>
      <c r="J83" s="12"/>
      <c r="K83" s="11">
        <v>218.719999999999</v>
      </c>
    </row>
    <row r="84" spans="1:11" x14ac:dyDescent="0.35">
      <c r="A84" s="10" t="s">
        <v>179</v>
      </c>
      <c r="B84" s="10" t="s">
        <v>180</v>
      </c>
      <c r="C84" s="10" t="s">
        <v>43</v>
      </c>
      <c r="D84" s="10" t="s">
        <v>44</v>
      </c>
      <c r="E84" s="10" t="s">
        <v>190</v>
      </c>
      <c r="F84" s="11">
        <v>40000</v>
      </c>
      <c r="G84" s="11">
        <v>14536</v>
      </c>
      <c r="H84" s="11">
        <v>7951</v>
      </c>
      <c r="I84" s="12"/>
      <c r="J84" s="12"/>
      <c r="K84" s="11">
        <v>6585</v>
      </c>
    </row>
    <row r="85" spans="1:11" x14ac:dyDescent="0.35">
      <c r="A85" s="10" t="s">
        <v>179</v>
      </c>
      <c r="B85" s="10" t="s">
        <v>180</v>
      </c>
      <c r="C85" s="10" t="s">
        <v>169</v>
      </c>
      <c r="D85" s="10" t="s">
        <v>170</v>
      </c>
      <c r="E85" s="10" t="s">
        <v>191</v>
      </c>
      <c r="F85" s="11">
        <v>80000</v>
      </c>
      <c r="G85" s="11">
        <v>5000</v>
      </c>
      <c r="H85" s="12"/>
      <c r="I85" s="12"/>
      <c r="J85" s="12"/>
      <c r="K85" s="11">
        <v>5000</v>
      </c>
    </row>
    <row r="86" spans="1:11" x14ac:dyDescent="0.35">
      <c r="A86" s="10" t="s">
        <v>179</v>
      </c>
      <c r="B86" s="10" t="s">
        <v>180</v>
      </c>
      <c r="C86" s="10" t="s">
        <v>192</v>
      </c>
      <c r="D86" s="10" t="s">
        <v>193</v>
      </c>
      <c r="E86" s="10" t="s">
        <v>194</v>
      </c>
      <c r="F86" s="11">
        <v>0</v>
      </c>
      <c r="G86" s="11">
        <v>60000</v>
      </c>
      <c r="H86" s="11">
        <v>53660.77</v>
      </c>
      <c r="I86" s="11">
        <v>0</v>
      </c>
      <c r="J86" s="11">
        <v>0</v>
      </c>
      <c r="K86" s="11">
        <v>6339.23</v>
      </c>
    </row>
    <row r="87" spans="1:11" x14ac:dyDescent="0.35">
      <c r="A87" s="10" t="s">
        <v>179</v>
      </c>
      <c r="B87" s="10" t="s">
        <v>180</v>
      </c>
      <c r="C87" s="10" t="s">
        <v>103</v>
      </c>
      <c r="D87" s="10" t="s">
        <v>104</v>
      </c>
      <c r="E87" s="10" t="s">
        <v>195</v>
      </c>
      <c r="F87" s="11">
        <v>182000</v>
      </c>
      <c r="G87" s="11">
        <v>99482</v>
      </c>
      <c r="H87" s="11">
        <v>88017.37</v>
      </c>
      <c r="I87" s="11">
        <v>0</v>
      </c>
      <c r="J87" s="12"/>
      <c r="K87" s="11">
        <v>11464.63</v>
      </c>
    </row>
    <row r="88" spans="1:11" x14ac:dyDescent="0.35">
      <c r="A88" s="10" t="s">
        <v>179</v>
      </c>
      <c r="B88" s="10" t="s">
        <v>180</v>
      </c>
      <c r="C88" s="10" t="s">
        <v>173</v>
      </c>
      <c r="D88" s="10" t="s">
        <v>174</v>
      </c>
      <c r="E88" s="10" t="s">
        <v>196</v>
      </c>
      <c r="F88" s="11">
        <v>80000</v>
      </c>
      <c r="G88" s="11">
        <v>155000</v>
      </c>
      <c r="H88" s="11">
        <v>154989.13</v>
      </c>
      <c r="I88" s="11">
        <v>0</v>
      </c>
      <c r="J88" s="11">
        <v>0</v>
      </c>
      <c r="K88" s="11">
        <v>10.869999999995301</v>
      </c>
    </row>
    <row r="89" spans="1:11" x14ac:dyDescent="0.35">
      <c r="A89" s="10" t="s">
        <v>179</v>
      </c>
      <c r="B89" s="10" t="s">
        <v>180</v>
      </c>
      <c r="C89" s="10" t="s">
        <v>154</v>
      </c>
      <c r="D89" s="10" t="s">
        <v>155</v>
      </c>
      <c r="E89" s="10" t="s">
        <v>197</v>
      </c>
      <c r="F89" s="11">
        <v>4000</v>
      </c>
      <c r="G89" s="11">
        <v>4000</v>
      </c>
      <c r="H89" s="12"/>
      <c r="I89" s="12"/>
      <c r="J89" s="12"/>
      <c r="K89" s="11">
        <v>4000</v>
      </c>
    </row>
    <row r="90" spans="1:11" x14ac:dyDescent="0.35">
      <c r="A90" s="10" t="s">
        <v>179</v>
      </c>
      <c r="B90" s="10" t="s">
        <v>180</v>
      </c>
      <c r="C90" s="10" t="s">
        <v>176</v>
      </c>
      <c r="D90" s="10" t="s">
        <v>177</v>
      </c>
      <c r="E90" s="10" t="s">
        <v>198</v>
      </c>
      <c r="F90" s="11">
        <v>5000</v>
      </c>
      <c r="G90" s="11">
        <v>5000</v>
      </c>
      <c r="H90" s="12"/>
      <c r="I90" s="12"/>
      <c r="J90" s="12"/>
      <c r="K90" s="11">
        <v>5000</v>
      </c>
    </row>
    <row r="91" spans="1:11" x14ac:dyDescent="0.35">
      <c r="A91" s="10" t="s">
        <v>199</v>
      </c>
      <c r="B91" s="10" t="s">
        <v>200</v>
      </c>
      <c r="C91" s="10" t="s">
        <v>16</v>
      </c>
      <c r="D91" s="10" t="s">
        <v>17</v>
      </c>
      <c r="E91" s="10" t="s">
        <v>201</v>
      </c>
      <c r="F91" s="11">
        <v>1000</v>
      </c>
      <c r="G91" s="11">
        <v>31025</v>
      </c>
      <c r="H91" s="11">
        <v>30455</v>
      </c>
      <c r="I91" s="12"/>
      <c r="J91" s="12"/>
      <c r="K91" s="11">
        <v>570</v>
      </c>
    </row>
    <row r="92" spans="1:11" x14ac:dyDescent="0.35">
      <c r="A92" s="10" t="s">
        <v>199</v>
      </c>
      <c r="B92" s="10" t="s">
        <v>200</v>
      </c>
      <c r="C92" s="10" t="s">
        <v>31</v>
      </c>
      <c r="D92" s="10" t="s">
        <v>32</v>
      </c>
      <c r="E92" s="10" t="s">
        <v>202</v>
      </c>
      <c r="F92" s="11">
        <v>4000</v>
      </c>
      <c r="G92" s="11">
        <v>5139</v>
      </c>
      <c r="H92" s="11">
        <v>367.5</v>
      </c>
      <c r="I92" s="12"/>
      <c r="J92" s="12"/>
      <c r="K92" s="11">
        <v>4771.5</v>
      </c>
    </row>
    <row r="93" spans="1:11" x14ac:dyDescent="0.35">
      <c r="A93" s="10" t="s">
        <v>199</v>
      </c>
      <c r="B93" s="10" t="s">
        <v>200</v>
      </c>
      <c r="C93" s="10" t="s">
        <v>183</v>
      </c>
      <c r="D93" s="10" t="s">
        <v>184</v>
      </c>
      <c r="E93" s="10" t="s">
        <v>203</v>
      </c>
      <c r="F93" s="11">
        <v>20000</v>
      </c>
      <c r="G93" s="11">
        <v>6455</v>
      </c>
      <c r="H93" s="11">
        <v>6454.01</v>
      </c>
      <c r="I93" s="12"/>
      <c r="J93" s="12"/>
      <c r="K93" s="11">
        <v>0.98999999999978205</v>
      </c>
    </row>
    <row r="94" spans="1:11" x14ac:dyDescent="0.35">
      <c r="A94" s="10" t="s">
        <v>199</v>
      </c>
      <c r="B94" s="10" t="s">
        <v>200</v>
      </c>
      <c r="C94" s="10" t="s">
        <v>72</v>
      </c>
      <c r="D94" s="10" t="s">
        <v>73</v>
      </c>
      <c r="E94" s="10" t="s">
        <v>204</v>
      </c>
      <c r="F94" s="11">
        <v>180000</v>
      </c>
      <c r="G94" s="11">
        <v>171345</v>
      </c>
      <c r="H94" s="11">
        <v>119798.77</v>
      </c>
      <c r="I94" s="12"/>
      <c r="J94" s="12"/>
      <c r="K94" s="11">
        <v>51546.23</v>
      </c>
    </row>
    <row r="95" spans="1:11" x14ac:dyDescent="0.35">
      <c r="A95" s="10" t="s">
        <v>199</v>
      </c>
      <c r="B95" s="10" t="s">
        <v>200</v>
      </c>
      <c r="C95" s="10" t="s">
        <v>97</v>
      </c>
      <c r="D95" s="10" t="s">
        <v>98</v>
      </c>
      <c r="E95" s="10" t="s">
        <v>205</v>
      </c>
      <c r="F95" s="11">
        <v>180000</v>
      </c>
      <c r="G95" s="11">
        <v>97193</v>
      </c>
      <c r="H95" s="11">
        <v>68938.210000000006</v>
      </c>
      <c r="I95" s="12"/>
      <c r="J95" s="12"/>
      <c r="K95" s="11">
        <v>28254.79</v>
      </c>
    </row>
    <row r="96" spans="1:11" x14ac:dyDescent="0.35">
      <c r="A96" s="10" t="s">
        <v>199</v>
      </c>
      <c r="B96" s="10" t="s">
        <v>200</v>
      </c>
      <c r="C96" s="10" t="s">
        <v>37</v>
      </c>
      <c r="D96" s="10" t="s">
        <v>38</v>
      </c>
      <c r="E96" s="10" t="s">
        <v>206</v>
      </c>
      <c r="F96" s="11">
        <v>10000</v>
      </c>
      <c r="G96" s="11">
        <v>17000</v>
      </c>
      <c r="H96" s="11">
        <v>13875.5</v>
      </c>
      <c r="I96" s="12"/>
      <c r="J96" s="12"/>
      <c r="K96" s="11">
        <v>3124.5</v>
      </c>
    </row>
    <row r="97" spans="1:11" x14ac:dyDescent="0.35">
      <c r="A97" s="10" t="s">
        <v>199</v>
      </c>
      <c r="B97" s="10" t="s">
        <v>200</v>
      </c>
      <c r="C97" s="10" t="s">
        <v>40</v>
      </c>
      <c r="D97" s="10" t="s">
        <v>41</v>
      </c>
      <c r="E97" s="10" t="s">
        <v>207</v>
      </c>
      <c r="F97" s="11">
        <v>99576</v>
      </c>
      <c r="G97" s="11">
        <v>7412</v>
      </c>
      <c r="H97" s="11">
        <v>7411.92</v>
      </c>
      <c r="I97" s="11">
        <v>0</v>
      </c>
      <c r="J97" s="11">
        <v>0</v>
      </c>
      <c r="K97" s="11">
        <v>7.9999999999927199E-2</v>
      </c>
    </row>
    <row r="98" spans="1:11" x14ac:dyDescent="0.35">
      <c r="A98" s="10" t="s">
        <v>199</v>
      </c>
      <c r="B98" s="10" t="s">
        <v>200</v>
      </c>
      <c r="C98" s="10" t="s">
        <v>43</v>
      </c>
      <c r="D98" s="10" t="s">
        <v>44</v>
      </c>
      <c r="E98" s="10" t="s">
        <v>208</v>
      </c>
      <c r="F98" s="11">
        <v>10000</v>
      </c>
      <c r="G98" s="11">
        <v>2725</v>
      </c>
      <c r="H98" s="12"/>
      <c r="I98" s="12"/>
      <c r="J98" s="12"/>
      <c r="K98" s="11">
        <v>2725</v>
      </c>
    </row>
    <row r="99" spans="1:11" x14ac:dyDescent="0.35">
      <c r="A99" s="10" t="s">
        <v>199</v>
      </c>
      <c r="B99" s="10" t="s">
        <v>200</v>
      </c>
      <c r="C99" s="10" t="s">
        <v>169</v>
      </c>
      <c r="D99" s="10" t="s">
        <v>170</v>
      </c>
      <c r="E99" s="10" t="s">
        <v>209</v>
      </c>
      <c r="F99" s="11">
        <v>90250</v>
      </c>
      <c r="G99" s="11">
        <v>90250</v>
      </c>
      <c r="H99" s="11">
        <v>61876.12</v>
      </c>
      <c r="I99" s="11">
        <v>0</v>
      </c>
      <c r="J99" s="11">
        <v>26517.8</v>
      </c>
      <c r="K99" s="11">
        <v>1856.08</v>
      </c>
    </row>
    <row r="100" spans="1:11" x14ac:dyDescent="0.35">
      <c r="A100" s="10" t="s">
        <v>199</v>
      </c>
      <c r="B100" s="10" t="s">
        <v>200</v>
      </c>
      <c r="C100" s="10" t="s">
        <v>103</v>
      </c>
      <c r="D100" s="10" t="s">
        <v>104</v>
      </c>
      <c r="E100" s="10" t="s">
        <v>210</v>
      </c>
      <c r="F100" s="11">
        <v>38400</v>
      </c>
      <c r="G100" s="11">
        <v>38192</v>
      </c>
      <c r="H100" s="11">
        <v>32030.63</v>
      </c>
      <c r="I100" s="12"/>
      <c r="J100" s="12"/>
      <c r="K100" s="11">
        <v>6161.37</v>
      </c>
    </row>
    <row r="101" spans="1:11" x14ac:dyDescent="0.35">
      <c r="A101" s="10" t="s">
        <v>199</v>
      </c>
      <c r="B101" s="10" t="s">
        <v>200</v>
      </c>
      <c r="C101" s="10" t="s">
        <v>173</v>
      </c>
      <c r="D101" s="10" t="s">
        <v>174</v>
      </c>
      <c r="E101" s="10" t="s">
        <v>211</v>
      </c>
      <c r="F101" s="11">
        <v>150000</v>
      </c>
      <c r="G101" s="11">
        <v>195655</v>
      </c>
      <c r="H101" s="11">
        <v>194459.45</v>
      </c>
      <c r="I101" s="11">
        <v>0</v>
      </c>
      <c r="J101" s="11">
        <v>1191.78</v>
      </c>
      <c r="K101" s="11">
        <v>3.76999999998952</v>
      </c>
    </row>
    <row r="102" spans="1:11" x14ac:dyDescent="0.35">
      <c r="A102" s="10" t="s">
        <v>199</v>
      </c>
      <c r="B102" s="10" t="s">
        <v>200</v>
      </c>
      <c r="C102" s="10" t="s">
        <v>154</v>
      </c>
      <c r="D102" s="10" t="s">
        <v>155</v>
      </c>
      <c r="E102" s="10" t="s">
        <v>212</v>
      </c>
      <c r="F102" s="11">
        <v>2000</v>
      </c>
      <c r="G102" s="11">
        <v>2000</v>
      </c>
      <c r="H102" s="12"/>
      <c r="I102" s="12"/>
      <c r="J102" s="12"/>
      <c r="K102" s="11">
        <v>2000</v>
      </c>
    </row>
    <row r="103" spans="1:11" x14ac:dyDescent="0.35">
      <c r="A103" s="10" t="s">
        <v>199</v>
      </c>
      <c r="B103" s="10" t="s">
        <v>200</v>
      </c>
      <c r="C103" s="10" t="s">
        <v>176</v>
      </c>
      <c r="D103" s="10" t="s">
        <v>177</v>
      </c>
      <c r="E103" s="10" t="s">
        <v>213</v>
      </c>
      <c r="F103" s="11">
        <v>3000</v>
      </c>
      <c r="G103" s="11">
        <v>3000</v>
      </c>
      <c r="H103" s="12"/>
      <c r="I103" s="12"/>
      <c r="J103" s="12"/>
      <c r="K103" s="11">
        <v>3000</v>
      </c>
    </row>
    <row r="104" spans="1:11" x14ac:dyDescent="0.35">
      <c r="A104" s="10" t="s">
        <v>214</v>
      </c>
      <c r="B104" s="10" t="s">
        <v>215</v>
      </c>
      <c r="C104" s="10" t="s">
        <v>16</v>
      </c>
      <c r="D104" s="10" t="s">
        <v>17</v>
      </c>
      <c r="E104" s="10" t="s">
        <v>216</v>
      </c>
      <c r="F104" s="11">
        <v>20000</v>
      </c>
      <c r="G104" s="11">
        <v>20000</v>
      </c>
      <c r="H104" s="11">
        <v>2362.5</v>
      </c>
      <c r="I104" s="12"/>
      <c r="J104" s="12"/>
      <c r="K104" s="11">
        <v>17637.5</v>
      </c>
    </row>
    <row r="105" spans="1:11" x14ac:dyDescent="0.35">
      <c r="A105" s="10" t="s">
        <v>214</v>
      </c>
      <c r="B105" s="10" t="s">
        <v>215</v>
      </c>
      <c r="C105" s="10" t="s">
        <v>31</v>
      </c>
      <c r="D105" s="10" t="s">
        <v>32</v>
      </c>
      <c r="E105" s="10" t="s">
        <v>217</v>
      </c>
      <c r="F105" s="11">
        <v>30000</v>
      </c>
      <c r="G105" s="11">
        <v>36600</v>
      </c>
      <c r="H105" s="11">
        <v>30230.33</v>
      </c>
      <c r="I105" s="12"/>
      <c r="J105" s="12"/>
      <c r="K105" s="11">
        <v>6369.67</v>
      </c>
    </row>
    <row r="106" spans="1:11" x14ac:dyDescent="0.35">
      <c r="A106" s="10" t="s">
        <v>214</v>
      </c>
      <c r="B106" s="10" t="s">
        <v>215</v>
      </c>
      <c r="C106" s="10" t="s">
        <v>183</v>
      </c>
      <c r="D106" s="10" t="s">
        <v>184</v>
      </c>
      <c r="E106" s="10" t="s">
        <v>218</v>
      </c>
      <c r="F106" s="11">
        <v>25000</v>
      </c>
      <c r="G106" s="11">
        <v>25000</v>
      </c>
      <c r="H106" s="12"/>
      <c r="I106" s="12"/>
      <c r="J106" s="12"/>
      <c r="K106" s="11">
        <v>25000</v>
      </c>
    </row>
    <row r="107" spans="1:11" x14ac:dyDescent="0.35">
      <c r="A107" s="10" t="s">
        <v>214</v>
      </c>
      <c r="B107" s="10" t="s">
        <v>215</v>
      </c>
      <c r="C107" s="10" t="s">
        <v>72</v>
      </c>
      <c r="D107" s="10" t="s">
        <v>73</v>
      </c>
      <c r="E107" s="10" t="s">
        <v>219</v>
      </c>
      <c r="F107" s="11">
        <v>100000</v>
      </c>
      <c r="G107" s="11">
        <v>100000</v>
      </c>
      <c r="H107" s="11">
        <v>63663.57</v>
      </c>
      <c r="I107" s="11">
        <v>0</v>
      </c>
      <c r="J107" s="11">
        <v>0</v>
      </c>
      <c r="K107" s="11">
        <v>36336.43</v>
      </c>
    </row>
    <row r="108" spans="1:11" x14ac:dyDescent="0.35">
      <c r="A108" s="10" t="s">
        <v>214</v>
      </c>
      <c r="B108" s="10" t="s">
        <v>215</v>
      </c>
      <c r="C108" s="10" t="s">
        <v>97</v>
      </c>
      <c r="D108" s="10" t="s">
        <v>98</v>
      </c>
      <c r="E108" s="10" t="s">
        <v>220</v>
      </c>
      <c r="F108" s="11">
        <v>450000</v>
      </c>
      <c r="G108" s="11">
        <v>237519</v>
      </c>
      <c r="H108" s="11">
        <v>179133.07</v>
      </c>
      <c r="I108" s="12"/>
      <c r="J108" s="12"/>
      <c r="K108" s="11">
        <v>58385.93</v>
      </c>
    </row>
    <row r="109" spans="1:11" x14ac:dyDescent="0.35">
      <c r="A109" s="10" t="s">
        <v>214</v>
      </c>
      <c r="B109" s="10" t="s">
        <v>215</v>
      </c>
      <c r="C109" s="10" t="s">
        <v>37</v>
      </c>
      <c r="D109" s="10" t="s">
        <v>38</v>
      </c>
      <c r="E109" s="10" t="s">
        <v>221</v>
      </c>
      <c r="F109" s="11">
        <v>20000</v>
      </c>
      <c r="G109" s="11">
        <v>20000</v>
      </c>
      <c r="H109" s="11">
        <v>4750</v>
      </c>
      <c r="I109" s="12"/>
      <c r="J109" s="12"/>
      <c r="K109" s="11">
        <v>15250</v>
      </c>
    </row>
    <row r="110" spans="1:11" x14ac:dyDescent="0.35">
      <c r="A110" s="10" t="s">
        <v>214</v>
      </c>
      <c r="B110" s="10" t="s">
        <v>215</v>
      </c>
      <c r="C110" s="10" t="s">
        <v>40</v>
      </c>
      <c r="D110" s="10" t="s">
        <v>41</v>
      </c>
      <c r="E110" s="10" t="s">
        <v>222</v>
      </c>
      <c r="F110" s="11">
        <v>75000</v>
      </c>
      <c r="G110" s="11">
        <v>75000</v>
      </c>
      <c r="H110" s="11">
        <v>60384.12</v>
      </c>
      <c r="I110" s="11">
        <v>0</v>
      </c>
      <c r="J110" s="11">
        <v>0</v>
      </c>
      <c r="K110" s="11">
        <v>14615.88</v>
      </c>
    </row>
    <row r="111" spans="1:11" x14ac:dyDescent="0.35">
      <c r="A111" s="10" t="s">
        <v>214</v>
      </c>
      <c r="B111" s="10" t="s">
        <v>215</v>
      </c>
      <c r="C111" s="10" t="s">
        <v>43</v>
      </c>
      <c r="D111" s="10" t="s">
        <v>44</v>
      </c>
      <c r="E111" s="10" t="s">
        <v>223</v>
      </c>
      <c r="F111" s="11">
        <v>35000</v>
      </c>
      <c r="G111" s="11">
        <v>10401</v>
      </c>
      <c r="H111" s="11">
        <v>10400</v>
      </c>
      <c r="I111" s="12"/>
      <c r="J111" s="12"/>
      <c r="K111" s="11">
        <v>1</v>
      </c>
    </row>
    <row r="112" spans="1:11" x14ac:dyDescent="0.35">
      <c r="A112" s="10" t="s">
        <v>214</v>
      </c>
      <c r="B112" s="10" t="s">
        <v>215</v>
      </c>
      <c r="C112" s="10" t="s">
        <v>103</v>
      </c>
      <c r="D112" s="10" t="s">
        <v>104</v>
      </c>
      <c r="E112" s="10" t="s">
        <v>224</v>
      </c>
      <c r="F112" s="11">
        <v>50000</v>
      </c>
      <c r="G112" s="11">
        <v>29251</v>
      </c>
      <c r="H112" s="11">
        <v>22245.54</v>
      </c>
      <c r="I112" s="12"/>
      <c r="J112" s="12"/>
      <c r="K112" s="11">
        <v>7005.46</v>
      </c>
    </row>
    <row r="113" spans="1:11" x14ac:dyDescent="0.35">
      <c r="A113" s="10" t="s">
        <v>214</v>
      </c>
      <c r="B113" s="10" t="s">
        <v>215</v>
      </c>
      <c r="C113" s="10" t="s">
        <v>173</v>
      </c>
      <c r="D113" s="10" t="s">
        <v>174</v>
      </c>
      <c r="E113" s="10" t="s">
        <v>225</v>
      </c>
      <c r="F113" s="11">
        <v>200000</v>
      </c>
      <c r="G113" s="11">
        <v>212131</v>
      </c>
      <c r="H113" s="11">
        <v>194915</v>
      </c>
      <c r="I113" s="11">
        <v>0</v>
      </c>
      <c r="J113" s="11">
        <v>1613.70000000001</v>
      </c>
      <c r="K113" s="11">
        <v>15602.3</v>
      </c>
    </row>
    <row r="114" spans="1:11" x14ac:dyDescent="0.35">
      <c r="A114" s="10" t="s">
        <v>214</v>
      </c>
      <c r="B114" s="10" t="s">
        <v>215</v>
      </c>
      <c r="C114" s="10" t="s">
        <v>154</v>
      </c>
      <c r="D114" s="10" t="s">
        <v>155</v>
      </c>
      <c r="E114" s="10" t="s">
        <v>226</v>
      </c>
      <c r="F114" s="11">
        <v>35000</v>
      </c>
      <c r="G114" s="11">
        <v>35000</v>
      </c>
      <c r="H114" s="11">
        <v>20011.63</v>
      </c>
      <c r="I114" s="12"/>
      <c r="J114" s="12"/>
      <c r="K114" s="11">
        <v>14988.37</v>
      </c>
    </row>
    <row r="115" spans="1:11" x14ac:dyDescent="0.35">
      <c r="A115" s="10" t="s">
        <v>214</v>
      </c>
      <c r="B115" s="10" t="s">
        <v>215</v>
      </c>
      <c r="C115" s="10" t="s">
        <v>176</v>
      </c>
      <c r="D115" s="10" t="s">
        <v>177</v>
      </c>
      <c r="E115" s="10" t="s">
        <v>227</v>
      </c>
      <c r="F115" s="11">
        <v>45000</v>
      </c>
      <c r="G115" s="11">
        <v>38400</v>
      </c>
      <c r="H115" s="11">
        <v>12485</v>
      </c>
      <c r="I115" s="12"/>
      <c r="J115" s="12"/>
      <c r="K115" s="11">
        <v>25915</v>
      </c>
    </row>
    <row r="116" spans="1:11" x14ac:dyDescent="0.35">
      <c r="A116" s="10" t="s">
        <v>228</v>
      </c>
      <c r="B116" s="10" t="s">
        <v>229</v>
      </c>
      <c r="C116" s="10" t="s">
        <v>16</v>
      </c>
      <c r="D116" s="10" t="s">
        <v>17</v>
      </c>
      <c r="E116" s="10" t="s">
        <v>230</v>
      </c>
      <c r="F116" s="11">
        <v>4000</v>
      </c>
      <c r="G116" s="11">
        <v>4000</v>
      </c>
      <c r="H116" s="12"/>
      <c r="I116" s="12"/>
      <c r="J116" s="12"/>
      <c r="K116" s="11">
        <v>4000</v>
      </c>
    </row>
    <row r="117" spans="1:11" x14ac:dyDescent="0.35">
      <c r="A117" s="10" t="s">
        <v>228</v>
      </c>
      <c r="B117" s="10" t="s">
        <v>229</v>
      </c>
      <c r="C117" s="10" t="s">
        <v>31</v>
      </c>
      <c r="D117" s="10" t="s">
        <v>32</v>
      </c>
      <c r="E117" s="10" t="s">
        <v>231</v>
      </c>
      <c r="F117" s="11">
        <v>6600</v>
      </c>
      <c r="G117" s="11">
        <v>6600</v>
      </c>
      <c r="H117" s="11">
        <v>6300</v>
      </c>
      <c r="I117" s="12"/>
      <c r="J117" s="12"/>
      <c r="K117" s="11">
        <v>299.99999999999898</v>
      </c>
    </row>
    <row r="118" spans="1:11" x14ac:dyDescent="0.35">
      <c r="A118" s="10" t="s">
        <v>228</v>
      </c>
      <c r="B118" s="10" t="s">
        <v>229</v>
      </c>
      <c r="C118" s="10" t="s">
        <v>183</v>
      </c>
      <c r="D118" s="10" t="s">
        <v>184</v>
      </c>
      <c r="E118" s="10" t="s">
        <v>232</v>
      </c>
      <c r="F118" s="11">
        <v>5000</v>
      </c>
      <c r="G118" s="11">
        <v>5000</v>
      </c>
      <c r="H118" s="12"/>
      <c r="I118" s="12"/>
      <c r="J118" s="12"/>
      <c r="K118" s="11">
        <v>5000</v>
      </c>
    </row>
    <row r="119" spans="1:11" x14ac:dyDescent="0.35">
      <c r="A119" s="10" t="s">
        <v>228</v>
      </c>
      <c r="B119" s="10" t="s">
        <v>229</v>
      </c>
      <c r="C119" s="10" t="s">
        <v>72</v>
      </c>
      <c r="D119" s="10" t="s">
        <v>73</v>
      </c>
      <c r="E119" s="10" t="s">
        <v>233</v>
      </c>
      <c r="F119" s="11">
        <v>370000</v>
      </c>
      <c r="G119" s="11">
        <v>272459</v>
      </c>
      <c r="H119" s="11">
        <v>250997.66</v>
      </c>
      <c r="I119" s="12"/>
      <c r="J119" s="12"/>
      <c r="K119" s="11">
        <v>21461.34</v>
      </c>
    </row>
    <row r="120" spans="1:11" x14ac:dyDescent="0.35">
      <c r="A120" s="10" t="s">
        <v>228</v>
      </c>
      <c r="B120" s="10" t="s">
        <v>229</v>
      </c>
      <c r="C120" s="10" t="s">
        <v>97</v>
      </c>
      <c r="D120" s="10" t="s">
        <v>98</v>
      </c>
      <c r="E120" s="10" t="s">
        <v>234</v>
      </c>
      <c r="F120" s="11">
        <v>165000</v>
      </c>
      <c r="G120" s="11">
        <v>112556</v>
      </c>
      <c r="H120" s="11">
        <v>106816.03</v>
      </c>
      <c r="I120" s="12"/>
      <c r="J120" s="12"/>
      <c r="K120" s="11">
        <v>5739.97</v>
      </c>
    </row>
    <row r="121" spans="1:11" x14ac:dyDescent="0.35">
      <c r="A121" s="10" t="s">
        <v>228</v>
      </c>
      <c r="B121" s="10" t="s">
        <v>229</v>
      </c>
      <c r="C121" s="10" t="s">
        <v>40</v>
      </c>
      <c r="D121" s="10" t="s">
        <v>41</v>
      </c>
      <c r="E121" s="10" t="s">
        <v>235</v>
      </c>
      <c r="F121" s="11">
        <v>34910</v>
      </c>
      <c r="G121" s="11">
        <v>39910</v>
      </c>
      <c r="H121" s="11">
        <v>24682.400000000001</v>
      </c>
      <c r="I121" s="11">
        <v>0</v>
      </c>
      <c r="J121" s="11">
        <v>0</v>
      </c>
      <c r="K121" s="11">
        <v>15227.6</v>
      </c>
    </row>
    <row r="122" spans="1:11" x14ac:dyDescent="0.35">
      <c r="A122" s="10" t="s">
        <v>228</v>
      </c>
      <c r="B122" s="10" t="s">
        <v>229</v>
      </c>
      <c r="C122" s="10" t="s">
        <v>43</v>
      </c>
      <c r="D122" s="10" t="s">
        <v>44</v>
      </c>
      <c r="E122" s="10" t="s">
        <v>236</v>
      </c>
      <c r="F122" s="11">
        <v>30000</v>
      </c>
      <c r="G122" s="11">
        <v>0</v>
      </c>
      <c r="H122" s="12"/>
      <c r="I122" s="12"/>
      <c r="J122" s="12"/>
      <c r="K122" s="11">
        <v>0</v>
      </c>
    </row>
    <row r="123" spans="1:11" x14ac:dyDescent="0.35">
      <c r="A123" s="10" t="s">
        <v>228</v>
      </c>
      <c r="B123" s="10" t="s">
        <v>229</v>
      </c>
      <c r="C123" s="10" t="s">
        <v>169</v>
      </c>
      <c r="D123" s="10" t="s">
        <v>170</v>
      </c>
      <c r="E123" s="10" t="s">
        <v>237</v>
      </c>
      <c r="F123" s="11">
        <v>171550</v>
      </c>
      <c r="G123" s="11">
        <v>201550</v>
      </c>
      <c r="H123" s="11">
        <v>168732</v>
      </c>
      <c r="I123" s="11">
        <v>0</v>
      </c>
      <c r="J123" s="11">
        <v>8450</v>
      </c>
      <c r="K123" s="11">
        <v>24368</v>
      </c>
    </row>
    <row r="124" spans="1:11" x14ac:dyDescent="0.35">
      <c r="A124" s="10" t="s">
        <v>228</v>
      </c>
      <c r="B124" s="10" t="s">
        <v>229</v>
      </c>
      <c r="C124" s="10" t="s">
        <v>103</v>
      </c>
      <c r="D124" s="10" t="s">
        <v>104</v>
      </c>
      <c r="E124" s="10" t="s">
        <v>238</v>
      </c>
      <c r="F124" s="11">
        <v>80000</v>
      </c>
      <c r="G124" s="11">
        <v>43337</v>
      </c>
      <c r="H124" s="11">
        <v>15857</v>
      </c>
      <c r="I124" s="12"/>
      <c r="J124" s="12"/>
      <c r="K124" s="11">
        <v>27480</v>
      </c>
    </row>
    <row r="125" spans="1:11" x14ac:dyDescent="0.35">
      <c r="A125" s="10" t="s">
        <v>228</v>
      </c>
      <c r="B125" s="10" t="s">
        <v>229</v>
      </c>
      <c r="C125" s="10" t="s">
        <v>173</v>
      </c>
      <c r="D125" s="10" t="s">
        <v>174</v>
      </c>
      <c r="E125" s="10" t="s">
        <v>239</v>
      </c>
      <c r="F125" s="11">
        <v>92573</v>
      </c>
      <c r="G125" s="11">
        <v>92573</v>
      </c>
      <c r="H125" s="11">
        <v>57978.7</v>
      </c>
      <c r="I125" s="11">
        <v>0</v>
      </c>
      <c r="J125" s="11">
        <v>32830</v>
      </c>
      <c r="K125" s="11">
        <v>1764.3</v>
      </c>
    </row>
    <row r="126" spans="1:11" x14ac:dyDescent="0.35">
      <c r="A126" s="10" t="s">
        <v>240</v>
      </c>
      <c r="B126" s="10" t="s">
        <v>241</v>
      </c>
      <c r="C126" s="10" t="s">
        <v>16</v>
      </c>
      <c r="D126" s="10" t="s">
        <v>17</v>
      </c>
      <c r="E126" s="10" t="s">
        <v>242</v>
      </c>
      <c r="F126" s="11">
        <v>3000</v>
      </c>
      <c r="G126" s="11">
        <v>3000</v>
      </c>
      <c r="H126" s="12"/>
      <c r="I126" s="12"/>
      <c r="J126" s="12"/>
      <c r="K126" s="11">
        <v>3000</v>
      </c>
    </row>
    <row r="127" spans="1:11" x14ac:dyDescent="0.35">
      <c r="A127" s="10" t="s">
        <v>240</v>
      </c>
      <c r="B127" s="10" t="s">
        <v>241</v>
      </c>
      <c r="C127" s="10" t="s">
        <v>31</v>
      </c>
      <c r="D127" s="10" t="s">
        <v>32</v>
      </c>
      <c r="E127" s="10" t="s">
        <v>243</v>
      </c>
      <c r="F127" s="11">
        <v>42000</v>
      </c>
      <c r="G127" s="11">
        <v>27000</v>
      </c>
      <c r="H127" s="11">
        <v>13765.96</v>
      </c>
      <c r="I127" s="12"/>
      <c r="J127" s="12"/>
      <c r="K127" s="11">
        <v>13234.04</v>
      </c>
    </row>
    <row r="128" spans="1:11" x14ac:dyDescent="0.35">
      <c r="A128" s="10" t="s">
        <v>240</v>
      </c>
      <c r="B128" s="10" t="s">
        <v>241</v>
      </c>
      <c r="C128" s="10" t="s">
        <v>183</v>
      </c>
      <c r="D128" s="10" t="s">
        <v>184</v>
      </c>
      <c r="E128" s="10" t="s">
        <v>244</v>
      </c>
      <c r="F128" s="11">
        <v>72000</v>
      </c>
      <c r="G128" s="11">
        <v>42000</v>
      </c>
      <c r="H128" s="11">
        <v>4400</v>
      </c>
      <c r="I128" s="12"/>
      <c r="J128" s="12"/>
      <c r="K128" s="11">
        <v>37600</v>
      </c>
    </row>
    <row r="129" spans="1:11" x14ac:dyDescent="0.35">
      <c r="A129" s="10" t="s">
        <v>240</v>
      </c>
      <c r="B129" s="10" t="s">
        <v>241</v>
      </c>
      <c r="C129" s="10" t="s">
        <v>72</v>
      </c>
      <c r="D129" s="10" t="s">
        <v>73</v>
      </c>
      <c r="E129" s="10" t="s">
        <v>245</v>
      </c>
      <c r="F129" s="11">
        <v>405000</v>
      </c>
      <c r="G129" s="11">
        <v>218600</v>
      </c>
      <c r="H129" s="11">
        <v>170809.35</v>
      </c>
      <c r="I129" s="12"/>
      <c r="J129" s="12"/>
      <c r="K129" s="11">
        <v>47790.65</v>
      </c>
    </row>
    <row r="130" spans="1:11" x14ac:dyDescent="0.35">
      <c r="A130" s="10" t="s">
        <v>240</v>
      </c>
      <c r="B130" s="10" t="s">
        <v>241</v>
      </c>
      <c r="C130" s="10" t="s">
        <v>97</v>
      </c>
      <c r="D130" s="10" t="s">
        <v>98</v>
      </c>
      <c r="E130" s="10" t="s">
        <v>246</v>
      </c>
      <c r="F130" s="11">
        <v>650000</v>
      </c>
      <c r="G130" s="11">
        <v>261686</v>
      </c>
      <c r="H130" s="11">
        <v>261505.36</v>
      </c>
      <c r="I130" s="12"/>
      <c r="J130" s="12"/>
      <c r="K130" s="11">
        <v>180.63999999995599</v>
      </c>
    </row>
    <row r="131" spans="1:11" x14ac:dyDescent="0.35">
      <c r="A131" s="10" t="s">
        <v>240</v>
      </c>
      <c r="B131" s="10" t="s">
        <v>241</v>
      </c>
      <c r="C131" s="10" t="s">
        <v>37</v>
      </c>
      <c r="D131" s="10" t="s">
        <v>38</v>
      </c>
      <c r="E131" s="10" t="s">
        <v>247</v>
      </c>
      <c r="F131" s="11">
        <v>16000</v>
      </c>
      <c r="G131" s="11">
        <v>36000</v>
      </c>
      <c r="H131" s="11">
        <v>21946</v>
      </c>
      <c r="I131" s="12"/>
      <c r="J131" s="12"/>
      <c r="K131" s="11">
        <v>14054</v>
      </c>
    </row>
    <row r="132" spans="1:11" x14ac:dyDescent="0.35">
      <c r="A132" s="10" t="s">
        <v>240</v>
      </c>
      <c r="B132" s="10" t="s">
        <v>241</v>
      </c>
      <c r="C132" s="10" t="s">
        <v>40</v>
      </c>
      <c r="D132" s="10" t="s">
        <v>41</v>
      </c>
      <c r="E132" s="10" t="s">
        <v>248</v>
      </c>
      <c r="F132" s="11">
        <v>720500</v>
      </c>
      <c r="G132" s="11">
        <v>475886</v>
      </c>
      <c r="H132" s="11">
        <v>391033.15</v>
      </c>
      <c r="I132" s="11">
        <v>0</v>
      </c>
      <c r="J132" s="11">
        <v>23700</v>
      </c>
      <c r="K132" s="11">
        <v>61152.85</v>
      </c>
    </row>
    <row r="133" spans="1:11" x14ac:dyDescent="0.35">
      <c r="A133" s="10" t="s">
        <v>240</v>
      </c>
      <c r="B133" s="10" t="s">
        <v>241</v>
      </c>
      <c r="C133" s="10" t="s">
        <v>61</v>
      </c>
      <c r="D133" s="10" t="s">
        <v>62</v>
      </c>
      <c r="E133" s="10" t="s">
        <v>249</v>
      </c>
      <c r="F133" s="11">
        <v>0</v>
      </c>
      <c r="G133" s="11">
        <v>10000</v>
      </c>
      <c r="H133" s="12"/>
      <c r="I133" s="12"/>
      <c r="J133" s="12"/>
      <c r="K133" s="11">
        <v>10000</v>
      </c>
    </row>
    <row r="134" spans="1:11" x14ac:dyDescent="0.35">
      <c r="A134" s="10" t="s">
        <v>240</v>
      </c>
      <c r="B134" s="10" t="s">
        <v>241</v>
      </c>
      <c r="C134" s="10" t="s">
        <v>49</v>
      </c>
      <c r="D134" s="10" t="s">
        <v>50</v>
      </c>
      <c r="E134" s="10" t="s">
        <v>250</v>
      </c>
      <c r="F134" s="11">
        <v>302000</v>
      </c>
      <c r="G134" s="11">
        <v>30650</v>
      </c>
      <c r="H134" s="12"/>
      <c r="I134" s="12"/>
      <c r="J134" s="12"/>
      <c r="K134" s="11">
        <v>30650</v>
      </c>
    </row>
    <row r="135" spans="1:11" x14ac:dyDescent="0.35">
      <c r="A135" s="10" t="s">
        <v>240</v>
      </c>
      <c r="B135" s="10" t="s">
        <v>241</v>
      </c>
      <c r="C135" s="10" t="s">
        <v>169</v>
      </c>
      <c r="D135" s="10" t="s">
        <v>170</v>
      </c>
      <c r="E135" s="10" t="s">
        <v>251</v>
      </c>
      <c r="F135" s="11">
        <v>67400</v>
      </c>
      <c r="G135" s="11">
        <v>21936</v>
      </c>
      <c r="H135" s="11">
        <v>18993.86</v>
      </c>
      <c r="I135" s="12"/>
      <c r="J135" s="12"/>
      <c r="K135" s="11">
        <v>2942.14</v>
      </c>
    </row>
    <row r="136" spans="1:11" x14ac:dyDescent="0.35">
      <c r="A136" s="10" t="s">
        <v>240</v>
      </c>
      <c r="B136" s="10" t="s">
        <v>241</v>
      </c>
      <c r="C136" s="10" t="s">
        <v>192</v>
      </c>
      <c r="D136" s="10" t="s">
        <v>193</v>
      </c>
      <c r="E136" s="10" t="s">
        <v>252</v>
      </c>
      <c r="F136" s="12"/>
      <c r="G136" s="12"/>
      <c r="H136" s="11">
        <v>0</v>
      </c>
      <c r="I136" s="12"/>
      <c r="J136" s="12"/>
      <c r="K136" s="11">
        <v>0</v>
      </c>
    </row>
    <row r="137" spans="1:11" x14ac:dyDescent="0.35">
      <c r="A137" s="10" t="s">
        <v>240</v>
      </c>
      <c r="B137" s="10" t="s">
        <v>241</v>
      </c>
      <c r="C137" s="10" t="s">
        <v>103</v>
      </c>
      <c r="D137" s="10" t="s">
        <v>104</v>
      </c>
      <c r="E137" s="10" t="s">
        <v>253</v>
      </c>
      <c r="F137" s="11">
        <v>420000</v>
      </c>
      <c r="G137" s="11">
        <v>166190</v>
      </c>
      <c r="H137" s="11">
        <v>147709.06</v>
      </c>
      <c r="I137" s="12"/>
      <c r="J137" s="12"/>
      <c r="K137" s="11">
        <v>18480.939999999999</v>
      </c>
    </row>
    <row r="138" spans="1:11" x14ac:dyDescent="0.35">
      <c r="A138" s="10" t="s">
        <v>240</v>
      </c>
      <c r="B138" s="10" t="s">
        <v>241</v>
      </c>
      <c r="C138" s="10" t="s">
        <v>173</v>
      </c>
      <c r="D138" s="10" t="s">
        <v>174</v>
      </c>
      <c r="E138" s="10" t="s">
        <v>254</v>
      </c>
      <c r="F138" s="11">
        <v>20000</v>
      </c>
      <c r="G138" s="11">
        <v>20000</v>
      </c>
      <c r="H138" s="11">
        <v>14673.64</v>
      </c>
      <c r="I138" s="11">
        <v>0</v>
      </c>
      <c r="J138" s="11">
        <v>-2.7284841053187799E-12</v>
      </c>
      <c r="K138" s="11">
        <v>4512.3599999999997</v>
      </c>
    </row>
    <row r="139" spans="1:11" x14ac:dyDescent="0.35">
      <c r="A139" s="10" t="s">
        <v>240</v>
      </c>
      <c r="B139" s="10" t="s">
        <v>241</v>
      </c>
      <c r="C139" s="10" t="s">
        <v>176</v>
      </c>
      <c r="D139" s="10" t="s">
        <v>177</v>
      </c>
      <c r="E139" s="10" t="s">
        <v>255</v>
      </c>
      <c r="F139" s="11">
        <v>60000</v>
      </c>
      <c r="G139" s="11">
        <v>60000</v>
      </c>
      <c r="H139" s="12"/>
      <c r="I139" s="12"/>
      <c r="J139" s="11">
        <v>15740</v>
      </c>
      <c r="K139" s="11">
        <v>44260</v>
      </c>
    </row>
    <row r="140" spans="1:11" x14ac:dyDescent="0.35">
      <c r="A140" s="10" t="s">
        <v>256</v>
      </c>
      <c r="B140" s="10" t="s">
        <v>257</v>
      </c>
      <c r="C140" s="10" t="s">
        <v>16</v>
      </c>
      <c r="D140" s="10" t="s">
        <v>17</v>
      </c>
      <c r="E140" s="10" t="s">
        <v>258</v>
      </c>
      <c r="F140" s="11">
        <v>10000</v>
      </c>
      <c r="G140" s="11">
        <v>10000</v>
      </c>
      <c r="H140" s="11">
        <v>7346</v>
      </c>
      <c r="I140" s="12"/>
      <c r="J140" s="12"/>
      <c r="K140" s="11">
        <v>2654</v>
      </c>
    </row>
    <row r="141" spans="1:11" x14ac:dyDescent="0.35">
      <c r="A141" s="10" t="s">
        <v>256</v>
      </c>
      <c r="B141" s="10" t="s">
        <v>257</v>
      </c>
      <c r="C141" s="10" t="s">
        <v>31</v>
      </c>
      <c r="D141" s="10" t="s">
        <v>32</v>
      </c>
      <c r="E141" s="10" t="s">
        <v>259</v>
      </c>
      <c r="F141" s="11">
        <v>20000</v>
      </c>
      <c r="G141" s="11">
        <v>8500</v>
      </c>
      <c r="H141" s="11">
        <v>3750</v>
      </c>
      <c r="I141" s="12"/>
      <c r="J141" s="12"/>
      <c r="K141" s="11">
        <v>4750</v>
      </c>
    </row>
    <row r="142" spans="1:11" x14ac:dyDescent="0.35">
      <c r="A142" s="10" t="s">
        <v>256</v>
      </c>
      <c r="B142" s="10" t="s">
        <v>257</v>
      </c>
      <c r="C142" s="10" t="s">
        <v>183</v>
      </c>
      <c r="D142" s="10" t="s">
        <v>184</v>
      </c>
      <c r="E142" s="10" t="s">
        <v>260</v>
      </c>
      <c r="F142" s="11">
        <v>10000</v>
      </c>
      <c r="G142" s="11">
        <v>10000</v>
      </c>
      <c r="H142" s="11">
        <v>5433.75</v>
      </c>
      <c r="I142" s="12"/>
      <c r="J142" s="12"/>
      <c r="K142" s="11">
        <v>4566.25</v>
      </c>
    </row>
    <row r="143" spans="1:11" x14ac:dyDescent="0.35">
      <c r="A143" s="10" t="s">
        <v>256</v>
      </c>
      <c r="B143" s="10" t="s">
        <v>257</v>
      </c>
      <c r="C143" s="10" t="s">
        <v>72</v>
      </c>
      <c r="D143" s="10" t="s">
        <v>73</v>
      </c>
      <c r="E143" s="10" t="s">
        <v>261</v>
      </c>
      <c r="F143" s="11">
        <v>50000</v>
      </c>
      <c r="G143" s="11">
        <v>50000</v>
      </c>
      <c r="H143" s="11">
        <v>50000</v>
      </c>
      <c r="I143" s="12"/>
      <c r="J143" s="12"/>
      <c r="K143" s="11">
        <v>0</v>
      </c>
    </row>
    <row r="144" spans="1:11" x14ac:dyDescent="0.35">
      <c r="A144" s="10" t="s">
        <v>256</v>
      </c>
      <c r="B144" s="10" t="s">
        <v>257</v>
      </c>
      <c r="C144" s="10" t="s">
        <v>97</v>
      </c>
      <c r="D144" s="10" t="s">
        <v>98</v>
      </c>
      <c r="E144" s="10" t="s">
        <v>262</v>
      </c>
      <c r="F144" s="11">
        <v>270000</v>
      </c>
      <c r="G144" s="11">
        <v>108634</v>
      </c>
      <c r="H144" s="11">
        <v>106489.39</v>
      </c>
      <c r="I144" s="12"/>
      <c r="J144" s="12"/>
      <c r="K144" s="11">
        <v>2144.61</v>
      </c>
    </row>
    <row r="145" spans="1:11" x14ac:dyDescent="0.35">
      <c r="A145" s="10" t="s">
        <v>256</v>
      </c>
      <c r="B145" s="10" t="s">
        <v>257</v>
      </c>
      <c r="C145" s="10" t="s">
        <v>37</v>
      </c>
      <c r="D145" s="10" t="s">
        <v>38</v>
      </c>
      <c r="E145" s="10" t="s">
        <v>263</v>
      </c>
      <c r="F145" s="11">
        <v>20000</v>
      </c>
      <c r="G145" s="11">
        <v>15500</v>
      </c>
      <c r="H145" s="11">
        <v>4095</v>
      </c>
      <c r="I145" s="12"/>
      <c r="J145" s="12"/>
      <c r="K145" s="11">
        <v>11405</v>
      </c>
    </row>
    <row r="146" spans="1:11" x14ac:dyDescent="0.35">
      <c r="A146" s="10" t="s">
        <v>256</v>
      </c>
      <c r="B146" s="10" t="s">
        <v>257</v>
      </c>
      <c r="C146" s="10" t="s">
        <v>40</v>
      </c>
      <c r="D146" s="10" t="s">
        <v>41</v>
      </c>
      <c r="E146" s="10" t="s">
        <v>264</v>
      </c>
      <c r="F146" s="11">
        <v>150257</v>
      </c>
      <c r="G146" s="11">
        <v>160257</v>
      </c>
      <c r="H146" s="11">
        <v>141786.19</v>
      </c>
      <c r="I146" s="11">
        <v>0</v>
      </c>
      <c r="J146" s="11">
        <v>12794.53</v>
      </c>
      <c r="K146" s="11">
        <v>5676.28</v>
      </c>
    </row>
    <row r="147" spans="1:11" x14ac:dyDescent="0.35">
      <c r="A147" s="10" t="s">
        <v>256</v>
      </c>
      <c r="B147" s="10" t="s">
        <v>257</v>
      </c>
      <c r="C147" s="10" t="s">
        <v>43</v>
      </c>
      <c r="D147" s="10" t="s">
        <v>44</v>
      </c>
      <c r="E147" s="10" t="s">
        <v>265</v>
      </c>
      <c r="F147" s="11">
        <v>40000</v>
      </c>
      <c r="G147" s="11">
        <v>5898</v>
      </c>
      <c r="H147" s="12"/>
      <c r="I147" s="12"/>
      <c r="J147" s="12"/>
      <c r="K147" s="11">
        <v>5898</v>
      </c>
    </row>
    <row r="148" spans="1:11" x14ac:dyDescent="0.35">
      <c r="A148" s="10" t="s">
        <v>256</v>
      </c>
      <c r="B148" s="10" t="s">
        <v>257</v>
      </c>
      <c r="C148" s="10" t="s">
        <v>103</v>
      </c>
      <c r="D148" s="10" t="s">
        <v>104</v>
      </c>
      <c r="E148" s="10" t="s">
        <v>266</v>
      </c>
      <c r="F148" s="11">
        <v>51520</v>
      </c>
      <c r="G148" s="11">
        <v>30484</v>
      </c>
      <c r="H148" s="11">
        <v>23639.71</v>
      </c>
      <c r="I148" s="12"/>
      <c r="J148" s="12"/>
      <c r="K148" s="11">
        <v>6844.29</v>
      </c>
    </row>
    <row r="149" spans="1:11" x14ac:dyDescent="0.35">
      <c r="A149" s="10" t="s">
        <v>256</v>
      </c>
      <c r="B149" s="10" t="s">
        <v>257</v>
      </c>
      <c r="C149" s="10" t="s">
        <v>173</v>
      </c>
      <c r="D149" s="10" t="s">
        <v>174</v>
      </c>
      <c r="E149" s="10" t="s">
        <v>267</v>
      </c>
      <c r="F149" s="11">
        <v>139000</v>
      </c>
      <c r="G149" s="11">
        <v>246500</v>
      </c>
      <c r="H149" s="11">
        <v>231258.61</v>
      </c>
      <c r="I149" s="11">
        <v>0</v>
      </c>
      <c r="J149" s="11">
        <v>11024.51</v>
      </c>
      <c r="K149" s="11">
        <v>4216.8800000000101</v>
      </c>
    </row>
    <row r="150" spans="1:11" x14ac:dyDescent="0.35">
      <c r="A150" s="10" t="s">
        <v>256</v>
      </c>
      <c r="B150" s="10" t="s">
        <v>257</v>
      </c>
      <c r="C150" s="10" t="s">
        <v>154</v>
      </c>
      <c r="D150" s="10" t="s">
        <v>155</v>
      </c>
      <c r="E150" s="10" t="s">
        <v>268</v>
      </c>
      <c r="F150" s="11">
        <v>4000</v>
      </c>
      <c r="G150" s="11">
        <v>500</v>
      </c>
      <c r="H150" s="12"/>
      <c r="I150" s="12"/>
      <c r="J150" s="12"/>
      <c r="K150" s="11">
        <v>500</v>
      </c>
    </row>
    <row r="151" spans="1:11" x14ac:dyDescent="0.35">
      <c r="A151" s="10" t="s">
        <v>256</v>
      </c>
      <c r="B151" s="10" t="s">
        <v>257</v>
      </c>
      <c r="C151" s="10" t="s">
        <v>176</v>
      </c>
      <c r="D151" s="10" t="s">
        <v>177</v>
      </c>
      <c r="E151" s="10" t="s">
        <v>269</v>
      </c>
      <c r="F151" s="11">
        <v>12000</v>
      </c>
      <c r="G151" s="11">
        <v>12000</v>
      </c>
      <c r="H151" s="11">
        <v>11500</v>
      </c>
      <c r="I151" s="11">
        <v>0</v>
      </c>
      <c r="J151" s="11">
        <v>0</v>
      </c>
      <c r="K151" s="11">
        <v>500</v>
      </c>
    </row>
    <row r="152" spans="1:11" x14ac:dyDescent="0.35">
      <c r="A152" s="10" t="s">
        <v>270</v>
      </c>
      <c r="B152" s="10" t="s">
        <v>271</v>
      </c>
      <c r="C152" s="10" t="s">
        <v>16</v>
      </c>
      <c r="D152" s="10" t="s">
        <v>17</v>
      </c>
      <c r="E152" s="10" t="s">
        <v>272</v>
      </c>
      <c r="F152" s="11">
        <v>3000</v>
      </c>
      <c r="G152" s="11">
        <v>0</v>
      </c>
      <c r="H152" s="12"/>
      <c r="I152" s="12"/>
      <c r="J152" s="12"/>
      <c r="K152" s="11">
        <v>0</v>
      </c>
    </row>
    <row r="153" spans="1:11" x14ac:dyDescent="0.35">
      <c r="A153" s="10" t="s">
        <v>270</v>
      </c>
      <c r="B153" s="10" t="s">
        <v>271</v>
      </c>
      <c r="C153" s="10" t="s">
        <v>31</v>
      </c>
      <c r="D153" s="10" t="s">
        <v>32</v>
      </c>
      <c r="E153" s="10" t="s">
        <v>273</v>
      </c>
      <c r="F153" s="11">
        <v>10000</v>
      </c>
      <c r="G153" s="11">
        <v>10000</v>
      </c>
      <c r="H153" s="12"/>
      <c r="I153" s="12"/>
      <c r="J153" s="12"/>
      <c r="K153" s="11">
        <v>10000</v>
      </c>
    </row>
    <row r="154" spans="1:11" x14ac:dyDescent="0.35">
      <c r="A154" s="10" t="s">
        <v>270</v>
      </c>
      <c r="B154" s="10" t="s">
        <v>271</v>
      </c>
      <c r="C154" s="10" t="s">
        <v>274</v>
      </c>
      <c r="D154" s="10" t="s">
        <v>275</v>
      </c>
      <c r="E154" s="10" t="s">
        <v>276</v>
      </c>
      <c r="F154" s="11">
        <v>30000</v>
      </c>
      <c r="G154" s="11">
        <v>30000</v>
      </c>
      <c r="H154" s="12"/>
      <c r="I154" s="11">
        <v>0</v>
      </c>
      <c r="J154" s="11">
        <v>29766.77</v>
      </c>
      <c r="K154" s="11">
        <v>233.23</v>
      </c>
    </row>
    <row r="155" spans="1:11" x14ac:dyDescent="0.35">
      <c r="A155" s="10" t="s">
        <v>270</v>
      </c>
      <c r="B155" s="10" t="s">
        <v>271</v>
      </c>
      <c r="C155" s="10" t="s">
        <v>183</v>
      </c>
      <c r="D155" s="10" t="s">
        <v>184</v>
      </c>
      <c r="E155" s="10" t="s">
        <v>277</v>
      </c>
      <c r="F155" s="11">
        <v>12000</v>
      </c>
      <c r="G155" s="11">
        <v>12000</v>
      </c>
      <c r="H155" s="11">
        <v>735</v>
      </c>
      <c r="I155" s="12"/>
      <c r="J155" s="12"/>
      <c r="K155" s="11">
        <v>11265</v>
      </c>
    </row>
    <row r="156" spans="1:11" x14ac:dyDescent="0.35">
      <c r="A156" s="10" t="s">
        <v>270</v>
      </c>
      <c r="B156" s="10" t="s">
        <v>271</v>
      </c>
      <c r="C156" s="10" t="s">
        <v>72</v>
      </c>
      <c r="D156" s="10" t="s">
        <v>73</v>
      </c>
      <c r="E156" s="10" t="s">
        <v>278</v>
      </c>
      <c r="F156" s="11">
        <v>480000</v>
      </c>
      <c r="G156" s="11">
        <v>460000</v>
      </c>
      <c r="H156" s="11">
        <v>423351.56</v>
      </c>
      <c r="I156" s="12"/>
      <c r="J156" s="12"/>
      <c r="K156" s="11">
        <v>36648.44</v>
      </c>
    </row>
    <row r="157" spans="1:11" x14ac:dyDescent="0.35">
      <c r="A157" s="10" t="s">
        <v>270</v>
      </c>
      <c r="B157" s="10" t="s">
        <v>271</v>
      </c>
      <c r="C157" s="10" t="s">
        <v>97</v>
      </c>
      <c r="D157" s="10" t="s">
        <v>98</v>
      </c>
      <c r="E157" s="10" t="s">
        <v>279</v>
      </c>
      <c r="F157" s="11">
        <v>630000</v>
      </c>
      <c r="G157" s="11">
        <v>291005</v>
      </c>
      <c r="H157" s="11">
        <v>194608.6</v>
      </c>
      <c r="I157" s="12"/>
      <c r="J157" s="12"/>
      <c r="K157" s="11">
        <v>96396.4</v>
      </c>
    </row>
    <row r="158" spans="1:11" x14ac:dyDescent="0.35">
      <c r="A158" s="10" t="s">
        <v>270</v>
      </c>
      <c r="B158" s="10" t="s">
        <v>271</v>
      </c>
      <c r="C158" s="10" t="s">
        <v>37</v>
      </c>
      <c r="D158" s="10" t="s">
        <v>38</v>
      </c>
      <c r="E158" s="10" t="s">
        <v>280</v>
      </c>
      <c r="F158" s="11">
        <v>54000</v>
      </c>
      <c r="G158" s="11">
        <v>54000</v>
      </c>
      <c r="H158" s="11">
        <v>11997.25</v>
      </c>
      <c r="I158" s="11">
        <v>8800</v>
      </c>
      <c r="J158" s="11">
        <v>0</v>
      </c>
      <c r="K158" s="11">
        <v>33202.75</v>
      </c>
    </row>
    <row r="159" spans="1:11" x14ac:dyDescent="0.35">
      <c r="A159" s="10" t="s">
        <v>270</v>
      </c>
      <c r="B159" s="10" t="s">
        <v>271</v>
      </c>
      <c r="C159" s="10" t="s">
        <v>40</v>
      </c>
      <c r="D159" s="10" t="s">
        <v>41</v>
      </c>
      <c r="E159" s="10" t="s">
        <v>281</v>
      </c>
      <c r="F159" s="11">
        <v>210000</v>
      </c>
      <c r="G159" s="11">
        <v>185000</v>
      </c>
      <c r="H159" s="11">
        <v>177089.64</v>
      </c>
      <c r="I159" s="11">
        <v>0</v>
      </c>
      <c r="J159" s="11">
        <v>0</v>
      </c>
      <c r="K159" s="11">
        <v>7910.3600000000197</v>
      </c>
    </row>
    <row r="160" spans="1:11" x14ac:dyDescent="0.35">
      <c r="A160" s="10" t="s">
        <v>270</v>
      </c>
      <c r="B160" s="10" t="s">
        <v>271</v>
      </c>
      <c r="C160" s="10" t="s">
        <v>169</v>
      </c>
      <c r="D160" s="10" t="s">
        <v>170</v>
      </c>
      <c r="E160" s="10" t="s">
        <v>282</v>
      </c>
      <c r="F160" s="11">
        <v>80000</v>
      </c>
      <c r="G160" s="11">
        <v>94500</v>
      </c>
      <c r="H160" s="11">
        <v>20000</v>
      </c>
      <c r="I160" s="11">
        <v>0</v>
      </c>
      <c r="J160" s="11">
        <v>74500</v>
      </c>
      <c r="K160" s="11">
        <v>0</v>
      </c>
    </row>
    <row r="161" spans="1:11" x14ac:dyDescent="0.35">
      <c r="A161" s="10" t="s">
        <v>270</v>
      </c>
      <c r="B161" s="10" t="s">
        <v>271</v>
      </c>
      <c r="C161" s="10" t="s">
        <v>103</v>
      </c>
      <c r="D161" s="10" t="s">
        <v>104</v>
      </c>
      <c r="E161" s="10" t="s">
        <v>283</v>
      </c>
      <c r="F161" s="11">
        <v>336000</v>
      </c>
      <c r="G161" s="11">
        <v>199569</v>
      </c>
      <c r="H161" s="11">
        <v>181584.71</v>
      </c>
      <c r="I161" s="12"/>
      <c r="J161" s="12"/>
      <c r="K161" s="11">
        <v>17984.29</v>
      </c>
    </row>
    <row r="162" spans="1:11" x14ac:dyDescent="0.35">
      <c r="A162" s="10" t="s">
        <v>270</v>
      </c>
      <c r="B162" s="10" t="s">
        <v>271</v>
      </c>
      <c r="C162" s="10" t="s">
        <v>173</v>
      </c>
      <c r="D162" s="10" t="s">
        <v>174</v>
      </c>
      <c r="E162" s="10" t="s">
        <v>284</v>
      </c>
      <c r="F162" s="11">
        <v>264000</v>
      </c>
      <c r="G162" s="11">
        <v>297500</v>
      </c>
      <c r="H162" s="11">
        <v>269762.05</v>
      </c>
      <c r="I162" s="11">
        <v>0</v>
      </c>
      <c r="J162" s="11">
        <v>21000</v>
      </c>
      <c r="K162" s="11">
        <v>6737.9499999999598</v>
      </c>
    </row>
    <row r="163" spans="1:11" x14ac:dyDescent="0.35">
      <c r="A163" s="10" t="s">
        <v>285</v>
      </c>
      <c r="B163" s="10" t="s">
        <v>286</v>
      </c>
      <c r="C163" s="10" t="s">
        <v>16</v>
      </c>
      <c r="D163" s="10" t="s">
        <v>17</v>
      </c>
      <c r="E163" s="10" t="s">
        <v>287</v>
      </c>
      <c r="F163" s="11">
        <v>20000</v>
      </c>
      <c r="G163" s="11">
        <v>20000</v>
      </c>
      <c r="H163" s="12"/>
      <c r="I163" s="12"/>
      <c r="J163" s="12"/>
      <c r="K163" s="11">
        <v>20000</v>
      </c>
    </row>
    <row r="164" spans="1:11" x14ac:dyDescent="0.35">
      <c r="A164" s="10" t="s">
        <v>285</v>
      </c>
      <c r="B164" s="10" t="s">
        <v>286</v>
      </c>
      <c r="C164" s="10" t="s">
        <v>31</v>
      </c>
      <c r="D164" s="10" t="s">
        <v>32</v>
      </c>
      <c r="E164" s="10" t="s">
        <v>288</v>
      </c>
      <c r="F164" s="11">
        <v>30000</v>
      </c>
      <c r="G164" s="11">
        <v>29700</v>
      </c>
      <c r="H164" s="11">
        <v>6485</v>
      </c>
      <c r="I164" s="12"/>
      <c r="J164" s="12"/>
      <c r="K164" s="11">
        <v>23215</v>
      </c>
    </row>
    <row r="165" spans="1:11" x14ac:dyDescent="0.35">
      <c r="A165" s="10" t="s">
        <v>285</v>
      </c>
      <c r="B165" s="10" t="s">
        <v>286</v>
      </c>
      <c r="C165" s="10" t="s">
        <v>183</v>
      </c>
      <c r="D165" s="10" t="s">
        <v>184</v>
      </c>
      <c r="E165" s="10" t="s">
        <v>289</v>
      </c>
      <c r="F165" s="11">
        <v>120000</v>
      </c>
      <c r="G165" s="11">
        <v>33149</v>
      </c>
      <c r="H165" s="12"/>
      <c r="I165" s="12"/>
      <c r="J165" s="12"/>
      <c r="K165" s="11">
        <v>33149</v>
      </c>
    </row>
    <row r="166" spans="1:11" x14ac:dyDescent="0.35">
      <c r="A166" s="10" t="s">
        <v>285</v>
      </c>
      <c r="B166" s="10" t="s">
        <v>286</v>
      </c>
      <c r="C166" s="10" t="s">
        <v>97</v>
      </c>
      <c r="D166" s="10" t="s">
        <v>98</v>
      </c>
      <c r="E166" s="10" t="s">
        <v>290</v>
      </c>
      <c r="F166" s="11">
        <v>105000</v>
      </c>
      <c r="G166" s="11">
        <v>54987</v>
      </c>
      <c r="H166" s="11">
        <v>24053.21</v>
      </c>
      <c r="I166" s="12"/>
      <c r="J166" s="12"/>
      <c r="K166" s="11">
        <v>30933.79</v>
      </c>
    </row>
    <row r="167" spans="1:11" x14ac:dyDescent="0.35">
      <c r="A167" s="10" t="s">
        <v>285</v>
      </c>
      <c r="B167" s="10" t="s">
        <v>286</v>
      </c>
      <c r="C167" s="10" t="s">
        <v>37</v>
      </c>
      <c r="D167" s="10" t="s">
        <v>38</v>
      </c>
      <c r="E167" s="10" t="s">
        <v>291</v>
      </c>
      <c r="F167" s="11">
        <v>3000</v>
      </c>
      <c r="G167" s="11">
        <v>3000</v>
      </c>
      <c r="H167" s="12"/>
      <c r="I167" s="12"/>
      <c r="J167" s="12"/>
      <c r="K167" s="11">
        <v>3000</v>
      </c>
    </row>
    <row r="168" spans="1:11" x14ac:dyDescent="0.35">
      <c r="A168" s="10" t="s">
        <v>285</v>
      </c>
      <c r="B168" s="10" t="s">
        <v>286</v>
      </c>
      <c r="C168" s="10" t="s">
        <v>40</v>
      </c>
      <c r="D168" s="10" t="s">
        <v>41</v>
      </c>
      <c r="E168" s="10" t="s">
        <v>292</v>
      </c>
      <c r="F168" s="11">
        <v>146983</v>
      </c>
      <c r="G168" s="11">
        <v>146983</v>
      </c>
      <c r="H168" s="11">
        <v>33069.589999999997</v>
      </c>
      <c r="I168" s="11">
        <v>61004.25</v>
      </c>
      <c r="J168" s="11">
        <v>49585.5</v>
      </c>
      <c r="K168" s="11">
        <v>3323.66</v>
      </c>
    </row>
    <row r="169" spans="1:11" x14ac:dyDescent="0.35">
      <c r="A169" s="10" t="s">
        <v>285</v>
      </c>
      <c r="B169" s="10" t="s">
        <v>286</v>
      </c>
      <c r="C169" s="10" t="s">
        <v>43</v>
      </c>
      <c r="D169" s="10" t="s">
        <v>44</v>
      </c>
      <c r="E169" s="10" t="s">
        <v>293</v>
      </c>
      <c r="F169" s="11">
        <v>44592</v>
      </c>
      <c r="G169" s="11">
        <v>12617</v>
      </c>
      <c r="H169" s="11">
        <v>9042.6200000000008</v>
      </c>
      <c r="I169" s="12"/>
      <c r="J169" s="12"/>
      <c r="K169" s="11">
        <v>3574.38</v>
      </c>
    </row>
    <row r="170" spans="1:11" x14ac:dyDescent="0.35">
      <c r="A170" s="10" t="s">
        <v>285</v>
      </c>
      <c r="B170" s="10" t="s">
        <v>286</v>
      </c>
      <c r="C170" s="10" t="s">
        <v>103</v>
      </c>
      <c r="D170" s="10" t="s">
        <v>104</v>
      </c>
      <c r="E170" s="10" t="s">
        <v>294</v>
      </c>
      <c r="F170" s="11">
        <v>70000</v>
      </c>
      <c r="G170" s="11">
        <v>63220</v>
      </c>
      <c r="H170" s="11">
        <v>52403.38</v>
      </c>
      <c r="I170" s="12"/>
      <c r="J170" s="12"/>
      <c r="K170" s="11">
        <v>10816.62</v>
      </c>
    </row>
    <row r="171" spans="1:11" x14ac:dyDescent="0.35">
      <c r="A171" s="10" t="s">
        <v>285</v>
      </c>
      <c r="B171" s="10" t="s">
        <v>286</v>
      </c>
      <c r="C171" s="10" t="s">
        <v>173</v>
      </c>
      <c r="D171" s="10" t="s">
        <v>174</v>
      </c>
      <c r="E171" s="10" t="s">
        <v>295</v>
      </c>
      <c r="F171" s="11">
        <v>197477</v>
      </c>
      <c r="G171" s="11">
        <v>100283</v>
      </c>
      <c r="H171" s="11">
        <v>25018.639999999999</v>
      </c>
      <c r="I171" s="11">
        <v>0</v>
      </c>
      <c r="J171" s="11">
        <v>47935.5</v>
      </c>
      <c r="K171" s="11">
        <v>27328.86</v>
      </c>
    </row>
    <row r="172" spans="1:11" x14ac:dyDescent="0.35">
      <c r="A172" s="10" t="s">
        <v>285</v>
      </c>
      <c r="B172" s="10" t="s">
        <v>286</v>
      </c>
      <c r="C172" s="10" t="s">
        <v>154</v>
      </c>
      <c r="D172" s="10" t="s">
        <v>155</v>
      </c>
      <c r="E172" s="10" t="s">
        <v>296</v>
      </c>
      <c r="F172" s="11">
        <v>5742</v>
      </c>
      <c r="G172" s="11">
        <v>5742</v>
      </c>
      <c r="H172" s="11">
        <v>3328</v>
      </c>
      <c r="I172" s="11">
        <v>0</v>
      </c>
      <c r="J172" s="11">
        <v>0</v>
      </c>
      <c r="K172" s="11">
        <v>2414</v>
      </c>
    </row>
    <row r="173" spans="1:11" x14ac:dyDescent="0.35">
      <c r="A173" s="10" t="s">
        <v>285</v>
      </c>
      <c r="B173" s="10" t="s">
        <v>286</v>
      </c>
      <c r="C173" s="10" t="s">
        <v>176</v>
      </c>
      <c r="D173" s="10" t="s">
        <v>177</v>
      </c>
      <c r="E173" s="10" t="s">
        <v>297</v>
      </c>
      <c r="F173" s="11">
        <v>9640</v>
      </c>
      <c r="G173" s="11">
        <v>9640</v>
      </c>
      <c r="H173" s="11">
        <v>4897.28</v>
      </c>
      <c r="I173" s="12"/>
      <c r="J173" s="12"/>
      <c r="K173" s="11">
        <v>4742.72</v>
      </c>
    </row>
    <row r="174" spans="1:11" x14ac:dyDescent="0.35">
      <c r="A174" s="10" t="s">
        <v>298</v>
      </c>
      <c r="B174" s="10" t="s">
        <v>299</v>
      </c>
      <c r="C174" s="10" t="s">
        <v>31</v>
      </c>
      <c r="D174" s="10" t="s">
        <v>32</v>
      </c>
      <c r="E174" s="10" t="s">
        <v>300</v>
      </c>
      <c r="F174" s="11">
        <v>16000</v>
      </c>
      <c r="G174" s="11">
        <v>19448</v>
      </c>
      <c r="H174" s="11">
        <v>8764.2199999999993</v>
      </c>
      <c r="I174" s="12"/>
      <c r="J174" s="12"/>
      <c r="K174" s="11">
        <v>10683.78</v>
      </c>
    </row>
    <row r="175" spans="1:11" x14ac:dyDescent="0.35">
      <c r="A175" s="10" t="s">
        <v>298</v>
      </c>
      <c r="B175" s="10" t="s">
        <v>299</v>
      </c>
      <c r="C175" s="10" t="s">
        <v>183</v>
      </c>
      <c r="D175" s="10" t="s">
        <v>184</v>
      </c>
      <c r="E175" s="10" t="s">
        <v>301</v>
      </c>
      <c r="F175" s="11">
        <v>25000</v>
      </c>
      <c r="G175" s="11">
        <v>25000</v>
      </c>
      <c r="H175" s="11">
        <v>9701</v>
      </c>
      <c r="I175" s="12"/>
      <c r="J175" s="12"/>
      <c r="K175" s="11">
        <v>15299</v>
      </c>
    </row>
    <row r="176" spans="1:11" x14ac:dyDescent="0.35">
      <c r="A176" s="10" t="s">
        <v>298</v>
      </c>
      <c r="B176" s="10" t="s">
        <v>299</v>
      </c>
      <c r="C176" s="10" t="s">
        <v>72</v>
      </c>
      <c r="D176" s="10" t="s">
        <v>73</v>
      </c>
      <c r="E176" s="10" t="s">
        <v>302</v>
      </c>
      <c r="F176" s="11">
        <v>30000</v>
      </c>
      <c r="G176" s="11">
        <v>0</v>
      </c>
      <c r="H176" s="12"/>
      <c r="I176" s="12"/>
      <c r="J176" s="12"/>
      <c r="K176" s="11">
        <v>0</v>
      </c>
    </row>
    <row r="177" spans="1:11" x14ac:dyDescent="0.35">
      <c r="A177" s="10" t="s">
        <v>298</v>
      </c>
      <c r="B177" s="10" t="s">
        <v>299</v>
      </c>
      <c r="C177" s="10" t="s">
        <v>97</v>
      </c>
      <c r="D177" s="10" t="s">
        <v>98</v>
      </c>
      <c r="E177" s="10" t="s">
        <v>303</v>
      </c>
      <c r="F177" s="11">
        <v>150000</v>
      </c>
      <c r="G177" s="11">
        <v>93739</v>
      </c>
      <c r="H177" s="11">
        <v>72098.259999999995</v>
      </c>
      <c r="I177" s="12"/>
      <c r="J177" s="12"/>
      <c r="K177" s="11">
        <v>21640.74</v>
      </c>
    </row>
    <row r="178" spans="1:11" x14ac:dyDescent="0.35">
      <c r="A178" s="10" t="s">
        <v>298</v>
      </c>
      <c r="B178" s="10" t="s">
        <v>299</v>
      </c>
      <c r="C178" s="10" t="s">
        <v>37</v>
      </c>
      <c r="D178" s="10" t="s">
        <v>38</v>
      </c>
      <c r="E178" s="10" t="s">
        <v>304</v>
      </c>
      <c r="F178" s="11">
        <v>8500</v>
      </c>
      <c r="G178" s="11">
        <v>8500</v>
      </c>
      <c r="H178" s="11">
        <v>4578.37</v>
      </c>
      <c r="I178" s="12"/>
      <c r="J178" s="12"/>
      <c r="K178" s="11">
        <v>3921.63</v>
      </c>
    </row>
    <row r="179" spans="1:11" x14ac:dyDescent="0.35">
      <c r="A179" s="10" t="s">
        <v>298</v>
      </c>
      <c r="B179" s="10" t="s">
        <v>299</v>
      </c>
      <c r="C179" s="10" t="s">
        <v>40</v>
      </c>
      <c r="D179" s="10" t="s">
        <v>41</v>
      </c>
      <c r="E179" s="10" t="s">
        <v>305</v>
      </c>
      <c r="F179" s="11">
        <v>210200</v>
      </c>
      <c r="G179" s="11">
        <v>210200</v>
      </c>
      <c r="H179" s="11">
        <v>201762.42</v>
      </c>
      <c r="I179" s="11">
        <v>0</v>
      </c>
      <c r="J179" s="11">
        <v>0</v>
      </c>
      <c r="K179" s="11">
        <v>8437.5800000000199</v>
      </c>
    </row>
    <row r="180" spans="1:11" x14ac:dyDescent="0.35">
      <c r="A180" s="10" t="s">
        <v>298</v>
      </c>
      <c r="B180" s="10" t="s">
        <v>299</v>
      </c>
      <c r="C180" s="10" t="s">
        <v>169</v>
      </c>
      <c r="D180" s="10" t="s">
        <v>170</v>
      </c>
      <c r="E180" s="10" t="s">
        <v>306</v>
      </c>
      <c r="F180" s="11">
        <v>305000</v>
      </c>
      <c r="G180" s="11">
        <v>305000</v>
      </c>
      <c r="H180" s="11">
        <v>80402</v>
      </c>
      <c r="I180" s="11">
        <v>0</v>
      </c>
      <c r="J180" s="11">
        <v>212412</v>
      </c>
      <c r="K180" s="11">
        <v>12186</v>
      </c>
    </row>
    <row r="181" spans="1:11" x14ac:dyDescent="0.35">
      <c r="A181" s="10" t="s">
        <v>298</v>
      </c>
      <c r="B181" s="10" t="s">
        <v>299</v>
      </c>
      <c r="C181" s="10" t="s">
        <v>192</v>
      </c>
      <c r="D181" s="10" t="s">
        <v>193</v>
      </c>
      <c r="E181" s="10" t="s">
        <v>307</v>
      </c>
      <c r="F181" s="11">
        <v>10000</v>
      </c>
      <c r="G181" s="11">
        <v>10000</v>
      </c>
      <c r="H181" s="12"/>
      <c r="I181" s="12"/>
      <c r="J181" s="12"/>
      <c r="K181" s="11">
        <v>10000</v>
      </c>
    </row>
    <row r="182" spans="1:11" x14ac:dyDescent="0.35">
      <c r="A182" s="10" t="s">
        <v>298</v>
      </c>
      <c r="B182" s="10" t="s">
        <v>299</v>
      </c>
      <c r="C182" s="10" t="s">
        <v>103</v>
      </c>
      <c r="D182" s="10" t="s">
        <v>104</v>
      </c>
      <c r="E182" s="10" t="s">
        <v>308</v>
      </c>
      <c r="F182" s="11">
        <v>50000</v>
      </c>
      <c r="G182" s="11">
        <v>57086</v>
      </c>
      <c r="H182" s="11">
        <v>36148</v>
      </c>
      <c r="I182" s="12"/>
      <c r="J182" s="12"/>
      <c r="K182" s="11">
        <v>20938</v>
      </c>
    </row>
    <row r="183" spans="1:11" x14ac:dyDescent="0.35">
      <c r="A183" s="10" t="s">
        <v>298</v>
      </c>
      <c r="B183" s="10" t="s">
        <v>299</v>
      </c>
      <c r="C183" s="10" t="s">
        <v>173</v>
      </c>
      <c r="D183" s="10" t="s">
        <v>174</v>
      </c>
      <c r="E183" s="10" t="s">
        <v>309</v>
      </c>
      <c r="F183" s="11">
        <v>100000</v>
      </c>
      <c r="G183" s="11">
        <v>100000</v>
      </c>
      <c r="H183" s="11">
        <v>70457.740000000005</v>
      </c>
      <c r="I183" s="11">
        <v>0</v>
      </c>
      <c r="J183" s="11">
        <v>3976.22</v>
      </c>
      <c r="K183" s="11">
        <v>25566.04</v>
      </c>
    </row>
    <row r="184" spans="1:11" x14ac:dyDescent="0.35">
      <c r="A184" s="10" t="s">
        <v>298</v>
      </c>
      <c r="B184" s="10" t="s">
        <v>299</v>
      </c>
      <c r="C184" s="10" t="s">
        <v>154</v>
      </c>
      <c r="D184" s="10" t="s">
        <v>155</v>
      </c>
      <c r="E184" s="10" t="s">
        <v>310</v>
      </c>
      <c r="F184" s="11">
        <v>7500</v>
      </c>
      <c r="G184" s="11">
        <v>0</v>
      </c>
      <c r="H184" s="12"/>
      <c r="I184" s="12"/>
      <c r="J184" s="12"/>
      <c r="K184" s="11">
        <v>0</v>
      </c>
    </row>
    <row r="185" spans="1:11" x14ac:dyDescent="0.35">
      <c r="A185" s="10" t="s">
        <v>298</v>
      </c>
      <c r="B185" s="10" t="s">
        <v>299</v>
      </c>
      <c r="C185" s="10" t="s">
        <v>176</v>
      </c>
      <c r="D185" s="10" t="s">
        <v>177</v>
      </c>
      <c r="E185" s="10" t="s">
        <v>311</v>
      </c>
      <c r="F185" s="11">
        <v>60000</v>
      </c>
      <c r="G185" s="11">
        <v>64052</v>
      </c>
      <c r="H185" s="11">
        <v>43500</v>
      </c>
      <c r="I185" s="11">
        <v>0</v>
      </c>
      <c r="J185" s="11">
        <v>18216</v>
      </c>
      <c r="K185" s="11">
        <v>2336</v>
      </c>
    </row>
    <row r="186" spans="1:11" x14ac:dyDescent="0.35">
      <c r="A186" s="10" t="s">
        <v>312</v>
      </c>
      <c r="B186" s="10" t="s">
        <v>313</v>
      </c>
      <c r="C186" s="10" t="s">
        <v>16</v>
      </c>
      <c r="D186" s="10" t="s">
        <v>17</v>
      </c>
      <c r="E186" s="10" t="s">
        <v>314</v>
      </c>
      <c r="F186" s="11">
        <v>0</v>
      </c>
      <c r="G186" s="11">
        <v>65692</v>
      </c>
      <c r="H186" s="11">
        <v>64718.46</v>
      </c>
      <c r="I186" s="12"/>
      <c r="J186" s="12"/>
      <c r="K186" s="11">
        <v>973.54000000000099</v>
      </c>
    </row>
    <row r="187" spans="1:11" x14ac:dyDescent="0.35">
      <c r="A187" s="10" t="s">
        <v>312</v>
      </c>
      <c r="B187" s="10" t="s">
        <v>313</v>
      </c>
      <c r="C187" s="10" t="s">
        <v>28</v>
      </c>
      <c r="D187" s="10" t="s">
        <v>29</v>
      </c>
      <c r="E187" s="10" t="s">
        <v>315</v>
      </c>
      <c r="F187" s="11">
        <v>560000</v>
      </c>
      <c r="G187" s="11">
        <v>184887</v>
      </c>
      <c r="H187" s="11">
        <v>118354.26</v>
      </c>
      <c r="I187" s="12"/>
      <c r="J187" s="12"/>
      <c r="K187" s="11">
        <v>66532.740000000005</v>
      </c>
    </row>
    <row r="188" spans="1:11" x14ac:dyDescent="0.35">
      <c r="A188" s="10" t="s">
        <v>312</v>
      </c>
      <c r="B188" s="10" t="s">
        <v>313</v>
      </c>
      <c r="C188" s="10" t="s">
        <v>31</v>
      </c>
      <c r="D188" s="10" t="s">
        <v>32</v>
      </c>
      <c r="E188" s="10" t="s">
        <v>316</v>
      </c>
      <c r="F188" s="11">
        <v>15000</v>
      </c>
      <c r="G188" s="11">
        <v>15000</v>
      </c>
      <c r="H188" s="11">
        <v>22966.65</v>
      </c>
      <c r="I188" s="12"/>
      <c r="J188" s="12"/>
      <c r="K188" s="11">
        <v>26783.15</v>
      </c>
    </row>
    <row r="189" spans="1:11" x14ac:dyDescent="0.35">
      <c r="A189" s="10" t="s">
        <v>312</v>
      </c>
      <c r="B189" s="10" t="s">
        <v>313</v>
      </c>
      <c r="C189" s="10" t="s">
        <v>34</v>
      </c>
      <c r="D189" s="10" t="s">
        <v>35</v>
      </c>
      <c r="E189" s="10" t="s">
        <v>317</v>
      </c>
      <c r="F189" s="11">
        <v>15000</v>
      </c>
      <c r="G189" s="11">
        <v>19800</v>
      </c>
      <c r="H189" s="11">
        <v>18757.900000000001</v>
      </c>
      <c r="I189" s="12"/>
      <c r="J189" s="12"/>
      <c r="K189" s="11">
        <v>1042.0999999999999</v>
      </c>
    </row>
    <row r="190" spans="1:11" x14ac:dyDescent="0.35">
      <c r="A190" s="10" t="s">
        <v>312</v>
      </c>
      <c r="B190" s="10" t="s">
        <v>313</v>
      </c>
      <c r="C190" s="10" t="s">
        <v>97</v>
      </c>
      <c r="D190" s="10" t="s">
        <v>98</v>
      </c>
      <c r="E190" s="10" t="s">
        <v>318</v>
      </c>
      <c r="F190" s="11">
        <v>50000</v>
      </c>
      <c r="G190" s="11">
        <v>32848</v>
      </c>
      <c r="H190" s="11">
        <v>30551.57</v>
      </c>
      <c r="I190" s="12"/>
      <c r="J190" s="12"/>
      <c r="K190" s="11">
        <v>2296.4299999999998</v>
      </c>
    </row>
    <row r="191" spans="1:11" x14ac:dyDescent="0.35">
      <c r="A191" s="10" t="s">
        <v>312</v>
      </c>
      <c r="B191" s="10" t="s">
        <v>313</v>
      </c>
      <c r="C191" s="10" t="s">
        <v>61</v>
      </c>
      <c r="D191" s="10" t="s">
        <v>62</v>
      </c>
      <c r="E191" s="10" t="s">
        <v>319</v>
      </c>
      <c r="F191" s="11">
        <v>12000</v>
      </c>
      <c r="G191" s="11">
        <v>20175</v>
      </c>
      <c r="H191" s="11">
        <v>20174.88</v>
      </c>
      <c r="I191" s="12"/>
      <c r="J191" s="12"/>
      <c r="K191" s="11">
        <v>0.11999999999898101</v>
      </c>
    </row>
    <row r="192" spans="1:11" x14ac:dyDescent="0.35">
      <c r="A192" s="10" t="s">
        <v>312</v>
      </c>
      <c r="B192" s="10" t="s">
        <v>313</v>
      </c>
      <c r="C192" s="10" t="s">
        <v>169</v>
      </c>
      <c r="D192" s="10" t="s">
        <v>170</v>
      </c>
      <c r="E192" s="10" t="s">
        <v>320</v>
      </c>
      <c r="F192" s="11">
        <v>200000</v>
      </c>
      <c r="G192" s="11">
        <v>40000</v>
      </c>
      <c r="H192" s="12"/>
      <c r="I192" s="12"/>
      <c r="J192" s="12"/>
      <c r="K192" s="11">
        <v>40000</v>
      </c>
    </row>
    <row r="193" spans="1:11" x14ac:dyDescent="0.35">
      <c r="A193" s="10" t="s">
        <v>312</v>
      </c>
      <c r="B193" s="10" t="s">
        <v>313</v>
      </c>
      <c r="C193" s="10" t="s">
        <v>103</v>
      </c>
      <c r="D193" s="10" t="s">
        <v>104</v>
      </c>
      <c r="E193" s="10" t="s">
        <v>321</v>
      </c>
      <c r="F193" s="11">
        <v>30000</v>
      </c>
      <c r="G193" s="11">
        <v>28100</v>
      </c>
      <c r="H193" s="11">
        <v>28033.25</v>
      </c>
      <c r="I193" s="12"/>
      <c r="J193" s="12"/>
      <c r="K193" s="11">
        <v>66.75</v>
      </c>
    </row>
    <row r="194" spans="1:11" x14ac:dyDescent="0.35">
      <c r="A194" s="10" t="s">
        <v>322</v>
      </c>
      <c r="B194" s="10" t="s">
        <v>323</v>
      </c>
      <c r="C194" s="10" t="s">
        <v>144</v>
      </c>
      <c r="D194" s="10" t="s">
        <v>145</v>
      </c>
      <c r="E194" s="10" t="s">
        <v>324</v>
      </c>
      <c r="F194" s="11">
        <v>162000</v>
      </c>
      <c r="G194" s="11">
        <v>23813</v>
      </c>
      <c r="H194" s="12"/>
      <c r="I194" s="12"/>
      <c r="J194" s="12"/>
      <c r="K194" s="11">
        <v>23813</v>
      </c>
    </row>
    <row r="195" spans="1:11" x14ac:dyDescent="0.35">
      <c r="A195" s="10" t="s">
        <v>322</v>
      </c>
      <c r="B195" s="10" t="s">
        <v>323</v>
      </c>
      <c r="C195" s="10" t="s">
        <v>97</v>
      </c>
      <c r="D195" s="10" t="s">
        <v>98</v>
      </c>
      <c r="E195" s="10" t="s">
        <v>325</v>
      </c>
      <c r="F195" s="11">
        <v>120000</v>
      </c>
      <c r="G195" s="11">
        <v>75704</v>
      </c>
      <c r="H195" s="11">
        <v>75704</v>
      </c>
      <c r="I195" s="12"/>
      <c r="J195" s="12"/>
      <c r="K195" s="11">
        <v>0</v>
      </c>
    </row>
    <row r="196" spans="1:11" x14ac:dyDescent="0.35">
      <c r="A196" s="10" t="s">
        <v>322</v>
      </c>
      <c r="B196" s="10" t="s">
        <v>323</v>
      </c>
      <c r="C196" s="10" t="s">
        <v>40</v>
      </c>
      <c r="D196" s="10" t="s">
        <v>41</v>
      </c>
      <c r="E196" s="10" t="s">
        <v>326</v>
      </c>
      <c r="F196" s="11">
        <v>5600</v>
      </c>
      <c r="G196" s="11">
        <v>5600</v>
      </c>
      <c r="H196" s="11">
        <v>1612</v>
      </c>
      <c r="I196" s="12"/>
      <c r="J196" s="12"/>
      <c r="K196" s="11">
        <v>3988</v>
      </c>
    </row>
    <row r="197" spans="1:11" x14ac:dyDescent="0.35">
      <c r="A197" s="10" t="s">
        <v>322</v>
      </c>
      <c r="B197" s="10" t="s">
        <v>323</v>
      </c>
      <c r="C197" s="10" t="s">
        <v>43</v>
      </c>
      <c r="D197" s="10" t="s">
        <v>44</v>
      </c>
      <c r="E197" s="10" t="s">
        <v>327</v>
      </c>
      <c r="F197" s="11">
        <v>0</v>
      </c>
      <c r="G197" s="11">
        <v>12229</v>
      </c>
      <c r="H197" s="11">
        <v>4529</v>
      </c>
      <c r="I197" s="12"/>
      <c r="J197" s="12"/>
      <c r="K197" s="11">
        <v>7700</v>
      </c>
    </row>
    <row r="198" spans="1:11" x14ac:dyDescent="0.35">
      <c r="A198" s="10" t="s">
        <v>322</v>
      </c>
      <c r="B198" s="10" t="s">
        <v>323</v>
      </c>
      <c r="C198" s="10" t="s">
        <v>82</v>
      </c>
      <c r="D198" s="10" t="s">
        <v>83</v>
      </c>
      <c r="E198" s="10" t="s">
        <v>328</v>
      </c>
      <c r="F198" s="11">
        <v>85229</v>
      </c>
      <c r="G198" s="11">
        <v>27742</v>
      </c>
      <c r="H198" s="11">
        <v>13287.9</v>
      </c>
      <c r="I198" s="11">
        <v>0</v>
      </c>
      <c r="J198" s="12"/>
      <c r="K198" s="11">
        <v>14454.1</v>
      </c>
    </row>
    <row r="199" spans="1:11" x14ac:dyDescent="0.35">
      <c r="A199" s="10" t="s">
        <v>322</v>
      </c>
      <c r="B199" s="10" t="s">
        <v>323</v>
      </c>
      <c r="C199" s="10" t="s">
        <v>103</v>
      </c>
      <c r="D199" s="10" t="s">
        <v>104</v>
      </c>
      <c r="E199" s="10" t="s">
        <v>329</v>
      </c>
      <c r="F199" s="11">
        <v>17900</v>
      </c>
      <c r="G199" s="11">
        <v>45384</v>
      </c>
      <c r="H199" s="11">
        <v>13988.2</v>
      </c>
      <c r="I199" s="12"/>
      <c r="J199" s="12"/>
      <c r="K199" s="11">
        <v>31395.8</v>
      </c>
    </row>
    <row r="200" spans="1:11" x14ac:dyDescent="0.35">
      <c r="A200" s="10" t="s">
        <v>330</v>
      </c>
      <c r="B200" s="10" t="s">
        <v>331</v>
      </c>
      <c r="C200" s="10" t="s">
        <v>28</v>
      </c>
      <c r="D200" s="10" t="s">
        <v>29</v>
      </c>
      <c r="E200" s="10" t="s">
        <v>332</v>
      </c>
      <c r="F200" s="11">
        <v>150000</v>
      </c>
      <c r="G200" s="11">
        <v>30000</v>
      </c>
      <c r="H200" s="12"/>
      <c r="I200" s="12"/>
      <c r="J200" s="12"/>
      <c r="K200" s="11">
        <v>30000</v>
      </c>
    </row>
    <row r="201" spans="1:11" x14ac:dyDescent="0.35">
      <c r="A201" s="10" t="s">
        <v>330</v>
      </c>
      <c r="B201" s="10" t="s">
        <v>331</v>
      </c>
      <c r="C201" s="10" t="s">
        <v>67</v>
      </c>
      <c r="D201" s="10" t="s">
        <v>68</v>
      </c>
      <c r="E201" s="10" t="s">
        <v>333</v>
      </c>
      <c r="F201" s="11">
        <v>50000</v>
      </c>
      <c r="G201" s="11">
        <v>23000</v>
      </c>
      <c r="H201" s="12"/>
      <c r="I201" s="12"/>
      <c r="J201" s="12"/>
      <c r="K201" s="11">
        <v>23000</v>
      </c>
    </row>
    <row r="202" spans="1:11" x14ac:dyDescent="0.35">
      <c r="A202" s="10" t="s">
        <v>330</v>
      </c>
      <c r="B202" s="10" t="s">
        <v>331</v>
      </c>
      <c r="C202" s="10" t="s">
        <v>183</v>
      </c>
      <c r="D202" s="10" t="s">
        <v>184</v>
      </c>
      <c r="E202" s="10" t="s">
        <v>334</v>
      </c>
      <c r="F202" s="11">
        <v>5000</v>
      </c>
      <c r="G202" s="11">
        <v>5000</v>
      </c>
      <c r="H202" s="12"/>
      <c r="I202" s="12"/>
      <c r="J202" s="12"/>
      <c r="K202" s="11">
        <v>5000</v>
      </c>
    </row>
    <row r="203" spans="1:11" x14ac:dyDescent="0.35">
      <c r="A203" s="10" t="s">
        <v>330</v>
      </c>
      <c r="B203" s="10" t="s">
        <v>331</v>
      </c>
      <c r="C203" s="10" t="s">
        <v>72</v>
      </c>
      <c r="D203" s="10" t="s">
        <v>73</v>
      </c>
      <c r="E203" s="10" t="s">
        <v>335</v>
      </c>
      <c r="F203" s="11">
        <v>80000</v>
      </c>
      <c r="G203" s="11">
        <v>80000</v>
      </c>
      <c r="H203" s="11">
        <v>37063.160000000003</v>
      </c>
      <c r="I203" s="11">
        <v>0</v>
      </c>
      <c r="J203" s="11">
        <v>11780</v>
      </c>
      <c r="K203" s="11">
        <v>31156.84</v>
      </c>
    </row>
    <row r="204" spans="1:11" x14ac:dyDescent="0.35">
      <c r="A204" s="10" t="s">
        <v>330</v>
      </c>
      <c r="B204" s="10" t="s">
        <v>331</v>
      </c>
      <c r="C204" s="10" t="s">
        <v>97</v>
      </c>
      <c r="D204" s="10" t="s">
        <v>98</v>
      </c>
      <c r="E204" s="10" t="s">
        <v>336</v>
      </c>
      <c r="F204" s="11">
        <v>285000</v>
      </c>
      <c r="G204" s="11">
        <v>316248</v>
      </c>
      <c r="H204" s="11">
        <v>296305.21999999997</v>
      </c>
      <c r="I204" s="12"/>
      <c r="J204" s="12"/>
      <c r="K204" s="11">
        <v>19942.78</v>
      </c>
    </row>
    <row r="205" spans="1:11" x14ac:dyDescent="0.35">
      <c r="A205" s="10" t="s">
        <v>330</v>
      </c>
      <c r="B205" s="10" t="s">
        <v>331</v>
      </c>
      <c r="C205" s="10" t="s">
        <v>37</v>
      </c>
      <c r="D205" s="10" t="s">
        <v>38</v>
      </c>
      <c r="E205" s="10" t="s">
        <v>337</v>
      </c>
      <c r="F205" s="11">
        <v>140000</v>
      </c>
      <c r="G205" s="11">
        <v>30000</v>
      </c>
      <c r="H205" s="11">
        <v>7839.73</v>
      </c>
      <c r="I205" s="12"/>
      <c r="J205" s="12"/>
      <c r="K205" s="11">
        <v>22160.27</v>
      </c>
    </row>
    <row r="206" spans="1:11" x14ac:dyDescent="0.35">
      <c r="A206" s="10" t="s">
        <v>330</v>
      </c>
      <c r="B206" s="10" t="s">
        <v>331</v>
      </c>
      <c r="C206" s="10" t="s">
        <v>40</v>
      </c>
      <c r="D206" s="10" t="s">
        <v>41</v>
      </c>
      <c r="E206" s="10" t="s">
        <v>338</v>
      </c>
      <c r="F206" s="11">
        <v>229511</v>
      </c>
      <c r="G206" s="11">
        <v>144305</v>
      </c>
      <c r="H206" s="11">
        <v>92696.94</v>
      </c>
      <c r="I206" s="11">
        <v>0</v>
      </c>
      <c r="J206" s="11">
        <v>37806.980000000003</v>
      </c>
      <c r="K206" s="11">
        <v>13801.08</v>
      </c>
    </row>
    <row r="207" spans="1:11" x14ac:dyDescent="0.35">
      <c r="A207" s="10" t="s">
        <v>330</v>
      </c>
      <c r="B207" s="10" t="s">
        <v>331</v>
      </c>
      <c r="C207" s="10" t="s">
        <v>49</v>
      </c>
      <c r="D207" s="10" t="s">
        <v>50</v>
      </c>
      <c r="E207" s="10" t="s">
        <v>339</v>
      </c>
      <c r="F207" s="11">
        <v>15000</v>
      </c>
      <c r="G207" s="11">
        <v>7612</v>
      </c>
      <c r="H207" s="12"/>
      <c r="I207" s="12"/>
      <c r="J207" s="12"/>
      <c r="K207" s="11">
        <v>7612</v>
      </c>
    </row>
    <row r="208" spans="1:11" x14ac:dyDescent="0.35">
      <c r="A208" s="10" t="s">
        <v>330</v>
      </c>
      <c r="B208" s="10" t="s">
        <v>331</v>
      </c>
      <c r="C208" s="10" t="s">
        <v>169</v>
      </c>
      <c r="D208" s="10" t="s">
        <v>170</v>
      </c>
      <c r="E208" s="10" t="s">
        <v>340</v>
      </c>
      <c r="F208" s="11">
        <v>301000</v>
      </c>
      <c r="G208" s="11">
        <v>223957</v>
      </c>
      <c r="H208" s="11">
        <v>203796.71</v>
      </c>
      <c r="I208" s="11">
        <v>0</v>
      </c>
      <c r="J208" s="11">
        <v>899.99999999999602</v>
      </c>
      <c r="K208" s="11">
        <v>19260.29</v>
      </c>
    </row>
    <row r="209" spans="1:11" x14ac:dyDescent="0.35">
      <c r="A209" s="10" t="s">
        <v>330</v>
      </c>
      <c r="B209" s="10" t="s">
        <v>331</v>
      </c>
      <c r="C209" s="10" t="s">
        <v>103</v>
      </c>
      <c r="D209" s="10" t="s">
        <v>104</v>
      </c>
      <c r="E209" s="10" t="s">
        <v>341</v>
      </c>
      <c r="F209" s="11">
        <v>70000</v>
      </c>
      <c r="G209" s="11">
        <v>40275</v>
      </c>
      <c r="H209" s="11">
        <v>5138</v>
      </c>
      <c r="I209" s="12"/>
      <c r="J209" s="12"/>
      <c r="K209" s="11">
        <v>35137</v>
      </c>
    </row>
    <row r="210" spans="1:11" x14ac:dyDescent="0.35">
      <c r="A210" s="10" t="s">
        <v>330</v>
      </c>
      <c r="B210" s="10" t="s">
        <v>331</v>
      </c>
      <c r="C210" s="10" t="s">
        <v>173</v>
      </c>
      <c r="D210" s="10" t="s">
        <v>174</v>
      </c>
      <c r="E210" s="10" t="s">
        <v>342</v>
      </c>
      <c r="F210" s="11">
        <v>525000</v>
      </c>
      <c r="G210" s="11">
        <v>468973</v>
      </c>
      <c r="H210" s="11">
        <v>287049.89</v>
      </c>
      <c r="I210" s="11">
        <v>23837.200000000001</v>
      </c>
      <c r="J210" s="11">
        <v>153563.48000000001</v>
      </c>
      <c r="K210" s="11">
        <v>4522.4299999999903</v>
      </c>
    </row>
    <row r="211" spans="1:11" x14ac:dyDescent="0.35">
      <c r="A211" s="10" t="s">
        <v>330</v>
      </c>
      <c r="B211" s="10" t="s">
        <v>331</v>
      </c>
      <c r="C211" s="10" t="s">
        <v>85</v>
      </c>
      <c r="D211" s="10" t="s">
        <v>86</v>
      </c>
      <c r="E211" s="10" t="s">
        <v>343</v>
      </c>
      <c r="F211" s="11">
        <v>20000</v>
      </c>
      <c r="G211" s="11">
        <v>20000</v>
      </c>
      <c r="H211" s="12"/>
      <c r="I211" s="12"/>
      <c r="J211" s="12"/>
      <c r="K211" s="11">
        <v>20000</v>
      </c>
    </row>
    <row r="212" spans="1:11" x14ac:dyDescent="0.35">
      <c r="A212" s="10" t="s">
        <v>344</v>
      </c>
      <c r="B212" s="10" t="s">
        <v>345</v>
      </c>
      <c r="C212" s="10" t="s">
        <v>31</v>
      </c>
      <c r="D212" s="10" t="s">
        <v>32</v>
      </c>
      <c r="E212" s="10" t="s">
        <v>346</v>
      </c>
      <c r="F212" s="11">
        <v>45000</v>
      </c>
      <c r="G212" s="11">
        <v>35457</v>
      </c>
      <c r="H212" s="11">
        <v>9658.81</v>
      </c>
      <c r="I212" s="11">
        <v>0</v>
      </c>
      <c r="J212" s="11">
        <v>11600</v>
      </c>
      <c r="K212" s="11">
        <v>14198.19</v>
      </c>
    </row>
    <row r="213" spans="1:11" x14ac:dyDescent="0.35">
      <c r="A213" s="10" t="s">
        <v>344</v>
      </c>
      <c r="B213" s="10" t="s">
        <v>345</v>
      </c>
      <c r="C213" s="10" t="s">
        <v>34</v>
      </c>
      <c r="D213" s="10" t="s">
        <v>35</v>
      </c>
      <c r="E213" s="10" t="s">
        <v>347</v>
      </c>
      <c r="F213" s="11">
        <v>225000</v>
      </c>
      <c r="G213" s="11">
        <v>130569</v>
      </c>
      <c r="H213" s="11">
        <v>54660.3</v>
      </c>
      <c r="I213" s="12"/>
      <c r="J213" s="12"/>
      <c r="K213" s="11">
        <v>75908.7</v>
      </c>
    </row>
    <row r="214" spans="1:11" x14ac:dyDescent="0.35">
      <c r="A214" s="10" t="s">
        <v>344</v>
      </c>
      <c r="B214" s="10" t="s">
        <v>345</v>
      </c>
      <c r="C214" s="10" t="s">
        <v>97</v>
      </c>
      <c r="D214" s="10" t="s">
        <v>98</v>
      </c>
      <c r="E214" s="10" t="s">
        <v>348</v>
      </c>
      <c r="F214" s="11">
        <v>60000</v>
      </c>
      <c r="G214" s="11">
        <v>39943</v>
      </c>
      <c r="H214" s="11">
        <v>39895</v>
      </c>
      <c r="I214" s="12"/>
      <c r="J214" s="12"/>
      <c r="K214" s="11">
        <v>48</v>
      </c>
    </row>
    <row r="215" spans="1:11" x14ac:dyDescent="0.35">
      <c r="A215" s="10" t="s">
        <v>344</v>
      </c>
      <c r="B215" s="10" t="s">
        <v>345</v>
      </c>
      <c r="C215" s="10" t="s">
        <v>37</v>
      </c>
      <c r="D215" s="10" t="s">
        <v>38</v>
      </c>
      <c r="E215" s="10" t="s">
        <v>349</v>
      </c>
      <c r="F215" s="11">
        <v>10116</v>
      </c>
      <c r="G215" s="11">
        <v>10116</v>
      </c>
      <c r="H215" s="11">
        <v>2973</v>
      </c>
      <c r="I215" s="12"/>
      <c r="J215" s="12"/>
      <c r="K215" s="11">
        <v>7143</v>
      </c>
    </row>
    <row r="216" spans="1:11" x14ac:dyDescent="0.35">
      <c r="A216" s="10" t="s">
        <v>344</v>
      </c>
      <c r="B216" s="10" t="s">
        <v>345</v>
      </c>
      <c r="C216" s="10" t="s">
        <v>40</v>
      </c>
      <c r="D216" s="10" t="s">
        <v>41</v>
      </c>
      <c r="E216" s="10" t="s">
        <v>350</v>
      </c>
      <c r="F216" s="11">
        <v>212000</v>
      </c>
      <c r="G216" s="11">
        <v>35845</v>
      </c>
      <c r="H216" s="11">
        <v>22497.13</v>
      </c>
      <c r="I216" s="11">
        <v>0</v>
      </c>
      <c r="J216" s="11">
        <v>0</v>
      </c>
      <c r="K216" s="11">
        <v>13347.87</v>
      </c>
    </row>
    <row r="217" spans="1:11" x14ac:dyDescent="0.35">
      <c r="A217" s="10" t="s">
        <v>344</v>
      </c>
      <c r="B217" s="10" t="s">
        <v>345</v>
      </c>
      <c r="C217" s="10" t="s">
        <v>43</v>
      </c>
      <c r="D217" s="10" t="s">
        <v>44</v>
      </c>
      <c r="E217" s="10" t="s">
        <v>351</v>
      </c>
      <c r="F217" s="11">
        <v>128000</v>
      </c>
      <c r="G217" s="11">
        <v>34875</v>
      </c>
      <c r="H217" s="11">
        <v>6445</v>
      </c>
      <c r="I217" s="12"/>
      <c r="J217" s="12"/>
      <c r="K217" s="11">
        <v>28430</v>
      </c>
    </row>
    <row r="218" spans="1:11" x14ac:dyDescent="0.35">
      <c r="A218" s="10" t="s">
        <v>344</v>
      </c>
      <c r="B218" s="10" t="s">
        <v>345</v>
      </c>
      <c r="C218" s="10" t="s">
        <v>103</v>
      </c>
      <c r="D218" s="10" t="s">
        <v>104</v>
      </c>
      <c r="E218" s="10" t="s">
        <v>352</v>
      </c>
      <c r="F218" s="11">
        <v>120000</v>
      </c>
      <c r="G218" s="11">
        <v>100291</v>
      </c>
      <c r="H218" s="11">
        <v>87983.98</v>
      </c>
      <c r="I218" s="12"/>
      <c r="J218" s="12"/>
      <c r="K218" s="11">
        <v>12307.02</v>
      </c>
    </row>
    <row r="219" spans="1:11" x14ac:dyDescent="0.35">
      <c r="A219" s="10" t="s">
        <v>344</v>
      </c>
      <c r="B219" s="10" t="s">
        <v>345</v>
      </c>
      <c r="C219" s="10" t="s">
        <v>173</v>
      </c>
      <c r="D219" s="10" t="s">
        <v>174</v>
      </c>
      <c r="E219" s="10" t="s">
        <v>353</v>
      </c>
      <c r="F219" s="11">
        <v>551566</v>
      </c>
      <c r="G219" s="11">
        <v>286085</v>
      </c>
      <c r="H219" s="11">
        <v>212291.61</v>
      </c>
      <c r="I219" s="11">
        <v>0</v>
      </c>
      <c r="J219" s="11">
        <v>0</v>
      </c>
      <c r="K219" s="11">
        <v>73793.39</v>
      </c>
    </row>
    <row r="220" spans="1:11" x14ac:dyDescent="0.35">
      <c r="A220" s="10" t="s">
        <v>354</v>
      </c>
      <c r="B220" s="10" t="s">
        <v>355</v>
      </c>
      <c r="C220" s="10" t="s">
        <v>144</v>
      </c>
      <c r="D220" s="10" t="s">
        <v>145</v>
      </c>
      <c r="E220" s="10" t="s">
        <v>356</v>
      </c>
      <c r="F220" s="11">
        <v>8500</v>
      </c>
      <c r="G220" s="11">
        <v>8500</v>
      </c>
      <c r="H220" s="12"/>
      <c r="I220" s="12"/>
      <c r="J220" s="12"/>
      <c r="K220" s="11">
        <v>8500</v>
      </c>
    </row>
    <row r="221" spans="1:11" x14ac:dyDescent="0.35">
      <c r="A221" s="10" t="s">
        <v>354</v>
      </c>
      <c r="B221" s="10" t="s">
        <v>355</v>
      </c>
      <c r="C221" s="10" t="s">
        <v>97</v>
      </c>
      <c r="D221" s="10" t="s">
        <v>98</v>
      </c>
      <c r="E221" s="10" t="s">
        <v>357</v>
      </c>
      <c r="F221" s="11">
        <v>375000</v>
      </c>
      <c r="G221" s="11">
        <v>98003</v>
      </c>
      <c r="H221" s="11">
        <v>44723.79</v>
      </c>
      <c r="I221" s="12"/>
      <c r="J221" s="12"/>
      <c r="K221" s="11">
        <v>53279.21</v>
      </c>
    </row>
    <row r="222" spans="1:11" x14ac:dyDescent="0.35">
      <c r="A222" s="10" t="s">
        <v>354</v>
      </c>
      <c r="B222" s="10" t="s">
        <v>355</v>
      </c>
      <c r="C222" s="10" t="s">
        <v>37</v>
      </c>
      <c r="D222" s="10" t="s">
        <v>38</v>
      </c>
      <c r="E222" s="10" t="s">
        <v>358</v>
      </c>
      <c r="F222" s="11">
        <v>12000</v>
      </c>
      <c r="G222" s="11">
        <v>12000</v>
      </c>
      <c r="H222" s="12"/>
      <c r="I222" s="12"/>
      <c r="J222" s="12"/>
      <c r="K222" s="11">
        <v>12000</v>
      </c>
    </row>
    <row r="223" spans="1:11" x14ac:dyDescent="0.35">
      <c r="A223" s="10" t="s">
        <v>354</v>
      </c>
      <c r="B223" s="10" t="s">
        <v>355</v>
      </c>
      <c r="C223" s="10" t="s">
        <v>40</v>
      </c>
      <c r="D223" s="10" t="s">
        <v>41</v>
      </c>
      <c r="E223" s="10" t="s">
        <v>359</v>
      </c>
      <c r="F223" s="11">
        <v>26152</v>
      </c>
      <c r="G223" s="11">
        <v>26152</v>
      </c>
      <c r="H223" s="11">
        <v>49362.03</v>
      </c>
      <c r="I223" s="11">
        <v>0</v>
      </c>
      <c r="J223" s="11">
        <v>-26381.32</v>
      </c>
      <c r="K223" s="11">
        <v>3171.29</v>
      </c>
    </row>
    <row r="224" spans="1:11" x14ac:dyDescent="0.35">
      <c r="A224" s="10" t="s">
        <v>354</v>
      </c>
      <c r="B224" s="10" t="s">
        <v>355</v>
      </c>
      <c r="C224" s="10" t="s">
        <v>169</v>
      </c>
      <c r="D224" s="10" t="s">
        <v>170</v>
      </c>
      <c r="E224" s="10" t="s">
        <v>360</v>
      </c>
      <c r="F224" s="11">
        <v>0</v>
      </c>
      <c r="G224" s="11">
        <v>1575</v>
      </c>
      <c r="H224" s="11">
        <v>1500</v>
      </c>
      <c r="I224" s="12"/>
      <c r="J224" s="12"/>
      <c r="K224" s="11">
        <v>75</v>
      </c>
    </row>
    <row r="225" spans="1:11" x14ac:dyDescent="0.35">
      <c r="A225" s="10" t="s">
        <v>354</v>
      </c>
      <c r="B225" s="10" t="s">
        <v>355</v>
      </c>
      <c r="C225" s="10" t="s">
        <v>173</v>
      </c>
      <c r="D225" s="10" t="s">
        <v>174</v>
      </c>
      <c r="E225" s="10" t="s">
        <v>361</v>
      </c>
      <c r="F225" s="11">
        <v>84600</v>
      </c>
      <c r="G225" s="11">
        <v>42600</v>
      </c>
      <c r="H225" s="12"/>
      <c r="I225" s="11">
        <v>0</v>
      </c>
      <c r="J225" s="11">
        <v>9789.4</v>
      </c>
      <c r="K225" s="11">
        <v>32810.6</v>
      </c>
    </row>
    <row r="226" spans="1:11" x14ac:dyDescent="0.35">
      <c r="A226" s="10" t="s">
        <v>362</v>
      </c>
      <c r="B226" s="10" t="s">
        <v>363</v>
      </c>
      <c r="C226" s="10" t="s">
        <v>97</v>
      </c>
      <c r="D226" s="10" t="s">
        <v>98</v>
      </c>
      <c r="E226" s="10" t="s">
        <v>364</v>
      </c>
      <c r="F226" s="11">
        <v>100000</v>
      </c>
      <c r="G226" s="11">
        <v>101407</v>
      </c>
      <c r="H226" s="11">
        <v>97502.41</v>
      </c>
      <c r="I226" s="12"/>
      <c r="J226" s="12"/>
      <c r="K226" s="11">
        <v>3904.59</v>
      </c>
    </row>
    <row r="227" spans="1:11" x14ac:dyDescent="0.35">
      <c r="A227" s="10" t="s">
        <v>362</v>
      </c>
      <c r="B227" s="10" t="s">
        <v>363</v>
      </c>
      <c r="C227" s="10" t="s">
        <v>40</v>
      </c>
      <c r="D227" s="10" t="s">
        <v>41</v>
      </c>
      <c r="E227" s="10" t="s">
        <v>365</v>
      </c>
      <c r="F227" s="11">
        <v>30000</v>
      </c>
      <c r="G227" s="11">
        <v>30000</v>
      </c>
      <c r="H227" s="11">
        <v>29106</v>
      </c>
      <c r="I227" s="11">
        <v>0</v>
      </c>
      <c r="J227" s="11">
        <v>0</v>
      </c>
      <c r="K227" s="11">
        <v>894</v>
      </c>
    </row>
    <row r="228" spans="1:11" x14ac:dyDescent="0.35">
      <c r="A228" s="10" t="s">
        <v>362</v>
      </c>
      <c r="B228" s="10" t="s">
        <v>363</v>
      </c>
      <c r="C228" s="10" t="s">
        <v>192</v>
      </c>
      <c r="D228" s="10" t="s">
        <v>193</v>
      </c>
      <c r="E228" s="10" t="s">
        <v>366</v>
      </c>
      <c r="F228" s="11">
        <v>35000</v>
      </c>
      <c r="G228" s="11">
        <v>19000</v>
      </c>
      <c r="H228" s="12"/>
      <c r="I228" s="12"/>
      <c r="J228" s="12"/>
      <c r="K228" s="11">
        <v>19000</v>
      </c>
    </row>
    <row r="229" spans="1:11" x14ac:dyDescent="0.35">
      <c r="A229" s="10" t="s">
        <v>362</v>
      </c>
      <c r="B229" s="10" t="s">
        <v>363</v>
      </c>
      <c r="C229" s="10" t="s">
        <v>176</v>
      </c>
      <c r="D229" s="10" t="s">
        <v>177</v>
      </c>
      <c r="E229" s="10" t="s">
        <v>367</v>
      </c>
      <c r="F229" s="11">
        <v>30000</v>
      </c>
      <c r="G229" s="11">
        <v>30000</v>
      </c>
      <c r="H229" s="12"/>
      <c r="I229" s="12"/>
      <c r="J229" s="12"/>
      <c r="K229" s="11">
        <v>30000</v>
      </c>
    </row>
    <row r="230" spans="1:11" x14ac:dyDescent="0.35">
      <c r="A230" s="10" t="s">
        <v>368</v>
      </c>
      <c r="B230" s="10" t="s">
        <v>369</v>
      </c>
      <c r="C230" s="10" t="s">
        <v>16</v>
      </c>
      <c r="D230" s="10" t="s">
        <v>17</v>
      </c>
      <c r="E230" s="10" t="s">
        <v>370</v>
      </c>
      <c r="F230" s="11">
        <v>560000</v>
      </c>
      <c r="G230" s="11">
        <v>132879</v>
      </c>
      <c r="H230" s="11">
        <v>19123.25</v>
      </c>
      <c r="I230" s="12"/>
      <c r="J230" s="12"/>
      <c r="K230" s="11">
        <v>113755.75</v>
      </c>
    </row>
    <row r="231" spans="1:11" x14ac:dyDescent="0.35">
      <c r="A231" s="10" t="s">
        <v>368</v>
      </c>
      <c r="B231" s="10" t="s">
        <v>369</v>
      </c>
      <c r="C231" s="10" t="s">
        <v>19</v>
      </c>
      <c r="D231" s="10" t="s">
        <v>20</v>
      </c>
      <c r="E231" s="10" t="s">
        <v>371</v>
      </c>
      <c r="F231" s="11">
        <v>150000</v>
      </c>
      <c r="G231" s="11">
        <v>40870</v>
      </c>
      <c r="H231" s="12"/>
      <c r="I231" s="12"/>
      <c r="J231" s="12"/>
      <c r="K231" s="11">
        <v>40870</v>
      </c>
    </row>
    <row r="232" spans="1:11" x14ac:dyDescent="0.35">
      <c r="A232" s="10" t="s">
        <v>368</v>
      </c>
      <c r="B232" s="10" t="s">
        <v>369</v>
      </c>
      <c r="C232" s="10" t="s">
        <v>28</v>
      </c>
      <c r="D232" s="10" t="s">
        <v>29</v>
      </c>
      <c r="E232" s="10" t="s">
        <v>372</v>
      </c>
      <c r="F232" s="11">
        <v>280000</v>
      </c>
      <c r="G232" s="11">
        <v>56000</v>
      </c>
      <c r="H232" s="12"/>
      <c r="I232" s="12"/>
      <c r="J232" s="12"/>
      <c r="K232" s="11">
        <v>56000</v>
      </c>
    </row>
    <row r="233" spans="1:11" x14ac:dyDescent="0.35">
      <c r="A233" s="10" t="s">
        <v>368</v>
      </c>
      <c r="B233" s="10" t="s">
        <v>369</v>
      </c>
      <c r="C233" s="10" t="s">
        <v>67</v>
      </c>
      <c r="D233" s="10" t="s">
        <v>68</v>
      </c>
      <c r="E233" s="10" t="s">
        <v>373</v>
      </c>
      <c r="F233" s="11">
        <v>10000</v>
      </c>
      <c r="G233" s="11">
        <v>10000</v>
      </c>
      <c r="H233" s="12"/>
      <c r="I233" s="12"/>
      <c r="J233" s="12"/>
      <c r="K233" s="11">
        <v>10000</v>
      </c>
    </row>
    <row r="234" spans="1:11" x14ac:dyDescent="0.35">
      <c r="A234" s="10" t="s">
        <v>368</v>
      </c>
      <c r="B234" s="10" t="s">
        <v>369</v>
      </c>
      <c r="C234" s="10" t="s">
        <v>31</v>
      </c>
      <c r="D234" s="10" t="s">
        <v>32</v>
      </c>
      <c r="E234" s="10" t="s">
        <v>374</v>
      </c>
      <c r="F234" s="11">
        <v>225000</v>
      </c>
      <c r="G234" s="11">
        <v>30288</v>
      </c>
      <c r="H234" s="11">
        <v>11269.01</v>
      </c>
      <c r="I234" s="12"/>
      <c r="J234" s="12"/>
      <c r="K234" s="11">
        <v>19018.990000000002</v>
      </c>
    </row>
    <row r="235" spans="1:11" x14ac:dyDescent="0.35">
      <c r="A235" s="10" t="s">
        <v>368</v>
      </c>
      <c r="B235" s="10" t="s">
        <v>369</v>
      </c>
      <c r="C235" s="10" t="s">
        <v>34</v>
      </c>
      <c r="D235" s="10" t="s">
        <v>35</v>
      </c>
      <c r="E235" s="10" t="s">
        <v>375</v>
      </c>
      <c r="F235" s="11">
        <v>225000</v>
      </c>
      <c r="G235" s="11">
        <v>81129</v>
      </c>
      <c r="H235" s="11">
        <v>25687.71</v>
      </c>
      <c r="I235" s="12"/>
      <c r="J235" s="12"/>
      <c r="K235" s="11">
        <v>55441.29</v>
      </c>
    </row>
    <row r="236" spans="1:11" x14ac:dyDescent="0.35">
      <c r="A236" s="10" t="s">
        <v>368</v>
      </c>
      <c r="B236" s="10" t="s">
        <v>369</v>
      </c>
      <c r="C236" s="10" t="s">
        <v>144</v>
      </c>
      <c r="D236" s="10" t="s">
        <v>145</v>
      </c>
      <c r="E236" s="10" t="s">
        <v>376</v>
      </c>
      <c r="F236" s="11">
        <v>750000</v>
      </c>
      <c r="G236" s="11">
        <v>150000</v>
      </c>
      <c r="H236" s="12"/>
      <c r="I236" s="12"/>
      <c r="J236" s="12"/>
      <c r="K236" s="11">
        <v>150000</v>
      </c>
    </row>
    <row r="237" spans="1:11" x14ac:dyDescent="0.35">
      <c r="A237" s="10" t="s">
        <v>368</v>
      </c>
      <c r="B237" s="10" t="s">
        <v>369</v>
      </c>
      <c r="C237" s="10" t="s">
        <v>97</v>
      </c>
      <c r="D237" s="10" t="s">
        <v>98</v>
      </c>
      <c r="E237" s="10" t="s">
        <v>377</v>
      </c>
      <c r="F237" s="11">
        <v>300000</v>
      </c>
      <c r="G237" s="11">
        <v>175795</v>
      </c>
      <c r="H237" s="11">
        <v>174480.33</v>
      </c>
      <c r="I237" s="12"/>
      <c r="J237" s="12"/>
      <c r="K237" s="11">
        <v>1314.6699999999801</v>
      </c>
    </row>
    <row r="238" spans="1:11" x14ac:dyDescent="0.35">
      <c r="A238" s="10" t="s">
        <v>368</v>
      </c>
      <c r="B238" s="10" t="s">
        <v>369</v>
      </c>
      <c r="C238" s="10" t="s">
        <v>37</v>
      </c>
      <c r="D238" s="10" t="s">
        <v>38</v>
      </c>
      <c r="E238" s="10" t="s">
        <v>378</v>
      </c>
      <c r="F238" s="11">
        <v>24000</v>
      </c>
      <c r="G238" s="11">
        <v>24000</v>
      </c>
      <c r="H238" s="12"/>
      <c r="I238" s="12"/>
      <c r="J238" s="12"/>
      <c r="K238" s="11">
        <v>24000</v>
      </c>
    </row>
    <row r="239" spans="1:11" x14ac:dyDescent="0.35">
      <c r="A239" s="10" t="s">
        <v>368</v>
      </c>
      <c r="B239" s="10" t="s">
        <v>369</v>
      </c>
      <c r="C239" s="10" t="s">
        <v>40</v>
      </c>
      <c r="D239" s="10" t="s">
        <v>41</v>
      </c>
      <c r="E239" s="10" t="s">
        <v>379</v>
      </c>
      <c r="F239" s="11">
        <v>120000</v>
      </c>
      <c r="G239" s="11">
        <v>42064</v>
      </c>
      <c r="H239" s="11">
        <v>8988.7800000000007</v>
      </c>
      <c r="I239" s="11">
        <v>0</v>
      </c>
      <c r="J239" s="11">
        <v>13600</v>
      </c>
      <c r="K239" s="11">
        <v>19475.22</v>
      </c>
    </row>
    <row r="240" spans="1:11" x14ac:dyDescent="0.35">
      <c r="A240" s="10" t="s">
        <v>368</v>
      </c>
      <c r="B240" s="10" t="s">
        <v>369</v>
      </c>
      <c r="C240" s="10" t="s">
        <v>61</v>
      </c>
      <c r="D240" s="10" t="s">
        <v>62</v>
      </c>
      <c r="E240" s="10" t="s">
        <v>380</v>
      </c>
      <c r="F240" s="11">
        <v>15000</v>
      </c>
      <c r="G240" s="11">
        <v>15000</v>
      </c>
      <c r="H240" s="11">
        <v>1941.62</v>
      </c>
      <c r="I240" s="12"/>
      <c r="J240" s="12"/>
      <c r="K240" s="11">
        <v>13058.38</v>
      </c>
    </row>
    <row r="241" spans="1:11" x14ac:dyDescent="0.35">
      <c r="A241" s="10" t="s">
        <v>368</v>
      </c>
      <c r="B241" s="10" t="s">
        <v>369</v>
      </c>
      <c r="C241" s="10" t="s">
        <v>43</v>
      </c>
      <c r="D241" s="10" t="s">
        <v>44</v>
      </c>
      <c r="E241" s="10" t="s">
        <v>381</v>
      </c>
      <c r="F241" s="11">
        <v>225000</v>
      </c>
      <c r="G241" s="11">
        <v>16479</v>
      </c>
      <c r="H241" s="11">
        <v>4218.25</v>
      </c>
      <c r="I241" s="12"/>
      <c r="J241" s="12"/>
      <c r="K241" s="11">
        <v>12260.75</v>
      </c>
    </row>
    <row r="242" spans="1:11" x14ac:dyDescent="0.35">
      <c r="A242" s="10" t="s">
        <v>368</v>
      </c>
      <c r="B242" s="10" t="s">
        <v>369</v>
      </c>
      <c r="C242" s="10" t="s">
        <v>49</v>
      </c>
      <c r="D242" s="10" t="s">
        <v>50</v>
      </c>
      <c r="E242" s="10" t="s">
        <v>382</v>
      </c>
      <c r="F242" s="11">
        <v>100000</v>
      </c>
      <c r="G242" s="11">
        <v>50745</v>
      </c>
      <c r="H242" s="11">
        <v>2173.5</v>
      </c>
      <c r="I242" s="12"/>
      <c r="J242" s="12"/>
      <c r="K242" s="11">
        <v>48571.5</v>
      </c>
    </row>
    <row r="243" spans="1:11" x14ac:dyDescent="0.35">
      <c r="A243" s="10" t="s">
        <v>368</v>
      </c>
      <c r="B243" s="10" t="s">
        <v>369</v>
      </c>
      <c r="C243" s="10" t="s">
        <v>192</v>
      </c>
      <c r="D243" s="10" t="s">
        <v>193</v>
      </c>
      <c r="E243" s="10" t="s">
        <v>383</v>
      </c>
      <c r="F243" s="11">
        <v>120000</v>
      </c>
      <c r="G243" s="11">
        <v>24000</v>
      </c>
      <c r="H243" s="12"/>
      <c r="I243" s="12"/>
      <c r="J243" s="12"/>
      <c r="K243" s="11">
        <v>24000</v>
      </c>
    </row>
    <row r="244" spans="1:11" x14ac:dyDescent="0.35">
      <c r="A244" s="10" t="s">
        <v>368</v>
      </c>
      <c r="B244" s="10" t="s">
        <v>369</v>
      </c>
      <c r="C244" s="10" t="s">
        <v>103</v>
      </c>
      <c r="D244" s="10" t="s">
        <v>104</v>
      </c>
      <c r="E244" s="10" t="s">
        <v>384</v>
      </c>
      <c r="F244" s="11">
        <v>40000</v>
      </c>
      <c r="G244" s="11">
        <v>45000</v>
      </c>
      <c r="H244" s="11">
        <v>56644.7</v>
      </c>
      <c r="I244" s="12"/>
      <c r="J244" s="12"/>
      <c r="K244" s="11">
        <v>3.6379788070917101E-12</v>
      </c>
    </row>
    <row r="245" spans="1:11" x14ac:dyDescent="0.35">
      <c r="A245" s="10" t="s">
        <v>368</v>
      </c>
      <c r="B245" s="10" t="s">
        <v>369</v>
      </c>
      <c r="C245" s="10" t="s">
        <v>176</v>
      </c>
      <c r="D245" s="10" t="s">
        <v>177</v>
      </c>
      <c r="E245" s="10" t="s">
        <v>385</v>
      </c>
      <c r="F245" s="11">
        <v>22500</v>
      </c>
      <c r="G245" s="11">
        <v>22500</v>
      </c>
      <c r="H245" s="11">
        <v>4195</v>
      </c>
      <c r="I245" s="11">
        <v>0</v>
      </c>
      <c r="J245" s="11">
        <v>0</v>
      </c>
      <c r="K245" s="11">
        <v>18305</v>
      </c>
    </row>
    <row r="246" spans="1:11" x14ac:dyDescent="0.35">
      <c r="A246" s="10" t="s">
        <v>386</v>
      </c>
      <c r="B246" s="10" t="s">
        <v>387</v>
      </c>
      <c r="C246" s="10" t="s">
        <v>67</v>
      </c>
      <c r="D246" s="10" t="s">
        <v>68</v>
      </c>
      <c r="E246" s="10" t="s">
        <v>388</v>
      </c>
      <c r="F246" s="11">
        <v>150000</v>
      </c>
      <c r="G246" s="11">
        <v>30000</v>
      </c>
      <c r="H246" s="12"/>
      <c r="I246" s="12"/>
      <c r="J246" s="12"/>
      <c r="K246" s="11">
        <v>30000</v>
      </c>
    </row>
    <row r="247" spans="1:11" x14ac:dyDescent="0.35">
      <c r="A247" s="10" t="s">
        <v>386</v>
      </c>
      <c r="B247" s="10" t="s">
        <v>387</v>
      </c>
      <c r="C247" s="10" t="s">
        <v>31</v>
      </c>
      <c r="D247" s="10" t="s">
        <v>32</v>
      </c>
      <c r="E247" s="10" t="s">
        <v>389</v>
      </c>
      <c r="F247" s="11">
        <v>0</v>
      </c>
      <c r="G247" s="11">
        <v>10000</v>
      </c>
      <c r="H247" s="12"/>
      <c r="I247" s="12"/>
      <c r="J247" s="12"/>
      <c r="K247" s="11">
        <v>10000</v>
      </c>
    </row>
    <row r="248" spans="1:11" x14ac:dyDescent="0.35">
      <c r="A248" s="10" t="s">
        <v>386</v>
      </c>
      <c r="B248" s="10" t="s">
        <v>387</v>
      </c>
      <c r="C248" s="10" t="s">
        <v>274</v>
      </c>
      <c r="D248" s="10" t="s">
        <v>275</v>
      </c>
      <c r="E248" s="10" t="s">
        <v>390</v>
      </c>
      <c r="F248" s="11">
        <v>18350</v>
      </c>
      <c r="G248" s="11">
        <v>19350</v>
      </c>
      <c r="H248" s="11">
        <v>825</v>
      </c>
      <c r="I248" s="11">
        <v>0</v>
      </c>
      <c r="J248" s="11">
        <v>18365</v>
      </c>
      <c r="K248" s="11">
        <v>160</v>
      </c>
    </row>
    <row r="249" spans="1:11" x14ac:dyDescent="0.35">
      <c r="A249" s="10" t="s">
        <v>386</v>
      </c>
      <c r="B249" s="10" t="s">
        <v>387</v>
      </c>
      <c r="C249" s="10" t="s">
        <v>183</v>
      </c>
      <c r="D249" s="10" t="s">
        <v>184</v>
      </c>
      <c r="E249" s="10" t="s">
        <v>391</v>
      </c>
      <c r="F249" s="11">
        <v>36630</v>
      </c>
      <c r="G249" s="11">
        <v>25630</v>
      </c>
      <c r="H249" s="12"/>
      <c r="I249" s="12"/>
      <c r="J249" s="12"/>
      <c r="K249" s="11">
        <v>25630</v>
      </c>
    </row>
    <row r="250" spans="1:11" x14ac:dyDescent="0.35">
      <c r="A250" s="10" t="s">
        <v>386</v>
      </c>
      <c r="B250" s="10" t="s">
        <v>387</v>
      </c>
      <c r="C250" s="10" t="s">
        <v>72</v>
      </c>
      <c r="D250" s="10" t="s">
        <v>73</v>
      </c>
      <c r="E250" s="10" t="s">
        <v>392</v>
      </c>
      <c r="F250" s="11">
        <v>7590</v>
      </c>
      <c r="G250" s="11">
        <v>7590</v>
      </c>
      <c r="H250" s="12"/>
      <c r="I250" s="12"/>
      <c r="J250" s="12"/>
      <c r="K250" s="11">
        <v>7590</v>
      </c>
    </row>
    <row r="251" spans="1:11" x14ac:dyDescent="0.35">
      <c r="A251" s="10" t="s">
        <v>386</v>
      </c>
      <c r="B251" s="10" t="s">
        <v>387</v>
      </c>
      <c r="C251" s="10" t="s">
        <v>97</v>
      </c>
      <c r="D251" s="10" t="s">
        <v>98</v>
      </c>
      <c r="E251" s="10" t="s">
        <v>393</v>
      </c>
      <c r="F251" s="11">
        <v>570000</v>
      </c>
      <c r="G251" s="11">
        <v>299950</v>
      </c>
      <c r="H251" s="11">
        <v>280723.71999999997</v>
      </c>
      <c r="I251" s="12"/>
      <c r="J251" s="12"/>
      <c r="K251" s="11">
        <v>19226.28</v>
      </c>
    </row>
    <row r="252" spans="1:11" x14ac:dyDescent="0.35">
      <c r="A252" s="10" t="s">
        <v>386</v>
      </c>
      <c r="B252" s="10" t="s">
        <v>387</v>
      </c>
      <c r="C252" s="10" t="s">
        <v>40</v>
      </c>
      <c r="D252" s="10" t="s">
        <v>41</v>
      </c>
      <c r="E252" s="10" t="s">
        <v>394</v>
      </c>
      <c r="F252" s="11">
        <v>37650</v>
      </c>
      <c r="G252" s="11">
        <v>37650</v>
      </c>
      <c r="H252" s="11">
        <v>21927.29</v>
      </c>
      <c r="I252" s="11">
        <v>0</v>
      </c>
      <c r="J252" s="11">
        <v>0</v>
      </c>
      <c r="K252" s="11">
        <v>15722.71</v>
      </c>
    </row>
    <row r="253" spans="1:11" x14ac:dyDescent="0.35">
      <c r="A253" s="10" t="s">
        <v>386</v>
      </c>
      <c r="B253" s="10" t="s">
        <v>387</v>
      </c>
      <c r="C253" s="10" t="s">
        <v>103</v>
      </c>
      <c r="D253" s="10" t="s">
        <v>104</v>
      </c>
      <c r="E253" s="10" t="s">
        <v>395</v>
      </c>
      <c r="F253" s="11">
        <v>600000</v>
      </c>
      <c r="G253" s="11">
        <v>239622</v>
      </c>
      <c r="H253" s="11">
        <v>206459.81</v>
      </c>
      <c r="I253" s="12"/>
      <c r="J253" s="12"/>
      <c r="K253" s="11">
        <v>33162.19</v>
      </c>
    </row>
    <row r="254" spans="1:11" x14ac:dyDescent="0.35">
      <c r="A254" s="10" t="s">
        <v>396</v>
      </c>
      <c r="B254" s="10" t="s">
        <v>397</v>
      </c>
      <c r="C254" s="10" t="s">
        <v>144</v>
      </c>
      <c r="D254" s="10" t="s">
        <v>145</v>
      </c>
      <c r="E254" s="10" t="s">
        <v>398</v>
      </c>
      <c r="F254" s="11">
        <v>500000</v>
      </c>
      <c r="G254" s="11">
        <v>356997</v>
      </c>
      <c r="H254" s="11">
        <v>314381.78000000003</v>
      </c>
      <c r="I254" s="12"/>
      <c r="J254" s="12"/>
      <c r="K254" s="11">
        <v>42615.22</v>
      </c>
    </row>
    <row r="255" spans="1:11" x14ac:dyDescent="0.35">
      <c r="A255" s="10" t="s">
        <v>396</v>
      </c>
      <c r="B255" s="10" t="s">
        <v>397</v>
      </c>
      <c r="C255" s="10" t="s">
        <v>97</v>
      </c>
      <c r="D255" s="10" t="s">
        <v>98</v>
      </c>
      <c r="E255" s="10" t="s">
        <v>399</v>
      </c>
      <c r="F255" s="11">
        <v>180000</v>
      </c>
      <c r="G255" s="11">
        <v>137356</v>
      </c>
      <c r="H255" s="11">
        <v>131583.82999999999</v>
      </c>
      <c r="I255" s="12"/>
      <c r="J255" s="12"/>
      <c r="K255" s="11">
        <v>5772.1699999999801</v>
      </c>
    </row>
    <row r="256" spans="1:11" x14ac:dyDescent="0.35">
      <c r="A256" s="10" t="s">
        <v>396</v>
      </c>
      <c r="B256" s="10" t="s">
        <v>397</v>
      </c>
      <c r="C256" s="10" t="s">
        <v>40</v>
      </c>
      <c r="D256" s="10" t="s">
        <v>41</v>
      </c>
      <c r="E256" s="10" t="s">
        <v>400</v>
      </c>
      <c r="F256" s="11">
        <v>313605</v>
      </c>
      <c r="G256" s="11">
        <v>91223</v>
      </c>
      <c r="H256" s="11">
        <v>35628.1</v>
      </c>
      <c r="I256" s="11">
        <v>0</v>
      </c>
      <c r="J256" s="11">
        <v>0</v>
      </c>
      <c r="K256" s="11">
        <v>55594.9</v>
      </c>
    </row>
    <row r="257" spans="1:11" x14ac:dyDescent="0.35">
      <c r="A257" s="10" t="s">
        <v>396</v>
      </c>
      <c r="B257" s="10" t="s">
        <v>397</v>
      </c>
      <c r="C257" s="10" t="s">
        <v>43</v>
      </c>
      <c r="D257" s="10" t="s">
        <v>44</v>
      </c>
      <c r="E257" s="10" t="s">
        <v>401</v>
      </c>
      <c r="F257" s="11">
        <v>30000</v>
      </c>
      <c r="G257" s="11">
        <v>2201</v>
      </c>
      <c r="H257" s="11">
        <v>2200</v>
      </c>
      <c r="I257" s="12"/>
      <c r="J257" s="12"/>
      <c r="K257" s="11">
        <v>1</v>
      </c>
    </row>
    <row r="258" spans="1:11" x14ac:dyDescent="0.35">
      <c r="A258" s="10" t="s">
        <v>396</v>
      </c>
      <c r="B258" s="10" t="s">
        <v>397</v>
      </c>
      <c r="C258" s="10" t="s">
        <v>169</v>
      </c>
      <c r="D258" s="10" t="s">
        <v>170</v>
      </c>
      <c r="E258" s="10" t="s">
        <v>402</v>
      </c>
      <c r="F258" s="11">
        <v>118157</v>
      </c>
      <c r="G258" s="11">
        <v>118157</v>
      </c>
      <c r="H258" s="11">
        <v>12898.45</v>
      </c>
      <c r="I258" s="11">
        <v>39200</v>
      </c>
      <c r="J258" s="11">
        <v>21744.959999999999</v>
      </c>
      <c r="K258" s="11">
        <v>44313.59</v>
      </c>
    </row>
    <row r="259" spans="1:11" x14ac:dyDescent="0.35">
      <c r="A259" s="10" t="s">
        <v>396</v>
      </c>
      <c r="B259" s="10" t="s">
        <v>397</v>
      </c>
      <c r="C259" s="10" t="s">
        <v>103</v>
      </c>
      <c r="D259" s="10" t="s">
        <v>104</v>
      </c>
      <c r="E259" s="10" t="s">
        <v>403</v>
      </c>
      <c r="F259" s="11">
        <v>40000</v>
      </c>
      <c r="G259" s="11">
        <v>21669</v>
      </c>
      <c r="H259" s="11">
        <v>11986.79</v>
      </c>
      <c r="I259" s="12"/>
      <c r="J259" s="12"/>
      <c r="K259" s="11">
        <v>9682.2099999999991</v>
      </c>
    </row>
    <row r="260" spans="1:11" x14ac:dyDescent="0.35">
      <c r="A260" s="10" t="s">
        <v>396</v>
      </c>
      <c r="B260" s="10" t="s">
        <v>397</v>
      </c>
      <c r="C260" s="10" t="s">
        <v>173</v>
      </c>
      <c r="D260" s="10" t="s">
        <v>174</v>
      </c>
      <c r="E260" s="10" t="s">
        <v>404</v>
      </c>
      <c r="F260" s="11">
        <v>6500</v>
      </c>
      <c r="G260" s="11">
        <v>16500</v>
      </c>
      <c r="H260" s="11">
        <v>9101.4599999999991</v>
      </c>
      <c r="I260" s="11">
        <v>-235</v>
      </c>
      <c r="J260" s="11">
        <v>0</v>
      </c>
      <c r="K260" s="11">
        <v>7633.54</v>
      </c>
    </row>
    <row r="261" spans="1:11" x14ac:dyDescent="0.35">
      <c r="A261" s="10" t="s">
        <v>405</v>
      </c>
      <c r="B261" s="10" t="s">
        <v>406</v>
      </c>
      <c r="C261" s="10" t="s">
        <v>183</v>
      </c>
      <c r="D261" s="10" t="s">
        <v>184</v>
      </c>
      <c r="E261" s="10" t="s">
        <v>407</v>
      </c>
      <c r="F261" s="11">
        <v>10000</v>
      </c>
      <c r="G261" s="11">
        <v>10000</v>
      </c>
      <c r="H261" s="12"/>
      <c r="I261" s="12"/>
      <c r="J261" s="12"/>
      <c r="K261" s="11">
        <v>10000</v>
      </c>
    </row>
    <row r="262" spans="1:11" x14ac:dyDescent="0.35">
      <c r="A262" s="10" t="s">
        <v>405</v>
      </c>
      <c r="B262" s="10" t="s">
        <v>406</v>
      </c>
      <c r="C262" s="10" t="s">
        <v>97</v>
      </c>
      <c r="D262" s="10" t="s">
        <v>98</v>
      </c>
      <c r="E262" s="10" t="s">
        <v>408</v>
      </c>
      <c r="F262" s="11">
        <v>80000</v>
      </c>
      <c r="G262" s="11">
        <v>43337</v>
      </c>
      <c r="H262" s="11">
        <v>29264.39</v>
      </c>
      <c r="I262" s="12"/>
      <c r="J262" s="12"/>
      <c r="K262" s="11">
        <v>14072.61</v>
      </c>
    </row>
    <row r="263" spans="1:11" x14ac:dyDescent="0.35">
      <c r="A263" s="10" t="s">
        <v>405</v>
      </c>
      <c r="B263" s="10" t="s">
        <v>406</v>
      </c>
      <c r="C263" s="10" t="s">
        <v>37</v>
      </c>
      <c r="D263" s="10" t="s">
        <v>38</v>
      </c>
      <c r="E263" s="10" t="s">
        <v>409</v>
      </c>
      <c r="F263" s="11">
        <v>15000</v>
      </c>
      <c r="G263" s="11">
        <v>15000</v>
      </c>
      <c r="H263" s="11">
        <v>5020.0200000000004</v>
      </c>
      <c r="I263" s="12"/>
      <c r="J263" s="12"/>
      <c r="K263" s="11">
        <v>9979.98</v>
      </c>
    </row>
    <row r="264" spans="1:11" x14ac:dyDescent="0.35">
      <c r="A264" s="10" t="s">
        <v>405</v>
      </c>
      <c r="B264" s="10" t="s">
        <v>406</v>
      </c>
      <c r="C264" s="10" t="s">
        <v>40</v>
      </c>
      <c r="D264" s="10" t="s">
        <v>41</v>
      </c>
      <c r="E264" s="10" t="s">
        <v>410</v>
      </c>
      <c r="F264" s="11">
        <v>50000</v>
      </c>
      <c r="G264" s="11">
        <v>50000</v>
      </c>
      <c r="H264" s="11">
        <v>30435.24</v>
      </c>
      <c r="I264" s="11">
        <v>0</v>
      </c>
      <c r="J264" s="11">
        <v>0</v>
      </c>
      <c r="K264" s="11">
        <v>19564.759999999998</v>
      </c>
    </row>
    <row r="265" spans="1:11" x14ac:dyDescent="0.35">
      <c r="A265" s="10" t="s">
        <v>405</v>
      </c>
      <c r="B265" s="10" t="s">
        <v>406</v>
      </c>
      <c r="C265" s="10" t="s">
        <v>43</v>
      </c>
      <c r="D265" s="10" t="s">
        <v>44</v>
      </c>
      <c r="E265" s="10" t="s">
        <v>411</v>
      </c>
      <c r="F265" s="11">
        <v>50000</v>
      </c>
      <c r="G265" s="11">
        <v>48000</v>
      </c>
      <c r="H265" s="12"/>
      <c r="I265" s="12"/>
      <c r="J265" s="12"/>
      <c r="K265" s="11">
        <v>48000</v>
      </c>
    </row>
    <row r="266" spans="1:11" x14ac:dyDescent="0.35">
      <c r="A266" s="10" t="s">
        <v>405</v>
      </c>
      <c r="B266" s="10" t="s">
        <v>406</v>
      </c>
      <c r="C266" s="10" t="s">
        <v>49</v>
      </c>
      <c r="D266" s="10" t="s">
        <v>50</v>
      </c>
      <c r="E266" s="10" t="s">
        <v>412</v>
      </c>
      <c r="F266" s="11">
        <v>5000</v>
      </c>
      <c r="G266" s="11">
        <v>2537</v>
      </c>
      <c r="H266" s="12"/>
      <c r="I266" s="12"/>
      <c r="J266" s="12"/>
      <c r="K266" s="11">
        <v>2537</v>
      </c>
    </row>
    <row r="267" spans="1:11" x14ac:dyDescent="0.35">
      <c r="A267" s="10" t="s">
        <v>405</v>
      </c>
      <c r="B267" s="10" t="s">
        <v>406</v>
      </c>
      <c r="C267" s="10" t="s">
        <v>169</v>
      </c>
      <c r="D267" s="10" t="s">
        <v>170</v>
      </c>
      <c r="E267" s="10" t="s">
        <v>413</v>
      </c>
      <c r="F267" s="11">
        <v>300000</v>
      </c>
      <c r="G267" s="11">
        <v>300000</v>
      </c>
      <c r="H267" s="11">
        <v>291800</v>
      </c>
      <c r="I267" s="11">
        <v>0</v>
      </c>
      <c r="J267" s="11">
        <v>0</v>
      </c>
      <c r="K267" s="11">
        <v>8200</v>
      </c>
    </row>
    <row r="268" spans="1:11" x14ac:dyDescent="0.35">
      <c r="A268" s="10" t="s">
        <v>405</v>
      </c>
      <c r="B268" s="10" t="s">
        <v>406</v>
      </c>
      <c r="C268" s="10" t="s">
        <v>103</v>
      </c>
      <c r="D268" s="10" t="s">
        <v>104</v>
      </c>
      <c r="E268" s="10" t="s">
        <v>414</v>
      </c>
      <c r="F268" s="11">
        <v>80000</v>
      </c>
      <c r="G268" s="11">
        <v>80000</v>
      </c>
      <c r="H268" s="11">
        <v>33189.379999999997</v>
      </c>
      <c r="I268" s="12"/>
      <c r="J268" s="12"/>
      <c r="K268" s="11">
        <v>46810.62</v>
      </c>
    </row>
    <row r="269" spans="1:11" x14ac:dyDescent="0.35">
      <c r="A269" s="10" t="s">
        <v>405</v>
      </c>
      <c r="B269" s="10" t="s">
        <v>406</v>
      </c>
      <c r="C269" s="10" t="s">
        <v>173</v>
      </c>
      <c r="D269" s="10" t="s">
        <v>174</v>
      </c>
      <c r="E269" s="10" t="s">
        <v>415</v>
      </c>
      <c r="F269" s="11">
        <v>675000</v>
      </c>
      <c r="G269" s="11">
        <v>540996</v>
      </c>
      <c r="H269" s="11">
        <v>289456.88</v>
      </c>
      <c r="I269" s="11">
        <v>0</v>
      </c>
      <c r="J269" s="11">
        <v>203633</v>
      </c>
      <c r="K269" s="11">
        <v>47906.12</v>
      </c>
    </row>
    <row r="270" spans="1:11" x14ac:dyDescent="0.35">
      <c r="A270" s="10" t="s">
        <v>405</v>
      </c>
      <c r="B270" s="10" t="s">
        <v>406</v>
      </c>
      <c r="C270" s="10" t="s">
        <v>154</v>
      </c>
      <c r="D270" s="10" t="s">
        <v>155</v>
      </c>
      <c r="E270" s="10" t="s">
        <v>416</v>
      </c>
      <c r="F270" s="11">
        <v>5000</v>
      </c>
      <c r="G270" s="11">
        <v>5000</v>
      </c>
      <c r="H270" s="12"/>
      <c r="I270" s="12"/>
      <c r="J270" s="12"/>
      <c r="K270" s="11">
        <v>5000</v>
      </c>
    </row>
    <row r="271" spans="1:11" x14ac:dyDescent="0.35">
      <c r="A271" s="10" t="s">
        <v>417</v>
      </c>
      <c r="B271" s="10" t="s">
        <v>418</v>
      </c>
      <c r="C271" s="10" t="s">
        <v>31</v>
      </c>
      <c r="D271" s="10" t="s">
        <v>32</v>
      </c>
      <c r="E271" s="10" t="s">
        <v>419</v>
      </c>
      <c r="F271" s="11">
        <v>29519</v>
      </c>
      <c r="G271" s="11">
        <v>29519</v>
      </c>
      <c r="H271" s="11">
        <v>7161.75</v>
      </c>
      <c r="I271" s="12"/>
      <c r="J271" s="12"/>
      <c r="K271" s="11">
        <v>22357.25</v>
      </c>
    </row>
    <row r="272" spans="1:11" x14ac:dyDescent="0.35">
      <c r="A272" s="10" t="s">
        <v>417</v>
      </c>
      <c r="B272" s="10" t="s">
        <v>418</v>
      </c>
      <c r="C272" s="10" t="s">
        <v>420</v>
      </c>
      <c r="D272" s="10" t="s">
        <v>421</v>
      </c>
      <c r="E272" s="10" t="s">
        <v>422</v>
      </c>
      <c r="F272" s="11">
        <v>20000</v>
      </c>
      <c r="G272" s="11">
        <v>20000</v>
      </c>
      <c r="H272" s="12"/>
      <c r="I272" s="12"/>
      <c r="J272" s="12"/>
      <c r="K272" s="11">
        <v>20000</v>
      </c>
    </row>
    <row r="273" spans="1:11" x14ac:dyDescent="0.35">
      <c r="A273" s="10" t="s">
        <v>417</v>
      </c>
      <c r="B273" s="10" t="s">
        <v>418</v>
      </c>
      <c r="C273" s="10" t="s">
        <v>61</v>
      </c>
      <c r="D273" s="10" t="s">
        <v>62</v>
      </c>
      <c r="E273" s="10" t="s">
        <v>423</v>
      </c>
      <c r="F273" s="11">
        <v>42000</v>
      </c>
      <c r="G273" s="11">
        <v>42000</v>
      </c>
      <c r="H273" s="11">
        <v>10510</v>
      </c>
      <c r="I273" s="11">
        <v>0</v>
      </c>
      <c r="J273" s="11">
        <v>0</v>
      </c>
      <c r="K273" s="11">
        <v>31490</v>
      </c>
    </row>
    <row r="274" spans="1:11" x14ac:dyDescent="0.35">
      <c r="A274" s="10" t="s">
        <v>417</v>
      </c>
      <c r="B274" s="10" t="s">
        <v>418</v>
      </c>
      <c r="C274" s="10" t="s">
        <v>424</v>
      </c>
      <c r="D274" s="10" t="s">
        <v>425</v>
      </c>
      <c r="E274" s="10" t="s">
        <v>426</v>
      </c>
      <c r="F274" s="11">
        <v>616900</v>
      </c>
      <c r="G274" s="11">
        <v>591900</v>
      </c>
      <c r="H274" s="11">
        <v>571234.79</v>
      </c>
      <c r="I274" s="11">
        <v>1709.15</v>
      </c>
      <c r="J274" s="11">
        <v>-36700</v>
      </c>
      <c r="K274" s="11">
        <v>55656.059999999801</v>
      </c>
    </row>
    <row r="275" spans="1:11" x14ac:dyDescent="0.35">
      <c r="A275" s="10" t="s">
        <v>417</v>
      </c>
      <c r="B275" s="10" t="s">
        <v>418</v>
      </c>
      <c r="C275" s="10" t="s">
        <v>424</v>
      </c>
      <c r="D275" s="10" t="s">
        <v>425</v>
      </c>
      <c r="E275" s="10" t="s">
        <v>427</v>
      </c>
      <c r="F275" s="11">
        <v>23100</v>
      </c>
      <c r="G275" s="11">
        <v>23100</v>
      </c>
      <c r="H275" s="11">
        <v>23100</v>
      </c>
      <c r="I275" s="12"/>
      <c r="J275" s="11">
        <v>0</v>
      </c>
      <c r="K275" s="11">
        <v>0</v>
      </c>
    </row>
    <row r="276" spans="1:11" x14ac:dyDescent="0.35">
      <c r="A276" s="10" t="s">
        <v>417</v>
      </c>
      <c r="B276" s="10" t="s">
        <v>418</v>
      </c>
      <c r="C276" s="10" t="s">
        <v>49</v>
      </c>
      <c r="D276" s="10" t="s">
        <v>50</v>
      </c>
      <c r="E276" s="10" t="s">
        <v>428</v>
      </c>
      <c r="F276" s="11">
        <v>0</v>
      </c>
      <c r="G276" s="11">
        <v>25000</v>
      </c>
      <c r="H276" s="12"/>
      <c r="I276" s="12"/>
      <c r="J276" s="12"/>
      <c r="K276" s="11">
        <v>25000</v>
      </c>
    </row>
    <row r="277" spans="1:11" x14ac:dyDescent="0.35">
      <c r="A277" s="10" t="s">
        <v>429</v>
      </c>
      <c r="B277" s="10" t="s">
        <v>430</v>
      </c>
      <c r="C277" s="10" t="s">
        <v>431</v>
      </c>
      <c r="D277" s="10" t="s">
        <v>432</v>
      </c>
      <c r="E277" s="10" t="s">
        <v>433</v>
      </c>
      <c r="F277" s="11">
        <v>4056439</v>
      </c>
      <c r="G277" s="11">
        <v>4081439</v>
      </c>
      <c r="H277" s="11">
        <v>4076217.09</v>
      </c>
      <c r="I277" s="11">
        <v>0</v>
      </c>
      <c r="J277" s="11">
        <v>0</v>
      </c>
      <c r="K277" s="11">
        <v>5221.9100000001499</v>
      </c>
    </row>
    <row r="278" spans="1:11" x14ac:dyDescent="0.35">
      <c r="A278" s="10" t="s">
        <v>429</v>
      </c>
      <c r="B278" s="10" t="s">
        <v>430</v>
      </c>
      <c r="C278" s="10" t="s">
        <v>431</v>
      </c>
      <c r="D278" s="10" t="s">
        <v>432</v>
      </c>
      <c r="E278" s="10" t="s">
        <v>434</v>
      </c>
      <c r="F278" s="11">
        <v>747242</v>
      </c>
      <c r="G278" s="11">
        <v>747242</v>
      </c>
      <c r="H278" s="11">
        <v>747242</v>
      </c>
      <c r="I278" s="11">
        <v>0</v>
      </c>
      <c r="J278" s="11">
        <v>0</v>
      </c>
      <c r="K278" s="11">
        <v>0</v>
      </c>
    </row>
    <row r="279" spans="1:11" x14ac:dyDescent="0.35">
      <c r="A279" s="10" t="s">
        <v>429</v>
      </c>
      <c r="B279" s="10" t="s">
        <v>430</v>
      </c>
      <c r="C279" s="10" t="s">
        <v>431</v>
      </c>
      <c r="D279" s="10" t="s">
        <v>432</v>
      </c>
      <c r="E279" s="10" t="s">
        <v>435</v>
      </c>
      <c r="F279" s="11">
        <v>4118107</v>
      </c>
      <c r="G279" s="11">
        <v>4352677</v>
      </c>
      <c r="H279" s="11">
        <v>4349277.7</v>
      </c>
      <c r="I279" s="11">
        <v>0</v>
      </c>
      <c r="J279" s="11">
        <v>1.9999999960418801E-2</v>
      </c>
      <c r="K279" s="11">
        <v>3399.2800000000602</v>
      </c>
    </row>
    <row r="280" spans="1:11" x14ac:dyDescent="0.35">
      <c r="A280" s="10" t="s">
        <v>429</v>
      </c>
      <c r="B280" s="10" t="s">
        <v>430</v>
      </c>
      <c r="C280" s="10" t="s">
        <v>25</v>
      </c>
      <c r="D280" s="10" t="s">
        <v>26</v>
      </c>
      <c r="E280" s="10" t="s">
        <v>436</v>
      </c>
      <c r="F280" s="11">
        <v>350000</v>
      </c>
      <c r="G280" s="11">
        <v>855000</v>
      </c>
      <c r="H280" s="11">
        <v>850000</v>
      </c>
      <c r="I280" s="11">
        <v>0</v>
      </c>
      <c r="J280" s="11">
        <v>0</v>
      </c>
      <c r="K280" s="11">
        <v>5000</v>
      </c>
    </row>
    <row r="281" spans="1:11" x14ac:dyDescent="0.35">
      <c r="A281" s="10" t="s">
        <v>429</v>
      </c>
      <c r="B281" s="10" t="s">
        <v>430</v>
      </c>
      <c r="C281" s="10" t="s">
        <v>437</v>
      </c>
      <c r="D281" s="10" t="s">
        <v>438</v>
      </c>
      <c r="E281" s="10" t="s">
        <v>439</v>
      </c>
      <c r="F281" s="11">
        <v>0</v>
      </c>
      <c r="G281" s="11">
        <v>-42048</v>
      </c>
      <c r="H281" s="11">
        <v>-52124.07</v>
      </c>
      <c r="I281" s="12"/>
      <c r="J281" s="12"/>
      <c r="K281" s="11">
        <v>10076.07</v>
      </c>
    </row>
    <row r="282" spans="1:11" x14ac:dyDescent="0.35">
      <c r="A282" s="10" t="s">
        <v>429</v>
      </c>
      <c r="B282" s="10" t="s">
        <v>430</v>
      </c>
      <c r="C282" s="10" t="s">
        <v>440</v>
      </c>
      <c r="D282" s="10" t="s">
        <v>441</v>
      </c>
      <c r="E282" s="10" t="s">
        <v>442</v>
      </c>
      <c r="F282" s="11">
        <v>4137480</v>
      </c>
      <c r="G282" s="11">
        <v>3767662</v>
      </c>
      <c r="H282" s="11">
        <v>3615061.42</v>
      </c>
      <c r="I282" s="11">
        <v>0</v>
      </c>
      <c r="J282" s="11">
        <v>0</v>
      </c>
      <c r="K282" s="11">
        <v>152600.57999999999</v>
      </c>
    </row>
    <row r="283" spans="1:11" x14ac:dyDescent="0.35">
      <c r="A283" s="10" t="s">
        <v>429</v>
      </c>
      <c r="B283" s="10" t="s">
        <v>430</v>
      </c>
      <c r="C283" s="10" t="s">
        <v>440</v>
      </c>
      <c r="D283" s="10" t="s">
        <v>441</v>
      </c>
      <c r="E283" s="10" t="s">
        <v>443</v>
      </c>
      <c r="F283" s="11">
        <v>2649480</v>
      </c>
      <c r="G283" s="11">
        <v>2421019</v>
      </c>
      <c r="H283" s="11">
        <v>2403739.48</v>
      </c>
      <c r="I283" s="11">
        <v>0</v>
      </c>
      <c r="J283" s="11">
        <v>17278.79</v>
      </c>
      <c r="K283" s="11">
        <v>0.72999999998137399</v>
      </c>
    </row>
    <row r="284" spans="1:11" x14ac:dyDescent="0.35">
      <c r="A284" s="10" t="s">
        <v>429</v>
      </c>
      <c r="B284" s="10" t="s">
        <v>430</v>
      </c>
      <c r="C284" s="10" t="s">
        <v>440</v>
      </c>
      <c r="D284" s="10" t="s">
        <v>441</v>
      </c>
      <c r="E284" s="10" t="s">
        <v>444</v>
      </c>
      <c r="F284" s="11">
        <v>2601720</v>
      </c>
      <c r="G284" s="11">
        <v>2054143</v>
      </c>
      <c r="H284" s="11">
        <v>1810961.74</v>
      </c>
      <c r="I284" s="11">
        <v>0</v>
      </c>
      <c r="J284" s="11">
        <v>161217.89000000001</v>
      </c>
      <c r="K284" s="11">
        <v>81963.370000000199</v>
      </c>
    </row>
    <row r="285" spans="1:11" x14ac:dyDescent="0.35">
      <c r="A285" s="10" t="s">
        <v>429</v>
      </c>
      <c r="B285" s="10" t="s">
        <v>430</v>
      </c>
      <c r="C285" s="10" t="s">
        <v>440</v>
      </c>
      <c r="D285" s="10" t="s">
        <v>441</v>
      </c>
      <c r="E285" s="10" t="s">
        <v>445</v>
      </c>
      <c r="F285" s="11">
        <v>0</v>
      </c>
      <c r="G285" s="11">
        <v>635219</v>
      </c>
      <c r="H285" s="11">
        <v>592936.84</v>
      </c>
      <c r="I285" s="11">
        <v>0</v>
      </c>
      <c r="J285" s="11">
        <v>0</v>
      </c>
      <c r="K285" s="11">
        <v>42282.16</v>
      </c>
    </row>
    <row r="286" spans="1:11" x14ac:dyDescent="0.35">
      <c r="A286" s="10" t="s">
        <v>429</v>
      </c>
      <c r="B286" s="10" t="s">
        <v>430</v>
      </c>
      <c r="C286" s="10" t="s">
        <v>28</v>
      </c>
      <c r="D286" s="10" t="s">
        <v>29</v>
      </c>
      <c r="E286" s="10" t="s">
        <v>446</v>
      </c>
      <c r="F286" s="11">
        <v>0</v>
      </c>
      <c r="G286" s="11">
        <v>328000</v>
      </c>
      <c r="H286" s="11">
        <v>164000</v>
      </c>
      <c r="I286" s="11">
        <v>0</v>
      </c>
      <c r="J286" s="11">
        <v>162000</v>
      </c>
      <c r="K286" s="11">
        <v>2000</v>
      </c>
    </row>
    <row r="287" spans="1:11" x14ac:dyDescent="0.35">
      <c r="A287" s="10" t="s">
        <v>429</v>
      </c>
      <c r="B287" s="10" t="s">
        <v>430</v>
      </c>
      <c r="C287" s="10" t="s">
        <v>31</v>
      </c>
      <c r="D287" s="10" t="s">
        <v>32</v>
      </c>
      <c r="E287" s="10" t="s">
        <v>447</v>
      </c>
      <c r="F287" s="11">
        <v>20000</v>
      </c>
      <c r="G287" s="11">
        <v>22200</v>
      </c>
      <c r="H287" s="11">
        <v>19593.37</v>
      </c>
      <c r="I287" s="12"/>
      <c r="J287" s="12"/>
      <c r="K287" s="11">
        <v>2606.63</v>
      </c>
    </row>
    <row r="288" spans="1:11" x14ac:dyDescent="0.35">
      <c r="A288" s="10" t="s">
        <v>429</v>
      </c>
      <c r="B288" s="10" t="s">
        <v>430</v>
      </c>
      <c r="C288" s="10" t="s">
        <v>31</v>
      </c>
      <c r="D288" s="10" t="s">
        <v>32</v>
      </c>
      <c r="E288" s="10" t="s">
        <v>448</v>
      </c>
      <c r="F288" s="12"/>
      <c r="G288" s="12"/>
      <c r="H288" s="11">
        <v>0</v>
      </c>
      <c r="I288" s="12"/>
      <c r="J288" s="12"/>
      <c r="K288" s="11">
        <v>0</v>
      </c>
    </row>
    <row r="289" spans="1:11" x14ac:dyDescent="0.35">
      <c r="A289" s="10" t="s">
        <v>429</v>
      </c>
      <c r="B289" s="10" t="s">
        <v>430</v>
      </c>
      <c r="C289" s="10" t="s">
        <v>449</v>
      </c>
      <c r="D289" s="10" t="s">
        <v>450</v>
      </c>
      <c r="E289" s="10" t="s">
        <v>451</v>
      </c>
      <c r="F289" s="11">
        <v>0</v>
      </c>
      <c r="G289" s="11">
        <v>3911430</v>
      </c>
      <c r="H289" s="11">
        <v>3911425</v>
      </c>
      <c r="I289" s="12"/>
      <c r="J289" s="12"/>
      <c r="K289" s="11">
        <v>5</v>
      </c>
    </row>
    <row r="290" spans="1:11" x14ac:dyDescent="0.35">
      <c r="A290" s="10" t="s">
        <v>429</v>
      </c>
      <c r="B290" s="10" t="s">
        <v>430</v>
      </c>
      <c r="C290" s="10" t="s">
        <v>37</v>
      </c>
      <c r="D290" s="10" t="s">
        <v>38</v>
      </c>
      <c r="E290" s="10" t="s">
        <v>452</v>
      </c>
      <c r="F290" s="11">
        <v>30000</v>
      </c>
      <c r="G290" s="11">
        <v>30000</v>
      </c>
      <c r="H290" s="11">
        <v>17073</v>
      </c>
      <c r="I290" s="12"/>
      <c r="J290" s="12"/>
      <c r="K290" s="11">
        <v>12927</v>
      </c>
    </row>
    <row r="291" spans="1:11" x14ac:dyDescent="0.35">
      <c r="A291" s="10" t="s">
        <v>429</v>
      </c>
      <c r="B291" s="10" t="s">
        <v>430</v>
      </c>
      <c r="C291" s="10" t="s">
        <v>453</v>
      </c>
      <c r="D291" s="10" t="s">
        <v>454</v>
      </c>
      <c r="E291" s="10" t="s">
        <v>455</v>
      </c>
      <c r="F291" s="11">
        <v>960437</v>
      </c>
      <c r="G291" s="11">
        <v>664150</v>
      </c>
      <c r="H291" s="11">
        <v>561142.85</v>
      </c>
      <c r="I291" s="12"/>
      <c r="J291" s="12"/>
      <c r="K291" s="11">
        <v>103007.15</v>
      </c>
    </row>
    <row r="292" spans="1:11" x14ac:dyDescent="0.35">
      <c r="A292" s="10" t="s">
        <v>429</v>
      </c>
      <c r="B292" s="10" t="s">
        <v>430</v>
      </c>
      <c r="C292" s="10" t="s">
        <v>453</v>
      </c>
      <c r="D292" s="10" t="s">
        <v>454</v>
      </c>
      <c r="E292" s="10" t="s">
        <v>456</v>
      </c>
      <c r="F292" s="11">
        <v>23714</v>
      </c>
      <c r="G292" s="11">
        <v>23714</v>
      </c>
      <c r="H292" s="12"/>
      <c r="I292" s="12"/>
      <c r="J292" s="12"/>
      <c r="K292" s="11">
        <v>23714</v>
      </c>
    </row>
    <row r="293" spans="1:11" x14ac:dyDescent="0.35">
      <c r="A293" s="10" t="s">
        <v>429</v>
      </c>
      <c r="B293" s="10" t="s">
        <v>430</v>
      </c>
      <c r="C293" s="10" t="s">
        <v>457</v>
      </c>
      <c r="D293" s="10" t="s">
        <v>458</v>
      </c>
      <c r="E293" s="10" t="s">
        <v>459</v>
      </c>
      <c r="F293" s="11">
        <v>50000</v>
      </c>
      <c r="G293" s="11">
        <v>50000</v>
      </c>
      <c r="H293" s="11">
        <v>14718</v>
      </c>
      <c r="I293" s="12"/>
      <c r="J293" s="12"/>
      <c r="K293" s="11">
        <v>35282</v>
      </c>
    </row>
    <row r="294" spans="1:11" x14ac:dyDescent="0.35">
      <c r="A294" s="10" t="s">
        <v>429</v>
      </c>
      <c r="B294" s="10" t="s">
        <v>430</v>
      </c>
      <c r="C294" s="10" t="s">
        <v>43</v>
      </c>
      <c r="D294" s="10" t="s">
        <v>44</v>
      </c>
      <c r="E294" s="10" t="s">
        <v>460</v>
      </c>
      <c r="F294" s="11">
        <v>50000</v>
      </c>
      <c r="G294" s="11">
        <v>0</v>
      </c>
      <c r="H294" s="12"/>
      <c r="I294" s="12"/>
      <c r="J294" s="12"/>
      <c r="K294" s="11">
        <v>0</v>
      </c>
    </row>
    <row r="295" spans="1:11" x14ac:dyDescent="0.35">
      <c r="A295" s="10" t="s">
        <v>429</v>
      </c>
      <c r="B295" s="10" t="s">
        <v>430</v>
      </c>
      <c r="C295" s="10" t="s">
        <v>461</v>
      </c>
      <c r="D295" s="10" t="s">
        <v>462</v>
      </c>
      <c r="E295" s="10" t="s">
        <v>463</v>
      </c>
      <c r="F295" s="11">
        <v>0</v>
      </c>
      <c r="G295" s="11">
        <v>200211</v>
      </c>
      <c r="H295" s="11">
        <v>199212.79999999999</v>
      </c>
      <c r="I295" s="12"/>
      <c r="J295" s="12"/>
      <c r="K295" s="11">
        <v>998.19999999998299</v>
      </c>
    </row>
    <row r="296" spans="1:11" x14ac:dyDescent="0.35">
      <c r="A296" s="10" t="s">
        <v>429</v>
      </c>
      <c r="B296" s="10" t="s">
        <v>430</v>
      </c>
      <c r="C296" s="10" t="s">
        <v>464</v>
      </c>
      <c r="D296" s="10" t="s">
        <v>465</v>
      </c>
      <c r="E296" s="10" t="s">
        <v>466</v>
      </c>
      <c r="F296" s="11">
        <v>11946037</v>
      </c>
      <c r="G296" s="11">
        <v>11446037</v>
      </c>
      <c r="H296" s="11">
        <v>10541023.15</v>
      </c>
      <c r="I296" s="11">
        <v>87502</v>
      </c>
      <c r="J296" s="11">
        <v>728231.88</v>
      </c>
      <c r="K296" s="11">
        <v>89279.9700000015</v>
      </c>
    </row>
    <row r="297" spans="1:11" x14ac:dyDescent="0.35">
      <c r="A297" s="10" t="s">
        <v>429</v>
      </c>
      <c r="B297" s="10" t="s">
        <v>430</v>
      </c>
      <c r="C297" s="10" t="s">
        <v>464</v>
      </c>
      <c r="D297" s="10" t="s">
        <v>465</v>
      </c>
      <c r="E297" s="10" t="s">
        <v>467</v>
      </c>
      <c r="F297" s="11">
        <v>5071140</v>
      </c>
      <c r="G297" s="11">
        <v>5019140</v>
      </c>
      <c r="H297" s="11">
        <v>4692670.32</v>
      </c>
      <c r="I297" s="11">
        <v>1</v>
      </c>
      <c r="J297" s="11">
        <v>326424.78999999998</v>
      </c>
      <c r="K297" s="11">
        <v>43.890000000595997</v>
      </c>
    </row>
    <row r="298" spans="1:11" x14ac:dyDescent="0.35">
      <c r="A298" s="10" t="s">
        <v>429</v>
      </c>
      <c r="B298" s="10" t="s">
        <v>430</v>
      </c>
      <c r="C298" s="10" t="s">
        <v>464</v>
      </c>
      <c r="D298" s="10" t="s">
        <v>465</v>
      </c>
      <c r="E298" s="10" t="s">
        <v>468</v>
      </c>
      <c r="F298" s="11">
        <v>5573134</v>
      </c>
      <c r="G298" s="11">
        <v>5701016</v>
      </c>
      <c r="H298" s="11">
        <v>5296336.75</v>
      </c>
      <c r="I298" s="11">
        <v>1</v>
      </c>
      <c r="J298" s="11">
        <v>304976.94</v>
      </c>
      <c r="K298" s="11">
        <v>99701.310000000201</v>
      </c>
    </row>
    <row r="299" spans="1:11" x14ac:dyDescent="0.35">
      <c r="A299" s="10" t="s">
        <v>429</v>
      </c>
      <c r="B299" s="10" t="s">
        <v>430</v>
      </c>
      <c r="C299" s="10" t="s">
        <v>464</v>
      </c>
      <c r="D299" s="10" t="s">
        <v>465</v>
      </c>
      <c r="E299" s="10" t="s">
        <v>469</v>
      </c>
      <c r="F299" s="11">
        <v>1207678</v>
      </c>
      <c r="G299" s="11">
        <v>1227054</v>
      </c>
      <c r="H299" s="11">
        <v>1094089.25</v>
      </c>
      <c r="I299" s="11">
        <v>62070</v>
      </c>
      <c r="J299" s="11">
        <v>23768.25</v>
      </c>
      <c r="K299" s="11">
        <v>47126.500000000196</v>
      </c>
    </row>
    <row r="300" spans="1:11" x14ac:dyDescent="0.35">
      <c r="A300" s="10" t="s">
        <v>429</v>
      </c>
      <c r="B300" s="10" t="s">
        <v>430</v>
      </c>
      <c r="C300" s="10" t="s">
        <v>470</v>
      </c>
      <c r="D300" s="10" t="s">
        <v>471</v>
      </c>
      <c r="E300" s="10" t="s">
        <v>472</v>
      </c>
      <c r="F300" s="11">
        <v>30000</v>
      </c>
      <c r="G300" s="11">
        <v>30000</v>
      </c>
      <c r="H300" s="11">
        <v>20638</v>
      </c>
      <c r="I300" s="11">
        <v>0</v>
      </c>
      <c r="J300" s="11">
        <v>0</v>
      </c>
      <c r="K300" s="11">
        <v>9362</v>
      </c>
    </row>
    <row r="301" spans="1:11" x14ac:dyDescent="0.35">
      <c r="A301" s="10" t="s">
        <v>429</v>
      </c>
      <c r="B301" s="10" t="s">
        <v>430</v>
      </c>
      <c r="C301" s="10" t="s">
        <v>473</v>
      </c>
      <c r="D301" s="10" t="s">
        <v>474</v>
      </c>
      <c r="E301" s="10" t="s">
        <v>475</v>
      </c>
      <c r="F301" s="11">
        <v>26000</v>
      </c>
      <c r="G301" s="11">
        <v>26000</v>
      </c>
      <c r="H301" s="11">
        <v>3747.08</v>
      </c>
      <c r="I301" s="12"/>
      <c r="J301" s="12"/>
      <c r="K301" s="11">
        <v>22252.92</v>
      </c>
    </row>
    <row r="302" spans="1:11" x14ac:dyDescent="0.35">
      <c r="A302" s="10" t="s">
        <v>429</v>
      </c>
      <c r="B302" s="10" t="s">
        <v>430</v>
      </c>
      <c r="C302" s="10" t="s">
        <v>476</v>
      </c>
      <c r="D302" s="10" t="s">
        <v>477</v>
      </c>
      <c r="E302" s="10" t="s">
        <v>478</v>
      </c>
      <c r="F302" s="12"/>
      <c r="G302" s="12"/>
      <c r="H302" s="11">
        <v>-219</v>
      </c>
      <c r="I302" s="12"/>
      <c r="J302" s="12"/>
      <c r="K302" s="11">
        <v>219</v>
      </c>
    </row>
    <row r="303" spans="1:11" x14ac:dyDescent="0.35">
      <c r="A303" s="10" t="s">
        <v>429</v>
      </c>
      <c r="B303" s="10" t="s">
        <v>430</v>
      </c>
      <c r="C303" s="10" t="s">
        <v>479</v>
      </c>
      <c r="D303" s="10" t="s">
        <v>480</v>
      </c>
      <c r="E303" s="10" t="s">
        <v>481</v>
      </c>
      <c r="F303" s="11">
        <v>0</v>
      </c>
      <c r="G303" s="11">
        <v>11750</v>
      </c>
      <c r="H303" s="12"/>
      <c r="I303" s="12"/>
      <c r="J303" s="12"/>
      <c r="K303" s="11">
        <v>11750</v>
      </c>
    </row>
    <row r="304" spans="1:11" x14ac:dyDescent="0.35">
      <c r="A304" s="10" t="s">
        <v>429</v>
      </c>
      <c r="B304" s="10" t="s">
        <v>430</v>
      </c>
      <c r="C304" s="10" t="s">
        <v>482</v>
      </c>
      <c r="D304" s="10" t="s">
        <v>483</v>
      </c>
      <c r="E304" s="10" t="s">
        <v>484</v>
      </c>
      <c r="F304" s="11">
        <v>0</v>
      </c>
      <c r="G304" s="11">
        <v>20000</v>
      </c>
      <c r="H304" s="12"/>
      <c r="I304" s="12"/>
      <c r="J304" s="12"/>
      <c r="K304" s="11">
        <v>20000</v>
      </c>
    </row>
    <row r="305" spans="1:11" x14ac:dyDescent="0.35">
      <c r="A305" s="10" t="s">
        <v>485</v>
      </c>
      <c r="B305" s="10" t="s">
        <v>486</v>
      </c>
      <c r="C305" s="10" t="s">
        <v>437</v>
      </c>
      <c r="D305" s="10" t="s">
        <v>438</v>
      </c>
      <c r="E305" s="10" t="s">
        <v>487</v>
      </c>
      <c r="F305" s="11">
        <v>3589128</v>
      </c>
      <c r="G305" s="11">
        <v>345171</v>
      </c>
      <c r="H305" s="11">
        <v>168512.62</v>
      </c>
      <c r="I305" s="11">
        <v>50005.48</v>
      </c>
      <c r="J305" s="11">
        <v>29417.31</v>
      </c>
      <c r="K305" s="11">
        <v>97235.59</v>
      </c>
    </row>
    <row r="306" spans="1:11" x14ac:dyDescent="0.35">
      <c r="A306" s="10" t="s">
        <v>485</v>
      </c>
      <c r="B306" s="10" t="s">
        <v>486</v>
      </c>
      <c r="C306" s="10" t="s">
        <v>488</v>
      </c>
      <c r="D306" s="10" t="s">
        <v>489</v>
      </c>
      <c r="E306" s="10" t="s">
        <v>490</v>
      </c>
      <c r="F306" s="11">
        <v>10000</v>
      </c>
      <c r="G306" s="11">
        <v>10000</v>
      </c>
      <c r="H306" s="11">
        <v>848</v>
      </c>
      <c r="I306" s="12"/>
      <c r="J306" s="12"/>
      <c r="K306" s="11">
        <v>9152</v>
      </c>
    </row>
    <row r="307" spans="1:11" x14ac:dyDescent="0.35">
      <c r="A307" s="10" t="s">
        <v>485</v>
      </c>
      <c r="B307" s="10" t="s">
        <v>486</v>
      </c>
      <c r="C307" s="10" t="s">
        <v>491</v>
      </c>
      <c r="D307" s="10" t="s">
        <v>492</v>
      </c>
      <c r="E307" s="10" t="s">
        <v>493</v>
      </c>
      <c r="F307" s="11">
        <v>30000</v>
      </c>
      <c r="G307" s="11">
        <v>6000</v>
      </c>
      <c r="H307" s="11">
        <v>3000</v>
      </c>
      <c r="I307" s="12"/>
      <c r="J307" s="12"/>
      <c r="K307" s="11">
        <v>3000</v>
      </c>
    </row>
    <row r="308" spans="1:11" x14ac:dyDescent="0.35">
      <c r="A308" s="10" t="s">
        <v>485</v>
      </c>
      <c r="B308" s="10" t="s">
        <v>486</v>
      </c>
      <c r="C308" s="10" t="s">
        <v>61</v>
      </c>
      <c r="D308" s="10" t="s">
        <v>62</v>
      </c>
      <c r="E308" s="10" t="s">
        <v>494</v>
      </c>
      <c r="F308" s="11">
        <v>0</v>
      </c>
      <c r="G308" s="11">
        <v>7000</v>
      </c>
      <c r="H308" s="11">
        <v>5106</v>
      </c>
      <c r="I308" s="11">
        <v>0</v>
      </c>
      <c r="J308" s="11">
        <v>0</v>
      </c>
      <c r="K308" s="11">
        <v>1894</v>
      </c>
    </row>
    <row r="309" spans="1:11" x14ac:dyDescent="0.35">
      <c r="A309" s="10" t="s">
        <v>485</v>
      </c>
      <c r="B309" s="10" t="s">
        <v>486</v>
      </c>
      <c r="C309" s="10" t="s">
        <v>495</v>
      </c>
      <c r="D309" s="10" t="s">
        <v>496</v>
      </c>
      <c r="E309" s="10" t="s">
        <v>497</v>
      </c>
      <c r="F309" s="11">
        <v>7349560</v>
      </c>
      <c r="G309" s="11">
        <v>8500127</v>
      </c>
      <c r="H309" s="11">
        <v>8409542.0600000005</v>
      </c>
      <c r="I309" s="12"/>
      <c r="J309" s="12"/>
      <c r="K309" s="11">
        <v>90584.940000001297</v>
      </c>
    </row>
    <row r="310" spans="1:11" x14ac:dyDescent="0.35">
      <c r="A310" s="10" t="s">
        <v>485</v>
      </c>
      <c r="B310" s="10" t="s">
        <v>486</v>
      </c>
      <c r="C310" s="10" t="s">
        <v>495</v>
      </c>
      <c r="D310" s="10" t="s">
        <v>496</v>
      </c>
      <c r="E310" s="10" t="s">
        <v>498</v>
      </c>
      <c r="F310" s="11">
        <v>4615084</v>
      </c>
      <c r="G310" s="11">
        <v>4835679</v>
      </c>
      <c r="H310" s="11">
        <v>4835640.68</v>
      </c>
      <c r="I310" s="12"/>
      <c r="J310" s="12"/>
      <c r="K310" s="11">
        <v>38.319999999315797</v>
      </c>
    </row>
    <row r="311" spans="1:11" x14ac:dyDescent="0.35">
      <c r="A311" s="10" t="s">
        <v>485</v>
      </c>
      <c r="B311" s="10" t="s">
        <v>486</v>
      </c>
      <c r="C311" s="10" t="s">
        <v>495</v>
      </c>
      <c r="D311" s="10" t="s">
        <v>496</v>
      </c>
      <c r="E311" s="10" t="s">
        <v>499</v>
      </c>
      <c r="F311" s="11">
        <v>3058446</v>
      </c>
      <c r="G311" s="11">
        <v>5374966</v>
      </c>
      <c r="H311" s="11">
        <v>5255311</v>
      </c>
      <c r="I311" s="12"/>
      <c r="J311" s="12"/>
      <c r="K311" s="11">
        <v>119655</v>
      </c>
    </row>
    <row r="312" spans="1:11" x14ac:dyDescent="0.35">
      <c r="A312" s="10" t="s">
        <v>485</v>
      </c>
      <c r="B312" s="10" t="s">
        <v>486</v>
      </c>
      <c r="C312" s="10" t="s">
        <v>495</v>
      </c>
      <c r="D312" s="10" t="s">
        <v>496</v>
      </c>
      <c r="E312" s="10" t="s">
        <v>500</v>
      </c>
      <c r="F312" s="11">
        <v>442627</v>
      </c>
      <c r="G312" s="11">
        <v>0</v>
      </c>
      <c r="H312" s="12"/>
      <c r="I312" s="12"/>
      <c r="J312" s="12"/>
      <c r="K312" s="11">
        <v>0</v>
      </c>
    </row>
    <row r="313" spans="1:11" x14ac:dyDescent="0.35">
      <c r="A313" s="10" t="s">
        <v>485</v>
      </c>
      <c r="B313" s="10" t="s">
        <v>486</v>
      </c>
      <c r="C313" s="10" t="s">
        <v>501</v>
      </c>
      <c r="D313" s="10" t="s">
        <v>502</v>
      </c>
      <c r="E313" s="10" t="s">
        <v>503</v>
      </c>
      <c r="F313" s="11">
        <v>1153128</v>
      </c>
      <c r="G313" s="11">
        <v>1242066</v>
      </c>
      <c r="H313" s="11">
        <v>1187671.8799999999</v>
      </c>
      <c r="I313" s="12"/>
      <c r="J313" s="12"/>
      <c r="K313" s="11">
        <v>54394.120000000097</v>
      </c>
    </row>
    <row r="314" spans="1:11" x14ac:dyDescent="0.35">
      <c r="A314" s="10" t="s">
        <v>485</v>
      </c>
      <c r="B314" s="10" t="s">
        <v>486</v>
      </c>
      <c r="C314" s="10" t="s">
        <v>501</v>
      </c>
      <c r="D314" s="10" t="s">
        <v>502</v>
      </c>
      <c r="E314" s="10" t="s">
        <v>504</v>
      </c>
      <c r="F314" s="11">
        <v>1681399</v>
      </c>
      <c r="G314" s="11">
        <v>1827377</v>
      </c>
      <c r="H314" s="11">
        <v>1479472.84</v>
      </c>
      <c r="I314" s="12"/>
      <c r="J314" s="12"/>
      <c r="K314" s="11">
        <v>347904.16</v>
      </c>
    </row>
    <row r="315" spans="1:11" x14ac:dyDescent="0.35">
      <c r="A315" s="10" t="s">
        <v>485</v>
      </c>
      <c r="B315" s="10" t="s">
        <v>486</v>
      </c>
      <c r="C315" s="10" t="s">
        <v>501</v>
      </c>
      <c r="D315" s="10" t="s">
        <v>502</v>
      </c>
      <c r="E315" s="10" t="s">
        <v>505</v>
      </c>
      <c r="F315" s="11">
        <v>1703132</v>
      </c>
      <c r="G315" s="11">
        <v>1822786</v>
      </c>
      <c r="H315" s="11">
        <v>1523249.09</v>
      </c>
      <c r="I315" s="12"/>
      <c r="J315" s="12"/>
      <c r="K315" s="11">
        <v>299536.90999999997</v>
      </c>
    </row>
    <row r="316" spans="1:11" x14ac:dyDescent="0.35">
      <c r="A316" s="10" t="s">
        <v>485</v>
      </c>
      <c r="B316" s="10" t="s">
        <v>486</v>
      </c>
      <c r="C316" s="10" t="s">
        <v>501</v>
      </c>
      <c r="D316" s="10" t="s">
        <v>502</v>
      </c>
      <c r="E316" s="10" t="s">
        <v>506</v>
      </c>
      <c r="F316" s="11">
        <v>153570</v>
      </c>
      <c r="G316" s="11">
        <v>153570</v>
      </c>
      <c r="H316" s="12"/>
      <c r="I316" s="12"/>
      <c r="J316" s="12"/>
      <c r="K316" s="11">
        <v>153570</v>
      </c>
    </row>
    <row r="317" spans="1:11" x14ac:dyDescent="0.35">
      <c r="A317" s="10" t="s">
        <v>485</v>
      </c>
      <c r="B317" s="10" t="s">
        <v>486</v>
      </c>
      <c r="C317" s="10" t="s">
        <v>507</v>
      </c>
      <c r="D317" s="10" t="s">
        <v>508</v>
      </c>
      <c r="E317" s="10" t="s">
        <v>509</v>
      </c>
      <c r="F317" s="11">
        <v>44000</v>
      </c>
      <c r="G317" s="11">
        <v>44000</v>
      </c>
      <c r="H317" s="11">
        <v>41250</v>
      </c>
      <c r="I317" s="12"/>
      <c r="J317" s="12"/>
      <c r="K317" s="11">
        <v>2750</v>
      </c>
    </row>
    <row r="318" spans="1:11" x14ac:dyDescent="0.35">
      <c r="A318" s="10" t="s">
        <v>485</v>
      </c>
      <c r="B318" s="10" t="s">
        <v>486</v>
      </c>
      <c r="C318" s="10" t="s">
        <v>510</v>
      </c>
      <c r="D318" s="10" t="s">
        <v>511</v>
      </c>
      <c r="E318" s="10" t="s">
        <v>512</v>
      </c>
      <c r="F318" s="11">
        <v>0</v>
      </c>
      <c r="G318" s="11">
        <v>24416</v>
      </c>
      <c r="H318" s="11">
        <v>24415</v>
      </c>
      <c r="I318" s="11">
        <v>0</v>
      </c>
      <c r="J318" s="11">
        <v>0</v>
      </c>
      <c r="K318" s="11">
        <v>1</v>
      </c>
    </row>
    <row r="319" spans="1:11" x14ac:dyDescent="0.35">
      <c r="A319" s="10" t="s">
        <v>485</v>
      </c>
      <c r="B319" s="10" t="s">
        <v>486</v>
      </c>
      <c r="C319" s="10" t="s">
        <v>513</v>
      </c>
      <c r="D319" s="10" t="s">
        <v>514</v>
      </c>
      <c r="E319" s="10" t="s">
        <v>515</v>
      </c>
      <c r="F319" s="11">
        <v>967680</v>
      </c>
      <c r="G319" s="11">
        <v>1044290</v>
      </c>
      <c r="H319" s="11">
        <v>967128.96</v>
      </c>
      <c r="I319" s="11">
        <v>0</v>
      </c>
      <c r="J319" s="11">
        <v>22334</v>
      </c>
      <c r="K319" s="11">
        <v>54827.040000000001</v>
      </c>
    </row>
    <row r="320" spans="1:11" x14ac:dyDescent="0.35">
      <c r="A320" s="10" t="s">
        <v>485</v>
      </c>
      <c r="B320" s="10" t="s">
        <v>486</v>
      </c>
      <c r="C320" s="10" t="s">
        <v>464</v>
      </c>
      <c r="D320" s="10" t="s">
        <v>465</v>
      </c>
      <c r="E320" s="10" t="s">
        <v>516</v>
      </c>
      <c r="F320" s="11">
        <v>0</v>
      </c>
      <c r="G320" s="11">
        <v>-367211</v>
      </c>
      <c r="H320" s="11">
        <v>-371826.82</v>
      </c>
      <c r="I320" s="12"/>
      <c r="J320" s="11">
        <v>-7.0000000006984905E-2</v>
      </c>
      <c r="K320" s="11">
        <v>4615.8900000000103</v>
      </c>
    </row>
    <row r="321" spans="1:11" x14ac:dyDescent="0.35">
      <c r="A321" s="10" t="s">
        <v>485</v>
      </c>
      <c r="B321" s="10" t="s">
        <v>486</v>
      </c>
      <c r="C321" s="10" t="s">
        <v>464</v>
      </c>
      <c r="D321" s="10" t="s">
        <v>465</v>
      </c>
      <c r="E321" s="10" t="s">
        <v>517</v>
      </c>
      <c r="F321" s="11">
        <v>0</v>
      </c>
      <c r="G321" s="11">
        <v>-241882</v>
      </c>
      <c r="H321" s="11">
        <v>-242103.6</v>
      </c>
      <c r="I321" s="11">
        <v>2</v>
      </c>
      <c r="J321" s="11">
        <v>0</v>
      </c>
      <c r="K321" s="11">
        <v>219.60000000000599</v>
      </c>
    </row>
    <row r="322" spans="1:11" x14ac:dyDescent="0.35">
      <c r="A322" s="10" t="s">
        <v>485</v>
      </c>
      <c r="B322" s="10" t="s">
        <v>486</v>
      </c>
      <c r="C322" s="10" t="s">
        <v>476</v>
      </c>
      <c r="D322" s="10" t="s">
        <v>477</v>
      </c>
      <c r="E322" s="10" t="s">
        <v>518</v>
      </c>
      <c r="F322" s="11">
        <v>140000</v>
      </c>
      <c r="G322" s="11">
        <v>140000</v>
      </c>
      <c r="H322" s="11">
        <v>23171.84</v>
      </c>
      <c r="I322" s="11">
        <v>0</v>
      </c>
      <c r="J322" s="11">
        <v>66430</v>
      </c>
      <c r="K322" s="11">
        <v>50398.16</v>
      </c>
    </row>
    <row r="323" spans="1:11" x14ac:dyDescent="0.35">
      <c r="A323" s="10" t="s">
        <v>485</v>
      </c>
      <c r="B323" s="10" t="s">
        <v>486</v>
      </c>
      <c r="C323" s="10" t="s">
        <v>479</v>
      </c>
      <c r="D323" s="10" t="s">
        <v>480</v>
      </c>
      <c r="E323" s="10" t="s">
        <v>519</v>
      </c>
      <c r="F323" s="11">
        <v>0</v>
      </c>
      <c r="G323" s="11">
        <v>1477395</v>
      </c>
      <c r="H323" s="11">
        <v>1441006.98</v>
      </c>
      <c r="I323" s="11">
        <v>2</v>
      </c>
      <c r="J323" s="11">
        <v>11386.0800000001</v>
      </c>
      <c r="K323" s="11">
        <v>24999.94</v>
      </c>
    </row>
    <row r="324" spans="1:11" x14ac:dyDescent="0.35">
      <c r="A324" s="10" t="s">
        <v>485</v>
      </c>
      <c r="B324" s="10" t="s">
        <v>486</v>
      </c>
      <c r="C324" s="10" t="s">
        <v>520</v>
      </c>
      <c r="D324" s="10" t="s">
        <v>521</v>
      </c>
      <c r="E324" s="10" t="s">
        <v>522</v>
      </c>
      <c r="F324" s="11">
        <v>336000</v>
      </c>
      <c r="G324" s="11">
        <v>336000</v>
      </c>
      <c r="H324" s="11">
        <v>266719.75</v>
      </c>
      <c r="I324" s="12"/>
      <c r="J324" s="12"/>
      <c r="K324" s="11">
        <v>69280.25</v>
      </c>
    </row>
    <row r="325" spans="1:11" x14ac:dyDescent="0.35">
      <c r="A325" s="10" t="s">
        <v>485</v>
      </c>
      <c r="B325" s="10" t="s">
        <v>486</v>
      </c>
      <c r="C325" s="10" t="s">
        <v>154</v>
      </c>
      <c r="D325" s="10" t="s">
        <v>155</v>
      </c>
      <c r="E325" s="10" t="s">
        <v>523</v>
      </c>
      <c r="F325" s="11">
        <v>193910</v>
      </c>
      <c r="G325" s="11">
        <v>110009</v>
      </c>
      <c r="H325" s="11">
        <v>110007.78</v>
      </c>
      <c r="I325" s="11">
        <v>0</v>
      </c>
      <c r="J325" s="11">
        <v>0</v>
      </c>
      <c r="K325" s="11">
        <v>1.2200000000011599</v>
      </c>
    </row>
    <row r="326" spans="1:11" x14ac:dyDescent="0.35">
      <c r="A326" s="10" t="s">
        <v>524</v>
      </c>
      <c r="B326" s="10" t="s">
        <v>525</v>
      </c>
      <c r="C326" s="10" t="s">
        <v>43</v>
      </c>
      <c r="D326" s="10" t="s">
        <v>44</v>
      </c>
      <c r="E326" s="10" t="s">
        <v>526</v>
      </c>
      <c r="F326" s="11">
        <v>0</v>
      </c>
      <c r="G326" s="11">
        <v>6445</v>
      </c>
      <c r="H326" s="11">
        <v>5845</v>
      </c>
      <c r="I326" s="12"/>
      <c r="J326" s="12"/>
      <c r="K326" s="11">
        <v>600</v>
      </c>
    </row>
    <row r="327" spans="1:11" x14ac:dyDescent="0.35">
      <c r="A327" s="10" t="s">
        <v>527</v>
      </c>
      <c r="B327" s="10" t="s">
        <v>528</v>
      </c>
      <c r="C327" s="10" t="s">
        <v>529</v>
      </c>
      <c r="D327" s="10" t="s">
        <v>530</v>
      </c>
      <c r="E327" s="10" t="s">
        <v>531</v>
      </c>
      <c r="F327" s="11">
        <v>295000</v>
      </c>
      <c r="G327" s="11">
        <v>383200</v>
      </c>
      <c r="H327" s="11">
        <v>335225</v>
      </c>
      <c r="I327" s="12"/>
      <c r="J327" s="12"/>
      <c r="K327" s="11">
        <v>47975</v>
      </c>
    </row>
    <row r="328" spans="1:11" x14ac:dyDescent="0.35">
      <c r="A328" s="10" t="s">
        <v>527</v>
      </c>
      <c r="B328" s="10" t="s">
        <v>528</v>
      </c>
      <c r="C328" s="10" t="s">
        <v>437</v>
      </c>
      <c r="D328" s="10" t="s">
        <v>438</v>
      </c>
      <c r="E328" s="10" t="s">
        <v>532</v>
      </c>
      <c r="F328" s="11">
        <v>431160</v>
      </c>
      <c r="G328" s="11">
        <v>31160</v>
      </c>
      <c r="H328" s="11">
        <v>31000</v>
      </c>
      <c r="I328" s="12"/>
      <c r="J328" s="12"/>
      <c r="K328" s="11">
        <v>160</v>
      </c>
    </row>
    <row r="329" spans="1:11" x14ac:dyDescent="0.35">
      <c r="A329" s="10" t="s">
        <v>527</v>
      </c>
      <c r="B329" s="10" t="s">
        <v>528</v>
      </c>
      <c r="C329" s="10" t="s">
        <v>533</v>
      </c>
      <c r="D329" s="10" t="s">
        <v>534</v>
      </c>
      <c r="E329" s="10" t="s">
        <v>535</v>
      </c>
      <c r="F329" s="11">
        <v>310500</v>
      </c>
      <c r="G329" s="11">
        <v>614360</v>
      </c>
      <c r="H329" s="11">
        <v>386410</v>
      </c>
      <c r="I329" s="11">
        <v>0</v>
      </c>
      <c r="J329" s="11">
        <v>132860</v>
      </c>
      <c r="K329" s="11">
        <v>95090</v>
      </c>
    </row>
    <row r="330" spans="1:11" x14ac:dyDescent="0.35">
      <c r="A330" s="10" t="s">
        <v>527</v>
      </c>
      <c r="B330" s="10" t="s">
        <v>528</v>
      </c>
      <c r="C330" s="10" t="s">
        <v>536</v>
      </c>
      <c r="D330" s="10" t="s">
        <v>537</v>
      </c>
      <c r="E330" s="10" t="s">
        <v>538</v>
      </c>
      <c r="F330" s="11">
        <v>3600</v>
      </c>
      <c r="G330" s="11">
        <v>3600</v>
      </c>
      <c r="H330" s="11">
        <v>536.14</v>
      </c>
      <c r="I330" s="12"/>
      <c r="J330" s="12"/>
      <c r="K330" s="11">
        <v>3063.86</v>
      </c>
    </row>
    <row r="331" spans="1:11" x14ac:dyDescent="0.35">
      <c r="A331" s="10" t="s">
        <v>527</v>
      </c>
      <c r="B331" s="10" t="s">
        <v>528</v>
      </c>
      <c r="C331" s="10" t="s">
        <v>539</v>
      </c>
      <c r="D331" s="10" t="s">
        <v>540</v>
      </c>
      <c r="E331" s="10" t="s">
        <v>541</v>
      </c>
      <c r="F331" s="11">
        <v>90000</v>
      </c>
      <c r="G331" s="11">
        <v>124500</v>
      </c>
      <c r="H331" s="11">
        <v>99123.96</v>
      </c>
      <c r="I331" s="12"/>
      <c r="J331" s="12"/>
      <c r="K331" s="11">
        <v>25376.04</v>
      </c>
    </row>
    <row r="332" spans="1:11" x14ac:dyDescent="0.35">
      <c r="A332" s="10" t="s">
        <v>527</v>
      </c>
      <c r="B332" s="10" t="s">
        <v>528</v>
      </c>
      <c r="C332" s="10" t="s">
        <v>37</v>
      </c>
      <c r="D332" s="10" t="s">
        <v>38</v>
      </c>
      <c r="E332" s="10" t="s">
        <v>542</v>
      </c>
      <c r="F332" s="11">
        <v>0</v>
      </c>
      <c r="G332" s="11">
        <v>5000</v>
      </c>
      <c r="H332" s="11">
        <v>3079</v>
      </c>
      <c r="I332" s="12"/>
      <c r="J332" s="12"/>
      <c r="K332" s="11">
        <v>4000</v>
      </c>
    </row>
    <row r="333" spans="1:11" x14ac:dyDescent="0.35">
      <c r="A333" s="10" t="s">
        <v>527</v>
      </c>
      <c r="B333" s="10" t="s">
        <v>528</v>
      </c>
      <c r="C333" s="10" t="s">
        <v>40</v>
      </c>
      <c r="D333" s="10" t="s">
        <v>41</v>
      </c>
      <c r="E333" s="10" t="s">
        <v>543</v>
      </c>
      <c r="F333" s="11">
        <v>31680</v>
      </c>
      <c r="G333" s="11">
        <v>31680</v>
      </c>
      <c r="H333" s="11">
        <v>31680</v>
      </c>
      <c r="I333" s="11">
        <v>0</v>
      </c>
      <c r="J333" s="11">
        <v>0</v>
      </c>
      <c r="K333" s="11">
        <v>0</v>
      </c>
    </row>
    <row r="334" spans="1:11" x14ac:dyDescent="0.35">
      <c r="A334" s="10" t="s">
        <v>527</v>
      </c>
      <c r="B334" s="10" t="s">
        <v>528</v>
      </c>
      <c r="C334" s="10" t="s">
        <v>154</v>
      </c>
      <c r="D334" s="10" t="s">
        <v>155</v>
      </c>
      <c r="E334" s="10" t="s">
        <v>544</v>
      </c>
      <c r="F334" s="12"/>
      <c r="G334" s="12"/>
      <c r="H334" s="11">
        <v>0</v>
      </c>
      <c r="I334" s="12"/>
      <c r="J334" s="12"/>
      <c r="K334" s="11">
        <v>0</v>
      </c>
    </row>
    <row r="335" spans="1:11" x14ac:dyDescent="0.35">
      <c r="A335" s="10" t="s">
        <v>527</v>
      </c>
      <c r="B335" s="10" t="s">
        <v>528</v>
      </c>
      <c r="C335" s="10" t="s">
        <v>545</v>
      </c>
      <c r="D335" s="10" t="s">
        <v>546</v>
      </c>
      <c r="E335" s="10" t="s">
        <v>547</v>
      </c>
      <c r="F335" s="11">
        <v>2500</v>
      </c>
      <c r="G335" s="11">
        <v>10870</v>
      </c>
      <c r="H335" s="11">
        <v>6150</v>
      </c>
      <c r="I335" s="12"/>
      <c r="J335" s="12"/>
      <c r="K335" s="11">
        <v>4720</v>
      </c>
    </row>
    <row r="336" spans="1:11" x14ac:dyDescent="0.35">
      <c r="A336" s="10" t="s">
        <v>548</v>
      </c>
      <c r="B336" s="10" t="s">
        <v>549</v>
      </c>
      <c r="C336" s="10" t="s">
        <v>25</v>
      </c>
      <c r="D336" s="10" t="s">
        <v>26</v>
      </c>
      <c r="E336" s="10" t="s">
        <v>550</v>
      </c>
      <c r="F336" s="12"/>
      <c r="G336" s="12"/>
      <c r="H336" s="11">
        <v>-177900.66</v>
      </c>
      <c r="I336" s="12"/>
      <c r="J336" s="12"/>
      <c r="K336" s="11">
        <v>177900.66</v>
      </c>
    </row>
    <row r="337" spans="1:11" x14ac:dyDescent="0.35">
      <c r="A337" s="10" t="s">
        <v>548</v>
      </c>
      <c r="B337" s="10" t="s">
        <v>549</v>
      </c>
      <c r="C337" s="10" t="s">
        <v>28</v>
      </c>
      <c r="D337" s="10" t="s">
        <v>29</v>
      </c>
      <c r="E337" s="10" t="s">
        <v>551</v>
      </c>
      <c r="F337" s="11">
        <v>2000</v>
      </c>
      <c r="G337" s="11">
        <v>24000</v>
      </c>
      <c r="H337" s="11">
        <v>12000</v>
      </c>
      <c r="I337" s="11">
        <v>0</v>
      </c>
      <c r="J337" s="11">
        <v>0</v>
      </c>
      <c r="K337" s="11">
        <v>12000</v>
      </c>
    </row>
    <row r="338" spans="1:11" x14ac:dyDescent="0.35">
      <c r="A338" s="10" t="s">
        <v>548</v>
      </c>
      <c r="B338" s="10" t="s">
        <v>549</v>
      </c>
      <c r="C338" s="10" t="s">
        <v>40</v>
      </c>
      <c r="D338" s="10" t="s">
        <v>41</v>
      </c>
      <c r="E338" s="10" t="s">
        <v>552</v>
      </c>
      <c r="F338" s="11">
        <v>0</v>
      </c>
      <c r="G338" s="11">
        <v>7300</v>
      </c>
      <c r="H338" s="11">
        <v>6271</v>
      </c>
      <c r="I338" s="11">
        <v>0</v>
      </c>
      <c r="J338" s="11">
        <v>0</v>
      </c>
      <c r="K338" s="11">
        <v>1029</v>
      </c>
    </row>
    <row r="339" spans="1:11" x14ac:dyDescent="0.35">
      <c r="A339" s="10" t="s">
        <v>548</v>
      </c>
      <c r="B339" s="10" t="s">
        <v>549</v>
      </c>
      <c r="C339" s="10" t="s">
        <v>491</v>
      </c>
      <c r="D339" s="10" t="s">
        <v>492</v>
      </c>
      <c r="E339" s="10" t="s">
        <v>553</v>
      </c>
      <c r="F339" s="11">
        <v>10000</v>
      </c>
      <c r="G339" s="11">
        <v>15000</v>
      </c>
      <c r="H339" s="11">
        <v>9949.27</v>
      </c>
      <c r="I339" s="12"/>
      <c r="J339" s="12"/>
      <c r="K339" s="11">
        <v>4929.67</v>
      </c>
    </row>
    <row r="340" spans="1:11" x14ac:dyDescent="0.35">
      <c r="A340" s="10" t="s">
        <v>548</v>
      </c>
      <c r="B340" s="10" t="s">
        <v>549</v>
      </c>
      <c r="C340" s="10" t="s">
        <v>424</v>
      </c>
      <c r="D340" s="10" t="s">
        <v>425</v>
      </c>
      <c r="E340" s="10" t="s">
        <v>554</v>
      </c>
      <c r="F340" s="11">
        <v>250000</v>
      </c>
      <c r="G340" s="11">
        <v>350000</v>
      </c>
      <c r="H340" s="11">
        <v>344310.99</v>
      </c>
      <c r="I340" s="11">
        <v>0</v>
      </c>
      <c r="J340" s="11">
        <v>0</v>
      </c>
      <c r="K340" s="11">
        <v>236.98000000000999</v>
      </c>
    </row>
    <row r="341" spans="1:11" x14ac:dyDescent="0.35">
      <c r="A341" s="10" t="s">
        <v>548</v>
      </c>
      <c r="B341" s="10" t="s">
        <v>549</v>
      </c>
      <c r="C341" s="10" t="s">
        <v>464</v>
      </c>
      <c r="D341" s="10" t="s">
        <v>465</v>
      </c>
      <c r="E341" s="10" t="s">
        <v>555</v>
      </c>
      <c r="F341" s="11">
        <v>236400</v>
      </c>
      <c r="G341" s="11">
        <v>54400</v>
      </c>
      <c r="H341" s="11">
        <v>50950</v>
      </c>
      <c r="I341" s="11">
        <v>0</v>
      </c>
      <c r="J341" s="11">
        <v>0</v>
      </c>
      <c r="K341" s="11">
        <v>3450</v>
      </c>
    </row>
    <row r="342" spans="1:11" x14ac:dyDescent="0.35">
      <c r="A342" s="10" t="s">
        <v>548</v>
      </c>
      <c r="B342" s="10" t="s">
        <v>549</v>
      </c>
      <c r="C342" s="10" t="s">
        <v>479</v>
      </c>
      <c r="D342" s="10" t="s">
        <v>480</v>
      </c>
      <c r="E342" s="10" t="s">
        <v>556</v>
      </c>
      <c r="F342" s="11">
        <v>840000</v>
      </c>
      <c r="G342" s="11">
        <v>164310</v>
      </c>
      <c r="H342" s="11">
        <v>163340.39000000001</v>
      </c>
      <c r="I342" s="11">
        <v>0</v>
      </c>
      <c r="J342" s="11">
        <v>450</v>
      </c>
      <c r="K342" s="11">
        <v>519.60999999998603</v>
      </c>
    </row>
    <row r="343" spans="1:11" x14ac:dyDescent="0.35">
      <c r="A343" s="10" t="s">
        <v>548</v>
      </c>
      <c r="B343" s="10" t="s">
        <v>549</v>
      </c>
      <c r="C343" s="10" t="s">
        <v>154</v>
      </c>
      <c r="D343" s="10" t="s">
        <v>155</v>
      </c>
      <c r="E343" s="10" t="s">
        <v>557</v>
      </c>
      <c r="F343" s="11">
        <v>50000</v>
      </c>
      <c r="G343" s="11">
        <v>12854</v>
      </c>
      <c r="H343" s="11">
        <v>12853.5</v>
      </c>
      <c r="I343" s="11">
        <v>0</v>
      </c>
      <c r="J343" s="12"/>
      <c r="K343" s="11">
        <v>0.5</v>
      </c>
    </row>
    <row r="344" spans="1:11" x14ac:dyDescent="0.35">
      <c r="A344" s="10" t="s">
        <v>548</v>
      </c>
      <c r="B344" s="10" t="s">
        <v>549</v>
      </c>
      <c r="C344" s="10" t="s">
        <v>545</v>
      </c>
      <c r="D344" s="10" t="s">
        <v>546</v>
      </c>
      <c r="E344" s="10" t="s">
        <v>558</v>
      </c>
      <c r="F344" s="11">
        <v>120000</v>
      </c>
      <c r="G344" s="11">
        <v>180000</v>
      </c>
      <c r="H344" s="11">
        <v>168681.29</v>
      </c>
      <c r="I344" s="11">
        <v>53.01</v>
      </c>
      <c r="J344" s="11">
        <v>-2.18278728425503E-11</v>
      </c>
      <c r="K344" s="11">
        <v>25351.11</v>
      </c>
    </row>
    <row r="345" spans="1:11" x14ac:dyDescent="0.35">
      <c r="A345" s="10" t="s">
        <v>559</v>
      </c>
      <c r="B345" s="10" t="s">
        <v>560</v>
      </c>
      <c r="C345" s="10" t="s">
        <v>25</v>
      </c>
      <c r="D345" s="10" t="s">
        <v>26</v>
      </c>
      <c r="E345" s="10" t="s">
        <v>561</v>
      </c>
      <c r="F345" s="11">
        <v>300000</v>
      </c>
      <c r="G345" s="11">
        <v>600000</v>
      </c>
      <c r="H345" s="11">
        <v>8026</v>
      </c>
      <c r="I345" s="11">
        <v>0</v>
      </c>
      <c r="J345" s="11">
        <v>554766.9</v>
      </c>
      <c r="K345" s="11">
        <v>37207.1</v>
      </c>
    </row>
    <row r="346" spans="1:11" x14ac:dyDescent="0.35">
      <c r="A346" s="10" t="s">
        <v>559</v>
      </c>
      <c r="B346" s="10" t="s">
        <v>560</v>
      </c>
      <c r="C346" s="10" t="s">
        <v>31</v>
      </c>
      <c r="D346" s="10" t="s">
        <v>32</v>
      </c>
      <c r="E346" s="10" t="s">
        <v>562</v>
      </c>
      <c r="F346" s="11">
        <v>50000</v>
      </c>
      <c r="G346" s="11">
        <v>30900</v>
      </c>
      <c r="H346" s="11">
        <v>13190</v>
      </c>
      <c r="I346" s="12"/>
      <c r="J346" s="12"/>
      <c r="K346" s="11">
        <v>17710</v>
      </c>
    </row>
    <row r="347" spans="1:11" x14ac:dyDescent="0.35">
      <c r="A347" s="10" t="s">
        <v>559</v>
      </c>
      <c r="B347" s="10" t="s">
        <v>560</v>
      </c>
      <c r="C347" s="10" t="s">
        <v>37</v>
      </c>
      <c r="D347" s="10" t="s">
        <v>38</v>
      </c>
      <c r="E347" s="10" t="s">
        <v>563</v>
      </c>
      <c r="F347" s="11">
        <v>250000</v>
      </c>
      <c r="G347" s="11">
        <v>176273</v>
      </c>
      <c r="H347" s="11">
        <v>11150</v>
      </c>
      <c r="I347" s="11">
        <v>0</v>
      </c>
      <c r="J347" s="11">
        <v>151740</v>
      </c>
      <c r="K347" s="11">
        <v>13383</v>
      </c>
    </row>
    <row r="348" spans="1:11" x14ac:dyDescent="0.35">
      <c r="A348" s="10" t="s">
        <v>559</v>
      </c>
      <c r="B348" s="10" t="s">
        <v>560</v>
      </c>
      <c r="C348" s="10" t="s">
        <v>40</v>
      </c>
      <c r="D348" s="10" t="s">
        <v>41</v>
      </c>
      <c r="E348" s="10" t="s">
        <v>564</v>
      </c>
      <c r="F348" s="11">
        <v>600000</v>
      </c>
      <c r="G348" s="11">
        <v>198628</v>
      </c>
      <c r="H348" s="11">
        <v>165285</v>
      </c>
      <c r="I348" s="11">
        <v>1</v>
      </c>
      <c r="J348" s="11">
        <v>18000</v>
      </c>
      <c r="K348" s="11">
        <v>15342</v>
      </c>
    </row>
    <row r="349" spans="1:11" x14ac:dyDescent="0.35">
      <c r="A349" s="10" t="s">
        <v>559</v>
      </c>
      <c r="B349" s="10" t="s">
        <v>560</v>
      </c>
      <c r="C349" s="10" t="s">
        <v>565</v>
      </c>
      <c r="D349" s="10" t="s">
        <v>566</v>
      </c>
      <c r="E349" s="10" t="s">
        <v>567</v>
      </c>
      <c r="F349" s="11">
        <v>10000</v>
      </c>
      <c r="G349" s="11">
        <v>4000</v>
      </c>
      <c r="H349" s="12"/>
      <c r="I349" s="12"/>
      <c r="J349" s="12"/>
      <c r="K349" s="11">
        <v>4000</v>
      </c>
    </row>
    <row r="350" spans="1:11" x14ac:dyDescent="0.35">
      <c r="A350" s="10" t="s">
        <v>559</v>
      </c>
      <c r="B350" s="10" t="s">
        <v>560</v>
      </c>
      <c r="C350" s="10" t="s">
        <v>43</v>
      </c>
      <c r="D350" s="10" t="s">
        <v>44</v>
      </c>
      <c r="E350" s="10" t="s">
        <v>568</v>
      </c>
      <c r="F350" s="11">
        <v>0</v>
      </c>
      <c r="G350" s="11">
        <v>35100</v>
      </c>
      <c r="H350" s="11">
        <v>35080</v>
      </c>
      <c r="I350" s="12"/>
      <c r="J350" s="12"/>
      <c r="K350" s="11">
        <v>20</v>
      </c>
    </row>
    <row r="351" spans="1:11" x14ac:dyDescent="0.35">
      <c r="A351" s="10" t="s">
        <v>559</v>
      </c>
      <c r="B351" s="10" t="s">
        <v>560</v>
      </c>
      <c r="C351" s="10" t="s">
        <v>49</v>
      </c>
      <c r="D351" s="10" t="s">
        <v>50</v>
      </c>
      <c r="E351" s="10" t="s">
        <v>569</v>
      </c>
      <c r="F351" s="11">
        <v>250000</v>
      </c>
      <c r="G351" s="11">
        <v>205861</v>
      </c>
      <c r="H351" s="11">
        <v>61260.1</v>
      </c>
      <c r="I351" s="11">
        <v>143100</v>
      </c>
      <c r="J351" s="11">
        <v>0</v>
      </c>
      <c r="K351" s="11">
        <v>1500.8999999999901</v>
      </c>
    </row>
    <row r="352" spans="1:11" x14ac:dyDescent="0.35">
      <c r="A352" s="10" t="s">
        <v>559</v>
      </c>
      <c r="B352" s="10" t="s">
        <v>560</v>
      </c>
      <c r="C352" s="10" t="s">
        <v>154</v>
      </c>
      <c r="D352" s="10" t="s">
        <v>155</v>
      </c>
      <c r="E352" s="10" t="s">
        <v>570</v>
      </c>
      <c r="F352" s="11">
        <v>50000</v>
      </c>
      <c r="G352" s="11">
        <v>56000</v>
      </c>
      <c r="H352" s="11">
        <v>17470</v>
      </c>
      <c r="I352" s="11">
        <v>0</v>
      </c>
      <c r="J352" s="11">
        <v>34475</v>
      </c>
      <c r="K352" s="11">
        <v>4055</v>
      </c>
    </row>
    <row r="353" spans="1:11" x14ac:dyDescent="0.35">
      <c r="A353" s="10" t="s">
        <v>571</v>
      </c>
      <c r="B353" s="10" t="s">
        <v>572</v>
      </c>
      <c r="C353" s="10" t="s">
        <v>573</v>
      </c>
      <c r="D353" s="10" t="s">
        <v>574</v>
      </c>
      <c r="E353" s="10" t="s">
        <v>575</v>
      </c>
      <c r="F353" s="11">
        <v>10351793</v>
      </c>
      <c r="G353" s="11">
        <v>0</v>
      </c>
      <c r="H353" s="12"/>
      <c r="I353" s="12"/>
      <c r="J353" s="12"/>
      <c r="K353" s="11">
        <v>0</v>
      </c>
    </row>
    <row r="354" spans="1:11" x14ac:dyDescent="0.35">
      <c r="A354" s="10" t="s">
        <v>571</v>
      </c>
      <c r="B354" s="10" t="s">
        <v>572</v>
      </c>
      <c r="C354" s="10" t="s">
        <v>576</v>
      </c>
      <c r="D354" s="10" t="s">
        <v>577</v>
      </c>
      <c r="E354" s="10" t="s">
        <v>578</v>
      </c>
      <c r="F354" s="11">
        <v>0</v>
      </c>
      <c r="G354" s="11">
        <v>10351793</v>
      </c>
      <c r="H354" s="11">
        <v>10226277.23</v>
      </c>
      <c r="I354" s="12"/>
      <c r="J354" s="12"/>
      <c r="K354" s="11">
        <v>125515.77000000099</v>
      </c>
    </row>
    <row r="355" spans="1:11" x14ac:dyDescent="0.35">
      <c r="A355" s="10" t="s">
        <v>571</v>
      </c>
      <c r="B355" s="10" t="s">
        <v>572</v>
      </c>
      <c r="C355" s="10" t="s">
        <v>437</v>
      </c>
      <c r="D355" s="10" t="s">
        <v>438</v>
      </c>
      <c r="E355" s="10" t="s">
        <v>579</v>
      </c>
      <c r="F355" s="11">
        <v>7465192</v>
      </c>
      <c r="G355" s="11">
        <v>373662</v>
      </c>
      <c r="H355" s="11">
        <v>-189882.07</v>
      </c>
      <c r="I355" s="11">
        <v>0</v>
      </c>
      <c r="J355" s="11">
        <v>563543.22</v>
      </c>
      <c r="K355" s="11">
        <v>0.85000000009313204</v>
      </c>
    </row>
    <row r="356" spans="1:11" x14ac:dyDescent="0.35">
      <c r="A356" s="10" t="s">
        <v>571</v>
      </c>
      <c r="B356" s="10" t="s">
        <v>572</v>
      </c>
      <c r="C356" s="10" t="s">
        <v>40</v>
      </c>
      <c r="D356" s="10" t="s">
        <v>41</v>
      </c>
      <c r="E356" s="10" t="s">
        <v>580</v>
      </c>
      <c r="F356" s="11">
        <v>8612571</v>
      </c>
      <c r="G356" s="11">
        <v>7653071</v>
      </c>
      <c r="H356" s="11">
        <v>6366079.7000000002</v>
      </c>
      <c r="I356" s="11">
        <v>81250.09</v>
      </c>
      <c r="J356" s="11">
        <v>1202716.1499999999</v>
      </c>
      <c r="K356" s="11">
        <v>3025.0600000007498</v>
      </c>
    </row>
    <row r="357" spans="1:11" x14ac:dyDescent="0.35">
      <c r="A357" s="10" t="s">
        <v>571</v>
      </c>
      <c r="B357" s="10" t="s">
        <v>572</v>
      </c>
      <c r="C357" s="10" t="s">
        <v>581</v>
      </c>
      <c r="D357" s="10" t="s">
        <v>582</v>
      </c>
      <c r="E357" s="10" t="s">
        <v>583</v>
      </c>
      <c r="F357" s="11">
        <v>800000</v>
      </c>
      <c r="G357" s="11">
        <v>2626114</v>
      </c>
      <c r="H357" s="11">
        <v>2608992.66</v>
      </c>
      <c r="I357" s="12"/>
      <c r="J357" s="12"/>
      <c r="K357" s="11">
        <v>43535.589999999902</v>
      </c>
    </row>
    <row r="358" spans="1:11" x14ac:dyDescent="0.35">
      <c r="A358" s="10" t="s">
        <v>571</v>
      </c>
      <c r="B358" s="10" t="s">
        <v>572</v>
      </c>
      <c r="C358" s="10" t="s">
        <v>584</v>
      </c>
      <c r="D358" s="10" t="s">
        <v>585</v>
      </c>
      <c r="E358" s="10" t="s">
        <v>586</v>
      </c>
      <c r="F358" s="11">
        <v>2618028</v>
      </c>
      <c r="G358" s="11">
        <v>2078615</v>
      </c>
      <c r="H358" s="11">
        <v>1931444.37</v>
      </c>
      <c r="I358" s="12"/>
      <c r="J358" s="12"/>
      <c r="K358" s="11">
        <v>147170.63</v>
      </c>
    </row>
    <row r="359" spans="1:11" x14ac:dyDescent="0.35">
      <c r="A359" s="10" t="s">
        <v>571</v>
      </c>
      <c r="B359" s="10" t="s">
        <v>572</v>
      </c>
      <c r="C359" s="10" t="s">
        <v>43</v>
      </c>
      <c r="D359" s="10" t="s">
        <v>44</v>
      </c>
      <c r="E359" s="10" t="s">
        <v>587</v>
      </c>
      <c r="F359" s="11">
        <v>11500</v>
      </c>
      <c r="G359" s="11">
        <v>22951</v>
      </c>
      <c r="H359" s="11">
        <v>4400</v>
      </c>
      <c r="I359" s="12"/>
      <c r="J359" s="12"/>
      <c r="K359" s="11">
        <v>18551</v>
      </c>
    </row>
    <row r="360" spans="1:11" x14ac:dyDescent="0.35">
      <c r="A360" s="10" t="s">
        <v>571</v>
      </c>
      <c r="B360" s="10" t="s">
        <v>572</v>
      </c>
      <c r="C360" s="10" t="s">
        <v>510</v>
      </c>
      <c r="D360" s="10" t="s">
        <v>511</v>
      </c>
      <c r="E360" s="10" t="s">
        <v>588</v>
      </c>
      <c r="F360" s="11">
        <v>1021317</v>
      </c>
      <c r="G360" s="11">
        <v>0</v>
      </c>
      <c r="H360" s="12"/>
      <c r="I360" s="12"/>
      <c r="J360" s="12"/>
      <c r="K360" s="11">
        <v>0</v>
      </c>
    </row>
    <row r="361" spans="1:11" x14ac:dyDescent="0.35">
      <c r="A361" s="10" t="s">
        <v>571</v>
      </c>
      <c r="B361" s="10" t="s">
        <v>572</v>
      </c>
      <c r="C361" s="10" t="s">
        <v>589</v>
      </c>
      <c r="D361" s="10" t="s">
        <v>590</v>
      </c>
      <c r="E361" s="10" t="s">
        <v>591</v>
      </c>
      <c r="F361" s="11">
        <v>0</v>
      </c>
      <c r="G361" s="11">
        <v>1022000</v>
      </c>
      <c r="H361" s="11">
        <v>754866.67</v>
      </c>
      <c r="I361" s="11">
        <v>0</v>
      </c>
      <c r="J361" s="11">
        <v>265899.09999999998</v>
      </c>
      <c r="K361" s="11">
        <v>1234.22999999992</v>
      </c>
    </row>
    <row r="362" spans="1:11" x14ac:dyDescent="0.35">
      <c r="A362" s="10" t="s">
        <v>571</v>
      </c>
      <c r="B362" s="10" t="s">
        <v>572</v>
      </c>
      <c r="C362" s="10" t="s">
        <v>123</v>
      </c>
      <c r="D362" s="10" t="s">
        <v>124</v>
      </c>
      <c r="E362" s="10" t="s">
        <v>592</v>
      </c>
      <c r="F362" s="11">
        <v>1475000</v>
      </c>
      <c r="G362" s="11">
        <v>1505000</v>
      </c>
      <c r="H362" s="11">
        <v>1455432.14</v>
      </c>
      <c r="I362" s="11">
        <v>0</v>
      </c>
      <c r="J362" s="11">
        <v>1.99999999934516</v>
      </c>
      <c r="K362" s="11">
        <v>49565.860000000801</v>
      </c>
    </row>
    <row r="363" spans="1:11" x14ac:dyDescent="0.35">
      <c r="A363" s="10" t="s">
        <v>571</v>
      </c>
      <c r="B363" s="10" t="s">
        <v>572</v>
      </c>
      <c r="C363" s="10" t="s">
        <v>593</v>
      </c>
      <c r="D363" s="10" t="s">
        <v>594</v>
      </c>
      <c r="E363" s="10" t="s">
        <v>595</v>
      </c>
      <c r="F363" s="11">
        <v>0</v>
      </c>
      <c r="G363" s="11">
        <v>364500</v>
      </c>
      <c r="H363" s="11">
        <v>362741.93</v>
      </c>
      <c r="I363" s="12"/>
      <c r="J363" s="12"/>
      <c r="K363" s="11">
        <v>1758.0699999999499</v>
      </c>
    </row>
    <row r="364" spans="1:11" x14ac:dyDescent="0.35">
      <c r="A364" s="10" t="s">
        <v>571</v>
      </c>
      <c r="B364" s="10" t="s">
        <v>572</v>
      </c>
      <c r="C364" s="10" t="s">
        <v>154</v>
      </c>
      <c r="D364" s="10" t="s">
        <v>155</v>
      </c>
      <c r="E364" s="10" t="s">
        <v>596</v>
      </c>
      <c r="F364" s="11">
        <v>360000</v>
      </c>
      <c r="G364" s="11">
        <v>0</v>
      </c>
      <c r="H364" s="12"/>
      <c r="I364" s="12"/>
      <c r="J364" s="12"/>
      <c r="K364" s="11">
        <v>0</v>
      </c>
    </row>
    <row r="365" spans="1:11" x14ac:dyDescent="0.35">
      <c r="A365" s="10" t="s">
        <v>597</v>
      </c>
      <c r="B365" s="10" t="s">
        <v>598</v>
      </c>
      <c r="C365" s="10" t="s">
        <v>67</v>
      </c>
      <c r="D365" s="10" t="s">
        <v>68</v>
      </c>
      <c r="E365" s="10" t="s">
        <v>599</v>
      </c>
      <c r="F365" s="11">
        <v>107500</v>
      </c>
      <c r="G365" s="11">
        <v>107500</v>
      </c>
      <c r="H365" s="12"/>
      <c r="I365" s="11">
        <v>0</v>
      </c>
      <c r="J365" s="11">
        <v>105000</v>
      </c>
      <c r="K365" s="11">
        <v>2500</v>
      </c>
    </row>
    <row r="366" spans="1:11" x14ac:dyDescent="0.35">
      <c r="A366" s="10" t="s">
        <v>597</v>
      </c>
      <c r="B366" s="10" t="s">
        <v>598</v>
      </c>
      <c r="C366" s="10" t="s">
        <v>31</v>
      </c>
      <c r="D366" s="10" t="s">
        <v>32</v>
      </c>
      <c r="E366" s="10" t="s">
        <v>600</v>
      </c>
      <c r="F366" s="11">
        <v>100000</v>
      </c>
      <c r="G366" s="11">
        <v>37700</v>
      </c>
      <c r="H366" s="11">
        <v>5876.8</v>
      </c>
      <c r="I366" s="12"/>
      <c r="J366" s="12"/>
      <c r="K366" s="11">
        <v>31823.200000000001</v>
      </c>
    </row>
    <row r="367" spans="1:11" x14ac:dyDescent="0.35">
      <c r="A367" s="10" t="s">
        <v>597</v>
      </c>
      <c r="B367" s="10" t="s">
        <v>598</v>
      </c>
      <c r="C367" s="10" t="s">
        <v>34</v>
      </c>
      <c r="D367" s="10" t="s">
        <v>35</v>
      </c>
      <c r="E367" s="10" t="s">
        <v>601</v>
      </c>
      <c r="F367" s="11">
        <v>0</v>
      </c>
      <c r="G367" s="11">
        <v>6000</v>
      </c>
      <c r="H367" s="12"/>
      <c r="I367" s="12"/>
      <c r="J367" s="12"/>
      <c r="K367" s="11">
        <v>6000</v>
      </c>
    </row>
    <row r="368" spans="1:11" x14ac:dyDescent="0.35">
      <c r="A368" s="10" t="s">
        <v>597</v>
      </c>
      <c r="B368" s="10" t="s">
        <v>598</v>
      </c>
      <c r="C368" s="10" t="s">
        <v>274</v>
      </c>
      <c r="D368" s="10" t="s">
        <v>275</v>
      </c>
      <c r="E368" s="10" t="s">
        <v>602</v>
      </c>
      <c r="F368" s="11">
        <v>76120</v>
      </c>
      <c r="G368" s="11">
        <v>96120</v>
      </c>
      <c r="H368" s="11">
        <v>88576</v>
      </c>
      <c r="I368" s="12"/>
      <c r="J368" s="12"/>
      <c r="K368" s="11">
        <v>7544</v>
      </c>
    </row>
    <row r="369" spans="1:11" x14ac:dyDescent="0.35">
      <c r="A369" s="10" t="s">
        <v>597</v>
      </c>
      <c r="B369" s="10" t="s">
        <v>598</v>
      </c>
      <c r="C369" s="10" t="s">
        <v>37</v>
      </c>
      <c r="D369" s="10" t="s">
        <v>38</v>
      </c>
      <c r="E369" s="10" t="s">
        <v>603</v>
      </c>
      <c r="F369" s="11">
        <v>162500</v>
      </c>
      <c r="G369" s="11">
        <v>22891</v>
      </c>
      <c r="H369" s="11">
        <v>16590</v>
      </c>
      <c r="I369" s="12"/>
      <c r="J369" s="12"/>
      <c r="K369" s="11">
        <v>6301</v>
      </c>
    </row>
    <row r="370" spans="1:11" x14ac:dyDescent="0.35">
      <c r="A370" s="10" t="s">
        <v>597</v>
      </c>
      <c r="B370" s="10" t="s">
        <v>598</v>
      </c>
      <c r="C370" s="10" t="s">
        <v>154</v>
      </c>
      <c r="D370" s="10" t="s">
        <v>155</v>
      </c>
      <c r="E370" s="10" t="s">
        <v>604</v>
      </c>
      <c r="F370" s="11">
        <v>50625</v>
      </c>
      <c r="G370" s="11">
        <v>7625</v>
      </c>
      <c r="H370" s="11">
        <v>7081.52</v>
      </c>
      <c r="I370" s="12"/>
      <c r="J370" s="12"/>
      <c r="K370" s="11">
        <v>543.48</v>
      </c>
    </row>
    <row r="371" spans="1:11" x14ac:dyDescent="0.35">
      <c r="A371" s="10" t="s">
        <v>597</v>
      </c>
      <c r="B371" s="10" t="s">
        <v>598</v>
      </c>
      <c r="C371" s="10" t="s">
        <v>545</v>
      </c>
      <c r="D371" s="10" t="s">
        <v>546</v>
      </c>
      <c r="E371" s="10" t="s">
        <v>605</v>
      </c>
      <c r="F371" s="11">
        <v>5625</v>
      </c>
      <c r="G371" s="11">
        <v>5625</v>
      </c>
      <c r="H371" s="12"/>
      <c r="I371" s="12"/>
      <c r="J371" s="12"/>
      <c r="K371" s="11">
        <v>5625</v>
      </c>
    </row>
    <row r="372" spans="1:11" x14ac:dyDescent="0.35">
      <c r="A372" s="10" t="s">
        <v>606</v>
      </c>
      <c r="B372" s="10" t="s">
        <v>607</v>
      </c>
      <c r="C372" s="10" t="s">
        <v>37</v>
      </c>
      <c r="D372" s="10" t="s">
        <v>38</v>
      </c>
      <c r="E372" s="10" t="s">
        <v>608</v>
      </c>
      <c r="F372" s="11">
        <v>30000</v>
      </c>
      <c r="G372" s="11">
        <v>28000</v>
      </c>
      <c r="H372" s="11">
        <v>3045</v>
      </c>
      <c r="I372" s="12"/>
      <c r="J372" s="12"/>
      <c r="K372" s="11">
        <v>24955</v>
      </c>
    </row>
    <row r="373" spans="1:11" x14ac:dyDescent="0.35">
      <c r="A373" s="10" t="s">
        <v>606</v>
      </c>
      <c r="B373" s="10" t="s">
        <v>607</v>
      </c>
      <c r="C373" s="10" t="s">
        <v>61</v>
      </c>
      <c r="D373" s="10" t="s">
        <v>62</v>
      </c>
      <c r="E373" s="10" t="s">
        <v>609</v>
      </c>
      <c r="F373" s="11">
        <v>428951</v>
      </c>
      <c r="G373" s="11">
        <v>403951</v>
      </c>
      <c r="H373" s="11">
        <v>30706.28</v>
      </c>
      <c r="I373" s="11">
        <v>0</v>
      </c>
      <c r="J373" s="11">
        <v>299294.42</v>
      </c>
      <c r="K373" s="11">
        <v>73950.3</v>
      </c>
    </row>
    <row r="374" spans="1:11" x14ac:dyDescent="0.35">
      <c r="A374" s="10" t="s">
        <v>606</v>
      </c>
      <c r="B374" s="10" t="s">
        <v>607</v>
      </c>
      <c r="C374" s="10" t="s">
        <v>43</v>
      </c>
      <c r="D374" s="10" t="s">
        <v>44</v>
      </c>
      <c r="E374" s="10" t="s">
        <v>610</v>
      </c>
      <c r="F374" s="11">
        <v>100000</v>
      </c>
      <c r="G374" s="11">
        <v>52246</v>
      </c>
      <c r="H374" s="11">
        <v>48418.080000000002</v>
      </c>
      <c r="I374" s="12"/>
      <c r="J374" s="12"/>
      <c r="K374" s="11">
        <v>3827.92</v>
      </c>
    </row>
    <row r="375" spans="1:11" x14ac:dyDescent="0.35">
      <c r="A375" s="10" t="s">
        <v>606</v>
      </c>
      <c r="B375" s="10" t="s">
        <v>607</v>
      </c>
      <c r="C375" s="10" t="s">
        <v>173</v>
      </c>
      <c r="D375" s="10" t="s">
        <v>174</v>
      </c>
      <c r="E375" s="10" t="s">
        <v>611</v>
      </c>
      <c r="F375" s="11">
        <v>0</v>
      </c>
      <c r="G375" s="11">
        <v>2000</v>
      </c>
      <c r="H375" s="11">
        <v>1875</v>
      </c>
      <c r="I375" s="12"/>
      <c r="J375" s="12"/>
      <c r="K375" s="11">
        <v>125</v>
      </c>
    </row>
    <row r="376" spans="1:11" x14ac:dyDescent="0.35">
      <c r="A376" s="10" t="s">
        <v>612</v>
      </c>
      <c r="B376" s="10" t="s">
        <v>613</v>
      </c>
      <c r="C376" s="10" t="s">
        <v>37</v>
      </c>
      <c r="D376" s="10" t="s">
        <v>38</v>
      </c>
      <c r="E376" s="10" t="s">
        <v>614</v>
      </c>
      <c r="F376" s="11">
        <v>110000</v>
      </c>
      <c r="G376" s="11">
        <v>110000</v>
      </c>
      <c r="H376" s="12"/>
      <c r="I376" s="12"/>
      <c r="J376" s="12"/>
      <c r="K376" s="11">
        <v>110000</v>
      </c>
    </row>
    <row r="377" spans="1:11" x14ac:dyDescent="0.35">
      <c r="A377" s="10" t="s">
        <v>612</v>
      </c>
      <c r="B377" s="10" t="s">
        <v>613</v>
      </c>
      <c r="C377" s="10" t="s">
        <v>43</v>
      </c>
      <c r="D377" s="10" t="s">
        <v>44</v>
      </c>
      <c r="E377" s="10" t="s">
        <v>615</v>
      </c>
      <c r="F377" s="11">
        <v>220000</v>
      </c>
      <c r="G377" s="11">
        <v>59942</v>
      </c>
      <c r="H377" s="11">
        <v>8721</v>
      </c>
      <c r="I377" s="12"/>
      <c r="J377" s="12"/>
      <c r="K377" s="11">
        <v>51221</v>
      </c>
    </row>
    <row r="378" spans="1:11" x14ac:dyDescent="0.35">
      <c r="A378" s="10" t="s">
        <v>612</v>
      </c>
      <c r="B378" s="10" t="s">
        <v>613</v>
      </c>
      <c r="C378" s="10" t="s">
        <v>507</v>
      </c>
      <c r="D378" s="10" t="s">
        <v>508</v>
      </c>
      <c r="E378" s="10" t="s">
        <v>616</v>
      </c>
      <c r="F378" s="11">
        <v>55510</v>
      </c>
      <c r="G378" s="11">
        <v>55510</v>
      </c>
      <c r="H378" s="12"/>
      <c r="I378" s="12"/>
      <c r="J378" s="12"/>
      <c r="K378" s="11">
        <v>55510</v>
      </c>
    </row>
    <row r="379" spans="1:11" x14ac:dyDescent="0.35">
      <c r="A379" s="10" t="s">
        <v>612</v>
      </c>
      <c r="B379" s="10" t="s">
        <v>613</v>
      </c>
      <c r="C379" s="10" t="s">
        <v>106</v>
      </c>
      <c r="D379" s="10" t="s">
        <v>107</v>
      </c>
      <c r="E379" s="10" t="s">
        <v>617</v>
      </c>
      <c r="F379" s="11">
        <v>25510</v>
      </c>
      <c r="G379" s="11">
        <v>0</v>
      </c>
      <c r="H379" s="12"/>
      <c r="I379" s="12"/>
      <c r="J379" s="12"/>
      <c r="K379" s="11">
        <v>0</v>
      </c>
    </row>
    <row r="380" spans="1:11" x14ac:dyDescent="0.35">
      <c r="A380" s="10" t="s">
        <v>618</v>
      </c>
      <c r="B380" s="10" t="s">
        <v>619</v>
      </c>
      <c r="C380" s="10" t="s">
        <v>31</v>
      </c>
      <c r="D380" s="10" t="s">
        <v>32</v>
      </c>
      <c r="E380" s="10" t="s">
        <v>620</v>
      </c>
      <c r="F380" s="11">
        <v>50000</v>
      </c>
      <c r="G380" s="11">
        <v>0</v>
      </c>
      <c r="H380" s="12"/>
      <c r="I380" s="12"/>
      <c r="J380" s="12"/>
      <c r="K380" s="11">
        <v>0</v>
      </c>
    </row>
    <row r="381" spans="1:11" x14ac:dyDescent="0.35">
      <c r="A381" s="10" t="s">
        <v>618</v>
      </c>
      <c r="B381" s="10" t="s">
        <v>619</v>
      </c>
      <c r="C381" s="10" t="s">
        <v>37</v>
      </c>
      <c r="D381" s="10" t="s">
        <v>38</v>
      </c>
      <c r="E381" s="10" t="s">
        <v>621</v>
      </c>
      <c r="F381" s="11">
        <v>15000</v>
      </c>
      <c r="G381" s="11">
        <v>15000</v>
      </c>
      <c r="H381" s="12"/>
      <c r="I381" s="12"/>
      <c r="J381" s="12"/>
      <c r="K381" s="11">
        <v>15000</v>
      </c>
    </row>
    <row r="382" spans="1:11" x14ac:dyDescent="0.35">
      <c r="A382" s="10" t="s">
        <v>618</v>
      </c>
      <c r="B382" s="10" t="s">
        <v>619</v>
      </c>
      <c r="C382" s="10" t="s">
        <v>43</v>
      </c>
      <c r="D382" s="10" t="s">
        <v>44</v>
      </c>
      <c r="E382" s="10" t="s">
        <v>622</v>
      </c>
      <c r="F382" s="11">
        <v>50000</v>
      </c>
      <c r="G382" s="11">
        <v>13623</v>
      </c>
      <c r="H382" s="12"/>
      <c r="I382" s="12"/>
      <c r="J382" s="12"/>
      <c r="K382" s="11">
        <v>13623</v>
      </c>
    </row>
    <row r="383" spans="1:11" x14ac:dyDescent="0.35">
      <c r="A383" s="10" t="s">
        <v>618</v>
      </c>
      <c r="B383" s="10" t="s">
        <v>619</v>
      </c>
      <c r="C383" s="10" t="s">
        <v>470</v>
      </c>
      <c r="D383" s="10" t="s">
        <v>471</v>
      </c>
      <c r="E383" s="10" t="s">
        <v>623</v>
      </c>
      <c r="F383" s="11">
        <v>500000</v>
      </c>
      <c r="G383" s="11">
        <v>0</v>
      </c>
      <c r="H383" s="12"/>
      <c r="I383" s="12"/>
      <c r="J383" s="12"/>
      <c r="K383" s="11">
        <v>0</v>
      </c>
    </row>
    <row r="384" spans="1:11" x14ac:dyDescent="0.35">
      <c r="A384" s="10" t="s">
        <v>618</v>
      </c>
      <c r="B384" s="10" t="s">
        <v>619</v>
      </c>
      <c r="C384" s="10" t="s">
        <v>106</v>
      </c>
      <c r="D384" s="10" t="s">
        <v>107</v>
      </c>
      <c r="E384" s="10" t="s">
        <v>624</v>
      </c>
      <c r="F384" s="11">
        <v>926280</v>
      </c>
      <c r="G384" s="11">
        <v>0</v>
      </c>
      <c r="H384" s="12"/>
      <c r="I384" s="12"/>
      <c r="J384" s="12"/>
      <c r="K384" s="11">
        <v>0</v>
      </c>
    </row>
    <row r="385" spans="1:11" x14ac:dyDescent="0.35">
      <c r="A385" s="10" t="s">
        <v>625</v>
      </c>
      <c r="B385" s="10" t="s">
        <v>626</v>
      </c>
      <c r="C385" s="10" t="s">
        <v>37</v>
      </c>
      <c r="D385" s="10" t="s">
        <v>38</v>
      </c>
      <c r="E385" s="10" t="s">
        <v>627</v>
      </c>
      <c r="F385" s="11">
        <v>0</v>
      </c>
      <c r="G385" s="11">
        <v>0</v>
      </c>
      <c r="H385" s="12"/>
      <c r="I385" s="12"/>
      <c r="J385" s="12"/>
      <c r="K385" s="11">
        <v>0</v>
      </c>
    </row>
    <row r="386" spans="1:11" x14ac:dyDescent="0.35">
      <c r="A386" s="10" t="s">
        <v>625</v>
      </c>
      <c r="B386" s="10" t="s">
        <v>626</v>
      </c>
      <c r="C386" s="10" t="s">
        <v>43</v>
      </c>
      <c r="D386" s="10" t="s">
        <v>44</v>
      </c>
      <c r="E386" s="10" t="s">
        <v>628</v>
      </c>
      <c r="F386" s="11">
        <v>0</v>
      </c>
      <c r="G386" s="11">
        <v>13623</v>
      </c>
      <c r="H386" s="12"/>
      <c r="I386" s="12"/>
      <c r="J386" s="12"/>
      <c r="K386" s="11">
        <v>13623</v>
      </c>
    </row>
    <row r="387" spans="1:11" x14ac:dyDescent="0.35">
      <c r="A387" s="10" t="s">
        <v>629</v>
      </c>
      <c r="B387" s="10" t="s">
        <v>630</v>
      </c>
      <c r="C387" s="10" t="s">
        <v>576</v>
      </c>
      <c r="D387" s="10" t="s">
        <v>577</v>
      </c>
      <c r="E387" s="10" t="s">
        <v>631</v>
      </c>
      <c r="F387" s="11">
        <v>0</v>
      </c>
      <c r="G387" s="11">
        <v>306385</v>
      </c>
      <c r="H387" s="12"/>
      <c r="I387" s="11">
        <v>0</v>
      </c>
      <c r="J387" s="11">
        <v>306328.2</v>
      </c>
      <c r="K387" s="11">
        <v>56.799999999988401</v>
      </c>
    </row>
    <row r="388" spans="1:11" x14ac:dyDescent="0.35">
      <c r="A388" s="10" t="s">
        <v>629</v>
      </c>
      <c r="B388" s="10" t="s">
        <v>630</v>
      </c>
      <c r="C388" s="10" t="s">
        <v>40</v>
      </c>
      <c r="D388" s="10" t="s">
        <v>41</v>
      </c>
      <c r="E388" s="10" t="s">
        <v>632</v>
      </c>
      <c r="F388" s="11">
        <v>0</v>
      </c>
      <c r="G388" s="11">
        <v>171900</v>
      </c>
      <c r="H388" s="11">
        <v>171712.75</v>
      </c>
      <c r="I388" s="12"/>
      <c r="J388" s="12"/>
      <c r="K388" s="11">
        <v>187.25</v>
      </c>
    </row>
    <row r="389" spans="1:11" x14ac:dyDescent="0.35">
      <c r="A389" s="10" t="s">
        <v>629</v>
      </c>
      <c r="B389" s="10" t="s">
        <v>630</v>
      </c>
      <c r="C389" s="10" t="s">
        <v>565</v>
      </c>
      <c r="D389" s="10" t="s">
        <v>566</v>
      </c>
      <c r="E389" s="10" t="s">
        <v>633</v>
      </c>
      <c r="F389" s="11">
        <v>5000</v>
      </c>
      <c r="G389" s="11">
        <v>0</v>
      </c>
      <c r="H389" s="12"/>
      <c r="I389" s="12"/>
      <c r="J389" s="12"/>
      <c r="K389" s="11">
        <v>0</v>
      </c>
    </row>
    <row r="390" spans="1:11" x14ac:dyDescent="0.35">
      <c r="A390" s="10" t="s">
        <v>629</v>
      </c>
      <c r="B390" s="10" t="s">
        <v>630</v>
      </c>
      <c r="C390" s="10" t="s">
        <v>43</v>
      </c>
      <c r="D390" s="10" t="s">
        <v>44</v>
      </c>
      <c r="E390" s="10" t="s">
        <v>634</v>
      </c>
      <c r="F390" s="11">
        <v>70000</v>
      </c>
      <c r="G390" s="11">
        <v>36284</v>
      </c>
      <c r="H390" s="11">
        <v>23760.37</v>
      </c>
      <c r="I390" s="12"/>
      <c r="J390" s="12"/>
      <c r="K390" s="11">
        <v>12523.63</v>
      </c>
    </row>
    <row r="391" spans="1:11" x14ac:dyDescent="0.35">
      <c r="A391" s="10" t="s">
        <v>629</v>
      </c>
      <c r="B391" s="10" t="s">
        <v>630</v>
      </c>
      <c r="C391" s="10" t="s">
        <v>106</v>
      </c>
      <c r="D391" s="10" t="s">
        <v>107</v>
      </c>
      <c r="E391" s="10" t="s">
        <v>635</v>
      </c>
      <c r="F391" s="11">
        <v>205962</v>
      </c>
      <c r="G391" s="11">
        <v>157190</v>
      </c>
      <c r="H391" s="11">
        <v>157599.53</v>
      </c>
      <c r="I391" s="12"/>
      <c r="J391" s="11">
        <v>-409.91</v>
      </c>
      <c r="K391" s="11">
        <v>0.38000000000124601</v>
      </c>
    </row>
    <row r="392" spans="1:11" x14ac:dyDescent="0.35">
      <c r="A392" s="10" t="s">
        <v>636</v>
      </c>
      <c r="B392" s="10" t="s">
        <v>637</v>
      </c>
      <c r="C392" s="10" t="s">
        <v>19</v>
      </c>
      <c r="D392" s="10" t="s">
        <v>20</v>
      </c>
      <c r="E392" s="10" t="s">
        <v>638</v>
      </c>
      <c r="F392" s="11">
        <v>231840</v>
      </c>
      <c r="G392" s="11">
        <v>5103877</v>
      </c>
      <c r="H392" s="11">
        <v>5103329.59</v>
      </c>
      <c r="I392" s="12"/>
      <c r="J392" s="12"/>
      <c r="K392" s="11">
        <v>547.41000000014901</v>
      </c>
    </row>
    <row r="393" spans="1:11" x14ac:dyDescent="0.35">
      <c r="A393" s="10" t="s">
        <v>636</v>
      </c>
      <c r="B393" s="10" t="s">
        <v>637</v>
      </c>
      <c r="C393" s="10" t="s">
        <v>43</v>
      </c>
      <c r="D393" s="10" t="s">
        <v>44</v>
      </c>
      <c r="E393" s="10" t="s">
        <v>639</v>
      </c>
      <c r="F393" s="11">
        <v>80000</v>
      </c>
      <c r="G393" s="11">
        <v>86693</v>
      </c>
      <c r="H393" s="11">
        <v>86558.97</v>
      </c>
      <c r="I393" s="12"/>
      <c r="J393" s="12"/>
      <c r="K393" s="11">
        <v>134.02999999999901</v>
      </c>
    </row>
    <row r="394" spans="1:11" x14ac:dyDescent="0.35">
      <c r="A394" s="10" t="s">
        <v>636</v>
      </c>
      <c r="B394" s="10" t="s">
        <v>637</v>
      </c>
      <c r="C394" s="10" t="s">
        <v>106</v>
      </c>
      <c r="D394" s="10" t="s">
        <v>107</v>
      </c>
      <c r="E394" s="10" t="s">
        <v>640</v>
      </c>
      <c r="F394" s="11">
        <v>99831748</v>
      </c>
      <c r="G394" s="11">
        <v>90585458</v>
      </c>
      <c r="H394" s="11">
        <v>87274664.660000205</v>
      </c>
      <c r="I394" s="11">
        <v>335923.37</v>
      </c>
      <c r="J394" s="11">
        <v>2647067.41</v>
      </c>
      <c r="K394" s="11">
        <v>357943.44999983098</v>
      </c>
    </row>
    <row r="395" spans="1:11" x14ac:dyDescent="0.35">
      <c r="A395" s="10" t="s">
        <v>641</v>
      </c>
      <c r="B395" s="10" t="s">
        <v>642</v>
      </c>
      <c r="C395" s="10" t="s">
        <v>22</v>
      </c>
      <c r="D395" s="10" t="s">
        <v>23</v>
      </c>
      <c r="E395" s="10" t="s">
        <v>643</v>
      </c>
      <c r="F395" s="11">
        <v>3332844</v>
      </c>
      <c r="G395" s="11">
        <v>3981163</v>
      </c>
      <c r="H395" s="11">
        <v>2533983.27</v>
      </c>
      <c r="I395" s="11">
        <v>1043624.47</v>
      </c>
      <c r="J395" s="11">
        <v>330615.52</v>
      </c>
      <c r="K395" s="11">
        <v>72939.740000000005</v>
      </c>
    </row>
    <row r="396" spans="1:11" x14ac:dyDescent="0.35">
      <c r="A396" s="10" t="s">
        <v>641</v>
      </c>
      <c r="B396" s="10" t="s">
        <v>642</v>
      </c>
      <c r="C396" s="10" t="s">
        <v>31</v>
      </c>
      <c r="D396" s="10" t="s">
        <v>32</v>
      </c>
      <c r="E396" s="10" t="s">
        <v>644</v>
      </c>
      <c r="F396" s="11">
        <v>100002</v>
      </c>
      <c r="G396" s="11">
        <v>50002</v>
      </c>
      <c r="H396" s="11">
        <v>525</v>
      </c>
      <c r="I396" s="12"/>
      <c r="J396" s="12"/>
      <c r="K396" s="11">
        <v>49477</v>
      </c>
    </row>
    <row r="397" spans="1:11" x14ac:dyDescent="0.35">
      <c r="A397" s="10" t="s">
        <v>641</v>
      </c>
      <c r="B397" s="10" t="s">
        <v>642</v>
      </c>
      <c r="C397" s="10" t="s">
        <v>34</v>
      </c>
      <c r="D397" s="10" t="s">
        <v>35</v>
      </c>
      <c r="E397" s="10" t="s">
        <v>645</v>
      </c>
      <c r="F397" s="11">
        <v>100002</v>
      </c>
      <c r="G397" s="11">
        <v>65802</v>
      </c>
      <c r="H397" s="11">
        <v>26095</v>
      </c>
      <c r="I397" s="12"/>
      <c r="J397" s="12"/>
      <c r="K397" s="11">
        <v>39707</v>
      </c>
    </row>
    <row r="398" spans="1:11" x14ac:dyDescent="0.35">
      <c r="A398" s="10" t="s">
        <v>641</v>
      </c>
      <c r="B398" s="10" t="s">
        <v>642</v>
      </c>
      <c r="C398" s="10" t="s">
        <v>37</v>
      </c>
      <c r="D398" s="10" t="s">
        <v>38</v>
      </c>
      <c r="E398" s="10" t="s">
        <v>646</v>
      </c>
      <c r="F398" s="11">
        <v>0</v>
      </c>
      <c r="G398" s="11">
        <v>2000</v>
      </c>
      <c r="H398" s="11">
        <v>918.75</v>
      </c>
      <c r="I398" s="12"/>
      <c r="J398" s="12"/>
      <c r="K398" s="11">
        <v>1081.25</v>
      </c>
    </row>
    <row r="399" spans="1:11" x14ac:dyDescent="0.35">
      <c r="A399" s="10" t="s">
        <v>641</v>
      </c>
      <c r="B399" s="10" t="s">
        <v>642</v>
      </c>
      <c r="C399" s="10" t="s">
        <v>40</v>
      </c>
      <c r="D399" s="10" t="s">
        <v>41</v>
      </c>
      <c r="E399" s="10" t="s">
        <v>647</v>
      </c>
      <c r="F399" s="11">
        <v>120000</v>
      </c>
      <c r="G399" s="11">
        <v>3881</v>
      </c>
      <c r="H399" s="11">
        <v>3880.12</v>
      </c>
      <c r="I399" s="11">
        <v>0</v>
      </c>
      <c r="J399" s="12"/>
      <c r="K399" s="11">
        <v>0.88000000000010903</v>
      </c>
    </row>
    <row r="400" spans="1:11" x14ac:dyDescent="0.35">
      <c r="A400" s="10" t="s">
        <v>641</v>
      </c>
      <c r="B400" s="10" t="s">
        <v>642</v>
      </c>
      <c r="C400" s="10" t="s">
        <v>43</v>
      </c>
      <c r="D400" s="10" t="s">
        <v>44</v>
      </c>
      <c r="E400" s="10" t="s">
        <v>648</v>
      </c>
      <c r="F400" s="11">
        <v>50001</v>
      </c>
      <c r="G400" s="11">
        <v>13623</v>
      </c>
      <c r="H400" s="12"/>
      <c r="I400" s="12"/>
      <c r="J400" s="12"/>
      <c r="K400" s="11">
        <v>13623</v>
      </c>
    </row>
    <row r="401" spans="1:11" x14ac:dyDescent="0.35">
      <c r="A401" s="10" t="s">
        <v>649</v>
      </c>
      <c r="B401" s="10" t="s">
        <v>650</v>
      </c>
      <c r="C401" s="10" t="s">
        <v>573</v>
      </c>
      <c r="D401" s="10" t="s">
        <v>574</v>
      </c>
      <c r="E401" s="10" t="s">
        <v>651</v>
      </c>
      <c r="F401" s="11">
        <v>588000</v>
      </c>
      <c r="G401" s="11">
        <v>0</v>
      </c>
      <c r="H401" s="12"/>
      <c r="I401" s="12"/>
      <c r="J401" s="12"/>
      <c r="K401" s="11">
        <v>0</v>
      </c>
    </row>
    <row r="402" spans="1:11" x14ac:dyDescent="0.35">
      <c r="A402" s="10" t="s">
        <v>649</v>
      </c>
      <c r="B402" s="10" t="s">
        <v>650</v>
      </c>
      <c r="C402" s="10" t="s">
        <v>576</v>
      </c>
      <c r="D402" s="10" t="s">
        <v>577</v>
      </c>
      <c r="E402" s="10" t="s">
        <v>652</v>
      </c>
      <c r="F402" s="11">
        <v>0</v>
      </c>
      <c r="G402" s="11">
        <v>0</v>
      </c>
      <c r="H402" s="12"/>
      <c r="I402" s="12"/>
      <c r="J402" s="12"/>
      <c r="K402" s="11">
        <v>0</v>
      </c>
    </row>
    <row r="403" spans="1:11" x14ac:dyDescent="0.35">
      <c r="A403" s="10" t="s">
        <v>649</v>
      </c>
      <c r="B403" s="10" t="s">
        <v>650</v>
      </c>
      <c r="C403" s="10" t="s">
        <v>653</v>
      </c>
      <c r="D403" s="10" t="s">
        <v>654</v>
      </c>
      <c r="E403" s="10" t="s">
        <v>655</v>
      </c>
      <c r="F403" s="11">
        <v>0</v>
      </c>
      <c r="G403" s="11">
        <v>160400</v>
      </c>
      <c r="H403" s="11">
        <v>160400</v>
      </c>
      <c r="I403" s="12"/>
      <c r="J403" s="12"/>
      <c r="K403" s="11">
        <v>0</v>
      </c>
    </row>
    <row r="404" spans="1:11" x14ac:dyDescent="0.35">
      <c r="A404" s="10" t="s">
        <v>649</v>
      </c>
      <c r="B404" s="10" t="s">
        <v>650</v>
      </c>
      <c r="C404" s="10" t="s">
        <v>40</v>
      </c>
      <c r="D404" s="10" t="s">
        <v>41</v>
      </c>
      <c r="E404" s="10" t="s">
        <v>656</v>
      </c>
      <c r="F404" s="11">
        <v>161375</v>
      </c>
      <c r="G404" s="11">
        <v>436040</v>
      </c>
      <c r="H404" s="11">
        <v>236314.32</v>
      </c>
      <c r="I404" s="11">
        <v>0</v>
      </c>
      <c r="J404" s="11">
        <v>204559.7</v>
      </c>
      <c r="K404" s="11">
        <v>-4834.0199999999904</v>
      </c>
    </row>
    <row r="405" spans="1:11" x14ac:dyDescent="0.35">
      <c r="A405" s="10" t="s">
        <v>649</v>
      </c>
      <c r="B405" s="10" t="s">
        <v>650</v>
      </c>
      <c r="C405" s="10" t="s">
        <v>169</v>
      </c>
      <c r="D405" s="10" t="s">
        <v>170</v>
      </c>
      <c r="E405" s="10" t="s">
        <v>657</v>
      </c>
      <c r="F405" s="11">
        <v>15319303</v>
      </c>
      <c r="G405" s="11">
        <v>12849303</v>
      </c>
      <c r="H405" s="11">
        <v>7563317.75</v>
      </c>
      <c r="I405" s="11">
        <v>352767.93</v>
      </c>
      <c r="J405" s="11">
        <v>4774880.55</v>
      </c>
      <c r="K405" s="11">
        <v>158336.76999999999</v>
      </c>
    </row>
    <row r="406" spans="1:11" x14ac:dyDescent="0.35">
      <c r="A406" s="10" t="s">
        <v>649</v>
      </c>
      <c r="B406" s="10" t="s">
        <v>650</v>
      </c>
      <c r="C406" s="10" t="s">
        <v>173</v>
      </c>
      <c r="D406" s="10" t="s">
        <v>174</v>
      </c>
      <c r="E406" s="10" t="s">
        <v>658</v>
      </c>
      <c r="F406" s="11">
        <v>2753398</v>
      </c>
      <c r="G406" s="11">
        <v>4317261</v>
      </c>
      <c r="H406" s="11">
        <v>1176748.2</v>
      </c>
      <c r="I406" s="11">
        <v>1330211.04</v>
      </c>
      <c r="J406" s="11">
        <v>1809801.46</v>
      </c>
      <c r="K406" s="11">
        <v>0.29999999981373499</v>
      </c>
    </row>
    <row r="407" spans="1:11" x14ac:dyDescent="0.35">
      <c r="A407" s="10" t="s">
        <v>649</v>
      </c>
      <c r="B407" s="10" t="s">
        <v>650</v>
      </c>
      <c r="C407" s="10" t="s">
        <v>176</v>
      </c>
      <c r="D407" s="10" t="s">
        <v>177</v>
      </c>
      <c r="E407" s="10" t="s">
        <v>659</v>
      </c>
      <c r="F407" s="11">
        <v>0</v>
      </c>
      <c r="G407" s="11">
        <v>20000</v>
      </c>
      <c r="H407" s="11">
        <v>15359</v>
      </c>
      <c r="I407" s="12"/>
      <c r="J407" s="12"/>
      <c r="K407" s="11">
        <v>4641</v>
      </c>
    </row>
    <row r="408" spans="1:11" x14ac:dyDescent="0.35">
      <c r="A408" s="10" t="s">
        <v>660</v>
      </c>
      <c r="B408" s="10" t="s">
        <v>661</v>
      </c>
      <c r="C408" s="10" t="s">
        <v>573</v>
      </c>
      <c r="D408" s="10" t="s">
        <v>574</v>
      </c>
      <c r="E408" s="10" t="s">
        <v>662</v>
      </c>
      <c r="F408" s="11">
        <v>1709607</v>
      </c>
      <c r="G408" s="11">
        <v>0</v>
      </c>
      <c r="H408" s="12"/>
      <c r="I408" s="12"/>
      <c r="J408" s="12"/>
      <c r="K408" s="11">
        <v>0</v>
      </c>
    </row>
    <row r="409" spans="1:11" x14ac:dyDescent="0.35">
      <c r="A409" s="10" t="s">
        <v>660</v>
      </c>
      <c r="B409" s="10" t="s">
        <v>661</v>
      </c>
      <c r="C409" s="10" t="s">
        <v>576</v>
      </c>
      <c r="D409" s="10" t="s">
        <v>577</v>
      </c>
      <c r="E409" s="10" t="s">
        <v>663</v>
      </c>
      <c r="F409" s="11">
        <v>0</v>
      </c>
      <c r="G409" s="11">
        <v>11782162</v>
      </c>
      <c r="H409" s="11">
        <v>10620167.880000001</v>
      </c>
      <c r="I409" s="11">
        <v>0</v>
      </c>
      <c r="J409" s="11">
        <v>871932.8</v>
      </c>
      <c r="K409" s="11">
        <v>290061.31999999902</v>
      </c>
    </row>
    <row r="410" spans="1:11" x14ac:dyDescent="0.35">
      <c r="A410" s="10" t="s">
        <v>660</v>
      </c>
      <c r="B410" s="10" t="s">
        <v>661</v>
      </c>
      <c r="C410" s="10" t="s">
        <v>37</v>
      </c>
      <c r="D410" s="10" t="s">
        <v>38</v>
      </c>
      <c r="E410" s="10" t="s">
        <v>664</v>
      </c>
      <c r="F410" s="11">
        <v>10000</v>
      </c>
      <c r="G410" s="11">
        <v>10000</v>
      </c>
      <c r="H410" s="12"/>
      <c r="I410" s="12"/>
      <c r="J410" s="12"/>
      <c r="K410" s="11">
        <v>10000</v>
      </c>
    </row>
    <row r="411" spans="1:11" x14ac:dyDescent="0.35">
      <c r="A411" s="10" t="s">
        <v>660</v>
      </c>
      <c r="B411" s="10" t="s">
        <v>661</v>
      </c>
      <c r="C411" s="10" t="s">
        <v>40</v>
      </c>
      <c r="D411" s="10" t="s">
        <v>41</v>
      </c>
      <c r="E411" s="10" t="s">
        <v>665</v>
      </c>
      <c r="F411" s="11">
        <v>2618576</v>
      </c>
      <c r="G411" s="11">
        <v>1654848</v>
      </c>
      <c r="H411" s="11">
        <v>1069859.21</v>
      </c>
      <c r="I411" s="11">
        <v>-1.3099999999976699</v>
      </c>
      <c r="J411" s="11">
        <v>584990</v>
      </c>
      <c r="K411" s="11">
        <v>0.10000000009313199</v>
      </c>
    </row>
    <row r="412" spans="1:11" x14ac:dyDescent="0.35">
      <c r="A412" s="10" t="s">
        <v>660</v>
      </c>
      <c r="B412" s="10" t="s">
        <v>661</v>
      </c>
      <c r="C412" s="10" t="s">
        <v>43</v>
      </c>
      <c r="D412" s="10" t="s">
        <v>44</v>
      </c>
      <c r="E412" s="10" t="s">
        <v>666</v>
      </c>
      <c r="F412" s="11">
        <v>45000</v>
      </c>
      <c r="G412" s="11">
        <v>52261</v>
      </c>
      <c r="H412" s="11">
        <v>42584.75</v>
      </c>
      <c r="I412" s="12"/>
      <c r="J412" s="12"/>
      <c r="K412" s="11">
        <v>9676.25</v>
      </c>
    </row>
    <row r="413" spans="1:11" x14ac:dyDescent="0.35">
      <c r="A413" s="10" t="s">
        <v>667</v>
      </c>
      <c r="B413" s="10" t="s">
        <v>668</v>
      </c>
      <c r="C413" s="10" t="s">
        <v>37</v>
      </c>
      <c r="D413" s="10" t="s">
        <v>38</v>
      </c>
      <c r="E413" s="10" t="s">
        <v>669</v>
      </c>
      <c r="F413" s="11">
        <v>15000</v>
      </c>
      <c r="G413" s="11">
        <v>15000</v>
      </c>
      <c r="H413" s="11">
        <v>14792.5</v>
      </c>
      <c r="I413" s="11">
        <v>0</v>
      </c>
      <c r="J413" s="11">
        <v>0</v>
      </c>
      <c r="K413" s="11">
        <v>207.5</v>
      </c>
    </row>
    <row r="414" spans="1:11" x14ac:dyDescent="0.35">
      <c r="A414" s="10" t="s">
        <v>667</v>
      </c>
      <c r="B414" s="10" t="s">
        <v>668</v>
      </c>
      <c r="C414" s="10" t="s">
        <v>43</v>
      </c>
      <c r="D414" s="10" t="s">
        <v>44</v>
      </c>
      <c r="E414" s="10" t="s">
        <v>670</v>
      </c>
      <c r="F414" s="11">
        <v>100000</v>
      </c>
      <c r="G414" s="11">
        <v>57246</v>
      </c>
      <c r="H414" s="11">
        <v>56700</v>
      </c>
      <c r="I414" s="12"/>
      <c r="J414" s="12"/>
      <c r="K414" s="11">
        <v>546</v>
      </c>
    </row>
    <row r="415" spans="1:11" x14ac:dyDescent="0.35">
      <c r="A415" s="10" t="s">
        <v>667</v>
      </c>
      <c r="B415" s="10" t="s">
        <v>668</v>
      </c>
      <c r="C415" s="10" t="s">
        <v>49</v>
      </c>
      <c r="D415" s="10" t="s">
        <v>50</v>
      </c>
      <c r="E415" s="10" t="s">
        <v>671</v>
      </c>
      <c r="F415" s="11">
        <v>20000</v>
      </c>
      <c r="G415" s="11">
        <v>149</v>
      </c>
      <c r="H415" s="12"/>
      <c r="I415" s="12"/>
      <c r="J415" s="12"/>
      <c r="K415" s="11">
        <v>149</v>
      </c>
    </row>
    <row r="416" spans="1:11" x14ac:dyDescent="0.35">
      <c r="A416" s="10" t="s">
        <v>667</v>
      </c>
      <c r="B416" s="10" t="s">
        <v>668</v>
      </c>
      <c r="C416" s="10" t="s">
        <v>672</v>
      </c>
      <c r="D416" s="10" t="s">
        <v>673</v>
      </c>
      <c r="E416" s="10" t="s">
        <v>674</v>
      </c>
      <c r="F416" s="11">
        <v>20000</v>
      </c>
      <c r="G416" s="11">
        <v>0</v>
      </c>
      <c r="H416" s="12"/>
      <c r="I416" s="12"/>
      <c r="J416" s="12"/>
      <c r="K416" s="11">
        <v>0</v>
      </c>
    </row>
    <row r="417" spans="1:11" x14ac:dyDescent="0.35">
      <c r="A417" s="10" t="s">
        <v>675</v>
      </c>
      <c r="B417" s="10" t="s">
        <v>676</v>
      </c>
      <c r="C417" s="10" t="s">
        <v>31</v>
      </c>
      <c r="D417" s="10" t="s">
        <v>32</v>
      </c>
      <c r="E417" s="10" t="s">
        <v>677</v>
      </c>
      <c r="F417" s="11">
        <v>2200</v>
      </c>
      <c r="G417" s="11">
        <v>22200</v>
      </c>
      <c r="H417" s="11">
        <v>8800</v>
      </c>
      <c r="I417" s="12"/>
      <c r="J417" s="12"/>
      <c r="K417" s="11">
        <v>13400</v>
      </c>
    </row>
    <row r="418" spans="1:11" x14ac:dyDescent="0.35">
      <c r="A418" s="10" t="s">
        <v>675</v>
      </c>
      <c r="B418" s="10" t="s">
        <v>676</v>
      </c>
      <c r="C418" s="10" t="s">
        <v>678</v>
      </c>
      <c r="D418" s="10" t="s">
        <v>679</v>
      </c>
      <c r="E418" s="10" t="s">
        <v>680</v>
      </c>
      <c r="F418" s="11">
        <v>80501600</v>
      </c>
      <c r="G418" s="11">
        <v>77273746</v>
      </c>
      <c r="H418" s="11">
        <v>77248079.379999995</v>
      </c>
      <c r="I418" s="12"/>
      <c r="J418" s="12"/>
      <c r="K418" s="11">
        <v>25666.620000004801</v>
      </c>
    </row>
    <row r="419" spans="1:11" x14ac:dyDescent="0.35">
      <c r="A419" s="10" t="s">
        <v>675</v>
      </c>
      <c r="B419" s="10" t="s">
        <v>676</v>
      </c>
      <c r="C419" s="10" t="s">
        <v>138</v>
      </c>
      <c r="D419" s="10" t="s">
        <v>139</v>
      </c>
      <c r="E419" s="10" t="s">
        <v>681</v>
      </c>
      <c r="F419" s="12"/>
      <c r="G419" s="12"/>
      <c r="H419" s="11">
        <v>-17885.04</v>
      </c>
      <c r="I419" s="12"/>
      <c r="J419" s="12"/>
      <c r="K419" s="11">
        <v>17885.04</v>
      </c>
    </row>
    <row r="420" spans="1:11" x14ac:dyDescent="0.35">
      <c r="A420" s="10" t="s">
        <v>675</v>
      </c>
      <c r="B420" s="10" t="s">
        <v>676</v>
      </c>
      <c r="C420" s="10" t="s">
        <v>491</v>
      </c>
      <c r="D420" s="10" t="s">
        <v>492</v>
      </c>
      <c r="E420" s="10" t="s">
        <v>682</v>
      </c>
      <c r="F420" s="11">
        <v>11000</v>
      </c>
      <c r="G420" s="11">
        <v>11000</v>
      </c>
      <c r="H420" s="12"/>
      <c r="I420" s="12"/>
      <c r="J420" s="12"/>
      <c r="K420" s="11">
        <v>11000</v>
      </c>
    </row>
    <row r="421" spans="1:11" x14ac:dyDescent="0.35">
      <c r="A421" s="10" t="s">
        <v>675</v>
      </c>
      <c r="B421" s="10" t="s">
        <v>676</v>
      </c>
      <c r="C421" s="10" t="s">
        <v>192</v>
      </c>
      <c r="D421" s="10" t="s">
        <v>193</v>
      </c>
      <c r="E421" s="10" t="s">
        <v>683</v>
      </c>
      <c r="F421" s="11">
        <v>9500000</v>
      </c>
      <c r="G421" s="11">
        <v>9132707</v>
      </c>
      <c r="H421" s="11">
        <v>9132706.3499999996</v>
      </c>
      <c r="I421" s="11">
        <v>0</v>
      </c>
      <c r="J421" s="11">
        <v>0</v>
      </c>
      <c r="K421" s="11">
        <v>0.65000000037252903</v>
      </c>
    </row>
    <row r="422" spans="1:11" x14ac:dyDescent="0.35">
      <c r="A422" s="10" t="s">
        <v>675</v>
      </c>
      <c r="B422" s="10" t="s">
        <v>676</v>
      </c>
      <c r="C422" s="10" t="s">
        <v>154</v>
      </c>
      <c r="D422" s="10" t="s">
        <v>155</v>
      </c>
      <c r="E422" s="10" t="s">
        <v>684</v>
      </c>
      <c r="F422" s="11">
        <v>300000</v>
      </c>
      <c r="G422" s="11">
        <v>131301</v>
      </c>
      <c r="H422" s="11">
        <v>115500</v>
      </c>
      <c r="I422" s="11">
        <v>0</v>
      </c>
      <c r="J422" s="11">
        <v>15800</v>
      </c>
      <c r="K422" s="11">
        <v>1</v>
      </c>
    </row>
    <row r="423" spans="1:11" x14ac:dyDescent="0.35">
      <c r="A423" s="10" t="s">
        <v>675</v>
      </c>
      <c r="B423" s="10" t="s">
        <v>676</v>
      </c>
      <c r="C423" s="10" t="s">
        <v>545</v>
      </c>
      <c r="D423" s="10" t="s">
        <v>546</v>
      </c>
      <c r="E423" s="10" t="s">
        <v>685</v>
      </c>
      <c r="F423" s="11">
        <v>6000</v>
      </c>
      <c r="G423" s="11">
        <v>6000</v>
      </c>
      <c r="H423" s="12"/>
      <c r="I423" s="12"/>
      <c r="J423" s="12"/>
      <c r="K423" s="11">
        <v>6000</v>
      </c>
    </row>
    <row r="424" spans="1:11" x14ac:dyDescent="0.35">
      <c r="A424" s="10" t="s">
        <v>686</v>
      </c>
      <c r="B424" s="10" t="s">
        <v>687</v>
      </c>
      <c r="C424" s="10" t="s">
        <v>688</v>
      </c>
      <c r="D424" s="10" t="s">
        <v>689</v>
      </c>
      <c r="E424" s="10" t="s">
        <v>690</v>
      </c>
      <c r="F424" s="11">
        <v>2000000</v>
      </c>
      <c r="G424" s="11">
        <v>1464833</v>
      </c>
      <c r="H424" s="11">
        <v>1370181.02</v>
      </c>
      <c r="I424" s="11">
        <v>0</v>
      </c>
      <c r="J424" s="11">
        <v>94651.33</v>
      </c>
      <c r="K424" s="11">
        <v>0.64999999997962699</v>
      </c>
    </row>
    <row r="425" spans="1:11" x14ac:dyDescent="0.35">
      <c r="A425" s="10" t="s">
        <v>686</v>
      </c>
      <c r="B425" s="10" t="s">
        <v>687</v>
      </c>
      <c r="C425" s="10" t="s">
        <v>40</v>
      </c>
      <c r="D425" s="10" t="s">
        <v>41</v>
      </c>
      <c r="E425" s="10" t="s">
        <v>691</v>
      </c>
      <c r="F425" s="11">
        <v>120000</v>
      </c>
      <c r="G425" s="11">
        <v>14480</v>
      </c>
      <c r="H425" s="11">
        <v>14479.23</v>
      </c>
      <c r="I425" s="12"/>
      <c r="J425" s="12"/>
      <c r="K425" s="11">
        <v>0.770000000000437</v>
      </c>
    </row>
    <row r="426" spans="1:11" x14ac:dyDescent="0.35">
      <c r="A426" s="10" t="s">
        <v>692</v>
      </c>
      <c r="B426" s="10" t="s">
        <v>693</v>
      </c>
      <c r="C426" s="10" t="s">
        <v>31</v>
      </c>
      <c r="D426" s="10" t="s">
        <v>32</v>
      </c>
      <c r="E426" s="10" t="s">
        <v>694</v>
      </c>
      <c r="F426" s="11">
        <v>220000</v>
      </c>
      <c r="G426" s="11">
        <v>85000</v>
      </c>
      <c r="H426" s="11">
        <v>72586.44</v>
      </c>
      <c r="I426" s="11">
        <v>0</v>
      </c>
      <c r="J426" s="11">
        <v>0</v>
      </c>
      <c r="K426" s="11">
        <v>12413.56</v>
      </c>
    </row>
    <row r="427" spans="1:11" x14ac:dyDescent="0.35">
      <c r="A427" s="10" t="s">
        <v>692</v>
      </c>
      <c r="B427" s="10" t="s">
        <v>693</v>
      </c>
      <c r="C427" s="10" t="s">
        <v>274</v>
      </c>
      <c r="D427" s="10" t="s">
        <v>275</v>
      </c>
      <c r="E427" s="10" t="s">
        <v>695</v>
      </c>
      <c r="F427" s="11">
        <v>128000</v>
      </c>
      <c r="G427" s="11">
        <v>246000</v>
      </c>
      <c r="H427" s="11">
        <v>245500</v>
      </c>
      <c r="I427" s="12"/>
      <c r="J427" s="12"/>
      <c r="K427" s="11">
        <v>500</v>
      </c>
    </row>
    <row r="428" spans="1:11" x14ac:dyDescent="0.35">
      <c r="A428" s="10" t="s">
        <v>692</v>
      </c>
      <c r="B428" s="10" t="s">
        <v>693</v>
      </c>
      <c r="C428" s="10" t="s">
        <v>696</v>
      </c>
      <c r="D428" s="10" t="s">
        <v>697</v>
      </c>
      <c r="E428" s="10" t="s">
        <v>698</v>
      </c>
      <c r="F428" s="11">
        <v>23000</v>
      </c>
      <c r="G428" s="11">
        <v>23000</v>
      </c>
      <c r="H428" s="12"/>
      <c r="I428" s="12"/>
      <c r="J428" s="12"/>
      <c r="K428" s="11">
        <v>23000</v>
      </c>
    </row>
    <row r="429" spans="1:11" x14ac:dyDescent="0.35">
      <c r="A429" s="10" t="s">
        <v>692</v>
      </c>
      <c r="B429" s="10" t="s">
        <v>693</v>
      </c>
      <c r="C429" s="10" t="s">
        <v>144</v>
      </c>
      <c r="D429" s="10" t="s">
        <v>145</v>
      </c>
      <c r="E429" s="10" t="s">
        <v>699</v>
      </c>
      <c r="F429" s="11">
        <v>800000</v>
      </c>
      <c r="G429" s="11">
        <v>479055</v>
      </c>
      <c r="H429" s="11">
        <v>477351.06</v>
      </c>
      <c r="I429" s="12"/>
      <c r="J429" s="12"/>
      <c r="K429" s="11">
        <v>1703.93999999995</v>
      </c>
    </row>
    <row r="430" spans="1:11" x14ac:dyDescent="0.35">
      <c r="A430" s="10" t="s">
        <v>692</v>
      </c>
      <c r="B430" s="10" t="s">
        <v>693</v>
      </c>
      <c r="C430" s="10" t="s">
        <v>37</v>
      </c>
      <c r="D430" s="10" t="s">
        <v>38</v>
      </c>
      <c r="E430" s="10" t="s">
        <v>700</v>
      </c>
      <c r="F430" s="11">
        <v>24000</v>
      </c>
      <c r="G430" s="11">
        <v>24000</v>
      </c>
      <c r="H430" s="11">
        <v>8274</v>
      </c>
      <c r="I430" s="12"/>
      <c r="J430" s="12"/>
      <c r="K430" s="11">
        <v>15726</v>
      </c>
    </row>
    <row r="431" spans="1:11" x14ac:dyDescent="0.35">
      <c r="A431" s="10" t="s">
        <v>692</v>
      </c>
      <c r="B431" s="10" t="s">
        <v>693</v>
      </c>
      <c r="C431" s="10" t="s">
        <v>40</v>
      </c>
      <c r="D431" s="10" t="s">
        <v>41</v>
      </c>
      <c r="E431" s="10" t="s">
        <v>701</v>
      </c>
      <c r="F431" s="11">
        <v>0</v>
      </c>
      <c r="G431" s="11">
        <v>363000</v>
      </c>
      <c r="H431" s="11">
        <v>145112.88</v>
      </c>
      <c r="I431" s="11">
        <v>0</v>
      </c>
      <c r="J431" s="11">
        <v>217669.33</v>
      </c>
      <c r="K431" s="11">
        <v>217.78999999997899</v>
      </c>
    </row>
    <row r="432" spans="1:11" x14ac:dyDescent="0.35">
      <c r="A432" s="10" t="s">
        <v>692</v>
      </c>
      <c r="B432" s="10" t="s">
        <v>693</v>
      </c>
      <c r="C432" s="10" t="s">
        <v>61</v>
      </c>
      <c r="D432" s="10" t="s">
        <v>62</v>
      </c>
      <c r="E432" s="10" t="s">
        <v>702</v>
      </c>
      <c r="F432" s="11">
        <v>0</v>
      </c>
      <c r="G432" s="11">
        <v>11020</v>
      </c>
      <c r="H432" s="11">
        <v>11019</v>
      </c>
      <c r="I432" s="12"/>
      <c r="J432" s="12"/>
      <c r="K432" s="11">
        <v>1</v>
      </c>
    </row>
    <row r="433" spans="1:11" x14ac:dyDescent="0.35">
      <c r="A433" s="10" t="s">
        <v>692</v>
      </c>
      <c r="B433" s="10" t="s">
        <v>693</v>
      </c>
      <c r="C433" s="10" t="s">
        <v>43</v>
      </c>
      <c r="D433" s="10" t="s">
        <v>44</v>
      </c>
      <c r="E433" s="10" t="s">
        <v>703</v>
      </c>
      <c r="F433" s="11">
        <v>60000</v>
      </c>
      <c r="G433" s="11">
        <v>20092</v>
      </c>
      <c r="H433" s="11">
        <v>20091.18</v>
      </c>
      <c r="I433" s="12"/>
      <c r="J433" s="12"/>
      <c r="K433" s="11">
        <v>0.81999999999970896</v>
      </c>
    </row>
    <row r="434" spans="1:11" x14ac:dyDescent="0.35">
      <c r="A434" s="10" t="s">
        <v>692</v>
      </c>
      <c r="B434" s="10" t="s">
        <v>693</v>
      </c>
      <c r="C434" s="10" t="s">
        <v>49</v>
      </c>
      <c r="D434" s="10" t="s">
        <v>50</v>
      </c>
      <c r="E434" s="10" t="s">
        <v>704</v>
      </c>
      <c r="F434" s="11">
        <v>14000</v>
      </c>
      <c r="G434" s="11">
        <v>7104</v>
      </c>
      <c r="H434" s="12"/>
      <c r="I434" s="12"/>
      <c r="J434" s="12"/>
      <c r="K434" s="11">
        <v>7104</v>
      </c>
    </row>
    <row r="435" spans="1:11" x14ac:dyDescent="0.35">
      <c r="A435" s="10" t="s">
        <v>692</v>
      </c>
      <c r="B435" s="10" t="s">
        <v>693</v>
      </c>
      <c r="C435" s="10" t="s">
        <v>705</v>
      </c>
      <c r="D435" s="10" t="s">
        <v>706</v>
      </c>
      <c r="E435" s="10" t="s">
        <v>707</v>
      </c>
      <c r="F435" s="11">
        <v>4750</v>
      </c>
      <c r="G435" s="11">
        <v>4750</v>
      </c>
      <c r="H435" s="12"/>
      <c r="I435" s="12"/>
      <c r="J435" s="12"/>
      <c r="K435" s="11">
        <v>4750</v>
      </c>
    </row>
    <row r="436" spans="1:11" x14ac:dyDescent="0.35">
      <c r="A436" s="10" t="s">
        <v>692</v>
      </c>
      <c r="B436" s="10" t="s">
        <v>693</v>
      </c>
      <c r="C436" s="10" t="s">
        <v>154</v>
      </c>
      <c r="D436" s="10" t="s">
        <v>155</v>
      </c>
      <c r="E436" s="10" t="s">
        <v>708</v>
      </c>
      <c r="F436" s="11">
        <v>42000</v>
      </c>
      <c r="G436" s="11">
        <v>12000</v>
      </c>
      <c r="H436" s="12"/>
      <c r="I436" s="12"/>
      <c r="J436" s="12"/>
      <c r="K436" s="11">
        <v>12000</v>
      </c>
    </row>
    <row r="437" spans="1:11" x14ac:dyDescent="0.35">
      <c r="A437" s="10" t="s">
        <v>692</v>
      </c>
      <c r="B437" s="10" t="s">
        <v>693</v>
      </c>
      <c r="C437" s="10" t="s">
        <v>545</v>
      </c>
      <c r="D437" s="10" t="s">
        <v>546</v>
      </c>
      <c r="E437" s="10" t="s">
        <v>709</v>
      </c>
      <c r="F437" s="11">
        <v>35000</v>
      </c>
      <c r="G437" s="11">
        <v>25000</v>
      </c>
      <c r="H437" s="12"/>
      <c r="I437" s="12"/>
      <c r="J437" s="12"/>
      <c r="K437" s="11">
        <v>25000</v>
      </c>
    </row>
    <row r="438" spans="1:11" x14ac:dyDescent="0.35">
      <c r="A438" s="10" t="s">
        <v>710</v>
      </c>
      <c r="B438" s="10" t="s">
        <v>711</v>
      </c>
      <c r="C438" s="10" t="s">
        <v>31</v>
      </c>
      <c r="D438" s="10" t="s">
        <v>32</v>
      </c>
      <c r="E438" s="10" t="s">
        <v>712</v>
      </c>
      <c r="F438" s="11">
        <v>317500</v>
      </c>
      <c r="G438" s="11">
        <v>642474</v>
      </c>
      <c r="H438" s="11">
        <v>506933.75</v>
      </c>
      <c r="I438" s="11">
        <v>0</v>
      </c>
      <c r="J438" s="11">
        <v>120107.12</v>
      </c>
      <c r="K438" s="11">
        <v>15433.13</v>
      </c>
    </row>
    <row r="439" spans="1:11" x14ac:dyDescent="0.35">
      <c r="A439" s="10" t="s">
        <v>710</v>
      </c>
      <c r="B439" s="10" t="s">
        <v>711</v>
      </c>
      <c r="C439" s="10" t="s">
        <v>274</v>
      </c>
      <c r="D439" s="10" t="s">
        <v>275</v>
      </c>
      <c r="E439" s="10" t="s">
        <v>713</v>
      </c>
      <c r="F439" s="11">
        <v>560000</v>
      </c>
      <c r="G439" s="11">
        <v>0</v>
      </c>
      <c r="H439" s="12"/>
      <c r="I439" s="12"/>
      <c r="J439" s="12"/>
      <c r="K439" s="11">
        <v>0</v>
      </c>
    </row>
    <row r="440" spans="1:11" x14ac:dyDescent="0.35">
      <c r="A440" s="10" t="s">
        <v>710</v>
      </c>
      <c r="B440" s="10" t="s">
        <v>711</v>
      </c>
      <c r="C440" s="10" t="s">
        <v>144</v>
      </c>
      <c r="D440" s="10" t="s">
        <v>145</v>
      </c>
      <c r="E440" s="10" t="s">
        <v>714</v>
      </c>
      <c r="F440" s="11">
        <v>0</v>
      </c>
      <c r="G440" s="11">
        <v>80600</v>
      </c>
      <c r="H440" s="11">
        <v>59045</v>
      </c>
      <c r="I440" s="12"/>
      <c r="J440" s="12"/>
      <c r="K440" s="11">
        <v>21555</v>
      </c>
    </row>
    <row r="441" spans="1:11" x14ac:dyDescent="0.35">
      <c r="A441" s="10" t="s">
        <v>710</v>
      </c>
      <c r="B441" s="10" t="s">
        <v>711</v>
      </c>
      <c r="C441" s="10" t="s">
        <v>147</v>
      </c>
      <c r="D441" s="10" t="s">
        <v>148</v>
      </c>
      <c r="E441" s="10" t="s">
        <v>715</v>
      </c>
      <c r="F441" s="11">
        <v>520000</v>
      </c>
      <c r="G441" s="11">
        <v>483339</v>
      </c>
      <c r="H441" s="11">
        <v>483337.95</v>
      </c>
      <c r="I441" s="12"/>
      <c r="J441" s="12"/>
      <c r="K441" s="11">
        <v>1.0499999999865399</v>
      </c>
    </row>
    <row r="442" spans="1:11" x14ac:dyDescent="0.35">
      <c r="A442" s="10" t="s">
        <v>710</v>
      </c>
      <c r="B442" s="10" t="s">
        <v>711</v>
      </c>
      <c r="C442" s="10" t="s">
        <v>37</v>
      </c>
      <c r="D442" s="10" t="s">
        <v>38</v>
      </c>
      <c r="E442" s="10" t="s">
        <v>716</v>
      </c>
      <c r="F442" s="11">
        <v>51000</v>
      </c>
      <c r="G442" s="11">
        <v>31400</v>
      </c>
      <c r="H442" s="11">
        <v>31400</v>
      </c>
      <c r="I442" s="12"/>
      <c r="J442" s="12"/>
      <c r="K442" s="11">
        <v>0</v>
      </c>
    </row>
    <row r="443" spans="1:11" x14ac:dyDescent="0.35">
      <c r="A443" s="10" t="s">
        <v>710</v>
      </c>
      <c r="B443" s="10" t="s">
        <v>711</v>
      </c>
      <c r="C443" s="10" t="s">
        <v>40</v>
      </c>
      <c r="D443" s="10" t="s">
        <v>41</v>
      </c>
      <c r="E443" s="10" t="s">
        <v>717</v>
      </c>
      <c r="F443" s="11">
        <v>60608</v>
      </c>
      <c r="G443" s="11">
        <v>60608</v>
      </c>
      <c r="H443" s="11">
        <v>60604.5</v>
      </c>
      <c r="I443" s="11">
        <v>0</v>
      </c>
      <c r="J443" s="11">
        <v>0</v>
      </c>
      <c r="K443" s="11">
        <v>3.5</v>
      </c>
    </row>
    <row r="444" spans="1:11" x14ac:dyDescent="0.35">
      <c r="A444" s="10" t="s">
        <v>710</v>
      </c>
      <c r="B444" s="10" t="s">
        <v>711</v>
      </c>
      <c r="C444" s="10" t="s">
        <v>43</v>
      </c>
      <c r="D444" s="10" t="s">
        <v>44</v>
      </c>
      <c r="E444" s="10" t="s">
        <v>718</v>
      </c>
      <c r="F444" s="11">
        <v>0</v>
      </c>
      <c r="G444" s="11">
        <v>7536</v>
      </c>
      <c r="H444" s="11">
        <v>7535</v>
      </c>
      <c r="I444" s="12"/>
      <c r="J444" s="12"/>
      <c r="K444" s="11">
        <v>1</v>
      </c>
    </row>
    <row r="445" spans="1:11" x14ac:dyDescent="0.35">
      <c r="A445" s="10" t="s">
        <v>710</v>
      </c>
      <c r="B445" s="10" t="s">
        <v>711</v>
      </c>
      <c r="C445" s="10" t="s">
        <v>49</v>
      </c>
      <c r="D445" s="10" t="s">
        <v>50</v>
      </c>
      <c r="E445" s="10" t="s">
        <v>719</v>
      </c>
      <c r="F445" s="11">
        <v>46500</v>
      </c>
      <c r="G445" s="11">
        <v>1</v>
      </c>
      <c r="H445" s="12"/>
      <c r="I445" s="12"/>
      <c r="J445" s="12"/>
      <c r="K445" s="11">
        <v>1</v>
      </c>
    </row>
    <row r="446" spans="1:11" x14ac:dyDescent="0.35">
      <c r="A446" s="10" t="s">
        <v>710</v>
      </c>
      <c r="B446" s="10" t="s">
        <v>711</v>
      </c>
      <c r="C446" s="10" t="s">
        <v>154</v>
      </c>
      <c r="D446" s="10" t="s">
        <v>155</v>
      </c>
      <c r="E446" s="10" t="s">
        <v>720</v>
      </c>
      <c r="F446" s="11">
        <v>10000</v>
      </c>
      <c r="G446" s="11">
        <v>12170</v>
      </c>
      <c r="H446" s="12"/>
      <c r="I446" s="11">
        <v>12167.5</v>
      </c>
      <c r="J446" s="12"/>
      <c r="K446" s="11">
        <v>2.5</v>
      </c>
    </row>
    <row r="447" spans="1:11" x14ac:dyDescent="0.35">
      <c r="A447" s="10" t="s">
        <v>721</v>
      </c>
      <c r="B447" s="10" t="s">
        <v>722</v>
      </c>
      <c r="C447" s="10" t="s">
        <v>437</v>
      </c>
      <c r="D447" s="10" t="s">
        <v>438</v>
      </c>
      <c r="E447" s="10" t="s">
        <v>723</v>
      </c>
      <c r="F447" s="11">
        <v>2058000</v>
      </c>
      <c r="G447" s="11">
        <v>353000</v>
      </c>
      <c r="H447" s="11">
        <v>352238.57</v>
      </c>
      <c r="I447" s="12"/>
      <c r="J447" s="12"/>
      <c r="K447" s="11">
        <v>761.42999999999302</v>
      </c>
    </row>
    <row r="448" spans="1:11" x14ac:dyDescent="0.35">
      <c r="A448" s="10" t="s">
        <v>721</v>
      </c>
      <c r="B448" s="10" t="s">
        <v>722</v>
      </c>
      <c r="C448" s="10" t="s">
        <v>31</v>
      </c>
      <c r="D448" s="10" t="s">
        <v>32</v>
      </c>
      <c r="E448" s="10" t="s">
        <v>724</v>
      </c>
      <c r="F448" s="11">
        <v>205000</v>
      </c>
      <c r="G448" s="11">
        <v>99000</v>
      </c>
      <c r="H448" s="11">
        <v>83641.23</v>
      </c>
      <c r="I448" s="11">
        <v>0</v>
      </c>
      <c r="J448" s="11">
        <v>0</v>
      </c>
      <c r="K448" s="11">
        <v>15358.77</v>
      </c>
    </row>
    <row r="449" spans="1:11" x14ac:dyDescent="0.35">
      <c r="A449" s="10" t="s">
        <v>721</v>
      </c>
      <c r="B449" s="10" t="s">
        <v>722</v>
      </c>
      <c r="C449" s="10" t="s">
        <v>274</v>
      </c>
      <c r="D449" s="10" t="s">
        <v>275</v>
      </c>
      <c r="E449" s="10" t="s">
        <v>725</v>
      </c>
      <c r="F449" s="11">
        <v>0</v>
      </c>
      <c r="G449" s="11">
        <v>0</v>
      </c>
      <c r="H449" s="12"/>
      <c r="I449" s="12"/>
      <c r="J449" s="12"/>
      <c r="K449" s="11">
        <v>0</v>
      </c>
    </row>
    <row r="450" spans="1:11" x14ac:dyDescent="0.35">
      <c r="A450" s="10" t="s">
        <v>721</v>
      </c>
      <c r="B450" s="10" t="s">
        <v>722</v>
      </c>
      <c r="C450" s="10" t="s">
        <v>726</v>
      </c>
      <c r="D450" s="10" t="s">
        <v>727</v>
      </c>
      <c r="E450" s="10" t="s">
        <v>728</v>
      </c>
      <c r="F450" s="11">
        <v>9349361</v>
      </c>
      <c r="G450" s="11">
        <v>12799361</v>
      </c>
      <c r="H450" s="11">
        <v>12649361</v>
      </c>
      <c r="I450" s="11">
        <v>0</v>
      </c>
      <c r="J450" s="11">
        <v>0</v>
      </c>
      <c r="K450" s="11">
        <v>150000</v>
      </c>
    </row>
    <row r="451" spans="1:11" x14ac:dyDescent="0.35">
      <c r="A451" s="10" t="s">
        <v>721</v>
      </c>
      <c r="B451" s="10" t="s">
        <v>722</v>
      </c>
      <c r="C451" s="10" t="s">
        <v>449</v>
      </c>
      <c r="D451" s="10" t="s">
        <v>450</v>
      </c>
      <c r="E451" s="10" t="s">
        <v>729</v>
      </c>
      <c r="F451" s="11">
        <v>225000</v>
      </c>
      <c r="G451" s="11">
        <v>586812</v>
      </c>
      <c r="H451" s="11">
        <v>401793.6</v>
      </c>
      <c r="I451" s="11">
        <v>0</v>
      </c>
      <c r="J451" s="11">
        <v>179200</v>
      </c>
      <c r="K451" s="11">
        <v>5818.4000000000196</v>
      </c>
    </row>
    <row r="452" spans="1:11" x14ac:dyDescent="0.35">
      <c r="A452" s="10" t="s">
        <v>721</v>
      </c>
      <c r="B452" s="10" t="s">
        <v>722</v>
      </c>
      <c r="C452" s="10" t="s">
        <v>183</v>
      </c>
      <c r="D452" s="10" t="s">
        <v>184</v>
      </c>
      <c r="E452" s="10" t="s">
        <v>730</v>
      </c>
      <c r="F452" s="11">
        <v>936870</v>
      </c>
      <c r="G452" s="11">
        <v>575970</v>
      </c>
      <c r="H452" s="11">
        <v>496332.73</v>
      </c>
      <c r="I452" s="11">
        <v>0</v>
      </c>
      <c r="J452" s="11">
        <v>12000</v>
      </c>
      <c r="K452" s="11">
        <v>67637.269999999902</v>
      </c>
    </row>
    <row r="453" spans="1:11" x14ac:dyDescent="0.35">
      <c r="A453" s="10" t="s">
        <v>721</v>
      </c>
      <c r="B453" s="10" t="s">
        <v>722</v>
      </c>
      <c r="C453" s="10" t="s">
        <v>37</v>
      </c>
      <c r="D453" s="10" t="s">
        <v>38</v>
      </c>
      <c r="E453" s="10" t="s">
        <v>731</v>
      </c>
      <c r="F453" s="11">
        <v>70800</v>
      </c>
      <c r="G453" s="11">
        <v>144988</v>
      </c>
      <c r="H453" s="11">
        <v>139521.91</v>
      </c>
      <c r="I453" s="11">
        <v>0</v>
      </c>
      <c r="J453" s="11">
        <v>0</v>
      </c>
      <c r="K453" s="11">
        <v>5466.09</v>
      </c>
    </row>
    <row r="454" spans="1:11" x14ac:dyDescent="0.35">
      <c r="A454" s="10" t="s">
        <v>721</v>
      </c>
      <c r="B454" s="10" t="s">
        <v>722</v>
      </c>
      <c r="C454" s="10" t="s">
        <v>49</v>
      </c>
      <c r="D454" s="10" t="s">
        <v>50</v>
      </c>
      <c r="E454" s="10" t="s">
        <v>732</v>
      </c>
      <c r="F454" s="11">
        <v>32500</v>
      </c>
      <c r="G454" s="11">
        <v>63492</v>
      </c>
      <c r="H454" s="11">
        <v>63361.19</v>
      </c>
      <c r="I454" s="11">
        <v>0</v>
      </c>
      <c r="J454" s="11">
        <v>0</v>
      </c>
      <c r="K454" s="11">
        <v>130.810000000011</v>
      </c>
    </row>
    <row r="455" spans="1:11" x14ac:dyDescent="0.35">
      <c r="A455" s="10" t="s">
        <v>721</v>
      </c>
      <c r="B455" s="10" t="s">
        <v>722</v>
      </c>
      <c r="C455" s="10" t="s">
        <v>672</v>
      </c>
      <c r="D455" s="10" t="s">
        <v>673</v>
      </c>
      <c r="E455" s="10" t="s">
        <v>733</v>
      </c>
      <c r="F455" s="11">
        <v>12000</v>
      </c>
      <c r="G455" s="11">
        <v>117000</v>
      </c>
      <c r="H455" s="11">
        <v>115171.25</v>
      </c>
      <c r="I455" s="11">
        <v>0</v>
      </c>
      <c r="J455" s="11">
        <v>0</v>
      </c>
      <c r="K455" s="11">
        <v>1828.74999999999</v>
      </c>
    </row>
    <row r="456" spans="1:11" x14ac:dyDescent="0.35">
      <c r="A456" s="10" t="s">
        <v>721</v>
      </c>
      <c r="B456" s="10" t="s">
        <v>722</v>
      </c>
      <c r="C456" s="10" t="s">
        <v>154</v>
      </c>
      <c r="D456" s="10" t="s">
        <v>155</v>
      </c>
      <c r="E456" s="10" t="s">
        <v>734</v>
      </c>
      <c r="F456" s="11">
        <v>13500</v>
      </c>
      <c r="G456" s="11">
        <v>13500</v>
      </c>
      <c r="H456" s="11">
        <v>9097.73</v>
      </c>
      <c r="I456" s="12"/>
      <c r="J456" s="12"/>
      <c r="K456" s="11">
        <v>4402.2700000000004</v>
      </c>
    </row>
    <row r="457" spans="1:11" x14ac:dyDescent="0.35">
      <c r="A457" s="10" t="s">
        <v>735</v>
      </c>
      <c r="B457" s="10" t="s">
        <v>736</v>
      </c>
      <c r="C457" s="10" t="s">
        <v>37</v>
      </c>
      <c r="D457" s="10" t="s">
        <v>38</v>
      </c>
      <c r="E457" s="10" t="s">
        <v>737</v>
      </c>
      <c r="F457" s="11">
        <v>50000</v>
      </c>
      <c r="G457" s="11">
        <v>5962</v>
      </c>
      <c r="H457" s="11">
        <v>2961</v>
      </c>
      <c r="I457" s="12"/>
      <c r="J457" s="12"/>
      <c r="K457" s="11">
        <v>3001</v>
      </c>
    </row>
    <row r="458" spans="1:11" x14ac:dyDescent="0.35">
      <c r="A458" s="10" t="s">
        <v>735</v>
      </c>
      <c r="B458" s="10" t="s">
        <v>736</v>
      </c>
      <c r="C458" s="10" t="s">
        <v>43</v>
      </c>
      <c r="D458" s="10" t="s">
        <v>44</v>
      </c>
      <c r="E458" s="10" t="s">
        <v>738</v>
      </c>
      <c r="F458" s="11">
        <v>300000</v>
      </c>
      <c r="G458" s="11">
        <v>78738</v>
      </c>
      <c r="H458" s="12"/>
      <c r="I458" s="12"/>
      <c r="J458" s="12"/>
      <c r="K458" s="11">
        <v>78738</v>
      </c>
    </row>
    <row r="459" spans="1:11" x14ac:dyDescent="0.35">
      <c r="A459" s="10" t="s">
        <v>735</v>
      </c>
      <c r="B459" s="10" t="s">
        <v>736</v>
      </c>
      <c r="C459" s="10" t="s">
        <v>705</v>
      </c>
      <c r="D459" s="10" t="s">
        <v>706</v>
      </c>
      <c r="E459" s="10" t="s">
        <v>739</v>
      </c>
      <c r="F459" s="11">
        <v>15199430</v>
      </c>
      <c r="G459" s="11">
        <v>14939430</v>
      </c>
      <c r="H459" s="11">
        <v>13712529.550000001</v>
      </c>
      <c r="I459" s="11">
        <v>73143.000000000495</v>
      </c>
      <c r="J459" s="11">
        <v>1129152.23</v>
      </c>
      <c r="K459" s="11">
        <v>24605.219999994199</v>
      </c>
    </row>
    <row r="460" spans="1:11" x14ac:dyDescent="0.35">
      <c r="A460" s="10" t="s">
        <v>735</v>
      </c>
      <c r="B460" s="10" t="s">
        <v>736</v>
      </c>
      <c r="C460" s="10" t="s">
        <v>154</v>
      </c>
      <c r="D460" s="10" t="s">
        <v>155</v>
      </c>
      <c r="E460" s="10" t="s">
        <v>740</v>
      </c>
      <c r="F460" s="11">
        <v>50000</v>
      </c>
      <c r="G460" s="11">
        <v>0</v>
      </c>
      <c r="H460" s="12"/>
      <c r="I460" s="12"/>
      <c r="J460" s="12"/>
      <c r="K460" s="11">
        <v>0</v>
      </c>
    </row>
    <row r="461" spans="1:11" x14ac:dyDescent="0.35">
      <c r="A461" s="10" t="s">
        <v>741</v>
      </c>
      <c r="B461" s="10" t="s">
        <v>742</v>
      </c>
      <c r="C461" s="10" t="s">
        <v>67</v>
      </c>
      <c r="D461" s="10" t="s">
        <v>68</v>
      </c>
      <c r="E461" s="10" t="s">
        <v>743</v>
      </c>
      <c r="F461" s="11">
        <v>2500</v>
      </c>
      <c r="G461" s="11">
        <v>2500</v>
      </c>
      <c r="H461" s="12"/>
      <c r="I461" s="12"/>
      <c r="J461" s="12"/>
      <c r="K461" s="11">
        <v>2500</v>
      </c>
    </row>
    <row r="462" spans="1:11" x14ac:dyDescent="0.35">
      <c r="A462" s="10" t="s">
        <v>741</v>
      </c>
      <c r="B462" s="10" t="s">
        <v>742</v>
      </c>
      <c r="C462" s="10" t="s">
        <v>31</v>
      </c>
      <c r="D462" s="10" t="s">
        <v>32</v>
      </c>
      <c r="E462" s="10" t="s">
        <v>744</v>
      </c>
      <c r="F462" s="11">
        <v>30000</v>
      </c>
      <c r="G462" s="11">
        <v>157078</v>
      </c>
      <c r="H462" s="11">
        <v>147128.99</v>
      </c>
      <c r="I462" s="11">
        <v>0</v>
      </c>
      <c r="J462" s="11">
        <v>0</v>
      </c>
      <c r="K462" s="11">
        <v>9949.0100000000093</v>
      </c>
    </row>
    <row r="463" spans="1:11" x14ac:dyDescent="0.35">
      <c r="A463" s="10" t="s">
        <v>741</v>
      </c>
      <c r="B463" s="10" t="s">
        <v>742</v>
      </c>
      <c r="C463" s="10" t="s">
        <v>34</v>
      </c>
      <c r="D463" s="10" t="s">
        <v>35</v>
      </c>
      <c r="E463" s="10" t="s">
        <v>745</v>
      </c>
      <c r="F463" s="11">
        <v>60000</v>
      </c>
      <c r="G463" s="11">
        <v>60000</v>
      </c>
      <c r="H463" s="11">
        <v>28416.86</v>
      </c>
      <c r="I463" s="12"/>
      <c r="J463" s="12"/>
      <c r="K463" s="11">
        <v>31583.14</v>
      </c>
    </row>
    <row r="464" spans="1:11" x14ac:dyDescent="0.35">
      <c r="A464" s="10" t="s">
        <v>741</v>
      </c>
      <c r="B464" s="10" t="s">
        <v>742</v>
      </c>
      <c r="C464" s="10" t="s">
        <v>746</v>
      </c>
      <c r="D464" s="10" t="s">
        <v>747</v>
      </c>
      <c r="E464" s="10" t="s">
        <v>748</v>
      </c>
      <c r="F464" s="11">
        <v>0</v>
      </c>
      <c r="G464" s="11">
        <v>200000</v>
      </c>
      <c r="H464" s="11">
        <v>177500</v>
      </c>
      <c r="I464" s="12"/>
      <c r="J464" s="12"/>
      <c r="K464" s="11">
        <v>22500</v>
      </c>
    </row>
    <row r="465" spans="1:11" x14ac:dyDescent="0.35">
      <c r="A465" s="10" t="s">
        <v>741</v>
      </c>
      <c r="B465" s="10" t="s">
        <v>742</v>
      </c>
      <c r="C465" s="10" t="s">
        <v>183</v>
      </c>
      <c r="D465" s="10" t="s">
        <v>184</v>
      </c>
      <c r="E465" s="10" t="s">
        <v>749</v>
      </c>
      <c r="F465" s="11">
        <v>30000</v>
      </c>
      <c r="G465" s="11">
        <v>30000</v>
      </c>
      <c r="H465" s="11">
        <v>3000</v>
      </c>
      <c r="I465" s="12"/>
      <c r="J465" s="12"/>
      <c r="K465" s="11">
        <v>27000</v>
      </c>
    </row>
    <row r="466" spans="1:11" x14ac:dyDescent="0.35">
      <c r="A466" s="10" t="s">
        <v>741</v>
      </c>
      <c r="B466" s="10" t="s">
        <v>742</v>
      </c>
      <c r="C466" s="10" t="s">
        <v>97</v>
      </c>
      <c r="D466" s="10" t="s">
        <v>98</v>
      </c>
      <c r="E466" s="10" t="s">
        <v>750</v>
      </c>
      <c r="F466" s="11">
        <v>500000</v>
      </c>
      <c r="G466" s="11">
        <v>82743</v>
      </c>
      <c r="H466" s="11">
        <v>82742.5</v>
      </c>
      <c r="I466" s="11">
        <v>0</v>
      </c>
      <c r="J466" s="11">
        <v>0</v>
      </c>
      <c r="K466" s="11">
        <v>0.5</v>
      </c>
    </row>
    <row r="467" spans="1:11" x14ac:dyDescent="0.35">
      <c r="A467" s="10" t="s">
        <v>741</v>
      </c>
      <c r="B467" s="10" t="s">
        <v>742</v>
      </c>
      <c r="C467" s="10" t="s">
        <v>40</v>
      </c>
      <c r="D467" s="10" t="s">
        <v>41</v>
      </c>
      <c r="E467" s="10" t="s">
        <v>751</v>
      </c>
      <c r="F467" s="11">
        <v>321000</v>
      </c>
      <c r="G467" s="11">
        <v>321000</v>
      </c>
      <c r="H467" s="11">
        <v>271991.93</v>
      </c>
      <c r="I467" s="11">
        <v>14692</v>
      </c>
      <c r="J467" s="11">
        <v>0</v>
      </c>
      <c r="K467" s="11">
        <v>34316.07</v>
      </c>
    </row>
    <row r="468" spans="1:11" x14ac:dyDescent="0.35">
      <c r="A468" s="10" t="s">
        <v>741</v>
      </c>
      <c r="B468" s="10" t="s">
        <v>742</v>
      </c>
      <c r="C468" s="10" t="s">
        <v>49</v>
      </c>
      <c r="D468" s="10" t="s">
        <v>50</v>
      </c>
      <c r="E468" s="10" t="s">
        <v>752</v>
      </c>
      <c r="F468" s="11">
        <v>15000</v>
      </c>
      <c r="G468" s="11">
        <v>7612</v>
      </c>
      <c r="H468" s="12"/>
      <c r="I468" s="12"/>
      <c r="J468" s="12"/>
      <c r="K468" s="11">
        <v>7612</v>
      </c>
    </row>
    <row r="469" spans="1:11" x14ac:dyDescent="0.35">
      <c r="A469" s="10" t="s">
        <v>741</v>
      </c>
      <c r="B469" s="10" t="s">
        <v>742</v>
      </c>
      <c r="C469" s="10" t="s">
        <v>470</v>
      </c>
      <c r="D469" s="10" t="s">
        <v>471</v>
      </c>
      <c r="E469" s="10" t="s">
        <v>753</v>
      </c>
      <c r="F469" s="11">
        <v>200000</v>
      </c>
      <c r="G469" s="11">
        <v>0</v>
      </c>
      <c r="H469" s="12"/>
      <c r="I469" s="12"/>
      <c r="J469" s="12"/>
      <c r="K469" s="11">
        <v>0</v>
      </c>
    </row>
    <row r="470" spans="1:11" x14ac:dyDescent="0.35">
      <c r="A470" s="10" t="s">
        <v>741</v>
      </c>
      <c r="B470" s="10" t="s">
        <v>742</v>
      </c>
      <c r="C470" s="10" t="s">
        <v>192</v>
      </c>
      <c r="D470" s="10" t="s">
        <v>193</v>
      </c>
      <c r="E470" s="10" t="s">
        <v>754</v>
      </c>
      <c r="F470" s="11">
        <v>10000</v>
      </c>
      <c r="G470" s="11">
        <v>10000</v>
      </c>
      <c r="H470" s="12"/>
      <c r="I470" s="12"/>
      <c r="J470" s="12"/>
      <c r="K470" s="11">
        <v>10000</v>
      </c>
    </row>
    <row r="471" spans="1:11" x14ac:dyDescent="0.35">
      <c r="A471" s="10" t="s">
        <v>741</v>
      </c>
      <c r="B471" s="10" t="s">
        <v>742</v>
      </c>
      <c r="C471" s="10" t="s">
        <v>672</v>
      </c>
      <c r="D471" s="10" t="s">
        <v>673</v>
      </c>
      <c r="E471" s="10" t="s">
        <v>755</v>
      </c>
      <c r="F471" s="11">
        <v>5000</v>
      </c>
      <c r="G471" s="11">
        <v>5000</v>
      </c>
      <c r="H471" s="11">
        <v>1014</v>
      </c>
      <c r="I471" s="12"/>
      <c r="J471" s="12"/>
      <c r="K471" s="11">
        <v>3986</v>
      </c>
    </row>
    <row r="472" spans="1:11" x14ac:dyDescent="0.35">
      <c r="A472" s="10" t="s">
        <v>756</v>
      </c>
      <c r="B472" s="10" t="s">
        <v>757</v>
      </c>
      <c r="C472" s="10" t="s">
        <v>19</v>
      </c>
      <c r="D472" s="10" t="s">
        <v>20</v>
      </c>
      <c r="E472" s="10" t="s">
        <v>758</v>
      </c>
      <c r="F472" s="11">
        <v>21895944</v>
      </c>
      <c r="G472" s="11">
        <v>25165944</v>
      </c>
      <c r="H472" s="11">
        <v>25155240</v>
      </c>
      <c r="I472" s="12"/>
      <c r="J472" s="12"/>
      <c r="K472" s="11">
        <v>10704</v>
      </c>
    </row>
    <row r="473" spans="1:11" x14ac:dyDescent="0.35">
      <c r="A473" s="10" t="s">
        <v>756</v>
      </c>
      <c r="B473" s="10" t="s">
        <v>757</v>
      </c>
      <c r="C473" s="10" t="s">
        <v>573</v>
      </c>
      <c r="D473" s="10" t="s">
        <v>574</v>
      </c>
      <c r="E473" s="10" t="s">
        <v>759</v>
      </c>
      <c r="F473" s="11">
        <v>263385</v>
      </c>
      <c r="G473" s="11">
        <v>0</v>
      </c>
      <c r="H473" s="12"/>
      <c r="I473" s="12"/>
      <c r="J473" s="12"/>
      <c r="K473" s="11">
        <v>0</v>
      </c>
    </row>
    <row r="474" spans="1:11" x14ac:dyDescent="0.35">
      <c r="A474" s="10" t="s">
        <v>756</v>
      </c>
      <c r="B474" s="10" t="s">
        <v>757</v>
      </c>
      <c r="C474" s="10" t="s">
        <v>576</v>
      </c>
      <c r="D474" s="10" t="s">
        <v>577</v>
      </c>
      <c r="E474" s="10" t="s">
        <v>760</v>
      </c>
      <c r="F474" s="11">
        <v>0</v>
      </c>
      <c r="G474" s="11">
        <v>0</v>
      </c>
      <c r="H474" s="12"/>
      <c r="I474" s="12"/>
      <c r="J474" s="12"/>
      <c r="K474" s="11">
        <v>0</v>
      </c>
    </row>
    <row r="475" spans="1:11" x14ac:dyDescent="0.35">
      <c r="A475" s="10" t="s">
        <v>756</v>
      </c>
      <c r="B475" s="10" t="s">
        <v>757</v>
      </c>
      <c r="C475" s="10" t="s">
        <v>25</v>
      </c>
      <c r="D475" s="10" t="s">
        <v>26</v>
      </c>
      <c r="E475" s="10" t="s">
        <v>761</v>
      </c>
      <c r="F475" s="11">
        <v>271000</v>
      </c>
      <c r="G475" s="11">
        <v>171000</v>
      </c>
      <c r="H475" s="11">
        <v>147834.06</v>
      </c>
      <c r="I475" s="11">
        <v>0</v>
      </c>
      <c r="J475" s="11">
        <v>0</v>
      </c>
      <c r="K475" s="11">
        <v>23165.94</v>
      </c>
    </row>
    <row r="476" spans="1:11" x14ac:dyDescent="0.35">
      <c r="A476" s="10" t="s">
        <v>756</v>
      </c>
      <c r="B476" s="10" t="s">
        <v>757</v>
      </c>
      <c r="C476" s="10" t="s">
        <v>28</v>
      </c>
      <c r="D476" s="10" t="s">
        <v>29</v>
      </c>
      <c r="E476" s="10" t="s">
        <v>762</v>
      </c>
      <c r="F476" s="11">
        <v>170000</v>
      </c>
      <c r="G476" s="11">
        <v>170000</v>
      </c>
      <c r="H476" s="11">
        <v>73837.02</v>
      </c>
      <c r="I476" s="12"/>
      <c r="J476" s="12"/>
      <c r="K476" s="11">
        <v>96162.98</v>
      </c>
    </row>
    <row r="477" spans="1:11" x14ac:dyDescent="0.35">
      <c r="A477" s="10" t="s">
        <v>756</v>
      </c>
      <c r="B477" s="10" t="s">
        <v>757</v>
      </c>
      <c r="C477" s="10" t="s">
        <v>653</v>
      </c>
      <c r="D477" s="10" t="s">
        <v>654</v>
      </c>
      <c r="E477" s="10" t="s">
        <v>763</v>
      </c>
      <c r="F477" s="11">
        <v>12000</v>
      </c>
      <c r="G477" s="11">
        <v>12000</v>
      </c>
      <c r="H477" s="12"/>
      <c r="I477" s="12"/>
      <c r="J477" s="12"/>
      <c r="K477" s="11">
        <v>12000</v>
      </c>
    </row>
    <row r="478" spans="1:11" x14ac:dyDescent="0.35">
      <c r="A478" s="10" t="s">
        <v>756</v>
      </c>
      <c r="B478" s="10" t="s">
        <v>757</v>
      </c>
      <c r="C478" s="10" t="s">
        <v>31</v>
      </c>
      <c r="D478" s="10" t="s">
        <v>32</v>
      </c>
      <c r="E478" s="10" t="s">
        <v>764</v>
      </c>
      <c r="F478" s="11">
        <v>820000</v>
      </c>
      <c r="G478" s="11">
        <v>351500</v>
      </c>
      <c r="H478" s="11">
        <v>343341.23</v>
      </c>
      <c r="I478" s="11">
        <v>0</v>
      </c>
      <c r="J478" s="11">
        <v>0</v>
      </c>
      <c r="K478" s="11">
        <v>8158.7699999999604</v>
      </c>
    </row>
    <row r="479" spans="1:11" x14ac:dyDescent="0.35">
      <c r="A479" s="10" t="s">
        <v>756</v>
      </c>
      <c r="B479" s="10" t="s">
        <v>757</v>
      </c>
      <c r="C479" s="10" t="s">
        <v>34</v>
      </c>
      <c r="D479" s="10" t="s">
        <v>35</v>
      </c>
      <c r="E479" s="10" t="s">
        <v>765</v>
      </c>
      <c r="F479" s="11">
        <v>780000</v>
      </c>
      <c r="G479" s="11">
        <v>436872</v>
      </c>
      <c r="H479" s="11">
        <v>388106.96</v>
      </c>
      <c r="I479" s="12"/>
      <c r="J479" s="12"/>
      <c r="K479" s="11">
        <v>48765.04</v>
      </c>
    </row>
    <row r="480" spans="1:11" x14ac:dyDescent="0.35">
      <c r="A480" s="10" t="s">
        <v>756</v>
      </c>
      <c r="B480" s="10" t="s">
        <v>757</v>
      </c>
      <c r="C480" s="10" t="s">
        <v>274</v>
      </c>
      <c r="D480" s="10" t="s">
        <v>275</v>
      </c>
      <c r="E480" s="10" t="s">
        <v>766</v>
      </c>
      <c r="F480" s="11">
        <v>2494345</v>
      </c>
      <c r="G480" s="11">
        <v>2203557</v>
      </c>
      <c r="H480" s="11">
        <v>1339891.3</v>
      </c>
      <c r="I480" s="11">
        <v>0</v>
      </c>
      <c r="J480" s="11">
        <v>841579.26</v>
      </c>
      <c r="K480" s="11">
        <v>22086.4399999999</v>
      </c>
    </row>
    <row r="481" spans="1:11" x14ac:dyDescent="0.35">
      <c r="A481" s="10" t="s">
        <v>756</v>
      </c>
      <c r="B481" s="10" t="s">
        <v>757</v>
      </c>
      <c r="C481" s="10" t="s">
        <v>688</v>
      </c>
      <c r="D481" s="10" t="s">
        <v>689</v>
      </c>
      <c r="E481" s="10" t="s">
        <v>767</v>
      </c>
      <c r="F481" s="11">
        <v>180000</v>
      </c>
      <c r="G481" s="11">
        <v>180000</v>
      </c>
      <c r="H481" s="11">
        <v>179039.58</v>
      </c>
      <c r="I481" s="12"/>
      <c r="J481" s="12"/>
      <c r="K481" s="11">
        <v>960.41999999998404</v>
      </c>
    </row>
    <row r="482" spans="1:11" x14ac:dyDescent="0.35">
      <c r="A482" s="10" t="s">
        <v>756</v>
      </c>
      <c r="B482" s="10" t="s">
        <v>757</v>
      </c>
      <c r="C482" s="10" t="s">
        <v>135</v>
      </c>
      <c r="D482" s="10" t="s">
        <v>136</v>
      </c>
      <c r="E482" s="10" t="s">
        <v>768</v>
      </c>
      <c r="F482" s="11">
        <v>0</v>
      </c>
      <c r="G482" s="11">
        <v>100694</v>
      </c>
      <c r="H482" s="11">
        <v>100002</v>
      </c>
      <c r="I482" s="12"/>
      <c r="J482" s="12"/>
      <c r="K482" s="11">
        <v>692</v>
      </c>
    </row>
    <row r="483" spans="1:11" x14ac:dyDescent="0.35">
      <c r="A483" s="10" t="s">
        <v>756</v>
      </c>
      <c r="B483" s="10" t="s">
        <v>757</v>
      </c>
      <c r="C483" s="10" t="s">
        <v>138</v>
      </c>
      <c r="D483" s="10" t="s">
        <v>139</v>
      </c>
      <c r="E483" s="10" t="s">
        <v>769</v>
      </c>
      <c r="F483" s="11">
        <v>0</v>
      </c>
      <c r="G483" s="11">
        <v>55400</v>
      </c>
      <c r="H483" s="11">
        <v>54543</v>
      </c>
      <c r="I483" s="12"/>
      <c r="J483" s="12"/>
      <c r="K483" s="11">
        <v>857</v>
      </c>
    </row>
    <row r="484" spans="1:11" x14ac:dyDescent="0.35">
      <c r="A484" s="10" t="s">
        <v>756</v>
      </c>
      <c r="B484" s="10" t="s">
        <v>757</v>
      </c>
      <c r="C484" s="10" t="s">
        <v>726</v>
      </c>
      <c r="D484" s="10" t="s">
        <v>727</v>
      </c>
      <c r="E484" s="10" t="s">
        <v>770</v>
      </c>
      <c r="F484" s="11">
        <v>312600</v>
      </c>
      <c r="G484" s="11">
        <v>42600</v>
      </c>
      <c r="H484" s="12"/>
      <c r="I484" s="12"/>
      <c r="J484" s="12"/>
      <c r="K484" s="11">
        <v>42600</v>
      </c>
    </row>
    <row r="485" spans="1:11" x14ac:dyDescent="0.35">
      <c r="A485" s="10" t="s">
        <v>756</v>
      </c>
      <c r="B485" s="10" t="s">
        <v>757</v>
      </c>
      <c r="C485" s="10" t="s">
        <v>141</v>
      </c>
      <c r="D485" s="10" t="s">
        <v>142</v>
      </c>
      <c r="E485" s="10" t="s">
        <v>771</v>
      </c>
      <c r="F485" s="11">
        <v>24213178</v>
      </c>
      <c r="G485" s="11">
        <v>26263178</v>
      </c>
      <c r="H485" s="11">
        <v>26231200.030000001</v>
      </c>
      <c r="I485" s="12"/>
      <c r="J485" s="12"/>
      <c r="K485" s="11">
        <v>31977.969999995101</v>
      </c>
    </row>
    <row r="486" spans="1:11" x14ac:dyDescent="0.35">
      <c r="A486" s="10" t="s">
        <v>756</v>
      </c>
      <c r="B486" s="10" t="s">
        <v>757</v>
      </c>
      <c r="C486" s="10" t="s">
        <v>696</v>
      </c>
      <c r="D486" s="10" t="s">
        <v>697</v>
      </c>
      <c r="E486" s="10" t="s">
        <v>772</v>
      </c>
      <c r="F486" s="11">
        <v>864069</v>
      </c>
      <c r="G486" s="11">
        <v>179594</v>
      </c>
      <c r="H486" s="11">
        <v>131112.59</v>
      </c>
      <c r="I486" s="12"/>
      <c r="J486" s="12"/>
      <c r="K486" s="11">
        <v>48481.41</v>
      </c>
    </row>
    <row r="487" spans="1:11" x14ac:dyDescent="0.35">
      <c r="A487" s="10" t="s">
        <v>756</v>
      </c>
      <c r="B487" s="10" t="s">
        <v>757</v>
      </c>
      <c r="C487" s="10" t="s">
        <v>147</v>
      </c>
      <c r="D487" s="10" t="s">
        <v>148</v>
      </c>
      <c r="E487" s="10" t="s">
        <v>773</v>
      </c>
      <c r="F487" s="11">
        <v>2759974</v>
      </c>
      <c r="G487" s="11">
        <v>389098</v>
      </c>
      <c r="H487" s="11">
        <v>384856.39</v>
      </c>
      <c r="I487" s="11">
        <v>0</v>
      </c>
      <c r="J487" s="11">
        <v>0</v>
      </c>
      <c r="K487" s="11">
        <v>4241.6099999999897</v>
      </c>
    </row>
    <row r="488" spans="1:11" x14ac:dyDescent="0.35">
      <c r="A488" s="10" t="s">
        <v>756</v>
      </c>
      <c r="B488" s="10" t="s">
        <v>757</v>
      </c>
      <c r="C488" s="10" t="s">
        <v>72</v>
      </c>
      <c r="D488" s="10" t="s">
        <v>73</v>
      </c>
      <c r="E488" s="10" t="s">
        <v>774</v>
      </c>
      <c r="F488" s="11">
        <v>200000</v>
      </c>
      <c r="G488" s="11">
        <v>50000</v>
      </c>
      <c r="H488" s="11">
        <v>2940</v>
      </c>
      <c r="I488" s="12"/>
      <c r="J488" s="12"/>
      <c r="K488" s="11">
        <v>47060</v>
      </c>
    </row>
    <row r="489" spans="1:11" x14ac:dyDescent="0.35">
      <c r="A489" s="10" t="s">
        <v>756</v>
      </c>
      <c r="B489" s="10" t="s">
        <v>757</v>
      </c>
      <c r="C489" s="10" t="s">
        <v>37</v>
      </c>
      <c r="D489" s="10" t="s">
        <v>38</v>
      </c>
      <c r="E489" s="10" t="s">
        <v>775</v>
      </c>
      <c r="F489" s="11">
        <v>185000</v>
      </c>
      <c r="G489" s="11">
        <v>185000</v>
      </c>
      <c r="H489" s="11">
        <v>80823.08</v>
      </c>
      <c r="I489" s="11">
        <v>0</v>
      </c>
      <c r="J489" s="11">
        <v>0</v>
      </c>
      <c r="K489" s="11">
        <v>104176.92</v>
      </c>
    </row>
    <row r="490" spans="1:11" x14ac:dyDescent="0.35">
      <c r="A490" s="10" t="s">
        <v>756</v>
      </c>
      <c r="B490" s="10" t="s">
        <v>757</v>
      </c>
      <c r="C490" s="10" t="s">
        <v>420</v>
      </c>
      <c r="D490" s="10" t="s">
        <v>421</v>
      </c>
      <c r="E490" s="10" t="s">
        <v>776</v>
      </c>
      <c r="F490" s="11">
        <v>90000</v>
      </c>
      <c r="G490" s="11">
        <v>90000</v>
      </c>
      <c r="H490" s="12"/>
      <c r="I490" s="12"/>
      <c r="J490" s="12"/>
      <c r="K490" s="11">
        <v>90000</v>
      </c>
    </row>
    <row r="491" spans="1:11" x14ac:dyDescent="0.35">
      <c r="A491" s="10" t="s">
        <v>756</v>
      </c>
      <c r="B491" s="10" t="s">
        <v>757</v>
      </c>
      <c r="C491" s="10" t="s">
        <v>40</v>
      </c>
      <c r="D491" s="10" t="s">
        <v>41</v>
      </c>
      <c r="E491" s="10" t="s">
        <v>777</v>
      </c>
      <c r="F491" s="11">
        <v>777363</v>
      </c>
      <c r="G491" s="11">
        <v>977363</v>
      </c>
      <c r="H491" s="11">
        <v>855139.77</v>
      </c>
      <c r="I491" s="11">
        <v>0</v>
      </c>
      <c r="J491" s="11">
        <v>7390</v>
      </c>
      <c r="K491" s="11">
        <v>114833.23</v>
      </c>
    </row>
    <row r="492" spans="1:11" x14ac:dyDescent="0.35">
      <c r="A492" s="10" t="s">
        <v>756</v>
      </c>
      <c r="B492" s="10" t="s">
        <v>757</v>
      </c>
      <c r="C492" s="10" t="s">
        <v>491</v>
      </c>
      <c r="D492" s="10" t="s">
        <v>492</v>
      </c>
      <c r="E492" s="10" t="s">
        <v>778</v>
      </c>
      <c r="F492" s="11">
        <v>21000</v>
      </c>
      <c r="G492" s="11">
        <v>21000</v>
      </c>
      <c r="H492" s="11">
        <v>235</v>
      </c>
      <c r="I492" s="12"/>
      <c r="J492" s="12"/>
      <c r="K492" s="11">
        <v>20765</v>
      </c>
    </row>
    <row r="493" spans="1:11" x14ac:dyDescent="0.35">
      <c r="A493" s="10" t="s">
        <v>756</v>
      </c>
      <c r="B493" s="10" t="s">
        <v>757</v>
      </c>
      <c r="C493" s="10" t="s">
        <v>78</v>
      </c>
      <c r="D493" s="10" t="s">
        <v>79</v>
      </c>
      <c r="E493" s="10" t="s">
        <v>779</v>
      </c>
      <c r="F493" s="11">
        <v>903674</v>
      </c>
      <c r="G493" s="11">
        <v>81210</v>
      </c>
      <c r="H493" s="12"/>
      <c r="I493" s="12"/>
      <c r="J493" s="12"/>
      <c r="K493" s="11">
        <v>81210</v>
      </c>
    </row>
    <row r="494" spans="1:11" x14ac:dyDescent="0.35">
      <c r="A494" s="10" t="s">
        <v>756</v>
      </c>
      <c r="B494" s="10" t="s">
        <v>757</v>
      </c>
      <c r="C494" s="10" t="s">
        <v>61</v>
      </c>
      <c r="D494" s="10" t="s">
        <v>62</v>
      </c>
      <c r="E494" s="10" t="s">
        <v>780</v>
      </c>
      <c r="F494" s="11">
        <v>153178</v>
      </c>
      <c r="G494" s="11">
        <v>153178</v>
      </c>
      <c r="H494" s="11">
        <v>50517.43</v>
      </c>
      <c r="I494" s="11">
        <v>0</v>
      </c>
      <c r="J494" s="11">
        <v>0</v>
      </c>
      <c r="K494" s="11">
        <v>102660.57</v>
      </c>
    </row>
    <row r="495" spans="1:11" x14ac:dyDescent="0.35">
      <c r="A495" s="10" t="s">
        <v>756</v>
      </c>
      <c r="B495" s="10" t="s">
        <v>757</v>
      </c>
      <c r="C495" s="10" t="s">
        <v>581</v>
      </c>
      <c r="D495" s="10" t="s">
        <v>582</v>
      </c>
      <c r="E495" s="10" t="s">
        <v>781</v>
      </c>
      <c r="F495" s="11">
        <v>10000</v>
      </c>
      <c r="G495" s="11">
        <v>10000</v>
      </c>
      <c r="H495" s="12"/>
      <c r="I495" s="12"/>
      <c r="J495" s="12"/>
      <c r="K495" s="11">
        <v>10000</v>
      </c>
    </row>
    <row r="496" spans="1:11" x14ac:dyDescent="0.35">
      <c r="A496" s="10" t="s">
        <v>756</v>
      </c>
      <c r="B496" s="10" t="s">
        <v>757</v>
      </c>
      <c r="C496" s="10" t="s">
        <v>43</v>
      </c>
      <c r="D496" s="10" t="s">
        <v>44</v>
      </c>
      <c r="E496" s="10" t="s">
        <v>782</v>
      </c>
      <c r="F496" s="11">
        <v>419000</v>
      </c>
      <c r="G496" s="11">
        <v>69339</v>
      </c>
      <c r="H496" s="11">
        <v>43037.5</v>
      </c>
      <c r="I496" s="12"/>
      <c r="J496" s="12"/>
      <c r="K496" s="11">
        <v>26301.5</v>
      </c>
    </row>
    <row r="497" spans="1:11" x14ac:dyDescent="0.35">
      <c r="A497" s="10" t="s">
        <v>756</v>
      </c>
      <c r="B497" s="10" t="s">
        <v>757</v>
      </c>
      <c r="C497" s="10" t="s">
        <v>49</v>
      </c>
      <c r="D497" s="10" t="s">
        <v>50</v>
      </c>
      <c r="E497" s="10" t="s">
        <v>783</v>
      </c>
      <c r="F497" s="11">
        <v>5000</v>
      </c>
      <c r="G497" s="11">
        <v>2887</v>
      </c>
      <c r="H497" s="11">
        <v>2819.61</v>
      </c>
      <c r="I497" s="12"/>
      <c r="J497" s="12"/>
      <c r="K497" s="11">
        <v>67.389999999999901</v>
      </c>
    </row>
    <row r="498" spans="1:11" x14ac:dyDescent="0.35">
      <c r="A498" s="10" t="s">
        <v>756</v>
      </c>
      <c r="B498" s="10" t="s">
        <v>757</v>
      </c>
      <c r="C498" s="10" t="s">
        <v>123</v>
      </c>
      <c r="D498" s="10" t="s">
        <v>124</v>
      </c>
      <c r="E498" s="10" t="s">
        <v>784</v>
      </c>
      <c r="F498" s="11">
        <v>26000</v>
      </c>
      <c r="G498" s="11">
        <v>565385</v>
      </c>
      <c r="H498" s="11">
        <v>522981</v>
      </c>
      <c r="I498" s="11">
        <v>0</v>
      </c>
      <c r="J498" s="11">
        <v>0</v>
      </c>
      <c r="K498" s="11">
        <v>42404</v>
      </c>
    </row>
    <row r="499" spans="1:11" x14ac:dyDescent="0.35">
      <c r="A499" s="10" t="s">
        <v>756</v>
      </c>
      <c r="B499" s="10" t="s">
        <v>757</v>
      </c>
      <c r="C499" s="10" t="s">
        <v>169</v>
      </c>
      <c r="D499" s="10" t="s">
        <v>170</v>
      </c>
      <c r="E499" s="10" t="s">
        <v>785</v>
      </c>
      <c r="F499" s="11">
        <v>516900</v>
      </c>
      <c r="G499" s="11">
        <v>586900</v>
      </c>
      <c r="H499" s="11">
        <v>570208.61</v>
      </c>
      <c r="I499" s="11">
        <v>0</v>
      </c>
      <c r="J499" s="11">
        <v>4021</v>
      </c>
      <c r="K499" s="11">
        <v>12670.39</v>
      </c>
    </row>
    <row r="500" spans="1:11" x14ac:dyDescent="0.35">
      <c r="A500" s="10" t="s">
        <v>756</v>
      </c>
      <c r="B500" s="10" t="s">
        <v>757</v>
      </c>
      <c r="C500" s="10" t="s">
        <v>786</v>
      </c>
      <c r="D500" s="10" t="s">
        <v>787</v>
      </c>
      <c r="E500" s="10" t="s">
        <v>788</v>
      </c>
      <c r="F500" s="11">
        <v>35000</v>
      </c>
      <c r="G500" s="11">
        <v>35000</v>
      </c>
      <c r="H500" s="12"/>
      <c r="I500" s="12"/>
      <c r="J500" s="12"/>
      <c r="K500" s="11">
        <v>35000</v>
      </c>
    </row>
    <row r="501" spans="1:11" x14ac:dyDescent="0.35">
      <c r="A501" s="10" t="s">
        <v>756</v>
      </c>
      <c r="B501" s="10" t="s">
        <v>757</v>
      </c>
      <c r="C501" s="10" t="s">
        <v>705</v>
      </c>
      <c r="D501" s="10" t="s">
        <v>706</v>
      </c>
      <c r="E501" s="10" t="s">
        <v>789</v>
      </c>
      <c r="F501" s="11">
        <v>72000</v>
      </c>
      <c r="G501" s="11">
        <v>1062390</v>
      </c>
      <c r="H501" s="11">
        <v>257634.35</v>
      </c>
      <c r="I501" s="11">
        <v>148095.35999999999</v>
      </c>
      <c r="J501" s="11">
        <v>631025.18000000005</v>
      </c>
      <c r="K501" s="11">
        <v>25635.11</v>
      </c>
    </row>
    <row r="502" spans="1:11" x14ac:dyDescent="0.35">
      <c r="A502" s="10" t="s">
        <v>756</v>
      </c>
      <c r="B502" s="10" t="s">
        <v>757</v>
      </c>
      <c r="C502" s="10" t="s">
        <v>192</v>
      </c>
      <c r="D502" s="10" t="s">
        <v>193</v>
      </c>
      <c r="E502" s="10" t="s">
        <v>790</v>
      </c>
      <c r="F502" s="11">
        <v>591905</v>
      </c>
      <c r="G502" s="11">
        <v>6515</v>
      </c>
      <c r="H502" s="11">
        <v>305.68</v>
      </c>
      <c r="I502" s="12"/>
      <c r="J502" s="12"/>
      <c r="K502" s="11">
        <v>6209.32</v>
      </c>
    </row>
    <row r="503" spans="1:11" x14ac:dyDescent="0.35">
      <c r="A503" s="10" t="s">
        <v>756</v>
      </c>
      <c r="B503" s="10" t="s">
        <v>757</v>
      </c>
      <c r="C503" s="10" t="s">
        <v>103</v>
      </c>
      <c r="D503" s="10" t="s">
        <v>104</v>
      </c>
      <c r="E503" s="10" t="s">
        <v>791</v>
      </c>
      <c r="F503" s="11">
        <v>120000</v>
      </c>
      <c r="G503" s="11">
        <v>520499</v>
      </c>
      <c r="H503" s="11">
        <v>367149.12</v>
      </c>
      <c r="I503" s="12"/>
      <c r="J503" s="12"/>
      <c r="K503" s="11">
        <v>153349.88</v>
      </c>
    </row>
    <row r="504" spans="1:11" x14ac:dyDescent="0.35">
      <c r="A504" s="10" t="s">
        <v>756</v>
      </c>
      <c r="B504" s="10" t="s">
        <v>757</v>
      </c>
      <c r="C504" s="10" t="s">
        <v>173</v>
      </c>
      <c r="D504" s="10" t="s">
        <v>174</v>
      </c>
      <c r="E504" s="10" t="s">
        <v>792</v>
      </c>
      <c r="F504" s="11">
        <v>1592072</v>
      </c>
      <c r="G504" s="11">
        <v>1892072</v>
      </c>
      <c r="H504" s="11">
        <v>1579208.69</v>
      </c>
      <c r="I504" s="11">
        <v>5630</v>
      </c>
      <c r="J504" s="11">
        <v>187660</v>
      </c>
      <c r="K504" s="11">
        <v>116373.31</v>
      </c>
    </row>
    <row r="505" spans="1:11" x14ac:dyDescent="0.35">
      <c r="A505" s="10" t="s">
        <v>756</v>
      </c>
      <c r="B505" s="10" t="s">
        <v>757</v>
      </c>
      <c r="C505" s="10" t="s">
        <v>672</v>
      </c>
      <c r="D505" s="10" t="s">
        <v>673</v>
      </c>
      <c r="E505" s="10" t="s">
        <v>793</v>
      </c>
      <c r="F505" s="11">
        <v>10000</v>
      </c>
      <c r="G505" s="11">
        <v>10000</v>
      </c>
      <c r="H505" s="11">
        <v>80</v>
      </c>
      <c r="I505" s="12"/>
      <c r="J505" s="12"/>
      <c r="K505" s="11">
        <v>9920</v>
      </c>
    </row>
    <row r="506" spans="1:11" x14ac:dyDescent="0.35">
      <c r="A506" s="10" t="s">
        <v>756</v>
      </c>
      <c r="B506" s="10" t="s">
        <v>757</v>
      </c>
      <c r="C506" s="10" t="s">
        <v>154</v>
      </c>
      <c r="D506" s="10" t="s">
        <v>155</v>
      </c>
      <c r="E506" s="10" t="s">
        <v>794</v>
      </c>
      <c r="F506" s="11">
        <v>200000</v>
      </c>
      <c r="G506" s="11">
        <v>0</v>
      </c>
      <c r="H506" s="12"/>
      <c r="I506" s="12"/>
      <c r="J506" s="12"/>
      <c r="K506" s="11">
        <v>0</v>
      </c>
    </row>
    <row r="507" spans="1:11" x14ac:dyDescent="0.35">
      <c r="A507" s="10" t="s">
        <v>756</v>
      </c>
      <c r="B507" s="10" t="s">
        <v>757</v>
      </c>
      <c r="C507" s="10" t="s">
        <v>545</v>
      </c>
      <c r="D507" s="10" t="s">
        <v>546</v>
      </c>
      <c r="E507" s="10" t="s">
        <v>795</v>
      </c>
      <c r="F507" s="11">
        <v>112000</v>
      </c>
      <c r="G507" s="11">
        <v>87000</v>
      </c>
      <c r="H507" s="11">
        <v>3165.75</v>
      </c>
      <c r="I507" s="12"/>
      <c r="J507" s="12"/>
      <c r="K507" s="11">
        <v>83834.25</v>
      </c>
    </row>
    <row r="508" spans="1:11" x14ac:dyDescent="0.35">
      <c r="A508" s="10" t="s">
        <v>756</v>
      </c>
      <c r="B508" s="10" t="s">
        <v>757</v>
      </c>
      <c r="C508" s="10" t="s">
        <v>176</v>
      </c>
      <c r="D508" s="10" t="s">
        <v>177</v>
      </c>
      <c r="E508" s="10" t="s">
        <v>796</v>
      </c>
      <c r="F508" s="11">
        <v>0</v>
      </c>
      <c r="G508" s="11">
        <v>6000</v>
      </c>
      <c r="H508" s="12"/>
      <c r="I508" s="12"/>
      <c r="J508" s="12"/>
      <c r="K508" s="11">
        <v>6000</v>
      </c>
    </row>
    <row r="509" spans="1:11" x14ac:dyDescent="0.35">
      <c r="A509" s="10" t="s">
        <v>14</v>
      </c>
      <c r="B509" s="10" t="s">
        <v>15</v>
      </c>
      <c r="C509" s="10" t="s">
        <v>798</v>
      </c>
      <c r="D509" s="10" t="s">
        <v>170</v>
      </c>
      <c r="E509" s="10" t="s">
        <v>799</v>
      </c>
      <c r="F509" s="11">
        <v>1220302</v>
      </c>
      <c r="G509" s="11">
        <v>1220302</v>
      </c>
      <c r="H509" s="11">
        <v>1220301.8</v>
      </c>
      <c r="I509" s="12"/>
      <c r="J509" s="11">
        <v>1.16415321826935E-10</v>
      </c>
      <c r="K509" s="11">
        <v>0.19999999983701899</v>
      </c>
    </row>
    <row r="510" spans="1:11" x14ac:dyDescent="0.35">
      <c r="A510" s="10" t="s">
        <v>52</v>
      </c>
      <c r="B510" s="10" t="s">
        <v>53</v>
      </c>
      <c r="C510" s="10" t="s">
        <v>800</v>
      </c>
      <c r="D510" s="10" t="s">
        <v>801</v>
      </c>
      <c r="E510" s="10" t="s">
        <v>802</v>
      </c>
      <c r="F510" s="11">
        <v>0</v>
      </c>
      <c r="G510" s="11">
        <v>55598</v>
      </c>
      <c r="H510" s="11">
        <v>44351.48</v>
      </c>
      <c r="I510" s="11">
        <v>11245.5</v>
      </c>
      <c r="J510" s="11">
        <v>0</v>
      </c>
      <c r="K510" s="11">
        <v>1.0199999999967999</v>
      </c>
    </row>
    <row r="511" spans="1:11" x14ac:dyDescent="0.35">
      <c r="A511" s="10" t="s">
        <v>65</v>
      </c>
      <c r="B511" s="10" t="s">
        <v>66</v>
      </c>
      <c r="C511" s="10" t="s">
        <v>803</v>
      </c>
      <c r="D511" s="10" t="s">
        <v>804</v>
      </c>
      <c r="E511" s="10" t="s">
        <v>805</v>
      </c>
      <c r="F511" s="11">
        <v>137589</v>
      </c>
      <c r="G511" s="11">
        <v>1</v>
      </c>
      <c r="H511" s="12"/>
      <c r="I511" s="12"/>
      <c r="J511" s="12"/>
      <c r="K511" s="11">
        <v>1</v>
      </c>
    </row>
    <row r="512" spans="1:11" x14ac:dyDescent="0.35">
      <c r="A512" s="10" t="s">
        <v>126</v>
      </c>
      <c r="B512" s="10" t="s">
        <v>127</v>
      </c>
      <c r="C512" s="10" t="s">
        <v>803</v>
      </c>
      <c r="D512" s="10" t="s">
        <v>804</v>
      </c>
      <c r="E512" s="10" t="s">
        <v>806</v>
      </c>
      <c r="F512" s="11">
        <v>1380709</v>
      </c>
      <c r="G512" s="11">
        <v>1333261</v>
      </c>
      <c r="H512" s="11">
        <v>1333260</v>
      </c>
      <c r="I512" s="11">
        <v>0</v>
      </c>
      <c r="J512" s="11">
        <v>0</v>
      </c>
      <c r="K512" s="11">
        <v>1</v>
      </c>
    </row>
    <row r="513" spans="1:11" x14ac:dyDescent="0.35">
      <c r="A513" s="10" t="s">
        <v>179</v>
      </c>
      <c r="B513" s="10" t="s">
        <v>180</v>
      </c>
      <c r="C513" s="10" t="s">
        <v>798</v>
      </c>
      <c r="D513" s="10" t="s">
        <v>170</v>
      </c>
      <c r="E513" s="10" t="s">
        <v>807</v>
      </c>
      <c r="F513" s="11">
        <v>1174460</v>
      </c>
      <c r="G513" s="11">
        <v>1169804</v>
      </c>
      <c r="H513" s="11">
        <v>364703.32</v>
      </c>
      <c r="I513" s="11">
        <v>0</v>
      </c>
      <c r="J513" s="11">
        <v>805100</v>
      </c>
      <c r="K513" s="11">
        <v>0.67999999981839199</v>
      </c>
    </row>
    <row r="514" spans="1:11" x14ac:dyDescent="0.35">
      <c r="A514" s="10" t="s">
        <v>199</v>
      </c>
      <c r="B514" s="10" t="s">
        <v>200</v>
      </c>
      <c r="C514" s="10" t="s">
        <v>798</v>
      </c>
      <c r="D514" s="10" t="s">
        <v>170</v>
      </c>
      <c r="E514" s="10" t="s">
        <v>808</v>
      </c>
      <c r="F514" s="11">
        <v>700693</v>
      </c>
      <c r="G514" s="11">
        <v>641514</v>
      </c>
      <c r="H514" s="11">
        <v>657144.79</v>
      </c>
      <c r="I514" s="11">
        <v>0</v>
      </c>
      <c r="J514" s="11">
        <v>-15631.86</v>
      </c>
      <c r="K514" s="11">
        <v>1.06999999997788</v>
      </c>
    </row>
    <row r="515" spans="1:11" x14ac:dyDescent="0.35">
      <c r="A515" s="10" t="s">
        <v>214</v>
      </c>
      <c r="B515" s="10" t="s">
        <v>215</v>
      </c>
      <c r="C515" s="10" t="s">
        <v>798</v>
      </c>
      <c r="D515" s="10" t="s">
        <v>170</v>
      </c>
      <c r="E515" s="10" t="s">
        <v>809</v>
      </c>
      <c r="F515" s="11">
        <v>1813427</v>
      </c>
      <c r="G515" s="11">
        <v>743839</v>
      </c>
      <c r="H515" s="11">
        <v>267018</v>
      </c>
      <c r="I515" s="11">
        <v>0</v>
      </c>
      <c r="J515" s="11">
        <v>476820</v>
      </c>
      <c r="K515" s="11">
        <v>1</v>
      </c>
    </row>
    <row r="516" spans="1:11" x14ac:dyDescent="0.35">
      <c r="A516" s="10" t="s">
        <v>214</v>
      </c>
      <c r="B516" s="10" t="s">
        <v>215</v>
      </c>
      <c r="C516" s="10" t="s">
        <v>810</v>
      </c>
      <c r="D516" s="10" t="s">
        <v>811</v>
      </c>
      <c r="E516" s="10" t="s">
        <v>812</v>
      </c>
      <c r="F516" s="11">
        <v>16097</v>
      </c>
      <c r="G516" s="11">
        <v>1</v>
      </c>
      <c r="H516" s="12"/>
      <c r="I516" s="12"/>
      <c r="J516" s="12"/>
      <c r="K516" s="11">
        <v>1</v>
      </c>
    </row>
    <row r="517" spans="1:11" x14ac:dyDescent="0.35">
      <c r="A517" s="10" t="s">
        <v>228</v>
      </c>
      <c r="B517" s="10" t="s">
        <v>229</v>
      </c>
      <c r="C517" s="10" t="s">
        <v>798</v>
      </c>
      <c r="D517" s="10" t="s">
        <v>170</v>
      </c>
      <c r="E517" s="10" t="s">
        <v>813</v>
      </c>
      <c r="F517" s="11">
        <v>611783</v>
      </c>
      <c r="G517" s="11">
        <v>572821</v>
      </c>
      <c r="H517" s="11">
        <v>559410</v>
      </c>
      <c r="I517" s="11">
        <v>0</v>
      </c>
      <c r="J517" s="11">
        <v>13410</v>
      </c>
      <c r="K517" s="11">
        <v>1</v>
      </c>
    </row>
    <row r="518" spans="1:11" x14ac:dyDescent="0.35">
      <c r="A518" s="10" t="s">
        <v>240</v>
      </c>
      <c r="B518" s="10" t="s">
        <v>241</v>
      </c>
      <c r="C518" s="10" t="s">
        <v>798</v>
      </c>
      <c r="D518" s="10" t="s">
        <v>170</v>
      </c>
      <c r="E518" s="10" t="s">
        <v>814</v>
      </c>
      <c r="F518" s="11">
        <v>456796</v>
      </c>
      <c r="G518" s="11">
        <v>438461</v>
      </c>
      <c r="H518" s="11">
        <v>438885</v>
      </c>
      <c r="I518" s="11">
        <v>0</v>
      </c>
      <c r="J518" s="11">
        <v>-425</v>
      </c>
      <c r="K518" s="11">
        <v>1</v>
      </c>
    </row>
    <row r="519" spans="1:11" x14ac:dyDescent="0.35">
      <c r="A519" s="10" t="s">
        <v>256</v>
      </c>
      <c r="B519" s="10" t="s">
        <v>257</v>
      </c>
      <c r="C519" s="10" t="s">
        <v>798</v>
      </c>
      <c r="D519" s="10" t="s">
        <v>170</v>
      </c>
      <c r="E519" s="10" t="s">
        <v>815</v>
      </c>
      <c r="F519" s="11">
        <v>234334</v>
      </c>
      <c r="G519" s="11">
        <v>234093</v>
      </c>
      <c r="H519" s="11">
        <v>11026.05</v>
      </c>
      <c r="I519" s="11">
        <v>0</v>
      </c>
      <c r="J519" s="11">
        <v>223066</v>
      </c>
      <c r="K519" s="11">
        <v>0.95000000001164198</v>
      </c>
    </row>
    <row r="520" spans="1:11" x14ac:dyDescent="0.35">
      <c r="A520" s="10" t="s">
        <v>270</v>
      </c>
      <c r="B520" s="10" t="s">
        <v>271</v>
      </c>
      <c r="C520" s="10" t="s">
        <v>798</v>
      </c>
      <c r="D520" s="10" t="s">
        <v>170</v>
      </c>
      <c r="E520" s="10" t="s">
        <v>816</v>
      </c>
      <c r="F520" s="11">
        <v>533159</v>
      </c>
      <c r="G520" s="11">
        <v>532461</v>
      </c>
      <c r="H520" s="11">
        <v>532460</v>
      </c>
      <c r="I520" s="11">
        <v>0</v>
      </c>
      <c r="J520" s="11">
        <v>0</v>
      </c>
      <c r="K520" s="11">
        <v>1</v>
      </c>
    </row>
    <row r="521" spans="1:11" x14ac:dyDescent="0.35">
      <c r="A521" s="10" t="s">
        <v>285</v>
      </c>
      <c r="B521" s="10" t="s">
        <v>286</v>
      </c>
      <c r="C521" s="10" t="s">
        <v>798</v>
      </c>
      <c r="D521" s="10" t="s">
        <v>170</v>
      </c>
      <c r="E521" s="10" t="s">
        <v>817</v>
      </c>
      <c r="F521" s="11">
        <v>551330</v>
      </c>
      <c r="G521" s="11">
        <v>548950</v>
      </c>
      <c r="H521" s="11">
        <v>406730</v>
      </c>
      <c r="I521" s="11">
        <v>0</v>
      </c>
      <c r="J521" s="11">
        <v>142219.26999999999</v>
      </c>
      <c r="K521" s="11">
        <v>0.73000000001047705</v>
      </c>
    </row>
    <row r="522" spans="1:11" x14ac:dyDescent="0.35">
      <c r="A522" s="10" t="s">
        <v>298</v>
      </c>
      <c r="B522" s="10" t="s">
        <v>299</v>
      </c>
      <c r="C522" s="10" t="s">
        <v>798</v>
      </c>
      <c r="D522" s="10" t="s">
        <v>170</v>
      </c>
      <c r="E522" s="10" t="s">
        <v>818</v>
      </c>
      <c r="F522" s="11">
        <v>1446520</v>
      </c>
      <c r="G522" s="11">
        <v>1353772</v>
      </c>
      <c r="H522" s="11">
        <v>942948.2</v>
      </c>
      <c r="I522" s="11">
        <v>440666.76</v>
      </c>
      <c r="J522" s="11">
        <v>-29844.44</v>
      </c>
      <c r="K522" s="11">
        <v>1.47999999998137</v>
      </c>
    </row>
    <row r="523" spans="1:11" x14ac:dyDescent="0.35">
      <c r="A523" s="10" t="s">
        <v>330</v>
      </c>
      <c r="B523" s="10" t="s">
        <v>331</v>
      </c>
      <c r="C523" s="10" t="s">
        <v>798</v>
      </c>
      <c r="D523" s="10" t="s">
        <v>170</v>
      </c>
      <c r="E523" s="10" t="s">
        <v>819</v>
      </c>
      <c r="F523" s="11">
        <v>1891417</v>
      </c>
      <c r="G523" s="11">
        <v>1877083</v>
      </c>
      <c r="H523" s="11">
        <v>167178.1</v>
      </c>
      <c r="I523" s="11">
        <v>0</v>
      </c>
      <c r="J523" s="11">
        <v>1707536</v>
      </c>
      <c r="K523" s="11">
        <v>2368.8999999999101</v>
      </c>
    </row>
    <row r="524" spans="1:11" x14ac:dyDescent="0.35">
      <c r="A524" s="10" t="s">
        <v>344</v>
      </c>
      <c r="B524" s="10" t="s">
        <v>345</v>
      </c>
      <c r="C524" s="10" t="s">
        <v>803</v>
      </c>
      <c r="D524" s="10" t="s">
        <v>804</v>
      </c>
      <c r="E524" s="10" t="s">
        <v>820</v>
      </c>
      <c r="F524" s="11">
        <v>151348</v>
      </c>
      <c r="G524" s="11">
        <v>35281</v>
      </c>
      <c r="H524" s="11">
        <v>35280</v>
      </c>
      <c r="I524" s="11">
        <v>0</v>
      </c>
      <c r="J524" s="11">
        <v>0</v>
      </c>
      <c r="K524" s="11">
        <v>1</v>
      </c>
    </row>
    <row r="525" spans="1:11" x14ac:dyDescent="0.35">
      <c r="A525" s="10" t="s">
        <v>344</v>
      </c>
      <c r="B525" s="10" t="s">
        <v>345</v>
      </c>
      <c r="C525" s="10" t="s">
        <v>798</v>
      </c>
      <c r="D525" s="10" t="s">
        <v>170</v>
      </c>
      <c r="E525" s="10" t="s">
        <v>821</v>
      </c>
      <c r="F525" s="11">
        <v>1551340</v>
      </c>
      <c r="G525" s="11">
        <v>633395</v>
      </c>
      <c r="H525" s="11">
        <v>408512.58</v>
      </c>
      <c r="I525" s="11">
        <v>0</v>
      </c>
      <c r="J525" s="11">
        <v>224881.73</v>
      </c>
      <c r="K525" s="11">
        <v>0.69000000000232797</v>
      </c>
    </row>
    <row r="526" spans="1:11" x14ac:dyDescent="0.35">
      <c r="A526" s="10" t="s">
        <v>396</v>
      </c>
      <c r="B526" s="10" t="s">
        <v>397</v>
      </c>
      <c r="C526" s="10" t="s">
        <v>803</v>
      </c>
      <c r="D526" s="10" t="s">
        <v>804</v>
      </c>
      <c r="E526" s="10" t="s">
        <v>822</v>
      </c>
      <c r="F526" s="11">
        <v>126346</v>
      </c>
      <c r="G526" s="11">
        <v>80206</v>
      </c>
      <c r="H526" s="11">
        <v>80205</v>
      </c>
      <c r="I526" s="11">
        <v>0</v>
      </c>
      <c r="J526" s="11">
        <v>0</v>
      </c>
      <c r="K526" s="11">
        <v>1</v>
      </c>
    </row>
    <row r="527" spans="1:11" x14ac:dyDescent="0.35">
      <c r="A527" s="10" t="s">
        <v>396</v>
      </c>
      <c r="B527" s="10" t="s">
        <v>397</v>
      </c>
      <c r="C527" s="10" t="s">
        <v>798</v>
      </c>
      <c r="D527" s="10" t="s">
        <v>170</v>
      </c>
      <c r="E527" s="10" t="s">
        <v>823</v>
      </c>
      <c r="F527" s="11">
        <v>146498</v>
      </c>
      <c r="G527" s="11">
        <v>65176</v>
      </c>
      <c r="H527" s="11">
        <v>309.52</v>
      </c>
      <c r="I527" s="11">
        <v>0</v>
      </c>
      <c r="J527" s="11">
        <v>64865</v>
      </c>
      <c r="K527" s="11">
        <v>1.4800000000032001</v>
      </c>
    </row>
    <row r="528" spans="1:11" x14ac:dyDescent="0.35">
      <c r="A528" s="10" t="s">
        <v>405</v>
      </c>
      <c r="B528" s="10" t="s">
        <v>406</v>
      </c>
      <c r="C528" s="10" t="s">
        <v>798</v>
      </c>
      <c r="D528" s="10" t="s">
        <v>170</v>
      </c>
      <c r="E528" s="10" t="s">
        <v>824</v>
      </c>
      <c r="F528" s="11">
        <v>1754263</v>
      </c>
      <c r="G528" s="11">
        <v>1421069</v>
      </c>
      <c r="H528" s="11">
        <v>1319960</v>
      </c>
      <c r="I528" s="11">
        <v>1</v>
      </c>
      <c r="J528" s="11">
        <v>101107.5</v>
      </c>
      <c r="K528" s="11">
        <v>0.5</v>
      </c>
    </row>
    <row r="529" spans="1:11" x14ac:dyDescent="0.35">
      <c r="A529" s="10" t="s">
        <v>417</v>
      </c>
      <c r="B529" s="10" t="s">
        <v>418</v>
      </c>
      <c r="C529" s="10" t="s">
        <v>798</v>
      </c>
      <c r="D529" s="10" t="s">
        <v>170</v>
      </c>
      <c r="E529" s="10" t="s">
        <v>825</v>
      </c>
      <c r="F529" s="11">
        <v>171987</v>
      </c>
      <c r="G529" s="11">
        <v>1</v>
      </c>
      <c r="H529" s="12"/>
      <c r="I529" s="11">
        <v>0</v>
      </c>
      <c r="J529" s="12"/>
      <c r="K529" s="11">
        <v>1</v>
      </c>
    </row>
    <row r="530" spans="1:11" x14ac:dyDescent="0.35">
      <c r="A530" s="10" t="s">
        <v>429</v>
      </c>
      <c r="B530" s="10" t="s">
        <v>430</v>
      </c>
      <c r="C530" s="10" t="s">
        <v>826</v>
      </c>
      <c r="D530" s="10" t="s">
        <v>827</v>
      </c>
      <c r="E530" s="10" t="s">
        <v>828</v>
      </c>
      <c r="F530" s="11">
        <v>2910350</v>
      </c>
      <c r="G530" s="11">
        <v>1624209</v>
      </c>
      <c r="H530" s="11">
        <v>1624208</v>
      </c>
      <c r="I530" s="11">
        <v>0</v>
      </c>
      <c r="J530" s="11">
        <v>0</v>
      </c>
      <c r="K530" s="11">
        <v>1</v>
      </c>
    </row>
    <row r="531" spans="1:11" x14ac:dyDescent="0.35">
      <c r="A531" s="10" t="s">
        <v>429</v>
      </c>
      <c r="B531" s="10" t="s">
        <v>430</v>
      </c>
      <c r="C531" s="10" t="s">
        <v>826</v>
      </c>
      <c r="D531" s="10" t="s">
        <v>827</v>
      </c>
      <c r="E531" s="10" t="s">
        <v>829</v>
      </c>
      <c r="F531" s="11">
        <v>18425319</v>
      </c>
      <c r="G531" s="11">
        <v>30498159</v>
      </c>
      <c r="H531" s="11">
        <v>27338058.300000001</v>
      </c>
      <c r="I531" s="11">
        <v>-3426</v>
      </c>
      <c r="J531" s="11">
        <v>299375</v>
      </c>
      <c r="K531" s="11">
        <v>2864151.7</v>
      </c>
    </row>
    <row r="532" spans="1:11" x14ac:dyDescent="0.35">
      <c r="A532" s="10" t="s">
        <v>429</v>
      </c>
      <c r="B532" s="10" t="s">
        <v>430</v>
      </c>
      <c r="C532" s="10" t="s">
        <v>826</v>
      </c>
      <c r="D532" s="10" t="s">
        <v>827</v>
      </c>
      <c r="E532" s="10" t="s">
        <v>830</v>
      </c>
      <c r="F532" s="11">
        <v>3580020</v>
      </c>
      <c r="G532" s="11">
        <v>0</v>
      </c>
      <c r="H532" s="12"/>
      <c r="I532" s="12"/>
      <c r="J532" s="12"/>
      <c r="K532" s="11">
        <v>0</v>
      </c>
    </row>
    <row r="533" spans="1:11" x14ac:dyDescent="0.35">
      <c r="A533" s="10" t="s">
        <v>429</v>
      </c>
      <c r="B533" s="10" t="s">
        <v>430</v>
      </c>
      <c r="C533" s="10" t="s">
        <v>826</v>
      </c>
      <c r="D533" s="10" t="s">
        <v>827</v>
      </c>
      <c r="E533" s="10" t="s">
        <v>831</v>
      </c>
      <c r="F533" s="11">
        <v>19458929</v>
      </c>
      <c r="G533" s="11">
        <v>21619047</v>
      </c>
      <c r="H533" s="11">
        <v>21619045.739999998</v>
      </c>
      <c r="I533" s="11">
        <v>0</v>
      </c>
      <c r="J533" s="11">
        <v>0</v>
      </c>
      <c r="K533" s="11">
        <v>1.26000000163913</v>
      </c>
    </row>
    <row r="534" spans="1:11" x14ac:dyDescent="0.35">
      <c r="A534" s="10" t="s">
        <v>429</v>
      </c>
      <c r="B534" s="10" t="s">
        <v>430</v>
      </c>
      <c r="C534" s="10" t="s">
        <v>832</v>
      </c>
      <c r="D534" s="10" t="s">
        <v>833</v>
      </c>
      <c r="E534" s="10" t="s">
        <v>834</v>
      </c>
      <c r="F534" s="11">
        <v>1136050</v>
      </c>
      <c r="G534" s="11">
        <v>6161521</v>
      </c>
      <c r="H534" s="11">
        <v>6077200</v>
      </c>
      <c r="I534" s="11">
        <v>-128400</v>
      </c>
      <c r="J534" s="11">
        <v>212720</v>
      </c>
      <c r="K534" s="11">
        <v>1</v>
      </c>
    </row>
    <row r="535" spans="1:11" x14ac:dyDescent="0.35">
      <c r="A535" s="10" t="s">
        <v>429</v>
      </c>
      <c r="B535" s="10" t="s">
        <v>430</v>
      </c>
      <c r="C535" s="10" t="s">
        <v>832</v>
      </c>
      <c r="D535" s="10" t="s">
        <v>833</v>
      </c>
      <c r="E535" s="10" t="s">
        <v>835</v>
      </c>
      <c r="F535" s="11">
        <v>32800</v>
      </c>
      <c r="G535" s="11">
        <v>31489</v>
      </c>
      <c r="H535" s="11">
        <v>31488</v>
      </c>
      <c r="I535" s="12"/>
      <c r="J535" s="11">
        <v>0</v>
      </c>
      <c r="K535" s="11">
        <v>1</v>
      </c>
    </row>
    <row r="536" spans="1:11" x14ac:dyDescent="0.35">
      <c r="A536" s="10" t="s">
        <v>429</v>
      </c>
      <c r="B536" s="10" t="s">
        <v>430</v>
      </c>
      <c r="C536" s="10" t="s">
        <v>832</v>
      </c>
      <c r="D536" s="10" t="s">
        <v>833</v>
      </c>
      <c r="E536" s="10" t="s">
        <v>836</v>
      </c>
      <c r="F536" s="11">
        <v>1375893</v>
      </c>
      <c r="G536" s="11">
        <v>41142</v>
      </c>
      <c r="H536" s="11">
        <v>41141</v>
      </c>
      <c r="I536" s="11">
        <v>0</v>
      </c>
      <c r="J536" s="11">
        <v>0</v>
      </c>
      <c r="K536" s="11">
        <v>1</v>
      </c>
    </row>
    <row r="537" spans="1:11" x14ac:dyDescent="0.35">
      <c r="A537" s="10" t="s">
        <v>429</v>
      </c>
      <c r="B537" s="10" t="s">
        <v>430</v>
      </c>
      <c r="C537" s="10" t="s">
        <v>800</v>
      </c>
      <c r="D537" s="10" t="s">
        <v>801</v>
      </c>
      <c r="E537" s="10" t="s">
        <v>837</v>
      </c>
      <c r="F537" s="11">
        <v>0</v>
      </c>
      <c r="G537" s="11">
        <v>1</v>
      </c>
      <c r="H537" s="12"/>
      <c r="I537" s="11">
        <v>0</v>
      </c>
      <c r="J537" s="12"/>
      <c r="K537" s="11">
        <v>1</v>
      </c>
    </row>
    <row r="538" spans="1:11" x14ac:dyDescent="0.35">
      <c r="A538" s="10" t="s">
        <v>429</v>
      </c>
      <c r="B538" s="10" t="s">
        <v>430</v>
      </c>
      <c r="C538" s="10" t="s">
        <v>810</v>
      </c>
      <c r="D538" s="10" t="s">
        <v>811</v>
      </c>
      <c r="E538" s="10" t="s">
        <v>838</v>
      </c>
      <c r="F538" s="11">
        <v>30302</v>
      </c>
      <c r="G538" s="11">
        <v>30303</v>
      </c>
      <c r="H538" s="12"/>
      <c r="I538" s="11">
        <v>30302.25</v>
      </c>
      <c r="J538" s="11">
        <v>0</v>
      </c>
      <c r="K538" s="11">
        <v>0.75</v>
      </c>
    </row>
    <row r="539" spans="1:11" x14ac:dyDescent="0.35">
      <c r="A539" s="10" t="s">
        <v>548</v>
      </c>
      <c r="B539" s="10" t="s">
        <v>549</v>
      </c>
      <c r="C539" s="10" t="s">
        <v>839</v>
      </c>
      <c r="D539" s="10" t="s">
        <v>840</v>
      </c>
      <c r="E539" s="10" t="s">
        <v>841</v>
      </c>
      <c r="F539" s="11">
        <v>69286</v>
      </c>
      <c r="G539" s="11">
        <v>0</v>
      </c>
      <c r="H539" s="12"/>
      <c r="I539" s="12"/>
      <c r="J539" s="12"/>
      <c r="K539" s="11">
        <v>0</v>
      </c>
    </row>
    <row r="540" spans="1:11" x14ac:dyDescent="0.35">
      <c r="A540" s="10" t="s">
        <v>548</v>
      </c>
      <c r="B540" s="10" t="s">
        <v>549</v>
      </c>
      <c r="C540" s="10" t="s">
        <v>800</v>
      </c>
      <c r="D540" s="10" t="s">
        <v>801</v>
      </c>
      <c r="E540" s="10" t="s">
        <v>842</v>
      </c>
      <c r="F540" s="11">
        <v>0</v>
      </c>
      <c r="G540" s="11">
        <v>69286</v>
      </c>
      <c r="H540" s="11">
        <v>69286</v>
      </c>
      <c r="I540" s="11">
        <v>0</v>
      </c>
      <c r="J540" s="11">
        <v>0</v>
      </c>
      <c r="K540" s="11">
        <v>0</v>
      </c>
    </row>
    <row r="541" spans="1:11" x14ac:dyDescent="0.35">
      <c r="A541" s="10" t="s">
        <v>559</v>
      </c>
      <c r="B541" s="10" t="s">
        <v>560</v>
      </c>
      <c r="C541" s="10" t="s">
        <v>832</v>
      </c>
      <c r="D541" s="10" t="s">
        <v>833</v>
      </c>
      <c r="E541" s="10" t="s">
        <v>843</v>
      </c>
      <c r="F541" s="11">
        <v>1135112</v>
      </c>
      <c r="G541" s="11">
        <v>0</v>
      </c>
      <c r="H541" s="12"/>
      <c r="I541" s="12"/>
      <c r="J541" s="12"/>
      <c r="K541" s="11">
        <v>0</v>
      </c>
    </row>
    <row r="542" spans="1:11" x14ac:dyDescent="0.35">
      <c r="A542" s="10" t="s">
        <v>571</v>
      </c>
      <c r="B542" s="10" t="s">
        <v>572</v>
      </c>
      <c r="C542" s="10" t="s">
        <v>803</v>
      </c>
      <c r="D542" s="10" t="s">
        <v>804</v>
      </c>
      <c r="E542" s="10" t="s">
        <v>844</v>
      </c>
      <c r="F542" s="11">
        <v>2800802</v>
      </c>
      <c r="G542" s="11">
        <v>181051</v>
      </c>
      <c r="H542" s="11">
        <v>181050</v>
      </c>
      <c r="I542" s="11">
        <v>0</v>
      </c>
      <c r="J542" s="11">
        <v>0</v>
      </c>
      <c r="K542" s="11">
        <v>1</v>
      </c>
    </row>
    <row r="543" spans="1:11" x14ac:dyDescent="0.35">
      <c r="A543" s="10" t="s">
        <v>571</v>
      </c>
      <c r="B543" s="10" t="s">
        <v>572</v>
      </c>
      <c r="C543" s="10" t="s">
        <v>845</v>
      </c>
      <c r="D543" s="10" t="s">
        <v>846</v>
      </c>
      <c r="E543" s="10" t="s">
        <v>847</v>
      </c>
      <c r="F543" s="11">
        <v>0</v>
      </c>
      <c r="G543" s="11">
        <v>1999374</v>
      </c>
      <c r="H543" s="11">
        <v>1999372.61</v>
      </c>
      <c r="I543" s="11">
        <v>0</v>
      </c>
      <c r="J543" s="11">
        <v>1.3824319466948499E-10</v>
      </c>
      <c r="K543" s="11">
        <v>1.38999999999214</v>
      </c>
    </row>
    <row r="544" spans="1:11" x14ac:dyDescent="0.35">
      <c r="A544" s="10" t="s">
        <v>571</v>
      </c>
      <c r="B544" s="10" t="s">
        <v>572</v>
      </c>
      <c r="C544" s="10" t="s">
        <v>848</v>
      </c>
      <c r="D544" s="10" t="s">
        <v>849</v>
      </c>
      <c r="E544" s="10" t="s">
        <v>850</v>
      </c>
      <c r="F544" s="11">
        <v>0</v>
      </c>
      <c r="G544" s="11">
        <v>321321</v>
      </c>
      <c r="H544" s="11">
        <v>321320</v>
      </c>
      <c r="I544" s="11">
        <v>0</v>
      </c>
      <c r="J544" s="11">
        <v>0</v>
      </c>
      <c r="K544" s="11">
        <v>1</v>
      </c>
    </row>
    <row r="545" spans="1:11" x14ac:dyDescent="0.35">
      <c r="A545" s="10" t="s">
        <v>571</v>
      </c>
      <c r="B545" s="10" t="s">
        <v>572</v>
      </c>
      <c r="C545" s="10" t="s">
        <v>851</v>
      </c>
      <c r="D545" s="10" t="s">
        <v>852</v>
      </c>
      <c r="E545" s="10" t="s">
        <v>853</v>
      </c>
      <c r="F545" s="11">
        <v>0</v>
      </c>
      <c r="G545" s="11">
        <v>566744</v>
      </c>
      <c r="H545" s="11">
        <v>566741</v>
      </c>
      <c r="I545" s="11">
        <v>0</v>
      </c>
      <c r="J545" s="11">
        <v>2</v>
      </c>
      <c r="K545" s="11">
        <v>1</v>
      </c>
    </row>
    <row r="546" spans="1:11" x14ac:dyDescent="0.35">
      <c r="A546" s="10" t="s">
        <v>571</v>
      </c>
      <c r="B546" s="10" t="s">
        <v>572</v>
      </c>
      <c r="C546" s="10" t="s">
        <v>839</v>
      </c>
      <c r="D546" s="10" t="s">
        <v>840</v>
      </c>
      <c r="E546" s="10" t="s">
        <v>854</v>
      </c>
      <c r="F546" s="11">
        <v>646670</v>
      </c>
      <c r="G546" s="11">
        <v>0</v>
      </c>
      <c r="H546" s="12"/>
      <c r="I546" s="12"/>
      <c r="J546" s="12"/>
      <c r="K546" s="11">
        <v>0</v>
      </c>
    </row>
    <row r="547" spans="1:11" x14ac:dyDescent="0.35">
      <c r="A547" s="10" t="s">
        <v>571</v>
      </c>
      <c r="B547" s="10" t="s">
        <v>572</v>
      </c>
      <c r="C547" s="10" t="s">
        <v>800</v>
      </c>
      <c r="D547" s="10" t="s">
        <v>801</v>
      </c>
      <c r="E547" s="10" t="s">
        <v>855</v>
      </c>
      <c r="F547" s="11">
        <v>0</v>
      </c>
      <c r="G547" s="11">
        <v>23966</v>
      </c>
      <c r="H547" s="11">
        <v>23965</v>
      </c>
      <c r="I547" s="11">
        <v>0</v>
      </c>
      <c r="J547" s="11">
        <v>0</v>
      </c>
      <c r="K547" s="11">
        <v>1</v>
      </c>
    </row>
    <row r="548" spans="1:11" x14ac:dyDescent="0.35">
      <c r="A548" s="10" t="s">
        <v>606</v>
      </c>
      <c r="B548" s="10" t="s">
        <v>607</v>
      </c>
      <c r="C548" s="10" t="s">
        <v>798</v>
      </c>
      <c r="D548" s="10" t="s">
        <v>170</v>
      </c>
      <c r="E548" s="10" t="s">
        <v>856</v>
      </c>
      <c r="F548" s="11">
        <v>2998678</v>
      </c>
      <c r="G548" s="11">
        <v>2994929</v>
      </c>
      <c r="H548" s="11">
        <v>2998678.09</v>
      </c>
      <c r="I548" s="12"/>
      <c r="J548" s="11">
        <v>-3749.9999999997699</v>
      </c>
      <c r="K548" s="11">
        <v>0.90999999991618097</v>
      </c>
    </row>
    <row r="549" spans="1:11" x14ac:dyDescent="0.35">
      <c r="A549" s="10" t="s">
        <v>636</v>
      </c>
      <c r="B549" s="10" t="s">
        <v>637</v>
      </c>
      <c r="C549" s="10" t="s">
        <v>798</v>
      </c>
      <c r="D549" s="10" t="s">
        <v>170</v>
      </c>
      <c r="E549" s="10" t="s">
        <v>857</v>
      </c>
      <c r="F549" s="11">
        <v>358538</v>
      </c>
      <c r="G549" s="11">
        <v>353644</v>
      </c>
      <c r="H549" s="11">
        <v>353642.9</v>
      </c>
      <c r="I549" s="11">
        <v>0</v>
      </c>
      <c r="J549" s="11">
        <v>-3.6379788070917101E-12</v>
      </c>
      <c r="K549" s="11">
        <v>1.09999999998035</v>
      </c>
    </row>
    <row r="550" spans="1:11" x14ac:dyDescent="0.35">
      <c r="A550" s="10" t="s">
        <v>649</v>
      </c>
      <c r="B550" s="10" t="s">
        <v>650</v>
      </c>
      <c r="C550" s="10" t="s">
        <v>826</v>
      </c>
      <c r="D550" s="10" t="s">
        <v>827</v>
      </c>
      <c r="E550" s="10" t="s">
        <v>858</v>
      </c>
      <c r="F550" s="11">
        <v>1304891</v>
      </c>
      <c r="G550" s="11">
        <v>1337391</v>
      </c>
      <c r="H550" s="11">
        <v>1304890.5</v>
      </c>
      <c r="I550" s="11">
        <v>0</v>
      </c>
      <c r="J550" s="11">
        <v>32500</v>
      </c>
      <c r="K550" s="11">
        <v>0.5</v>
      </c>
    </row>
    <row r="551" spans="1:11" x14ac:dyDescent="0.35">
      <c r="A551" s="10" t="s">
        <v>649</v>
      </c>
      <c r="B551" s="10" t="s">
        <v>650</v>
      </c>
      <c r="C551" s="10" t="s">
        <v>798</v>
      </c>
      <c r="D551" s="10" t="s">
        <v>170</v>
      </c>
      <c r="E551" s="10" t="s">
        <v>859</v>
      </c>
      <c r="F551" s="11">
        <v>15928069</v>
      </c>
      <c r="G551" s="11">
        <v>11466342</v>
      </c>
      <c r="H551" s="11">
        <v>8954017.6199999992</v>
      </c>
      <c r="I551" s="11">
        <v>3</v>
      </c>
      <c r="J551" s="11">
        <v>589750.23</v>
      </c>
      <c r="K551" s="11">
        <v>1922164.15</v>
      </c>
    </row>
    <row r="552" spans="1:11" x14ac:dyDescent="0.35">
      <c r="A552" s="10" t="s">
        <v>660</v>
      </c>
      <c r="B552" s="10" t="s">
        <v>661</v>
      </c>
      <c r="C552" s="10" t="s">
        <v>798</v>
      </c>
      <c r="D552" s="10" t="s">
        <v>170</v>
      </c>
      <c r="E552" s="10" t="s">
        <v>860</v>
      </c>
      <c r="F552" s="11">
        <v>2751786</v>
      </c>
      <c r="G552" s="11">
        <v>1</v>
      </c>
      <c r="H552" s="12"/>
      <c r="I552" s="12"/>
      <c r="J552" s="12"/>
      <c r="K552" s="11">
        <v>1</v>
      </c>
    </row>
    <row r="553" spans="1:11" x14ac:dyDescent="0.35">
      <c r="A553" s="10" t="s">
        <v>660</v>
      </c>
      <c r="B553" s="10" t="s">
        <v>661</v>
      </c>
      <c r="C553" s="10" t="s">
        <v>839</v>
      </c>
      <c r="D553" s="10" t="s">
        <v>840</v>
      </c>
      <c r="E553" s="10" t="s">
        <v>861</v>
      </c>
      <c r="F553" s="11">
        <v>833665</v>
      </c>
      <c r="G553" s="11">
        <v>0</v>
      </c>
      <c r="H553" s="11">
        <v>0</v>
      </c>
      <c r="I553" s="12"/>
      <c r="J553" s="11">
        <v>0</v>
      </c>
      <c r="K553" s="11">
        <v>0</v>
      </c>
    </row>
    <row r="554" spans="1:11" x14ac:dyDescent="0.35">
      <c r="A554" s="10" t="s">
        <v>660</v>
      </c>
      <c r="B554" s="10" t="s">
        <v>661</v>
      </c>
      <c r="C554" s="10" t="s">
        <v>800</v>
      </c>
      <c r="D554" s="10" t="s">
        <v>801</v>
      </c>
      <c r="E554" s="10" t="s">
        <v>862</v>
      </c>
      <c r="F554" s="11">
        <v>0</v>
      </c>
      <c r="G554" s="11">
        <v>138509</v>
      </c>
      <c r="H554" s="11">
        <v>138508.82999999999</v>
      </c>
      <c r="I554" s="12"/>
      <c r="J554" s="12"/>
      <c r="K554" s="11">
        <v>0.16999999998370199</v>
      </c>
    </row>
    <row r="555" spans="1:11" x14ac:dyDescent="0.35">
      <c r="A555" s="10" t="s">
        <v>741</v>
      </c>
      <c r="B555" s="10" t="s">
        <v>742</v>
      </c>
      <c r="C555" s="10" t="s">
        <v>798</v>
      </c>
      <c r="D555" s="10" t="s">
        <v>170</v>
      </c>
      <c r="E555" s="10" t="s">
        <v>863</v>
      </c>
      <c r="F555" s="11">
        <v>6879</v>
      </c>
      <c r="G555" s="11">
        <v>1</v>
      </c>
      <c r="H555" s="12"/>
      <c r="I555" s="12"/>
      <c r="J555" s="12"/>
      <c r="K555" s="11">
        <v>1</v>
      </c>
    </row>
    <row r="556" spans="1:11" x14ac:dyDescent="0.35">
      <c r="A556" s="10" t="s">
        <v>756</v>
      </c>
      <c r="B556" s="10" t="s">
        <v>757</v>
      </c>
      <c r="C556" s="10" t="s">
        <v>803</v>
      </c>
      <c r="D556" s="10" t="s">
        <v>804</v>
      </c>
      <c r="E556" s="10" t="s">
        <v>864</v>
      </c>
      <c r="F556" s="11">
        <v>466679</v>
      </c>
      <c r="G556" s="11">
        <v>824085</v>
      </c>
      <c r="H556" s="11">
        <v>810672</v>
      </c>
      <c r="I556" s="11">
        <v>0</v>
      </c>
      <c r="J556" s="11">
        <v>13411.9999999999</v>
      </c>
      <c r="K556" s="11">
        <v>1.0000000000582101</v>
      </c>
    </row>
    <row r="557" spans="1:11" x14ac:dyDescent="0.35">
      <c r="A557" s="10" t="s">
        <v>756</v>
      </c>
      <c r="B557" s="10" t="s">
        <v>757</v>
      </c>
      <c r="C557" s="10" t="s">
        <v>798</v>
      </c>
      <c r="D557" s="10" t="s">
        <v>170</v>
      </c>
      <c r="E557" s="10" t="s">
        <v>865</v>
      </c>
      <c r="F557" s="11">
        <v>17788291</v>
      </c>
      <c r="G557" s="11">
        <v>17060665</v>
      </c>
      <c r="H557" s="11">
        <v>15920969.039999999</v>
      </c>
      <c r="I557" s="11">
        <v>0</v>
      </c>
      <c r="J557" s="11">
        <v>1139694.54</v>
      </c>
      <c r="K557" s="11">
        <v>1.41999999945983</v>
      </c>
    </row>
    <row r="558" spans="1:11" x14ac:dyDescent="0.35">
      <c r="A558" s="10" t="s">
        <v>756</v>
      </c>
      <c r="B558" s="10" t="s">
        <v>757</v>
      </c>
      <c r="C558" s="10" t="s">
        <v>832</v>
      </c>
      <c r="D558" s="10" t="s">
        <v>833</v>
      </c>
      <c r="E558" s="10" t="s">
        <v>866</v>
      </c>
      <c r="F558" s="11">
        <v>19606</v>
      </c>
      <c r="G558" s="11">
        <v>731</v>
      </c>
      <c r="H558" s="11">
        <v>728.67</v>
      </c>
      <c r="I558" s="12"/>
      <c r="J558" s="12"/>
      <c r="K558" s="11">
        <v>2.33000000000004</v>
      </c>
    </row>
    <row r="559" spans="1:11" x14ac:dyDescent="0.35">
      <c r="A559" s="10" t="s">
        <v>756</v>
      </c>
      <c r="B559" s="10" t="s">
        <v>757</v>
      </c>
      <c r="C559" s="10" t="s">
        <v>810</v>
      </c>
      <c r="D559" s="10" t="s">
        <v>811</v>
      </c>
      <c r="E559" s="10" t="s">
        <v>867</v>
      </c>
      <c r="F559" s="11">
        <v>171987</v>
      </c>
      <c r="G559" s="11">
        <v>0</v>
      </c>
      <c r="H559" s="12"/>
      <c r="I559" s="12"/>
      <c r="J559" s="12"/>
      <c r="K559" s="11">
        <v>0</v>
      </c>
    </row>
    <row r="560" spans="1:11" x14ac:dyDescent="0.35">
      <c r="A560" s="64"/>
      <c r="B560" s="64"/>
      <c r="C560" s="64"/>
      <c r="D560" s="64"/>
      <c r="E560" s="64"/>
      <c r="F560" s="64"/>
      <c r="G560" s="64"/>
      <c r="H560" s="64"/>
      <c r="I560" s="64"/>
      <c r="J560" s="64"/>
      <c r="K560" s="64"/>
    </row>
  </sheetData>
  <autoFilter ref="A1:P559" xr:uid="{00000000-0009-0000-0000-000006000000}"/>
  <mergeCells count="1">
    <mergeCell ref="A560:K56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K561"/>
  <sheetViews>
    <sheetView showGridLines="0" topLeftCell="C1" workbookViewId="0">
      <selection activeCell="J405" sqref="J405"/>
    </sheetView>
  </sheetViews>
  <sheetFormatPr defaultColWidth="9.1796875" defaultRowHeight="14.5" x14ac:dyDescent="0.35"/>
  <cols>
    <col min="1" max="1" width="45.1796875" style="8" customWidth="1"/>
    <col min="2" max="2" width="52.7265625" style="8" customWidth="1"/>
    <col min="3" max="3" width="28" style="8" customWidth="1"/>
    <col min="4" max="4" width="74.54296875" style="8" customWidth="1"/>
    <col min="5" max="5" width="33.54296875" style="8" customWidth="1"/>
    <col min="6" max="6" width="28" style="8" customWidth="1"/>
    <col min="7" max="7" width="12.1796875" style="8" customWidth="1"/>
    <col min="8" max="8" width="11.26953125" style="8" customWidth="1"/>
    <col min="9" max="9" width="21.54296875" style="8" customWidth="1"/>
    <col min="10" max="10" width="8.81640625" style="8" customWidth="1"/>
    <col min="11" max="11" width="28.1796875" style="8" bestFit="1" customWidth="1"/>
    <col min="12" max="12" width="0.81640625" style="8" customWidth="1"/>
    <col min="13" max="13" width="21.54296875" style="8" customWidth="1"/>
    <col min="14" max="14" width="0.81640625" style="8" customWidth="1"/>
    <col min="15" max="15" width="0.7265625" style="8" customWidth="1"/>
    <col min="16" max="16384" width="9.1796875" style="8"/>
  </cols>
  <sheetData>
    <row r="1" spans="1:11" x14ac:dyDescent="0.35">
      <c r="A1" s="9" t="s">
        <v>2</v>
      </c>
      <c r="B1" s="9" t="s">
        <v>3</v>
      </c>
      <c r="C1" s="9" t="s">
        <v>4</v>
      </c>
      <c r="D1" s="9" t="s">
        <v>5</v>
      </c>
      <c r="E1" s="9" t="s">
        <v>6</v>
      </c>
      <c r="F1" s="9" t="s">
        <v>7</v>
      </c>
      <c r="G1" s="9" t="s">
        <v>8</v>
      </c>
      <c r="H1" s="9" t="s">
        <v>9</v>
      </c>
      <c r="I1" s="9" t="s">
        <v>10</v>
      </c>
      <c r="J1" s="9" t="s">
        <v>11</v>
      </c>
      <c r="K1" s="9" t="s">
        <v>12</v>
      </c>
    </row>
    <row r="2" spans="1:11" hidden="1" x14ac:dyDescent="0.35">
      <c r="A2" s="10" t="s">
        <v>14</v>
      </c>
      <c r="B2" s="10" t="s">
        <v>15</v>
      </c>
      <c r="C2" s="10" t="s">
        <v>16</v>
      </c>
      <c r="D2" s="10" t="s">
        <v>17</v>
      </c>
      <c r="E2" s="10" t="s">
        <v>18</v>
      </c>
      <c r="F2" s="11">
        <v>30000</v>
      </c>
      <c r="G2" s="11">
        <v>0</v>
      </c>
      <c r="H2" s="12"/>
      <c r="I2" s="12"/>
      <c r="J2" s="12"/>
      <c r="K2" s="11">
        <v>0</v>
      </c>
    </row>
    <row r="3" spans="1:11" hidden="1" x14ac:dyDescent="0.35">
      <c r="A3" s="10" t="s">
        <v>14</v>
      </c>
      <c r="B3" s="10" t="s">
        <v>15</v>
      </c>
      <c r="C3" s="10" t="s">
        <v>19</v>
      </c>
      <c r="D3" s="10" t="s">
        <v>20</v>
      </c>
      <c r="E3" s="10" t="s">
        <v>21</v>
      </c>
      <c r="F3" s="11">
        <v>3705121</v>
      </c>
      <c r="G3" s="11">
        <v>1</v>
      </c>
      <c r="H3" s="12"/>
      <c r="I3" s="12"/>
      <c r="J3" s="12"/>
      <c r="K3" s="11">
        <v>1</v>
      </c>
    </row>
    <row r="4" spans="1:11" hidden="1" x14ac:dyDescent="0.35">
      <c r="A4" s="10" t="s">
        <v>14</v>
      </c>
      <c r="B4" s="10" t="s">
        <v>15</v>
      </c>
      <c r="C4" s="10" t="s">
        <v>22</v>
      </c>
      <c r="D4" s="10" t="s">
        <v>23</v>
      </c>
      <c r="E4" s="10" t="s">
        <v>24</v>
      </c>
      <c r="F4" s="11">
        <v>1500</v>
      </c>
      <c r="G4" s="11">
        <v>4500</v>
      </c>
      <c r="H4" s="12"/>
      <c r="I4" s="12"/>
      <c r="J4" s="12"/>
      <c r="K4" s="11">
        <v>4500</v>
      </c>
    </row>
    <row r="5" spans="1:11" hidden="1" x14ac:dyDescent="0.35">
      <c r="A5" s="10" t="s">
        <v>14</v>
      </c>
      <c r="B5" s="10" t="s">
        <v>15</v>
      </c>
      <c r="C5" s="10" t="s">
        <v>25</v>
      </c>
      <c r="D5" s="10" t="s">
        <v>26</v>
      </c>
      <c r="E5" s="10" t="s">
        <v>27</v>
      </c>
      <c r="F5" s="11">
        <v>200000</v>
      </c>
      <c r="G5" s="11">
        <v>2</v>
      </c>
      <c r="H5" s="12"/>
      <c r="I5" s="12"/>
      <c r="J5" s="12"/>
      <c r="K5" s="11">
        <v>2</v>
      </c>
    </row>
    <row r="6" spans="1:11" hidden="1" x14ac:dyDescent="0.35">
      <c r="A6" s="10" t="s">
        <v>14</v>
      </c>
      <c r="B6" s="10" t="s">
        <v>15</v>
      </c>
      <c r="C6" s="10" t="s">
        <v>28</v>
      </c>
      <c r="D6" s="10" t="s">
        <v>29</v>
      </c>
      <c r="E6" s="10" t="s">
        <v>30</v>
      </c>
      <c r="F6" s="11">
        <v>25000</v>
      </c>
      <c r="G6" s="11">
        <v>25000</v>
      </c>
      <c r="H6" s="12"/>
      <c r="I6" s="12"/>
      <c r="J6" s="12"/>
      <c r="K6" s="11">
        <v>25000</v>
      </c>
    </row>
    <row r="7" spans="1:11" hidden="1" x14ac:dyDescent="0.35">
      <c r="A7" s="10" t="s">
        <v>14</v>
      </c>
      <c r="B7" s="10" t="s">
        <v>15</v>
      </c>
      <c r="C7" s="10" t="s">
        <v>31</v>
      </c>
      <c r="D7" s="10" t="s">
        <v>32</v>
      </c>
      <c r="E7" s="10" t="s">
        <v>33</v>
      </c>
      <c r="F7" s="11">
        <v>300000</v>
      </c>
      <c r="G7" s="11">
        <v>56431</v>
      </c>
      <c r="H7" s="11">
        <v>52919.75</v>
      </c>
      <c r="I7" s="12"/>
      <c r="J7" s="12"/>
      <c r="K7" s="11">
        <v>3511.25</v>
      </c>
    </row>
    <row r="8" spans="1:11" hidden="1" x14ac:dyDescent="0.35">
      <c r="A8" s="10" t="s">
        <v>14</v>
      </c>
      <c r="B8" s="10" t="s">
        <v>15</v>
      </c>
      <c r="C8" s="10" t="s">
        <v>34</v>
      </c>
      <c r="D8" s="10" t="s">
        <v>35</v>
      </c>
      <c r="E8" s="10" t="s">
        <v>36</v>
      </c>
      <c r="F8" s="11">
        <v>300000</v>
      </c>
      <c r="G8" s="11">
        <v>23625</v>
      </c>
      <c r="H8" s="11">
        <v>22225</v>
      </c>
      <c r="I8" s="12"/>
      <c r="J8" s="12"/>
      <c r="K8" s="11">
        <v>1400</v>
      </c>
    </row>
    <row r="9" spans="1:11" hidden="1" x14ac:dyDescent="0.35">
      <c r="A9" s="10" t="s">
        <v>14</v>
      </c>
      <c r="B9" s="10" t="s">
        <v>15</v>
      </c>
      <c r="C9" s="10" t="s">
        <v>37</v>
      </c>
      <c r="D9" s="10" t="s">
        <v>38</v>
      </c>
      <c r="E9" s="10" t="s">
        <v>39</v>
      </c>
      <c r="F9" s="11">
        <v>10000</v>
      </c>
      <c r="G9" s="11">
        <v>19825</v>
      </c>
      <c r="H9" s="11">
        <v>14286.25</v>
      </c>
      <c r="I9" s="12"/>
      <c r="J9" s="12"/>
      <c r="K9" s="11">
        <v>5538.75</v>
      </c>
    </row>
    <row r="10" spans="1:11" hidden="1" x14ac:dyDescent="0.35">
      <c r="A10" s="10" t="s">
        <v>14</v>
      </c>
      <c r="B10" s="10" t="s">
        <v>15</v>
      </c>
      <c r="C10" s="10" t="s">
        <v>40</v>
      </c>
      <c r="D10" s="10" t="s">
        <v>41</v>
      </c>
      <c r="E10" s="10" t="s">
        <v>42</v>
      </c>
      <c r="F10" s="11">
        <v>518388</v>
      </c>
      <c r="G10" s="11">
        <v>42241</v>
      </c>
      <c r="H10" s="11">
        <v>42239.5</v>
      </c>
      <c r="I10" s="12"/>
      <c r="J10" s="12"/>
      <c r="K10" s="11">
        <v>1.5</v>
      </c>
    </row>
    <row r="11" spans="1:11" hidden="1" x14ac:dyDescent="0.35">
      <c r="A11" s="10" t="s">
        <v>14</v>
      </c>
      <c r="B11" s="10" t="s">
        <v>15</v>
      </c>
      <c r="C11" s="10" t="s">
        <v>43</v>
      </c>
      <c r="D11" s="10" t="s">
        <v>44</v>
      </c>
      <c r="E11" s="10" t="s">
        <v>45</v>
      </c>
      <c r="F11" s="11">
        <v>1000000</v>
      </c>
      <c r="G11" s="11">
        <v>380463</v>
      </c>
      <c r="H11" s="11">
        <v>379940.5</v>
      </c>
      <c r="I11" s="12"/>
      <c r="J11" s="12"/>
      <c r="K11" s="11">
        <v>522.5</v>
      </c>
    </row>
    <row r="12" spans="1:11" hidden="1" x14ac:dyDescent="0.35">
      <c r="A12" s="10" t="s">
        <v>14</v>
      </c>
      <c r="B12" s="10" t="s">
        <v>15</v>
      </c>
      <c r="C12" s="10" t="s">
        <v>46</v>
      </c>
      <c r="D12" s="10" t="s">
        <v>47</v>
      </c>
      <c r="E12" s="10" t="s">
        <v>48</v>
      </c>
      <c r="F12" s="11">
        <v>50000</v>
      </c>
      <c r="G12" s="11">
        <v>0</v>
      </c>
      <c r="H12" s="12"/>
      <c r="I12" s="12"/>
      <c r="J12" s="12"/>
      <c r="K12" s="11">
        <v>0</v>
      </c>
    </row>
    <row r="13" spans="1:11" hidden="1" x14ac:dyDescent="0.35">
      <c r="A13" s="10" t="s">
        <v>14</v>
      </c>
      <c r="B13" s="10" t="s">
        <v>15</v>
      </c>
      <c r="C13" s="10" t="s">
        <v>49</v>
      </c>
      <c r="D13" s="10" t="s">
        <v>50</v>
      </c>
      <c r="E13" s="10" t="s">
        <v>51</v>
      </c>
      <c r="F13" s="11">
        <v>100000</v>
      </c>
      <c r="G13" s="11">
        <v>745</v>
      </c>
      <c r="H13" s="12"/>
      <c r="I13" s="12"/>
      <c r="J13" s="12"/>
      <c r="K13" s="11">
        <v>745</v>
      </c>
    </row>
    <row r="14" spans="1:11" hidden="1" x14ac:dyDescent="0.35">
      <c r="A14" s="10" t="s">
        <v>52</v>
      </c>
      <c r="B14" s="10" t="s">
        <v>53</v>
      </c>
      <c r="C14" s="10" t="s">
        <v>54</v>
      </c>
      <c r="D14" s="10" t="s">
        <v>55</v>
      </c>
      <c r="E14" s="10" t="s">
        <v>56</v>
      </c>
      <c r="F14" s="11">
        <v>500000</v>
      </c>
      <c r="G14" s="11">
        <v>550028</v>
      </c>
      <c r="H14" s="11">
        <v>307899.53999999998</v>
      </c>
      <c r="I14" s="11">
        <v>0</v>
      </c>
      <c r="J14" s="11">
        <v>242128.46</v>
      </c>
      <c r="K14" s="11">
        <v>2.91038304567337E-11</v>
      </c>
    </row>
    <row r="15" spans="1:11" hidden="1" x14ac:dyDescent="0.35">
      <c r="A15" s="10" t="s">
        <v>57</v>
      </c>
      <c r="B15" s="10" t="s">
        <v>58</v>
      </c>
      <c r="C15" s="10" t="s">
        <v>25</v>
      </c>
      <c r="D15" s="10" t="s">
        <v>26</v>
      </c>
      <c r="E15" s="10" t="s">
        <v>59</v>
      </c>
      <c r="F15" s="11">
        <v>720000</v>
      </c>
      <c r="G15" s="11">
        <v>10000</v>
      </c>
      <c r="H15" s="11">
        <v>10000</v>
      </c>
      <c r="I15" s="12"/>
      <c r="J15" s="12"/>
      <c r="K15" s="11">
        <v>0</v>
      </c>
    </row>
    <row r="16" spans="1:11" hidden="1" x14ac:dyDescent="0.35">
      <c r="A16" s="10" t="s">
        <v>57</v>
      </c>
      <c r="B16" s="10" t="s">
        <v>58</v>
      </c>
      <c r="C16" s="10" t="s">
        <v>40</v>
      </c>
      <c r="D16" s="10" t="s">
        <v>41</v>
      </c>
      <c r="E16" s="10" t="s">
        <v>60</v>
      </c>
      <c r="F16" s="11">
        <v>735000</v>
      </c>
      <c r="G16" s="11">
        <v>14694</v>
      </c>
      <c r="H16" s="12"/>
      <c r="I16" s="11">
        <v>14692</v>
      </c>
      <c r="J16" s="11">
        <v>0</v>
      </c>
      <c r="K16" s="11">
        <v>2</v>
      </c>
    </row>
    <row r="17" spans="1:11" hidden="1" x14ac:dyDescent="0.35">
      <c r="A17" s="10" t="s">
        <v>57</v>
      </c>
      <c r="B17" s="10" t="s">
        <v>58</v>
      </c>
      <c r="C17" s="10" t="s">
        <v>61</v>
      </c>
      <c r="D17" s="10" t="s">
        <v>62</v>
      </c>
      <c r="E17" s="10" t="s">
        <v>63</v>
      </c>
      <c r="F17" s="11">
        <v>0</v>
      </c>
      <c r="G17" s="11">
        <v>115000</v>
      </c>
      <c r="H17" s="11">
        <v>114759</v>
      </c>
      <c r="I17" s="12"/>
      <c r="J17" s="12"/>
      <c r="K17" s="11">
        <v>241</v>
      </c>
    </row>
    <row r="18" spans="1:11" hidden="1" x14ac:dyDescent="0.35">
      <c r="A18" s="10" t="s">
        <v>57</v>
      </c>
      <c r="B18" s="10" t="s">
        <v>58</v>
      </c>
      <c r="C18" s="10" t="s">
        <v>43</v>
      </c>
      <c r="D18" s="10" t="s">
        <v>44</v>
      </c>
      <c r="E18" s="10" t="s">
        <v>64</v>
      </c>
      <c r="F18" s="11">
        <v>180000</v>
      </c>
      <c r="G18" s="11">
        <v>13533</v>
      </c>
      <c r="H18" s="11">
        <v>13530.95</v>
      </c>
      <c r="I18" s="12"/>
      <c r="J18" s="12"/>
      <c r="K18" s="11">
        <v>2.0500000000010901</v>
      </c>
    </row>
    <row r="19" spans="1:11" hidden="1" x14ac:dyDescent="0.35">
      <c r="A19" s="10" t="s">
        <v>65</v>
      </c>
      <c r="B19" s="10" t="s">
        <v>66</v>
      </c>
      <c r="C19" s="10" t="s">
        <v>67</v>
      </c>
      <c r="D19" s="10" t="s">
        <v>68</v>
      </c>
      <c r="E19" s="10" t="s">
        <v>69</v>
      </c>
      <c r="F19" s="11">
        <v>4578464</v>
      </c>
      <c r="G19" s="11">
        <v>5016966</v>
      </c>
      <c r="H19" s="11">
        <v>4298188.0999999996</v>
      </c>
      <c r="I19" s="11">
        <v>38433.360000000001</v>
      </c>
      <c r="J19" s="11">
        <v>680342.45</v>
      </c>
      <c r="K19" s="11">
        <v>2.0899999995017402</v>
      </c>
    </row>
    <row r="20" spans="1:11" hidden="1" x14ac:dyDescent="0.35">
      <c r="A20" s="10" t="s">
        <v>65</v>
      </c>
      <c r="B20" s="10" t="s">
        <v>66</v>
      </c>
      <c r="C20" s="10" t="s">
        <v>31</v>
      </c>
      <c r="D20" s="10" t="s">
        <v>32</v>
      </c>
      <c r="E20" s="10" t="s">
        <v>70</v>
      </c>
      <c r="F20" s="11">
        <v>5425358</v>
      </c>
      <c r="G20" s="11">
        <v>6552916</v>
      </c>
      <c r="H20" s="11">
        <v>6769283.3799999999</v>
      </c>
      <c r="I20" s="11">
        <v>-225990</v>
      </c>
      <c r="J20" s="11">
        <v>9620.3299999999599</v>
      </c>
      <c r="K20" s="11">
        <v>2.2900000000372498</v>
      </c>
    </row>
    <row r="21" spans="1:11" hidden="1" x14ac:dyDescent="0.35">
      <c r="A21" s="10" t="s">
        <v>65</v>
      </c>
      <c r="B21" s="10" t="s">
        <v>66</v>
      </c>
      <c r="C21" s="10" t="s">
        <v>34</v>
      </c>
      <c r="D21" s="10" t="s">
        <v>35</v>
      </c>
      <c r="E21" s="10" t="s">
        <v>71</v>
      </c>
      <c r="F21" s="11">
        <v>791955</v>
      </c>
      <c r="G21" s="11">
        <v>59402</v>
      </c>
      <c r="H21" s="11">
        <v>64327.17</v>
      </c>
      <c r="I21" s="11">
        <v>0</v>
      </c>
      <c r="J21" s="11">
        <v>0</v>
      </c>
      <c r="K21" s="11">
        <v>-4925.17</v>
      </c>
    </row>
    <row r="22" spans="1:11" hidden="1" x14ac:dyDescent="0.35">
      <c r="A22" s="10" t="s">
        <v>65</v>
      </c>
      <c r="B22" s="10" t="s">
        <v>66</v>
      </c>
      <c r="C22" s="10" t="s">
        <v>72</v>
      </c>
      <c r="D22" s="10" t="s">
        <v>73</v>
      </c>
      <c r="E22" s="10" t="s">
        <v>74</v>
      </c>
      <c r="F22" s="11">
        <v>0</v>
      </c>
      <c r="G22" s="11">
        <v>403664</v>
      </c>
      <c r="H22" s="11">
        <v>154662.9</v>
      </c>
      <c r="I22" s="11">
        <v>249000</v>
      </c>
      <c r="J22" s="11">
        <v>0</v>
      </c>
      <c r="K22" s="11">
        <v>1.1000000000058201</v>
      </c>
    </row>
    <row r="23" spans="1:11" hidden="1" x14ac:dyDescent="0.35">
      <c r="A23" s="10" t="s">
        <v>65</v>
      </c>
      <c r="B23" s="10" t="s">
        <v>66</v>
      </c>
      <c r="C23" s="10" t="s">
        <v>75</v>
      </c>
      <c r="D23" s="10" t="s">
        <v>76</v>
      </c>
      <c r="E23" s="10" t="s">
        <v>77</v>
      </c>
      <c r="F23" s="11">
        <v>1157850</v>
      </c>
      <c r="G23" s="11">
        <v>946677</v>
      </c>
      <c r="H23" s="11">
        <v>496024.34</v>
      </c>
      <c r="I23" s="11">
        <v>0</v>
      </c>
      <c r="J23" s="11">
        <v>432001.91</v>
      </c>
      <c r="K23" s="11">
        <v>18650.749999999902</v>
      </c>
    </row>
    <row r="24" spans="1:11" hidden="1" x14ac:dyDescent="0.35">
      <c r="A24" s="10" t="s">
        <v>65</v>
      </c>
      <c r="B24" s="10" t="s">
        <v>66</v>
      </c>
      <c r="C24" s="10" t="s">
        <v>78</v>
      </c>
      <c r="D24" s="10" t="s">
        <v>79</v>
      </c>
      <c r="E24" s="10" t="s">
        <v>80</v>
      </c>
      <c r="F24" s="11">
        <v>750000</v>
      </c>
      <c r="G24" s="11">
        <v>23654</v>
      </c>
      <c r="H24" s="11">
        <v>23653.37</v>
      </c>
      <c r="I24" s="12"/>
      <c r="J24" s="12"/>
      <c r="K24" s="11">
        <v>0.63000000000101897</v>
      </c>
    </row>
    <row r="25" spans="1:11" hidden="1" x14ac:dyDescent="0.35">
      <c r="A25" s="10" t="s">
        <v>65</v>
      </c>
      <c r="B25" s="10" t="s">
        <v>66</v>
      </c>
      <c r="C25" s="10" t="s">
        <v>49</v>
      </c>
      <c r="D25" s="10" t="s">
        <v>50</v>
      </c>
      <c r="E25" s="10" t="s">
        <v>81</v>
      </c>
      <c r="F25" s="11">
        <v>998000</v>
      </c>
      <c r="G25" s="11">
        <v>47145</v>
      </c>
      <c r="H25" s="11">
        <v>45999.01</v>
      </c>
      <c r="I25" s="11">
        <v>0</v>
      </c>
      <c r="J25" s="11">
        <v>0</v>
      </c>
      <c r="K25" s="11">
        <v>1145.98999999998</v>
      </c>
    </row>
    <row r="26" spans="1:11" hidden="1" x14ac:dyDescent="0.35">
      <c r="A26" s="10" t="s">
        <v>65</v>
      </c>
      <c r="B26" s="10" t="s">
        <v>66</v>
      </c>
      <c r="C26" s="10" t="s">
        <v>82</v>
      </c>
      <c r="D26" s="10" t="s">
        <v>83</v>
      </c>
      <c r="E26" s="10" t="s">
        <v>84</v>
      </c>
      <c r="F26" s="11">
        <v>10000</v>
      </c>
      <c r="G26" s="11">
        <v>1</v>
      </c>
      <c r="H26" s="12"/>
      <c r="I26" s="12"/>
      <c r="J26" s="12"/>
      <c r="K26" s="11">
        <v>1</v>
      </c>
    </row>
    <row r="27" spans="1:11" hidden="1" x14ac:dyDescent="0.35">
      <c r="A27" s="10" t="s">
        <v>65</v>
      </c>
      <c r="B27" s="10" t="s">
        <v>66</v>
      </c>
      <c r="C27" s="10" t="s">
        <v>85</v>
      </c>
      <c r="D27" s="10" t="s">
        <v>86</v>
      </c>
      <c r="E27" s="10" t="s">
        <v>87</v>
      </c>
      <c r="F27" s="11">
        <v>135000</v>
      </c>
      <c r="G27" s="11">
        <v>43812</v>
      </c>
      <c r="H27" s="11">
        <v>43812</v>
      </c>
      <c r="I27" s="11">
        <v>0</v>
      </c>
      <c r="J27" s="11">
        <v>0</v>
      </c>
      <c r="K27" s="11">
        <v>0</v>
      </c>
    </row>
    <row r="28" spans="1:11" hidden="1" x14ac:dyDescent="0.35">
      <c r="A28" s="10" t="s">
        <v>88</v>
      </c>
      <c r="B28" s="10" t="s">
        <v>89</v>
      </c>
      <c r="C28" s="10" t="s">
        <v>22</v>
      </c>
      <c r="D28" s="10" t="s">
        <v>23</v>
      </c>
      <c r="E28" s="10" t="s">
        <v>90</v>
      </c>
      <c r="F28" s="11">
        <v>0</v>
      </c>
      <c r="G28" s="11">
        <v>33694</v>
      </c>
      <c r="H28" s="11">
        <v>33691.82</v>
      </c>
      <c r="I28" s="12"/>
      <c r="J28" s="12"/>
      <c r="K28" s="11">
        <v>2.1800000000002902</v>
      </c>
    </row>
    <row r="29" spans="1:11" hidden="1" x14ac:dyDescent="0.35">
      <c r="A29" s="10" t="s">
        <v>91</v>
      </c>
      <c r="B29" s="10" t="s">
        <v>92</v>
      </c>
      <c r="C29" s="10" t="s">
        <v>43</v>
      </c>
      <c r="D29" s="10" t="s">
        <v>44</v>
      </c>
      <c r="E29" s="10" t="s">
        <v>93</v>
      </c>
      <c r="F29" s="11">
        <v>0</v>
      </c>
      <c r="G29" s="11">
        <v>37592</v>
      </c>
      <c r="H29" s="11">
        <v>37589.800000000003</v>
      </c>
      <c r="I29" s="12"/>
      <c r="J29" s="12"/>
      <c r="K29" s="11">
        <v>2.1999999999970901</v>
      </c>
    </row>
    <row r="30" spans="1:11" hidden="1" x14ac:dyDescent="0.35">
      <c r="A30" s="10" t="s">
        <v>94</v>
      </c>
      <c r="B30" s="10" t="s">
        <v>95</v>
      </c>
      <c r="C30" s="10" t="s">
        <v>19</v>
      </c>
      <c r="D30" s="10" t="s">
        <v>20</v>
      </c>
      <c r="E30" s="10" t="s">
        <v>96</v>
      </c>
      <c r="F30" s="11">
        <v>0</v>
      </c>
      <c r="G30" s="11">
        <v>14169</v>
      </c>
      <c r="H30" s="12"/>
      <c r="I30" s="12"/>
      <c r="J30" s="12"/>
      <c r="K30" s="11">
        <v>14169</v>
      </c>
    </row>
    <row r="31" spans="1:11" hidden="1" x14ac:dyDescent="0.35">
      <c r="A31" s="10" t="s">
        <v>94</v>
      </c>
      <c r="B31" s="10" t="s">
        <v>95</v>
      </c>
      <c r="C31" s="10" t="s">
        <v>97</v>
      </c>
      <c r="D31" s="10" t="s">
        <v>98</v>
      </c>
      <c r="E31" s="10" t="s">
        <v>99</v>
      </c>
      <c r="F31" s="11">
        <v>0</v>
      </c>
      <c r="G31" s="11">
        <v>0</v>
      </c>
      <c r="H31" s="12"/>
      <c r="I31" s="12"/>
      <c r="J31" s="12"/>
      <c r="K31" s="11">
        <v>0</v>
      </c>
    </row>
    <row r="32" spans="1:11" hidden="1" x14ac:dyDescent="0.35">
      <c r="A32" s="10" t="s">
        <v>94</v>
      </c>
      <c r="B32" s="10" t="s">
        <v>95</v>
      </c>
      <c r="C32" s="10" t="s">
        <v>78</v>
      </c>
      <c r="D32" s="10" t="s">
        <v>79</v>
      </c>
      <c r="E32" s="10" t="s">
        <v>100</v>
      </c>
      <c r="F32" s="11">
        <v>0</v>
      </c>
      <c r="G32" s="11">
        <v>331</v>
      </c>
      <c r="H32" s="12"/>
      <c r="I32" s="12"/>
      <c r="J32" s="12"/>
      <c r="K32" s="11">
        <v>331</v>
      </c>
    </row>
    <row r="33" spans="1:11" hidden="1" x14ac:dyDescent="0.35">
      <c r="A33" s="10" t="s">
        <v>94</v>
      </c>
      <c r="B33" s="10" t="s">
        <v>95</v>
      </c>
      <c r="C33" s="10" t="s">
        <v>43</v>
      </c>
      <c r="D33" s="10" t="s">
        <v>44</v>
      </c>
      <c r="E33" s="10" t="s">
        <v>101</v>
      </c>
      <c r="F33" s="11">
        <v>0</v>
      </c>
      <c r="G33" s="11">
        <v>0</v>
      </c>
      <c r="H33" s="12"/>
      <c r="I33" s="12"/>
      <c r="J33" s="12"/>
      <c r="K33" s="11">
        <v>0</v>
      </c>
    </row>
    <row r="34" spans="1:11" hidden="1" x14ac:dyDescent="0.35">
      <c r="A34" s="10" t="s">
        <v>94</v>
      </c>
      <c r="B34" s="10" t="s">
        <v>95</v>
      </c>
      <c r="C34" s="10" t="s">
        <v>49</v>
      </c>
      <c r="D34" s="10" t="s">
        <v>50</v>
      </c>
      <c r="E34" s="10" t="s">
        <v>102</v>
      </c>
      <c r="F34" s="11">
        <v>0</v>
      </c>
      <c r="G34" s="11">
        <v>0</v>
      </c>
      <c r="H34" s="12"/>
      <c r="I34" s="12"/>
      <c r="J34" s="12"/>
      <c r="K34" s="11">
        <v>0</v>
      </c>
    </row>
    <row r="35" spans="1:11" hidden="1" x14ac:dyDescent="0.35">
      <c r="A35" s="10" t="s">
        <v>94</v>
      </c>
      <c r="B35" s="10" t="s">
        <v>95</v>
      </c>
      <c r="C35" s="10" t="s">
        <v>103</v>
      </c>
      <c r="D35" s="10" t="s">
        <v>104</v>
      </c>
      <c r="E35" s="10" t="s">
        <v>105</v>
      </c>
      <c r="F35" s="11">
        <v>0</v>
      </c>
      <c r="G35" s="11">
        <v>0</v>
      </c>
      <c r="H35" s="12"/>
      <c r="I35" s="12"/>
      <c r="J35" s="12"/>
      <c r="K35" s="11">
        <v>0</v>
      </c>
    </row>
    <row r="36" spans="1:11" hidden="1" x14ac:dyDescent="0.35">
      <c r="A36" s="10" t="s">
        <v>94</v>
      </c>
      <c r="B36" s="10" t="s">
        <v>95</v>
      </c>
      <c r="C36" s="10" t="s">
        <v>106</v>
      </c>
      <c r="D36" s="10" t="s">
        <v>107</v>
      </c>
      <c r="E36" s="10" t="s">
        <v>108</v>
      </c>
      <c r="F36" s="11">
        <v>0</v>
      </c>
      <c r="G36" s="11">
        <v>0</v>
      </c>
      <c r="H36" s="12"/>
      <c r="I36" s="12"/>
      <c r="J36" s="12"/>
      <c r="K36" s="11">
        <v>0</v>
      </c>
    </row>
    <row r="37" spans="1:11" hidden="1" x14ac:dyDescent="0.35">
      <c r="A37" s="10" t="s">
        <v>109</v>
      </c>
      <c r="B37" s="10" t="s">
        <v>110</v>
      </c>
      <c r="C37" s="10" t="s">
        <v>16</v>
      </c>
      <c r="D37" s="10" t="s">
        <v>17</v>
      </c>
      <c r="E37" s="10" t="s">
        <v>111</v>
      </c>
      <c r="F37" s="11">
        <v>60000</v>
      </c>
      <c r="G37" s="11">
        <v>9477</v>
      </c>
      <c r="H37" s="11">
        <v>970.85</v>
      </c>
      <c r="I37" s="12"/>
      <c r="J37" s="12"/>
      <c r="K37" s="11">
        <v>8506.15</v>
      </c>
    </row>
    <row r="38" spans="1:11" hidden="1" x14ac:dyDescent="0.35">
      <c r="A38" s="10" t="s">
        <v>109</v>
      </c>
      <c r="B38" s="10" t="s">
        <v>110</v>
      </c>
      <c r="C38" s="10" t="s">
        <v>19</v>
      </c>
      <c r="D38" s="10" t="s">
        <v>20</v>
      </c>
      <c r="E38" s="10" t="s">
        <v>112</v>
      </c>
      <c r="F38" s="11">
        <v>492387</v>
      </c>
      <c r="G38" s="11">
        <v>280033</v>
      </c>
      <c r="H38" s="11">
        <v>280031.34999999998</v>
      </c>
      <c r="I38" s="11">
        <v>0</v>
      </c>
      <c r="J38" s="11">
        <v>0</v>
      </c>
      <c r="K38" s="11">
        <v>1.6499999999650801</v>
      </c>
    </row>
    <row r="39" spans="1:11" hidden="1" x14ac:dyDescent="0.35">
      <c r="A39" s="10" t="s">
        <v>109</v>
      </c>
      <c r="B39" s="10" t="s">
        <v>110</v>
      </c>
      <c r="C39" s="10" t="s">
        <v>28</v>
      </c>
      <c r="D39" s="10" t="s">
        <v>29</v>
      </c>
      <c r="E39" s="10" t="s">
        <v>113</v>
      </c>
      <c r="F39" s="11">
        <v>375000</v>
      </c>
      <c r="G39" s="11">
        <v>1</v>
      </c>
      <c r="H39" s="12"/>
      <c r="I39" s="12"/>
      <c r="J39" s="12"/>
      <c r="K39" s="11">
        <v>1</v>
      </c>
    </row>
    <row r="40" spans="1:11" hidden="1" x14ac:dyDescent="0.35">
      <c r="A40" s="10" t="s">
        <v>109</v>
      </c>
      <c r="B40" s="10" t="s">
        <v>110</v>
      </c>
      <c r="C40" s="10" t="s">
        <v>31</v>
      </c>
      <c r="D40" s="10" t="s">
        <v>32</v>
      </c>
      <c r="E40" s="10" t="s">
        <v>114</v>
      </c>
      <c r="F40" s="11">
        <v>10000</v>
      </c>
      <c r="G40" s="11">
        <v>13752</v>
      </c>
      <c r="H40" s="11">
        <v>13750</v>
      </c>
      <c r="I40" s="12"/>
      <c r="J40" s="12"/>
      <c r="K40" s="11">
        <v>2</v>
      </c>
    </row>
    <row r="41" spans="1:11" hidden="1" x14ac:dyDescent="0.35">
      <c r="A41" s="10" t="s">
        <v>109</v>
      </c>
      <c r="B41" s="10" t="s">
        <v>110</v>
      </c>
      <c r="C41" s="10" t="s">
        <v>34</v>
      </c>
      <c r="D41" s="10" t="s">
        <v>35</v>
      </c>
      <c r="E41" s="10" t="s">
        <v>115</v>
      </c>
      <c r="F41" s="11">
        <v>25000</v>
      </c>
      <c r="G41" s="11">
        <v>13792</v>
      </c>
      <c r="H41" s="11">
        <v>13790</v>
      </c>
      <c r="I41" s="12"/>
      <c r="J41" s="12"/>
      <c r="K41" s="11">
        <v>1.9999999999981799</v>
      </c>
    </row>
    <row r="42" spans="1:11" hidden="1" x14ac:dyDescent="0.35">
      <c r="A42" s="10" t="s">
        <v>109</v>
      </c>
      <c r="B42" s="10" t="s">
        <v>110</v>
      </c>
      <c r="C42" s="10" t="s">
        <v>116</v>
      </c>
      <c r="D42" s="10" t="s">
        <v>117</v>
      </c>
      <c r="E42" s="10" t="s">
        <v>118</v>
      </c>
      <c r="F42" s="11">
        <v>694710</v>
      </c>
      <c r="G42" s="11">
        <v>2</v>
      </c>
      <c r="H42" s="12"/>
      <c r="I42" s="12"/>
      <c r="J42" s="12"/>
      <c r="K42" s="11">
        <v>2</v>
      </c>
    </row>
    <row r="43" spans="1:11" hidden="1" x14ac:dyDescent="0.35">
      <c r="A43" s="10" t="s">
        <v>109</v>
      </c>
      <c r="B43" s="10" t="s">
        <v>110</v>
      </c>
      <c r="C43" s="10" t="s">
        <v>37</v>
      </c>
      <c r="D43" s="10" t="s">
        <v>38</v>
      </c>
      <c r="E43" s="10" t="s">
        <v>119</v>
      </c>
      <c r="F43" s="11">
        <v>12000</v>
      </c>
      <c r="G43" s="11">
        <v>22987</v>
      </c>
      <c r="H43" s="11">
        <v>21378.1</v>
      </c>
      <c r="I43" s="12"/>
      <c r="J43" s="12"/>
      <c r="K43" s="11">
        <v>1608.9</v>
      </c>
    </row>
    <row r="44" spans="1:11" hidden="1" x14ac:dyDescent="0.35">
      <c r="A44" s="10" t="s">
        <v>109</v>
      </c>
      <c r="B44" s="10" t="s">
        <v>110</v>
      </c>
      <c r="C44" s="10" t="s">
        <v>40</v>
      </c>
      <c r="D44" s="10" t="s">
        <v>41</v>
      </c>
      <c r="E44" s="10" t="s">
        <v>120</v>
      </c>
      <c r="F44" s="11">
        <v>50000</v>
      </c>
      <c r="G44" s="11">
        <v>2</v>
      </c>
      <c r="H44" s="12"/>
      <c r="I44" s="12"/>
      <c r="J44" s="12"/>
      <c r="K44" s="11">
        <v>2</v>
      </c>
    </row>
    <row r="45" spans="1:11" hidden="1" x14ac:dyDescent="0.35">
      <c r="A45" s="10" t="s">
        <v>109</v>
      </c>
      <c r="B45" s="10" t="s">
        <v>110</v>
      </c>
      <c r="C45" s="10" t="s">
        <v>43</v>
      </c>
      <c r="D45" s="10" t="s">
        <v>44</v>
      </c>
      <c r="E45" s="10" t="s">
        <v>121</v>
      </c>
      <c r="F45" s="11">
        <v>65500</v>
      </c>
      <c r="G45" s="11">
        <v>33102</v>
      </c>
      <c r="H45" s="11">
        <v>33100</v>
      </c>
      <c r="I45" s="12"/>
      <c r="J45" s="12"/>
      <c r="K45" s="11">
        <v>2</v>
      </c>
    </row>
    <row r="46" spans="1:11" hidden="1" x14ac:dyDescent="0.35">
      <c r="A46" s="10" t="s">
        <v>109</v>
      </c>
      <c r="B46" s="10" t="s">
        <v>110</v>
      </c>
      <c r="C46" s="10" t="s">
        <v>49</v>
      </c>
      <c r="D46" s="10" t="s">
        <v>50</v>
      </c>
      <c r="E46" s="10" t="s">
        <v>122</v>
      </c>
      <c r="F46" s="11">
        <v>20000</v>
      </c>
      <c r="G46" s="11">
        <v>6322</v>
      </c>
      <c r="H46" s="11">
        <v>6320</v>
      </c>
      <c r="I46" s="11">
        <v>0</v>
      </c>
      <c r="J46" s="11">
        <v>0</v>
      </c>
      <c r="K46" s="11">
        <v>2</v>
      </c>
    </row>
    <row r="47" spans="1:11" hidden="1" x14ac:dyDescent="0.35">
      <c r="A47" s="10" t="s">
        <v>109</v>
      </c>
      <c r="B47" s="10" t="s">
        <v>110</v>
      </c>
      <c r="C47" s="10" t="s">
        <v>123</v>
      </c>
      <c r="D47" s="10" t="s">
        <v>124</v>
      </c>
      <c r="E47" s="10" t="s">
        <v>125</v>
      </c>
      <c r="F47" s="11">
        <v>10000</v>
      </c>
      <c r="G47" s="11">
        <v>4650</v>
      </c>
      <c r="H47" s="11">
        <v>4648</v>
      </c>
      <c r="I47" s="12"/>
      <c r="J47" s="12"/>
      <c r="K47" s="11">
        <v>2</v>
      </c>
    </row>
    <row r="48" spans="1:11" hidden="1" x14ac:dyDescent="0.35">
      <c r="A48" s="10" t="s">
        <v>126</v>
      </c>
      <c r="B48" s="10" t="s">
        <v>127</v>
      </c>
      <c r="C48" s="10" t="s">
        <v>16</v>
      </c>
      <c r="D48" s="10" t="s">
        <v>17</v>
      </c>
      <c r="E48" s="10" t="s">
        <v>128</v>
      </c>
      <c r="F48" s="11">
        <v>1020620</v>
      </c>
      <c r="G48" s="11">
        <v>93666</v>
      </c>
      <c r="H48" s="11">
        <v>93665.1</v>
      </c>
      <c r="I48" s="12"/>
      <c r="J48" s="12"/>
      <c r="K48" s="11">
        <v>0.89999999999417901</v>
      </c>
    </row>
    <row r="49" spans="1:11" hidden="1" x14ac:dyDescent="0.35">
      <c r="A49" s="10" t="s">
        <v>126</v>
      </c>
      <c r="B49" s="10" t="s">
        <v>127</v>
      </c>
      <c r="C49" s="10" t="s">
        <v>67</v>
      </c>
      <c r="D49" s="10" t="s">
        <v>68</v>
      </c>
      <c r="E49" s="10" t="s">
        <v>129</v>
      </c>
      <c r="F49" s="11">
        <v>300000</v>
      </c>
      <c r="G49" s="11">
        <v>0</v>
      </c>
      <c r="H49" s="12"/>
      <c r="I49" s="12"/>
      <c r="J49" s="12"/>
      <c r="K49" s="11">
        <v>0</v>
      </c>
    </row>
    <row r="50" spans="1:11" hidden="1" x14ac:dyDescent="0.35">
      <c r="A50" s="10" t="s">
        <v>126</v>
      </c>
      <c r="B50" s="10" t="s">
        <v>127</v>
      </c>
      <c r="C50" s="10" t="s">
        <v>31</v>
      </c>
      <c r="D50" s="10" t="s">
        <v>32</v>
      </c>
      <c r="E50" s="10" t="s">
        <v>130</v>
      </c>
      <c r="F50" s="11">
        <v>34000</v>
      </c>
      <c r="G50" s="11">
        <v>9465</v>
      </c>
      <c r="H50" s="11">
        <v>9463</v>
      </c>
      <c r="I50" s="12"/>
      <c r="J50" s="12"/>
      <c r="K50" s="11">
        <v>2</v>
      </c>
    </row>
    <row r="51" spans="1:11" hidden="1" x14ac:dyDescent="0.35">
      <c r="A51" s="10" t="s">
        <v>126</v>
      </c>
      <c r="B51" s="10" t="s">
        <v>127</v>
      </c>
      <c r="C51" s="10" t="s">
        <v>34</v>
      </c>
      <c r="D51" s="10" t="s">
        <v>35</v>
      </c>
      <c r="E51" s="10" t="s">
        <v>131</v>
      </c>
      <c r="F51" s="11">
        <v>222000</v>
      </c>
      <c r="G51" s="11">
        <v>196443</v>
      </c>
      <c r="H51" s="11">
        <v>196440.99</v>
      </c>
      <c r="I51" s="12"/>
      <c r="J51" s="12"/>
      <c r="K51" s="11">
        <v>2.0100000000093101</v>
      </c>
    </row>
    <row r="52" spans="1:11" hidden="1" x14ac:dyDescent="0.35">
      <c r="A52" s="10" t="s">
        <v>126</v>
      </c>
      <c r="B52" s="10" t="s">
        <v>127</v>
      </c>
      <c r="C52" s="10" t="s">
        <v>132</v>
      </c>
      <c r="D52" s="10" t="s">
        <v>133</v>
      </c>
      <c r="E52" s="10" t="s">
        <v>134</v>
      </c>
      <c r="F52" s="11">
        <v>240000</v>
      </c>
      <c r="G52" s="11">
        <v>240000</v>
      </c>
      <c r="H52" s="11">
        <v>240000</v>
      </c>
      <c r="I52" s="12"/>
      <c r="J52" s="12"/>
      <c r="K52" s="11">
        <v>0</v>
      </c>
    </row>
    <row r="53" spans="1:11" hidden="1" x14ac:dyDescent="0.35">
      <c r="A53" s="10" t="s">
        <v>126</v>
      </c>
      <c r="B53" s="10" t="s">
        <v>127</v>
      </c>
      <c r="C53" s="10" t="s">
        <v>135</v>
      </c>
      <c r="D53" s="10" t="s">
        <v>136</v>
      </c>
      <c r="E53" s="10" t="s">
        <v>137</v>
      </c>
      <c r="F53" s="11">
        <v>4816800</v>
      </c>
      <c r="G53" s="11">
        <v>3630931</v>
      </c>
      <c r="H53" s="11">
        <v>3630763.75</v>
      </c>
      <c r="I53" s="12"/>
      <c r="J53" s="12"/>
      <c r="K53" s="11">
        <v>167.249999999534</v>
      </c>
    </row>
    <row r="54" spans="1:11" hidden="1" x14ac:dyDescent="0.35">
      <c r="A54" s="10" t="s">
        <v>126</v>
      </c>
      <c r="B54" s="10" t="s">
        <v>127</v>
      </c>
      <c r="C54" s="10" t="s">
        <v>138</v>
      </c>
      <c r="D54" s="10" t="s">
        <v>139</v>
      </c>
      <c r="E54" s="10" t="s">
        <v>140</v>
      </c>
      <c r="F54" s="11">
        <v>1971263</v>
      </c>
      <c r="G54" s="11">
        <v>1771263</v>
      </c>
      <c r="H54" s="11">
        <v>1746406.35</v>
      </c>
      <c r="I54" s="12"/>
      <c r="J54" s="12"/>
      <c r="K54" s="11">
        <v>24856.649999999001</v>
      </c>
    </row>
    <row r="55" spans="1:11" hidden="1" x14ac:dyDescent="0.35">
      <c r="A55" s="10" t="s">
        <v>126</v>
      </c>
      <c r="B55" s="10" t="s">
        <v>127</v>
      </c>
      <c r="C55" s="10" t="s">
        <v>141</v>
      </c>
      <c r="D55" s="10" t="s">
        <v>142</v>
      </c>
      <c r="E55" s="10" t="s">
        <v>143</v>
      </c>
      <c r="F55" s="11">
        <v>110824684</v>
      </c>
      <c r="G55" s="11">
        <v>118214474</v>
      </c>
      <c r="H55" s="11">
        <v>118211465.31999999</v>
      </c>
      <c r="I55" s="12"/>
      <c r="J55" s="12"/>
      <c r="K55" s="11">
        <v>3008.6799999028399</v>
      </c>
    </row>
    <row r="56" spans="1:11" hidden="1" x14ac:dyDescent="0.35">
      <c r="A56" s="10" t="s">
        <v>126</v>
      </c>
      <c r="B56" s="10" t="s">
        <v>127</v>
      </c>
      <c r="C56" s="10" t="s">
        <v>144</v>
      </c>
      <c r="D56" s="10" t="s">
        <v>145</v>
      </c>
      <c r="E56" s="10" t="s">
        <v>146</v>
      </c>
      <c r="F56" s="11">
        <v>150000</v>
      </c>
      <c r="G56" s="11">
        <v>0</v>
      </c>
      <c r="H56" s="12"/>
      <c r="I56" s="12"/>
      <c r="J56" s="12"/>
      <c r="K56" s="11">
        <v>0</v>
      </c>
    </row>
    <row r="57" spans="1:11" hidden="1" x14ac:dyDescent="0.35">
      <c r="A57" s="10" t="s">
        <v>126</v>
      </c>
      <c r="B57" s="10" t="s">
        <v>127</v>
      </c>
      <c r="C57" s="10" t="s">
        <v>147</v>
      </c>
      <c r="D57" s="10" t="s">
        <v>148</v>
      </c>
      <c r="E57" s="10" t="s">
        <v>149</v>
      </c>
      <c r="F57" s="11">
        <v>150000</v>
      </c>
      <c r="G57" s="11">
        <v>213700</v>
      </c>
      <c r="H57" s="11">
        <v>212707.89</v>
      </c>
      <c r="I57" s="12"/>
      <c r="J57" s="12"/>
      <c r="K57" s="11">
        <v>992.10999999998603</v>
      </c>
    </row>
    <row r="58" spans="1:11" hidden="1" x14ac:dyDescent="0.35">
      <c r="A58" s="10" t="s">
        <v>126</v>
      </c>
      <c r="B58" s="10" t="s">
        <v>127</v>
      </c>
      <c r="C58" s="10" t="s">
        <v>37</v>
      </c>
      <c r="D58" s="10" t="s">
        <v>38</v>
      </c>
      <c r="E58" s="10" t="s">
        <v>150</v>
      </c>
      <c r="F58" s="11">
        <v>45648</v>
      </c>
      <c r="G58" s="11">
        <v>2172</v>
      </c>
      <c r="H58" s="11">
        <v>2169.6999999999998</v>
      </c>
      <c r="I58" s="12"/>
      <c r="J58" s="12"/>
      <c r="K58" s="11">
        <v>2.30000000000007</v>
      </c>
    </row>
    <row r="59" spans="1:11" hidden="1" x14ac:dyDescent="0.35">
      <c r="A59" s="10" t="s">
        <v>126</v>
      </c>
      <c r="B59" s="10" t="s">
        <v>127</v>
      </c>
      <c r="C59" s="10" t="s">
        <v>40</v>
      </c>
      <c r="D59" s="10" t="s">
        <v>41</v>
      </c>
      <c r="E59" s="10" t="s">
        <v>151</v>
      </c>
      <c r="F59" s="11">
        <v>10000</v>
      </c>
      <c r="G59" s="11">
        <v>2</v>
      </c>
      <c r="H59" s="12"/>
      <c r="I59" s="12"/>
      <c r="J59" s="12"/>
      <c r="K59" s="11">
        <v>2</v>
      </c>
    </row>
    <row r="60" spans="1:11" hidden="1" x14ac:dyDescent="0.35">
      <c r="A60" s="10" t="s">
        <v>126</v>
      </c>
      <c r="B60" s="10" t="s">
        <v>127</v>
      </c>
      <c r="C60" s="10" t="s">
        <v>43</v>
      </c>
      <c r="D60" s="10" t="s">
        <v>44</v>
      </c>
      <c r="E60" s="10" t="s">
        <v>152</v>
      </c>
      <c r="F60" s="11">
        <v>97000</v>
      </c>
      <c r="G60" s="11">
        <v>2</v>
      </c>
      <c r="H60" s="12"/>
      <c r="I60" s="12"/>
      <c r="J60" s="12"/>
      <c r="K60" s="11">
        <v>2</v>
      </c>
    </row>
    <row r="61" spans="1:11" hidden="1" x14ac:dyDescent="0.35">
      <c r="A61" s="10" t="s">
        <v>126</v>
      </c>
      <c r="B61" s="10" t="s">
        <v>127</v>
      </c>
      <c r="C61" s="10" t="s">
        <v>49</v>
      </c>
      <c r="D61" s="10" t="s">
        <v>50</v>
      </c>
      <c r="E61" s="10" t="s">
        <v>153</v>
      </c>
      <c r="F61" s="11">
        <v>80000</v>
      </c>
      <c r="G61" s="11">
        <v>2</v>
      </c>
      <c r="H61" s="12"/>
      <c r="I61" s="12"/>
      <c r="J61" s="12"/>
      <c r="K61" s="11">
        <v>2</v>
      </c>
    </row>
    <row r="62" spans="1:11" hidden="1" x14ac:dyDescent="0.35">
      <c r="A62" s="10" t="s">
        <v>126</v>
      </c>
      <c r="B62" s="10" t="s">
        <v>127</v>
      </c>
      <c r="C62" s="10" t="s">
        <v>154</v>
      </c>
      <c r="D62" s="10" t="s">
        <v>155</v>
      </c>
      <c r="E62" s="10" t="s">
        <v>156</v>
      </c>
      <c r="F62" s="11">
        <v>5000</v>
      </c>
      <c r="G62" s="11">
        <v>2</v>
      </c>
      <c r="H62" s="12"/>
      <c r="I62" s="12"/>
      <c r="J62" s="12"/>
      <c r="K62" s="11">
        <v>2</v>
      </c>
    </row>
    <row r="63" spans="1:11" hidden="1" x14ac:dyDescent="0.35">
      <c r="A63" s="10" t="s">
        <v>157</v>
      </c>
      <c r="B63" s="10" t="s">
        <v>158</v>
      </c>
      <c r="C63" s="10" t="s">
        <v>16</v>
      </c>
      <c r="D63" s="10" t="s">
        <v>17</v>
      </c>
      <c r="E63" s="10" t="s">
        <v>159</v>
      </c>
      <c r="F63" s="11">
        <v>10000</v>
      </c>
      <c r="G63" s="11">
        <v>127000</v>
      </c>
      <c r="H63" s="11">
        <v>124529.41</v>
      </c>
      <c r="I63" s="12"/>
      <c r="J63" s="12"/>
      <c r="K63" s="11">
        <v>2470.59</v>
      </c>
    </row>
    <row r="64" spans="1:11" hidden="1" x14ac:dyDescent="0.35">
      <c r="A64" s="10" t="s">
        <v>157</v>
      </c>
      <c r="B64" s="10" t="s">
        <v>158</v>
      </c>
      <c r="C64" s="10" t="s">
        <v>19</v>
      </c>
      <c r="D64" s="10" t="s">
        <v>20</v>
      </c>
      <c r="E64" s="10" t="s">
        <v>160</v>
      </c>
      <c r="F64" s="11">
        <v>10000</v>
      </c>
      <c r="G64" s="11">
        <v>10000</v>
      </c>
      <c r="H64" s="12"/>
      <c r="I64" s="12"/>
      <c r="J64" s="12"/>
      <c r="K64" s="11">
        <v>10000</v>
      </c>
    </row>
    <row r="65" spans="1:11" hidden="1" x14ac:dyDescent="0.35">
      <c r="A65" s="10" t="s">
        <v>157</v>
      </c>
      <c r="B65" s="10" t="s">
        <v>158</v>
      </c>
      <c r="C65" s="10" t="s">
        <v>28</v>
      </c>
      <c r="D65" s="10" t="s">
        <v>29</v>
      </c>
      <c r="E65" s="10" t="s">
        <v>161</v>
      </c>
      <c r="F65" s="11">
        <v>506004</v>
      </c>
      <c r="G65" s="11">
        <v>310191</v>
      </c>
      <c r="H65" s="11">
        <v>310190.40000000002</v>
      </c>
      <c r="I65" s="12"/>
      <c r="J65" s="12"/>
      <c r="K65" s="11">
        <v>0.59999999997671705</v>
      </c>
    </row>
    <row r="66" spans="1:11" hidden="1" x14ac:dyDescent="0.35">
      <c r="A66" s="10" t="s">
        <v>157</v>
      </c>
      <c r="B66" s="10" t="s">
        <v>158</v>
      </c>
      <c r="C66" s="10" t="s">
        <v>31</v>
      </c>
      <c r="D66" s="10" t="s">
        <v>32</v>
      </c>
      <c r="E66" s="10" t="s">
        <v>162</v>
      </c>
      <c r="F66" s="11">
        <v>20000</v>
      </c>
      <c r="G66" s="11">
        <v>20000</v>
      </c>
      <c r="H66" s="11">
        <v>12614.75</v>
      </c>
      <c r="I66" s="12"/>
      <c r="J66" s="12"/>
      <c r="K66" s="11">
        <v>7385.25</v>
      </c>
    </row>
    <row r="67" spans="1:11" hidden="1" x14ac:dyDescent="0.35">
      <c r="A67" s="10" t="s">
        <v>157</v>
      </c>
      <c r="B67" s="10" t="s">
        <v>158</v>
      </c>
      <c r="C67" s="10" t="s">
        <v>72</v>
      </c>
      <c r="D67" s="10" t="s">
        <v>73</v>
      </c>
      <c r="E67" s="10" t="s">
        <v>163</v>
      </c>
      <c r="F67" s="11">
        <v>100000</v>
      </c>
      <c r="G67" s="11">
        <v>66993</v>
      </c>
      <c r="H67" s="11">
        <v>52243.54</v>
      </c>
      <c r="I67" s="11">
        <v>0</v>
      </c>
      <c r="J67" s="12"/>
      <c r="K67" s="11">
        <v>14749.46</v>
      </c>
    </row>
    <row r="68" spans="1:11" hidden="1" x14ac:dyDescent="0.35">
      <c r="A68" s="10" t="s">
        <v>157</v>
      </c>
      <c r="B68" s="10" t="s">
        <v>158</v>
      </c>
      <c r="C68" s="10" t="s">
        <v>97</v>
      </c>
      <c r="D68" s="10" t="s">
        <v>98</v>
      </c>
      <c r="E68" s="10" t="s">
        <v>164</v>
      </c>
      <c r="F68" s="11">
        <v>704499</v>
      </c>
      <c r="G68" s="11">
        <v>121586</v>
      </c>
      <c r="H68" s="11">
        <v>121584.62</v>
      </c>
      <c r="I68" s="12"/>
      <c r="J68" s="12"/>
      <c r="K68" s="11">
        <v>1.3800000000046599</v>
      </c>
    </row>
    <row r="69" spans="1:11" hidden="1" x14ac:dyDescent="0.35">
      <c r="A69" s="10" t="s">
        <v>157</v>
      </c>
      <c r="B69" s="10" t="s">
        <v>158</v>
      </c>
      <c r="C69" s="10" t="s">
        <v>37</v>
      </c>
      <c r="D69" s="10" t="s">
        <v>38</v>
      </c>
      <c r="E69" s="10" t="s">
        <v>165</v>
      </c>
      <c r="F69" s="11">
        <v>18000</v>
      </c>
      <c r="G69" s="11">
        <v>18000</v>
      </c>
      <c r="H69" s="11">
        <v>12479.25</v>
      </c>
      <c r="I69" s="12"/>
      <c r="J69" s="12"/>
      <c r="K69" s="11">
        <v>5520.75</v>
      </c>
    </row>
    <row r="70" spans="1:11" hidden="1" x14ac:dyDescent="0.35">
      <c r="A70" s="10" t="s">
        <v>157</v>
      </c>
      <c r="B70" s="10" t="s">
        <v>158</v>
      </c>
      <c r="C70" s="10" t="s">
        <v>40</v>
      </c>
      <c r="D70" s="10" t="s">
        <v>41</v>
      </c>
      <c r="E70" s="10" t="s">
        <v>166</v>
      </c>
      <c r="F70" s="11">
        <v>100000</v>
      </c>
      <c r="G70" s="11">
        <v>58000</v>
      </c>
      <c r="H70" s="11">
        <v>46943.25</v>
      </c>
      <c r="I70" s="11">
        <v>0</v>
      </c>
      <c r="J70" s="11">
        <v>0</v>
      </c>
      <c r="K70" s="11">
        <v>11056.75</v>
      </c>
    </row>
    <row r="71" spans="1:11" hidden="1" x14ac:dyDescent="0.35">
      <c r="A71" s="10" t="s">
        <v>157</v>
      </c>
      <c r="B71" s="10" t="s">
        <v>158</v>
      </c>
      <c r="C71" s="10" t="s">
        <v>43</v>
      </c>
      <c r="D71" s="10" t="s">
        <v>44</v>
      </c>
      <c r="E71" s="10" t="s">
        <v>167</v>
      </c>
      <c r="F71" s="11">
        <v>35000</v>
      </c>
      <c r="G71" s="11">
        <v>25464</v>
      </c>
      <c r="H71" s="12"/>
      <c r="I71" s="12"/>
      <c r="J71" s="12"/>
      <c r="K71" s="11">
        <v>25464</v>
      </c>
    </row>
    <row r="72" spans="1:11" hidden="1" x14ac:dyDescent="0.35">
      <c r="A72" s="10" t="s">
        <v>157</v>
      </c>
      <c r="B72" s="10" t="s">
        <v>158</v>
      </c>
      <c r="C72" s="10" t="s">
        <v>49</v>
      </c>
      <c r="D72" s="10" t="s">
        <v>50</v>
      </c>
      <c r="E72" s="10" t="s">
        <v>168</v>
      </c>
      <c r="F72" s="11">
        <v>45000</v>
      </c>
      <c r="G72" s="11">
        <v>22835</v>
      </c>
      <c r="H72" s="12"/>
      <c r="I72" s="12"/>
      <c r="J72" s="12"/>
      <c r="K72" s="11">
        <v>22835</v>
      </c>
    </row>
    <row r="73" spans="1:11" x14ac:dyDescent="0.35">
      <c r="A73" s="10" t="s">
        <v>157</v>
      </c>
      <c r="B73" s="10" t="s">
        <v>158</v>
      </c>
      <c r="C73" s="10" t="s">
        <v>169</v>
      </c>
      <c r="D73" s="10" t="s">
        <v>170</v>
      </c>
      <c r="E73" s="10" t="s">
        <v>171</v>
      </c>
      <c r="F73" s="11">
        <v>45292</v>
      </c>
      <c r="G73" s="11">
        <v>45292</v>
      </c>
      <c r="H73" s="11">
        <v>43796.32</v>
      </c>
      <c r="I73" s="12"/>
      <c r="J73" s="11">
        <v>0</v>
      </c>
      <c r="K73" s="11">
        <v>1495.68</v>
      </c>
    </row>
    <row r="74" spans="1:11" hidden="1" x14ac:dyDescent="0.35">
      <c r="A74" s="10" t="s">
        <v>157</v>
      </c>
      <c r="B74" s="10" t="s">
        <v>158</v>
      </c>
      <c r="C74" s="10" t="s">
        <v>103</v>
      </c>
      <c r="D74" s="10" t="s">
        <v>104</v>
      </c>
      <c r="E74" s="10" t="s">
        <v>172</v>
      </c>
      <c r="F74" s="11">
        <v>260000</v>
      </c>
      <c r="G74" s="11">
        <v>45789</v>
      </c>
      <c r="H74" s="11">
        <v>20510.169999999998</v>
      </c>
      <c r="I74" s="12"/>
      <c r="J74" s="12"/>
      <c r="K74" s="11">
        <v>25278.83</v>
      </c>
    </row>
    <row r="75" spans="1:11" hidden="1" x14ac:dyDescent="0.35">
      <c r="A75" s="10" t="s">
        <v>157</v>
      </c>
      <c r="B75" s="10" t="s">
        <v>158</v>
      </c>
      <c r="C75" s="10" t="s">
        <v>173</v>
      </c>
      <c r="D75" s="10" t="s">
        <v>174</v>
      </c>
      <c r="E75" s="10" t="s">
        <v>175</v>
      </c>
      <c r="F75" s="11">
        <v>100000</v>
      </c>
      <c r="G75" s="11">
        <v>65000</v>
      </c>
      <c r="H75" s="11">
        <v>40685.050000000003</v>
      </c>
      <c r="I75" s="11">
        <v>0</v>
      </c>
      <c r="J75" s="11">
        <v>0</v>
      </c>
      <c r="K75" s="11">
        <v>24314.95</v>
      </c>
    </row>
    <row r="76" spans="1:11" hidden="1" x14ac:dyDescent="0.35">
      <c r="A76" s="10" t="s">
        <v>157</v>
      </c>
      <c r="B76" s="10" t="s">
        <v>158</v>
      </c>
      <c r="C76" s="10" t="s">
        <v>176</v>
      </c>
      <c r="D76" s="10" t="s">
        <v>177</v>
      </c>
      <c r="E76" s="10" t="s">
        <v>178</v>
      </c>
      <c r="F76" s="11">
        <v>25000</v>
      </c>
      <c r="G76" s="11">
        <v>25000</v>
      </c>
      <c r="H76" s="12"/>
      <c r="I76" s="12"/>
      <c r="J76" s="12"/>
      <c r="K76" s="11">
        <v>25000</v>
      </c>
    </row>
    <row r="77" spans="1:11" hidden="1" x14ac:dyDescent="0.35">
      <c r="A77" s="10" t="s">
        <v>179</v>
      </c>
      <c r="B77" s="10" t="s">
        <v>180</v>
      </c>
      <c r="C77" s="10" t="s">
        <v>16</v>
      </c>
      <c r="D77" s="10" t="s">
        <v>17</v>
      </c>
      <c r="E77" s="10" t="s">
        <v>181</v>
      </c>
      <c r="F77" s="11">
        <v>20000</v>
      </c>
      <c r="G77" s="11">
        <v>20000</v>
      </c>
      <c r="H77" s="12"/>
      <c r="I77" s="12"/>
      <c r="J77" s="12"/>
      <c r="K77" s="11">
        <v>20000</v>
      </c>
    </row>
    <row r="78" spans="1:11" hidden="1" x14ac:dyDescent="0.35">
      <c r="A78" s="10" t="s">
        <v>179</v>
      </c>
      <c r="B78" s="10" t="s">
        <v>180</v>
      </c>
      <c r="C78" s="10" t="s">
        <v>31</v>
      </c>
      <c r="D78" s="10" t="s">
        <v>32</v>
      </c>
      <c r="E78" s="10" t="s">
        <v>182</v>
      </c>
      <c r="F78" s="11">
        <v>15000</v>
      </c>
      <c r="G78" s="11">
        <v>15000</v>
      </c>
      <c r="H78" s="11">
        <v>5918</v>
      </c>
      <c r="I78" s="12"/>
      <c r="J78" s="12"/>
      <c r="K78" s="11">
        <v>9082</v>
      </c>
    </row>
    <row r="79" spans="1:11" hidden="1" x14ac:dyDescent="0.35">
      <c r="A79" s="10" t="s">
        <v>179</v>
      </c>
      <c r="B79" s="10" t="s">
        <v>180</v>
      </c>
      <c r="C79" s="10" t="s">
        <v>183</v>
      </c>
      <c r="D79" s="10" t="s">
        <v>184</v>
      </c>
      <c r="E79" s="10" t="s">
        <v>185</v>
      </c>
      <c r="F79" s="11">
        <v>150000</v>
      </c>
      <c r="G79" s="11">
        <v>142000</v>
      </c>
      <c r="H79" s="11">
        <v>141230.35</v>
      </c>
      <c r="I79" s="12"/>
      <c r="J79" s="12"/>
      <c r="K79" s="11">
        <v>769.64999999999395</v>
      </c>
    </row>
    <row r="80" spans="1:11" hidden="1" x14ac:dyDescent="0.35">
      <c r="A80" s="10" t="s">
        <v>179</v>
      </c>
      <c r="B80" s="10" t="s">
        <v>180</v>
      </c>
      <c r="C80" s="10" t="s">
        <v>72</v>
      </c>
      <c r="D80" s="10" t="s">
        <v>73</v>
      </c>
      <c r="E80" s="10" t="s">
        <v>186</v>
      </c>
      <c r="F80" s="11">
        <v>350000</v>
      </c>
      <c r="G80" s="11">
        <v>350000</v>
      </c>
      <c r="H80" s="11">
        <v>346087.16</v>
      </c>
      <c r="I80" s="12"/>
      <c r="J80" s="12"/>
      <c r="K80" s="11">
        <v>3912.8400000000302</v>
      </c>
    </row>
    <row r="81" spans="1:11" hidden="1" x14ac:dyDescent="0.35">
      <c r="A81" s="10" t="s">
        <v>179</v>
      </c>
      <c r="B81" s="10" t="s">
        <v>180</v>
      </c>
      <c r="C81" s="10" t="s">
        <v>97</v>
      </c>
      <c r="D81" s="10" t="s">
        <v>98</v>
      </c>
      <c r="E81" s="10" t="s">
        <v>187</v>
      </c>
      <c r="F81" s="11">
        <v>210000</v>
      </c>
      <c r="G81" s="11">
        <v>70188</v>
      </c>
      <c r="H81" s="11">
        <v>69894.84</v>
      </c>
      <c r="I81" s="12"/>
      <c r="J81" s="12"/>
      <c r="K81" s="11">
        <v>293.16000000000298</v>
      </c>
    </row>
    <row r="82" spans="1:11" hidden="1" x14ac:dyDescent="0.35">
      <c r="A82" s="10" t="s">
        <v>179</v>
      </c>
      <c r="B82" s="10" t="s">
        <v>180</v>
      </c>
      <c r="C82" s="10" t="s">
        <v>37</v>
      </c>
      <c r="D82" s="10" t="s">
        <v>38</v>
      </c>
      <c r="E82" s="10" t="s">
        <v>188</v>
      </c>
      <c r="F82" s="11">
        <v>8500</v>
      </c>
      <c r="G82" s="11">
        <v>8500</v>
      </c>
      <c r="H82" s="11">
        <v>4600</v>
      </c>
      <c r="I82" s="12"/>
      <c r="J82" s="12"/>
      <c r="K82" s="11">
        <v>3900</v>
      </c>
    </row>
    <row r="83" spans="1:11" hidden="1" x14ac:dyDescent="0.35">
      <c r="A83" s="10" t="s">
        <v>179</v>
      </c>
      <c r="B83" s="10" t="s">
        <v>180</v>
      </c>
      <c r="C83" s="10" t="s">
        <v>40</v>
      </c>
      <c r="D83" s="10" t="s">
        <v>41</v>
      </c>
      <c r="E83" s="10" t="s">
        <v>189</v>
      </c>
      <c r="F83" s="11">
        <v>9114</v>
      </c>
      <c r="G83" s="11">
        <v>9114</v>
      </c>
      <c r="H83" s="11">
        <v>8895.2800000000007</v>
      </c>
      <c r="I83" s="12"/>
      <c r="J83" s="12"/>
      <c r="K83" s="11">
        <v>218.719999999999</v>
      </c>
    </row>
    <row r="84" spans="1:11" hidden="1" x14ac:dyDescent="0.35">
      <c r="A84" s="10" t="s">
        <v>179</v>
      </c>
      <c r="B84" s="10" t="s">
        <v>180</v>
      </c>
      <c r="C84" s="10" t="s">
        <v>43</v>
      </c>
      <c r="D84" s="10" t="s">
        <v>44</v>
      </c>
      <c r="E84" s="10" t="s">
        <v>190</v>
      </c>
      <c r="F84" s="11">
        <v>40000</v>
      </c>
      <c r="G84" s="11">
        <v>14536</v>
      </c>
      <c r="H84" s="11">
        <v>7951</v>
      </c>
      <c r="I84" s="12"/>
      <c r="J84" s="12"/>
      <c r="K84" s="11">
        <v>6585</v>
      </c>
    </row>
    <row r="85" spans="1:11" x14ac:dyDescent="0.35">
      <c r="A85" s="10" t="s">
        <v>179</v>
      </c>
      <c r="B85" s="10" t="s">
        <v>180</v>
      </c>
      <c r="C85" s="10" t="s">
        <v>169</v>
      </c>
      <c r="D85" s="10" t="s">
        <v>170</v>
      </c>
      <c r="E85" s="10" t="s">
        <v>191</v>
      </c>
      <c r="F85" s="11">
        <v>80000</v>
      </c>
      <c r="G85" s="11">
        <v>5000</v>
      </c>
      <c r="H85" s="12"/>
      <c r="I85" s="12"/>
      <c r="J85" s="12"/>
      <c r="K85" s="11">
        <v>5000</v>
      </c>
    </row>
    <row r="86" spans="1:11" hidden="1" x14ac:dyDescent="0.35">
      <c r="A86" s="10" t="s">
        <v>179</v>
      </c>
      <c r="B86" s="10" t="s">
        <v>180</v>
      </c>
      <c r="C86" s="10" t="s">
        <v>192</v>
      </c>
      <c r="D86" s="10" t="s">
        <v>193</v>
      </c>
      <c r="E86" s="10" t="s">
        <v>194</v>
      </c>
      <c r="F86" s="11">
        <v>0</v>
      </c>
      <c r="G86" s="11">
        <v>60000</v>
      </c>
      <c r="H86" s="11">
        <v>53660.77</v>
      </c>
      <c r="I86" s="11">
        <v>0</v>
      </c>
      <c r="J86" s="11">
        <v>0</v>
      </c>
      <c r="K86" s="11">
        <v>6339.23</v>
      </c>
    </row>
    <row r="87" spans="1:11" hidden="1" x14ac:dyDescent="0.35">
      <c r="A87" s="10" t="s">
        <v>179</v>
      </c>
      <c r="B87" s="10" t="s">
        <v>180</v>
      </c>
      <c r="C87" s="10" t="s">
        <v>103</v>
      </c>
      <c r="D87" s="10" t="s">
        <v>104</v>
      </c>
      <c r="E87" s="10" t="s">
        <v>195</v>
      </c>
      <c r="F87" s="11">
        <v>182000</v>
      </c>
      <c r="G87" s="11">
        <v>99482</v>
      </c>
      <c r="H87" s="11">
        <v>88017.37</v>
      </c>
      <c r="I87" s="11">
        <v>0</v>
      </c>
      <c r="J87" s="12"/>
      <c r="K87" s="11">
        <v>11464.63</v>
      </c>
    </row>
    <row r="88" spans="1:11" hidden="1" x14ac:dyDescent="0.35">
      <c r="A88" s="10" t="s">
        <v>179</v>
      </c>
      <c r="B88" s="10" t="s">
        <v>180</v>
      </c>
      <c r="C88" s="10" t="s">
        <v>173</v>
      </c>
      <c r="D88" s="10" t="s">
        <v>174</v>
      </c>
      <c r="E88" s="10" t="s">
        <v>196</v>
      </c>
      <c r="F88" s="11">
        <v>80000</v>
      </c>
      <c r="G88" s="11">
        <v>155000</v>
      </c>
      <c r="H88" s="11">
        <v>151685.32999999999</v>
      </c>
      <c r="I88" s="11">
        <v>0</v>
      </c>
      <c r="J88" s="11">
        <v>0</v>
      </c>
      <c r="K88" s="11">
        <v>3314.6700000000101</v>
      </c>
    </row>
    <row r="89" spans="1:11" hidden="1" x14ac:dyDescent="0.35">
      <c r="A89" s="10" t="s">
        <v>179</v>
      </c>
      <c r="B89" s="10" t="s">
        <v>180</v>
      </c>
      <c r="C89" s="10" t="s">
        <v>154</v>
      </c>
      <c r="D89" s="10" t="s">
        <v>155</v>
      </c>
      <c r="E89" s="10" t="s">
        <v>197</v>
      </c>
      <c r="F89" s="11">
        <v>4000</v>
      </c>
      <c r="G89" s="11">
        <v>4000</v>
      </c>
      <c r="H89" s="12"/>
      <c r="I89" s="12"/>
      <c r="J89" s="12"/>
      <c r="K89" s="11">
        <v>4000</v>
      </c>
    </row>
    <row r="90" spans="1:11" hidden="1" x14ac:dyDescent="0.35">
      <c r="A90" s="10" t="s">
        <v>179</v>
      </c>
      <c r="B90" s="10" t="s">
        <v>180</v>
      </c>
      <c r="C90" s="10" t="s">
        <v>176</v>
      </c>
      <c r="D90" s="10" t="s">
        <v>177</v>
      </c>
      <c r="E90" s="10" t="s">
        <v>198</v>
      </c>
      <c r="F90" s="11">
        <v>5000</v>
      </c>
      <c r="G90" s="11">
        <v>5000</v>
      </c>
      <c r="H90" s="12"/>
      <c r="I90" s="12"/>
      <c r="J90" s="12"/>
      <c r="K90" s="11">
        <v>5000</v>
      </c>
    </row>
    <row r="91" spans="1:11" hidden="1" x14ac:dyDescent="0.35">
      <c r="A91" s="10" t="s">
        <v>199</v>
      </c>
      <c r="B91" s="10" t="s">
        <v>200</v>
      </c>
      <c r="C91" s="10" t="s">
        <v>16</v>
      </c>
      <c r="D91" s="10" t="s">
        <v>17</v>
      </c>
      <c r="E91" s="10" t="s">
        <v>201</v>
      </c>
      <c r="F91" s="11">
        <v>1000</v>
      </c>
      <c r="G91" s="11">
        <v>31025</v>
      </c>
      <c r="H91" s="11">
        <v>30455</v>
      </c>
      <c r="I91" s="12"/>
      <c r="J91" s="12"/>
      <c r="K91" s="11">
        <v>570</v>
      </c>
    </row>
    <row r="92" spans="1:11" hidden="1" x14ac:dyDescent="0.35">
      <c r="A92" s="10" t="s">
        <v>199</v>
      </c>
      <c r="B92" s="10" t="s">
        <v>200</v>
      </c>
      <c r="C92" s="10" t="s">
        <v>31</v>
      </c>
      <c r="D92" s="10" t="s">
        <v>32</v>
      </c>
      <c r="E92" s="10" t="s">
        <v>202</v>
      </c>
      <c r="F92" s="11">
        <v>4000</v>
      </c>
      <c r="G92" s="11">
        <v>5139</v>
      </c>
      <c r="H92" s="11">
        <v>367.5</v>
      </c>
      <c r="I92" s="12"/>
      <c r="J92" s="12"/>
      <c r="K92" s="11">
        <v>4771.5</v>
      </c>
    </row>
    <row r="93" spans="1:11" hidden="1" x14ac:dyDescent="0.35">
      <c r="A93" s="10" t="s">
        <v>199</v>
      </c>
      <c r="B93" s="10" t="s">
        <v>200</v>
      </c>
      <c r="C93" s="10" t="s">
        <v>183</v>
      </c>
      <c r="D93" s="10" t="s">
        <v>184</v>
      </c>
      <c r="E93" s="10" t="s">
        <v>203</v>
      </c>
      <c r="F93" s="11">
        <v>20000</v>
      </c>
      <c r="G93" s="11">
        <v>6455</v>
      </c>
      <c r="H93" s="11">
        <v>6454.01</v>
      </c>
      <c r="I93" s="12"/>
      <c r="J93" s="12"/>
      <c r="K93" s="11">
        <v>150.99</v>
      </c>
    </row>
    <row r="94" spans="1:11" hidden="1" x14ac:dyDescent="0.35">
      <c r="A94" s="10" t="s">
        <v>199</v>
      </c>
      <c r="B94" s="10" t="s">
        <v>200</v>
      </c>
      <c r="C94" s="10" t="s">
        <v>72</v>
      </c>
      <c r="D94" s="10" t="s">
        <v>73</v>
      </c>
      <c r="E94" s="10" t="s">
        <v>204</v>
      </c>
      <c r="F94" s="11">
        <v>180000</v>
      </c>
      <c r="G94" s="11">
        <v>119800</v>
      </c>
      <c r="H94" s="11">
        <v>119798.77</v>
      </c>
      <c r="I94" s="12"/>
      <c r="J94" s="12"/>
      <c r="K94" s="11">
        <v>1.2299999999959299</v>
      </c>
    </row>
    <row r="95" spans="1:11" hidden="1" x14ac:dyDescent="0.35">
      <c r="A95" s="10" t="s">
        <v>199</v>
      </c>
      <c r="B95" s="10" t="s">
        <v>200</v>
      </c>
      <c r="C95" s="10" t="s">
        <v>97</v>
      </c>
      <c r="D95" s="10" t="s">
        <v>98</v>
      </c>
      <c r="E95" s="10" t="s">
        <v>205</v>
      </c>
      <c r="F95" s="11">
        <v>180000</v>
      </c>
      <c r="G95" s="11">
        <v>97193</v>
      </c>
      <c r="H95" s="11">
        <v>80688.58</v>
      </c>
      <c r="I95" s="12"/>
      <c r="J95" s="12"/>
      <c r="K95" s="11">
        <v>16504.419999999998</v>
      </c>
    </row>
    <row r="96" spans="1:11" hidden="1" x14ac:dyDescent="0.35">
      <c r="A96" s="10" t="s">
        <v>199</v>
      </c>
      <c r="B96" s="10" t="s">
        <v>200</v>
      </c>
      <c r="C96" s="10" t="s">
        <v>37</v>
      </c>
      <c r="D96" s="10" t="s">
        <v>38</v>
      </c>
      <c r="E96" s="10" t="s">
        <v>206</v>
      </c>
      <c r="F96" s="11">
        <v>10000</v>
      </c>
      <c r="G96" s="11">
        <v>17000</v>
      </c>
      <c r="H96" s="11">
        <v>13875.5</v>
      </c>
      <c r="I96" s="12"/>
      <c r="J96" s="12"/>
      <c r="K96" s="11">
        <v>3124.5</v>
      </c>
    </row>
    <row r="97" spans="1:11" hidden="1" x14ac:dyDescent="0.35">
      <c r="A97" s="10" t="s">
        <v>199</v>
      </c>
      <c r="B97" s="10" t="s">
        <v>200</v>
      </c>
      <c r="C97" s="10" t="s">
        <v>40</v>
      </c>
      <c r="D97" s="10" t="s">
        <v>41</v>
      </c>
      <c r="E97" s="10" t="s">
        <v>207</v>
      </c>
      <c r="F97" s="11">
        <v>99576</v>
      </c>
      <c r="G97" s="11">
        <v>7412</v>
      </c>
      <c r="H97" s="11">
        <v>7411.92</v>
      </c>
      <c r="I97" s="11">
        <v>0</v>
      </c>
      <c r="J97" s="11">
        <v>0</v>
      </c>
      <c r="K97" s="11">
        <v>7.9999999999927199E-2</v>
      </c>
    </row>
    <row r="98" spans="1:11" hidden="1" x14ac:dyDescent="0.35">
      <c r="A98" s="10" t="s">
        <v>199</v>
      </c>
      <c r="B98" s="10" t="s">
        <v>200</v>
      </c>
      <c r="C98" s="10" t="s">
        <v>43</v>
      </c>
      <c r="D98" s="10" t="s">
        <v>44</v>
      </c>
      <c r="E98" s="10" t="s">
        <v>208</v>
      </c>
      <c r="F98" s="11">
        <v>10000</v>
      </c>
      <c r="G98" s="11">
        <v>2725</v>
      </c>
      <c r="H98" s="12"/>
      <c r="I98" s="12"/>
      <c r="J98" s="12"/>
      <c r="K98" s="11">
        <v>2725</v>
      </c>
    </row>
    <row r="99" spans="1:11" x14ac:dyDescent="0.35">
      <c r="A99" s="10" t="s">
        <v>199</v>
      </c>
      <c r="B99" s="10" t="s">
        <v>200</v>
      </c>
      <c r="C99" s="10" t="s">
        <v>169</v>
      </c>
      <c r="D99" s="10" t="s">
        <v>170</v>
      </c>
      <c r="E99" s="10" t="s">
        <v>209</v>
      </c>
      <c r="F99" s="11">
        <v>90250</v>
      </c>
      <c r="G99" s="11">
        <v>90250</v>
      </c>
      <c r="H99" s="11">
        <v>61876.12</v>
      </c>
      <c r="I99" s="11">
        <v>0</v>
      </c>
      <c r="J99" s="11">
        <v>26517.8</v>
      </c>
      <c r="K99" s="11">
        <v>1856.08</v>
      </c>
    </row>
    <row r="100" spans="1:11" hidden="1" x14ac:dyDescent="0.35">
      <c r="A100" s="10" t="s">
        <v>199</v>
      </c>
      <c r="B100" s="10" t="s">
        <v>200</v>
      </c>
      <c r="C100" s="10" t="s">
        <v>103</v>
      </c>
      <c r="D100" s="10" t="s">
        <v>104</v>
      </c>
      <c r="E100" s="10" t="s">
        <v>210</v>
      </c>
      <c r="F100" s="11">
        <v>38400</v>
      </c>
      <c r="G100" s="11">
        <v>38192</v>
      </c>
      <c r="H100" s="11">
        <v>32030.63</v>
      </c>
      <c r="I100" s="12"/>
      <c r="J100" s="12"/>
      <c r="K100" s="11">
        <v>6161.37</v>
      </c>
    </row>
    <row r="101" spans="1:11" hidden="1" x14ac:dyDescent="0.35">
      <c r="A101" s="10" t="s">
        <v>199</v>
      </c>
      <c r="B101" s="10" t="s">
        <v>200</v>
      </c>
      <c r="C101" s="10" t="s">
        <v>173</v>
      </c>
      <c r="D101" s="10" t="s">
        <v>174</v>
      </c>
      <c r="E101" s="10" t="s">
        <v>211</v>
      </c>
      <c r="F101" s="11">
        <v>150000</v>
      </c>
      <c r="G101" s="11">
        <v>195655</v>
      </c>
      <c r="H101" s="11">
        <v>194459.45</v>
      </c>
      <c r="I101" s="11">
        <v>0</v>
      </c>
      <c r="J101" s="11">
        <v>1191.78</v>
      </c>
      <c r="K101" s="11">
        <v>3.76999999998952</v>
      </c>
    </row>
    <row r="102" spans="1:11" hidden="1" x14ac:dyDescent="0.35">
      <c r="A102" s="10" t="s">
        <v>199</v>
      </c>
      <c r="B102" s="10" t="s">
        <v>200</v>
      </c>
      <c r="C102" s="10" t="s">
        <v>154</v>
      </c>
      <c r="D102" s="10" t="s">
        <v>155</v>
      </c>
      <c r="E102" s="10" t="s">
        <v>212</v>
      </c>
      <c r="F102" s="11">
        <v>2000</v>
      </c>
      <c r="G102" s="11">
        <v>2000</v>
      </c>
      <c r="H102" s="12"/>
      <c r="I102" s="12"/>
      <c r="J102" s="12"/>
      <c r="K102" s="11">
        <v>2000</v>
      </c>
    </row>
    <row r="103" spans="1:11" hidden="1" x14ac:dyDescent="0.35">
      <c r="A103" s="10" t="s">
        <v>199</v>
      </c>
      <c r="B103" s="10" t="s">
        <v>200</v>
      </c>
      <c r="C103" s="10" t="s">
        <v>176</v>
      </c>
      <c r="D103" s="10" t="s">
        <v>177</v>
      </c>
      <c r="E103" s="10" t="s">
        <v>213</v>
      </c>
      <c r="F103" s="11">
        <v>3000</v>
      </c>
      <c r="G103" s="11">
        <v>3000</v>
      </c>
      <c r="H103" s="12"/>
      <c r="I103" s="12"/>
      <c r="J103" s="12"/>
      <c r="K103" s="11">
        <v>3000</v>
      </c>
    </row>
    <row r="104" spans="1:11" hidden="1" x14ac:dyDescent="0.35">
      <c r="A104" s="10" t="s">
        <v>214</v>
      </c>
      <c r="B104" s="10" t="s">
        <v>215</v>
      </c>
      <c r="C104" s="10" t="s">
        <v>16</v>
      </c>
      <c r="D104" s="10" t="s">
        <v>17</v>
      </c>
      <c r="E104" s="10" t="s">
        <v>216</v>
      </c>
      <c r="F104" s="11">
        <v>20000</v>
      </c>
      <c r="G104" s="11">
        <v>20000</v>
      </c>
      <c r="H104" s="11">
        <v>2362.5</v>
      </c>
      <c r="I104" s="12"/>
      <c r="J104" s="12"/>
      <c r="K104" s="11">
        <v>17637.5</v>
      </c>
    </row>
    <row r="105" spans="1:11" hidden="1" x14ac:dyDescent="0.35">
      <c r="A105" s="10" t="s">
        <v>214</v>
      </c>
      <c r="B105" s="10" t="s">
        <v>215</v>
      </c>
      <c r="C105" s="10" t="s">
        <v>31</v>
      </c>
      <c r="D105" s="10" t="s">
        <v>32</v>
      </c>
      <c r="E105" s="10" t="s">
        <v>217</v>
      </c>
      <c r="F105" s="11">
        <v>30000</v>
      </c>
      <c r="G105" s="11">
        <v>30232</v>
      </c>
      <c r="H105" s="11">
        <v>30230.33</v>
      </c>
      <c r="I105" s="12"/>
      <c r="J105" s="12"/>
      <c r="K105" s="11">
        <v>1.67000000000189</v>
      </c>
    </row>
    <row r="106" spans="1:11" hidden="1" x14ac:dyDescent="0.35">
      <c r="A106" s="10" t="s">
        <v>214</v>
      </c>
      <c r="B106" s="10" t="s">
        <v>215</v>
      </c>
      <c r="C106" s="10" t="s">
        <v>183</v>
      </c>
      <c r="D106" s="10" t="s">
        <v>184</v>
      </c>
      <c r="E106" s="10" t="s">
        <v>218</v>
      </c>
      <c r="F106" s="11">
        <v>25000</v>
      </c>
      <c r="G106" s="11">
        <v>2</v>
      </c>
      <c r="H106" s="12"/>
      <c r="I106" s="12"/>
      <c r="J106" s="12"/>
      <c r="K106" s="11">
        <v>2</v>
      </c>
    </row>
    <row r="107" spans="1:11" hidden="1" x14ac:dyDescent="0.35">
      <c r="A107" s="10" t="s">
        <v>214</v>
      </c>
      <c r="B107" s="10" t="s">
        <v>215</v>
      </c>
      <c r="C107" s="10" t="s">
        <v>72</v>
      </c>
      <c r="D107" s="10" t="s">
        <v>73</v>
      </c>
      <c r="E107" s="10" t="s">
        <v>219</v>
      </c>
      <c r="F107" s="11">
        <v>100000</v>
      </c>
      <c r="G107" s="11">
        <v>63666</v>
      </c>
      <c r="H107" s="11">
        <v>63663.57</v>
      </c>
      <c r="I107" s="11">
        <v>0</v>
      </c>
      <c r="J107" s="11">
        <v>0</v>
      </c>
      <c r="K107" s="11">
        <v>2.42999999999302</v>
      </c>
    </row>
    <row r="108" spans="1:11" hidden="1" x14ac:dyDescent="0.35">
      <c r="A108" s="10" t="s">
        <v>214</v>
      </c>
      <c r="B108" s="10" t="s">
        <v>215</v>
      </c>
      <c r="C108" s="10" t="s">
        <v>97</v>
      </c>
      <c r="D108" s="10" t="s">
        <v>98</v>
      </c>
      <c r="E108" s="10" t="s">
        <v>220</v>
      </c>
      <c r="F108" s="11">
        <v>450000</v>
      </c>
      <c r="G108" s="11">
        <v>179134</v>
      </c>
      <c r="H108" s="11">
        <v>179133.07</v>
      </c>
      <c r="I108" s="12"/>
      <c r="J108" s="12"/>
      <c r="K108" s="11">
        <v>0.92999999999301497</v>
      </c>
    </row>
    <row r="109" spans="1:11" hidden="1" x14ac:dyDescent="0.35">
      <c r="A109" s="10" t="s">
        <v>214</v>
      </c>
      <c r="B109" s="10" t="s">
        <v>215</v>
      </c>
      <c r="C109" s="10" t="s">
        <v>37</v>
      </c>
      <c r="D109" s="10" t="s">
        <v>38</v>
      </c>
      <c r="E109" s="10" t="s">
        <v>221</v>
      </c>
      <c r="F109" s="11">
        <v>20000</v>
      </c>
      <c r="G109" s="11">
        <v>4752</v>
      </c>
      <c r="H109" s="11">
        <v>4750</v>
      </c>
      <c r="I109" s="12"/>
      <c r="J109" s="12"/>
      <c r="K109" s="11">
        <v>2</v>
      </c>
    </row>
    <row r="110" spans="1:11" hidden="1" x14ac:dyDescent="0.35">
      <c r="A110" s="10" t="s">
        <v>214</v>
      </c>
      <c r="B110" s="10" t="s">
        <v>215</v>
      </c>
      <c r="C110" s="10" t="s">
        <v>40</v>
      </c>
      <c r="D110" s="10" t="s">
        <v>41</v>
      </c>
      <c r="E110" s="10" t="s">
        <v>222</v>
      </c>
      <c r="F110" s="11">
        <v>75000</v>
      </c>
      <c r="G110" s="11">
        <v>60386</v>
      </c>
      <c r="H110" s="11">
        <v>60384.12</v>
      </c>
      <c r="I110" s="11">
        <v>0</v>
      </c>
      <c r="J110" s="11">
        <v>0</v>
      </c>
      <c r="K110" s="11">
        <v>1.87999999999738</v>
      </c>
    </row>
    <row r="111" spans="1:11" hidden="1" x14ac:dyDescent="0.35">
      <c r="A111" s="10" t="s">
        <v>214</v>
      </c>
      <c r="B111" s="10" t="s">
        <v>215</v>
      </c>
      <c r="C111" s="10" t="s">
        <v>43</v>
      </c>
      <c r="D111" s="10" t="s">
        <v>44</v>
      </c>
      <c r="E111" s="10" t="s">
        <v>223</v>
      </c>
      <c r="F111" s="11">
        <v>35000</v>
      </c>
      <c r="G111" s="11">
        <v>10401</v>
      </c>
      <c r="H111" s="11">
        <v>10400</v>
      </c>
      <c r="I111" s="12"/>
      <c r="J111" s="12"/>
      <c r="K111" s="11">
        <v>1</v>
      </c>
    </row>
    <row r="112" spans="1:11" hidden="1" x14ac:dyDescent="0.35">
      <c r="A112" s="10" t="s">
        <v>214</v>
      </c>
      <c r="B112" s="10" t="s">
        <v>215</v>
      </c>
      <c r="C112" s="10" t="s">
        <v>103</v>
      </c>
      <c r="D112" s="10" t="s">
        <v>104</v>
      </c>
      <c r="E112" s="10" t="s">
        <v>224</v>
      </c>
      <c r="F112" s="11">
        <v>50000</v>
      </c>
      <c r="G112" s="11">
        <v>29251</v>
      </c>
      <c r="H112" s="11">
        <v>22245.54</v>
      </c>
      <c r="I112" s="12"/>
      <c r="J112" s="12"/>
      <c r="K112" s="11">
        <v>7005.46</v>
      </c>
    </row>
    <row r="113" spans="1:11" hidden="1" x14ac:dyDescent="0.35">
      <c r="A113" s="10" t="s">
        <v>214</v>
      </c>
      <c r="B113" s="10" t="s">
        <v>215</v>
      </c>
      <c r="C113" s="10" t="s">
        <v>173</v>
      </c>
      <c r="D113" s="10" t="s">
        <v>174</v>
      </c>
      <c r="E113" s="10" t="s">
        <v>225</v>
      </c>
      <c r="F113" s="11">
        <v>200000</v>
      </c>
      <c r="G113" s="11">
        <v>212131</v>
      </c>
      <c r="H113" s="11">
        <v>194915</v>
      </c>
      <c r="I113" s="11">
        <v>0</v>
      </c>
      <c r="J113" s="11">
        <v>1613.70000000001</v>
      </c>
      <c r="K113" s="11">
        <v>15602.3</v>
      </c>
    </row>
    <row r="114" spans="1:11" hidden="1" x14ac:dyDescent="0.35">
      <c r="A114" s="10" t="s">
        <v>214</v>
      </c>
      <c r="B114" s="10" t="s">
        <v>215</v>
      </c>
      <c r="C114" s="10" t="s">
        <v>154</v>
      </c>
      <c r="D114" s="10" t="s">
        <v>155</v>
      </c>
      <c r="E114" s="10" t="s">
        <v>226</v>
      </c>
      <c r="F114" s="11">
        <v>35000</v>
      </c>
      <c r="G114" s="11">
        <v>35000</v>
      </c>
      <c r="H114" s="11">
        <v>20011.63</v>
      </c>
      <c r="I114" s="12"/>
      <c r="J114" s="12"/>
      <c r="K114" s="11">
        <v>14988.37</v>
      </c>
    </row>
    <row r="115" spans="1:11" hidden="1" x14ac:dyDescent="0.35">
      <c r="A115" s="10" t="s">
        <v>214</v>
      </c>
      <c r="B115" s="10" t="s">
        <v>215</v>
      </c>
      <c r="C115" s="10" t="s">
        <v>176</v>
      </c>
      <c r="D115" s="10" t="s">
        <v>177</v>
      </c>
      <c r="E115" s="10" t="s">
        <v>227</v>
      </c>
      <c r="F115" s="11">
        <v>45000</v>
      </c>
      <c r="G115" s="11">
        <v>38400</v>
      </c>
      <c r="H115" s="11">
        <v>12485</v>
      </c>
      <c r="I115" s="12"/>
      <c r="J115" s="12"/>
      <c r="K115" s="11">
        <v>25915</v>
      </c>
    </row>
    <row r="116" spans="1:11" hidden="1" x14ac:dyDescent="0.35">
      <c r="A116" s="10" t="s">
        <v>228</v>
      </c>
      <c r="B116" s="10" t="s">
        <v>229</v>
      </c>
      <c r="C116" s="10" t="s">
        <v>16</v>
      </c>
      <c r="D116" s="10" t="s">
        <v>17</v>
      </c>
      <c r="E116" s="10" t="s">
        <v>230</v>
      </c>
      <c r="F116" s="11">
        <v>4000</v>
      </c>
      <c r="G116" s="11">
        <v>4000</v>
      </c>
      <c r="H116" s="12"/>
      <c r="I116" s="12"/>
      <c r="J116" s="12"/>
      <c r="K116" s="11">
        <v>4000</v>
      </c>
    </row>
    <row r="117" spans="1:11" hidden="1" x14ac:dyDescent="0.35">
      <c r="A117" s="10" t="s">
        <v>228</v>
      </c>
      <c r="B117" s="10" t="s">
        <v>229</v>
      </c>
      <c r="C117" s="10" t="s">
        <v>31</v>
      </c>
      <c r="D117" s="10" t="s">
        <v>32</v>
      </c>
      <c r="E117" s="10" t="s">
        <v>231</v>
      </c>
      <c r="F117" s="11">
        <v>6600</v>
      </c>
      <c r="G117" s="11">
        <v>6600</v>
      </c>
      <c r="H117" s="11">
        <v>6300</v>
      </c>
      <c r="I117" s="12"/>
      <c r="J117" s="12"/>
      <c r="K117" s="11">
        <v>299.99999999999898</v>
      </c>
    </row>
    <row r="118" spans="1:11" hidden="1" x14ac:dyDescent="0.35">
      <c r="A118" s="10" t="s">
        <v>228</v>
      </c>
      <c r="B118" s="10" t="s">
        <v>229</v>
      </c>
      <c r="C118" s="10" t="s">
        <v>183</v>
      </c>
      <c r="D118" s="10" t="s">
        <v>184</v>
      </c>
      <c r="E118" s="10" t="s">
        <v>232</v>
      </c>
      <c r="F118" s="11">
        <v>5000</v>
      </c>
      <c r="G118" s="11">
        <v>5000</v>
      </c>
      <c r="H118" s="11">
        <v>990.47</v>
      </c>
      <c r="I118" s="12"/>
      <c r="J118" s="12"/>
      <c r="K118" s="11">
        <v>4009.53</v>
      </c>
    </row>
    <row r="119" spans="1:11" hidden="1" x14ac:dyDescent="0.35">
      <c r="A119" s="10" t="s">
        <v>228</v>
      </c>
      <c r="B119" s="10" t="s">
        <v>229</v>
      </c>
      <c r="C119" s="10" t="s">
        <v>72</v>
      </c>
      <c r="D119" s="10" t="s">
        <v>73</v>
      </c>
      <c r="E119" s="10" t="s">
        <v>233</v>
      </c>
      <c r="F119" s="11">
        <v>370000</v>
      </c>
      <c r="G119" s="11">
        <v>272459</v>
      </c>
      <c r="H119" s="11">
        <v>253397.66</v>
      </c>
      <c r="I119" s="12"/>
      <c r="J119" s="12"/>
      <c r="K119" s="11">
        <v>19061.34</v>
      </c>
    </row>
    <row r="120" spans="1:11" hidden="1" x14ac:dyDescent="0.35">
      <c r="A120" s="10" t="s">
        <v>228</v>
      </c>
      <c r="B120" s="10" t="s">
        <v>229</v>
      </c>
      <c r="C120" s="10" t="s">
        <v>97</v>
      </c>
      <c r="D120" s="10" t="s">
        <v>98</v>
      </c>
      <c r="E120" s="10" t="s">
        <v>234</v>
      </c>
      <c r="F120" s="11">
        <v>165000</v>
      </c>
      <c r="G120" s="11">
        <v>112556</v>
      </c>
      <c r="H120" s="11">
        <v>106816.03</v>
      </c>
      <c r="I120" s="12"/>
      <c r="J120" s="12"/>
      <c r="K120" s="11">
        <v>5739.97</v>
      </c>
    </row>
    <row r="121" spans="1:11" hidden="1" x14ac:dyDescent="0.35">
      <c r="A121" s="10" t="s">
        <v>228</v>
      </c>
      <c r="B121" s="10" t="s">
        <v>229</v>
      </c>
      <c r="C121" s="10" t="s">
        <v>40</v>
      </c>
      <c r="D121" s="10" t="s">
        <v>41</v>
      </c>
      <c r="E121" s="10" t="s">
        <v>235</v>
      </c>
      <c r="F121" s="11">
        <v>34910</v>
      </c>
      <c r="G121" s="11">
        <v>39910</v>
      </c>
      <c r="H121" s="11">
        <v>24682.400000000001</v>
      </c>
      <c r="I121" s="11">
        <v>0</v>
      </c>
      <c r="J121" s="11">
        <v>0</v>
      </c>
      <c r="K121" s="11">
        <v>15227.6</v>
      </c>
    </row>
    <row r="122" spans="1:11" hidden="1" x14ac:dyDescent="0.35">
      <c r="A122" s="10" t="s">
        <v>228</v>
      </c>
      <c r="B122" s="10" t="s">
        <v>229</v>
      </c>
      <c r="C122" s="10" t="s">
        <v>43</v>
      </c>
      <c r="D122" s="10" t="s">
        <v>44</v>
      </c>
      <c r="E122" s="10" t="s">
        <v>236</v>
      </c>
      <c r="F122" s="11">
        <v>30000</v>
      </c>
      <c r="G122" s="11">
        <v>0</v>
      </c>
      <c r="H122" s="12"/>
      <c r="I122" s="12"/>
      <c r="J122" s="12"/>
      <c r="K122" s="11">
        <v>0</v>
      </c>
    </row>
    <row r="123" spans="1:11" x14ac:dyDescent="0.35">
      <c r="A123" s="10" t="s">
        <v>228</v>
      </c>
      <c r="B123" s="10" t="s">
        <v>229</v>
      </c>
      <c r="C123" s="10" t="s">
        <v>169</v>
      </c>
      <c r="D123" s="10" t="s">
        <v>170</v>
      </c>
      <c r="E123" s="10" t="s">
        <v>237</v>
      </c>
      <c r="F123" s="11">
        <v>171550</v>
      </c>
      <c r="G123" s="11">
        <v>201550</v>
      </c>
      <c r="H123" s="11">
        <v>168732</v>
      </c>
      <c r="I123" s="11">
        <v>0</v>
      </c>
      <c r="J123" s="11">
        <v>8450</v>
      </c>
      <c r="K123" s="11">
        <v>24368</v>
      </c>
    </row>
    <row r="124" spans="1:11" hidden="1" x14ac:dyDescent="0.35">
      <c r="A124" s="10" t="s">
        <v>228</v>
      </c>
      <c r="B124" s="10" t="s">
        <v>229</v>
      </c>
      <c r="C124" s="10" t="s">
        <v>103</v>
      </c>
      <c r="D124" s="10" t="s">
        <v>104</v>
      </c>
      <c r="E124" s="10" t="s">
        <v>238</v>
      </c>
      <c r="F124" s="11">
        <v>80000</v>
      </c>
      <c r="G124" s="11">
        <v>43337</v>
      </c>
      <c r="H124" s="11">
        <v>15857</v>
      </c>
      <c r="I124" s="12"/>
      <c r="J124" s="12"/>
      <c r="K124" s="11">
        <v>27480</v>
      </c>
    </row>
    <row r="125" spans="1:11" hidden="1" x14ac:dyDescent="0.35">
      <c r="A125" s="10" t="s">
        <v>228</v>
      </c>
      <c r="B125" s="10" t="s">
        <v>229</v>
      </c>
      <c r="C125" s="10" t="s">
        <v>173</v>
      </c>
      <c r="D125" s="10" t="s">
        <v>174</v>
      </c>
      <c r="E125" s="10" t="s">
        <v>239</v>
      </c>
      <c r="F125" s="11">
        <v>92573</v>
      </c>
      <c r="G125" s="11">
        <v>92573</v>
      </c>
      <c r="H125" s="11">
        <v>57978.7</v>
      </c>
      <c r="I125" s="11">
        <v>0</v>
      </c>
      <c r="J125" s="11">
        <v>32830</v>
      </c>
      <c r="K125" s="11">
        <v>1764.3</v>
      </c>
    </row>
    <row r="126" spans="1:11" hidden="1" x14ac:dyDescent="0.35">
      <c r="A126" s="10" t="s">
        <v>240</v>
      </c>
      <c r="B126" s="10" t="s">
        <v>241</v>
      </c>
      <c r="C126" s="10" t="s">
        <v>16</v>
      </c>
      <c r="D126" s="10" t="s">
        <v>17</v>
      </c>
      <c r="E126" s="10" t="s">
        <v>242</v>
      </c>
      <c r="F126" s="11">
        <v>3000</v>
      </c>
      <c r="G126" s="11">
        <v>3000</v>
      </c>
      <c r="H126" s="12"/>
      <c r="I126" s="12"/>
      <c r="J126" s="12"/>
      <c r="K126" s="11">
        <v>3000</v>
      </c>
    </row>
    <row r="127" spans="1:11" hidden="1" x14ac:dyDescent="0.35">
      <c r="A127" s="10" t="s">
        <v>240</v>
      </c>
      <c r="B127" s="10" t="s">
        <v>241</v>
      </c>
      <c r="C127" s="10" t="s">
        <v>31</v>
      </c>
      <c r="D127" s="10" t="s">
        <v>32</v>
      </c>
      <c r="E127" s="10" t="s">
        <v>243</v>
      </c>
      <c r="F127" s="11">
        <v>42000</v>
      </c>
      <c r="G127" s="11">
        <v>27000</v>
      </c>
      <c r="H127" s="11">
        <v>13765.96</v>
      </c>
      <c r="I127" s="12"/>
      <c r="J127" s="12"/>
      <c r="K127" s="11">
        <v>13234.04</v>
      </c>
    </row>
    <row r="128" spans="1:11" hidden="1" x14ac:dyDescent="0.35">
      <c r="A128" s="10" t="s">
        <v>240</v>
      </c>
      <c r="B128" s="10" t="s">
        <v>241</v>
      </c>
      <c r="C128" s="10" t="s">
        <v>183</v>
      </c>
      <c r="D128" s="10" t="s">
        <v>184</v>
      </c>
      <c r="E128" s="10" t="s">
        <v>244</v>
      </c>
      <c r="F128" s="11">
        <v>72000</v>
      </c>
      <c r="G128" s="11">
        <v>4402</v>
      </c>
      <c r="H128" s="11">
        <v>4400</v>
      </c>
      <c r="I128" s="12"/>
      <c r="J128" s="12"/>
      <c r="K128" s="11">
        <v>2</v>
      </c>
    </row>
    <row r="129" spans="1:11" hidden="1" x14ac:dyDescent="0.35">
      <c r="A129" s="10" t="s">
        <v>240</v>
      </c>
      <c r="B129" s="10" t="s">
        <v>241</v>
      </c>
      <c r="C129" s="10" t="s">
        <v>72</v>
      </c>
      <c r="D129" s="10" t="s">
        <v>73</v>
      </c>
      <c r="E129" s="10" t="s">
        <v>245</v>
      </c>
      <c r="F129" s="11">
        <v>405000</v>
      </c>
      <c r="G129" s="11">
        <v>170811</v>
      </c>
      <c r="H129" s="11">
        <v>170809.35</v>
      </c>
      <c r="I129" s="12"/>
      <c r="J129" s="12"/>
      <c r="K129" s="11">
        <v>1.6499999999941799</v>
      </c>
    </row>
    <row r="130" spans="1:11" hidden="1" x14ac:dyDescent="0.35">
      <c r="A130" s="10" t="s">
        <v>240</v>
      </c>
      <c r="B130" s="10" t="s">
        <v>241</v>
      </c>
      <c r="C130" s="10" t="s">
        <v>97</v>
      </c>
      <c r="D130" s="10" t="s">
        <v>98</v>
      </c>
      <c r="E130" s="10" t="s">
        <v>246</v>
      </c>
      <c r="F130" s="11">
        <v>650000</v>
      </c>
      <c r="G130" s="11">
        <v>264636</v>
      </c>
      <c r="H130" s="11">
        <v>264435.36</v>
      </c>
      <c r="I130" s="12"/>
      <c r="J130" s="12"/>
      <c r="K130" s="11">
        <v>200.63999999995599</v>
      </c>
    </row>
    <row r="131" spans="1:11" hidden="1" x14ac:dyDescent="0.35">
      <c r="A131" s="10" t="s">
        <v>240</v>
      </c>
      <c r="B131" s="10" t="s">
        <v>241</v>
      </c>
      <c r="C131" s="10" t="s">
        <v>37</v>
      </c>
      <c r="D131" s="10" t="s">
        <v>38</v>
      </c>
      <c r="E131" s="10" t="s">
        <v>247</v>
      </c>
      <c r="F131" s="11">
        <v>16000</v>
      </c>
      <c r="G131" s="11">
        <v>36000</v>
      </c>
      <c r="H131" s="11">
        <v>21946</v>
      </c>
      <c r="I131" s="12"/>
      <c r="J131" s="12"/>
      <c r="K131" s="11">
        <v>14054</v>
      </c>
    </row>
    <row r="132" spans="1:11" hidden="1" x14ac:dyDescent="0.35">
      <c r="A132" s="10" t="s">
        <v>240</v>
      </c>
      <c r="B132" s="10" t="s">
        <v>241</v>
      </c>
      <c r="C132" s="10" t="s">
        <v>40</v>
      </c>
      <c r="D132" s="10" t="s">
        <v>41</v>
      </c>
      <c r="E132" s="10" t="s">
        <v>248</v>
      </c>
      <c r="F132" s="11">
        <v>720500</v>
      </c>
      <c r="G132" s="11">
        <v>414734</v>
      </c>
      <c r="H132" s="11">
        <v>391033.15</v>
      </c>
      <c r="I132" s="11">
        <v>0</v>
      </c>
      <c r="J132" s="11">
        <v>23700</v>
      </c>
      <c r="K132" s="11">
        <v>0.84999999997671705</v>
      </c>
    </row>
    <row r="133" spans="1:11" hidden="1" x14ac:dyDescent="0.35">
      <c r="A133" s="10" t="s">
        <v>240</v>
      </c>
      <c r="B133" s="10" t="s">
        <v>241</v>
      </c>
      <c r="C133" s="10" t="s">
        <v>61</v>
      </c>
      <c r="D133" s="10" t="s">
        <v>62</v>
      </c>
      <c r="E133" s="10" t="s">
        <v>249</v>
      </c>
      <c r="F133" s="11">
        <v>0</v>
      </c>
      <c r="G133" s="11">
        <v>10000</v>
      </c>
      <c r="H133" s="11">
        <v>675.65</v>
      </c>
      <c r="I133" s="12"/>
      <c r="J133" s="12"/>
      <c r="K133" s="11">
        <v>9324.35</v>
      </c>
    </row>
    <row r="134" spans="1:11" hidden="1" x14ac:dyDescent="0.35">
      <c r="A134" s="10" t="s">
        <v>240</v>
      </c>
      <c r="B134" s="10" t="s">
        <v>241</v>
      </c>
      <c r="C134" s="10" t="s">
        <v>49</v>
      </c>
      <c r="D134" s="10" t="s">
        <v>50</v>
      </c>
      <c r="E134" s="10" t="s">
        <v>250</v>
      </c>
      <c r="F134" s="11">
        <v>302000</v>
      </c>
      <c r="G134" s="11">
        <v>2</v>
      </c>
      <c r="H134" s="12"/>
      <c r="I134" s="12"/>
      <c r="J134" s="12"/>
      <c r="K134" s="11">
        <v>2</v>
      </c>
    </row>
    <row r="135" spans="1:11" x14ac:dyDescent="0.35">
      <c r="A135" s="10" t="s">
        <v>240</v>
      </c>
      <c r="B135" s="10" t="s">
        <v>241</v>
      </c>
      <c r="C135" s="10" t="s">
        <v>169</v>
      </c>
      <c r="D135" s="10" t="s">
        <v>170</v>
      </c>
      <c r="E135" s="10" t="s">
        <v>251</v>
      </c>
      <c r="F135" s="11">
        <v>67400</v>
      </c>
      <c r="G135" s="11">
        <v>21936</v>
      </c>
      <c r="H135" s="11">
        <v>18993.86</v>
      </c>
      <c r="I135" s="12"/>
      <c r="J135" s="12"/>
      <c r="K135" s="11">
        <v>2942.14</v>
      </c>
    </row>
    <row r="136" spans="1:11" hidden="1" x14ac:dyDescent="0.35">
      <c r="A136" s="10" t="s">
        <v>240</v>
      </c>
      <c r="B136" s="10" t="s">
        <v>241</v>
      </c>
      <c r="C136" s="10" t="s">
        <v>192</v>
      </c>
      <c r="D136" s="10" t="s">
        <v>193</v>
      </c>
      <c r="E136" s="10" t="s">
        <v>252</v>
      </c>
      <c r="F136" s="12"/>
      <c r="G136" s="12"/>
      <c r="H136" s="11">
        <v>0</v>
      </c>
      <c r="I136" s="12"/>
      <c r="J136" s="12"/>
      <c r="K136" s="11">
        <v>0</v>
      </c>
    </row>
    <row r="137" spans="1:11" hidden="1" x14ac:dyDescent="0.35">
      <c r="A137" s="10" t="s">
        <v>240</v>
      </c>
      <c r="B137" s="10" t="s">
        <v>241</v>
      </c>
      <c r="C137" s="10" t="s">
        <v>103</v>
      </c>
      <c r="D137" s="10" t="s">
        <v>104</v>
      </c>
      <c r="E137" s="10" t="s">
        <v>253</v>
      </c>
      <c r="F137" s="11">
        <v>420000</v>
      </c>
      <c r="G137" s="11">
        <v>166190</v>
      </c>
      <c r="H137" s="11">
        <v>153994.14000000001</v>
      </c>
      <c r="I137" s="12"/>
      <c r="J137" s="12"/>
      <c r="K137" s="11">
        <v>12195.86</v>
      </c>
    </row>
    <row r="138" spans="1:11" hidden="1" x14ac:dyDescent="0.35">
      <c r="A138" s="10" t="s">
        <v>240</v>
      </c>
      <c r="B138" s="10" t="s">
        <v>241</v>
      </c>
      <c r="C138" s="10" t="s">
        <v>173</v>
      </c>
      <c r="D138" s="10" t="s">
        <v>174</v>
      </c>
      <c r="E138" s="10" t="s">
        <v>254</v>
      </c>
      <c r="F138" s="11">
        <v>20000</v>
      </c>
      <c r="G138" s="11">
        <v>20000</v>
      </c>
      <c r="H138" s="11">
        <v>14673.64</v>
      </c>
      <c r="I138" s="11">
        <v>0</v>
      </c>
      <c r="J138" s="11">
        <v>-2.7284841053187799E-12</v>
      </c>
      <c r="K138" s="11">
        <v>5326.36</v>
      </c>
    </row>
    <row r="139" spans="1:11" hidden="1" x14ac:dyDescent="0.35">
      <c r="A139" s="10" t="s">
        <v>240</v>
      </c>
      <c r="B139" s="10" t="s">
        <v>241</v>
      </c>
      <c r="C139" s="10" t="s">
        <v>176</v>
      </c>
      <c r="D139" s="10" t="s">
        <v>177</v>
      </c>
      <c r="E139" s="10" t="s">
        <v>255</v>
      </c>
      <c r="F139" s="11">
        <v>60000</v>
      </c>
      <c r="G139" s="11">
        <v>15742</v>
      </c>
      <c r="H139" s="12"/>
      <c r="I139" s="12"/>
      <c r="J139" s="11">
        <v>15740</v>
      </c>
      <c r="K139" s="11">
        <v>2</v>
      </c>
    </row>
    <row r="140" spans="1:11" hidden="1" x14ac:dyDescent="0.35">
      <c r="A140" s="10" t="s">
        <v>256</v>
      </c>
      <c r="B140" s="10" t="s">
        <v>257</v>
      </c>
      <c r="C140" s="10" t="s">
        <v>16</v>
      </c>
      <c r="D140" s="10" t="s">
        <v>17</v>
      </c>
      <c r="E140" s="10" t="s">
        <v>258</v>
      </c>
      <c r="F140" s="11">
        <v>10000</v>
      </c>
      <c r="G140" s="11">
        <v>10000</v>
      </c>
      <c r="H140" s="11">
        <v>7346</v>
      </c>
      <c r="I140" s="12"/>
      <c r="J140" s="12"/>
      <c r="K140" s="11">
        <v>2654</v>
      </c>
    </row>
    <row r="141" spans="1:11" hidden="1" x14ac:dyDescent="0.35">
      <c r="A141" s="10" t="s">
        <v>256</v>
      </c>
      <c r="B141" s="10" t="s">
        <v>257</v>
      </c>
      <c r="C141" s="10" t="s">
        <v>31</v>
      </c>
      <c r="D141" s="10" t="s">
        <v>32</v>
      </c>
      <c r="E141" s="10" t="s">
        <v>259</v>
      </c>
      <c r="F141" s="11">
        <v>20000</v>
      </c>
      <c r="G141" s="11">
        <v>8500</v>
      </c>
      <c r="H141" s="11">
        <v>3750</v>
      </c>
      <c r="I141" s="12"/>
      <c r="J141" s="12"/>
      <c r="K141" s="11">
        <v>4750</v>
      </c>
    </row>
    <row r="142" spans="1:11" hidden="1" x14ac:dyDescent="0.35">
      <c r="A142" s="10" t="s">
        <v>256</v>
      </c>
      <c r="B142" s="10" t="s">
        <v>257</v>
      </c>
      <c r="C142" s="10" t="s">
        <v>183</v>
      </c>
      <c r="D142" s="10" t="s">
        <v>184</v>
      </c>
      <c r="E142" s="10" t="s">
        <v>260</v>
      </c>
      <c r="F142" s="11">
        <v>10000</v>
      </c>
      <c r="G142" s="11">
        <v>10000</v>
      </c>
      <c r="H142" s="11">
        <v>5433.75</v>
      </c>
      <c r="I142" s="12"/>
      <c r="J142" s="12"/>
      <c r="K142" s="11">
        <v>4566.25</v>
      </c>
    </row>
    <row r="143" spans="1:11" hidden="1" x14ac:dyDescent="0.35">
      <c r="A143" s="10" t="s">
        <v>256</v>
      </c>
      <c r="B143" s="10" t="s">
        <v>257</v>
      </c>
      <c r="C143" s="10" t="s">
        <v>72</v>
      </c>
      <c r="D143" s="10" t="s">
        <v>73</v>
      </c>
      <c r="E143" s="10" t="s">
        <v>261</v>
      </c>
      <c r="F143" s="11">
        <v>50000</v>
      </c>
      <c r="G143" s="11">
        <v>50000</v>
      </c>
      <c r="H143" s="11">
        <v>50000</v>
      </c>
      <c r="I143" s="12"/>
      <c r="J143" s="12"/>
      <c r="K143" s="11">
        <v>0</v>
      </c>
    </row>
    <row r="144" spans="1:11" hidden="1" x14ac:dyDescent="0.35">
      <c r="A144" s="10" t="s">
        <v>256</v>
      </c>
      <c r="B144" s="10" t="s">
        <v>257</v>
      </c>
      <c r="C144" s="10" t="s">
        <v>97</v>
      </c>
      <c r="D144" s="10" t="s">
        <v>98</v>
      </c>
      <c r="E144" s="10" t="s">
        <v>262</v>
      </c>
      <c r="F144" s="11">
        <v>270000</v>
      </c>
      <c r="G144" s="11">
        <v>108634</v>
      </c>
      <c r="H144" s="11">
        <v>106489.39</v>
      </c>
      <c r="I144" s="12"/>
      <c r="J144" s="12"/>
      <c r="K144" s="11">
        <v>2144.61</v>
      </c>
    </row>
    <row r="145" spans="1:11" hidden="1" x14ac:dyDescent="0.35">
      <c r="A145" s="10" t="s">
        <v>256</v>
      </c>
      <c r="B145" s="10" t="s">
        <v>257</v>
      </c>
      <c r="C145" s="10" t="s">
        <v>37</v>
      </c>
      <c r="D145" s="10" t="s">
        <v>38</v>
      </c>
      <c r="E145" s="10" t="s">
        <v>263</v>
      </c>
      <c r="F145" s="11">
        <v>20000</v>
      </c>
      <c r="G145" s="11">
        <v>15500</v>
      </c>
      <c r="H145" s="11">
        <v>4095</v>
      </c>
      <c r="I145" s="12"/>
      <c r="J145" s="12"/>
      <c r="K145" s="11">
        <v>11405</v>
      </c>
    </row>
    <row r="146" spans="1:11" hidden="1" x14ac:dyDescent="0.35">
      <c r="A146" s="10" t="s">
        <v>256</v>
      </c>
      <c r="B146" s="10" t="s">
        <v>257</v>
      </c>
      <c r="C146" s="10" t="s">
        <v>40</v>
      </c>
      <c r="D146" s="10" t="s">
        <v>41</v>
      </c>
      <c r="E146" s="10" t="s">
        <v>264</v>
      </c>
      <c r="F146" s="11">
        <v>150257</v>
      </c>
      <c r="G146" s="11">
        <v>160257</v>
      </c>
      <c r="H146" s="11">
        <v>141821.19</v>
      </c>
      <c r="I146" s="11">
        <v>0</v>
      </c>
      <c r="J146" s="11">
        <v>12794.53</v>
      </c>
      <c r="K146" s="11">
        <v>5641.28</v>
      </c>
    </row>
    <row r="147" spans="1:11" hidden="1" x14ac:dyDescent="0.35">
      <c r="A147" s="10" t="s">
        <v>256</v>
      </c>
      <c r="B147" s="10" t="s">
        <v>257</v>
      </c>
      <c r="C147" s="10" t="s">
        <v>43</v>
      </c>
      <c r="D147" s="10" t="s">
        <v>44</v>
      </c>
      <c r="E147" s="10" t="s">
        <v>265</v>
      </c>
      <c r="F147" s="11">
        <v>40000</v>
      </c>
      <c r="G147" s="11">
        <v>5898</v>
      </c>
      <c r="H147" s="12"/>
      <c r="I147" s="12"/>
      <c r="J147" s="12"/>
      <c r="K147" s="11">
        <v>5898</v>
      </c>
    </row>
    <row r="148" spans="1:11" hidden="1" x14ac:dyDescent="0.35">
      <c r="A148" s="10" t="s">
        <v>256</v>
      </c>
      <c r="B148" s="10" t="s">
        <v>257</v>
      </c>
      <c r="C148" s="10" t="s">
        <v>103</v>
      </c>
      <c r="D148" s="10" t="s">
        <v>104</v>
      </c>
      <c r="E148" s="10" t="s">
        <v>266</v>
      </c>
      <c r="F148" s="11">
        <v>51520</v>
      </c>
      <c r="G148" s="11">
        <v>30484</v>
      </c>
      <c r="H148" s="11">
        <v>23639.71</v>
      </c>
      <c r="I148" s="12"/>
      <c r="J148" s="12"/>
      <c r="K148" s="11">
        <v>6844.29</v>
      </c>
    </row>
    <row r="149" spans="1:11" hidden="1" x14ac:dyDescent="0.35">
      <c r="A149" s="10" t="s">
        <v>256</v>
      </c>
      <c r="B149" s="10" t="s">
        <v>257</v>
      </c>
      <c r="C149" s="10" t="s">
        <v>173</v>
      </c>
      <c r="D149" s="10" t="s">
        <v>174</v>
      </c>
      <c r="E149" s="10" t="s">
        <v>267</v>
      </c>
      <c r="F149" s="11">
        <v>139000</v>
      </c>
      <c r="G149" s="11">
        <v>246500</v>
      </c>
      <c r="H149" s="11">
        <v>231258.61</v>
      </c>
      <c r="I149" s="11">
        <v>0</v>
      </c>
      <c r="J149" s="11">
        <v>11024.51</v>
      </c>
      <c r="K149" s="11">
        <v>4216.8800000000101</v>
      </c>
    </row>
    <row r="150" spans="1:11" hidden="1" x14ac:dyDescent="0.35">
      <c r="A150" s="10" t="s">
        <v>256</v>
      </c>
      <c r="B150" s="10" t="s">
        <v>257</v>
      </c>
      <c r="C150" s="10" t="s">
        <v>154</v>
      </c>
      <c r="D150" s="10" t="s">
        <v>155</v>
      </c>
      <c r="E150" s="10" t="s">
        <v>268</v>
      </c>
      <c r="F150" s="11">
        <v>4000</v>
      </c>
      <c r="G150" s="11">
        <v>500</v>
      </c>
      <c r="H150" s="12"/>
      <c r="I150" s="12"/>
      <c r="J150" s="12"/>
      <c r="K150" s="11">
        <v>500</v>
      </c>
    </row>
    <row r="151" spans="1:11" hidden="1" x14ac:dyDescent="0.35">
      <c r="A151" s="10" t="s">
        <v>256</v>
      </c>
      <c r="B151" s="10" t="s">
        <v>257</v>
      </c>
      <c r="C151" s="10" t="s">
        <v>176</v>
      </c>
      <c r="D151" s="10" t="s">
        <v>177</v>
      </c>
      <c r="E151" s="10" t="s">
        <v>269</v>
      </c>
      <c r="F151" s="11">
        <v>12000</v>
      </c>
      <c r="G151" s="11">
        <v>12000</v>
      </c>
      <c r="H151" s="11">
        <v>11500</v>
      </c>
      <c r="I151" s="11">
        <v>0</v>
      </c>
      <c r="J151" s="11">
        <v>0</v>
      </c>
      <c r="K151" s="11">
        <v>500</v>
      </c>
    </row>
    <row r="152" spans="1:11" hidden="1" x14ac:dyDescent="0.35">
      <c r="A152" s="10" t="s">
        <v>270</v>
      </c>
      <c r="B152" s="10" t="s">
        <v>271</v>
      </c>
      <c r="C152" s="10" t="s">
        <v>16</v>
      </c>
      <c r="D152" s="10" t="s">
        <v>17</v>
      </c>
      <c r="E152" s="10" t="s">
        <v>272</v>
      </c>
      <c r="F152" s="11">
        <v>3000</v>
      </c>
      <c r="G152" s="11">
        <v>0</v>
      </c>
      <c r="H152" s="12"/>
      <c r="I152" s="12"/>
      <c r="J152" s="12"/>
      <c r="K152" s="11">
        <v>0</v>
      </c>
    </row>
    <row r="153" spans="1:11" hidden="1" x14ac:dyDescent="0.35">
      <c r="A153" s="10" t="s">
        <v>270</v>
      </c>
      <c r="B153" s="10" t="s">
        <v>271</v>
      </c>
      <c r="C153" s="10" t="s">
        <v>31</v>
      </c>
      <c r="D153" s="10" t="s">
        <v>32</v>
      </c>
      <c r="E153" s="10" t="s">
        <v>273</v>
      </c>
      <c r="F153" s="11">
        <v>10000</v>
      </c>
      <c r="G153" s="11">
        <v>10000</v>
      </c>
      <c r="H153" s="12"/>
      <c r="I153" s="12"/>
      <c r="J153" s="12"/>
      <c r="K153" s="11">
        <v>10000</v>
      </c>
    </row>
    <row r="154" spans="1:11" hidden="1" x14ac:dyDescent="0.35">
      <c r="A154" s="10" t="s">
        <v>270</v>
      </c>
      <c r="B154" s="10" t="s">
        <v>271</v>
      </c>
      <c r="C154" s="10" t="s">
        <v>274</v>
      </c>
      <c r="D154" s="10" t="s">
        <v>275</v>
      </c>
      <c r="E154" s="10" t="s">
        <v>276</v>
      </c>
      <c r="F154" s="11">
        <v>30000</v>
      </c>
      <c r="G154" s="11">
        <v>30000</v>
      </c>
      <c r="H154" s="12"/>
      <c r="I154" s="11">
        <v>0</v>
      </c>
      <c r="J154" s="11">
        <v>29766.77</v>
      </c>
      <c r="K154" s="11">
        <v>233.23</v>
      </c>
    </row>
    <row r="155" spans="1:11" hidden="1" x14ac:dyDescent="0.35">
      <c r="A155" s="10" t="s">
        <v>270</v>
      </c>
      <c r="B155" s="10" t="s">
        <v>271</v>
      </c>
      <c r="C155" s="10" t="s">
        <v>183</v>
      </c>
      <c r="D155" s="10" t="s">
        <v>184</v>
      </c>
      <c r="E155" s="10" t="s">
        <v>277</v>
      </c>
      <c r="F155" s="11">
        <v>12000</v>
      </c>
      <c r="G155" s="11">
        <v>12000</v>
      </c>
      <c r="H155" s="11">
        <v>735</v>
      </c>
      <c r="I155" s="12"/>
      <c r="J155" s="12"/>
      <c r="K155" s="11">
        <v>11265</v>
      </c>
    </row>
    <row r="156" spans="1:11" hidden="1" x14ac:dyDescent="0.35">
      <c r="A156" s="10" t="s">
        <v>270</v>
      </c>
      <c r="B156" s="10" t="s">
        <v>271</v>
      </c>
      <c r="C156" s="10" t="s">
        <v>72</v>
      </c>
      <c r="D156" s="10" t="s">
        <v>73</v>
      </c>
      <c r="E156" s="10" t="s">
        <v>278</v>
      </c>
      <c r="F156" s="11">
        <v>480000</v>
      </c>
      <c r="G156" s="11">
        <v>423354</v>
      </c>
      <c r="H156" s="11">
        <v>423351.56</v>
      </c>
      <c r="I156" s="12"/>
      <c r="J156" s="12"/>
      <c r="K156" s="11">
        <v>2.4399999999841402</v>
      </c>
    </row>
    <row r="157" spans="1:11" hidden="1" x14ac:dyDescent="0.35">
      <c r="A157" s="10" t="s">
        <v>270</v>
      </c>
      <c r="B157" s="10" t="s">
        <v>271</v>
      </c>
      <c r="C157" s="10" t="s">
        <v>97</v>
      </c>
      <c r="D157" s="10" t="s">
        <v>98</v>
      </c>
      <c r="E157" s="10" t="s">
        <v>279</v>
      </c>
      <c r="F157" s="11">
        <v>630000</v>
      </c>
      <c r="G157" s="11">
        <v>194610</v>
      </c>
      <c r="H157" s="11">
        <v>194608.6</v>
      </c>
      <c r="I157" s="12"/>
      <c r="J157" s="12"/>
      <c r="K157" s="11">
        <v>1.3999999999941799</v>
      </c>
    </row>
    <row r="158" spans="1:11" hidden="1" x14ac:dyDescent="0.35">
      <c r="A158" s="10" t="s">
        <v>270</v>
      </c>
      <c r="B158" s="10" t="s">
        <v>271</v>
      </c>
      <c r="C158" s="10" t="s">
        <v>37</v>
      </c>
      <c r="D158" s="10" t="s">
        <v>38</v>
      </c>
      <c r="E158" s="10" t="s">
        <v>280</v>
      </c>
      <c r="F158" s="11">
        <v>54000</v>
      </c>
      <c r="G158" s="11">
        <v>20799</v>
      </c>
      <c r="H158" s="11">
        <v>11997.25</v>
      </c>
      <c r="I158" s="11">
        <v>8800</v>
      </c>
      <c r="J158" s="11">
        <v>0</v>
      </c>
      <c r="K158" s="11">
        <v>1.75</v>
      </c>
    </row>
    <row r="159" spans="1:11" hidden="1" x14ac:dyDescent="0.35">
      <c r="A159" s="10" t="s">
        <v>270</v>
      </c>
      <c r="B159" s="10" t="s">
        <v>271</v>
      </c>
      <c r="C159" s="10" t="s">
        <v>40</v>
      </c>
      <c r="D159" s="10" t="s">
        <v>41</v>
      </c>
      <c r="E159" s="10" t="s">
        <v>281</v>
      </c>
      <c r="F159" s="11">
        <v>210000</v>
      </c>
      <c r="G159" s="11">
        <v>185000</v>
      </c>
      <c r="H159" s="11">
        <v>177089.64</v>
      </c>
      <c r="I159" s="11">
        <v>0</v>
      </c>
      <c r="J159" s="11">
        <v>0</v>
      </c>
      <c r="K159" s="11">
        <v>7910.3600000000197</v>
      </c>
    </row>
    <row r="160" spans="1:11" x14ac:dyDescent="0.35">
      <c r="A160" s="10" t="s">
        <v>270</v>
      </c>
      <c r="B160" s="10" t="s">
        <v>271</v>
      </c>
      <c r="C160" s="10" t="s">
        <v>169</v>
      </c>
      <c r="D160" s="10" t="s">
        <v>170</v>
      </c>
      <c r="E160" s="10" t="s">
        <v>282</v>
      </c>
      <c r="F160" s="11">
        <v>80000</v>
      </c>
      <c r="G160" s="11">
        <v>14502</v>
      </c>
      <c r="H160" s="11">
        <v>20000</v>
      </c>
      <c r="I160" s="11">
        <v>-5500</v>
      </c>
      <c r="J160" s="11">
        <v>0</v>
      </c>
      <c r="K160" s="11">
        <v>2</v>
      </c>
    </row>
    <row r="161" spans="1:11" hidden="1" x14ac:dyDescent="0.35">
      <c r="A161" s="10" t="s">
        <v>270</v>
      </c>
      <c r="B161" s="10" t="s">
        <v>271</v>
      </c>
      <c r="C161" s="10" t="s">
        <v>103</v>
      </c>
      <c r="D161" s="10" t="s">
        <v>104</v>
      </c>
      <c r="E161" s="10" t="s">
        <v>283</v>
      </c>
      <c r="F161" s="11">
        <v>336000</v>
      </c>
      <c r="G161" s="11">
        <v>199569</v>
      </c>
      <c r="H161" s="11">
        <v>181584.71</v>
      </c>
      <c r="I161" s="12"/>
      <c r="J161" s="12"/>
      <c r="K161" s="11">
        <v>17984.29</v>
      </c>
    </row>
    <row r="162" spans="1:11" hidden="1" x14ac:dyDescent="0.35">
      <c r="A162" s="10" t="s">
        <v>270</v>
      </c>
      <c r="B162" s="10" t="s">
        <v>271</v>
      </c>
      <c r="C162" s="10" t="s">
        <v>173</v>
      </c>
      <c r="D162" s="10" t="s">
        <v>174</v>
      </c>
      <c r="E162" s="10" t="s">
        <v>284</v>
      </c>
      <c r="F162" s="11">
        <v>264000</v>
      </c>
      <c r="G162" s="11">
        <v>297500</v>
      </c>
      <c r="H162" s="11">
        <v>269762.05</v>
      </c>
      <c r="I162" s="11">
        <v>0</v>
      </c>
      <c r="J162" s="11">
        <v>21000</v>
      </c>
      <c r="K162" s="11">
        <v>6737.9499999999598</v>
      </c>
    </row>
    <row r="163" spans="1:11" hidden="1" x14ac:dyDescent="0.35">
      <c r="A163" s="10" t="s">
        <v>285</v>
      </c>
      <c r="B163" s="10" t="s">
        <v>286</v>
      </c>
      <c r="C163" s="10" t="s">
        <v>16</v>
      </c>
      <c r="D163" s="10" t="s">
        <v>17</v>
      </c>
      <c r="E163" s="10" t="s">
        <v>287</v>
      </c>
      <c r="F163" s="11">
        <v>20000</v>
      </c>
      <c r="G163" s="11">
        <v>20000</v>
      </c>
      <c r="H163" s="12"/>
      <c r="I163" s="12"/>
      <c r="J163" s="12"/>
      <c r="K163" s="11">
        <v>20000</v>
      </c>
    </row>
    <row r="164" spans="1:11" hidden="1" x14ac:dyDescent="0.35">
      <c r="A164" s="10" t="s">
        <v>285</v>
      </c>
      <c r="B164" s="10" t="s">
        <v>286</v>
      </c>
      <c r="C164" s="10" t="s">
        <v>31</v>
      </c>
      <c r="D164" s="10" t="s">
        <v>32</v>
      </c>
      <c r="E164" s="10" t="s">
        <v>288</v>
      </c>
      <c r="F164" s="11">
        <v>30000</v>
      </c>
      <c r="G164" s="11">
        <v>29700</v>
      </c>
      <c r="H164" s="11">
        <v>6485</v>
      </c>
      <c r="I164" s="12"/>
      <c r="J164" s="12"/>
      <c r="K164" s="11">
        <v>23215</v>
      </c>
    </row>
    <row r="165" spans="1:11" hidden="1" x14ac:dyDescent="0.35">
      <c r="A165" s="10" t="s">
        <v>285</v>
      </c>
      <c r="B165" s="10" t="s">
        <v>286</v>
      </c>
      <c r="C165" s="10" t="s">
        <v>183</v>
      </c>
      <c r="D165" s="10" t="s">
        <v>184</v>
      </c>
      <c r="E165" s="10" t="s">
        <v>289</v>
      </c>
      <c r="F165" s="11">
        <v>120000</v>
      </c>
      <c r="G165" s="11">
        <v>33149</v>
      </c>
      <c r="H165" s="11">
        <v>10100.75</v>
      </c>
      <c r="I165" s="12"/>
      <c r="J165" s="12"/>
      <c r="K165" s="11">
        <v>23048.25</v>
      </c>
    </row>
    <row r="166" spans="1:11" hidden="1" x14ac:dyDescent="0.35">
      <c r="A166" s="10" t="s">
        <v>285</v>
      </c>
      <c r="B166" s="10" t="s">
        <v>286</v>
      </c>
      <c r="C166" s="10" t="s">
        <v>97</v>
      </c>
      <c r="D166" s="10" t="s">
        <v>98</v>
      </c>
      <c r="E166" s="10" t="s">
        <v>290</v>
      </c>
      <c r="F166" s="11">
        <v>105000</v>
      </c>
      <c r="G166" s="11">
        <v>54987</v>
      </c>
      <c r="H166" s="11">
        <v>24053.21</v>
      </c>
      <c r="I166" s="12"/>
      <c r="J166" s="12"/>
      <c r="K166" s="11">
        <v>30933.79</v>
      </c>
    </row>
    <row r="167" spans="1:11" hidden="1" x14ac:dyDescent="0.35">
      <c r="A167" s="10" t="s">
        <v>285</v>
      </c>
      <c r="B167" s="10" t="s">
        <v>286</v>
      </c>
      <c r="C167" s="10" t="s">
        <v>37</v>
      </c>
      <c r="D167" s="10" t="s">
        <v>38</v>
      </c>
      <c r="E167" s="10" t="s">
        <v>291</v>
      </c>
      <c r="F167" s="11">
        <v>3000</v>
      </c>
      <c r="G167" s="11">
        <v>3000</v>
      </c>
      <c r="H167" s="12"/>
      <c r="I167" s="12"/>
      <c r="J167" s="12"/>
      <c r="K167" s="11">
        <v>3000</v>
      </c>
    </row>
    <row r="168" spans="1:11" hidden="1" x14ac:dyDescent="0.35">
      <c r="A168" s="10" t="s">
        <v>285</v>
      </c>
      <c r="B168" s="10" t="s">
        <v>286</v>
      </c>
      <c r="C168" s="10" t="s">
        <v>40</v>
      </c>
      <c r="D168" s="10" t="s">
        <v>41</v>
      </c>
      <c r="E168" s="10" t="s">
        <v>292</v>
      </c>
      <c r="F168" s="11">
        <v>146983</v>
      </c>
      <c r="G168" s="11">
        <v>82656</v>
      </c>
      <c r="H168" s="11">
        <v>33069.589999999997</v>
      </c>
      <c r="I168" s="11">
        <v>0</v>
      </c>
      <c r="J168" s="11">
        <v>49585.5</v>
      </c>
      <c r="K168" s="11">
        <v>0.90999999999621695</v>
      </c>
    </row>
    <row r="169" spans="1:11" hidden="1" x14ac:dyDescent="0.35">
      <c r="A169" s="10" t="s">
        <v>285</v>
      </c>
      <c r="B169" s="10" t="s">
        <v>286</v>
      </c>
      <c r="C169" s="10" t="s">
        <v>43</v>
      </c>
      <c r="D169" s="10" t="s">
        <v>44</v>
      </c>
      <c r="E169" s="10" t="s">
        <v>293</v>
      </c>
      <c r="F169" s="11">
        <v>44592</v>
      </c>
      <c r="G169" s="11">
        <v>12617</v>
      </c>
      <c r="H169" s="11">
        <v>9042.6200000000008</v>
      </c>
      <c r="I169" s="12"/>
      <c r="J169" s="12"/>
      <c r="K169" s="11">
        <v>3574.38</v>
      </c>
    </row>
    <row r="170" spans="1:11" hidden="1" x14ac:dyDescent="0.35">
      <c r="A170" s="10" t="s">
        <v>285</v>
      </c>
      <c r="B170" s="10" t="s">
        <v>286</v>
      </c>
      <c r="C170" s="10" t="s">
        <v>103</v>
      </c>
      <c r="D170" s="10" t="s">
        <v>104</v>
      </c>
      <c r="E170" s="10" t="s">
        <v>294</v>
      </c>
      <c r="F170" s="11">
        <v>70000</v>
      </c>
      <c r="G170" s="11">
        <v>63220</v>
      </c>
      <c r="H170" s="11">
        <v>52403.38</v>
      </c>
      <c r="I170" s="12"/>
      <c r="J170" s="12"/>
      <c r="K170" s="11">
        <v>10816.62</v>
      </c>
    </row>
    <row r="171" spans="1:11" hidden="1" x14ac:dyDescent="0.35">
      <c r="A171" s="10" t="s">
        <v>285</v>
      </c>
      <c r="B171" s="10" t="s">
        <v>286</v>
      </c>
      <c r="C171" s="10" t="s">
        <v>173</v>
      </c>
      <c r="D171" s="10" t="s">
        <v>174</v>
      </c>
      <c r="E171" s="10" t="s">
        <v>295</v>
      </c>
      <c r="F171" s="11">
        <v>197477</v>
      </c>
      <c r="G171" s="11">
        <v>100283</v>
      </c>
      <c r="H171" s="11">
        <v>25018.639999999999</v>
      </c>
      <c r="I171" s="11">
        <v>0</v>
      </c>
      <c r="J171" s="11">
        <v>47935.5</v>
      </c>
      <c r="K171" s="11">
        <v>27328.86</v>
      </c>
    </row>
    <row r="172" spans="1:11" hidden="1" x14ac:dyDescent="0.35">
      <c r="A172" s="10" t="s">
        <v>285</v>
      </c>
      <c r="B172" s="10" t="s">
        <v>286</v>
      </c>
      <c r="C172" s="10" t="s">
        <v>154</v>
      </c>
      <c r="D172" s="10" t="s">
        <v>155</v>
      </c>
      <c r="E172" s="10" t="s">
        <v>296</v>
      </c>
      <c r="F172" s="11">
        <v>5742</v>
      </c>
      <c r="G172" s="11">
        <v>5742</v>
      </c>
      <c r="H172" s="11">
        <v>3328</v>
      </c>
      <c r="I172" s="11">
        <v>0</v>
      </c>
      <c r="J172" s="11">
        <v>0</v>
      </c>
      <c r="K172" s="11">
        <v>2414</v>
      </c>
    </row>
    <row r="173" spans="1:11" hidden="1" x14ac:dyDescent="0.35">
      <c r="A173" s="10" t="s">
        <v>285</v>
      </c>
      <c r="B173" s="10" t="s">
        <v>286</v>
      </c>
      <c r="C173" s="10" t="s">
        <v>176</v>
      </c>
      <c r="D173" s="10" t="s">
        <v>177</v>
      </c>
      <c r="E173" s="10" t="s">
        <v>297</v>
      </c>
      <c r="F173" s="11">
        <v>9640</v>
      </c>
      <c r="G173" s="11">
        <v>9640</v>
      </c>
      <c r="H173" s="11">
        <v>7998</v>
      </c>
      <c r="I173" s="12"/>
      <c r="J173" s="12"/>
      <c r="K173" s="11">
        <v>1642</v>
      </c>
    </row>
    <row r="174" spans="1:11" hidden="1" x14ac:dyDescent="0.35">
      <c r="A174" s="10" t="s">
        <v>298</v>
      </c>
      <c r="B174" s="10" t="s">
        <v>299</v>
      </c>
      <c r="C174" s="10" t="s">
        <v>31</v>
      </c>
      <c r="D174" s="10" t="s">
        <v>32</v>
      </c>
      <c r="E174" s="10" t="s">
        <v>300</v>
      </c>
      <c r="F174" s="11">
        <v>16000</v>
      </c>
      <c r="G174" s="11">
        <v>19448</v>
      </c>
      <c r="H174" s="11">
        <v>8764.2199999999993</v>
      </c>
      <c r="I174" s="12"/>
      <c r="J174" s="12"/>
      <c r="K174" s="11">
        <v>10683.78</v>
      </c>
    </row>
    <row r="175" spans="1:11" hidden="1" x14ac:dyDescent="0.35">
      <c r="A175" s="10" t="s">
        <v>298</v>
      </c>
      <c r="B175" s="10" t="s">
        <v>299</v>
      </c>
      <c r="C175" s="10" t="s">
        <v>183</v>
      </c>
      <c r="D175" s="10" t="s">
        <v>184</v>
      </c>
      <c r="E175" s="10" t="s">
        <v>301</v>
      </c>
      <c r="F175" s="11">
        <v>25000</v>
      </c>
      <c r="G175" s="11">
        <v>25000</v>
      </c>
      <c r="H175" s="11">
        <v>11393.34</v>
      </c>
      <c r="I175" s="12"/>
      <c r="J175" s="12"/>
      <c r="K175" s="11">
        <v>13606.66</v>
      </c>
    </row>
    <row r="176" spans="1:11" hidden="1" x14ac:dyDescent="0.35">
      <c r="A176" s="10" t="s">
        <v>298</v>
      </c>
      <c r="B176" s="10" t="s">
        <v>299</v>
      </c>
      <c r="C176" s="10" t="s">
        <v>72</v>
      </c>
      <c r="D176" s="10" t="s">
        <v>73</v>
      </c>
      <c r="E176" s="10" t="s">
        <v>302</v>
      </c>
      <c r="F176" s="11">
        <v>30000</v>
      </c>
      <c r="G176" s="11">
        <v>0</v>
      </c>
      <c r="H176" s="12"/>
      <c r="I176" s="12"/>
      <c r="J176" s="12"/>
      <c r="K176" s="11">
        <v>0</v>
      </c>
    </row>
    <row r="177" spans="1:11" hidden="1" x14ac:dyDescent="0.35">
      <c r="A177" s="10" t="s">
        <v>298</v>
      </c>
      <c r="B177" s="10" t="s">
        <v>299</v>
      </c>
      <c r="C177" s="10" t="s">
        <v>97</v>
      </c>
      <c r="D177" s="10" t="s">
        <v>98</v>
      </c>
      <c r="E177" s="10" t="s">
        <v>303</v>
      </c>
      <c r="F177" s="11">
        <v>150000</v>
      </c>
      <c r="G177" s="11">
        <v>93739</v>
      </c>
      <c r="H177" s="11">
        <v>72308.259999999995</v>
      </c>
      <c r="I177" s="12"/>
      <c r="J177" s="12"/>
      <c r="K177" s="11">
        <v>21430.74</v>
      </c>
    </row>
    <row r="178" spans="1:11" hidden="1" x14ac:dyDescent="0.35">
      <c r="A178" s="10" t="s">
        <v>298</v>
      </c>
      <c r="B178" s="10" t="s">
        <v>299</v>
      </c>
      <c r="C178" s="10" t="s">
        <v>37</v>
      </c>
      <c r="D178" s="10" t="s">
        <v>38</v>
      </c>
      <c r="E178" s="10" t="s">
        <v>304</v>
      </c>
      <c r="F178" s="11">
        <v>8500</v>
      </c>
      <c r="G178" s="11">
        <v>8500</v>
      </c>
      <c r="H178" s="11">
        <v>4578.37</v>
      </c>
      <c r="I178" s="12"/>
      <c r="J178" s="12"/>
      <c r="K178" s="11">
        <v>3921.63</v>
      </c>
    </row>
    <row r="179" spans="1:11" hidden="1" x14ac:dyDescent="0.35">
      <c r="A179" s="10" t="s">
        <v>298</v>
      </c>
      <c r="B179" s="10" t="s">
        <v>299</v>
      </c>
      <c r="C179" s="10" t="s">
        <v>40</v>
      </c>
      <c r="D179" s="10" t="s">
        <v>41</v>
      </c>
      <c r="E179" s="10" t="s">
        <v>305</v>
      </c>
      <c r="F179" s="11">
        <v>210200</v>
      </c>
      <c r="G179" s="11">
        <v>210200</v>
      </c>
      <c r="H179" s="11">
        <v>201762.42</v>
      </c>
      <c r="I179" s="11">
        <v>0</v>
      </c>
      <c r="J179" s="11">
        <v>0</v>
      </c>
      <c r="K179" s="11">
        <v>8437.5800000000199</v>
      </c>
    </row>
    <row r="180" spans="1:11" x14ac:dyDescent="0.35">
      <c r="A180" s="10" t="s">
        <v>298</v>
      </c>
      <c r="B180" s="10" t="s">
        <v>299</v>
      </c>
      <c r="C180" s="10" t="s">
        <v>169</v>
      </c>
      <c r="D180" s="10" t="s">
        <v>170</v>
      </c>
      <c r="E180" s="10" t="s">
        <v>306</v>
      </c>
      <c r="F180" s="11">
        <v>305000</v>
      </c>
      <c r="G180" s="11">
        <v>78283</v>
      </c>
      <c r="H180" s="11">
        <v>80402</v>
      </c>
      <c r="I180" s="11">
        <v>-11120.85</v>
      </c>
      <c r="J180" s="11">
        <v>9000</v>
      </c>
      <c r="K180" s="11">
        <v>1.8500000000058201</v>
      </c>
    </row>
    <row r="181" spans="1:11" hidden="1" x14ac:dyDescent="0.35">
      <c r="A181" s="10" t="s">
        <v>298</v>
      </c>
      <c r="B181" s="10" t="s">
        <v>299</v>
      </c>
      <c r="C181" s="10" t="s">
        <v>192</v>
      </c>
      <c r="D181" s="10" t="s">
        <v>193</v>
      </c>
      <c r="E181" s="10" t="s">
        <v>307</v>
      </c>
      <c r="F181" s="11">
        <v>10000</v>
      </c>
      <c r="G181" s="11">
        <v>10000</v>
      </c>
      <c r="H181" s="12"/>
      <c r="I181" s="12"/>
      <c r="J181" s="12"/>
      <c r="K181" s="11">
        <v>10000</v>
      </c>
    </row>
    <row r="182" spans="1:11" hidden="1" x14ac:dyDescent="0.35">
      <c r="A182" s="10" t="s">
        <v>298</v>
      </c>
      <c r="B182" s="10" t="s">
        <v>299</v>
      </c>
      <c r="C182" s="10" t="s">
        <v>103</v>
      </c>
      <c r="D182" s="10" t="s">
        <v>104</v>
      </c>
      <c r="E182" s="10" t="s">
        <v>308</v>
      </c>
      <c r="F182" s="11">
        <v>50000</v>
      </c>
      <c r="G182" s="11">
        <v>36150</v>
      </c>
      <c r="H182" s="11">
        <v>36148</v>
      </c>
      <c r="I182" s="12"/>
      <c r="J182" s="12"/>
      <c r="K182" s="11">
        <v>2</v>
      </c>
    </row>
    <row r="183" spans="1:11" hidden="1" x14ac:dyDescent="0.35">
      <c r="A183" s="10" t="s">
        <v>298</v>
      </c>
      <c r="B183" s="10" t="s">
        <v>299</v>
      </c>
      <c r="C183" s="10" t="s">
        <v>173</v>
      </c>
      <c r="D183" s="10" t="s">
        <v>174</v>
      </c>
      <c r="E183" s="10" t="s">
        <v>309</v>
      </c>
      <c r="F183" s="11">
        <v>100000</v>
      </c>
      <c r="G183" s="11">
        <v>74436</v>
      </c>
      <c r="H183" s="11">
        <v>70457.740000000005</v>
      </c>
      <c r="I183" s="11">
        <v>0</v>
      </c>
      <c r="J183" s="11">
        <v>3976.22</v>
      </c>
      <c r="K183" s="11">
        <v>2.0400000000099698</v>
      </c>
    </row>
    <row r="184" spans="1:11" hidden="1" x14ac:dyDescent="0.35">
      <c r="A184" s="10" t="s">
        <v>298</v>
      </c>
      <c r="B184" s="10" t="s">
        <v>299</v>
      </c>
      <c r="C184" s="10" t="s">
        <v>154</v>
      </c>
      <c r="D184" s="10" t="s">
        <v>155</v>
      </c>
      <c r="E184" s="10" t="s">
        <v>310</v>
      </c>
      <c r="F184" s="11">
        <v>7500</v>
      </c>
      <c r="G184" s="11">
        <v>0</v>
      </c>
      <c r="H184" s="12"/>
      <c r="I184" s="12"/>
      <c r="J184" s="12"/>
      <c r="K184" s="11">
        <v>0</v>
      </c>
    </row>
    <row r="185" spans="1:11" hidden="1" x14ac:dyDescent="0.35">
      <c r="A185" s="10" t="s">
        <v>298</v>
      </c>
      <c r="B185" s="10" t="s">
        <v>299</v>
      </c>
      <c r="C185" s="10" t="s">
        <v>176</v>
      </c>
      <c r="D185" s="10" t="s">
        <v>177</v>
      </c>
      <c r="E185" s="10" t="s">
        <v>311</v>
      </c>
      <c r="F185" s="11">
        <v>60000</v>
      </c>
      <c r="G185" s="11">
        <v>64052</v>
      </c>
      <c r="H185" s="11">
        <v>43500</v>
      </c>
      <c r="I185" s="11">
        <v>0</v>
      </c>
      <c r="J185" s="11">
        <v>18216</v>
      </c>
      <c r="K185" s="11">
        <v>2336</v>
      </c>
    </row>
    <row r="186" spans="1:11" hidden="1" x14ac:dyDescent="0.35">
      <c r="A186" s="10" t="s">
        <v>312</v>
      </c>
      <c r="B186" s="10" t="s">
        <v>313</v>
      </c>
      <c r="C186" s="10" t="s">
        <v>16</v>
      </c>
      <c r="D186" s="10" t="s">
        <v>17</v>
      </c>
      <c r="E186" s="10" t="s">
        <v>314</v>
      </c>
      <c r="F186" s="11">
        <v>0</v>
      </c>
      <c r="G186" s="11">
        <v>65692</v>
      </c>
      <c r="H186" s="11">
        <v>64718.46</v>
      </c>
      <c r="I186" s="12"/>
      <c r="J186" s="12"/>
      <c r="K186" s="11">
        <v>973.54000000000099</v>
      </c>
    </row>
    <row r="187" spans="1:11" hidden="1" x14ac:dyDescent="0.35">
      <c r="A187" s="10" t="s">
        <v>312</v>
      </c>
      <c r="B187" s="10" t="s">
        <v>313</v>
      </c>
      <c r="C187" s="10" t="s">
        <v>28</v>
      </c>
      <c r="D187" s="10" t="s">
        <v>29</v>
      </c>
      <c r="E187" s="10" t="s">
        <v>315</v>
      </c>
      <c r="F187" s="11">
        <v>560000</v>
      </c>
      <c r="G187" s="11">
        <v>220355</v>
      </c>
      <c r="H187" s="11">
        <v>218360.26</v>
      </c>
      <c r="I187" s="12"/>
      <c r="J187" s="12"/>
      <c r="K187" s="11">
        <v>1994.73999999999</v>
      </c>
    </row>
    <row r="188" spans="1:11" hidden="1" x14ac:dyDescent="0.35">
      <c r="A188" s="10" t="s">
        <v>312</v>
      </c>
      <c r="B188" s="10" t="s">
        <v>313</v>
      </c>
      <c r="C188" s="10" t="s">
        <v>31</v>
      </c>
      <c r="D188" s="10" t="s">
        <v>32</v>
      </c>
      <c r="E188" s="10" t="s">
        <v>316</v>
      </c>
      <c r="F188" s="11">
        <v>15000</v>
      </c>
      <c r="G188" s="11">
        <v>-11781</v>
      </c>
      <c r="H188" s="11">
        <v>22966.65</v>
      </c>
      <c r="I188" s="12"/>
      <c r="J188" s="12"/>
      <c r="K188" s="11">
        <v>2.1500000000014601</v>
      </c>
    </row>
    <row r="189" spans="1:11" hidden="1" x14ac:dyDescent="0.35">
      <c r="A189" s="10" t="s">
        <v>312</v>
      </c>
      <c r="B189" s="10" t="s">
        <v>313</v>
      </c>
      <c r="C189" s="10" t="s">
        <v>34</v>
      </c>
      <c r="D189" s="10" t="s">
        <v>35</v>
      </c>
      <c r="E189" s="10" t="s">
        <v>317</v>
      </c>
      <c r="F189" s="11">
        <v>15000</v>
      </c>
      <c r="G189" s="11">
        <v>19800</v>
      </c>
      <c r="H189" s="11">
        <v>18757.900000000001</v>
      </c>
      <c r="I189" s="12"/>
      <c r="J189" s="12"/>
      <c r="K189" s="11">
        <v>1042.0999999999999</v>
      </c>
    </row>
    <row r="190" spans="1:11" hidden="1" x14ac:dyDescent="0.35">
      <c r="A190" s="10" t="s">
        <v>312</v>
      </c>
      <c r="B190" s="10" t="s">
        <v>313</v>
      </c>
      <c r="C190" s="10" t="s">
        <v>97</v>
      </c>
      <c r="D190" s="10" t="s">
        <v>98</v>
      </c>
      <c r="E190" s="10" t="s">
        <v>318</v>
      </c>
      <c r="F190" s="11">
        <v>50000</v>
      </c>
      <c r="G190" s="11">
        <v>32848</v>
      </c>
      <c r="H190" s="11">
        <v>30551.57</v>
      </c>
      <c r="I190" s="12"/>
      <c r="J190" s="12"/>
      <c r="K190" s="11">
        <v>2296.4299999999998</v>
      </c>
    </row>
    <row r="191" spans="1:11" hidden="1" x14ac:dyDescent="0.35">
      <c r="A191" s="10" t="s">
        <v>312</v>
      </c>
      <c r="B191" s="10" t="s">
        <v>313</v>
      </c>
      <c r="C191" s="10" t="s">
        <v>61</v>
      </c>
      <c r="D191" s="10" t="s">
        <v>62</v>
      </c>
      <c r="E191" s="10" t="s">
        <v>319</v>
      </c>
      <c r="F191" s="11">
        <v>12000</v>
      </c>
      <c r="G191" s="11">
        <v>20175</v>
      </c>
      <c r="H191" s="11">
        <v>20174.88</v>
      </c>
      <c r="I191" s="12"/>
      <c r="J191" s="12"/>
      <c r="K191" s="11">
        <v>0.11999999999898101</v>
      </c>
    </row>
    <row r="192" spans="1:11" x14ac:dyDescent="0.35">
      <c r="A192" s="10" t="s">
        <v>312</v>
      </c>
      <c r="B192" s="10" t="s">
        <v>313</v>
      </c>
      <c r="C192" s="10" t="s">
        <v>169</v>
      </c>
      <c r="D192" s="10" t="s">
        <v>170</v>
      </c>
      <c r="E192" s="10" t="s">
        <v>320</v>
      </c>
      <c r="F192" s="11">
        <v>200000</v>
      </c>
      <c r="G192" s="11">
        <v>2</v>
      </c>
      <c r="H192" s="12"/>
      <c r="I192" s="12"/>
      <c r="J192" s="12"/>
      <c r="K192" s="11">
        <v>2</v>
      </c>
    </row>
    <row r="193" spans="1:11" hidden="1" x14ac:dyDescent="0.35">
      <c r="A193" s="10" t="s">
        <v>312</v>
      </c>
      <c r="B193" s="10" t="s">
        <v>313</v>
      </c>
      <c r="C193" s="10" t="s">
        <v>103</v>
      </c>
      <c r="D193" s="10" t="s">
        <v>104</v>
      </c>
      <c r="E193" s="10" t="s">
        <v>321</v>
      </c>
      <c r="F193" s="11">
        <v>30000</v>
      </c>
      <c r="G193" s="11">
        <v>28100</v>
      </c>
      <c r="H193" s="11">
        <v>28033.25</v>
      </c>
      <c r="I193" s="12"/>
      <c r="J193" s="12"/>
      <c r="K193" s="11">
        <v>66.75</v>
      </c>
    </row>
    <row r="194" spans="1:11" hidden="1" x14ac:dyDescent="0.35">
      <c r="A194" s="10" t="s">
        <v>322</v>
      </c>
      <c r="B194" s="10" t="s">
        <v>323</v>
      </c>
      <c r="C194" s="10" t="s">
        <v>144</v>
      </c>
      <c r="D194" s="10" t="s">
        <v>145</v>
      </c>
      <c r="E194" s="10" t="s">
        <v>324</v>
      </c>
      <c r="F194" s="11">
        <v>162000</v>
      </c>
      <c r="G194" s="11">
        <v>23813</v>
      </c>
      <c r="H194" s="12"/>
      <c r="I194" s="12"/>
      <c r="J194" s="12"/>
      <c r="K194" s="11">
        <v>23813</v>
      </c>
    </row>
    <row r="195" spans="1:11" hidden="1" x14ac:dyDescent="0.35">
      <c r="A195" s="10" t="s">
        <v>322</v>
      </c>
      <c r="B195" s="10" t="s">
        <v>323</v>
      </c>
      <c r="C195" s="10" t="s">
        <v>97</v>
      </c>
      <c r="D195" s="10" t="s">
        <v>98</v>
      </c>
      <c r="E195" s="10" t="s">
        <v>325</v>
      </c>
      <c r="F195" s="11">
        <v>120000</v>
      </c>
      <c r="G195" s="11">
        <v>75704</v>
      </c>
      <c r="H195" s="11">
        <v>75704</v>
      </c>
      <c r="I195" s="12"/>
      <c r="J195" s="12"/>
      <c r="K195" s="11">
        <v>0</v>
      </c>
    </row>
    <row r="196" spans="1:11" hidden="1" x14ac:dyDescent="0.35">
      <c r="A196" s="10" t="s">
        <v>322</v>
      </c>
      <c r="B196" s="10" t="s">
        <v>323</v>
      </c>
      <c r="C196" s="10" t="s">
        <v>40</v>
      </c>
      <c r="D196" s="10" t="s">
        <v>41</v>
      </c>
      <c r="E196" s="10" t="s">
        <v>326</v>
      </c>
      <c r="F196" s="11">
        <v>5600</v>
      </c>
      <c r="G196" s="11">
        <v>5600</v>
      </c>
      <c r="H196" s="11">
        <v>1612</v>
      </c>
      <c r="I196" s="12"/>
      <c r="J196" s="12"/>
      <c r="K196" s="11">
        <v>3988</v>
      </c>
    </row>
    <row r="197" spans="1:11" hidden="1" x14ac:dyDescent="0.35">
      <c r="A197" s="10" t="s">
        <v>322</v>
      </c>
      <c r="B197" s="10" t="s">
        <v>323</v>
      </c>
      <c r="C197" s="10" t="s">
        <v>43</v>
      </c>
      <c r="D197" s="10" t="s">
        <v>44</v>
      </c>
      <c r="E197" s="10" t="s">
        <v>327</v>
      </c>
      <c r="F197" s="11">
        <v>0</v>
      </c>
      <c r="G197" s="11">
        <v>12229</v>
      </c>
      <c r="H197" s="11">
        <v>4529</v>
      </c>
      <c r="I197" s="12"/>
      <c r="J197" s="12"/>
      <c r="K197" s="11">
        <v>7700</v>
      </c>
    </row>
    <row r="198" spans="1:11" hidden="1" x14ac:dyDescent="0.35">
      <c r="A198" s="10" t="s">
        <v>322</v>
      </c>
      <c r="B198" s="10" t="s">
        <v>323</v>
      </c>
      <c r="C198" s="10" t="s">
        <v>82</v>
      </c>
      <c r="D198" s="10" t="s">
        <v>83</v>
      </c>
      <c r="E198" s="10" t="s">
        <v>328</v>
      </c>
      <c r="F198" s="11">
        <v>85229</v>
      </c>
      <c r="G198" s="11">
        <v>27742</v>
      </c>
      <c r="H198" s="11">
        <v>13287.9</v>
      </c>
      <c r="I198" s="11">
        <v>0</v>
      </c>
      <c r="J198" s="12"/>
      <c r="K198" s="11">
        <v>14454.1</v>
      </c>
    </row>
    <row r="199" spans="1:11" hidden="1" x14ac:dyDescent="0.35">
      <c r="A199" s="10" t="s">
        <v>322</v>
      </c>
      <c r="B199" s="10" t="s">
        <v>323</v>
      </c>
      <c r="C199" s="10" t="s">
        <v>103</v>
      </c>
      <c r="D199" s="10" t="s">
        <v>104</v>
      </c>
      <c r="E199" s="10" t="s">
        <v>329</v>
      </c>
      <c r="F199" s="11">
        <v>17900</v>
      </c>
      <c r="G199" s="11">
        <v>45384</v>
      </c>
      <c r="H199" s="11">
        <v>25632.9</v>
      </c>
      <c r="I199" s="12"/>
      <c r="J199" s="12"/>
      <c r="K199" s="11">
        <v>19751.099999999999</v>
      </c>
    </row>
    <row r="200" spans="1:11" hidden="1" x14ac:dyDescent="0.35">
      <c r="A200" s="10" t="s">
        <v>330</v>
      </c>
      <c r="B200" s="10" t="s">
        <v>331</v>
      </c>
      <c r="C200" s="10" t="s">
        <v>28</v>
      </c>
      <c r="D200" s="10" t="s">
        <v>29</v>
      </c>
      <c r="E200" s="10" t="s">
        <v>332</v>
      </c>
      <c r="F200" s="11">
        <v>150000</v>
      </c>
      <c r="G200" s="11">
        <v>30000</v>
      </c>
      <c r="H200" s="12"/>
      <c r="I200" s="12"/>
      <c r="J200" s="12"/>
      <c r="K200" s="11">
        <v>30000</v>
      </c>
    </row>
    <row r="201" spans="1:11" hidden="1" x14ac:dyDescent="0.35">
      <c r="A201" s="10" t="s">
        <v>330</v>
      </c>
      <c r="B201" s="10" t="s">
        <v>331</v>
      </c>
      <c r="C201" s="10" t="s">
        <v>67</v>
      </c>
      <c r="D201" s="10" t="s">
        <v>68</v>
      </c>
      <c r="E201" s="10" t="s">
        <v>333</v>
      </c>
      <c r="F201" s="11">
        <v>50000</v>
      </c>
      <c r="G201" s="11">
        <v>23000</v>
      </c>
      <c r="H201" s="12"/>
      <c r="I201" s="12"/>
      <c r="J201" s="12"/>
      <c r="K201" s="11">
        <v>23000</v>
      </c>
    </row>
    <row r="202" spans="1:11" hidden="1" x14ac:dyDescent="0.35">
      <c r="A202" s="10" t="s">
        <v>330</v>
      </c>
      <c r="B202" s="10" t="s">
        <v>331</v>
      </c>
      <c r="C202" s="10" t="s">
        <v>183</v>
      </c>
      <c r="D202" s="10" t="s">
        <v>184</v>
      </c>
      <c r="E202" s="10" t="s">
        <v>334</v>
      </c>
      <c r="F202" s="11">
        <v>5000</v>
      </c>
      <c r="G202" s="11">
        <v>2</v>
      </c>
      <c r="H202" s="12"/>
      <c r="I202" s="12"/>
      <c r="J202" s="12"/>
      <c r="K202" s="11">
        <v>2</v>
      </c>
    </row>
    <row r="203" spans="1:11" hidden="1" x14ac:dyDescent="0.35">
      <c r="A203" s="10" t="s">
        <v>330</v>
      </c>
      <c r="B203" s="10" t="s">
        <v>331</v>
      </c>
      <c r="C203" s="10" t="s">
        <v>72</v>
      </c>
      <c r="D203" s="10" t="s">
        <v>73</v>
      </c>
      <c r="E203" s="10" t="s">
        <v>335</v>
      </c>
      <c r="F203" s="11">
        <v>80000</v>
      </c>
      <c r="G203" s="11">
        <v>48845</v>
      </c>
      <c r="H203" s="11">
        <v>37063.160000000003</v>
      </c>
      <c r="I203" s="11">
        <v>0</v>
      </c>
      <c r="J203" s="11">
        <v>11780</v>
      </c>
      <c r="K203" s="11">
        <v>1.83999999999651</v>
      </c>
    </row>
    <row r="204" spans="1:11" hidden="1" x14ac:dyDescent="0.35">
      <c r="A204" s="10" t="s">
        <v>330</v>
      </c>
      <c r="B204" s="10" t="s">
        <v>331</v>
      </c>
      <c r="C204" s="10" t="s">
        <v>97</v>
      </c>
      <c r="D204" s="10" t="s">
        <v>98</v>
      </c>
      <c r="E204" s="10" t="s">
        <v>336</v>
      </c>
      <c r="F204" s="11">
        <v>285000</v>
      </c>
      <c r="G204" s="11">
        <v>316248</v>
      </c>
      <c r="H204" s="11">
        <v>296305.21999999997</v>
      </c>
      <c r="I204" s="12"/>
      <c r="J204" s="12"/>
      <c r="K204" s="11">
        <v>19942.78</v>
      </c>
    </row>
    <row r="205" spans="1:11" hidden="1" x14ac:dyDescent="0.35">
      <c r="A205" s="10" t="s">
        <v>330</v>
      </c>
      <c r="B205" s="10" t="s">
        <v>331</v>
      </c>
      <c r="C205" s="10" t="s">
        <v>37</v>
      </c>
      <c r="D205" s="10" t="s">
        <v>38</v>
      </c>
      <c r="E205" s="10" t="s">
        <v>337</v>
      </c>
      <c r="F205" s="11">
        <v>140000</v>
      </c>
      <c r="G205" s="11">
        <v>9342</v>
      </c>
      <c r="H205" s="11">
        <v>9339.73</v>
      </c>
      <c r="I205" s="12"/>
      <c r="J205" s="12"/>
      <c r="K205" s="11">
        <v>2.2700000000004401</v>
      </c>
    </row>
    <row r="206" spans="1:11" hidden="1" x14ac:dyDescent="0.35">
      <c r="A206" s="10" t="s">
        <v>330</v>
      </c>
      <c r="B206" s="10" t="s">
        <v>331</v>
      </c>
      <c r="C206" s="10" t="s">
        <v>40</v>
      </c>
      <c r="D206" s="10" t="s">
        <v>41</v>
      </c>
      <c r="E206" s="10" t="s">
        <v>338</v>
      </c>
      <c r="F206" s="11">
        <v>229511</v>
      </c>
      <c r="G206" s="11">
        <v>144305</v>
      </c>
      <c r="H206" s="11">
        <v>92696.94</v>
      </c>
      <c r="I206" s="11">
        <v>0</v>
      </c>
      <c r="J206" s="11">
        <v>37806.980000000003</v>
      </c>
      <c r="K206" s="11">
        <v>13801.08</v>
      </c>
    </row>
    <row r="207" spans="1:11" hidden="1" x14ac:dyDescent="0.35">
      <c r="A207" s="10" t="s">
        <v>330</v>
      </c>
      <c r="B207" s="10" t="s">
        <v>331</v>
      </c>
      <c r="C207" s="10" t="s">
        <v>49</v>
      </c>
      <c r="D207" s="10" t="s">
        <v>50</v>
      </c>
      <c r="E207" s="10" t="s">
        <v>339</v>
      </c>
      <c r="F207" s="11">
        <v>15000</v>
      </c>
      <c r="G207" s="11">
        <v>7612</v>
      </c>
      <c r="H207" s="12"/>
      <c r="I207" s="12"/>
      <c r="J207" s="12"/>
      <c r="K207" s="11">
        <v>7612</v>
      </c>
    </row>
    <row r="208" spans="1:11" x14ac:dyDescent="0.35">
      <c r="A208" s="10" t="s">
        <v>330</v>
      </c>
      <c r="B208" s="10" t="s">
        <v>331</v>
      </c>
      <c r="C208" s="10" t="s">
        <v>169</v>
      </c>
      <c r="D208" s="10" t="s">
        <v>170</v>
      </c>
      <c r="E208" s="10" t="s">
        <v>340</v>
      </c>
      <c r="F208" s="11">
        <v>301000</v>
      </c>
      <c r="G208" s="11">
        <v>223957</v>
      </c>
      <c r="H208" s="11">
        <v>203796.71</v>
      </c>
      <c r="I208" s="11">
        <v>0</v>
      </c>
      <c r="J208" s="11">
        <v>899.99999999999602</v>
      </c>
      <c r="K208" s="11">
        <v>19260.29</v>
      </c>
    </row>
    <row r="209" spans="1:11" hidden="1" x14ac:dyDescent="0.35">
      <c r="A209" s="10" t="s">
        <v>330</v>
      </c>
      <c r="B209" s="10" t="s">
        <v>331</v>
      </c>
      <c r="C209" s="10" t="s">
        <v>103</v>
      </c>
      <c r="D209" s="10" t="s">
        <v>104</v>
      </c>
      <c r="E209" s="10" t="s">
        <v>341</v>
      </c>
      <c r="F209" s="11">
        <v>70000</v>
      </c>
      <c r="G209" s="11">
        <v>5140</v>
      </c>
      <c r="H209" s="11">
        <v>5138</v>
      </c>
      <c r="I209" s="12"/>
      <c r="J209" s="12"/>
      <c r="K209" s="11">
        <v>2</v>
      </c>
    </row>
    <row r="210" spans="1:11" hidden="1" x14ac:dyDescent="0.35">
      <c r="A210" s="10" t="s">
        <v>330</v>
      </c>
      <c r="B210" s="10" t="s">
        <v>331</v>
      </c>
      <c r="C210" s="10" t="s">
        <v>173</v>
      </c>
      <c r="D210" s="10" t="s">
        <v>174</v>
      </c>
      <c r="E210" s="10" t="s">
        <v>342</v>
      </c>
      <c r="F210" s="11">
        <v>525000</v>
      </c>
      <c r="G210" s="11">
        <v>468973</v>
      </c>
      <c r="H210" s="11">
        <v>292534.89</v>
      </c>
      <c r="I210" s="11">
        <v>23837.200000000001</v>
      </c>
      <c r="J210" s="11">
        <v>148078.48000000001</v>
      </c>
      <c r="K210" s="11">
        <v>4522.4299999999903</v>
      </c>
    </row>
    <row r="211" spans="1:11" hidden="1" x14ac:dyDescent="0.35">
      <c r="A211" s="10" t="s">
        <v>330</v>
      </c>
      <c r="B211" s="10" t="s">
        <v>331</v>
      </c>
      <c r="C211" s="10" t="s">
        <v>85</v>
      </c>
      <c r="D211" s="10" t="s">
        <v>86</v>
      </c>
      <c r="E211" s="10" t="s">
        <v>343</v>
      </c>
      <c r="F211" s="11">
        <v>20000</v>
      </c>
      <c r="G211" s="11">
        <v>20000</v>
      </c>
      <c r="H211" s="12"/>
      <c r="I211" s="12"/>
      <c r="J211" s="12"/>
      <c r="K211" s="11">
        <v>20000</v>
      </c>
    </row>
    <row r="212" spans="1:11" hidden="1" x14ac:dyDescent="0.35">
      <c r="A212" s="10" t="s">
        <v>344</v>
      </c>
      <c r="B212" s="10" t="s">
        <v>345</v>
      </c>
      <c r="C212" s="10" t="s">
        <v>31</v>
      </c>
      <c r="D212" s="10" t="s">
        <v>32</v>
      </c>
      <c r="E212" s="10" t="s">
        <v>346</v>
      </c>
      <c r="F212" s="11">
        <v>45000</v>
      </c>
      <c r="G212" s="11">
        <v>35457</v>
      </c>
      <c r="H212" s="11">
        <v>9658.81</v>
      </c>
      <c r="I212" s="11">
        <v>0</v>
      </c>
      <c r="J212" s="11">
        <v>11600</v>
      </c>
      <c r="K212" s="11">
        <v>14198.19</v>
      </c>
    </row>
    <row r="213" spans="1:11" hidden="1" x14ac:dyDescent="0.35">
      <c r="A213" s="10" t="s">
        <v>344</v>
      </c>
      <c r="B213" s="10" t="s">
        <v>345</v>
      </c>
      <c r="C213" s="10" t="s">
        <v>34</v>
      </c>
      <c r="D213" s="10" t="s">
        <v>35</v>
      </c>
      <c r="E213" s="10" t="s">
        <v>347</v>
      </c>
      <c r="F213" s="11">
        <v>225000</v>
      </c>
      <c r="G213" s="11">
        <v>54661</v>
      </c>
      <c r="H213" s="11">
        <v>54660.3</v>
      </c>
      <c r="I213" s="12"/>
      <c r="J213" s="12"/>
      <c r="K213" s="11">
        <v>0.70000000000436602</v>
      </c>
    </row>
    <row r="214" spans="1:11" hidden="1" x14ac:dyDescent="0.35">
      <c r="A214" s="10" t="s">
        <v>344</v>
      </c>
      <c r="B214" s="10" t="s">
        <v>345</v>
      </c>
      <c r="C214" s="10" t="s">
        <v>97</v>
      </c>
      <c r="D214" s="10" t="s">
        <v>98</v>
      </c>
      <c r="E214" s="10" t="s">
        <v>348</v>
      </c>
      <c r="F214" s="11">
        <v>60000</v>
      </c>
      <c r="G214" s="11">
        <v>39943</v>
      </c>
      <c r="H214" s="11">
        <v>39895</v>
      </c>
      <c r="I214" s="12"/>
      <c r="J214" s="12"/>
      <c r="K214" s="11">
        <v>48</v>
      </c>
    </row>
    <row r="215" spans="1:11" hidden="1" x14ac:dyDescent="0.35">
      <c r="A215" s="10" t="s">
        <v>344</v>
      </c>
      <c r="B215" s="10" t="s">
        <v>345</v>
      </c>
      <c r="C215" s="10" t="s">
        <v>37</v>
      </c>
      <c r="D215" s="10" t="s">
        <v>38</v>
      </c>
      <c r="E215" s="10" t="s">
        <v>349</v>
      </c>
      <c r="F215" s="11">
        <v>10116</v>
      </c>
      <c r="G215" s="11">
        <v>10116</v>
      </c>
      <c r="H215" s="11">
        <v>2973</v>
      </c>
      <c r="I215" s="12"/>
      <c r="J215" s="12"/>
      <c r="K215" s="11">
        <v>7143</v>
      </c>
    </row>
    <row r="216" spans="1:11" hidden="1" x14ac:dyDescent="0.35">
      <c r="A216" s="10" t="s">
        <v>344</v>
      </c>
      <c r="B216" s="10" t="s">
        <v>345</v>
      </c>
      <c r="C216" s="10" t="s">
        <v>40</v>
      </c>
      <c r="D216" s="10" t="s">
        <v>41</v>
      </c>
      <c r="E216" s="10" t="s">
        <v>350</v>
      </c>
      <c r="F216" s="11">
        <v>212000</v>
      </c>
      <c r="G216" s="11">
        <v>35845</v>
      </c>
      <c r="H216" s="11">
        <v>22497.13</v>
      </c>
      <c r="I216" s="11">
        <v>0</v>
      </c>
      <c r="J216" s="11">
        <v>0</v>
      </c>
      <c r="K216" s="11">
        <v>13347.87</v>
      </c>
    </row>
    <row r="217" spans="1:11" hidden="1" x14ac:dyDescent="0.35">
      <c r="A217" s="10" t="s">
        <v>344</v>
      </c>
      <c r="B217" s="10" t="s">
        <v>345</v>
      </c>
      <c r="C217" s="10" t="s">
        <v>43</v>
      </c>
      <c r="D217" s="10" t="s">
        <v>44</v>
      </c>
      <c r="E217" s="10" t="s">
        <v>351</v>
      </c>
      <c r="F217" s="11">
        <v>128000</v>
      </c>
      <c r="G217" s="11">
        <v>34875</v>
      </c>
      <c r="H217" s="11">
        <v>6445</v>
      </c>
      <c r="I217" s="12"/>
      <c r="J217" s="12"/>
      <c r="K217" s="11">
        <v>28430</v>
      </c>
    </row>
    <row r="218" spans="1:11" hidden="1" x14ac:dyDescent="0.35">
      <c r="A218" s="10" t="s">
        <v>344</v>
      </c>
      <c r="B218" s="10" t="s">
        <v>345</v>
      </c>
      <c r="C218" s="10" t="s">
        <v>103</v>
      </c>
      <c r="D218" s="10" t="s">
        <v>104</v>
      </c>
      <c r="E218" s="10" t="s">
        <v>352</v>
      </c>
      <c r="F218" s="11">
        <v>120000</v>
      </c>
      <c r="G218" s="11">
        <v>100291</v>
      </c>
      <c r="H218" s="11">
        <v>97526.43</v>
      </c>
      <c r="I218" s="12"/>
      <c r="J218" s="12"/>
      <c r="K218" s="11">
        <v>2764.5699999999902</v>
      </c>
    </row>
    <row r="219" spans="1:11" hidden="1" x14ac:dyDescent="0.35">
      <c r="A219" s="10" t="s">
        <v>344</v>
      </c>
      <c r="B219" s="10" t="s">
        <v>345</v>
      </c>
      <c r="C219" s="10" t="s">
        <v>173</v>
      </c>
      <c r="D219" s="10" t="s">
        <v>174</v>
      </c>
      <c r="E219" s="10" t="s">
        <v>353</v>
      </c>
      <c r="F219" s="11">
        <v>551566</v>
      </c>
      <c r="G219" s="11">
        <v>212293</v>
      </c>
      <c r="H219" s="11">
        <v>212291.61</v>
      </c>
      <c r="I219" s="11">
        <v>0</v>
      </c>
      <c r="J219" s="11">
        <v>0</v>
      </c>
      <c r="K219" s="11">
        <v>1.3900000000139701</v>
      </c>
    </row>
    <row r="220" spans="1:11" hidden="1" x14ac:dyDescent="0.35">
      <c r="A220" s="10" t="s">
        <v>354</v>
      </c>
      <c r="B220" s="10" t="s">
        <v>355</v>
      </c>
      <c r="C220" s="10" t="s">
        <v>144</v>
      </c>
      <c r="D220" s="10" t="s">
        <v>145</v>
      </c>
      <c r="E220" s="10" t="s">
        <v>356</v>
      </c>
      <c r="F220" s="11">
        <v>8500</v>
      </c>
      <c r="G220" s="11">
        <v>8500</v>
      </c>
      <c r="H220" s="12"/>
      <c r="I220" s="12"/>
      <c r="J220" s="12"/>
      <c r="K220" s="11">
        <v>8500</v>
      </c>
    </row>
    <row r="221" spans="1:11" hidden="1" x14ac:dyDescent="0.35">
      <c r="A221" s="10" t="s">
        <v>354</v>
      </c>
      <c r="B221" s="10" t="s">
        <v>355</v>
      </c>
      <c r="C221" s="10" t="s">
        <v>97</v>
      </c>
      <c r="D221" s="10" t="s">
        <v>98</v>
      </c>
      <c r="E221" s="10" t="s">
        <v>357</v>
      </c>
      <c r="F221" s="11">
        <v>375000</v>
      </c>
      <c r="G221" s="11">
        <v>44725</v>
      </c>
      <c r="H221" s="11">
        <v>44723.79</v>
      </c>
      <c r="I221" s="12"/>
      <c r="J221" s="12"/>
      <c r="K221" s="11">
        <v>1.20999999999913</v>
      </c>
    </row>
    <row r="222" spans="1:11" hidden="1" x14ac:dyDescent="0.35">
      <c r="A222" s="10" t="s">
        <v>354</v>
      </c>
      <c r="B222" s="10" t="s">
        <v>355</v>
      </c>
      <c r="C222" s="10" t="s">
        <v>37</v>
      </c>
      <c r="D222" s="10" t="s">
        <v>38</v>
      </c>
      <c r="E222" s="10" t="s">
        <v>358</v>
      </c>
      <c r="F222" s="11">
        <v>12000</v>
      </c>
      <c r="G222" s="11">
        <v>12000</v>
      </c>
      <c r="H222" s="12"/>
      <c r="I222" s="12"/>
      <c r="J222" s="12"/>
      <c r="K222" s="11">
        <v>12000</v>
      </c>
    </row>
    <row r="223" spans="1:11" hidden="1" x14ac:dyDescent="0.35">
      <c r="A223" s="10" t="s">
        <v>354</v>
      </c>
      <c r="B223" s="10" t="s">
        <v>355</v>
      </c>
      <c r="C223" s="10" t="s">
        <v>40</v>
      </c>
      <c r="D223" s="10" t="s">
        <v>41</v>
      </c>
      <c r="E223" s="10" t="s">
        <v>359</v>
      </c>
      <c r="F223" s="11">
        <v>26152</v>
      </c>
      <c r="G223" s="11">
        <v>26152</v>
      </c>
      <c r="H223" s="11">
        <v>49362.03</v>
      </c>
      <c r="I223" s="11">
        <v>0</v>
      </c>
      <c r="J223" s="11">
        <v>-26381.32</v>
      </c>
      <c r="K223" s="11">
        <v>3171.29</v>
      </c>
    </row>
    <row r="224" spans="1:11" x14ac:dyDescent="0.35">
      <c r="A224" s="10" t="s">
        <v>354</v>
      </c>
      <c r="B224" s="10" t="s">
        <v>355</v>
      </c>
      <c r="C224" s="10" t="s">
        <v>169</v>
      </c>
      <c r="D224" s="10" t="s">
        <v>170</v>
      </c>
      <c r="E224" s="10" t="s">
        <v>360</v>
      </c>
      <c r="F224" s="11">
        <v>0</v>
      </c>
      <c r="G224" s="11">
        <v>1575</v>
      </c>
      <c r="H224" s="11">
        <v>1500</v>
      </c>
      <c r="I224" s="12"/>
      <c r="J224" s="12"/>
      <c r="K224" s="11">
        <v>953.9</v>
      </c>
    </row>
    <row r="225" spans="1:11" hidden="1" x14ac:dyDescent="0.35">
      <c r="A225" s="10" t="s">
        <v>354</v>
      </c>
      <c r="B225" s="10" t="s">
        <v>355</v>
      </c>
      <c r="C225" s="10" t="s">
        <v>173</v>
      </c>
      <c r="D225" s="10" t="s">
        <v>174</v>
      </c>
      <c r="E225" s="10" t="s">
        <v>361</v>
      </c>
      <c r="F225" s="11">
        <v>84600</v>
      </c>
      <c r="G225" s="11">
        <v>9791</v>
      </c>
      <c r="H225" s="11">
        <v>9789.4</v>
      </c>
      <c r="I225" s="11">
        <v>0</v>
      </c>
      <c r="J225" s="11">
        <v>0</v>
      </c>
      <c r="K225" s="11">
        <v>1.60000000000036</v>
      </c>
    </row>
    <row r="226" spans="1:11" hidden="1" x14ac:dyDescent="0.35">
      <c r="A226" s="10" t="s">
        <v>362</v>
      </c>
      <c r="B226" s="10" t="s">
        <v>363</v>
      </c>
      <c r="C226" s="10" t="s">
        <v>97</v>
      </c>
      <c r="D226" s="10" t="s">
        <v>98</v>
      </c>
      <c r="E226" s="10" t="s">
        <v>364</v>
      </c>
      <c r="F226" s="11">
        <v>100000</v>
      </c>
      <c r="G226" s="11">
        <v>101407</v>
      </c>
      <c r="H226" s="11">
        <v>98631.06</v>
      </c>
      <c r="I226" s="12"/>
      <c r="J226" s="12"/>
      <c r="K226" s="11">
        <v>2775.94</v>
      </c>
    </row>
    <row r="227" spans="1:11" hidden="1" x14ac:dyDescent="0.35">
      <c r="A227" s="10" t="s">
        <v>362</v>
      </c>
      <c r="B227" s="10" t="s">
        <v>363</v>
      </c>
      <c r="C227" s="10" t="s">
        <v>40</v>
      </c>
      <c r="D227" s="10" t="s">
        <v>41</v>
      </c>
      <c r="E227" s="10" t="s">
        <v>365</v>
      </c>
      <c r="F227" s="11">
        <v>30000</v>
      </c>
      <c r="G227" s="11">
        <v>30000</v>
      </c>
      <c r="H227" s="11">
        <v>29106</v>
      </c>
      <c r="I227" s="11">
        <v>0</v>
      </c>
      <c r="J227" s="11">
        <v>0</v>
      </c>
      <c r="K227" s="11">
        <v>894</v>
      </c>
    </row>
    <row r="228" spans="1:11" hidden="1" x14ac:dyDescent="0.35">
      <c r="A228" s="10" t="s">
        <v>362</v>
      </c>
      <c r="B228" s="10" t="s">
        <v>363</v>
      </c>
      <c r="C228" s="10" t="s">
        <v>192</v>
      </c>
      <c r="D228" s="10" t="s">
        <v>193</v>
      </c>
      <c r="E228" s="10" t="s">
        <v>366</v>
      </c>
      <c r="F228" s="11">
        <v>35000</v>
      </c>
      <c r="G228" s="11">
        <v>19000</v>
      </c>
      <c r="H228" s="12"/>
      <c r="I228" s="12"/>
      <c r="J228" s="12"/>
      <c r="K228" s="11">
        <v>19000</v>
      </c>
    </row>
    <row r="229" spans="1:11" hidden="1" x14ac:dyDescent="0.35">
      <c r="A229" s="10" t="s">
        <v>362</v>
      </c>
      <c r="B229" s="10" t="s">
        <v>363</v>
      </c>
      <c r="C229" s="10" t="s">
        <v>176</v>
      </c>
      <c r="D229" s="10" t="s">
        <v>177</v>
      </c>
      <c r="E229" s="10" t="s">
        <v>367</v>
      </c>
      <c r="F229" s="11">
        <v>30000</v>
      </c>
      <c r="G229" s="11">
        <v>30000</v>
      </c>
      <c r="H229" s="12"/>
      <c r="I229" s="12"/>
      <c r="J229" s="12"/>
      <c r="K229" s="11">
        <v>30000</v>
      </c>
    </row>
    <row r="230" spans="1:11" hidden="1" x14ac:dyDescent="0.35">
      <c r="A230" s="10" t="s">
        <v>368</v>
      </c>
      <c r="B230" s="10" t="s">
        <v>369</v>
      </c>
      <c r="C230" s="10" t="s">
        <v>16</v>
      </c>
      <c r="D230" s="10" t="s">
        <v>17</v>
      </c>
      <c r="E230" s="10" t="s">
        <v>370</v>
      </c>
      <c r="F230" s="11">
        <v>560000</v>
      </c>
      <c r="G230" s="11">
        <v>20593</v>
      </c>
      <c r="H230" s="11">
        <v>20592.45</v>
      </c>
      <c r="I230" s="12"/>
      <c r="J230" s="12"/>
      <c r="K230" s="11">
        <v>0.54999999999927196</v>
      </c>
    </row>
    <row r="231" spans="1:11" hidden="1" x14ac:dyDescent="0.35">
      <c r="A231" s="10" t="s">
        <v>368</v>
      </c>
      <c r="B231" s="10" t="s">
        <v>369</v>
      </c>
      <c r="C231" s="10" t="s">
        <v>19</v>
      </c>
      <c r="D231" s="10" t="s">
        <v>20</v>
      </c>
      <c r="E231" s="10" t="s">
        <v>371</v>
      </c>
      <c r="F231" s="11">
        <v>150000</v>
      </c>
      <c r="G231" s="11">
        <v>2</v>
      </c>
      <c r="H231" s="12"/>
      <c r="I231" s="12"/>
      <c r="J231" s="12"/>
      <c r="K231" s="11">
        <v>2</v>
      </c>
    </row>
    <row r="232" spans="1:11" hidden="1" x14ac:dyDescent="0.35">
      <c r="A232" s="10" t="s">
        <v>368</v>
      </c>
      <c r="B232" s="10" t="s">
        <v>369</v>
      </c>
      <c r="C232" s="10" t="s">
        <v>28</v>
      </c>
      <c r="D232" s="10" t="s">
        <v>29</v>
      </c>
      <c r="E232" s="10" t="s">
        <v>372</v>
      </c>
      <c r="F232" s="11">
        <v>280000</v>
      </c>
      <c r="G232" s="11">
        <v>1</v>
      </c>
      <c r="H232" s="12"/>
      <c r="I232" s="12"/>
      <c r="J232" s="12"/>
      <c r="K232" s="11">
        <v>1</v>
      </c>
    </row>
    <row r="233" spans="1:11" hidden="1" x14ac:dyDescent="0.35">
      <c r="A233" s="10" t="s">
        <v>368</v>
      </c>
      <c r="B233" s="10" t="s">
        <v>369</v>
      </c>
      <c r="C233" s="10" t="s">
        <v>67</v>
      </c>
      <c r="D233" s="10" t="s">
        <v>68</v>
      </c>
      <c r="E233" s="10" t="s">
        <v>373</v>
      </c>
      <c r="F233" s="11">
        <v>10000</v>
      </c>
      <c r="G233" s="11">
        <v>10000</v>
      </c>
      <c r="H233" s="12"/>
      <c r="I233" s="12"/>
      <c r="J233" s="12"/>
      <c r="K233" s="11">
        <v>10000</v>
      </c>
    </row>
    <row r="234" spans="1:11" hidden="1" x14ac:dyDescent="0.35">
      <c r="A234" s="10" t="s">
        <v>368</v>
      </c>
      <c r="B234" s="10" t="s">
        <v>369</v>
      </c>
      <c r="C234" s="10" t="s">
        <v>31</v>
      </c>
      <c r="D234" s="10" t="s">
        <v>32</v>
      </c>
      <c r="E234" s="10" t="s">
        <v>374</v>
      </c>
      <c r="F234" s="11">
        <v>225000</v>
      </c>
      <c r="G234" s="11">
        <v>11271</v>
      </c>
      <c r="H234" s="11">
        <v>11269.01</v>
      </c>
      <c r="I234" s="12"/>
      <c r="J234" s="12"/>
      <c r="K234" s="11">
        <v>1.9899999999997799</v>
      </c>
    </row>
    <row r="235" spans="1:11" hidden="1" x14ac:dyDescent="0.35">
      <c r="A235" s="10" t="s">
        <v>368</v>
      </c>
      <c r="B235" s="10" t="s">
        <v>369</v>
      </c>
      <c r="C235" s="10" t="s">
        <v>34</v>
      </c>
      <c r="D235" s="10" t="s">
        <v>35</v>
      </c>
      <c r="E235" s="10" t="s">
        <v>375</v>
      </c>
      <c r="F235" s="11">
        <v>225000</v>
      </c>
      <c r="G235" s="11">
        <v>25689</v>
      </c>
      <c r="H235" s="11">
        <v>25687.71</v>
      </c>
      <c r="I235" s="12"/>
      <c r="J235" s="12"/>
      <c r="K235" s="11">
        <v>1.29000000000087</v>
      </c>
    </row>
    <row r="236" spans="1:11" hidden="1" x14ac:dyDescent="0.35">
      <c r="A236" s="10" t="s">
        <v>368</v>
      </c>
      <c r="B236" s="10" t="s">
        <v>369</v>
      </c>
      <c r="C236" s="10" t="s">
        <v>144</v>
      </c>
      <c r="D236" s="10" t="s">
        <v>145</v>
      </c>
      <c r="E236" s="10" t="s">
        <v>376</v>
      </c>
      <c r="F236" s="11">
        <v>750000</v>
      </c>
      <c r="G236" s="11">
        <v>0</v>
      </c>
      <c r="H236" s="12"/>
      <c r="I236" s="12"/>
      <c r="J236" s="12"/>
      <c r="K236" s="11">
        <v>0</v>
      </c>
    </row>
    <row r="237" spans="1:11" hidden="1" x14ac:dyDescent="0.35">
      <c r="A237" s="10" t="s">
        <v>368</v>
      </c>
      <c r="B237" s="10" t="s">
        <v>369</v>
      </c>
      <c r="C237" s="10" t="s">
        <v>97</v>
      </c>
      <c r="D237" s="10" t="s">
        <v>98</v>
      </c>
      <c r="E237" s="10" t="s">
        <v>377</v>
      </c>
      <c r="F237" s="11">
        <v>300000</v>
      </c>
      <c r="G237" s="11">
        <v>175795</v>
      </c>
      <c r="H237" s="11">
        <v>174480.33</v>
      </c>
      <c r="I237" s="12"/>
      <c r="J237" s="12"/>
      <c r="K237" s="11">
        <v>1314.6699999999801</v>
      </c>
    </row>
    <row r="238" spans="1:11" hidden="1" x14ac:dyDescent="0.35">
      <c r="A238" s="10" t="s">
        <v>368</v>
      </c>
      <c r="B238" s="10" t="s">
        <v>369</v>
      </c>
      <c r="C238" s="10" t="s">
        <v>37</v>
      </c>
      <c r="D238" s="10" t="s">
        <v>38</v>
      </c>
      <c r="E238" s="10" t="s">
        <v>378</v>
      </c>
      <c r="F238" s="11">
        <v>24000</v>
      </c>
      <c r="G238" s="11">
        <v>2</v>
      </c>
      <c r="H238" s="12"/>
      <c r="I238" s="12"/>
      <c r="J238" s="12"/>
      <c r="K238" s="11">
        <v>2</v>
      </c>
    </row>
    <row r="239" spans="1:11" hidden="1" x14ac:dyDescent="0.35">
      <c r="A239" s="10" t="s">
        <v>368</v>
      </c>
      <c r="B239" s="10" t="s">
        <v>369</v>
      </c>
      <c r="C239" s="10" t="s">
        <v>40</v>
      </c>
      <c r="D239" s="10" t="s">
        <v>41</v>
      </c>
      <c r="E239" s="10" t="s">
        <v>379</v>
      </c>
      <c r="F239" s="11">
        <v>120000</v>
      </c>
      <c r="G239" s="11">
        <v>22590</v>
      </c>
      <c r="H239" s="11">
        <v>8988.7800000000007</v>
      </c>
      <c r="I239" s="11">
        <v>0</v>
      </c>
      <c r="J239" s="11">
        <v>13600</v>
      </c>
      <c r="K239" s="11">
        <v>1.2200000000011599</v>
      </c>
    </row>
    <row r="240" spans="1:11" hidden="1" x14ac:dyDescent="0.35">
      <c r="A240" s="10" t="s">
        <v>368</v>
      </c>
      <c r="B240" s="10" t="s">
        <v>369</v>
      </c>
      <c r="C240" s="10" t="s">
        <v>61</v>
      </c>
      <c r="D240" s="10" t="s">
        <v>62</v>
      </c>
      <c r="E240" s="10" t="s">
        <v>380</v>
      </c>
      <c r="F240" s="11">
        <v>15000</v>
      </c>
      <c r="G240" s="11">
        <v>1943</v>
      </c>
      <c r="H240" s="11">
        <v>1941.62</v>
      </c>
      <c r="I240" s="12"/>
      <c r="J240" s="12"/>
      <c r="K240" s="11">
        <v>1.37999999999988</v>
      </c>
    </row>
    <row r="241" spans="1:11" hidden="1" x14ac:dyDescent="0.35">
      <c r="A241" s="10" t="s">
        <v>368</v>
      </c>
      <c r="B241" s="10" t="s">
        <v>369</v>
      </c>
      <c r="C241" s="10" t="s">
        <v>43</v>
      </c>
      <c r="D241" s="10" t="s">
        <v>44</v>
      </c>
      <c r="E241" s="10" t="s">
        <v>381</v>
      </c>
      <c r="F241" s="11">
        <v>225000</v>
      </c>
      <c r="G241" s="11">
        <v>4221</v>
      </c>
      <c r="H241" s="11">
        <v>4218.25</v>
      </c>
      <c r="I241" s="12"/>
      <c r="J241" s="12"/>
      <c r="K241" s="11">
        <v>2.75</v>
      </c>
    </row>
    <row r="242" spans="1:11" hidden="1" x14ac:dyDescent="0.35">
      <c r="A242" s="10" t="s">
        <v>368</v>
      </c>
      <c r="B242" s="10" t="s">
        <v>369</v>
      </c>
      <c r="C242" s="10" t="s">
        <v>49</v>
      </c>
      <c r="D242" s="10" t="s">
        <v>50</v>
      </c>
      <c r="E242" s="10" t="s">
        <v>382</v>
      </c>
      <c r="F242" s="11">
        <v>100000</v>
      </c>
      <c r="G242" s="11">
        <v>2174</v>
      </c>
      <c r="H242" s="11">
        <v>2173.5</v>
      </c>
      <c r="I242" s="12"/>
      <c r="J242" s="12"/>
      <c r="K242" s="11">
        <v>0.5</v>
      </c>
    </row>
    <row r="243" spans="1:11" hidden="1" x14ac:dyDescent="0.35">
      <c r="A243" s="10" t="s">
        <v>368</v>
      </c>
      <c r="B243" s="10" t="s">
        <v>369</v>
      </c>
      <c r="C243" s="10" t="s">
        <v>192</v>
      </c>
      <c r="D243" s="10" t="s">
        <v>193</v>
      </c>
      <c r="E243" s="10" t="s">
        <v>383</v>
      </c>
      <c r="F243" s="11">
        <v>120000</v>
      </c>
      <c r="G243" s="11">
        <v>24000</v>
      </c>
      <c r="H243" s="12"/>
      <c r="I243" s="12"/>
      <c r="J243" s="12"/>
      <c r="K243" s="11">
        <v>24000</v>
      </c>
    </row>
    <row r="244" spans="1:11" hidden="1" x14ac:dyDescent="0.35">
      <c r="A244" s="10" t="s">
        <v>368</v>
      </c>
      <c r="B244" s="10" t="s">
        <v>369</v>
      </c>
      <c r="C244" s="10" t="s">
        <v>103</v>
      </c>
      <c r="D244" s="10" t="s">
        <v>104</v>
      </c>
      <c r="E244" s="10" t="s">
        <v>384</v>
      </c>
      <c r="F244" s="11">
        <v>40000</v>
      </c>
      <c r="G244" s="11">
        <v>45440</v>
      </c>
      <c r="H244" s="11">
        <v>57008</v>
      </c>
      <c r="I244" s="12"/>
      <c r="J244" s="12"/>
      <c r="K244" s="11">
        <v>76.700000000000699</v>
      </c>
    </row>
    <row r="245" spans="1:11" hidden="1" x14ac:dyDescent="0.35">
      <c r="A245" s="10" t="s">
        <v>368</v>
      </c>
      <c r="B245" s="10" t="s">
        <v>369</v>
      </c>
      <c r="C245" s="10" t="s">
        <v>176</v>
      </c>
      <c r="D245" s="10" t="s">
        <v>177</v>
      </c>
      <c r="E245" s="10" t="s">
        <v>385</v>
      </c>
      <c r="F245" s="11">
        <v>22500</v>
      </c>
      <c r="G245" s="11">
        <v>4196</v>
      </c>
      <c r="H245" s="11">
        <v>4195</v>
      </c>
      <c r="I245" s="11">
        <v>0</v>
      </c>
      <c r="J245" s="11">
        <v>0</v>
      </c>
      <c r="K245" s="11">
        <v>1</v>
      </c>
    </row>
    <row r="246" spans="1:11" hidden="1" x14ac:dyDescent="0.35">
      <c r="A246" s="10" t="s">
        <v>386</v>
      </c>
      <c r="B246" s="10" t="s">
        <v>387</v>
      </c>
      <c r="C246" s="10" t="s">
        <v>67</v>
      </c>
      <c r="D246" s="10" t="s">
        <v>68</v>
      </c>
      <c r="E246" s="10" t="s">
        <v>388</v>
      </c>
      <c r="F246" s="11">
        <v>150000</v>
      </c>
      <c r="G246" s="11">
        <v>30000</v>
      </c>
      <c r="H246" s="12"/>
      <c r="I246" s="12"/>
      <c r="J246" s="12"/>
      <c r="K246" s="11">
        <v>30000</v>
      </c>
    </row>
    <row r="247" spans="1:11" hidden="1" x14ac:dyDescent="0.35">
      <c r="A247" s="10" t="s">
        <v>386</v>
      </c>
      <c r="B247" s="10" t="s">
        <v>387</v>
      </c>
      <c r="C247" s="10" t="s">
        <v>31</v>
      </c>
      <c r="D247" s="10" t="s">
        <v>32</v>
      </c>
      <c r="E247" s="10" t="s">
        <v>389</v>
      </c>
      <c r="F247" s="11">
        <v>0</v>
      </c>
      <c r="G247" s="11">
        <v>1</v>
      </c>
      <c r="H247" s="12"/>
      <c r="I247" s="12"/>
      <c r="J247" s="12"/>
      <c r="K247" s="11">
        <v>1</v>
      </c>
    </row>
    <row r="248" spans="1:11" hidden="1" x14ac:dyDescent="0.35">
      <c r="A248" s="10" t="s">
        <v>386</v>
      </c>
      <c r="B248" s="10" t="s">
        <v>387</v>
      </c>
      <c r="C248" s="10" t="s">
        <v>274</v>
      </c>
      <c r="D248" s="10" t="s">
        <v>275</v>
      </c>
      <c r="E248" s="10" t="s">
        <v>390</v>
      </c>
      <c r="F248" s="11">
        <v>18350</v>
      </c>
      <c r="G248" s="11">
        <v>19350</v>
      </c>
      <c r="H248" s="11">
        <v>825</v>
      </c>
      <c r="I248" s="11">
        <v>0</v>
      </c>
      <c r="J248" s="11">
        <v>18365</v>
      </c>
      <c r="K248" s="11">
        <v>160</v>
      </c>
    </row>
    <row r="249" spans="1:11" hidden="1" x14ac:dyDescent="0.35">
      <c r="A249" s="10" t="s">
        <v>386</v>
      </c>
      <c r="B249" s="10" t="s">
        <v>387</v>
      </c>
      <c r="C249" s="10" t="s">
        <v>183</v>
      </c>
      <c r="D249" s="10" t="s">
        <v>184</v>
      </c>
      <c r="E249" s="10" t="s">
        <v>391</v>
      </c>
      <c r="F249" s="11">
        <v>36630</v>
      </c>
      <c r="G249" s="11">
        <v>1</v>
      </c>
      <c r="H249" s="12"/>
      <c r="I249" s="12"/>
      <c r="J249" s="12"/>
      <c r="K249" s="11">
        <v>1</v>
      </c>
    </row>
    <row r="250" spans="1:11" hidden="1" x14ac:dyDescent="0.35">
      <c r="A250" s="10" t="s">
        <v>386</v>
      </c>
      <c r="B250" s="10" t="s">
        <v>387</v>
      </c>
      <c r="C250" s="10" t="s">
        <v>72</v>
      </c>
      <c r="D250" s="10" t="s">
        <v>73</v>
      </c>
      <c r="E250" s="10" t="s">
        <v>392</v>
      </c>
      <c r="F250" s="11">
        <v>7590</v>
      </c>
      <c r="G250" s="11">
        <v>1</v>
      </c>
      <c r="H250" s="12"/>
      <c r="I250" s="12"/>
      <c r="J250" s="12"/>
      <c r="K250" s="11">
        <v>1</v>
      </c>
    </row>
    <row r="251" spans="1:11" hidden="1" x14ac:dyDescent="0.35">
      <c r="A251" s="10" t="s">
        <v>386</v>
      </c>
      <c r="B251" s="10" t="s">
        <v>387</v>
      </c>
      <c r="C251" s="10" t="s">
        <v>97</v>
      </c>
      <c r="D251" s="10" t="s">
        <v>98</v>
      </c>
      <c r="E251" s="10" t="s">
        <v>393</v>
      </c>
      <c r="F251" s="11">
        <v>570000</v>
      </c>
      <c r="G251" s="11">
        <v>299950</v>
      </c>
      <c r="H251" s="11">
        <v>282009.26</v>
      </c>
      <c r="I251" s="12"/>
      <c r="J251" s="12"/>
      <c r="K251" s="11">
        <v>17940.740000000002</v>
      </c>
    </row>
    <row r="252" spans="1:11" hidden="1" x14ac:dyDescent="0.35">
      <c r="A252" s="10" t="s">
        <v>386</v>
      </c>
      <c r="B252" s="10" t="s">
        <v>387</v>
      </c>
      <c r="C252" s="10" t="s">
        <v>40</v>
      </c>
      <c r="D252" s="10" t="s">
        <v>41</v>
      </c>
      <c r="E252" s="10" t="s">
        <v>394</v>
      </c>
      <c r="F252" s="11">
        <v>37650</v>
      </c>
      <c r="G252" s="11">
        <v>21928</v>
      </c>
      <c r="H252" s="11">
        <v>21927.29</v>
      </c>
      <c r="I252" s="11">
        <v>0</v>
      </c>
      <c r="J252" s="11">
        <v>0</v>
      </c>
      <c r="K252" s="11">
        <v>0.709999999999127</v>
      </c>
    </row>
    <row r="253" spans="1:11" hidden="1" x14ac:dyDescent="0.35">
      <c r="A253" s="10" t="s">
        <v>386</v>
      </c>
      <c r="B253" s="10" t="s">
        <v>387</v>
      </c>
      <c r="C253" s="10" t="s">
        <v>103</v>
      </c>
      <c r="D253" s="10" t="s">
        <v>104</v>
      </c>
      <c r="E253" s="10" t="s">
        <v>395</v>
      </c>
      <c r="F253" s="11">
        <v>600000</v>
      </c>
      <c r="G253" s="11">
        <v>206461</v>
      </c>
      <c r="H253" s="11">
        <v>206459.81</v>
      </c>
      <c r="I253" s="12"/>
      <c r="J253" s="12"/>
      <c r="K253" s="11">
        <v>1.18999999997322</v>
      </c>
    </row>
    <row r="254" spans="1:11" hidden="1" x14ac:dyDescent="0.35">
      <c r="A254" s="10" t="s">
        <v>396</v>
      </c>
      <c r="B254" s="10" t="s">
        <v>397</v>
      </c>
      <c r="C254" s="10" t="s">
        <v>144</v>
      </c>
      <c r="D254" s="10" t="s">
        <v>145</v>
      </c>
      <c r="E254" s="10" t="s">
        <v>398</v>
      </c>
      <c r="F254" s="11">
        <v>500000</v>
      </c>
      <c r="G254" s="11">
        <v>314383</v>
      </c>
      <c r="H254" s="11">
        <v>314381.78000000003</v>
      </c>
      <c r="I254" s="12"/>
      <c r="J254" s="12"/>
      <c r="K254" s="11">
        <v>1.2199999999720601</v>
      </c>
    </row>
    <row r="255" spans="1:11" hidden="1" x14ac:dyDescent="0.35">
      <c r="A255" s="10" t="s">
        <v>396</v>
      </c>
      <c r="B255" s="10" t="s">
        <v>397</v>
      </c>
      <c r="C255" s="10" t="s">
        <v>97</v>
      </c>
      <c r="D255" s="10" t="s">
        <v>98</v>
      </c>
      <c r="E255" s="10" t="s">
        <v>399</v>
      </c>
      <c r="F255" s="11">
        <v>180000</v>
      </c>
      <c r="G255" s="11">
        <v>145456</v>
      </c>
      <c r="H255" s="11">
        <v>139658.82999999999</v>
      </c>
      <c r="I255" s="12"/>
      <c r="J255" s="12"/>
      <c r="K255" s="11">
        <v>5797.1699999999801</v>
      </c>
    </row>
    <row r="256" spans="1:11" hidden="1" x14ac:dyDescent="0.35">
      <c r="A256" s="10" t="s">
        <v>396</v>
      </c>
      <c r="B256" s="10" t="s">
        <v>397</v>
      </c>
      <c r="C256" s="10" t="s">
        <v>40</v>
      </c>
      <c r="D256" s="10" t="s">
        <v>41</v>
      </c>
      <c r="E256" s="10" t="s">
        <v>400</v>
      </c>
      <c r="F256" s="11">
        <v>313605</v>
      </c>
      <c r="G256" s="11">
        <v>35629</v>
      </c>
      <c r="H256" s="11">
        <v>35628.1</v>
      </c>
      <c r="I256" s="11">
        <v>0</v>
      </c>
      <c r="J256" s="11">
        <v>0</v>
      </c>
      <c r="K256" s="11">
        <v>0.90000000000145497</v>
      </c>
    </row>
    <row r="257" spans="1:11" hidden="1" x14ac:dyDescent="0.35">
      <c r="A257" s="10" t="s">
        <v>396</v>
      </c>
      <c r="B257" s="10" t="s">
        <v>397</v>
      </c>
      <c r="C257" s="10" t="s">
        <v>43</v>
      </c>
      <c r="D257" s="10" t="s">
        <v>44</v>
      </c>
      <c r="E257" s="10" t="s">
        <v>401</v>
      </c>
      <c r="F257" s="11">
        <v>30000</v>
      </c>
      <c r="G257" s="11">
        <v>2201</v>
      </c>
      <c r="H257" s="11">
        <v>2200</v>
      </c>
      <c r="I257" s="12"/>
      <c r="J257" s="12"/>
      <c r="K257" s="11">
        <v>1</v>
      </c>
    </row>
    <row r="258" spans="1:11" x14ac:dyDescent="0.35">
      <c r="A258" s="10" t="s">
        <v>396</v>
      </c>
      <c r="B258" s="10" t="s">
        <v>397</v>
      </c>
      <c r="C258" s="10" t="s">
        <v>169</v>
      </c>
      <c r="D258" s="10" t="s">
        <v>170</v>
      </c>
      <c r="E258" s="10" t="s">
        <v>402</v>
      </c>
      <c r="F258" s="11">
        <v>118157</v>
      </c>
      <c r="G258" s="11">
        <v>73844</v>
      </c>
      <c r="H258" s="11">
        <v>12898.45</v>
      </c>
      <c r="I258" s="11">
        <v>39200</v>
      </c>
      <c r="J258" s="11">
        <v>21744.959999999999</v>
      </c>
      <c r="K258" s="11">
        <v>0.59000000000378305</v>
      </c>
    </row>
    <row r="259" spans="1:11" hidden="1" x14ac:dyDescent="0.35">
      <c r="A259" s="10" t="s">
        <v>396</v>
      </c>
      <c r="B259" s="10" t="s">
        <v>397</v>
      </c>
      <c r="C259" s="10" t="s">
        <v>103</v>
      </c>
      <c r="D259" s="10" t="s">
        <v>104</v>
      </c>
      <c r="E259" s="10" t="s">
        <v>403</v>
      </c>
      <c r="F259" s="11">
        <v>40000</v>
      </c>
      <c r="G259" s="11">
        <v>11988</v>
      </c>
      <c r="H259" s="11">
        <v>11986.79</v>
      </c>
      <c r="I259" s="12"/>
      <c r="J259" s="12"/>
      <c r="K259" s="11">
        <v>1.20999999999913</v>
      </c>
    </row>
    <row r="260" spans="1:11" hidden="1" x14ac:dyDescent="0.35">
      <c r="A260" s="10" t="s">
        <v>396</v>
      </c>
      <c r="B260" s="10" t="s">
        <v>397</v>
      </c>
      <c r="C260" s="10" t="s">
        <v>173</v>
      </c>
      <c r="D260" s="10" t="s">
        <v>174</v>
      </c>
      <c r="E260" s="10" t="s">
        <v>404</v>
      </c>
      <c r="F260" s="11">
        <v>6500</v>
      </c>
      <c r="G260" s="11">
        <v>8867</v>
      </c>
      <c r="H260" s="11">
        <v>9101.4599999999991</v>
      </c>
      <c r="I260" s="11">
        <v>-235</v>
      </c>
      <c r="J260" s="11">
        <v>0</v>
      </c>
      <c r="K260" s="11">
        <v>0.53999999999905401</v>
      </c>
    </row>
    <row r="261" spans="1:11" hidden="1" x14ac:dyDescent="0.35">
      <c r="A261" s="10" t="s">
        <v>405</v>
      </c>
      <c r="B261" s="10" t="s">
        <v>406</v>
      </c>
      <c r="C261" s="10" t="s">
        <v>183</v>
      </c>
      <c r="D261" s="10" t="s">
        <v>184</v>
      </c>
      <c r="E261" s="10" t="s">
        <v>407</v>
      </c>
      <c r="F261" s="11">
        <v>10000</v>
      </c>
      <c r="G261" s="11">
        <v>1</v>
      </c>
      <c r="H261" s="12"/>
      <c r="I261" s="12"/>
      <c r="J261" s="12"/>
      <c r="K261" s="11">
        <v>1</v>
      </c>
    </row>
    <row r="262" spans="1:11" hidden="1" x14ac:dyDescent="0.35">
      <c r="A262" s="10" t="s">
        <v>405</v>
      </c>
      <c r="B262" s="10" t="s">
        <v>406</v>
      </c>
      <c r="C262" s="10" t="s">
        <v>97</v>
      </c>
      <c r="D262" s="10" t="s">
        <v>98</v>
      </c>
      <c r="E262" s="10" t="s">
        <v>408</v>
      </c>
      <c r="F262" s="11">
        <v>80000</v>
      </c>
      <c r="G262" s="11">
        <v>43337</v>
      </c>
      <c r="H262" s="11">
        <v>29264.39</v>
      </c>
      <c r="I262" s="12"/>
      <c r="J262" s="12"/>
      <c r="K262" s="11">
        <v>14072.61</v>
      </c>
    </row>
    <row r="263" spans="1:11" hidden="1" x14ac:dyDescent="0.35">
      <c r="A263" s="10" t="s">
        <v>405</v>
      </c>
      <c r="B263" s="10" t="s">
        <v>406</v>
      </c>
      <c r="C263" s="10" t="s">
        <v>37</v>
      </c>
      <c r="D263" s="10" t="s">
        <v>38</v>
      </c>
      <c r="E263" s="10" t="s">
        <v>409</v>
      </c>
      <c r="F263" s="11">
        <v>15000</v>
      </c>
      <c r="G263" s="11">
        <v>5021</v>
      </c>
      <c r="H263" s="11">
        <v>5020.0200000000004</v>
      </c>
      <c r="I263" s="12"/>
      <c r="J263" s="12"/>
      <c r="K263" s="11">
        <v>0.98000000000047305</v>
      </c>
    </row>
    <row r="264" spans="1:11" hidden="1" x14ac:dyDescent="0.35">
      <c r="A264" s="10" t="s">
        <v>405</v>
      </c>
      <c r="B264" s="10" t="s">
        <v>406</v>
      </c>
      <c r="C264" s="10" t="s">
        <v>40</v>
      </c>
      <c r="D264" s="10" t="s">
        <v>41</v>
      </c>
      <c r="E264" s="10" t="s">
        <v>410</v>
      </c>
      <c r="F264" s="11">
        <v>50000</v>
      </c>
      <c r="G264" s="11">
        <v>30436</v>
      </c>
      <c r="H264" s="11">
        <v>30435.24</v>
      </c>
      <c r="I264" s="11">
        <v>0</v>
      </c>
      <c r="J264" s="11">
        <v>0</v>
      </c>
      <c r="K264" s="11">
        <v>0.75999999999839896</v>
      </c>
    </row>
    <row r="265" spans="1:11" hidden="1" x14ac:dyDescent="0.35">
      <c r="A265" s="10" t="s">
        <v>405</v>
      </c>
      <c r="B265" s="10" t="s">
        <v>406</v>
      </c>
      <c r="C265" s="10" t="s">
        <v>43</v>
      </c>
      <c r="D265" s="10" t="s">
        <v>44</v>
      </c>
      <c r="E265" s="10" t="s">
        <v>411</v>
      </c>
      <c r="F265" s="11">
        <v>50000</v>
      </c>
      <c r="G265" s="11">
        <v>1</v>
      </c>
      <c r="H265" s="12"/>
      <c r="I265" s="12"/>
      <c r="J265" s="12"/>
      <c r="K265" s="11">
        <v>1</v>
      </c>
    </row>
    <row r="266" spans="1:11" hidden="1" x14ac:dyDescent="0.35">
      <c r="A266" s="10" t="s">
        <v>405</v>
      </c>
      <c r="B266" s="10" t="s">
        <v>406</v>
      </c>
      <c r="C266" s="10" t="s">
        <v>49</v>
      </c>
      <c r="D266" s="10" t="s">
        <v>50</v>
      </c>
      <c r="E266" s="10" t="s">
        <v>412</v>
      </c>
      <c r="F266" s="11">
        <v>5000</v>
      </c>
      <c r="G266" s="11">
        <v>2537</v>
      </c>
      <c r="H266" s="12"/>
      <c r="I266" s="12"/>
      <c r="J266" s="12"/>
      <c r="K266" s="11">
        <v>2537</v>
      </c>
    </row>
    <row r="267" spans="1:11" x14ac:dyDescent="0.35">
      <c r="A267" s="10" t="s">
        <v>405</v>
      </c>
      <c r="B267" s="10" t="s">
        <v>406</v>
      </c>
      <c r="C267" s="10" t="s">
        <v>169</v>
      </c>
      <c r="D267" s="10" t="s">
        <v>170</v>
      </c>
      <c r="E267" s="10" t="s">
        <v>413</v>
      </c>
      <c r="F267" s="11">
        <v>300000</v>
      </c>
      <c r="G267" s="11">
        <v>291801</v>
      </c>
      <c r="H267" s="11">
        <v>291800</v>
      </c>
      <c r="I267" s="11">
        <v>0</v>
      </c>
      <c r="J267" s="11">
        <v>0</v>
      </c>
      <c r="K267" s="11">
        <v>1</v>
      </c>
    </row>
    <row r="268" spans="1:11" hidden="1" x14ac:dyDescent="0.35">
      <c r="A268" s="10" t="s">
        <v>405</v>
      </c>
      <c r="B268" s="10" t="s">
        <v>406</v>
      </c>
      <c r="C268" s="10" t="s">
        <v>103</v>
      </c>
      <c r="D268" s="10" t="s">
        <v>104</v>
      </c>
      <c r="E268" s="10" t="s">
        <v>414</v>
      </c>
      <c r="F268" s="11">
        <v>80000</v>
      </c>
      <c r="G268" s="11">
        <v>33190</v>
      </c>
      <c r="H268" s="11">
        <v>33189.379999999997</v>
      </c>
      <c r="I268" s="12"/>
      <c r="J268" s="12"/>
      <c r="K268" s="11">
        <v>0.61999999999534305</v>
      </c>
    </row>
    <row r="269" spans="1:11" hidden="1" x14ac:dyDescent="0.35">
      <c r="A269" s="10" t="s">
        <v>405</v>
      </c>
      <c r="B269" s="10" t="s">
        <v>406</v>
      </c>
      <c r="C269" s="10" t="s">
        <v>173</v>
      </c>
      <c r="D269" s="10" t="s">
        <v>174</v>
      </c>
      <c r="E269" s="10" t="s">
        <v>415</v>
      </c>
      <c r="F269" s="11">
        <v>675000</v>
      </c>
      <c r="G269" s="11">
        <v>362391</v>
      </c>
      <c r="H269" s="11">
        <v>357071.88</v>
      </c>
      <c r="I269" s="11">
        <v>-60300</v>
      </c>
      <c r="J269" s="11">
        <v>65618</v>
      </c>
      <c r="K269" s="11">
        <v>1.1199999999953401</v>
      </c>
    </row>
    <row r="270" spans="1:11" hidden="1" x14ac:dyDescent="0.35">
      <c r="A270" s="10" t="s">
        <v>405</v>
      </c>
      <c r="B270" s="10" t="s">
        <v>406</v>
      </c>
      <c r="C270" s="10" t="s">
        <v>154</v>
      </c>
      <c r="D270" s="10" t="s">
        <v>155</v>
      </c>
      <c r="E270" s="10" t="s">
        <v>416</v>
      </c>
      <c r="F270" s="11">
        <v>5000</v>
      </c>
      <c r="G270" s="11">
        <v>1</v>
      </c>
      <c r="H270" s="12"/>
      <c r="I270" s="12"/>
      <c r="J270" s="12"/>
      <c r="K270" s="11">
        <v>1</v>
      </c>
    </row>
    <row r="271" spans="1:11" hidden="1" x14ac:dyDescent="0.35">
      <c r="A271" s="10" t="s">
        <v>417</v>
      </c>
      <c r="B271" s="10" t="s">
        <v>418</v>
      </c>
      <c r="C271" s="10" t="s">
        <v>31</v>
      </c>
      <c r="D271" s="10" t="s">
        <v>32</v>
      </c>
      <c r="E271" s="10" t="s">
        <v>419</v>
      </c>
      <c r="F271" s="11">
        <v>29519</v>
      </c>
      <c r="G271" s="11">
        <v>29519</v>
      </c>
      <c r="H271" s="11">
        <v>7161.75</v>
      </c>
      <c r="I271" s="12"/>
      <c r="J271" s="12"/>
      <c r="K271" s="11">
        <v>22357.25</v>
      </c>
    </row>
    <row r="272" spans="1:11" hidden="1" x14ac:dyDescent="0.35">
      <c r="A272" s="10" t="s">
        <v>417</v>
      </c>
      <c r="B272" s="10" t="s">
        <v>418</v>
      </c>
      <c r="C272" s="10" t="s">
        <v>420</v>
      </c>
      <c r="D272" s="10" t="s">
        <v>421</v>
      </c>
      <c r="E272" s="10" t="s">
        <v>422</v>
      </c>
      <c r="F272" s="11">
        <v>20000</v>
      </c>
      <c r="G272" s="11">
        <v>20000</v>
      </c>
      <c r="H272" s="12"/>
      <c r="I272" s="12"/>
      <c r="J272" s="12"/>
      <c r="K272" s="11">
        <v>20000</v>
      </c>
    </row>
    <row r="273" spans="1:11" hidden="1" x14ac:dyDescent="0.35">
      <c r="A273" s="10" t="s">
        <v>417</v>
      </c>
      <c r="B273" s="10" t="s">
        <v>418</v>
      </c>
      <c r="C273" s="10" t="s">
        <v>61</v>
      </c>
      <c r="D273" s="10" t="s">
        <v>62</v>
      </c>
      <c r="E273" s="10" t="s">
        <v>423</v>
      </c>
      <c r="F273" s="11">
        <v>42000</v>
      </c>
      <c r="G273" s="11">
        <v>42000</v>
      </c>
      <c r="H273" s="11">
        <v>10510</v>
      </c>
      <c r="I273" s="11">
        <v>0</v>
      </c>
      <c r="J273" s="11">
        <v>0</v>
      </c>
      <c r="K273" s="11">
        <v>31490</v>
      </c>
    </row>
    <row r="274" spans="1:11" hidden="1" x14ac:dyDescent="0.35">
      <c r="A274" s="10" t="s">
        <v>417</v>
      </c>
      <c r="B274" s="10" t="s">
        <v>418</v>
      </c>
      <c r="C274" s="10" t="s">
        <v>424</v>
      </c>
      <c r="D274" s="10" t="s">
        <v>425</v>
      </c>
      <c r="E274" s="10" t="s">
        <v>426</v>
      </c>
      <c r="F274" s="11">
        <v>616900</v>
      </c>
      <c r="G274" s="11">
        <v>536105</v>
      </c>
      <c r="H274" s="11">
        <v>571234.79</v>
      </c>
      <c r="I274" s="11">
        <v>1569.15</v>
      </c>
      <c r="J274" s="11">
        <v>-36700</v>
      </c>
      <c r="K274" s="11">
        <v>1.0599999998448799</v>
      </c>
    </row>
    <row r="275" spans="1:11" hidden="1" x14ac:dyDescent="0.35">
      <c r="A275" s="10" t="s">
        <v>417</v>
      </c>
      <c r="B275" s="10" t="s">
        <v>418</v>
      </c>
      <c r="C275" s="10" t="s">
        <v>424</v>
      </c>
      <c r="D275" s="10" t="s">
        <v>425</v>
      </c>
      <c r="E275" s="10" t="s">
        <v>427</v>
      </c>
      <c r="F275" s="11">
        <v>23100</v>
      </c>
      <c r="G275" s="11">
        <v>23100</v>
      </c>
      <c r="H275" s="11">
        <v>23100</v>
      </c>
      <c r="I275" s="12"/>
      <c r="J275" s="11">
        <v>0</v>
      </c>
      <c r="K275" s="11">
        <v>0</v>
      </c>
    </row>
    <row r="276" spans="1:11" hidden="1" x14ac:dyDescent="0.35">
      <c r="A276" s="10" t="s">
        <v>417</v>
      </c>
      <c r="B276" s="10" t="s">
        <v>418</v>
      </c>
      <c r="C276" s="10" t="s">
        <v>49</v>
      </c>
      <c r="D276" s="10" t="s">
        <v>50</v>
      </c>
      <c r="E276" s="10" t="s">
        <v>428</v>
      </c>
      <c r="F276" s="11">
        <v>0</v>
      </c>
      <c r="G276" s="11">
        <v>25000</v>
      </c>
      <c r="H276" s="12"/>
      <c r="I276" s="12"/>
      <c r="J276" s="12"/>
      <c r="K276" s="11">
        <v>25000</v>
      </c>
    </row>
    <row r="277" spans="1:11" hidden="1" x14ac:dyDescent="0.35">
      <c r="A277" s="10" t="s">
        <v>429</v>
      </c>
      <c r="B277" s="10" t="s">
        <v>430</v>
      </c>
      <c r="C277" s="10" t="s">
        <v>431</v>
      </c>
      <c r="D277" s="10" t="s">
        <v>432</v>
      </c>
      <c r="E277" s="10" t="s">
        <v>433</v>
      </c>
      <c r="F277" s="11">
        <v>4056439</v>
      </c>
      <c r="G277" s="11">
        <v>4081439</v>
      </c>
      <c r="H277" s="11">
        <v>4076217.09</v>
      </c>
      <c r="I277" s="11">
        <v>0</v>
      </c>
      <c r="J277" s="11">
        <v>0</v>
      </c>
      <c r="K277" s="11">
        <v>5221.9100000001499</v>
      </c>
    </row>
    <row r="278" spans="1:11" hidden="1" x14ac:dyDescent="0.35">
      <c r="A278" s="10" t="s">
        <v>429</v>
      </c>
      <c r="B278" s="10" t="s">
        <v>430</v>
      </c>
      <c r="C278" s="10" t="s">
        <v>431</v>
      </c>
      <c r="D278" s="10" t="s">
        <v>432</v>
      </c>
      <c r="E278" s="10" t="s">
        <v>434</v>
      </c>
      <c r="F278" s="11">
        <v>747242</v>
      </c>
      <c r="G278" s="11">
        <v>747242</v>
      </c>
      <c r="H278" s="11">
        <v>747242</v>
      </c>
      <c r="I278" s="11">
        <v>0</v>
      </c>
      <c r="J278" s="11">
        <v>0</v>
      </c>
      <c r="K278" s="11">
        <v>0</v>
      </c>
    </row>
    <row r="279" spans="1:11" hidden="1" x14ac:dyDescent="0.35">
      <c r="A279" s="10" t="s">
        <v>429</v>
      </c>
      <c r="B279" s="10" t="s">
        <v>430</v>
      </c>
      <c r="C279" s="10" t="s">
        <v>431</v>
      </c>
      <c r="D279" s="10" t="s">
        <v>432</v>
      </c>
      <c r="E279" s="10" t="s">
        <v>435</v>
      </c>
      <c r="F279" s="11">
        <v>4118107</v>
      </c>
      <c r="G279" s="11">
        <v>4352677</v>
      </c>
      <c r="H279" s="11">
        <v>4349277.7</v>
      </c>
      <c r="I279" s="11">
        <v>0</v>
      </c>
      <c r="J279" s="11">
        <v>1.9999999960418801E-2</v>
      </c>
      <c r="K279" s="11">
        <v>3399.2800000000602</v>
      </c>
    </row>
    <row r="280" spans="1:11" hidden="1" x14ac:dyDescent="0.35">
      <c r="A280" s="10" t="s">
        <v>429</v>
      </c>
      <c r="B280" s="10" t="s">
        <v>430</v>
      </c>
      <c r="C280" s="10" t="s">
        <v>25</v>
      </c>
      <c r="D280" s="10" t="s">
        <v>26</v>
      </c>
      <c r="E280" s="10" t="s">
        <v>436</v>
      </c>
      <c r="F280" s="11">
        <v>350000</v>
      </c>
      <c r="G280" s="11">
        <v>855000</v>
      </c>
      <c r="H280" s="11">
        <v>850000</v>
      </c>
      <c r="I280" s="11">
        <v>0</v>
      </c>
      <c r="J280" s="11">
        <v>0</v>
      </c>
      <c r="K280" s="11">
        <v>5000</v>
      </c>
    </row>
    <row r="281" spans="1:11" hidden="1" x14ac:dyDescent="0.35">
      <c r="A281" s="10" t="s">
        <v>429</v>
      </c>
      <c r="B281" s="10" t="s">
        <v>430</v>
      </c>
      <c r="C281" s="10" t="s">
        <v>437</v>
      </c>
      <c r="D281" s="10" t="s">
        <v>438</v>
      </c>
      <c r="E281" s="10" t="s">
        <v>439</v>
      </c>
      <c r="F281" s="11">
        <v>0</v>
      </c>
      <c r="G281" s="11">
        <v>-42048</v>
      </c>
      <c r="H281" s="11">
        <v>-52124.07</v>
      </c>
      <c r="I281" s="12"/>
      <c r="J281" s="12"/>
      <c r="K281" s="11">
        <v>10076.07</v>
      </c>
    </row>
    <row r="282" spans="1:11" hidden="1" x14ac:dyDescent="0.35">
      <c r="A282" s="10" t="s">
        <v>429</v>
      </c>
      <c r="B282" s="10" t="s">
        <v>430</v>
      </c>
      <c r="C282" s="10" t="s">
        <v>440</v>
      </c>
      <c r="D282" s="10" t="s">
        <v>441</v>
      </c>
      <c r="E282" s="10" t="s">
        <v>442</v>
      </c>
      <c r="F282" s="11">
        <v>4137480</v>
      </c>
      <c r="G282" s="11">
        <v>3615062</v>
      </c>
      <c r="H282" s="11">
        <v>3615061.42</v>
      </c>
      <c r="I282" s="11">
        <v>0</v>
      </c>
      <c r="J282" s="11">
        <v>0</v>
      </c>
      <c r="K282" s="11">
        <v>0.58000000007450603</v>
      </c>
    </row>
    <row r="283" spans="1:11" hidden="1" x14ac:dyDescent="0.35">
      <c r="A283" s="10" t="s">
        <v>429</v>
      </c>
      <c r="B283" s="10" t="s">
        <v>430</v>
      </c>
      <c r="C283" s="10" t="s">
        <v>440</v>
      </c>
      <c r="D283" s="10" t="s">
        <v>441</v>
      </c>
      <c r="E283" s="10" t="s">
        <v>443</v>
      </c>
      <c r="F283" s="11">
        <v>2649480</v>
      </c>
      <c r="G283" s="11">
        <v>2421019</v>
      </c>
      <c r="H283" s="11">
        <v>2403739.48</v>
      </c>
      <c r="I283" s="11">
        <v>0</v>
      </c>
      <c r="J283" s="11">
        <v>17278.79</v>
      </c>
      <c r="K283" s="11">
        <v>0.72999999998137399</v>
      </c>
    </row>
    <row r="284" spans="1:11" hidden="1" x14ac:dyDescent="0.35">
      <c r="A284" s="10" t="s">
        <v>429</v>
      </c>
      <c r="B284" s="10" t="s">
        <v>430</v>
      </c>
      <c r="C284" s="10" t="s">
        <v>440</v>
      </c>
      <c r="D284" s="10" t="s">
        <v>441</v>
      </c>
      <c r="E284" s="10" t="s">
        <v>444</v>
      </c>
      <c r="F284" s="11">
        <v>2601720</v>
      </c>
      <c r="G284" s="11">
        <v>1972181</v>
      </c>
      <c r="H284" s="11">
        <v>1810961.74</v>
      </c>
      <c r="I284" s="11">
        <v>0</v>
      </c>
      <c r="J284" s="11">
        <v>161217.89000000001</v>
      </c>
      <c r="K284" s="11">
        <v>1.37000000022817</v>
      </c>
    </row>
    <row r="285" spans="1:11" hidden="1" x14ac:dyDescent="0.35">
      <c r="A285" s="10" t="s">
        <v>429</v>
      </c>
      <c r="B285" s="10" t="s">
        <v>430</v>
      </c>
      <c r="C285" s="10" t="s">
        <v>440</v>
      </c>
      <c r="D285" s="10" t="s">
        <v>441</v>
      </c>
      <c r="E285" s="10" t="s">
        <v>445</v>
      </c>
      <c r="F285" s="11">
        <v>0</v>
      </c>
      <c r="G285" s="11">
        <v>592938</v>
      </c>
      <c r="H285" s="11">
        <v>592936.84</v>
      </c>
      <c r="I285" s="11">
        <v>0</v>
      </c>
      <c r="J285" s="11">
        <v>0</v>
      </c>
      <c r="K285" s="11">
        <v>1.1600000000326001</v>
      </c>
    </row>
    <row r="286" spans="1:11" hidden="1" x14ac:dyDescent="0.35">
      <c r="A286" s="10" t="s">
        <v>429</v>
      </c>
      <c r="B286" s="10" t="s">
        <v>430</v>
      </c>
      <c r="C286" s="10" t="s">
        <v>28</v>
      </c>
      <c r="D286" s="10" t="s">
        <v>29</v>
      </c>
      <c r="E286" s="10" t="s">
        <v>446</v>
      </c>
      <c r="F286" s="11">
        <v>0</v>
      </c>
      <c r="G286" s="11">
        <v>328000</v>
      </c>
      <c r="H286" s="11">
        <v>326000</v>
      </c>
      <c r="I286" s="11">
        <v>0</v>
      </c>
      <c r="J286" s="11">
        <v>0</v>
      </c>
      <c r="K286" s="11">
        <v>2000</v>
      </c>
    </row>
    <row r="287" spans="1:11" hidden="1" x14ac:dyDescent="0.35">
      <c r="A287" s="10" t="s">
        <v>429</v>
      </c>
      <c r="B287" s="10" t="s">
        <v>430</v>
      </c>
      <c r="C287" s="10" t="s">
        <v>31</v>
      </c>
      <c r="D287" s="10" t="s">
        <v>32</v>
      </c>
      <c r="E287" s="10" t="s">
        <v>447</v>
      </c>
      <c r="F287" s="11">
        <v>20000</v>
      </c>
      <c r="G287" s="11">
        <v>22200</v>
      </c>
      <c r="H287" s="11">
        <v>21793.37</v>
      </c>
      <c r="I287" s="12"/>
      <c r="J287" s="12"/>
      <c r="K287" s="11">
        <v>406.63000000000102</v>
      </c>
    </row>
    <row r="288" spans="1:11" hidden="1" x14ac:dyDescent="0.35">
      <c r="A288" s="10" t="s">
        <v>429</v>
      </c>
      <c r="B288" s="10" t="s">
        <v>430</v>
      </c>
      <c r="C288" s="10" t="s">
        <v>31</v>
      </c>
      <c r="D288" s="10" t="s">
        <v>32</v>
      </c>
      <c r="E288" s="10" t="s">
        <v>448</v>
      </c>
      <c r="F288" s="12"/>
      <c r="G288" s="12"/>
      <c r="H288" s="11">
        <v>0</v>
      </c>
      <c r="I288" s="12"/>
      <c r="J288" s="12"/>
      <c r="K288" s="11">
        <v>0</v>
      </c>
    </row>
    <row r="289" spans="1:11" hidden="1" x14ac:dyDescent="0.35">
      <c r="A289" s="10" t="s">
        <v>429</v>
      </c>
      <c r="B289" s="10" t="s">
        <v>430</v>
      </c>
      <c r="C289" s="10" t="s">
        <v>449</v>
      </c>
      <c r="D289" s="10" t="s">
        <v>450</v>
      </c>
      <c r="E289" s="10" t="s">
        <v>451</v>
      </c>
      <c r="F289" s="11">
        <v>0</v>
      </c>
      <c r="G289" s="11">
        <v>3911430</v>
      </c>
      <c r="H289" s="11">
        <v>3911425</v>
      </c>
      <c r="I289" s="12"/>
      <c r="J289" s="12"/>
      <c r="K289" s="11">
        <v>5</v>
      </c>
    </row>
    <row r="290" spans="1:11" hidden="1" x14ac:dyDescent="0.35">
      <c r="A290" s="10" t="s">
        <v>429</v>
      </c>
      <c r="B290" s="10" t="s">
        <v>430</v>
      </c>
      <c r="C290" s="10" t="s">
        <v>37</v>
      </c>
      <c r="D290" s="10" t="s">
        <v>38</v>
      </c>
      <c r="E290" s="10" t="s">
        <v>452</v>
      </c>
      <c r="F290" s="11">
        <v>30000</v>
      </c>
      <c r="G290" s="11">
        <v>30000</v>
      </c>
      <c r="H290" s="11">
        <v>17073</v>
      </c>
      <c r="I290" s="12"/>
      <c r="J290" s="12"/>
      <c r="K290" s="11">
        <v>12927</v>
      </c>
    </row>
    <row r="291" spans="1:11" hidden="1" x14ac:dyDescent="0.35">
      <c r="A291" s="10" t="s">
        <v>429</v>
      </c>
      <c r="B291" s="10" t="s">
        <v>430</v>
      </c>
      <c r="C291" s="10" t="s">
        <v>453</v>
      </c>
      <c r="D291" s="10" t="s">
        <v>454</v>
      </c>
      <c r="E291" s="10" t="s">
        <v>455</v>
      </c>
      <c r="F291" s="11">
        <v>960437</v>
      </c>
      <c r="G291" s="11">
        <v>879710</v>
      </c>
      <c r="H291" s="11">
        <v>879708.25</v>
      </c>
      <c r="I291" s="12"/>
      <c r="J291" s="12"/>
      <c r="K291" s="11">
        <v>1.75</v>
      </c>
    </row>
    <row r="292" spans="1:11" hidden="1" x14ac:dyDescent="0.35">
      <c r="A292" s="10" t="s">
        <v>429</v>
      </c>
      <c r="B292" s="10" t="s">
        <v>430</v>
      </c>
      <c r="C292" s="10" t="s">
        <v>453</v>
      </c>
      <c r="D292" s="10" t="s">
        <v>454</v>
      </c>
      <c r="E292" s="10" t="s">
        <v>456</v>
      </c>
      <c r="F292" s="11">
        <v>23714</v>
      </c>
      <c r="G292" s="11">
        <v>23714</v>
      </c>
      <c r="H292" s="12"/>
      <c r="I292" s="12"/>
      <c r="J292" s="12"/>
      <c r="K292" s="11">
        <v>23714</v>
      </c>
    </row>
    <row r="293" spans="1:11" hidden="1" x14ac:dyDescent="0.35">
      <c r="A293" s="10" t="s">
        <v>429</v>
      </c>
      <c r="B293" s="10" t="s">
        <v>430</v>
      </c>
      <c r="C293" s="10" t="s">
        <v>457</v>
      </c>
      <c r="D293" s="10" t="s">
        <v>458</v>
      </c>
      <c r="E293" s="10" t="s">
        <v>459</v>
      </c>
      <c r="F293" s="11">
        <v>50000</v>
      </c>
      <c r="G293" s="11">
        <v>50000</v>
      </c>
      <c r="H293" s="11">
        <v>29924</v>
      </c>
      <c r="I293" s="12"/>
      <c r="J293" s="12"/>
      <c r="K293" s="11">
        <v>20076</v>
      </c>
    </row>
    <row r="294" spans="1:11" hidden="1" x14ac:dyDescent="0.35">
      <c r="A294" s="10" t="s">
        <v>429</v>
      </c>
      <c r="B294" s="10" t="s">
        <v>430</v>
      </c>
      <c r="C294" s="10" t="s">
        <v>43</v>
      </c>
      <c r="D294" s="10" t="s">
        <v>44</v>
      </c>
      <c r="E294" s="10" t="s">
        <v>460</v>
      </c>
      <c r="F294" s="11">
        <v>50000</v>
      </c>
      <c r="G294" s="11">
        <v>0</v>
      </c>
      <c r="H294" s="12"/>
      <c r="I294" s="12"/>
      <c r="J294" s="12"/>
      <c r="K294" s="11">
        <v>0</v>
      </c>
    </row>
    <row r="295" spans="1:11" hidden="1" x14ac:dyDescent="0.35">
      <c r="A295" s="10" t="s">
        <v>429</v>
      </c>
      <c r="B295" s="10" t="s">
        <v>430</v>
      </c>
      <c r="C295" s="10" t="s">
        <v>461</v>
      </c>
      <c r="D295" s="10" t="s">
        <v>462</v>
      </c>
      <c r="E295" s="10" t="s">
        <v>463</v>
      </c>
      <c r="F295" s="11">
        <v>0</v>
      </c>
      <c r="G295" s="11">
        <v>200211</v>
      </c>
      <c r="H295" s="11">
        <v>199212.79999999999</v>
      </c>
      <c r="I295" s="12"/>
      <c r="J295" s="12"/>
      <c r="K295" s="11">
        <v>998.19999999998299</v>
      </c>
    </row>
    <row r="296" spans="1:11" hidden="1" x14ac:dyDescent="0.35">
      <c r="A296" s="10" t="s">
        <v>429</v>
      </c>
      <c r="B296" s="10" t="s">
        <v>430</v>
      </c>
      <c r="C296" s="10" t="s">
        <v>464</v>
      </c>
      <c r="D296" s="10" t="s">
        <v>465</v>
      </c>
      <c r="E296" s="10" t="s">
        <v>466</v>
      </c>
      <c r="F296" s="11">
        <v>11946037</v>
      </c>
      <c r="G296" s="11">
        <v>11240258</v>
      </c>
      <c r="H296" s="11">
        <v>10769790.289999999</v>
      </c>
      <c r="I296" s="11">
        <v>-28998</v>
      </c>
      <c r="J296" s="11">
        <v>499464.74</v>
      </c>
      <c r="K296" s="11">
        <v>0.97000000084517501</v>
      </c>
    </row>
    <row r="297" spans="1:11" hidden="1" x14ac:dyDescent="0.35">
      <c r="A297" s="10" t="s">
        <v>429</v>
      </c>
      <c r="B297" s="10" t="s">
        <v>430</v>
      </c>
      <c r="C297" s="10" t="s">
        <v>464</v>
      </c>
      <c r="D297" s="10" t="s">
        <v>465</v>
      </c>
      <c r="E297" s="10" t="s">
        <v>467</v>
      </c>
      <c r="F297" s="11">
        <v>5071140</v>
      </c>
      <c r="G297" s="11">
        <v>5021740</v>
      </c>
      <c r="H297" s="11">
        <v>4695216.1500000004</v>
      </c>
      <c r="I297" s="11">
        <v>1</v>
      </c>
      <c r="J297" s="11">
        <v>326424.78999999998</v>
      </c>
      <c r="K297" s="11">
        <v>98.060000001452906</v>
      </c>
    </row>
    <row r="298" spans="1:11" hidden="1" x14ac:dyDescent="0.35">
      <c r="A298" s="10" t="s">
        <v>429</v>
      </c>
      <c r="B298" s="10" t="s">
        <v>430</v>
      </c>
      <c r="C298" s="10" t="s">
        <v>464</v>
      </c>
      <c r="D298" s="10" t="s">
        <v>465</v>
      </c>
      <c r="E298" s="10" t="s">
        <v>468</v>
      </c>
      <c r="F298" s="11">
        <v>5573134</v>
      </c>
      <c r="G298" s="11">
        <v>5571316</v>
      </c>
      <c r="H298" s="11">
        <v>5296336.75</v>
      </c>
      <c r="I298" s="11">
        <v>20001</v>
      </c>
      <c r="J298" s="11">
        <v>254976.94</v>
      </c>
      <c r="K298" s="11">
        <v>1.3100000002304999</v>
      </c>
    </row>
    <row r="299" spans="1:11" hidden="1" x14ac:dyDescent="0.35">
      <c r="A299" s="10" t="s">
        <v>429</v>
      </c>
      <c r="B299" s="10" t="s">
        <v>430</v>
      </c>
      <c r="C299" s="10" t="s">
        <v>464</v>
      </c>
      <c r="D299" s="10" t="s">
        <v>465</v>
      </c>
      <c r="E299" s="10" t="s">
        <v>469</v>
      </c>
      <c r="F299" s="11">
        <v>1207678</v>
      </c>
      <c r="G299" s="11">
        <v>1164654</v>
      </c>
      <c r="H299" s="11">
        <v>1158582.8600000001</v>
      </c>
      <c r="I299" s="11">
        <v>-330</v>
      </c>
      <c r="J299" s="11">
        <v>6400</v>
      </c>
      <c r="K299" s="11">
        <v>1.14000000013493</v>
      </c>
    </row>
    <row r="300" spans="1:11" hidden="1" x14ac:dyDescent="0.35">
      <c r="A300" s="10" t="s">
        <v>429</v>
      </c>
      <c r="B300" s="10" t="s">
        <v>430</v>
      </c>
      <c r="C300" s="10" t="s">
        <v>470</v>
      </c>
      <c r="D300" s="10" t="s">
        <v>471</v>
      </c>
      <c r="E300" s="10" t="s">
        <v>472</v>
      </c>
      <c r="F300" s="11">
        <v>30000</v>
      </c>
      <c r="G300" s="11">
        <v>30000</v>
      </c>
      <c r="H300" s="11">
        <v>20638</v>
      </c>
      <c r="I300" s="11">
        <v>0</v>
      </c>
      <c r="J300" s="11">
        <v>0</v>
      </c>
      <c r="K300" s="11">
        <v>9362</v>
      </c>
    </row>
    <row r="301" spans="1:11" hidden="1" x14ac:dyDescent="0.35">
      <c r="A301" s="10" t="s">
        <v>429</v>
      </c>
      <c r="B301" s="10" t="s">
        <v>430</v>
      </c>
      <c r="C301" s="10" t="s">
        <v>473</v>
      </c>
      <c r="D301" s="10" t="s">
        <v>474</v>
      </c>
      <c r="E301" s="10" t="s">
        <v>475</v>
      </c>
      <c r="F301" s="11">
        <v>26000</v>
      </c>
      <c r="G301" s="11">
        <v>26000</v>
      </c>
      <c r="H301" s="11">
        <v>3747.08</v>
      </c>
      <c r="I301" s="12"/>
      <c r="J301" s="12"/>
      <c r="K301" s="11">
        <v>22252.92</v>
      </c>
    </row>
    <row r="302" spans="1:11" hidden="1" x14ac:dyDescent="0.35">
      <c r="A302" s="10" t="s">
        <v>429</v>
      </c>
      <c r="B302" s="10" t="s">
        <v>430</v>
      </c>
      <c r="C302" s="10" t="s">
        <v>476</v>
      </c>
      <c r="D302" s="10" t="s">
        <v>477</v>
      </c>
      <c r="E302" s="10" t="s">
        <v>478</v>
      </c>
      <c r="F302" s="12"/>
      <c r="G302" s="12"/>
      <c r="H302" s="11">
        <v>-219</v>
      </c>
      <c r="I302" s="12"/>
      <c r="J302" s="12"/>
      <c r="K302" s="11">
        <v>219</v>
      </c>
    </row>
    <row r="303" spans="1:11" hidden="1" x14ac:dyDescent="0.35">
      <c r="A303" s="10" t="s">
        <v>429</v>
      </c>
      <c r="B303" s="10" t="s">
        <v>430</v>
      </c>
      <c r="C303" s="10" t="s">
        <v>479</v>
      </c>
      <c r="D303" s="10" t="s">
        <v>480</v>
      </c>
      <c r="E303" s="10" t="s">
        <v>481</v>
      </c>
      <c r="F303" s="11">
        <v>0</v>
      </c>
      <c r="G303" s="11">
        <v>11750</v>
      </c>
      <c r="H303" s="12"/>
      <c r="I303" s="12"/>
      <c r="J303" s="12"/>
      <c r="K303" s="11">
        <v>11750</v>
      </c>
    </row>
    <row r="304" spans="1:11" hidden="1" x14ac:dyDescent="0.35">
      <c r="A304" s="10" t="s">
        <v>429</v>
      </c>
      <c r="B304" s="10" t="s">
        <v>430</v>
      </c>
      <c r="C304" s="10" t="s">
        <v>482</v>
      </c>
      <c r="D304" s="10" t="s">
        <v>483</v>
      </c>
      <c r="E304" s="10" t="s">
        <v>484</v>
      </c>
      <c r="F304" s="11">
        <v>0</v>
      </c>
      <c r="G304" s="11">
        <v>20000</v>
      </c>
      <c r="H304" s="12"/>
      <c r="I304" s="12"/>
      <c r="J304" s="12"/>
      <c r="K304" s="11">
        <v>20000</v>
      </c>
    </row>
    <row r="305" spans="1:11" hidden="1" x14ac:dyDescent="0.35">
      <c r="A305" s="10" t="s">
        <v>485</v>
      </c>
      <c r="B305" s="10" t="s">
        <v>486</v>
      </c>
      <c r="C305" s="10" t="s">
        <v>437</v>
      </c>
      <c r="D305" s="10" t="s">
        <v>438</v>
      </c>
      <c r="E305" s="10" t="s">
        <v>487</v>
      </c>
      <c r="F305" s="11">
        <v>3589128</v>
      </c>
      <c r="G305" s="11">
        <v>247936</v>
      </c>
      <c r="H305" s="11">
        <v>168512.62</v>
      </c>
      <c r="I305" s="11">
        <v>50005.48</v>
      </c>
      <c r="J305" s="11">
        <v>29417.31</v>
      </c>
      <c r="K305" s="11">
        <v>0.58999999999650798</v>
      </c>
    </row>
    <row r="306" spans="1:11" hidden="1" x14ac:dyDescent="0.35">
      <c r="A306" s="10" t="s">
        <v>485</v>
      </c>
      <c r="B306" s="10" t="s">
        <v>486</v>
      </c>
      <c r="C306" s="10" t="s">
        <v>488</v>
      </c>
      <c r="D306" s="10" t="s">
        <v>489</v>
      </c>
      <c r="E306" s="10" t="s">
        <v>490</v>
      </c>
      <c r="F306" s="11">
        <v>10000</v>
      </c>
      <c r="G306" s="11">
        <v>10000</v>
      </c>
      <c r="H306" s="11">
        <v>848</v>
      </c>
      <c r="I306" s="12"/>
      <c r="J306" s="12"/>
      <c r="K306" s="11">
        <v>9152</v>
      </c>
    </row>
    <row r="307" spans="1:11" hidden="1" x14ac:dyDescent="0.35">
      <c r="A307" s="10" t="s">
        <v>485</v>
      </c>
      <c r="B307" s="10" t="s">
        <v>486</v>
      </c>
      <c r="C307" s="10" t="s">
        <v>491</v>
      </c>
      <c r="D307" s="10" t="s">
        <v>492</v>
      </c>
      <c r="E307" s="10" t="s">
        <v>493</v>
      </c>
      <c r="F307" s="11">
        <v>30000</v>
      </c>
      <c r="G307" s="11">
        <v>6000</v>
      </c>
      <c r="H307" s="11">
        <v>3000</v>
      </c>
      <c r="I307" s="12"/>
      <c r="J307" s="12"/>
      <c r="K307" s="11">
        <v>3000</v>
      </c>
    </row>
    <row r="308" spans="1:11" hidden="1" x14ac:dyDescent="0.35">
      <c r="A308" s="10" t="s">
        <v>485</v>
      </c>
      <c r="B308" s="10" t="s">
        <v>486</v>
      </c>
      <c r="C308" s="10" t="s">
        <v>61</v>
      </c>
      <c r="D308" s="10" t="s">
        <v>62</v>
      </c>
      <c r="E308" s="10" t="s">
        <v>494</v>
      </c>
      <c r="F308" s="11">
        <v>0</v>
      </c>
      <c r="G308" s="11">
        <v>7000</v>
      </c>
      <c r="H308" s="11">
        <v>5106</v>
      </c>
      <c r="I308" s="11">
        <v>0</v>
      </c>
      <c r="J308" s="11">
        <v>0</v>
      </c>
      <c r="K308" s="11">
        <v>1894</v>
      </c>
    </row>
    <row r="309" spans="1:11" hidden="1" x14ac:dyDescent="0.35">
      <c r="A309" s="10" t="s">
        <v>485</v>
      </c>
      <c r="B309" s="10" t="s">
        <v>486</v>
      </c>
      <c r="C309" s="10" t="s">
        <v>495</v>
      </c>
      <c r="D309" s="10" t="s">
        <v>496</v>
      </c>
      <c r="E309" s="10" t="s">
        <v>497</v>
      </c>
      <c r="F309" s="11">
        <v>7349560</v>
      </c>
      <c r="G309" s="11">
        <v>8500127</v>
      </c>
      <c r="H309" s="11">
        <v>8409542.0600000005</v>
      </c>
      <c r="I309" s="12"/>
      <c r="J309" s="12"/>
      <c r="K309" s="11">
        <v>90584.940000001297</v>
      </c>
    </row>
    <row r="310" spans="1:11" hidden="1" x14ac:dyDescent="0.35">
      <c r="A310" s="10" t="s">
        <v>485</v>
      </c>
      <c r="B310" s="10" t="s">
        <v>486</v>
      </c>
      <c r="C310" s="10" t="s">
        <v>495</v>
      </c>
      <c r="D310" s="10" t="s">
        <v>496</v>
      </c>
      <c r="E310" s="10" t="s">
        <v>498</v>
      </c>
      <c r="F310" s="11">
        <v>4615084</v>
      </c>
      <c r="G310" s="11">
        <v>4835679</v>
      </c>
      <c r="H310" s="11">
        <v>4835640.68</v>
      </c>
      <c r="I310" s="12"/>
      <c r="J310" s="12"/>
      <c r="K310" s="11">
        <v>38.319999999315797</v>
      </c>
    </row>
    <row r="311" spans="1:11" hidden="1" x14ac:dyDescent="0.35">
      <c r="A311" s="10" t="s">
        <v>485</v>
      </c>
      <c r="B311" s="10" t="s">
        <v>486</v>
      </c>
      <c r="C311" s="10" t="s">
        <v>495</v>
      </c>
      <c r="D311" s="10" t="s">
        <v>496</v>
      </c>
      <c r="E311" s="10" t="s">
        <v>499</v>
      </c>
      <c r="F311" s="11">
        <v>3058446</v>
      </c>
      <c r="G311" s="11">
        <v>5374966</v>
      </c>
      <c r="H311" s="11">
        <v>5255311</v>
      </c>
      <c r="I311" s="12"/>
      <c r="J311" s="12"/>
      <c r="K311" s="11">
        <v>119655</v>
      </c>
    </row>
    <row r="312" spans="1:11" hidden="1" x14ac:dyDescent="0.35">
      <c r="A312" s="10" t="s">
        <v>485</v>
      </c>
      <c r="B312" s="10" t="s">
        <v>486</v>
      </c>
      <c r="C312" s="10" t="s">
        <v>495</v>
      </c>
      <c r="D312" s="10" t="s">
        <v>496</v>
      </c>
      <c r="E312" s="10" t="s">
        <v>500</v>
      </c>
      <c r="F312" s="11">
        <v>442627</v>
      </c>
      <c r="G312" s="11">
        <v>0</v>
      </c>
      <c r="H312" s="12"/>
      <c r="I312" s="12"/>
      <c r="J312" s="12"/>
      <c r="K312" s="11">
        <v>0</v>
      </c>
    </row>
    <row r="313" spans="1:11" hidden="1" x14ac:dyDescent="0.35">
      <c r="A313" s="10" t="s">
        <v>485</v>
      </c>
      <c r="B313" s="10" t="s">
        <v>486</v>
      </c>
      <c r="C313" s="10" t="s">
        <v>501</v>
      </c>
      <c r="D313" s="10" t="s">
        <v>502</v>
      </c>
      <c r="E313" s="10" t="s">
        <v>503</v>
      </c>
      <c r="F313" s="11">
        <v>1153128</v>
      </c>
      <c r="G313" s="11">
        <v>1242066</v>
      </c>
      <c r="H313" s="11">
        <v>1187671.8799999999</v>
      </c>
      <c r="I313" s="12"/>
      <c r="J313" s="12"/>
      <c r="K313" s="11">
        <v>54394.120000000097</v>
      </c>
    </row>
    <row r="314" spans="1:11" hidden="1" x14ac:dyDescent="0.35">
      <c r="A314" s="10" t="s">
        <v>485</v>
      </c>
      <c r="B314" s="10" t="s">
        <v>486</v>
      </c>
      <c r="C314" s="10" t="s">
        <v>501</v>
      </c>
      <c r="D314" s="10" t="s">
        <v>502</v>
      </c>
      <c r="E314" s="10" t="s">
        <v>504</v>
      </c>
      <c r="F314" s="11">
        <v>1681399</v>
      </c>
      <c r="G314" s="11">
        <v>1827377</v>
      </c>
      <c r="H314" s="11">
        <v>1479472.84</v>
      </c>
      <c r="I314" s="12"/>
      <c r="J314" s="12"/>
      <c r="K314" s="11">
        <v>347904.16</v>
      </c>
    </row>
    <row r="315" spans="1:11" hidden="1" x14ac:dyDescent="0.35">
      <c r="A315" s="10" t="s">
        <v>485</v>
      </c>
      <c r="B315" s="10" t="s">
        <v>486</v>
      </c>
      <c r="C315" s="10" t="s">
        <v>501</v>
      </c>
      <c r="D315" s="10" t="s">
        <v>502</v>
      </c>
      <c r="E315" s="10" t="s">
        <v>505</v>
      </c>
      <c r="F315" s="11">
        <v>1703132</v>
      </c>
      <c r="G315" s="11">
        <v>1822786</v>
      </c>
      <c r="H315" s="11">
        <v>1523249.09</v>
      </c>
      <c r="I315" s="12"/>
      <c r="J315" s="12"/>
      <c r="K315" s="11">
        <v>299536.90999999997</v>
      </c>
    </row>
    <row r="316" spans="1:11" hidden="1" x14ac:dyDescent="0.35">
      <c r="A316" s="10" t="s">
        <v>485</v>
      </c>
      <c r="B316" s="10" t="s">
        <v>486</v>
      </c>
      <c r="C316" s="10" t="s">
        <v>501</v>
      </c>
      <c r="D316" s="10" t="s">
        <v>502</v>
      </c>
      <c r="E316" s="10" t="s">
        <v>506</v>
      </c>
      <c r="F316" s="11">
        <v>153570</v>
      </c>
      <c r="G316" s="11">
        <v>153570</v>
      </c>
      <c r="H316" s="12"/>
      <c r="I316" s="12"/>
      <c r="J316" s="12"/>
      <c r="K316" s="11">
        <v>153570</v>
      </c>
    </row>
    <row r="317" spans="1:11" hidden="1" x14ac:dyDescent="0.35">
      <c r="A317" s="10" t="s">
        <v>485</v>
      </c>
      <c r="B317" s="10" t="s">
        <v>486</v>
      </c>
      <c r="C317" s="10" t="s">
        <v>507</v>
      </c>
      <c r="D317" s="10" t="s">
        <v>508</v>
      </c>
      <c r="E317" s="10" t="s">
        <v>509</v>
      </c>
      <c r="F317" s="11">
        <v>44000</v>
      </c>
      <c r="G317" s="11">
        <v>44000</v>
      </c>
      <c r="H317" s="11">
        <v>41250</v>
      </c>
      <c r="I317" s="12"/>
      <c r="J317" s="12"/>
      <c r="K317" s="11">
        <v>2750</v>
      </c>
    </row>
    <row r="318" spans="1:11" hidden="1" x14ac:dyDescent="0.35">
      <c r="A318" s="10" t="s">
        <v>485</v>
      </c>
      <c r="B318" s="10" t="s">
        <v>486</v>
      </c>
      <c r="C318" s="10" t="s">
        <v>510</v>
      </c>
      <c r="D318" s="10" t="s">
        <v>511</v>
      </c>
      <c r="E318" s="10" t="s">
        <v>512</v>
      </c>
      <c r="F318" s="11">
        <v>0</v>
      </c>
      <c r="G318" s="11">
        <v>24416</v>
      </c>
      <c r="H318" s="11">
        <v>24415</v>
      </c>
      <c r="I318" s="11">
        <v>0</v>
      </c>
      <c r="J318" s="11">
        <v>0</v>
      </c>
      <c r="K318" s="11">
        <v>1</v>
      </c>
    </row>
    <row r="319" spans="1:11" hidden="1" x14ac:dyDescent="0.35">
      <c r="A319" s="10" t="s">
        <v>485</v>
      </c>
      <c r="B319" s="10" t="s">
        <v>486</v>
      </c>
      <c r="C319" s="10" t="s">
        <v>513</v>
      </c>
      <c r="D319" s="10" t="s">
        <v>514</v>
      </c>
      <c r="E319" s="10" t="s">
        <v>515</v>
      </c>
      <c r="F319" s="11">
        <v>967680</v>
      </c>
      <c r="G319" s="11">
        <v>989464</v>
      </c>
      <c r="H319" s="11">
        <v>978732.96</v>
      </c>
      <c r="I319" s="11">
        <v>0</v>
      </c>
      <c r="J319" s="11">
        <v>10730</v>
      </c>
      <c r="K319" s="11">
        <v>1.04000000003725</v>
      </c>
    </row>
    <row r="320" spans="1:11" hidden="1" x14ac:dyDescent="0.35">
      <c r="A320" s="10" t="s">
        <v>485</v>
      </c>
      <c r="B320" s="10" t="s">
        <v>486</v>
      </c>
      <c r="C320" s="10" t="s">
        <v>464</v>
      </c>
      <c r="D320" s="10" t="s">
        <v>465</v>
      </c>
      <c r="E320" s="10" t="s">
        <v>516</v>
      </c>
      <c r="F320" s="11">
        <v>0</v>
      </c>
      <c r="G320" s="11">
        <v>-367211</v>
      </c>
      <c r="H320" s="11">
        <v>-371826.82</v>
      </c>
      <c r="I320" s="12"/>
      <c r="J320" s="11">
        <v>-7.0000000006984905E-2</v>
      </c>
      <c r="K320" s="11">
        <v>4615.8900000000103</v>
      </c>
    </row>
    <row r="321" spans="1:11" hidden="1" x14ac:dyDescent="0.35">
      <c r="A321" s="10" t="s">
        <v>485</v>
      </c>
      <c r="B321" s="10" t="s">
        <v>486</v>
      </c>
      <c r="C321" s="10" t="s">
        <v>464</v>
      </c>
      <c r="D321" s="10" t="s">
        <v>465</v>
      </c>
      <c r="E321" s="10" t="s">
        <v>517</v>
      </c>
      <c r="F321" s="11">
        <v>0</v>
      </c>
      <c r="G321" s="11">
        <v>-241882</v>
      </c>
      <c r="H321" s="11">
        <v>-242103.6</v>
      </c>
      <c r="I321" s="11">
        <v>2</v>
      </c>
      <c r="J321" s="11">
        <v>0</v>
      </c>
      <c r="K321" s="11">
        <v>219.60000000000599</v>
      </c>
    </row>
    <row r="322" spans="1:11" hidden="1" x14ac:dyDescent="0.35">
      <c r="A322" s="10" t="s">
        <v>485</v>
      </c>
      <c r="B322" s="10" t="s">
        <v>486</v>
      </c>
      <c r="C322" s="10" t="s">
        <v>476</v>
      </c>
      <c r="D322" s="10" t="s">
        <v>477</v>
      </c>
      <c r="E322" s="10" t="s">
        <v>518</v>
      </c>
      <c r="F322" s="11">
        <v>140000</v>
      </c>
      <c r="G322" s="11">
        <v>89603</v>
      </c>
      <c r="H322" s="11">
        <v>89601.84</v>
      </c>
      <c r="I322" s="11">
        <v>0</v>
      </c>
      <c r="J322" s="11">
        <v>0</v>
      </c>
      <c r="K322" s="11">
        <v>1.16000000000349</v>
      </c>
    </row>
    <row r="323" spans="1:11" hidden="1" x14ac:dyDescent="0.35">
      <c r="A323" s="10" t="s">
        <v>485</v>
      </c>
      <c r="B323" s="10" t="s">
        <v>486</v>
      </c>
      <c r="C323" s="10" t="s">
        <v>479</v>
      </c>
      <c r="D323" s="10" t="s">
        <v>480</v>
      </c>
      <c r="E323" s="10" t="s">
        <v>519</v>
      </c>
      <c r="F323" s="11">
        <v>0</v>
      </c>
      <c r="G323" s="11">
        <v>1477395</v>
      </c>
      <c r="H323" s="11">
        <v>1441004.98</v>
      </c>
      <c r="I323" s="11">
        <v>1</v>
      </c>
      <c r="J323" s="11">
        <v>11386.0800000001</v>
      </c>
      <c r="K323" s="11">
        <v>25002.94</v>
      </c>
    </row>
    <row r="324" spans="1:11" hidden="1" x14ac:dyDescent="0.35">
      <c r="A324" s="10" t="s">
        <v>485</v>
      </c>
      <c r="B324" s="10" t="s">
        <v>486</v>
      </c>
      <c r="C324" s="10" t="s">
        <v>520</v>
      </c>
      <c r="D324" s="10" t="s">
        <v>521</v>
      </c>
      <c r="E324" s="10" t="s">
        <v>522</v>
      </c>
      <c r="F324" s="11">
        <v>336000</v>
      </c>
      <c r="G324" s="11">
        <v>266721</v>
      </c>
      <c r="H324" s="11">
        <v>266719.75</v>
      </c>
      <c r="I324" s="12"/>
      <c r="J324" s="12"/>
      <c r="K324" s="11">
        <v>1.25</v>
      </c>
    </row>
    <row r="325" spans="1:11" hidden="1" x14ac:dyDescent="0.35">
      <c r="A325" s="10" t="s">
        <v>485</v>
      </c>
      <c r="B325" s="10" t="s">
        <v>486</v>
      </c>
      <c r="C325" s="10" t="s">
        <v>154</v>
      </c>
      <c r="D325" s="10" t="s">
        <v>155</v>
      </c>
      <c r="E325" s="10" t="s">
        <v>523</v>
      </c>
      <c r="F325" s="11">
        <v>193910</v>
      </c>
      <c r="G325" s="11">
        <v>110009</v>
      </c>
      <c r="H325" s="11">
        <v>110007.78</v>
      </c>
      <c r="I325" s="11">
        <v>0</v>
      </c>
      <c r="J325" s="11">
        <v>0</v>
      </c>
      <c r="K325" s="11">
        <v>1.2200000000011599</v>
      </c>
    </row>
    <row r="326" spans="1:11" hidden="1" x14ac:dyDescent="0.35">
      <c r="A326" s="10" t="s">
        <v>524</v>
      </c>
      <c r="B326" s="10" t="s">
        <v>525</v>
      </c>
      <c r="C326" s="10" t="s">
        <v>43</v>
      </c>
      <c r="D326" s="10" t="s">
        <v>44</v>
      </c>
      <c r="E326" s="10" t="s">
        <v>526</v>
      </c>
      <c r="F326" s="11">
        <v>0</v>
      </c>
      <c r="G326" s="11">
        <v>6445</v>
      </c>
      <c r="H326" s="11">
        <v>5845</v>
      </c>
      <c r="I326" s="12"/>
      <c r="J326" s="12"/>
      <c r="K326" s="11">
        <v>600</v>
      </c>
    </row>
    <row r="327" spans="1:11" hidden="1" x14ac:dyDescent="0.35">
      <c r="A327" s="10" t="s">
        <v>527</v>
      </c>
      <c r="B327" s="10" t="s">
        <v>528</v>
      </c>
      <c r="C327" s="10" t="s">
        <v>529</v>
      </c>
      <c r="D327" s="10" t="s">
        <v>530</v>
      </c>
      <c r="E327" s="10" t="s">
        <v>531</v>
      </c>
      <c r="F327" s="11">
        <v>295000</v>
      </c>
      <c r="G327" s="11">
        <v>383200</v>
      </c>
      <c r="H327" s="11">
        <v>383200</v>
      </c>
      <c r="I327" s="12"/>
      <c r="J327" s="12"/>
      <c r="K327" s="11">
        <v>0</v>
      </c>
    </row>
    <row r="328" spans="1:11" hidden="1" x14ac:dyDescent="0.35">
      <c r="A328" s="10" t="s">
        <v>527</v>
      </c>
      <c r="B328" s="10" t="s">
        <v>528</v>
      </c>
      <c r="C328" s="10" t="s">
        <v>437</v>
      </c>
      <c r="D328" s="10" t="s">
        <v>438</v>
      </c>
      <c r="E328" s="10" t="s">
        <v>532</v>
      </c>
      <c r="F328" s="11">
        <v>431160</v>
      </c>
      <c r="G328" s="11">
        <v>31160</v>
      </c>
      <c r="H328" s="11">
        <v>31000</v>
      </c>
      <c r="I328" s="12"/>
      <c r="J328" s="12"/>
      <c r="K328" s="11">
        <v>160</v>
      </c>
    </row>
    <row r="329" spans="1:11" hidden="1" x14ac:dyDescent="0.35">
      <c r="A329" s="10" t="s">
        <v>527</v>
      </c>
      <c r="B329" s="10" t="s">
        <v>528</v>
      </c>
      <c r="C329" s="10" t="s">
        <v>533</v>
      </c>
      <c r="D329" s="10" t="s">
        <v>534</v>
      </c>
      <c r="E329" s="10" t="s">
        <v>535</v>
      </c>
      <c r="F329" s="11">
        <v>310500</v>
      </c>
      <c r="G329" s="11">
        <v>519271</v>
      </c>
      <c r="H329" s="11">
        <v>386410</v>
      </c>
      <c r="I329" s="11">
        <v>0</v>
      </c>
      <c r="J329" s="11">
        <v>132860</v>
      </c>
      <c r="K329" s="11">
        <v>1</v>
      </c>
    </row>
    <row r="330" spans="1:11" hidden="1" x14ac:dyDescent="0.35">
      <c r="A330" s="10" t="s">
        <v>527</v>
      </c>
      <c r="B330" s="10" t="s">
        <v>528</v>
      </c>
      <c r="C330" s="10" t="s">
        <v>536</v>
      </c>
      <c r="D330" s="10" t="s">
        <v>537</v>
      </c>
      <c r="E330" s="10" t="s">
        <v>538</v>
      </c>
      <c r="F330" s="11">
        <v>3600</v>
      </c>
      <c r="G330" s="11">
        <v>3600</v>
      </c>
      <c r="H330" s="11">
        <v>536.14</v>
      </c>
      <c r="I330" s="12"/>
      <c r="J330" s="12"/>
      <c r="K330" s="11">
        <v>3063.86</v>
      </c>
    </row>
    <row r="331" spans="1:11" hidden="1" x14ac:dyDescent="0.35">
      <c r="A331" s="10" t="s">
        <v>527</v>
      </c>
      <c r="B331" s="10" t="s">
        <v>528</v>
      </c>
      <c r="C331" s="10" t="s">
        <v>539</v>
      </c>
      <c r="D331" s="10" t="s">
        <v>540</v>
      </c>
      <c r="E331" s="10" t="s">
        <v>541</v>
      </c>
      <c r="F331" s="11">
        <v>90000</v>
      </c>
      <c r="G331" s="11">
        <v>124500</v>
      </c>
      <c r="H331" s="11">
        <v>99123.96</v>
      </c>
      <c r="I331" s="12"/>
      <c r="J331" s="12"/>
      <c r="K331" s="11">
        <v>25376.04</v>
      </c>
    </row>
    <row r="332" spans="1:11" hidden="1" x14ac:dyDescent="0.35">
      <c r="A332" s="10" t="s">
        <v>527</v>
      </c>
      <c r="B332" s="10" t="s">
        <v>528</v>
      </c>
      <c r="C332" s="10" t="s">
        <v>37</v>
      </c>
      <c r="D332" s="10" t="s">
        <v>38</v>
      </c>
      <c r="E332" s="10" t="s">
        <v>542</v>
      </c>
      <c r="F332" s="11">
        <v>0</v>
      </c>
      <c r="G332" s="11">
        <v>5000</v>
      </c>
      <c r="H332" s="11">
        <v>4079</v>
      </c>
      <c r="I332" s="12"/>
      <c r="J332" s="12"/>
      <c r="K332" s="11">
        <v>3000</v>
      </c>
    </row>
    <row r="333" spans="1:11" hidden="1" x14ac:dyDescent="0.35">
      <c r="A333" s="10" t="s">
        <v>527</v>
      </c>
      <c r="B333" s="10" t="s">
        <v>528</v>
      </c>
      <c r="C333" s="10" t="s">
        <v>40</v>
      </c>
      <c r="D333" s="10" t="s">
        <v>41</v>
      </c>
      <c r="E333" s="10" t="s">
        <v>543</v>
      </c>
      <c r="F333" s="11">
        <v>31680</v>
      </c>
      <c r="G333" s="11">
        <v>31680</v>
      </c>
      <c r="H333" s="11">
        <v>31680</v>
      </c>
      <c r="I333" s="11">
        <v>0</v>
      </c>
      <c r="J333" s="11">
        <v>0</v>
      </c>
      <c r="K333" s="11">
        <v>0</v>
      </c>
    </row>
    <row r="334" spans="1:11" hidden="1" x14ac:dyDescent="0.35">
      <c r="A334" s="10" t="s">
        <v>527</v>
      </c>
      <c r="B334" s="10" t="s">
        <v>528</v>
      </c>
      <c r="C334" s="10" t="s">
        <v>154</v>
      </c>
      <c r="D334" s="10" t="s">
        <v>155</v>
      </c>
      <c r="E334" s="10" t="s">
        <v>544</v>
      </c>
      <c r="F334" s="12"/>
      <c r="G334" s="12"/>
      <c r="H334" s="11">
        <v>0</v>
      </c>
      <c r="I334" s="12"/>
      <c r="J334" s="12"/>
      <c r="K334" s="11">
        <v>0</v>
      </c>
    </row>
    <row r="335" spans="1:11" hidden="1" x14ac:dyDescent="0.35">
      <c r="A335" s="10" t="s">
        <v>527</v>
      </c>
      <c r="B335" s="10" t="s">
        <v>528</v>
      </c>
      <c r="C335" s="10" t="s">
        <v>545</v>
      </c>
      <c r="D335" s="10" t="s">
        <v>546</v>
      </c>
      <c r="E335" s="10" t="s">
        <v>547</v>
      </c>
      <c r="F335" s="11">
        <v>2500</v>
      </c>
      <c r="G335" s="11">
        <v>10870</v>
      </c>
      <c r="H335" s="11">
        <v>6150</v>
      </c>
      <c r="I335" s="12"/>
      <c r="J335" s="12"/>
      <c r="K335" s="11">
        <v>4720</v>
      </c>
    </row>
    <row r="336" spans="1:11" hidden="1" x14ac:dyDescent="0.35">
      <c r="A336" s="10" t="s">
        <v>548</v>
      </c>
      <c r="B336" s="10" t="s">
        <v>549</v>
      </c>
      <c r="C336" s="10" t="s">
        <v>25</v>
      </c>
      <c r="D336" s="10" t="s">
        <v>26</v>
      </c>
      <c r="E336" s="10" t="s">
        <v>550</v>
      </c>
      <c r="F336" s="11">
        <v>0</v>
      </c>
      <c r="G336" s="11">
        <v>-177900</v>
      </c>
      <c r="H336" s="11">
        <v>-177900.66</v>
      </c>
      <c r="I336" s="12"/>
      <c r="J336" s="12"/>
      <c r="K336" s="11">
        <v>0.66000000000349202</v>
      </c>
    </row>
    <row r="337" spans="1:11" hidden="1" x14ac:dyDescent="0.35">
      <c r="A337" s="10" t="s">
        <v>548</v>
      </c>
      <c r="B337" s="10" t="s">
        <v>549</v>
      </c>
      <c r="C337" s="10" t="s">
        <v>28</v>
      </c>
      <c r="D337" s="10" t="s">
        <v>29</v>
      </c>
      <c r="E337" s="10" t="s">
        <v>551</v>
      </c>
      <c r="F337" s="11">
        <v>2000</v>
      </c>
      <c r="G337" s="11">
        <v>24000</v>
      </c>
      <c r="H337" s="11">
        <v>12000</v>
      </c>
      <c r="I337" s="11">
        <v>0</v>
      </c>
      <c r="J337" s="11">
        <v>0</v>
      </c>
      <c r="K337" s="11">
        <v>12000</v>
      </c>
    </row>
    <row r="338" spans="1:11" hidden="1" x14ac:dyDescent="0.35">
      <c r="A338" s="10" t="s">
        <v>548</v>
      </c>
      <c r="B338" s="10" t="s">
        <v>549</v>
      </c>
      <c r="C338" s="10" t="s">
        <v>40</v>
      </c>
      <c r="D338" s="10" t="s">
        <v>41</v>
      </c>
      <c r="E338" s="10" t="s">
        <v>552</v>
      </c>
      <c r="F338" s="11">
        <v>0</v>
      </c>
      <c r="G338" s="11">
        <v>7300</v>
      </c>
      <c r="H338" s="11">
        <v>6271</v>
      </c>
      <c r="I338" s="11">
        <v>0</v>
      </c>
      <c r="J338" s="11">
        <v>0</v>
      </c>
      <c r="K338" s="11">
        <v>1029</v>
      </c>
    </row>
    <row r="339" spans="1:11" hidden="1" x14ac:dyDescent="0.35">
      <c r="A339" s="10" t="s">
        <v>548</v>
      </c>
      <c r="B339" s="10" t="s">
        <v>549</v>
      </c>
      <c r="C339" s="10" t="s">
        <v>491</v>
      </c>
      <c r="D339" s="10" t="s">
        <v>492</v>
      </c>
      <c r="E339" s="10" t="s">
        <v>553</v>
      </c>
      <c r="F339" s="11">
        <v>10000</v>
      </c>
      <c r="G339" s="11">
        <v>15000</v>
      </c>
      <c r="H339" s="11">
        <v>9949.27</v>
      </c>
      <c r="I339" s="12"/>
      <c r="J339" s="12"/>
      <c r="K339" s="11">
        <v>5034.7299999999996</v>
      </c>
    </row>
    <row r="340" spans="1:11" hidden="1" x14ac:dyDescent="0.35">
      <c r="A340" s="10" t="s">
        <v>548</v>
      </c>
      <c r="B340" s="10" t="s">
        <v>549</v>
      </c>
      <c r="C340" s="10" t="s">
        <v>424</v>
      </c>
      <c r="D340" s="10" t="s">
        <v>425</v>
      </c>
      <c r="E340" s="10" t="s">
        <v>554</v>
      </c>
      <c r="F340" s="11">
        <v>250000</v>
      </c>
      <c r="G340" s="11">
        <v>350000</v>
      </c>
      <c r="H340" s="11">
        <v>344310.99</v>
      </c>
      <c r="I340" s="11">
        <v>0</v>
      </c>
      <c r="J340" s="11">
        <v>0</v>
      </c>
      <c r="K340" s="11">
        <v>5689.0100000000102</v>
      </c>
    </row>
    <row r="341" spans="1:11" hidden="1" x14ac:dyDescent="0.35">
      <c r="A341" s="10" t="s">
        <v>548</v>
      </c>
      <c r="B341" s="10" t="s">
        <v>549</v>
      </c>
      <c r="C341" s="10" t="s">
        <v>464</v>
      </c>
      <c r="D341" s="10" t="s">
        <v>465</v>
      </c>
      <c r="E341" s="10" t="s">
        <v>555</v>
      </c>
      <c r="F341" s="11">
        <v>236400</v>
      </c>
      <c r="G341" s="11">
        <v>54400</v>
      </c>
      <c r="H341" s="11">
        <v>50950</v>
      </c>
      <c r="I341" s="11">
        <v>0</v>
      </c>
      <c r="J341" s="11">
        <v>0</v>
      </c>
      <c r="K341" s="11">
        <v>3450</v>
      </c>
    </row>
    <row r="342" spans="1:11" hidden="1" x14ac:dyDescent="0.35">
      <c r="A342" s="10" t="s">
        <v>548</v>
      </c>
      <c r="B342" s="10" t="s">
        <v>549</v>
      </c>
      <c r="C342" s="10" t="s">
        <v>479</v>
      </c>
      <c r="D342" s="10" t="s">
        <v>480</v>
      </c>
      <c r="E342" s="10" t="s">
        <v>556</v>
      </c>
      <c r="F342" s="11">
        <v>840000</v>
      </c>
      <c r="G342" s="11">
        <v>164310</v>
      </c>
      <c r="H342" s="11">
        <v>163340.39000000001</v>
      </c>
      <c r="I342" s="11">
        <v>0</v>
      </c>
      <c r="J342" s="11">
        <v>450</v>
      </c>
      <c r="K342" s="11">
        <v>519.60999999998603</v>
      </c>
    </row>
    <row r="343" spans="1:11" hidden="1" x14ac:dyDescent="0.35">
      <c r="A343" s="10" t="s">
        <v>548</v>
      </c>
      <c r="B343" s="10" t="s">
        <v>549</v>
      </c>
      <c r="C343" s="10" t="s">
        <v>154</v>
      </c>
      <c r="D343" s="10" t="s">
        <v>155</v>
      </c>
      <c r="E343" s="10" t="s">
        <v>557</v>
      </c>
      <c r="F343" s="11">
        <v>50000</v>
      </c>
      <c r="G343" s="11">
        <v>12854</v>
      </c>
      <c r="H343" s="11">
        <v>12853.5</v>
      </c>
      <c r="I343" s="11">
        <v>0</v>
      </c>
      <c r="J343" s="12"/>
      <c r="K343" s="11">
        <v>0.5</v>
      </c>
    </row>
    <row r="344" spans="1:11" hidden="1" x14ac:dyDescent="0.35">
      <c r="A344" s="10" t="s">
        <v>548</v>
      </c>
      <c r="B344" s="10" t="s">
        <v>549</v>
      </c>
      <c r="C344" s="10" t="s">
        <v>545</v>
      </c>
      <c r="D344" s="10" t="s">
        <v>546</v>
      </c>
      <c r="E344" s="10" t="s">
        <v>558</v>
      </c>
      <c r="F344" s="11">
        <v>120000</v>
      </c>
      <c r="G344" s="11">
        <v>180000</v>
      </c>
      <c r="H344" s="11">
        <v>168681.29</v>
      </c>
      <c r="I344" s="11">
        <v>0</v>
      </c>
      <c r="J344" s="11">
        <v>-2.18278728425503E-11</v>
      </c>
      <c r="K344" s="11">
        <v>11318.71</v>
      </c>
    </row>
    <row r="345" spans="1:11" hidden="1" x14ac:dyDescent="0.35">
      <c r="A345" s="10" t="s">
        <v>559</v>
      </c>
      <c r="B345" s="10" t="s">
        <v>560</v>
      </c>
      <c r="C345" s="10" t="s">
        <v>25</v>
      </c>
      <c r="D345" s="10" t="s">
        <v>26</v>
      </c>
      <c r="E345" s="10" t="s">
        <v>561</v>
      </c>
      <c r="F345" s="11">
        <v>300000</v>
      </c>
      <c r="G345" s="11">
        <v>-27206</v>
      </c>
      <c r="H345" s="11">
        <v>55214.83</v>
      </c>
      <c r="I345" s="11">
        <v>-215000</v>
      </c>
      <c r="J345" s="11">
        <v>132578.07</v>
      </c>
      <c r="K345" s="11">
        <v>1.1000000000058201</v>
      </c>
    </row>
    <row r="346" spans="1:11" hidden="1" x14ac:dyDescent="0.35">
      <c r="A346" s="10" t="s">
        <v>559</v>
      </c>
      <c r="B346" s="10" t="s">
        <v>560</v>
      </c>
      <c r="C346" s="10" t="s">
        <v>31</v>
      </c>
      <c r="D346" s="10" t="s">
        <v>32</v>
      </c>
      <c r="E346" s="10" t="s">
        <v>562</v>
      </c>
      <c r="F346" s="11">
        <v>50000</v>
      </c>
      <c r="G346" s="11">
        <v>13191</v>
      </c>
      <c r="H346" s="11">
        <v>13190</v>
      </c>
      <c r="I346" s="12"/>
      <c r="J346" s="12"/>
      <c r="K346" s="11">
        <v>1</v>
      </c>
    </row>
    <row r="347" spans="1:11" hidden="1" x14ac:dyDescent="0.35">
      <c r="A347" s="10" t="s">
        <v>559</v>
      </c>
      <c r="B347" s="10" t="s">
        <v>560</v>
      </c>
      <c r="C347" s="10" t="s">
        <v>37</v>
      </c>
      <c r="D347" s="10" t="s">
        <v>38</v>
      </c>
      <c r="E347" s="10" t="s">
        <v>563</v>
      </c>
      <c r="F347" s="11">
        <v>250000</v>
      </c>
      <c r="G347" s="11">
        <v>18291</v>
      </c>
      <c r="H347" s="11">
        <v>11150</v>
      </c>
      <c r="I347" s="11">
        <v>0</v>
      </c>
      <c r="J347" s="11">
        <v>7140</v>
      </c>
      <c r="K347" s="11">
        <v>1</v>
      </c>
    </row>
    <row r="348" spans="1:11" hidden="1" x14ac:dyDescent="0.35">
      <c r="A348" s="10" t="s">
        <v>559</v>
      </c>
      <c r="B348" s="10" t="s">
        <v>560</v>
      </c>
      <c r="C348" s="10" t="s">
        <v>40</v>
      </c>
      <c r="D348" s="10" t="s">
        <v>41</v>
      </c>
      <c r="E348" s="10" t="s">
        <v>564</v>
      </c>
      <c r="F348" s="11">
        <v>600000</v>
      </c>
      <c r="G348" s="11">
        <v>183287</v>
      </c>
      <c r="H348" s="11">
        <v>165285</v>
      </c>
      <c r="I348" s="11">
        <v>1</v>
      </c>
      <c r="J348" s="11">
        <v>18000</v>
      </c>
      <c r="K348" s="11">
        <v>1</v>
      </c>
    </row>
    <row r="349" spans="1:11" hidden="1" x14ac:dyDescent="0.35">
      <c r="A349" s="10" t="s">
        <v>559</v>
      </c>
      <c r="B349" s="10" t="s">
        <v>560</v>
      </c>
      <c r="C349" s="10" t="s">
        <v>565</v>
      </c>
      <c r="D349" s="10" t="s">
        <v>566</v>
      </c>
      <c r="E349" s="10" t="s">
        <v>567</v>
      </c>
      <c r="F349" s="11">
        <v>10000</v>
      </c>
      <c r="G349" s="11">
        <v>1</v>
      </c>
      <c r="H349" s="12"/>
      <c r="I349" s="12"/>
      <c r="J349" s="12"/>
      <c r="K349" s="11">
        <v>1</v>
      </c>
    </row>
    <row r="350" spans="1:11" hidden="1" x14ac:dyDescent="0.35">
      <c r="A350" s="10" t="s">
        <v>559</v>
      </c>
      <c r="B350" s="10" t="s">
        <v>560</v>
      </c>
      <c r="C350" s="10" t="s">
        <v>43</v>
      </c>
      <c r="D350" s="10" t="s">
        <v>44</v>
      </c>
      <c r="E350" s="10" t="s">
        <v>568</v>
      </c>
      <c r="F350" s="11">
        <v>0</v>
      </c>
      <c r="G350" s="11">
        <v>35100</v>
      </c>
      <c r="H350" s="11">
        <v>35080</v>
      </c>
      <c r="I350" s="12"/>
      <c r="J350" s="12"/>
      <c r="K350" s="11">
        <v>20</v>
      </c>
    </row>
    <row r="351" spans="1:11" hidden="1" x14ac:dyDescent="0.35">
      <c r="A351" s="10" t="s">
        <v>559</v>
      </c>
      <c r="B351" s="10" t="s">
        <v>560</v>
      </c>
      <c r="C351" s="10" t="s">
        <v>49</v>
      </c>
      <c r="D351" s="10" t="s">
        <v>50</v>
      </c>
      <c r="E351" s="10" t="s">
        <v>569</v>
      </c>
      <c r="F351" s="11">
        <v>250000</v>
      </c>
      <c r="G351" s="11">
        <v>205861</v>
      </c>
      <c r="H351" s="11">
        <v>61947.6</v>
      </c>
      <c r="I351" s="11">
        <v>0</v>
      </c>
      <c r="J351" s="11">
        <v>143100</v>
      </c>
      <c r="K351" s="11">
        <v>813.39999999999395</v>
      </c>
    </row>
    <row r="352" spans="1:11" hidden="1" x14ac:dyDescent="0.35">
      <c r="A352" s="10" t="s">
        <v>559</v>
      </c>
      <c r="B352" s="10" t="s">
        <v>560</v>
      </c>
      <c r="C352" s="10" t="s">
        <v>154</v>
      </c>
      <c r="D352" s="10" t="s">
        <v>155</v>
      </c>
      <c r="E352" s="10" t="s">
        <v>570</v>
      </c>
      <c r="F352" s="11">
        <v>50000</v>
      </c>
      <c r="G352" s="11">
        <v>51946</v>
      </c>
      <c r="H352" s="11">
        <v>17470</v>
      </c>
      <c r="I352" s="11">
        <v>0</v>
      </c>
      <c r="J352" s="11">
        <v>34475</v>
      </c>
      <c r="K352" s="11">
        <v>1</v>
      </c>
    </row>
    <row r="353" spans="1:11" hidden="1" x14ac:dyDescent="0.35">
      <c r="A353" s="10" t="s">
        <v>571</v>
      </c>
      <c r="B353" s="10" t="s">
        <v>572</v>
      </c>
      <c r="C353" s="10" t="s">
        <v>573</v>
      </c>
      <c r="D353" s="10" t="s">
        <v>574</v>
      </c>
      <c r="E353" s="10" t="s">
        <v>575</v>
      </c>
      <c r="F353" s="11">
        <v>10351793</v>
      </c>
      <c r="G353" s="11">
        <v>0</v>
      </c>
      <c r="H353" s="12"/>
      <c r="I353" s="12"/>
      <c r="J353" s="12"/>
      <c r="K353" s="11">
        <v>0</v>
      </c>
    </row>
    <row r="354" spans="1:11" hidden="1" x14ac:dyDescent="0.35">
      <c r="A354" s="10" t="s">
        <v>571</v>
      </c>
      <c r="B354" s="10" t="s">
        <v>572</v>
      </c>
      <c r="C354" s="10" t="s">
        <v>576</v>
      </c>
      <c r="D354" s="10" t="s">
        <v>577</v>
      </c>
      <c r="E354" s="10" t="s">
        <v>578</v>
      </c>
      <c r="F354" s="11">
        <v>0</v>
      </c>
      <c r="G354" s="11">
        <v>17610696</v>
      </c>
      <c r="H354" s="11">
        <v>17388539.73</v>
      </c>
      <c r="I354" s="12"/>
      <c r="J354" s="12"/>
      <c r="K354" s="11">
        <v>222156.27</v>
      </c>
    </row>
    <row r="355" spans="1:11" hidden="1" x14ac:dyDescent="0.35">
      <c r="A355" s="10" t="s">
        <v>571</v>
      </c>
      <c r="B355" s="10" t="s">
        <v>572</v>
      </c>
      <c r="C355" s="10" t="s">
        <v>437</v>
      </c>
      <c r="D355" s="10" t="s">
        <v>438</v>
      </c>
      <c r="E355" s="10" t="s">
        <v>579</v>
      </c>
      <c r="F355" s="11">
        <v>7465192</v>
      </c>
      <c r="G355" s="11">
        <v>373662</v>
      </c>
      <c r="H355" s="11">
        <v>-189882.07</v>
      </c>
      <c r="I355" s="11">
        <v>0</v>
      </c>
      <c r="J355" s="11">
        <v>563543.22</v>
      </c>
      <c r="K355" s="11">
        <v>0.85000000009313204</v>
      </c>
    </row>
    <row r="356" spans="1:11" hidden="1" x14ac:dyDescent="0.35">
      <c r="A356" s="10" t="s">
        <v>571</v>
      </c>
      <c r="B356" s="10" t="s">
        <v>572</v>
      </c>
      <c r="C356" s="10" t="s">
        <v>40</v>
      </c>
      <c r="D356" s="10" t="s">
        <v>41</v>
      </c>
      <c r="E356" s="10" t="s">
        <v>580</v>
      </c>
      <c r="F356" s="11">
        <v>8612571</v>
      </c>
      <c r="G356" s="11">
        <v>7040922</v>
      </c>
      <c r="H356" s="11">
        <v>6970695.8399999999</v>
      </c>
      <c r="I356" s="11">
        <v>81250.09</v>
      </c>
      <c r="J356" s="11">
        <v>-11024.99</v>
      </c>
      <c r="K356" s="11">
        <v>1.06000000028871</v>
      </c>
    </row>
    <row r="357" spans="1:11" hidden="1" x14ac:dyDescent="0.35">
      <c r="A357" s="10" t="s">
        <v>571</v>
      </c>
      <c r="B357" s="10" t="s">
        <v>572</v>
      </c>
      <c r="C357" s="10" t="s">
        <v>581</v>
      </c>
      <c r="D357" s="10" t="s">
        <v>582</v>
      </c>
      <c r="E357" s="10" t="s">
        <v>583</v>
      </c>
      <c r="F357" s="11">
        <v>800000</v>
      </c>
      <c r="G357" s="11">
        <v>2626114</v>
      </c>
      <c r="H357" s="11">
        <v>2640699.5099999998</v>
      </c>
      <c r="I357" s="12"/>
      <c r="J357" s="12"/>
      <c r="K357" s="11">
        <v>11828.7399999998</v>
      </c>
    </row>
    <row r="358" spans="1:11" hidden="1" x14ac:dyDescent="0.35">
      <c r="A358" s="10" t="s">
        <v>571</v>
      </c>
      <c r="B358" s="10" t="s">
        <v>572</v>
      </c>
      <c r="C358" s="10" t="s">
        <v>584</v>
      </c>
      <c r="D358" s="10" t="s">
        <v>585</v>
      </c>
      <c r="E358" s="10" t="s">
        <v>586</v>
      </c>
      <c r="F358" s="11">
        <v>2618028</v>
      </c>
      <c r="G358" s="11">
        <v>2078615</v>
      </c>
      <c r="H358" s="11">
        <v>2078611.37</v>
      </c>
      <c r="I358" s="12"/>
      <c r="J358" s="12"/>
      <c r="K358" s="11">
        <v>3.6300000003538999</v>
      </c>
    </row>
    <row r="359" spans="1:11" hidden="1" x14ac:dyDescent="0.35">
      <c r="A359" s="10" t="s">
        <v>571</v>
      </c>
      <c r="B359" s="10" t="s">
        <v>572</v>
      </c>
      <c r="C359" s="10" t="s">
        <v>43</v>
      </c>
      <c r="D359" s="10" t="s">
        <v>44</v>
      </c>
      <c r="E359" s="10" t="s">
        <v>587</v>
      </c>
      <c r="F359" s="11">
        <v>11500</v>
      </c>
      <c r="G359" s="11">
        <v>4401</v>
      </c>
      <c r="H359" s="11">
        <v>4400</v>
      </c>
      <c r="I359" s="12"/>
      <c r="J359" s="12"/>
      <c r="K359" s="11">
        <v>1</v>
      </c>
    </row>
    <row r="360" spans="1:11" hidden="1" x14ac:dyDescent="0.35">
      <c r="A360" s="10" t="s">
        <v>571</v>
      </c>
      <c r="B360" s="10" t="s">
        <v>572</v>
      </c>
      <c r="C360" s="10" t="s">
        <v>510</v>
      </c>
      <c r="D360" s="10" t="s">
        <v>511</v>
      </c>
      <c r="E360" s="10" t="s">
        <v>588</v>
      </c>
      <c r="F360" s="11">
        <v>1021317</v>
      </c>
      <c r="G360" s="11">
        <v>0</v>
      </c>
      <c r="H360" s="12"/>
      <c r="I360" s="12"/>
      <c r="J360" s="12"/>
      <c r="K360" s="11">
        <v>0</v>
      </c>
    </row>
    <row r="361" spans="1:11" hidden="1" x14ac:dyDescent="0.35">
      <c r="A361" s="10" t="s">
        <v>571</v>
      </c>
      <c r="B361" s="10" t="s">
        <v>572</v>
      </c>
      <c r="C361" s="10" t="s">
        <v>589</v>
      </c>
      <c r="D361" s="10" t="s">
        <v>590</v>
      </c>
      <c r="E361" s="10" t="s">
        <v>591</v>
      </c>
      <c r="F361" s="11">
        <v>0</v>
      </c>
      <c r="G361" s="11">
        <v>1022000</v>
      </c>
      <c r="H361" s="11">
        <v>754866.67</v>
      </c>
      <c r="I361" s="11">
        <v>0</v>
      </c>
      <c r="J361" s="11">
        <v>265899.09999999998</v>
      </c>
      <c r="K361" s="11">
        <v>1234.22999999992</v>
      </c>
    </row>
    <row r="362" spans="1:11" hidden="1" x14ac:dyDescent="0.35">
      <c r="A362" s="10" t="s">
        <v>571</v>
      </c>
      <c r="B362" s="10" t="s">
        <v>572</v>
      </c>
      <c r="C362" s="10" t="s">
        <v>123</v>
      </c>
      <c r="D362" s="10" t="s">
        <v>124</v>
      </c>
      <c r="E362" s="10" t="s">
        <v>592</v>
      </c>
      <c r="F362" s="11">
        <v>1475000</v>
      </c>
      <c r="G362" s="11">
        <v>1455435</v>
      </c>
      <c r="H362" s="11">
        <v>1455432.14</v>
      </c>
      <c r="I362" s="11">
        <v>0</v>
      </c>
      <c r="J362" s="11">
        <v>1.99999999934516</v>
      </c>
      <c r="K362" s="11">
        <v>0.860000000757282</v>
      </c>
    </row>
    <row r="363" spans="1:11" hidden="1" x14ac:dyDescent="0.35">
      <c r="A363" s="10" t="s">
        <v>571</v>
      </c>
      <c r="B363" s="10" t="s">
        <v>572</v>
      </c>
      <c r="C363" s="10" t="s">
        <v>593</v>
      </c>
      <c r="D363" s="10" t="s">
        <v>594</v>
      </c>
      <c r="E363" s="10" t="s">
        <v>595</v>
      </c>
      <c r="F363" s="11">
        <v>0</v>
      </c>
      <c r="G363" s="11">
        <v>364500</v>
      </c>
      <c r="H363" s="11">
        <v>362741.93</v>
      </c>
      <c r="I363" s="12"/>
      <c r="J363" s="12"/>
      <c r="K363" s="11">
        <v>1758.0699999999499</v>
      </c>
    </row>
    <row r="364" spans="1:11" hidden="1" x14ac:dyDescent="0.35">
      <c r="A364" s="10" t="s">
        <v>571</v>
      </c>
      <c r="B364" s="10" t="s">
        <v>572</v>
      </c>
      <c r="C364" s="10" t="s">
        <v>154</v>
      </c>
      <c r="D364" s="10" t="s">
        <v>155</v>
      </c>
      <c r="E364" s="10" t="s">
        <v>596</v>
      </c>
      <c r="F364" s="11">
        <v>360000</v>
      </c>
      <c r="G364" s="11">
        <v>0</v>
      </c>
      <c r="H364" s="12"/>
      <c r="I364" s="12"/>
      <c r="J364" s="12"/>
      <c r="K364" s="11">
        <v>0</v>
      </c>
    </row>
    <row r="365" spans="1:11" hidden="1" x14ac:dyDescent="0.35">
      <c r="A365" s="10" t="s">
        <v>597</v>
      </c>
      <c r="B365" s="10" t="s">
        <v>598</v>
      </c>
      <c r="C365" s="10" t="s">
        <v>67</v>
      </c>
      <c r="D365" s="10" t="s">
        <v>68</v>
      </c>
      <c r="E365" s="10" t="s">
        <v>599</v>
      </c>
      <c r="F365" s="11">
        <v>107500</v>
      </c>
      <c r="G365" s="11">
        <v>107500</v>
      </c>
      <c r="H365" s="11">
        <v>105000</v>
      </c>
      <c r="I365" s="11">
        <v>0</v>
      </c>
      <c r="J365" s="11">
        <v>0</v>
      </c>
      <c r="K365" s="11">
        <v>2500</v>
      </c>
    </row>
    <row r="366" spans="1:11" hidden="1" x14ac:dyDescent="0.35">
      <c r="A366" s="10" t="s">
        <v>597</v>
      </c>
      <c r="B366" s="10" t="s">
        <v>598</v>
      </c>
      <c r="C366" s="10" t="s">
        <v>31</v>
      </c>
      <c r="D366" s="10" t="s">
        <v>32</v>
      </c>
      <c r="E366" s="10" t="s">
        <v>600</v>
      </c>
      <c r="F366" s="11">
        <v>100000</v>
      </c>
      <c r="G366" s="11">
        <v>37700</v>
      </c>
      <c r="H366" s="11">
        <v>5876.8</v>
      </c>
      <c r="I366" s="12"/>
      <c r="J366" s="12"/>
      <c r="K366" s="11">
        <v>31823.200000000001</v>
      </c>
    </row>
    <row r="367" spans="1:11" hidden="1" x14ac:dyDescent="0.35">
      <c r="A367" s="10" t="s">
        <v>597</v>
      </c>
      <c r="B367" s="10" t="s">
        <v>598</v>
      </c>
      <c r="C367" s="10" t="s">
        <v>34</v>
      </c>
      <c r="D367" s="10" t="s">
        <v>35</v>
      </c>
      <c r="E367" s="10" t="s">
        <v>601</v>
      </c>
      <c r="F367" s="11">
        <v>0</v>
      </c>
      <c r="G367" s="11">
        <v>6000</v>
      </c>
      <c r="H367" s="12"/>
      <c r="I367" s="12"/>
      <c r="J367" s="12"/>
      <c r="K367" s="11">
        <v>6000</v>
      </c>
    </row>
    <row r="368" spans="1:11" hidden="1" x14ac:dyDescent="0.35">
      <c r="A368" s="10" t="s">
        <v>597</v>
      </c>
      <c r="B368" s="10" t="s">
        <v>598</v>
      </c>
      <c r="C368" s="10" t="s">
        <v>274</v>
      </c>
      <c r="D368" s="10" t="s">
        <v>275</v>
      </c>
      <c r="E368" s="10" t="s">
        <v>602</v>
      </c>
      <c r="F368" s="11">
        <v>76120</v>
      </c>
      <c r="G368" s="11">
        <v>96120</v>
      </c>
      <c r="H368" s="11">
        <v>88576</v>
      </c>
      <c r="I368" s="12"/>
      <c r="J368" s="12"/>
      <c r="K368" s="11">
        <v>7544</v>
      </c>
    </row>
    <row r="369" spans="1:11" hidden="1" x14ac:dyDescent="0.35">
      <c r="A369" s="10" t="s">
        <v>597</v>
      </c>
      <c r="B369" s="10" t="s">
        <v>598</v>
      </c>
      <c r="C369" s="10" t="s">
        <v>37</v>
      </c>
      <c r="D369" s="10" t="s">
        <v>38</v>
      </c>
      <c r="E369" s="10" t="s">
        <v>603</v>
      </c>
      <c r="F369" s="11">
        <v>162500</v>
      </c>
      <c r="G369" s="11">
        <v>22891</v>
      </c>
      <c r="H369" s="11">
        <v>16590</v>
      </c>
      <c r="I369" s="12"/>
      <c r="J369" s="12"/>
      <c r="K369" s="11">
        <v>6301</v>
      </c>
    </row>
    <row r="370" spans="1:11" hidden="1" x14ac:dyDescent="0.35">
      <c r="A370" s="10" t="s">
        <v>597</v>
      </c>
      <c r="B370" s="10" t="s">
        <v>598</v>
      </c>
      <c r="C370" s="10" t="s">
        <v>154</v>
      </c>
      <c r="D370" s="10" t="s">
        <v>155</v>
      </c>
      <c r="E370" s="10" t="s">
        <v>604</v>
      </c>
      <c r="F370" s="11">
        <v>50625</v>
      </c>
      <c r="G370" s="11">
        <v>7625</v>
      </c>
      <c r="H370" s="11">
        <v>7081.52</v>
      </c>
      <c r="I370" s="12"/>
      <c r="J370" s="12"/>
      <c r="K370" s="11">
        <v>543.48</v>
      </c>
    </row>
    <row r="371" spans="1:11" hidden="1" x14ac:dyDescent="0.35">
      <c r="A371" s="10" t="s">
        <v>597</v>
      </c>
      <c r="B371" s="10" t="s">
        <v>598</v>
      </c>
      <c r="C371" s="10" t="s">
        <v>545</v>
      </c>
      <c r="D371" s="10" t="s">
        <v>546</v>
      </c>
      <c r="E371" s="10" t="s">
        <v>605</v>
      </c>
      <c r="F371" s="11">
        <v>5625</v>
      </c>
      <c r="G371" s="11">
        <v>5625</v>
      </c>
      <c r="H371" s="12"/>
      <c r="I371" s="12"/>
      <c r="J371" s="12"/>
      <c r="K371" s="11">
        <v>5625</v>
      </c>
    </row>
    <row r="372" spans="1:11" hidden="1" x14ac:dyDescent="0.35">
      <c r="A372" s="10" t="s">
        <v>606</v>
      </c>
      <c r="B372" s="10" t="s">
        <v>607</v>
      </c>
      <c r="C372" s="10" t="s">
        <v>37</v>
      </c>
      <c r="D372" s="10" t="s">
        <v>38</v>
      </c>
      <c r="E372" s="10" t="s">
        <v>608</v>
      </c>
      <c r="F372" s="11">
        <v>30000</v>
      </c>
      <c r="G372" s="11">
        <v>3046</v>
      </c>
      <c r="H372" s="11">
        <v>3045</v>
      </c>
      <c r="I372" s="12"/>
      <c r="J372" s="12"/>
      <c r="K372" s="11">
        <v>1</v>
      </c>
    </row>
    <row r="373" spans="1:11" hidden="1" x14ac:dyDescent="0.35">
      <c r="A373" s="10" t="s">
        <v>606</v>
      </c>
      <c r="B373" s="10" t="s">
        <v>607</v>
      </c>
      <c r="C373" s="10" t="s">
        <v>61</v>
      </c>
      <c r="D373" s="10" t="s">
        <v>62</v>
      </c>
      <c r="E373" s="10" t="s">
        <v>609</v>
      </c>
      <c r="F373" s="11">
        <v>428951</v>
      </c>
      <c r="G373" s="11">
        <v>-2270</v>
      </c>
      <c r="H373" s="11">
        <v>30706.28</v>
      </c>
      <c r="I373" s="11">
        <v>-32977.760000000002</v>
      </c>
      <c r="J373" s="11">
        <v>0</v>
      </c>
      <c r="K373" s="11">
        <v>1.4800000000032001</v>
      </c>
    </row>
    <row r="374" spans="1:11" hidden="1" x14ac:dyDescent="0.35">
      <c r="A374" s="10" t="s">
        <v>606</v>
      </c>
      <c r="B374" s="10" t="s">
        <v>607</v>
      </c>
      <c r="C374" s="10" t="s">
        <v>43</v>
      </c>
      <c r="D374" s="10" t="s">
        <v>44</v>
      </c>
      <c r="E374" s="10" t="s">
        <v>610</v>
      </c>
      <c r="F374" s="11">
        <v>100000</v>
      </c>
      <c r="G374" s="11">
        <v>48419</v>
      </c>
      <c r="H374" s="11">
        <v>48418.080000000002</v>
      </c>
      <c r="I374" s="12"/>
      <c r="J374" s="12"/>
      <c r="K374" s="11">
        <v>0.91999999999825399</v>
      </c>
    </row>
    <row r="375" spans="1:11" hidden="1" x14ac:dyDescent="0.35">
      <c r="A375" s="10" t="s">
        <v>606</v>
      </c>
      <c r="B375" s="10" t="s">
        <v>607</v>
      </c>
      <c r="C375" s="10" t="s">
        <v>173</v>
      </c>
      <c r="D375" s="10" t="s">
        <v>174</v>
      </c>
      <c r="E375" s="10" t="s">
        <v>611</v>
      </c>
      <c r="F375" s="11">
        <v>0</v>
      </c>
      <c r="G375" s="11">
        <v>2000</v>
      </c>
      <c r="H375" s="11">
        <v>1875</v>
      </c>
      <c r="I375" s="12"/>
      <c r="J375" s="12"/>
      <c r="K375" s="11">
        <v>125</v>
      </c>
    </row>
    <row r="376" spans="1:11" hidden="1" x14ac:dyDescent="0.35">
      <c r="A376" s="10" t="s">
        <v>612</v>
      </c>
      <c r="B376" s="10" t="s">
        <v>613</v>
      </c>
      <c r="C376" s="10" t="s">
        <v>37</v>
      </c>
      <c r="D376" s="10" t="s">
        <v>38</v>
      </c>
      <c r="E376" s="10" t="s">
        <v>614</v>
      </c>
      <c r="F376" s="11">
        <v>110000</v>
      </c>
      <c r="G376" s="11">
        <v>0</v>
      </c>
      <c r="H376" s="12"/>
      <c r="I376" s="12"/>
      <c r="J376" s="12"/>
      <c r="K376" s="11">
        <v>0</v>
      </c>
    </row>
    <row r="377" spans="1:11" hidden="1" x14ac:dyDescent="0.35">
      <c r="A377" s="10" t="s">
        <v>612</v>
      </c>
      <c r="B377" s="10" t="s">
        <v>613</v>
      </c>
      <c r="C377" s="10" t="s">
        <v>43</v>
      </c>
      <c r="D377" s="10" t="s">
        <v>44</v>
      </c>
      <c r="E377" s="10" t="s">
        <v>615</v>
      </c>
      <c r="F377" s="11">
        <v>220000</v>
      </c>
      <c r="G377" s="11">
        <v>8722</v>
      </c>
      <c r="H377" s="11">
        <v>8721</v>
      </c>
      <c r="I377" s="12"/>
      <c r="J377" s="12"/>
      <c r="K377" s="11">
        <v>1</v>
      </c>
    </row>
    <row r="378" spans="1:11" hidden="1" x14ac:dyDescent="0.35">
      <c r="A378" s="10" t="s">
        <v>612</v>
      </c>
      <c r="B378" s="10" t="s">
        <v>613</v>
      </c>
      <c r="C378" s="10" t="s">
        <v>507</v>
      </c>
      <c r="D378" s="10" t="s">
        <v>508</v>
      </c>
      <c r="E378" s="10" t="s">
        <v>616</v>
      </c>
      <c r="F378" s="11">
        <v>55510</v>
      </c>
      <c r="G378" s="11">
        <v>1</v>
      </c>
      <c r="H378" s="12"/>
      <c r="I378" s="12"/>
      <c r="J378" s="12"/>
      <c r="K378" s="11">
        <v>1</v>
      </c>
    </row>
    <row r="379" spans="1:11" hidden="1" x14ac:dyDescent="0.35">
      <c r="A379" s="10" t="s">
        <v>612</v>
      </c>
      <c r="B379" s="10" t="s">
        <v>613</v>
      </c>
      <c r="C379" s="10" t="s">
        <v>106</v>
      </c>
      <c r="D379" s="10" t="s">
        <v>107</v>
      </c>
      <c r="E379" s="10" t="s">
        <v>617</v>
      </c>
      <c r="F379" s="11">
        <v>25510</v>
      </c>
      <c r="G379" s="11">
        <v>0</v>
      </c>
      <c r="H379" s="12"/>
      <c r="I379" s="12"/>
      <c r="J379" s="12"/>
      <c r="K379" s="11">
        <v>0</v>
      </c>
    </row>
    <row r="380" spans="1:11" hidden="1" x14ac:dyDescent="0.35">
      <c r="A380" s="10" t="s">
        <v>618</v>
      </c>
      <c r="B380" s="10" t="s">
        <v>619</v>
      </c>
      <c r="C380" s="10" t="s">
        <v>31</v>
      </c>
      <c r="D380" s="10" t="s">
        <v>32</v>
      </c>
      <c r="E380" s="10" t="s">
        <v>620</v>
      </c>
      <c r="F380" s="11">
        <v>50000</v>
      </c>
      <c r="G380" s="11">
        <v>0</v>
      </c>
      <c r="H380" s="12"/>
      <c r="I380" s="12"/>
      <c r="J380" s="12"/>
      <c r="K380" s="11">
        <v>0</v>
      </c>
    </row>
    <row r="381" spans="1:11" hidden="1" x14ac:dyDescent="0.35">
      <c r="A381" s="10" t="s">
        <v>618</v>
      </c>
      <c r="B381" s="10" t="s">
        <v>619</v>
      </c>
      <c r="C381" s="10" t="s">
        <v>37</v>
      </c>
      <c r="D381" s="10" t="s">
        <v>38</v>
      </c>
      <c r="E381" s="10" t="s">
        <v>621</v>
      </c>
      <c r="F381" s="11">
        <v>15000</v>
      </c>
      <c r="G381" s="11">
        <v>15000</v>
      </c>
      <c r="H381" s="12"/>
      <c r="I381" s="12"/>
      <c r="J381" s="12"/>
      <c r="K381" s="11">
        <v>15000</v>
      </c>
    </row>
    <row r="382" spans="1:11" hidden="1" x14ac:dyDescent="0.35">
      <c r="A382" s="10" t="s">
        <v>618</v>
      </c>
      <c r="B382" s="10" t="s">
        <v>619</v>
      </c>
      <c r="C382" s="10" t="s">
        <v>43</v>
      </c>
      <c r="D382" s="10" t="s">
        <v>44</v>
      </c>
      <c r="E382" s="10" t="s">
        <v>622</v>
      </c>
      <c r="F382" s="11">
        <v>50000</v>
      </c>
      <c r="G382" s="11">
        <v>13623</v>
      </c>
      <c r="H382" s="12"/>
      <c r="I382" s="12"/>
      <c r="J382" s="12"/>
      <c r="K382" s="11">
        <v>13623</v>
      </c>
    </row>
    <row r="383" spans="1:11" hidden="1" x14ac:dyDescent="0.35">
      <c r="A383" s="10" t="s">
        <v>618</v>
      </c>
      <c r="B383" s="10" t="s">
        <v>619</v>
      </c>
      <c r="C383" s="10" t="s">
        <v>470</v>
      </c>
      <c r="D383" s="10" t="s">
        <v>471</v>
      </c>
      <c r="E383" s="10" t="s">
        <v>623</v>
      </c>
      <c r="F383" s="11">
        <v>500000</v>
      </c>
      <c r="G383" s="11">
        <v>0</v>
      </c>
      <c r="H383" s="12"/>
      <c r="I383" s="12"/>
      <c r="J383" s="12"/>
      <c r="K383" s="11">
        <v>0</v>
      </c>
    </row>
    <row r="384" spans="1:11" hidden="1" x14ac:dyDescent="0.35">
      <c r="A384" s="10" t="s">
        <v>618</v>
      </c>
      <c r="B384" s="10" t="s">
        <v>619</v>
      </c>
      <c r="C384" s="10" t="s">
        <v>106</v>
      </c>
      <c r="D384" s="10" t="s">
        <v>107</v>
      </c>
      <c r="E384" s="10" t="s">
        <v>624</v>
      </c>
      <c r="F384" s="11">
        <v>926280</v>
      </c>
      <c r="G384" s="11">
        <v>0</v>
      </c>
      <c r="H384" s="12"/>
      <c r="I384" s="12"/>
      <c r="J384" s="12"/>
      <c r="K384" s="11">
        <v>0</v>
      </c>
    </row>
    <row r="385" spans="1:11" hidden="1" x14ac:dyDescent="0.35">
      <c r="A385" s="10" t="s">
        <v>625</v>
      </c>
      <c r="B385" s="10" t="s">
        <v>626</v>
      </c>
      <c r="C385" s="10" t="s">
        <v>37</v>
      </c>
      <c r="D385" s="10" t="s">
        <v>38</v>
      </c>
      <c r="E385" s="10" t="s">
        <v>627</v>
      </c>
      <c r="F385" s="11">
        <v>0</v>
      </c>
      <c r="G385" s="11">
        <v>0</v>
      </c>
      <c r="H385" s="12"/>
      <c r="I385" s="12"/>
      <c r="J385" s="12"/>
      <c r="K385" s="11">
        <v>0</v>
      </c>
    </row>
    <row r="386" spans="1:11" hidden="1" x14ac:dyDescent="0.35">
      <c r="A386" s="10" t="s">
        <v>625</v>
      </c>
      <c r="B386" s="10" t="s">
        <v>626</v>
      </c>
      <c r="C386" s="10" t="s">
        <v>43</v>
      </c>
      <c r="D386" s="10" t="s">
        <v>44</v>
      </c>
      <c r="E386" s="10" t="s">
        <v>628</v>
      </c>
      <c r="F386" s="11">
        <v>0</v>
      </c>
      <c r="G386" s="11">
        <v>13623</v>
      </c>
      <c r="H386" s="12"/>
      <c r="I386" s="12"/>
      <c r="J386" s="12"/>
      <c r="K386" s="11">
        <v>13623</v>
      </c>
    </row>
    <row r="387" spans="1:11" hidden="1" x14ac:dyDescent="0.35">
      <c r="A387" s="10" t="s">
        <v>629</v>
      </c>
      <c r="B387" s="10" t="s">
        <v>630</v>
      </c>
      <c r="C387" s="10" t="s">
        <v>576</v>
      </c>
      <c r="D387" s="10" t="s">
        <v>577</v>
      </c>
      <c r="E387" s="10" t="s">
        <v>631</v>
      </c>
      <c r="F387" s="11">
        <v>0</v>
      </c>
      <c r="G387" s="11">
        <v>1</v>
      </c>
      <c r="H387" s="12"/>
      <c r="I387" s="11">
        <v>0</v>
      </c>
      <c r="J387" s="11">
        <v>0</v>
      </c>
      <c r="K387" s="11">
        <v>1</v>
      </c>
    </row>
    <row r="388" spans="1:11" hidden="1" x14ac:dyDescent="0.35">
      <c r="A388" s="10" t="s">
        <v>629</v>
      </c>
      <c r="B388" s="10" t="s">
        <v>630</v>
      </c>
      <c r="C388" s="10" t="s">
        <v>40</v>
      </c>
      <c r="D388" s="10" t="s">
        <v>41</v>
      </c>
      <c r="E388" s="10" t="s">
        <v>632</v>
      </c>
      <c r="F388" s="11">
        <v>0</v>
      </c>
      <c r="G388" s="11">
        <v>171900</v>
      </c>
      <c r="H388" s="11">
        <v>171712.75</v>
      </c>
      <c r="I388" s="12"/>
      <c r="J388" s="12"/>
      <c r="K388" s="11">
        <v>187.25</v>
      </c>
    </row>
    <row r="389" spans="1:11" hidden="1" x14ac:dyDescent="0.35">
      <c r="A389" s="10" t="s">
        <v>629</v>
      </c>
      <c r="B389" s="10" t="s">
        <v>630</v>
      </c>
      <c r="C389" s="10" t="s">
        <v>565</v>
      </c>
      <c r="D389" s="10" t="s">
        <v>566</v>
      </c>
      <c r="E389" s="10" t="s">
        <v>633</v>
      </c>
      <c r="F389" s="11">
        <v>5000</v>
      </c>
      <c r="G389" s="11">
        <v>0</v>
      </c>
      <c r="H389" s="12"/>
      <c r="I389" s="12"/>
      <c r="J389" s="12"/>
      <c r="K389" s="11">
        <v>0</v>
      </c>
    </row>
    <row r="390" spans="1:11" hidden="1" x14ac:dyDescent="0.35">
      <c r="A390" s="10" t="s">
        <v>629</v>
      </c>
      <c r="B390" s="10" t="s">
        <v>630</v>
      </c>
      <c r="C390" s="10" t="s">
        <v>43</v>
      </c>
      <c r="D390" s="10" t="s">
        <v>44</v>
      </c>
      <c r="E390" s="10" t="s">
        <v>634</v>
      </c>
      <c r="F390" s="11">
        <v>70000</v>
      </c>
      <c r="G390" s="11">
        <v>36284</v>
      </c>
      <c r="H390" s="11">
        <v>23760.37</v>
      </c>
      <c r="I390" s="12"/>
      <c r="J390" s="12"/>
      <c r="K390" s="11">
        <v>12523.63</v>
      </c>
    </row>
    <row r="391" spans="1:11" hidden="1" x14ac:dyDescent="0.35">
      <c r="A391" s="10" t="s">
        <v>629</v>
      </c>
      <c r="B391" s="10" t="s">
        <v>630</v>
      </c>
      <c r="C391" s="10" t="s">
        <v>106</v>
      </c>
      <c r="D391" s="10" t="s">
        <v>107</v>
      </c>
      <c r="E391" s="10" t="s">
        <v>635</v>
      </c>
      <c r="F391" s="11">
        <v>205962</v>
      </c>
      <c r="G391" s="11">
        <v>157190</v>
      </c>
      <c r="H391" s="11">
        <v>157599.53</v>
      </c>
      <c r="I391" s="12"/>
      <c r="J391" s="11">
        <v>-409.91</v>
      </c>
      <c r="K391" s="11">
        <v>0.38000000000124601</v>
      </c>
    </row>
    <row r="392" spans="1:11" hidden="1" x14ac:dyDescent="0.35">
      <c r="A392" s="10" t="s">
        <v>636</v>
      </c>
      <c r="B392" s="10" t="s">
        <v>637</v>
      </c>
      <c r="C392" s="10" t="s">
        <v>19</v>
      </c>
      <c r="D392" s="10" t="s">
        <v>20</v>
      </c>
      <c r="E392" s="10" t="s">
        <v>638</v>
      </c>
      <c r="F392" s="11">
        <v>231840</v>
      </c>
      <c r="G392" s="11">
        <v>5109177</v>
      </c>
      <c r="H392" s="11">
        <v>5108475.72</v>
      </c>
      <c r="I392" s="12"/>
      <c r="J392" s="12"/>
      <c r="K392" s="11">
        <v>701.280000000261</v>
      </c>
    </row>
    <row r="393" spans="1:11" hidden="1" x14ac:dyDescent="0.35">
      <c r="A393" s="10" t="s">
        <v>636</v>
      </c>
      <c r="B393" s="10" t="s">
        <v>637</v>
      </c>
      <c r="C393" s="10" t="s">
        <v>43</v>
      </c>
      <c r="D393" s="10" t="s">
        <v>44</v>
      </c>
      <c r="E393" s="10" t="s">
        <v>639</v>
      </c>
      <c r="F393" s="11">
        <v>80000</v>
      </c>
      <c r="G393" s="11">
        <v>86693</v>
      </c>
      <c r="H393" s="11">
        <v>86558.97</v>
      </c>
      <c r="I393" s="12"/>
      <c r="J393" s="12"/>
      <c r="K393" s="11">
        <v>134.02999999999901</v>
      </c>
    </row>
    <row r="394" spans="1:11" hidden="1" x14ac:dyDescent="0.35">
      <c r="A394" s="10" t="s">
        <v>636</v>
      </c>
      <c r="B394" s="10" t="s">
        <v>637</v>
      </c>
      <c r="C394" s="10" t="s">
        <v>106</v>
      </c>
      <c r="D394" s="10" t="s">
        <v>107</v>
      </c>
      <c r="E394" s="10" t="s">
        <v>640</v>
      </c>
      <c r="F394" s="11">
        <v>99831748</v>
      </c>
      <c r="G394" s="11">
        <v>90163948</v>
      </c>
      <c r="H394" s="11">
        <v>87944703.890000105</v>
      </c>
      <c r="I394" s="11">
        <v>102391.01</v>
      </c>
      <c r="J394" s="11">
        <v>2137697.66</v>
      </c>
      <c r="K394" s="11">
        <v>10140.8599998346</v>
      </c>
    </row>
    <row r="395" spans="1:11" hidden="1" x14ac:dyDescent="0.35">
      <c r="A395" s="10" t="s">
        <v>641</v>
      </c>
      <c r="B395" s="10" t="s">
        <v>642</v>
      </c>
      <c r="C395" s="10" t="s">
        <v>22</v>
      </c>
      <c r="D395" s="10" t="s">
        <v>23</v>
      </c>
      <c r="E395" s="10" t="s">
        <v>643</v>
      </c>
      <c r="F395" s="11">
        <v>3332844</v>
      </c>
      <c r="G395" s="11">
        <v>3914824</v>
      </c>
      <c r="H395" s="11">
        <v>3918518.28</v>
      </c>
      <c r="I395" s="11">
        <v>-3725.1699999999801</v>
      </c>
      <c r="J395" s="11">
        <v>0</v>
      </c>
      <c r="K395" s="11">
        <v>30.890000000203099</v>
      </c>
    </row>
    <row r="396" spans="1:11" hidden="1" x14ac:dyDescent="0.35">
      <c r="A396" s="10" t="s">
        <v>641</v>
      </c>
      <c r="B396" s="10" t="s">
        <v>642</v>
      </c>
      <c r="C396" s="10" t="s">
        <v>31</v>
      </c>
      <c r="D396" s="10" t="s">
        <v>32</v>
      </c>
      <c r="E396" s="10" t="s">
        <v>644</v>
      </c>
      <c r="F396" s="11">
        <v>100002</v>
      </c>
      <c r="G396" s="11">
        <v>526</v>
      </c>
      <c r="H396" s="11">
        <v>525</v>
      </c>
      <c r="I396" s="12"/>
      <c r="J396" s="12"/>
      <c r="K396" s="11">
        <v>1</v>
      </c>
    </row>
    <row r="397" spans="1:11" hidden="1" x14ac:dyDescent="0.35">
      <c r="A397" s="10" t="s">
        <v>641</v>
      </c>
      <c r="B397" s="10" t="s">
        <v>642</v>
      </c>
      <c r="C397" s="10" t="s">
        <v>34</v>
      </c>
      <c r="D397" s="10" t="s">
        <v>35</v>
      </c>
      <c r="E397" s="10" t="s">
        <v>645</v>
      </c>
      <c r="F397" s="11">
        <v>100002</v>
      </c>
      <c r="G397" s="11">
        <v>26096</v>
      </c>
      <c r="H397" s="11">
        <v>26095</v>
      </c>
      <c r="I397" s="12"/>
      <c r="J397" s="12"/>
      <c r="K397" s="11">
        <v>1</v>
      </c>
    </row>
    <row r="398" spans="1:11" hidden="1" x14ac:dyDescent="0.35">
      <c r="A398" s="10" t="s">
        <v>641</v>
      </c>
      <c r="B398" s="10" t="s">
        <v>642</v>
      </c>
      <c r="C398" s="10" t="s">
        <v>37</v>
      </c>
      <c r="D398" s="10" t="s">
        <v>38</v>
      </c>
      <c r="E398" s="10" t="s">
        <v>646</v>
      </c>
      <c r="F398" s="11">
        <v>0</v>
      </c>
      <c r="G398" s="11">
        <v>920</v>
      </c>
      <c r="H398" s="11">
        <v>918.75</v>
      </c>
      <c r="I398" s="12"/>
      <c r="J398" s="12"/>
      <c r="K398" s="11">
        <v>1.25</v>
      </c>
    </row>
    <row r="399" spans="1:11" hidden="1" x14ac:dyDescent="0.35">
      <c r="A399" s="10" t="s">
        <v>641</v>
      </c>
      <c r="B399" s="10" t="s">
        <v>642</v>
      </c>
      <c r="C399" s="10" t="s">
        <v>40</v>
      </c>
      <c r="D399" s="10" t="s">
        <v>41</v>
      </c>
      <c r="E399" s="10" t="s">
        <v>647</v>
      </c>
      <c r="F399" s="11">
        <v>120000</v>
      </c>
      <c r="G399" s="11">
        <v>3881</v>
      </c>
      <c r="H399" s="11">
        <v>3880.12</v>
      </c>
      <c r="I399" s="11">
        <v>0</v>
      </c>
      <c r="J399" s="12"/>
      <c r="K399" s="11">
        <v>0.88000000000010903</v>
      </c>
    </row>
    <row r="400" spans="1:11" hidden="1" x14ac:dyDescent="0.35">
      <c r="A400" s="10" t="s">
        <v>641</v>
      </c>
      <c r="B400" s="10" t="s">
        <v>642</v>
      </c>
      <c r="C400" s="10" t="s">
        <v>43</v>
      </c>
      <c r="D400" s="10" t="s">
        <v>44</v>
      </c>
      <c r="E400" s="10" t="s">
        <v>648</v>
      </c>
      <c r="F400" s="11">
        <v>50001</v>
      </c>
      <c r="G400" s="11">
        <v>1</v>
      </c>
      <c r="H400" s="12"/>
      <c r="I400" s="12"/>
      <c r="J400" s="12"/>
      <c r="K400" s="11">
        <v>1</v>
      </c>
    </row>
    <row r="401" spans="1:11" hidden="1" x14ac:dyDescent="0.35">
      <c r="A401" s="10" t="s">
        <v>649</v>
      </c>
      <c r="B401" s="10" t="s">
        <v>650</v>
      </c>
      <c r="C401" s="10" t="s">
        <v>573</v>
      </c>
      <c r="D401" s="10" t="s">
        <v>574</v>
      </c>
      <c r="E401" s="10" t="s">
        <v>651</v>
      </c>
      <c r="F401" s="11">
        <v>588000</v>
      </c>
      <c r="G401" s="11">
        <v>0</v>
      </c>
      <c r="H401" s="12"/>
      <c r="I401" s="12"/>
      <c r="J401" s="12"/>
      <c r="K401" s="11">
        <v>0</v>
      </c>
    </row>
    <row r="402" spans="1:11" hidden="1" x14ac:dyDescent="0.35">
      <c r="A402" s="10" t="s">
        <v>649</v>
      </c>
      <c r="B402" s="10" t="s">
        <v>650</v>
      </c>
      <c r="C402" s="10" t="s">
        <v>576</v>
      </c>
      <c r="D402" s="10" t="s">
        <v>577</v>
      </c>
      <c r="E402" s="10" t="s">
        <v>652</v>
      </c>
      <c r="F402" s="11">
        <v>0</v>
      </c>
      <c r="G402" s="11">
        <v>0</v>
      </c>
      <c r="H402" s="12"/>
      <c r="I402" s="12"/>
      <c r="J402" s="12"/>
      <c r="K402" s="11">
        <v>0</v>
      </c>
    </row>
    <row r="403" spans="1:11" hidden="1" x14ac:dyDescent="0.35">
      <c r="A403" s="10" t="s">
        <v>649</v>
      </c>
      <c r="B403" s="10" t="s">
        <v>650</v>
      </c>
      <c r="C403" s="10" t="s">
        <v>653</v>
      </c>
      <c r="D403" s="10" t="s">
        <v>654</v>
      </c>
      <c r="E403" s="10" t="s">
        <v>655</v>
      </c>
      <c r="F403" s="11">
        <v>0</v>
      </c>
      <c r="G403" s="11">
        <v>160400</v>
      </c>
      <c r="H403" s="11">
        <v>160400</v>
      </c>
      <c r="I403" s="12"/>
      <c r="J403" s="12"/>
      <c r="K403" s="11">
        <v>0</v>
      </c>
    </row>
    <row r="404" spans="1:11" hidden="1" x14ac:dyDescent="0.35">
      <c r="A404" s="10" t="s">
        <v>649</v>
      </c>
      <c r="B404" s="10" t="s">
        <v>650</v>
      </c>
      <c r="C404" s="10" t="s">
        <v>40</v>
      </c>
      <c r="D404" s="10" t="s">
        <v>41</v>
      </c>
      <c r="E404" s="10" t="s">
        <v>656</v>
      </c>
      <c r="F404" s="11">
        <v>161375</v>
      </c>
      <c r="G404" s="11">
        <v>436040</v>
      </c>
      <c r="H404" s="11">
        <v>236203.5</v>
      </c>
      <c r="I404" s="11">
        <v>0</v>
      </c>
      <c r="J404" s="11">
        <v>204559.7</v>
      </c>
      <c r="K404" s="11">
        <v>-4723.2000000000098</v>
      </c>
    </row>
    <row r="405" spans="1:11" x14ac:dyDescent="0.35">
      <c r="A405" s="10" t="s">
        <v>649</v>
      </c>
      <c r="B405" s="10" t="s">
        <v>650</v>
      </c>
      <c r="C405" s="10" t="s">
        <v>169</v>
      </c>
      <c r="D405" s="10" t="s">
        <v>170</v>
      </c>
      <c r="E405" s="10" t="s">
        <v>657</v>
      </c>
      <c r="F405" s="11">
        <v>15319303</v>
      </c>
      <c r="G405" s="11">
        <v>11722667</v>
      </c>
      <c r="H405" s="11">
        <v>8402516.5600000005</v>
      </c>
      <c r="I405" s="11">
        <v>111654.48</v>
      </c>
      <c r="J405" s="11">
        <v>3208636.84</v>
      </c>
      <c r="K405" s="11">
        <v>-140.87999999942301</v>
      </c>
    </row>
    <row r="406" spans="1:11" hidden="1" x14ac:dyDescent="0.35">
      <c r="A406" s="10" t="s">
        <v>649</v>
      </c>
      <c r="B406" s="10" t="s">
        <v>650</v>
      </c>
      <c r="C406" s="10" t="s">
        <v>173</v>
      </c>
      <c r="D406" s="10" t="s">
        <v>174</v>
      </c>
      <c r="E406" s="10" t="s">
        <v>658</v>
      </c>
      <c r="F406" s="11">
        <v>2753398</v>
      </c>
      <c r="G406" s="11">
        <v>3600857</v>
      </c>
      <c r="H406" s="11">
        <v>2786096.89</v>
      </c>
      <c r="I406" s="11">
        <v>4301</v>
      </c>
      <c r="J406" s="11">
        <v>809208.7</v>
      </c>
      <c r="K406" s="11">
        <v>1250.4099999995699</v>
      </c>
    </row>
    <row r="407" spans="1:11" hidden="1" x14ac:dyDescent="0.35">
      <c r="A407" s="10" t="s">
        <v>649</v>
      </c>
      <c r="B407" s="10" t="s">
        <v>650</v>
      </c>
      <c r="C407" s="10" t="s">
        <v>176</v>
      </c>
      <c r="D407" s="10" t="s">
        <v>177</v>
      </c>
      <c r="E407" s="10" t="s">
        <v>659</v>
      </c>
      <c r="F407" s="11">
        <v>0</v>
      </c>
      <c r="G407" s="11">
        <v>15360</v>
      </c>
      <c r="H407" s="11">
        <v>15359</v>
      </c>
      <c r="I407" s="12"/>
      <c r="J407" s="12"/>
      <c r="K407" s="11">
        <v>1</v>
      </c>
    </row>
    <row r="408" spans="1:11" hidden="1" x14ac:dyDescent="0.35">
      <c r="A408" s="10" t="s">
        <v>660</v>
      </c>
      <c r="B408" s="10" t="s">
        <v>661</v>
      </c>
      <c r="C408" s="10" t="s">
        <v>573</v>
      </c>
      <c r="D408" s="10" t="s">
        <v>574</v>
      </c>
      <c r="E408" s="10" t="s">
        <v>662</v>
      </c>
      <c r="F408" s="11">
        <v>1709607</v>
      </c>
      <c r="G408" s="11">
        <v>0</v>
      </c>
      <c r="H408" s="12"/>
      <c r="I408" s="12"/>
      <c r="J408" s="12"/>
      <c r="K408" s="11">
        <v>0</v>
      </c>
    </row>
    <row r="409" spans="1:11" hidden="1" x14ac:dyDescent="0.35">
      <c r="A409" s="10" t="s">
        <v>660</v>
      </c>
      <c r="B409" s="10" t="s">
        <v>661</v>
      </c>
      <c r="C409" s="10" t="s">
        <v>576</v>
      </c>
      <c r="D409" s="10" t="s">
        <v>577</v>
      </c>
      <c r="E409" s="10" t="s">
        <v>663</v>
      </c>
      <c r="F409" s="11">
        <v>0</v>
      </c>
      <c r="G409" s="11">
        <v>19764215</v>
      </c>
      <c r="H409" s="11">
        <v>19213214.440000001</v>
      </c>
      <c r="I409" s="11">
        <v>0</v>
      </c>
      <c r="J409" s="11">
        <v>551000</v>
      </c>
      <c r="K409" s="11">
        <v>0.55999999854247995</v>
      </c>
    </row>
    <row r="410" spans="1:11" hidden="1" x14ac:dyDescent="0.35">
      <c r="A410" s="10" t="s">
        <v>660</v>
      </c>
      <c r="B410" s="10" t="s">
        <v>661</v>
      </c>
      <c r="C410" s="10" t="s">
        <v>37</v>
      </c>
      <c r="D410" s="10" t="s">
        <v>38</v>
      </c>
      <c r="E410" s="10" t="s">
        <v>664</v>
      </c>
      <c r="F410" s="11">
        <v>10000</v>
      </c>
      <c r="G410" s="11">
        <v>1</v>
      </c>
      <c r="H410" s="12"/>
      <c r="I410" s="12"/>
      <c r="J410" s="12"/>
      <c r="K410" s="11">
        <v>1</v>
      </c>
    </row>
    <row r="411" spans="1:11" hidden="1" x14ac:dyDescent="0.35">
      <c r="A411" s="10" t="s">
        <v>660</v>
      </c>
      <c r="B411" s="10" t="s">
        <v>661</v>
      </c>
      <c r="C411" s="10" t="s">
        <v>40</v>
      </c>
      <c r="D411" s="10" t="s">
        <v>41</v>
      </c>
      <c r="E411" s="10" t="s">
        <v>665</v>
      </c>
      <c r="F411" s="11">
        <v>2618576</v>
      </c>
      <c r="G411" s="11">
        <v>1654848</v>
      </c>
      <c r="H411" s="11">
        <v>1620809.21</v>
      </c>
      <c r="I411" s="11">
        <v>-1.3099999999976699</v>
      </c>
      <c r="J411" s="11">
        <v>34040</v>
      </c>
      <c r="K411" s="11">
        <v>9.9999999809369897E-2</v>
      </c>
    </row>
    <row r="412" spans="1:11" hidden="1" x14ac:dyDescent="0.35">
      <c r="A412" s="10" t="s">
        <v>660</v>
      </c>
      <c r="B412" s="10" t="s">
        <v>661</v>
      </c>
      <c r="C412" s="10" t="s">
        <v>43</v>
      </c>
      <c r="D412" s="10" t="s">
        <v>44</v>
      </c>
      <c r="E412" s="10" t="s">
        <v>666</v>
      </c>
      <c r="F412" s="11">
        <v>45000</v>
      </c>
      <c r="G412" s="11">
        <v>42586</v>
      </c>
      <c r="H412" s="11">
        <v>42584.75</v>
      </c>
      <c r="I412" s="12"/>
      <c r="J412" s="12"/>
      <c r="K412" s="11">
        <v>1.25</v>
      </c>
    </row>
    <row r="413" spans="1:11" hidden="1" x14ac:dyDescent="0.35">
      <c r="A413" s="10" t="s">
        <v>667</v>
      </c>
      <c r="B413" s="10" t="s">
        <v>668</v>
      </c>
      <c r="C413" s="10" t="s">
        <v>37</v>
      </c>
      <c r="D413" s="10" t="s">
        <v>38</v>
      </c>
      <c r="E413" s="10" t="s">
        <v>669</v>
      </c>
      <c r="F413" s="11">
        <v>15000</v>
      </c>
      <c r="G413" s="11">
        <v>15000</v>
      </c>
      <c r="H413" s="11">
        <v>14792.5</v>
      </c>
      <c r="I413" s="11">
        <v>0</v>
      </c>
      <c r="J413" s="11">
        <v>0</v>
      </c>
      <c r="K413" s="11">
        <v>207.5</v>
      </c>
    </row>
    <row r="414" spans="1:11" hidden="1" x14ac:dyDescent="0.35">
      <c r="A414" s="10" t="s">
        <v>667</v>
      </c>
      <c r="B414" s="10" t="s">
        <v>668</v>
      </c>
      <c r="C414" s="10" t="s">
        <v>43</v>
      </c>
      <c r="D414" s="10" t="s">
        <v>44</v>
      </c>
      <c r="E414" s="10" t="s">
        <v>670</v>
      </c>
      <c r="F414" s="11">
        <v>100000</v>
      </c>
      <c r="G414" s="11">
        <v>97246</v>
      </c>
      <c r="H414" s="11">
        <v>56700</v>
      </c>
      <c r="I414" s="12"/>
      <c r="J414" s="12"/>
      <c r="K414" s="11">
        <v>40546</v>
      </c>
    </row>
    <row r="415" spans="1:11" hidden="1" x14ac:dyDescent="0.35">
      <c r="A415" s="10" t="s">
        <v>667</v>
      </c>
      <c r="B415" s="10" t="s">
        <v>668</v>
      </c>
      <c r="C415" s="10" t="s">
        <v>49</v>
      </c>
      <c r="D415" s="10" t="s">
        <v>50</v>
      </c>
      <c r="E415" s="10" t="s">
        <v>671</v>
      </c>
      <c r="F415" s="11">
        <v>20000</v>
      </c>
      <c r="G415" s="11">
        <v>149</v>
      </c>
      <c r="H415" s="12"/>
      <c r="I415" s="12"/>
      <c r="J415" s="12"/>
      <c r="K415" s="11">
        <v>149</v>
      </c>
    </row>
    <row r="416" spans="1:11" hidden="1" x14ac:dyDescent="0.35">
      <c r="A416" s="10" t="s">
        <v>667</v>
      </c>
      <c r="B416" s="10" t="s">
        <v>668</v>
      </c>
      <c r="C416" s="10" t="s">
        <v>672</v>
      </c>
      <c r="D416" s="10" t="s">
        <v>673</v>
      </c>
      <c r="E416" s="10" t="s">
        <v>674</v>
      </c>
      <c r="F416" s="11">
        <v>20000</v>
      </c>
      <c r="G416" s="11">
        <v>0</v>
      </c>
      <c r="H416" s="12"/>
      <c r="I416" s="12"/>
      <c r="J416" s="12"/>
      <c r="K416" s="11">
        <v>0</v>
      </c>
    </row>
    <row r="417" spans="1:11" hidden="1" x14ac:dyDescent="0.35">
      <c r="A417" s="10" t="s">
        <v>675</v>
      </c>
      <c r="B417" s="10" t="s">
        <v>676</v>
      </c>
      <c r="C417" s="10" t="s">
        <v>31</v>
      </c>
      <c r="D417" s="10" t="s">
        <v>32</v>
      </c>
      <c r="E417" s="10" t="s">
        <v>677</v>
      </c>
      <c r="F417" s="11">
        <v>2200</v>
      </c>
      <c r="G417" s="11">
        <v>22200</v>
      </c>
      <c r="H417" s="11">
        <v>8800</v>
      </c>
      <c r="I417" s="12"/>
      <c r="J417" s="12"/>
      <c r="K417" s="11">
        <v>13400</v>
      </c>
    </row>
    <row r="418" spans="1:11" hidden="1" x14ac:dyDescent="0.35">
      <c r="A418" s="10" t="s">
        <v>675</v>
      </c>
      <c r="B418" s="10" t="s">
        <v>676</v>
      </c>
      <c r="C418" s="10" t="s">
        <v>678</v>
      </c>
      <c r="D418" s="10" t="s">
        <v>679</v>
      </c>
      <c r="E418" s="10" t="s">
        <v>680</v>
      </c>
      <c r="F418" s="11">
        <v>80501600</v>
      </c>
      <c r="G418" s="11">
        <v>77273746</v>
      </c>
      <c r="H418" s="11">
        <v>77248079.379999995</v>
      </c>
      <c r="I418" s="12"/>
      <c r="J418" s="12"/>
      <c r="K418" s="11">
        <v>25666.620000004801</v>
      </c>
    </row>
    <row r="419" spans="1:11" hidden="1" x14ac:dyDescent="0.35">
      <c r="A419" s="10" t="s">
        <v>675</v>
      </c>
      <c r="B419" s="10" t="s">
        <v>676</v>
      </c>
      <c r="C419" s="10" t="s">
        <v>138</v>
      </c>
      <c r="D419" s="10" t="s">
        <v>139</v>
      </c>
      <c r="E419" s="10" t="s">
        <v>681</v>
      </c>
      <c r="F419" s="12"/>
      <c r="G419" s="12"/>
      <c r="H419" s="11">
        <v>-20820.72</v>
      </c>
      <c r="I419" s="12"/>
      <c r="J419" s="12"/>
      <c r="K419" s="11">
        <v>20820.72</v>
      </c>
    </row>
    <row r="420" spans="1:11" hidden="1" x14ac:dyDescent="0.35">
      <c r="A420" s="10" t="s">
        <v>675</v>
      </c>
      <c r="B420" s="10" t="s">
        <v>676</v>
      </c>
      <c r="C420" s="10" t="s">
        <v>491</v>
      </c>
      <c r="D420" s="10" t="s">
        <v>492</v>
      </c>
      <c r="E420" s="10" t="s">
        <v>682</v>
      </c>
      <c r="F420" s="11">
        <v>11000</v>
      </c>
      <c r="G420" s="11">
        <v>11000</v>
      </c>
      <c r="H420" s="12"/>
      <c r="I420" s="12"/>
      <c r="J420" s="12"/>
      <c r="K420" s="11">
        <v>11000</v>
      </c>
    </row>
    <row r="421" spans="1:11" hidden="1" x14ac:dyDescent="0.35">
      <c r="A421" s="10" t="s">
        <v>675</v>
      </c>
      <c r="B421" s="10" t="s">
        <v>676</v>
      </c>
      <c r="C421" s="10" t="s">
        <v>192</v>
      </c>
      <c r="D421" s="10" t="s">
        <v>193</v>
      </c>
      <c r="E421" s="10" t="s">
        <v>683</v>
      </c>
      <c r="F421" s="11">
        <v>9500000</v>
      </c>
      <c r="G421" s="11">
        <v>9132707</v>
      </c>
      <c r="H421" s="11">
        <v>9132706.3499999996</v>
      </c>
      <c r="I421" s="11">
        <v>0</v>
      </c>
      <c r="J421" s="11">
        <v>0</v>
      </c>
      <c r="K421" s="11">
        <v>0.65000000037252903</v>
      </c>
    </row>
    <row r="422" spans="1:11" hidden="1" x14ac:dyDescent="0.35">
      <c r="A422" s="10" t="s">
        <v>675</v>
      </c>
      <c r="B422" s="10" t="s">
        <v>676</v>
      </c>
      <c r="C422" s="10" t="s">
        <v>154</v>
      </c>
      <c r="D422" s="10" t="s">
        <v>155</v>
      </c>
      <c r="E422" s="10" t="s">
        <v>684</v>
      </c>
      <c r="F422" s="11">
        <v>300000</v>
      </c>
      <c r="G422" s="11">
        <v>131301</v>
      </c>
      <c r="H422" s="11">
        <v>131300</v>
      </c>
      <c r="I422" s="11">
        <v>0</v>
      </c>
      <c r="J422" s="11">
        <v>0</v>
      </c>
      <c r="K422" s="11">
        <v>1</v>
      </c>
    </row>
    <row r="423" spans="1:11" hidden="1" x14ac:dyDescent="0.35">
      <c r="A423" s="10" t="s">
        <v>675</v>
      </c>
      <c r="B423" s="10" t="s">
        <v>676</v>
      </c>
      <c r="C423" s="10" t="s">
        <v>545</v>
      </c>
      <c r="D423" s="10" t="s">
        <v>546</v>
      </c>
      <c r="E423" s="10" t="s">
        <v>685</v>
      </c>
      <c r="F423" s="11">
        <v>6000</v>
      </c>
      <c r="G423" s="11">
        <v>6000</v>
      </c>
      <c r="H423" s="12"/>
      <c r="I423" s="12"/>
      <c r="J423" s="12"/>
      <c r="K423" s="11">
        <v>6000</v>
      </c>
    </row>
    <row r="424" spans="1:11" hidden="1" x14ac:dyDescent="0.35">
      <c r="A424" s="10" t="s">
        <v>686</v>
      </c>
      <c r="B424" s="10" t="s">
        <v>687</v>
      </c>
      <c r="C424" s="10" t="s">
        <v>688</v>
      </c>
      <c r="D424" s="10" t="s">
        <v>689</v>
      </c>
      <c r="E424" s="10" t="s">
        <v>690</v>
      </c>
      <c r="F424" s="11">
        <v>2000000</v>
      </c>
      <c r="G424" s="11">
        <v>1464833</v>
      </c>
      <c r="H424" s="11">
        <v>1370181.02</v>
      </c>
      <c r="I424" s="11">
        <v>0</v>
      </c>
      <c r="J424" s="11">
        <v>94651.33</v>
      </c>
      <c r="K424" s="11">
        <v>0.64999999997962699</v>
      </c>
    </row>
    <row r="425" spans="1:11" hidden="1" x14ac:dyDescent="0.35">
      <c r="A425" s="10" t="s">
        <v>686</v>
      </c>
      <c r="B425" s="10" t="s">
        <v>687</v>
      </c>
      <c r="C425" s="10" t="s">
        <v>40</v>
      </c>
      <c r="D425" s="10" t="s">
        <v>41</v>
      </c>
      <c r="E425" s="10" t="s">
        <v>691</v>
      </c>
      <c r="F425" s="11">
        <v>120000</v>
      </c>
      <c r="G425" s="11">
        <v>14480</v>
      </c>
      <c r="H425" s="11">
        <v>14479.23</v>
      </c>
      <c r="I425" s="12"/>
      <c r="J425" s="12"/>
      <c r="K425" s="11">
        <v>0.770000000000437</v>
      </c>
    </row>
    <row r="426" spans="1:11" hidden="1" x14ac:dyDescent="0.35">
      <c r="A426" s="10" t="s">
        <v>692</v>
      </c>
      <c r="B426" s="10" t="s">
        <v>693</v>
      </c>
      <c r="C426" s="10" t="s">
        <v>31</v>
      </c>
      <c r="D426" s="10" t="s">
        <v>32</v>
      </c>
      <c r="E426" s="10" t="s">
        <v>694</v>
      </c>
      <c r="F426" s="11">
        <v>220000</v>
      </c>
      <c r="G426" s="11">
        <v>85000</v>
      </c>
      <c r="H426" s="11">
        <v>72586.44</v>
      </c>
      <c r="I426" s="11">
        <v>0</v>
      </c>
      <c r="J426" s="11">
        <v>0</v>
      </c>
      <c r="K426" s="11">
        <v>12413.56</v>
      </c>
    </row>
    <row r="427" spans="1:11" hidden="1" x14ac:dyDescent="0.35">
      <c r="A427" s="10" t="s">
        <v>692</v>
      </c>
      <c r="B427" s="10" t="s">
        <v>693</v>
      </c>
      <c r="C427" s="10" t="s">
        <v>274</v>
      </c>
      <c r="D427" s="10" t="s">
        <v>275</v>
      </c>
      <c r="E427" s="10" t="s">
        <v>695</v>
      </c>
      <c r="F427" s="11">
        <v>128000</v>
      </c>
      <c r="G427" s="11">
        <v>246000</v>
      </c>
      <c r="H427" s="11">
        <v>245500</v>
      </c>
      <c r="I427" s="12"/>
      <c r="J427" s="12"/>
      <c r="K427" s="11">
        <v>500</v>
      </c>
    </row>
    <row r="428" spans="1:11" hidden="1" x14ac:dyDescent="0.35">
      <c r="A428" s="10" t="s">
        <v>692</v>
      </c>
      <c r="B428" s="10" t="s">
        <v>693</v>
      </c>
      <c r="C428" s="10" t="s">
        <v>696</v>
      </c>
      <c r="D428" s="10" t="s">
        <v>697</v>
      </c>
      <c r="E428" s="10" t="s">
        <v>698</v>
      </c>
      <c r="F428" s="11">
        <v>23000</v>
      </c>
      <c r="G428" s="11">
        <v>23000</v>
      </c>
      <c r="H428" s="12"/>
      <c r="I428" s="12"/>
      <c r="J428" s="12"/>
      <c r="K428" s="11">
        <v>23000</v>
      </c>
    </row>
    <row r="429" spans="1:11" hidden="1" x14ac:dyDescent="0.35">
      <c r="A429" s="10" t="s">
        <v>692</v>
      </c>
      <c r="B429" s="10" t="s">
        <v>693</v>
      </c>
      <c r="C429" s="10" t="s">
        <v>144</v>
      </c>
      <c r="D429" s="10" t="s">
        <v>145</v>
      </c>
      <c r="E429" s="10" t="s">
        <v>699</v>
      </c>
      <c r="F429" s="11">
        <v>800000</v>
      </c>
      <c r="G429" s="11">
        <v>479055</v>
      </c>
      <c r="H429" s="11">
        <v>477351.06</v>
      </c>
      <c r="I429" s="12"/>
      <c r="J429" s="12"/>
      <c r="K429" s="11">
        <v>1703.93999999995</v>
      </c>
    </row>
    <row r="430" spans="1:11" hidden="1" x14ac:dyDescent="0.35">
      <c r="A430" s="10" t="s">
        <v>692</v>
      </c>
      <c r="B430" s="10" t="s">
        <v>693</v>
      </c>
      <c r="C430" s="10" t="s">
        <v>37</v>
      </c>
      <c r="D430" s="10" t="s">
        <v>38</v>
      </c>
      <c r="E430" s="10" t="s">
        <v>700</v>
      </c>
      <c r="F430" s="11">
        <v>24000</v>
      </c>
      <c r="G430" s="11">
        <v>24000</v>
      </c>
      <c r="H430" s="11">
        <v>8274</v>
      </c>
      <c r="I430" s="12"/>
      <c r="J430" s="12"/>
      <c r="K430" s="11">
        <v>15726</v>
      </c>
    </row>
    <row r="431" spans="1:11" hidden="1" x14ac:dyDescent="0.35">
      <c r="A431" s="10" t="s">
        <v>692</v>
      </c>
      <c r="B431" s="10" t="s">
        <v>693</v>
      </c>
      <c r="C431" s="10" t="s">
        <v>40</v>
      </c>
      <c r="D431" s="10" t="s">
        <v>41</v>
      </c>
      <c r="E431" s="10" t="s">
        <v>701</v>
      </c>
      <c r="F431" s="11">
        <v>0</v>
      </c>
      <c r="G431" s="11">
        <v>363000</v>
      </c>
      <c r="H431" s="11">
        <v>145112.88</v>
      </c>
      <c r="I431" s="11">
        <v>0</v>
      </c>
      <c r="J431" s="11">
        <v>217669.33</v>
      </c>
      <c r="K431" s="11">
        <v>217.78999999997899</v>
      </c>
    </row>
    <row r="432" spans="1:11" hidden="1" x14ac:dyDescent="0.35">
      <c r="A432" s="10" t="s">
        <v>692</v>
      </c>
      <c r="B432" s="10" t="s">
        <v>693</v>
      </c>
      <c r="C432" s="10" t="s">
        <v>61</v>
      </c>
      <c r="D432" s="10" t="s">
        <v>62</v>
      </c>
      <c r="E432" s="10" t="s">
        <v>702</v>
      </c>
      <c r="F432" s="11">
        <v>0</v>
      </c>
      <c r="G432" s="11">
        <v>11020</v>
      </c>
      <c r="H432" s="11">
        <v>11019</v>
      </c>
      <c r="I432" s="12"/>
      <c r="J432" s="12"/>
      <c r="K432" s="11">
        <v>1</v>
      </c>
    </row>
    <row r="433" spans="1:11" hidden="1" x14ac:dyDescent="0.35">
      <c r="A433" s="10" t="s">
        <v>692</v>
      </c>
      <c r="B433" s="10" t="s">
        <v>693</v>
      </c>
      <c r="C433" s="10" t="s">
        <v>43</v>
      </c>
      <c r="D433" s="10" t="s">
        <v>44</v>
      </c>
      <c r="E433" s="10" t="s">
        <v>703</v>
      </c>
      <c r="F433" s="11">
        <v>60000</v>
      </c>
      <c r="G433" s="11">
        <v>20092</v>
      </c>
      <c r="H433" s="11">
        <v>20091.18</v>
      </c>
      <c r="I433" s="12"/>
      <c r="J433" s="12"/>
      <c r="K433" s="11">
        <v>0.81999999999970896</v>
      </c>
    </row>
    <row r="434" spans="1:11" hidden="1" x14ac:dyDescent="0.35">
      <c r="A434" s="10" t="s">
        <v>692</v>
      </c>
      <c r="B434" s="10" t="s">
        <v>693</v>
      </c>
      <c r="C434" s="10" t="s">
        <v>49</v>
      </c>
      <c r="D434" s="10" t="s">
        <v>50</v>
      </c>
      <c r="E434" s="10" t="s">
        <v>704</v>
      </c>
      <c r="F434" s="11">
        <v>14000</v>
      </c>
      <c r="G434" s="11">
        <v>7104</v>
      </c>
      <c r="H434" s="12"/>
      <c r="I434" s="12"/>
      <c r="J434" s="12"/>
      <c r="K434" s="11">
        <v>7104</v>
      </c>
    </row>
    <row r="435" spans="1:11" hidden="1" x14ac:dyDescent="0.35">
      <c r="A435" s="10" t="s">
        <v>692</v>
      </c>
      <c r="B435" s="10" t="s">
        <v>693</v>
      </c>
      <c r="C435" s="10" t="s">
        <v>705</v>
      </c>
      <c r="D435" s="10" t="s">
        <v>706</v>
      </c>
      <c r="E435" s="10" t="s">
        <v>707</v>
      </c>
      <c r="F435" s="11">
        <v>4750</v>
      </c>
      <c r="G435" s="11">
        <v>4750</v>
      </c>
      <c r="H435" s="12"/>
      <c r="I435" s="12"/>
      <c r="J435" s="12"/>
      <c r="K435" s="11">
        <v>4750</v>
      </c>
    </row>
    <row r="436" spans="1:11" hidden="1" x14ac:dyDescent="0.35">
      <c r="A436" s="10" t="s">
        <v>692</v>
      </c>
      <c r="B436" s="10" t="s">
        <v>693</v>
      </c>
      <c r="C436" s="10" t="s">
        <v>154</v>
      </c>
      <c r="D436" s="10" t="s">
        <v>155</v>
      </c>
      <c r="E436" s="10" t="s">
        <v>708</v>
      </c>
      <c r="F436" s="11">
        <v>42000</v>
      </c>
      <c r="G436" s="11">
        <v>12000</v>
      </c>
      <c r="H436" s="12"/>
      <c r="I436" s="12"/>
      <c r="J436" s="12"/>
      <c r="K436" s="11">
        <v>12000</v>
      </c>
    </row>
    <row r="437" spans="1:11" hidden="1" x14ac:dyDescent="0.35">
      <c r="A437" s="10" t="s">
        <v>692</v>
      </c>
      <c r="B437" s="10" t="s">
        <v>693</v>
      </c>
      <c r="C437" s="10" t="s">
        <v>545</v>
      </c>
      <c r="D437" s="10" t="s">
        <v>546</v>
      </c>
      <c r="E437" s="10" t="s">
        <v>709</v>
      </c>
      <c r="F437" s="11">
        <v>35000</v>
      </c>
      <c r="G437" s="11">
        <v>25000</v>
      </c>
      <c r="H437" s="12"/>
      <c r="I437" s="12"/>
      <c r="J437" s="12"/>
      <c r="K437" s="11">
        <v>25000</v>
      </c>
    </row>
    <row r="438" spans="1:11" hidden="1" x14ac:dyDescent="0.35">
      <c r="A438" s="10" t="s">
        <v>710</v>
      </c>
      <c r="B438" s="10" t="s">
        <v>711</v>
      </c>
      <c r="C438" s="10" t="s">
        <v>31</v>
      </c>
      <c r="D438" s="10" t="s">
        <v>32</v>
      </c>
      <c r="E438" s="10" t="s">
        <v>712</v>
      </c>
      <c r="F438" s="11">
        <v>317500</v>
      </c>
      <c r="G438" s="11">
        <v>642474</v>
      </c>
      <c r="H438" s="11">
        <v>627040.85</v>
      </c>
      <c r="I438" s="11">
        <v>0</v>
      </c>
      <c r="J438" s="11">
        <v>0.02</v>
      </c>
      <c r="K438" s="11">
        <v>15433.13</v>
      </c>
    </row>
    <row r="439" spans="1:11" hidden="1" x14ac:dyDescent="0.35">
      <c r="A439" s="10" t="s">
        <v>710</v>
      </c>
      <c r="B439" s="10" t="s">
        <v>711</v>
      </c>
      <c r="C439" s="10" t="s">
        <v>274</v>
      </c>
      <c r="D439" s="10" t="s">
        <v>275</v>
      </c>
      <c r="E439" s="10" t="s">
        <v>713</v>
      </c>
      <c r="F439" s="11">
        <v>560000</v>
      </c>
      <c r="G439" s="11">
        <v>0</v>
      </c>
      <c r="H439" s="12"/>
      <c r="I439" s="12"/>
      <c r="J439" s="12"/>
      <c r="K439" s="11">
        <v>0</v>
      </c>
    </row>
    <row r="440" spans="1:11" hidden="1" x14ac:dyDescent="0.35">
      <c r="A440" s="10" t="s">
        <v>710</v>
      </c>
      <c r="B440" s="10" t="s">
        <v>711</v>
      </c>
      <c r="C440" s="10" t="s">
        <v>144</v>
      </c>
      <c r="D440" s="10" t="s">
        <v>145</v>
      </c>
      <c r="E440" s="10" t="s">
        <v>714</v>
      </c>
      <c r="F440" s="11">
        <v>0</v>
      </c>
      <c r="G440" s="11">
        <v>80600</v>
      </c>
      <c r="H440" s="11">
        <v>59045</v>
      </c>
      <c r="I440" s="12"/>
      <c r="J440" s="12"/>
      <c r="K440" s="11">
        <v>21555</v>
      </c>
    </row>
    <row r="441" spans="1:11" hidden="1" x14ac:dyDescent="0.35">
      <c r="A441" s="10" t="s">
        <v>710</v>
      </c>
      <c r="B441" s="10" t="s">
        <v>711</v>
      </c>
      <c r="C441" s="10" t="s">
        <v>147</v>
      </c>
      <c r="D441" s="10" t="s">
        <v>148</v>
      </c>
      <c r="E441" s="10" t="s">
        <v>715</v>
      </c>
      <c r="F441" s="11">
        <v>520000</v>
      </c>
      <c r="G441" s="11">
        <v>483339</v>
      </c>
      <c r="H441" s="11">
        <v>483337.95</v>
      </c>
      <c r="I441" s="12"/>
      <c r="J441" s="12"/>
      <c r="K441" s="11">
        <v>1.0499999999865399</v>
      </c>
    </row>
    <row r="442" spans="1:11" hidden="1" x14ac:dyDescent="0.35">
      <c r="A442" s="10" t="s">
        <v>710</v>
      </c>
      <c r="B442" s="10" t="s">
        <v>711</v>
      </c>
      <c r="C442" s="10" t="s">
        <v>37</v>
      </c>
      <c r="D442" s="10" t="s">
        <v>38</v>
      </c>
      <c r="E442" s="10" t="s">
        <v>716</v>
      </c>
      <c r="F442" s="11">
        <v>51000</v>
      </c>
      <c r="G442" s="11">
        <v>31400</v>
      </c>
      <c r="H442" s="11">
        <v>31400</v>
      </c>
      <c r="I442" s="12"/>
      <c r="J442" s="12"/>
      <c r="K442" s="11">
        <v>0</v>
      </c>
    </row>
    <row r="443" spans="1:11" hidden="1" x14ac:dyDescent="0.35">
      <c r="A443" s="10" t="s">
        <v>710</v>
      </c>
      <c r="B443" s="10" t="s">
        <v>711</v>
      </c>
      <c r="C443" s="10" t="s">
        <v>40</v>
      </c>
      <c r="D443" s="10" t="s">
        <v>41</v>
      </c>
      <c r="E443" s="10" t="s">
        <v>717</v>
      </c>
      <c r="F443" s="11">
        <v>60608</v>
      </c>
      <c r="G443" s="11">
        <v>60608</v>
      </c>
      <c r="H443" s="11">
        <v>60604.5</v>
      </c>
      <c r="I443" s="11">
        <v>0</v>
      </c>
      <c r="J443" s="11">
        <v>0</v>
      </c>
      <c r="K443" s="11">
        <v>3.5</v>
      </c>
    </row>
    <row r="444" spans="1:11" hidden="1" x14ac:dyDescent="0.35">
      <c r="A444" s="10" t="s">
        <v>710</v>
      </c>
      <c r="B444" s="10" t="s">
        <v>711</v>
      </c>
      <c r="C444" s="10" t="s">
        <v>43</v>
      </c>
      <c r="D444" s="10" t="s">
        <v>44</v>
      </c>
      <c r="E444" s="10" t="s">
        <v>718</v>
      </c>
      <c r="F444" s="11">
        <v>0</v>
      </c>
      <c r="G444" s="11">
        <v>7536</v>
      </c>
      <c r="H444" s="11">
        <v>7535</v>
      </c>
      <c r="I444" s="12"/>
      <c r="J444" s="12"/>
      <c r="K444" s="11">
        <v>1</v>
      </c>
    </row>
    <row r="445" spans="1:11" hidden="1" x14ac:dyDescent="0.35">
      <c r="A445" s="10" t="s">
        <v>710</v>
      </c>
      <c r="B445" s="10" t="s">
        <v>711</v>
      </c>
      <c r="C445" s="10" t="s">
        <v>49</v>
      </c>
      <c r="D445" s="10" t="s">
        <v>50</v>
      </c>
      <c r="E445" s="10" t="s">
        <v>719</v>
      </c>
      <c r="F445" s="11">
        <v>46500</v>
      </c>
      <c r="G445" s="11">
        <v>1</v>
      </c>
      <c r="H445" s="12"/>
      <c r="I445" s="12"/>
      <c r="J445" s="12"/>
      <c r="K445" s="11">
        <v>1</v>
      </c>
    </row>
    <row r="446" spans="1:11" hidden="1" x14ac:dyDescent="0.35">
      <c r="A446" s="10" t="s">
        <v>710</v>
      </c>
      <c r="B446" s="10" t="s">
        <v>711</v>
      </c>
      <c r="C446" s="10" t="s">
        <v>154</v>
      </c>
      <c r="D446" s="10" t="s">
        <v>155</v>
      </c>
      <c r="E446" s="10" t="s">
        <v>720</v>
      </c>
      <c r="F446" s="11">
        <v>10000</v>
      </c>
      <c r="G446" s="11">
        <v>12170</v>
      </c>
      <c r="H446" s="12"/>
      <c r="I446" s="11">
        <v>0</v>
      </c>
      <c r="J446" s="12"/>
      <c r="K446" s="11">
        <v>12170</v>
      </c>
    </row>
    <row r="447" spans="1:11" hidden="1" x14ac:dyDescent="0.35">
      <c r="A447" s="10" t="s">
        <v>721</v>
      </c>
      <c r="B447" s="10" t="s">
        <v>722</v>
      </c>
      <c r="C447" s="10" t="s">
        <v>437</v>
      </c>
      <c r="D447" s="10" t="s">
        <v>438</v>
      </c>
      <c r="E447" s="10" t="s">
        <v>723</v>
      </c>
      <c r="F447" s="11">
        <v>2058000</v>
      </c>
      <c r="G447" s="11">
        <v>353000</v>
      </c>
      <c r="H447" s="11">
        <v>352238.57</v>
      </c>
      <c r="I447" s="12"/>
      <c r="J447" s="12"/>
      <c r="K447" s="11">
        <v>761.42999999999302</v>
      </c>
    </row>
    <row r="448" spans="1:11" hidden="1" x14ac:dyDescent="0.35">
      <c r="A448" s="10" t="s">
        <v>721</v>
      </c>
      <c r="B448" s="10" t="s">
        <v>722</v>
      </c>
      <c r="C448" s="10" t="s">
        <v>31</v>
      </c>
      <c r="D448" s="10" t="s">
        <v>32</v>
      </c>
      <c r="E448" s="10" t="s">
        <v>724</v>
      </c>
      <c r="F448" s="11">
        <v>205000</v>
      </c>
      <c r="G448" s="11">
        <v>99000</v>
      </c>
      <c r="H448" s="11">
        <v>83641.23</v>
      </c>
      <c r="I448" s="11">
        <v>0</v>
      </c>
      <c r="J448" s="11">
        <v>0</v>
      </c>
      <c r="K448" s="11">
        <v>15358.77</v>
      </c>
    </row>
    <row r="449" spans="1:11" hidden="1" x14ac:dyDescent="0.35">
      <c r="A449" s="10" t="s">
        <v>721</v>
      </c>
      <c r="B449" s="10" t="s">
        <v>722</v>
      </c>
      <c r="C449" s="10" t="s">
        <v>274</v>
      </c>
      <c r="D449" s="10" t="s">
        <v>275</v>
      </c>
      <c r="E449" s="10" t="s">
        <v>725</v>
      </c>
      <c r="F449" s="11">
        <v>0</v>
      </c>
      <c r="G449" s="11">
        <v>0</v>
      </c>
      <c r="H449" s="12"/>
      <c r="I449" s="12"/>
      <c r="J449" s="12"/>
      <c r="K449" s="11">
        <v>0</v>
      </c>
    </row>
    <row r="450" spans="1:11" hidden="1" x14ac:dyDescent="0.35">
      <c r="A450" s="10" t="s">
        <v>721</v>
      </c>
      <c r="B450" s="10" t="s">
        <v>722</v>
      </c>
      <c r="C450" s="10" t="s">
        <v>726</v>
      </c>
      <c r="D450" s="10" t="s">
        <v>727</v>
      </c>
      <c r="E450" s="10" t="s">
        <v>728</v>
      </c>
      <c r="F450" s="11">
        <v>9349361</v>
      </c>
      <c r="G450" s="11">
        <v>12799361</v>
      </c>
      <c r="H450" s="11">
        <v>12789313.02</v>
      </c>
      <c r="I450" s="11">
        <v>0</v>
      </c>
      <c r="J450" s="11">
        <v>0</v>
      </c>
      <c r="K450" s="11">
        <v>10047.980000002301</v>
      </c>
    </row>
    <row r="451" spans="1:11" hidden="1" x14ac:dyDescent="0.35">
      <c r="A451" s="10" t="s">
        <v>721</v>
      </c>
      <c r="B451" s="10" t="s">
        <v>722</v>
      </c>
      <c r="C451" s="10" t="s">
        <v>449</v>
      </c>
      <c r="D451" s="10" t="s">
        <v>450</v>
      </c>
      <c r="E451" s="10" t="s">
        <v>729</v>
      </c>
      <c r="F451" s="11">
        <v>225000</v>
      </c>
      <c r="G451" s="11">
        <v>586812</v>
      </c>
      <c r="H451" s="11">
        <v>580993.6</v>
      </c>
      <c r="I451" s="11">
        <v>0</v>
      </c>
      <c r="J451" s="11">
        <v>0</v>
      </c>
      <c r="K451" s="11">
        <v>5818.4000000000196</v>
      </c>
    </row>
    <row r="452" spans="1:11" hidden="1" x14ac:dyDescent="0.35">
      <c r="A452" s="10" t="s">
        <v>721</v>
      </c>
      <c r="B452" s="10" t="s">
        <v>722</v>
      </c>
      <c r="C452" s="10" t="s">
        <v>183</v>
      </c>
      <c r="D452" s="10" t="s">
        <v>184</v>
      </c>
      <c r="E452" s="10" t="s">
        <v>730</v>
      </c>
      <c r="F452" s="11">
        <v>936870</v>
      </c>
      <c r="G452" s="11">
        <v>508334</v>
      </c>
      <c r="H452" s="11">
        <v>496332.73</v>
      </c>
      <c r="I452" s="11">
        <v>0</v>
      </c>
      <c r="J452" s="11">
        <v>12000</v>
      </c>
      <c r="K452" s="11">
        <v>1.2699999999076701</v>
      </c>
    </row>
    <row r="453" spans="1:11" hidden="1" x14ac:dyDescent="0.35">
      <c r="A453" s="10" t="s">
        <v>721</v>
      </c>
      <c r="B453" s="10" t="s">
        <v>722</v>
      </c>
      <c r="C453" s="10" t="s">
        <v>37</v>
      </c>
      <c r="D453" s="10" t="s">
        <v>38</v>
      </c>
      <c r="E453" s="10" t="s">
        <v>731</v>
      </c>
      <c r="F453" s="11">
        <v>70800</v>
      </c>
      <c r="G453" s="11">
        <v>144988</v>
      </c>
      <c r="H453" s="11">
        <v>139521.91</v>
      </c>
      <c r="I453" s="11">
        <v>0</v>
      </c>
      <c r="J453" s="11">
        <v>0</v>
      </c>
      <c r="K453" s="11">
        <v>5466.09</v>
      </c>
    </row>
    <row r="454" spans="1:11" hidden="1" x14ac:dyDescent="0.35">
      <c r="A454" s="10" t="s">
        <v>721</v>
      </c>
      <c r="B454" s="10" t="s">
        <v>722</v>
      </c>
      <c r="C454" s="10" t="s">
        <v>49</v>
      </c>
      <c r="D454" s="10" t="s">
        <v>50</v>
      </c>
      <c r="E454" s="10" t="s">
        <v>732</v>
      </c>
      <c r="F454" s="11">
        <v>32500</v>
      </c>
      <c r="G454" s="11">
        <v>63492</v>
      </c>
      <c r="H454" s="11">
        <v>63361.19</v>
      </c>
      <c r="I454" s="11">
        <v>0</v>
      </c>
      <c r="J454" s="11">
        <v>0</v>
      </c>
      <c r="K454" s="11">
        <v>130.810000000011</v>
      </c>
    </row>
    <row r="455" spans="1:11" hidden="1" x14ac:dyDescent="0.35">
      <c r="A455" s="10" t="s">
        <v>721</v>
      </c>
      <c r="B455" s="10" t="s">
        <v>722</v>
      </c>
      <c r="C455" s="10" t="s">
        <v>672</v>
      </c>
      <c r="D455" s="10" t="s">
        <v>673</v>
      </c>
      <c r="E455" s="10" t="s">
        <v>733</v>
      </c>
      <c r="F455" s="11">
        <v>12000</v>
      </c>
      <c r="G455" s="11">
        <v>117000</v>
      </c>
      <c r="H455" s="11">
        <v>115171.25</v>
      </c>
      <c r="I455" s="11">
        <v>0</v>
      </c>
      <c r="J455" s="11">
        <v>0</v>
      </c>
      <c r="K455" s="11">
        <v>1828.74999999999</v>
      </c>
    </row>
    <row r="456" spans="1:11" hidden="1" x14ac:dyDescent="0.35">
      <c r="A456" s="10" t="s">
        <v>721</v>
      </c>
      <c r="B456" s="10" t="s">
        <v>722</v>
      </c>
      <c r="C456" s="10" t="s">
        <v>154</v>
      </c>
      <c r="D456" s="10" t="s">
        <v>155</v>
      </c>
      <c r="E456" s="10" t="s">
        <v>734</v>
      </c>
      <c r="F456" s="11">
        <v>13500</v>
      </c>
      <c r="G456" s="11">
        <v>13500</v>
      </c>
      <c r="H456" s="11">
        <v>9097.73</v>
      </c>
      <c r="I456" s="12"/>
      <c r="J456" s="12"/>
      <c r="K456" s="11">
        <v>4402.2700000000004</v>
      </c>
    </row>
    <row r="457" spans="1:11" hidden="1" x14ac:dyDescent="0.35">
      <c r="A457" s="10" t="s">
        <v>735</v>
      </c>
      <c r="B457" s="10" t="s">
        <v>736</v>
      </c>
      <c r="C457" s="10" t="s">
        <v>37</v>
      </c>
      <c r="D457" s="10" t="s">
        <v>38</v>
      </c>
      <c r="E457" s="10" t="s">
        <v>737</v>
      </c>
      <c r="F457" s="11">
        <v>50000</v>
      </c>
      <c r="G457" s="11">
        <v>5962</v>
      </c>
      <c r="H457" s="11">
        <v>2961</v>
      </c>
      <c r="I457" s="12"/>
      <c r="J457" s="12"/>
      <c r="K457" s="11">
        <v>3001</v>
      </c>
    </row>
    <row r="458" spans="1:11" hidden="1" x14ac:dyDescent="0.35">
      <c r="A458" s="10" t="s">
        <v>735</v>
      </c>
      <c r="B458" s="10" t="s">
        <v>736</v>
      </c>
      <c r="C458" s="10" t="s">
        <v>43</v>
      </c>
      <c r="D458" s="10" t="s">
        <v>44</v>
      </c>
      <c r="E458" s="10" t="s">
        <v>738</v>
      </c>
      <c r="F458" s="11">
        <v>300000</v>
      </c>
      <c r="G458" s="11">
        <v>21738</v>
      </c>
      <c r="H458" s="12"/>
      <c r="I458" s="12"/>
      <c r="J458" s="12"/>
      <c r="K458" s="11">
        <v>21738</v>
      </c>
    </row>
    <row r="459" spans="1:11" hidden="1" x14ac:dyDescent="0.35">
      <c r="A459" s="10" t="s">
        <v>735</v>
      </c>
      <c r="B459" s="10" t="s">
        <v>736</v>
      </c>
      <c r="C459" s="10" t="s">
        <v>705</v>
      </c>
      <c r="D459" s="10" t="s">
        <v>706</v>
      </c>
      <c r="E459" s="10" t="s">
        <v>739</v>
      </c>
      <c r="F459" s="11">
        <v>15199430</v>
      </c>
      <c r="G459" s="11">
        <v>14545206</v>
      </c>
      <c r="H459" s="11">
        <v>14358907.76</v>
      </c>
      <c r="I459" s="11">
        <v>73143.000000000495</v>
      </c>
      <c r="J459" s="11">
        <v>113154.48</v>
      </c>
      <c r="K459" s="11">
        <v>0.75999999628402304</v>
      </c>
    </row>
    <row r="460" spans="1:11" hidden="1" x14ac:dyDescent="0.35">
      <c r="A460" s="10" t="s">
        <v>735</v>
      </c>
      <c r="B460" s="10" t="s">
        <v>736</v>
      </c>
      <c r="C460" s="10" t="s">
        <v>154</v>
      </c>
      <c r="D460" s="10" t="s">
        <v>155</v>
      </c>
      <c r="E460" s="10" t="s">
        <v>740</v>
      </c>
      <c r="F460" s="11">
        <v>50000</v>
      </c>
      <c r="G460" s="11">
        <v>0</v>
      </c>
      <c r="H460" s="12"/>
      <c r="I460" s="12"/>
      <c r="J460" s="12"/>
      <c r="K460" s="11">
        <v>0</v>
      </c>
    </row>
    <row r="461" spans="1:11" hidden="1" x14ac:dyDescent="0.35">
      <c r="A461" s="10" t="s">
        <v>741</v>
      </c>
      <c r="B461" s="10" t="s">
        <v>742</v>
      </c>
      <c r="C461" s="10" t="s">
        <v>67</v>
      </c>
      <c r="D461" s="10" t="s">
        <v>68</v>
      </c>
      <c r="E461" s="10" t="s">
        <v>743</v>
      </c>
      <c r="F461" s="11">
        <v>2500</v>
      </c>
      <c r="G461" s="11">
        <v>2500</v>
      </c>
      <c r="H461" s="12"/>
      <c r="I461" s="12"/>
      <c r="J461" s="12"/>
      <c r="K461" s="11">
        <v>2500</v>
      </c>
    </row>
    <row r="462" spans="1:11" hidden="1" x14ac:dyDescent="0.35">
      <c r="A462" s="10" t="s">
        <v>741</v>
      </c>
      <c r="B462" s="10" t="s">
        <v>742</v>
      </c>
      <c r="C462" s="10" t="s">
        <v>31</v>
      </c>
      <c r="D462" s="10" t="s">
        <v>32</v>
      </c>
      <c r="E462" s="10" t="s">
        <v>744</v>
      </c>
      <c r="F462" s="11">
        <v>30000</v>
      </c>
      <c r="G462" s="11">
        <v>147130</v>
      </c>
      <c r="H462" s="11">
        <v>147128.99</v>
      </c>
      <c r="I462" s="11">
        <v>0</v>
      </c>
      <c r="J462" s="11">
        <v>0</v>
      </c>
      <c r="K462" s="11">
        <v>1.0100000000093099</v>
      </c>
    </row>
    <row r="463" spans="1:11" hidden="1" x14ac:dyDescent="0.35">
      <c r="A463" s="10" t="s">
        <v>741</v>
      </c>
      <c r="B463" s="10" t="s">
        <v>742</v>
      </c>
      <c r="C463" s="10" t="s">
        <v>34</v>
      </c>
      <c r="D463" s="10" t="s">
        <v>35</v>
      </c>
      <c r="E463" s="10" t="s">
        <v>745</v>
      </c>
      <c r="F463" s="11">
        <v>60000</v>
      </c>
      <c r="G463" s="11">
        <v>28418</v>
      </c>
      <c r="H463" s="11">
        <v>28416.86</v>
      </c>
      <c r="I463" s="12"/>
      <c r="J463" s="12"/>
      <c r="K463" s="11">
        <v>1.1399999999994199</v>
      </c>
    </row>
    <row r="464" spans="1:11" hidden="1" x14ac:dyDescent="0.35">
      <c r="A464" s="10" t="s">
        <v>741</v>
      </c>
      <c r="B464" s="10" t="s">
        <v>742</v>
      </c>
      <c r="C464" s="10" t="s">
        <v>746</v>
      </c>
      <c r="D464" s="10" t="s">
        <v>747</v>
      </c>
      <c r="E464" s="10" t="s">
        <v>748</v>
      </c>
      <c r="F464" s="11">
        <v>0</v>
      </c>
      <c r="G464" s="11">
        <v>200000</v>
      </c>
      <c r="H464" s="11">
        <v>177500</v>
      </c>
      <c r="I464" s="12"/>
      <c r="J464" s="12"/>
      <c r="K464" s="11">
        <v>22500</v>
      </c>
    </row>
    <row r="465" spans="1:11" hidden="1" x14ac:dyDescent="0.35">
      <c r="A465" s="10" t="s">
        <v>741</v>
      </c>
      <c r="B465" s="10" t="s">
        <v>742</v>
      </c>
      <c r="C465" s="10" t="s">
        <v>183</v>
      </c>
      <c r="D465" s="10" t="s">
        <v>184</v>
      </c>
      <c r="E465" s="10" t="s">
        <v>749</v>
      </c>
      <c r="F465" s="11">
        <v>30000</v>
      </c>
      <c r="G465" s="11">
        <v>3001</v>
      </c>
      <c r="H465" s="11">
        <v>3000</v>
      </c>
      <c r="I465" s="12"/>
      <c r="J465" s="12"/>
      <c r="K465" s="11">
        <v>1</v>
      </c>
    </row>
    <row r="466" spans="1:11" hidden="1" x14ac:dyDescent="0.35">
      <c r="A466" s="10" t="s">
        <v>741</v>
      </c>
      <c r="B466" s="10" t="s">
        <v>742</v>
      </c>
      <c r="C466" s="10" t="s">
        <v>97</v>
      </c>
      <c r="D466" s="10" t="s">
        <v>98</v>
      </c>
      <c r="E466" s="10" t="s">
        <v>750</v>
      </c>
      <c r="F466" s="11">
        <v>500000</v>
      </c>
      <c r="G466" s="11">
        <v>82743</v>
      </c>
      <c r="H466" s="11">
        <v>82742.5</v>
      </c>
      <c r="I466" s="11">
        <v>0</v>
      </c>
      <c r="J466" s="11">
        <v>0</v>
      </c>
      <c r="K466" s="11">
        <v>0.5</v>
      </c>
    </row>
    <row r="467" spans="1:11" hidden="1" x14ac:dyDescent="0.35">
      <c r="A467" s="10" t="s">
        <v>741</v>
      </c>
      <c r="B467" s="10" t="s">
        <v>742</v>
      </c>
      <c r="C467" s="10" t="s">
        <v>40</v>
      </c>
      <c r="D467" s="10" t="s">
        <v>41</v>
      </c>
      <c r="E467" s="10" t="s">
        <v>751</v>
      </c>
      <c r="F467" s="11">
        <v>321000</v>
      </c>
      <c r="G467" s="11">
        <v>282201</v>
      </c>
      <c r="H467" s="11">
        <v>282199.96999999997</v>
      </c>
      <c r="I467" s="11">
        <v>0</v>
      </c>
      <c r="J467" s="11">
        <v>0</v>
      </c>
      <c r="K467" s="11">
        <v>1.02999999997064</v>
      </c>
    </row>
    <row r="468" spans="1:11" hidden="1" x14ac:dyDescent="0.35">
      <c r="A468" s="10" t="s">
        <v>741</v>
      </c>
      <c r="B468" s="10" t="s">
        <v>742</v>
      </c>
      <c r="C468" s="10" t="s">
        <v>49</v>
      </c>
      <c r="D468" s="10" t="s">
        <v>50</v>
      </c>
      <c r="E468" s="10" t="s">
        <v>752</v>
      </c>
      <c r="F468" s="11">
        <v>15000</v>
      </c>
      <c r="G468" s="11">
        <v>1</v>
      </c>
      <c r="H468" s="12"/>
      <c r="I468" s="12"/>
      <c r="J468" s="12"/>
      <c r="K468" s="11">
        <v>1</v>
      </c>
    </row>
    <row r="469" spans="1:11" hidden="1" x14ac:dyDescent="0.35">
      <c r="A469" s="10" t="s">
        <v>741</v>
      </c>
      <c r="B469" s="10" t="s">
        <v>742</v>
      </c>
      <c r="C469" s="10" t="s">
        <v>470</v>
      </c>
      <c r="D469" s="10" t="s">
        <v>471</v>
      </c>
      <c r="E469" s="10" t="s">
        <v>753</v>
      </c>
      <c r="F469" s="11">
        <v>200000</v>
      </c>
      <c r="G469" s="11">
        <v>0</v>
      </c>
      <c r="H469" s="12"/>
      <c r="I469" s="12"/>
      <c r="J469" s="12"/>
      <c r="K469" s="11">
        <v>0</v>
      </c>
    </row>
    <row r="470" spans="1:11" hidden="1" x14ac:dyDescent="0.35">
      <c r="A470" s="10" t="s">
        <v>741</v>
      </c>
      <c r="B470" s="10" t="s">
        <v>742</v>
      </c>
      <c r="C470" s="10" t="s">
        <v>192</v>
      </c>
      <c r="D470" s="10" t="s">
        <v>193</v>
      </c>
      <c r="E470" s="10" t="s">
        <v>754</v>
      </c>
      <c r="F470" s="11">
        <v>10000</v>
      </c>
      <c r="G470" s="11">
        <v>10000</v>
      </c>
      <c r="H470" s="12"/>
      <c r="I470" s="12"/>
      <c r="J470" s="12"/>
      <c r="K470" s="11">
        <v>10000</v>
      </c>
    </row>
    <row r="471" spans="1:11" hidden="1" x14ac:dyDescent="0.35">
      <c r="A471" s="10" t="s">
        <v>741</v>
      </c>
      <c r="B471" s="10" t="s">
        <v>742</v>
      </c>
      <c r="C471" s="10" t="s">
        <v>672</v>
      </c>
      <c r="D471" s="10" t="s">
        <v>673</v>
      </c>
      <c r="E471" s="10" t="s">
        <v>755</v>
      </c>
      <c r="F471" s="11">
        <v>5000</v>
      </c>
      <c r="G471" s="11">
        <v>5000</v>
      </c>
      <c r="H471" s="11">
        <v>1014</v>
      </c>
      <c r="I471" s="12"/>
      <c r="J471" s="12"/>
      <c r="K471" s="11">
        <v>3986</v>
      </c>
    </row>
    <row r="472" spans="1:11" hidden="1" x14ac:dyDescent="0.35">
      <c r="A472" s="10" t="s">
        <v>756</v>
      </c>
      <c r="B472" s="10" t="s">
        <v>757</v>
      </c>
      <c r="C472" s="10" t="s">
        <v>19</v>
      </c>
      <c r="D472" s="10" t="s">
        <v>20</v>
      </c>
      <c r="E472" s="10" t="s">
        <v>758</v>
      </c>
      <c r="F472" s="11">
        <v>21895944</v>
      </c>
      <c r="G472" s="11">
        <v>25155241</v>
      </c>
      <c r="H472" s="11">
        <v>25155240</v>
      </c>
      <c r="I472" s="12"/>
      <c r="J472" s="12"/>
      <c r="K472" s="11">
        <v>1</v>
      </c>
    </row>
    <row r="473" spans="1:11" hidden="1" x14ac:dyDescent="0.35">
      <c r="A473" s="10" t="s">
        <v>756</v>
      </c>
      <c r="B473" s="10" t="s">
        <v>757</v>
      </c>
      <c r="C473" s="10" t="s">
        <v>573</v>
      </c>
      <c r="D473" s="10" t="s">
        <v>574</v>
      </c>
      <c r="E473" s="10" t="s">
        <v>759</v>
      </c>
      <c r="F473" s="11">
        <v>263385</v>
      </c>
      <c r="G473" s="11">
        <v>0</v>
      </c>
      <c r="H473" s="12"/>
      <c r="I473" s="12"/>
      <c r="J473" s="12"/>
      <c r="K473" s="11">
        <v>0</v>
      </c>
    </row>
    <row r="474" spans="1:11" hidden="1" x14ac:dyDescent="0.35">
      <c r="A474" s="10" t="s">
        <v>756</v>
      </c>
      <c r="B474" s="10" t="s">
        <v>757</v>
      </c>
      <c r="C474" s="10" t="s">
        <v>576</v>
      </c>
      <c r="D474" s="10" t="s">
        <v>577</v>
      </c>
      <c r="E474" s="10" t="s">
        <v>760</v>
      </c>
      <c r="F474" s="11">
        <v>0</v>
      </c>
      <c r="G474" s="11">
        <v>0</v>
      </c>
      <c r="H474" s="12"/>
      <c r="I474" s="12"/>
      <c r="J474" s="12"/>
      <c r="K474" s="11">
        <v>0</v>
      </c>
    </row>
    <row r="475" spans="1:11" hidden="1" x14ac:dyDescent="0.35">
      <c r="A475" s="10" t="s">
        <v>756</v>
      </c>
      <c r="B475" s="10" t="s">
        <v>757</v>
      </c>
      <c r="C475" s="10" t="s">
        <v>25</v>
      </c>
      <c r="D475" s="10" t="s">
        <v>26</v>
      </c>
      <c r="E475" s="10" t="s">
        <v>761</v>
      </c>
      <c r="F475" s="11">
        <v>271000</v>
      </c>
      <c r="G475" s="11">
        <v>147835</v>
      </c>
      <c r="H475" s="11">
        <v>147834.06</v>
      </c>
      <c r="I475" s="11">
        <v>0</v>
      </c>
      <c r="J475" s="11">
        <v>0</v>
      </c>
      <c r="K475" s="11">
        <v>0.94000000000232797</v>
      </c>
    </row>
    <row r="476" spans="1:11" hidden="1" x14ac:dyDescent="0.35">
      <c r="A476" s="10" t="s">
        <v>756</v>
      </c>
      <c r="B476" s="10" t="s">
        <v>757</v>
      </c>
      <c r="C476" s="10" t="s">
        <v>28</v>
      </c>
      <c r="D476" s="10" t="s">
        <v>29</v>
      </c>
      <c r="E476" s="10" t="s">
        <v>762</v>
      </c>
      <c r="F476" s="11">
        <v>170000</v>
      </c>
      <c r="G476" s="11">
        <v>73838</v>
      </c>
      <c r="H476" s="11">
        <v>73837.02</v>
      </c>
      <c r="I476" s="12"/>
      <c r="J476" s="12"/>
      <c r="K476" s="11">
        <v>0.97999999999592502</v>
      </c>
    </row>
    <row r="477" spans="1:11" hidden="1" x14ac:dyDescent="0.35">
      <c r="A477" s="10" t="s">
        <v>756</v>
      </c>
      <c r="B477" s="10" t="s">
        <v>757</v>
      </c>
      <c r="C477" s="10" t="s">
        <v>653</v>
      </c>
      <c r="D477" s="10" t="s">
        <v>654</v>
      </c>
      <c r="E477" s="10" t="s">
        <v>763</v>
      </c>
      <c r="F477" s="11">
        <v>12000</v>
      </c>
      <c r="G477" s="11">
        <v>12000</v>
      </c>
      <c r="H477" s="12"/>
      <c r="I477" s="12"/>
      <c r="J477" s="12"/>
      <c r="K477" s="11">
        <v>12000</v>
      </c>
    </row>
    <row r="478" spans="1:11" hidden="1" x14ac:dyDescent="0.35">
      <c r="A478" s="10" t="s">
        <v>756</v>
      </c>
      <c r="B478" s="10" t="s">
        <v>757</v>
      </c>
      <c r="C478" s="10" t="s">
        <v>31</v>
      </c>
      <c r="D478" s="10" t="s">
        <v>32</v>
      </c>
      <c r="E478" s="10" t="s">
        <v>764</v>
      </c>
      <c r="F478" s="11">
        <v>820000</v>
      </c>
      <c r="G478" s="11">
        <v>343342</v>
      </c>
      <c r="H478" s="11">
        <v>343341.23</v>
      </c>
      <c r="I478" s="11">
        <v>0</v>
      </c>
      <c r="J478" s="11">
        <v>0</v>
      </c>
      <c r="K478" s="11">
        <v>0.76999999996041901</v>
      </c>
    </row>
    <row r="479" spans="1:11" hidden="1" x14ac:dyDescent="0.35">
      <c r="A479" s="10" t="s">
        <v>756</v>
      </c>
      <c r="B479" s="10" t="s">
        <v>757</v>
      </c>
      <c r="C479" s="10" t="s">
        <v>34</v>
      </c>
      <c r="D479" s="10" t="s">
        <v>35</v>
      </c>
      <c r="E479" s="10" t="s">
        <v>765</v>
      </c>
      <c r="F479" s="11">
        <v>780000</v>
      </c>
      <c r="G479" s="11">
        <v>388108</v>
      </c>
      <c r="H479" s="11">
        <v>388106.96</v>
      </c>
      <c r="I479" s="12"/>
      <c r="J479" s="12"/>
      <c r="K479" s="11">
        <v>1.0399999999790499</v>
      </c>
    </row>
    <row r="480" spans="1:11" hidden="1" x14ac:dyDescent="0.35">
      <c r="A480" s="10" t="s">
        <v>756</v>
      </c>
      <c r="B480" s="10" t="s">
        <v>757</v>
      </c>
      <c r="C480" s="10" t="s">
        <v>274</v>
      </c>
      <c r="D480" s="10" t="s">
        <v>275</v>
      </c>
      <c r="E480" s="10" t="s">
        <v>766</v>
      </c>
      <c r="F480" s="11">
        <v>2494345</v>
      </c>
      <c r="G480" s="11">
        <v>1840472</v>
      </c>
      <c r="H480" s="11">
        <v>1339891.3</v>
      </c>
      <c r="I480" s="11">
        <v>0</v>
      </c>
      <c r="J480" s="11">
        <v>500579.26</v>
      </c>
      <c r="K480" s="11">
        <v>1.43999999994412</v>
      </c>
    </row>
    <row r="481" spans="1:11" hidden="1" x14ac:dyDescent="0.35">
      <c r="A481" s="10" t="s">
        <v>756</v>
      </c>
      <c r="B481" s="10" t="s">
        <v>757</v>
      </c>
      <c r="C481" s="10" t="s">
        <v>688</v>
      </c>
      <c r="D481" s="10" t="s">
        <v>689</v>
      </c>
      <c r="E481" s="10" t="s">
        <v>767</v>
      </c>
      <c r="F481" s="11">
        <v>180000</v>
      </c>
      <c r="G481" s="11">
        <v>180000</v>
      </c>
      <c r="H481" s="11">
        <v>179039.58</v>
      </c>
      <c r="I481" s="12"/>
      <c r="J481" s="12"/>
      <c r="K481" s="11">
        <v>960.41999999998404</v>
      </c>
    </row>
    <row r="482" spans="1:11" hidden="1" x14ac:dyDescent="0.35">
      <c r="A482" s="10" t="s">
        <v>756</v>
      </c>
      <c r="B482" s="10" t="s">
        <v>757</v>
      </c>
      <c r="C482" s="10" t="s">
        <v>135</v>
      </c>
      <c r="D482" s="10" t="s">
        <v>136</v>
      </c>
      <c r="E482" s="10" t="s">
        <v>768</v>
      </c>
      <c r="F482" s="11">
        <v>0</v>
      </c>
      <c r="G482" s="11">
        <v>100694</v>
      </c>
      <c r="H482" s="11">
        <v>100002</v>
      </c>
      <c r="I482" s="12"/>
      <c r="J482" s="12"/>
      <c r="K482" s="11">
        <v>692</v>
      </c>
    </row>
    <row r="483" spans="1:11" hidden="1" x14ac:dyDescent="0.35">
      <c r="A483" s="10" t="s">
        <v>756</v>
      </c>
      <c r="B483" s="10" t="s">
        <v>757</v>
      </c>
      <c r="C483" s="10" t="s">
        <v>138</v>
      </c>
      <c r="D483" s="10" t="s">
        <v>139</v>
      </c>
      <c r="E483" s="10" t="s">
        <v>769</v>
      </c>
      <c r="F483" s="11">
        <v>0</v>
      </c>
      <c r="G483" s="11">
        <v>55400</v>
      </c>
      <c r="H483" s="11">
        <v>54543</v>
      </c>
      <c r="I483" s="12"/>
      <c r="J483" s="12"/>
      <c r="K483" s="11">
        <v>857</v>
      </c>
    </row>
    <row r="484" spans="1:11" hidden="1" x14ac:dyDescent="0.35">
      <c r="A484" s="10" t="s">
        <v>756</v>
      </c>
      <c r="B484" s="10" t="s">
        <v>757</v>
      </c>
      <c r="C484" s="10" t="s">
        <v>726</v>
      </c>
      <c r="D484" s="10" t="s">
        <v>727</v>
      </c>
      <c r="E484" s="10" t="s">
        <v>770</v>
      </c>
      <c r="F484" s="11">
        <v>312600</v>
      </c>
      <c r="G484" s="11">
        <v>1</v>
      </c>
      <c r="H484" s="12"/>
      <c r="I484" s="12"/>
      <c r="J484" s="12"/>
      <c r="K484" s="11">
        <v>1</v>
      </c>
    </row>
    <row r="485" spans="1:11" hidden="1" x14ac:dyDescent="0.35">
      <c r="A485" s="10" t="s">
        <v>756</v>
      </c>
      <c r="B485" s="10" t="s">
        <v>757</v>
      </c>
      <c r="C485" s="10" t="s">
        <v>141</v>
      </c>
      <c r="D485" s="10" t="s">
        <v>142</v>
      </c>
      <c r="E485" s="10" t="s">
        <v>771</v>
      </c>
      <c r="F485" s="11">
        <v>24213178</v>
      </c>
      <c r="G485" s="11">
        <v>26263178</v>
      </c>
      <c r="H485" s="11">
        <v>26231200.030000001</v>
      </c>
      <c r="I485" s="12"/>
      <c r="J485" s="12"/>
      <c r="K485" s="11">
        <v>31977.969999995101</v>
      </c>
    </row>
    <row r="486" spans="1:11" hidden="1" x14ac:dyDescent="0.35">
      <c r="A486" s="10" t="s">
        <v>756</v>
      </c>
      <c r="B486" s="10" t="s">
        <v>757</v>
      </c>
      <c r="C486" s="10" t="s">
        <v>696</v>
      </c>
      <c r="D486" s="10" t="s">
        <v>697</v>
      </c>
      <c r="E486" s="10" t="s">
        <v>772</v>
      </c>
      <c r="F486" s="11">
        <v>864069</v>
      </c>
      <c r="G486" s="11">
        <v>179594</v>
      </c>
      <c r="H486" s="11">
        <v>179593.48</v>
      </c>
      <c r="I486" s="12"/>
      <c r="J486" s="12"/>
      <c r="K486" s="11">
        <v>0.51999999998952295</v>
      </c>
    </row>
    <row r="487" spans="1:11" hidden="1" x14ac:dyDescent="0.35">
      <c r="A487" s="10" t="s">
        <v>756</v>
      </c>
      <c r="B487" s="10" t="s">
        <v>757</v>
      </c>
      <c r="C487" s="10" t="s">
        <v>147</v>
      </c>
      <c r="D487" s="10" t="s">
        <v>148</v>
      </c>
      <c r="E487" s="10" t="s">
        <v>773</v>
      </c>
      <c r="F487" s="11">
        <v>2759974</v>
      </c>
      <c r="G487" s="11">
        <v>389098</v>
      </c>
      <c r="H487" s="11">
        <v>384856.39</v>
      </c>
      <c r="I487" s="11">
        <v>0</v>
      </c>
      <c r="J487" s="11">
        <v>0</v>
      </c>
      <c r="K487" s="11">
        <v>4241.6099999999897</v>
      </c>
    </row>
    <row r="488" spans="1:11" hidden="1" x14ac:dyDescent="0.35">
      <c r="A488" s="10" t="s">
        <v>756</v>
      </c>
      <c r="B488" s="10" t="s">
        <v>757</v>
      </c>
      <c r="C488" s="10" t="s">
        <v>72</v>
      </c>
      <c r="D488" s="10" t="s">
        <v>73</v>
      </c>
      <c r="E488" s="10" t="s">
        <v>774</v>
      </c>
      <c r="F488" s="11">
        <v>200000</v>
      </c>
      <c r="G488" s="11">
        <v>2941</v>
      </c>
      <c r="H488" s="11">
        <v>2940</v>
      </c>
      <c r="I488" s="12"/>
      <c r="J488" s="12"/>
      <c r="K488" s="11">
        <v>1</v>
      </c>
    </row>
    <row r="489" spans="1:11" hidden="1" x14ac:dyDescent="0.35">
      <c r="A489" s="10" t="s">
        <v>756</v>
      </c>
      <c r="B489" s="10" t="s">
        <v>757</v>
      </c>
      <c r="C489" s="10" t="s">
        <v>37</v>
      </c>
      <c r="D489" s="10" t="s">
        <v>38</v>
      </c>
      <c r="E489" s="10" t="s">
        <v>775</v>
      </c>
      <c r="F489" s="11">
        <v>185000</v>
      </c>
      <c r="G489" s="11">
        <v>80824</v>
      </c>
      <c r="H489" s="11">
        <v>80823.08</v>
      </c>
      <c r="I489" s="11">
        <v>0</v>
      </c>
      <c r="J489" s="11">
        <v>0</v>
      </c>
      <c r="K489" s="11">
        <v>0.91999999999825399</v>
      </c>
    </row>
    <row r="490" spans="1:11" hidden="1" x14ac:dyDescent="0.35">
      <c r="A490" s="10" t="s">
        <v>756</v>
      </c>
      <c r="B490" s="10" t="s">
        <v>757</v>
      </c>
      <c r="C490" s="10" t="s">
        <v>420</v>
      </c>
      <c r="D490" s="10" t="s">
        <v>421</v>
      </c>
      <c r="E490" s="10" t="s">
        <v>776</v>
      </c>
      <c r="F490" s="11">
        <v>90000</v>
      </c>
      <c r="G490" s="11">
        <v>1</v>
      </c>
      <c r="H490" s="12"/>
      <c r="I490" s="12"/>
      <c r="J490" s="12"/>
      <c r="K490" s="11">
        <v>1</v>
      </c>
    </row>
    <row r="491" spans="1:11" hidden="1" x14ac:dyDescent="0.35">
      <c r="A491" s="10" t="s">
        <v>756</v>
      </c>
      <c r="B491" s="10" t="s">
        <v>757</v>
      </c>
      <c r="C491" s="10" t="s">
        <v>40</v>
      </c>
      <c r="D491" s="10" t="s">
        <v>41</v>
      </c>
      <c r="E491" s="10" t="s">
        <v>777</v>
      </c>
      <c r="F491" s="11">
        <v>777363</v>
      </c>
      <c r="G491" s="11">
        <v>862530</v>
      </c>
      <c r="H491" s="11">
        <v>855139.77</v>
      </c>
      <c r="I491" s="11">
        <v>0</v>
      </c>
      <c r="J491" s="11">
        <v>7390</v>
      </c>
      <c r="K491" s="11">
        <v>0.22999999998137399</v>
      </c>
    </row>
    <row r="492" spans="1:11" hidden="1" x14ac:dyDescent="0.35">
      <c r="A492" s="10" t="s">
        <v>756</v>
      </c>
      <c r="B492" s="10" t="s">
        <v>757</v>
      </c>
      <c r="C492" s="10" t="s">
        <v>491</v>
      </c>
      <c r="D492" s="10" t="s">
        <v>492</v>
      </c>
      <c r="E492" s="10" t="s">
        <v>778</v>
      </c>
      <c r="F492" s="11">
        <v>21000</v>
      </c>
      <c r="G492" s="11">
        <v>21000</v>
      </c>
      <c r="H492" s="11">
        <v>235</v>
      </c>
      <c r="I492" s="12"/>
      <c r="J492" s="12"/>
      <c r="K492" s="11">
        <v>20765</v>
      </c>
    </row>
    <row r="493" spans="1:11" hidden="1" x14ac:dyDescent="0.35">
      <c r="A493" s="10" t="s">
        <v>756</v>
      </c>
      <c r="B493" s="10" t="s">
        <v>757</v>
      </c>
      <c r="C493" s="10" t="s">
        <v>78</v>
      </c>
      <c r="D493" s="10" t="s">
        <v>79</v>
      </c>
      <c r="E493" s="10" t="s">
        <v>779</v>
      </c>
      <c r="F493" s="11">
        <v>903674</v>
      </c>
      <c r="G493" s="11">
        <v>1</v>
      </c>
      <c r="H493" s="12"/>
      <c r="I493" s="12"/>
      <c r="J493" s="12"/>
      <c r="K493" s="11">
        <v>1</v>
      </c>
    </row>
    <row r="494" spans="1:11" hidden="1" x14ac:dyDescent="0.35">
      <c r="A494" s="10" t="s">
        <v>756</v>
      </c>
      <c r="B494" s="10" t="s">
        <v>757</v>
      </c>
      <c r="C494" s="10" t="s">
        <v>61</v>
      </c>
      <c r="D494" s="10" t="s">
        <v>62</v>
      </c>
      <c r="E494" s="10" t="s">
        <v>780</v>
      </c>
      <c r="F494" s="11">
        <v>153178</v>
      </c>
      <c r="G494" s="11">
        <v>50518</v>
      </c>
      <c r="H494" s="11">
        <v>50517.43</v>
      </c>
      <c r="I494" s="11">
        <v>0</v>
      </c>
      <c r="J494" s="11">
        <v>0</v>
      </c>
      <c r="K494" s="11">
        <v>0.56999999999970896</v>
      </c>
    </row>
    <row r="495" spans="1:11" hidden="1" x14ac:dyDescent="0.35">
      <c r="A495" s="10" t="s">
        <v>756</v>
      </c>
      <c r="B495" s="10" t="s">
        <v>757</v>
      </c>
      <c r="C495" s="10" t="s">
        <v>581</v>
      </c>
      <c r="D495" s="10" t="s">
        <v>582</v>
      </c>
      <c r="E495" s="10" t="s">
        <v>781</v>
      </c>
      <c r="F495" s="11">
        <v>10000</v>
      </c>
      <c r="G495" s="11">
        <v>10000</v>
      </c>
      <c r="H495" s="12"/>
      <c r="I495" s="12"/>
      <c r="J495" s="12"/>
      <c r="K495" s="11">
        <v>10000</v>
      </c>
    </row>
    <row r="496" spans="1:11" hidden="1" x14ac:dyDescent="0.35">
      <c r="A496" s="10" t="s">
        <v>756</v>
      </c>
      <c r="B496" s="10" t="s">
        <v>757</v>
      </c>
      <c r="C496" s="10" t="s">
        <v>43</v>
      </c>
      <c r="D496" s="10" t="s">
        <v>44</v>
      </c>
      <c r="E496" s="10" t="s">
        <v>782</v>
      </c>
      <c r="F496" s="11">
        <v>419000</v>
      </c>
      <c r="G496" s="11">
        <v>43038</v>
      </c>
      <c r="H496" s="11">
        <v>43037.5</v>
      </c>
      <c r="I496" s="12"/>
      <c r="J496" s="12"/>
      <c r="K496" s="11">
        <v>0.5</v>
      </c>
    </row>
    <row r="497" spans="1:11" hidden="1" x14ac:dyDescent="0.35">
      <c r="A497" s="10" t="s">
        <v>756</v>
      </c>
      <c r="B497" s="10" t="s">
        <v>757</v>
      </c>
      <c r="C497" s="10" t="s">
        <v>49</v>
      </c>
      <c r="D497" s="10" t="s">
        <v>50</v>
      </c>
      <c r="E497" s="10" t="s">
        <v>783</v>
      </c>
      <c r="F497" s="11">
        <v>5000</v>
      </c>
      <c r="G497" s="11">
        <v>2887</v>
      </c>
      <c r="H497" s="11">
        <v>2819.61</v>
      </c>
      <c r="I497" s="12"/>
      <c r="J497" s="12"/>
      <c r="K497" s="11">
        <v>67.389999999999901</v>
      </c>
    </row>
    <row r="498" spans="1:11" hidden="1" x14ac:dyDescent="0.35">
      <c r="A498" s="10" t="s">
        <v>756</v>
      </c>
      <c r="B498" s="10" t="s">
        <v>757</v>
      </c>
      <c r="C498" s="10" t="s">
        <v>123</v>
      </c>
      <c r="D498" s="10" t="s">
        <v>124</v>
      </c>
      <c r="E498" s="10" t="s">
        <v>784</v>
      </c>
      <c r="F498" s="11">
        <v>26000</v>
      </c>
      <c r="G498" s="11">
        <v>522982</v>
      </c>
      <c r="H498" s="11">
        <v>522981</v>
      </c>
      <c r="I498" s="11">
        <v>0</v>
      </c>
      <c r="J498" s="11">
        <v>0</v>
      </c>
      <c r="K498" s="11">
        <v>1</v>
      </c>
    </row>
    <row r="499" spans="1:11" x14ac:dyDescent="0.35">
      <c r="A499" s="10" t="s">
        <v>756</v>
      </c>
      <c r="B499" s="10" t="s">
        <v>757</v>
      </c>
      <c r="C499" s="10" t="s">
        <v>169</v>
      </c>
      <c r="D499" s="10" t="s">
        <v>170</v>
      </c>
      <c r="E499" s="10" t="s">
        <v>785</v>
      </c>
      <c r="F499" s="11">
        <v>516900</v>
      </c>
      <c r="G499" s="11">
        <v>570374</v>
      </c>
      <c r="H499" s="11">
        <v>566352.41</v>
      </c>
      <c r="I499" s="11">
        <v>0</v>
      </c>
      <c r="J499" s="11">
        <v>4021</v>
      </c>
      <c r="K499" s="11">
        <v>0.58999999996740404</v>
      </c>
    </row>
    <row r="500" spans="1:11" hidden="1" x14ac:dyDescent="0.35">
      <c r="A500" s="10" t="s">
        <v>756</v>
      </c>
      <c r="B500" s="10" t="s">
        <v>757</v>
      </c>
      <c r="C500" s="10" t="s">
        <v>786</v>
      </c>
      <c r="D500" s="10" t="s">
        <v>787</v>
      </c>
      <c r="E500" s="10" t="s">
        <v>788</v>
      </c>
      <c r="F500" s="11">
        <v>35000</v>
      </c>
      <c r="G500" s="11">
        <v>1</v>
      </c>
      <c r="H500" s="12"/>
      <c r="I500" s="12"/>
      <c r="J500" s="12"/>
      <c r="K500" s="11">
        <v>1</v>
      </c>
    </row>
    <row r="501" spans="1:11" hidden="1" x14ac:dyDescent="0.35">
      <c r="A501" s="10" t="s">
        <v>756</v>
      </c>
      <c r="B501" s="10" t="s">
        <v>757</v>
      </c>
      <c r="C501" s="10" t="s">
        <v>705</v>
      </c>
      <c r="D501" s="10" t="s">
        <v>706</v>
      </c>
      <c r="E501" s="10" t="s">
        <v>789</v>
      </c>
      <c r="F501" s="11">
        <v>72000</v>
      </c>
      <c r="G501" s="11">
        <v>724006</v>
      </c>
      <c r="H501" s="11">
        <v>257634.35</v>
      </c>
      <c r="I501" s="11">
        <v>-7839.97</v>
      </c>
      <c r="J501" s="11">
        <v>474210.18</v>
      </c>
      <c r="K501" s="11">
        <v>1.4400000000023301</v>
      </c>
    </row>
    <row r="502" spans="1:11" hidden="1" x14ac:dyDescent="0.35">
      <c r="A502" s="10" t="s">
        <v>756</v>
      </c>
      <c r="B502" s="10" t="s">
        <v>757</v>
      </c>
      <c r="C502" s="10" t="s">
        <v>192</v>
      </c>
      <c r="D502" s="10" t="s">
        <v>193</v>
      </c>
      <c r="E502" s="10" t="s">
        <v>790</v>
      </c>
      <c r="F502" s="11">
        <v>591905</v>
      </c>
      <c r="G502" s="11">
        <v>6515</v>
      </c>
      <c r="H502" s="11">
        <v>305.68</v>
      </c>
      <c r="I502" s="12"/>
      <c r="J502" s="12"/>
      <c r="K502" s="11">
        <v>6209.32</v>
      </c>
    </row>
    <row r="503" spans="1:11" hidden="1" x14ac:dyDescent="0.35">
      <c r="A503" s="10" t="s">
        <v>756</v>
      </c>
      <c r="B503" s="10" t="s">
        <v>757</v>
      </c>
      <c r="C503" s="10" t="s">
        <v>103</v>
      </c>
      <c r="D503" s="10" t="s">
        <v>104</v>
      </c>
      <c r="E503" s="10" t="s">
        <v>791</v>
      </c>
      <c r="F503" s="11">
        <v>120000</v>
      </c>
      <c r="G503" s="11">
        <v>367150</v>
      </c>
      <c r="H503" s="11">
        <v>367149.12</v>
      </c>
      <c r="I503" s="12"/>
      <c r="J503" s="12"/>
      <c r="K503" s="11">
        <v>0.87999999994644895</v>
      </c>
    </row>
    <row r="504" spans="1:11" hidden="1" x14ac:dyDescent="0.35">
      <c r="A504" s="10" t="s">
        <v>756</v>
      </c>
      <c r="B504" s="10" t="s">
        <v>757</v>
      </c>
      <c r="C504" s="10" t="s">
        <v>173</v>
      </c>
      <c r="D504" s="10" t="s">
        <v>174</v>
      </c>
      <c r="E504" s="10" t="s">
        <v>792</v>
      </c>
      <c r="F504" s="11">
        <v>1592072</v>
      </c>
      <c r="G504" s="11">
        <v>1772499</v>
      </c>
      <c r="H504" s="11">
        <v>1579208.69</v>
      </c>
      <c r="I504" s="11">
        <v>106451.82</v>
      </c>
      <c r="J504" s="11">
        <v>86836.999999999898</v>
      </c>
      <c r="K504" s="11">
        <v>1.49000000004889</v>
      </c>
    </row>
    <row r="505" spans="1:11" hidden="1" x14ac:dyDescent="0.35">
      <c r="A505" s="10" t="s">
        <v>756</v>
      </c>
      <c r="B505" s="10" t="s">
        <v>757</v>
      </c>
      <c r="C505" s="10" t="s">
        <v>672</v>
      </c>
      <c r="D505" s="10" t="s">
        <v>673</v>
      </c>
      <c r="E505" s="10" t="s">
        <v>793</v>
      </c>
      <c r="F505" s="11">
        <v>10000</v>
      </c>
      <c r="G505" s="11">
        <v>10000</v>
      </c>
      <c r="H505" s="11">
        <v>80</v>
      </c>
      <c r="I505" s="12"/>
      <c r="J505" s="12"/>
      <c r="K505" s="11">
        <v>9920</v>
      </c>
    </row>
    <row r="506" spans="1:11" hidden="1" x14ac:dyDescent="0.35">
      <c r="A506" s="10" t="s">
        <v>756</v>
      </c>
      <c r="B506" s="10" t="s">
        <v>757</v>
      </c>
      <c r="C506" s="10" t="s">
        <v>154</v>
      </c>
      <c r="D506" s="10" t="s">
        <v>155</v>
      </c>
      <c r="E506" s="10" t="s">
        <v>794</v>
      </c>
      <c r="F506" s="11">
        <v>200000</v>
      </c>
      <c r="G506" s="11">
        <v>0</v>
      </c>
      <c r="H506" s="12"/>
      <c r="I506" s="12"/>
      <c r="J506" s="12"/>
      <c r="K506" s="11">
        <v>0</v>
      </c>
    </row>
    <row r="507" spans="1:11" hidden="1" x14ac:dyDescent="0.35">
      <c r="A507" s="10" t="s">
        <v>756</v>
      </c>
      <c r="B507" s="10" t="s">
        <v>757</v>
      </c>
      <c r="C507" s="10" t="s">
        <v>545</v>
      </c>
      <c r="D507" s="10" t="s">
        <v>546</v>
      </c>
      <c r="E507" s="10" t="s">
        <v>795</v>
      </c>
      <c r="F507" s="11">
        <v>112000</v>
      </c>
      <c r="G507" s="11">
        <v>3167</v>
      </c>
      <c r="H507" s="11">
        <v>3165.75</v>
      </c>
      <c r="I507" s="12"/>
      <c r="J507" s="12"/>
      <c r="K507" s="11">
        <v>1.25</v>
      </c>
    </row>
    <row r="508" spans="1:11" hidden="1" x14ac:dyDescent="0.35">
      <c r="A508" s="10" t="s">
        <v>756</v>
      </c>
      <c r="B508" s="10" t="s">
        <v>757</v>
      </c>
      <c r="C508" s="10" t="s">
        <v>176</v>
      </c>
      <c r="D508" s="10" t="s">
        <v>177</v>
      </c>
      <c r="E508" s="10" t="s">
        <v>796</v>
      </c>
      <c r="F508" s="11">
        <v>0</v>
      </c>
      <c r="G508" s="11">
        <v>6000</v>
      </c>
      <c r="H508" s="12"/>
      <c r="I508" s="12"/>
      <c r="J508" s="12"/>
      <c r="K508" s="11">
        <v>6000</v>
      </c>
    </row>
    <row r="509" spans="1:11" hidden="1" x14ac:dyDescent="0.35">
      <c r="A509" s="13"/>
      <c r="B509" s="13"/>
      <c r="C509" s="13"/>
      <c r="D509" s="13"/>
      <c r="E509" s="13"/>
      <c r="F509" s="14">
        <v>592955000</v>
      </c>
      <c r="G509" s="14">
        <v>579850000</v>
      </c>
      <c r="H509" s="14">
        <v>562912031.12000096</v>
      </c>
      <c r="I509" s="14">
        <v>332716.53000000003</v>
      </c>
      <c r="J509" s="14">
        <v>13003412.039999999</v>
      </c>
      <c r="K509" s="14">
        <v>3708726.3799990299</v>
      </c>
    </row>
    <row r="510" spans="1:11" hidden="1" x14ac:dyDescent="0.35">
      <c r="A510" s="10" t="s">
        <v>14</v>
      </c>
      <c r="B510" s="10" t="s">
        <v>15</v>
      </c>
      <c r="C510" s="10" t="s">
        <v>798</v>
      </c>
      <c r="D510" s="10" t="s">
        <v>170</v>
      </c>
      <c r="E510" s="10" t="s">
        <v>799</v>
      </c>
      <c r="F510" s="11">
        <v>1220302</v>
      </c>
      <c r="G510" s="11">
        <v>1220302</v>
      </c>
      <c r="H510" s="11">
        <v>1220301.8</v>
      </c>
      <c r="I510" s="12"/>
      <c r="J510" s="11">
        <v>1.16415321826935E-10</v>
      </c>
      <c r="K510" s="11">
        <v>0.19999999983701899</v>
      </c>
    </row>
    <row r="511" spans="1:11" hidden="1" x14ac:dyDescent="0.35">
      <c r="A511" s="10" t="s">
        <v>52</v>
      </c>
      <c r="B511" s="10" t="s">
        <v>53</v>
      </c>
      <c r="C511" s="10" t="s">
        <v>800</v>
      </c>
      <c r="D511" s="10" t="s">
        <v>801</v>
      </c>
      <c r="E511" s="10" t="s">
        <v>802</v>
      </c>
      <c r="F511" s="11">
        <v>0</v>
      </c>
      <c r="G511" s="11">
        <v>55598</v>
      </c>
      <c r="H511" s="11">
        <v>44351.48</v>
      </c>
      <c r="I511" s="11">
        <v>0</v>
      </c>
      <c r="J511" s="11">
        <v>0</v>
      </c>
      <c r="K511" s="11">
        <v>11246.52</v>
      </c>
    </row>
    <row r="512" spans="1:11" hidden="1" x14ac:dyDescent="0.35">
      <c r="A512" s="10" t="s">
        <v>65</v>
      </c>
      <c r="B512" s="10" t="s">
        <v>66</v>
      </c>
      <c r="C512" s="10" t="s">
        <v>803</v>
      </c>
      <c r="D512" s="10" t="s">
        <v>804</v>
      </c>
      <c r="E512" s="10" t="s">
        <v>805</v>
      </c>
      <c r="F512" s="11">
        <v>137589</v>
      </c>
      <c r="G512" s="11">
        <v>1</v>
      </c>
      <c r="H512" s="12"/>
      <c r="I512" s="12"/>
      <c r="J512" s="12"/>
      <c r="K512" s="11">
        <v>1</v>
      </c>
    </row>
    <row r="513" spans="1:11" hidden="1" x14ac:dyDescent="0.35">
      <c r="A513" s="10" t="s">
        <v>126</v>
      </c>
      <c r="B513" s="10" t="s">
        <v>127</v>
      </c>
      <c r="C513" s="10" t="s">
        <v>803</v>
      </c>
      <c r="D513" s="10" t="s">
        <v>804</v>
      </c>
      <c r="E513" s="10" t="s">
        <v>806</v>
      </c>
      <c r="F513" s="11">
        <v>1380709</v>
      </c>
      <c r="G513" s="11">
        <v>1333261</v>
      </c>
      <c r="H513" s="11">
        <v>1333260</v>
      </c>
      <c r="I513" s="11">
        <v>0</v>
      </c>
      <c r="J513" s="11">
        <v>0</v>
      </c>
      <c r="K513" s="11">
        <v>1</v>
      </c>
    </row>
    <row r="514" spans="1:11" hidden="1" x14ac:dyDescent="0.35">
      <c r="A514" s="10" t="s">
        <v>179</v>
      </c>
      <c r="B514" s="10" t="s">
        <v>180</v>
      </c>
      <c r="C514" s="10" t="s">
        <v>798</v>
      </c>
      <c r="D514" s="10" t="s">
        <v>170</v>
      </c>
      <c r="E514" s="10" t="s">
        <v>807</v>
      </c>
      <c r="F514" s="11">
        <v>1174460</v>
      </c>
      <c r="G514" s="11">
        <v>1169804</v>
      </c>
      <c r="H514" s="11">
        <v>364703.32</v>
      </c>
      <c r="I514" s="11">
        <v>0</v>
      </c>
      <c r="J514" s="11">
        <v>805100</v>
      </c>
      <c r="K514" s="11">
        <v>0.67999999981839199</v>
      </c>
    </row>
    <row r="515" spans="1:11" hidden="1" x14ac:dyDescent="0.35">
      <c r="A515" s="10" t="s">
        <v>199</v>
      </c>
      <c r="B515" s="10" t="s">
        <v>200</v>
      </c>
      <c r="C515" s="10" t="s">
        <v>798</v>
      </c>
      <c r="D515" s="10" t="s">
        <v>170</v>
      </c>
      <c r="E515" s="10" t="s">
        <v>808</v>
      </c>
      <c r="F515" s="11">
        <v>700693</v>
      </c>
      <c r="G515" s="11">
        <v>641514</v>
      </c>
      <c r="H515" s="11">
        <v>657144.79</v>
      </c>
      <c r="I515" s="11">
        <v>0</v>
      </c>
      <c r="J515" s="11">
        <v>-15631.86</v>
      </c>
      <c r="K515" s="11">
        <v>1.06999999997788</v>
      </c>
    </row>
    <row r="516" spans="1:11" hidden="1" x14ac:dyDescent="0.35">
      <c r="A516" s="10" t="s">
        <v>214</v>
      </c>
      <c r="B516" s="10" t="s">
        <v>215</v>
      </c>
      <c r="C516" s="10" t="s">
        <v>798</v>
      </c>
      <c r="D516" s="10" t="s">
        <v>170</v>
      </c>
      <c r="E516" s="10" t="s">
        <v>809</v>
      </c>
      <c r="F516" s="11">
        <v>1813427</v>
      </c>
      <c r="G516" s="11">
        <v>743839</v>
      </c>
      <c r="H516" s="11">
        <v>310516</v>
      </c>
      <c r="I516" s="11">
        <v>0</v>
      </c>
      <c r="J516" s="11">
        <v>433322</v>
      </c>
      <c r="K516" s="11">
        <v>1</v>
      </c>
    </row>
    <row r="517" spans="1:11" hidden="1" x14ac:dyDescent="0.35">
      <c r="A517" s="10" t="s">
        <v>214</v>
      </c>
      <c r="B517" s="10" t="s">
        <v>215</v>
      </c>
      <c r="C517" s="10" t="s">
        <v>810</v>
      </c>
      <c r="D517" s="10" t="s">
        <v>811</v>
      </c>
      <c r="E517" s="10" t="s">
        <v>812</v>
      </c>
      <c r="F517" s="11">
        <v>16097</v>
      </c>
      <c r="G517" s="11">
        <v>1</v>
      </c>
      <c r="H517" s="12"/>
      <c r="I517" s="12"/>
      <c r="J517" s="12"/>
      <c r="K517" s="11">
        <v>1</v>
      </c>
    </row>
    <row r="518" spans="1:11" hidden="1" x14ac:dyDescent="0.35">
      <c r="A518" s="10" t="s">
        <v>228</v>
      </c>
      <c r="B518" s="10" t="s">
        <v>229</v>
      </c>
      <c r="C518" s="10" t="s">
        <v>798</v>
      </c>
      <c r="D518" s="10" t="s">
        <v>170</v>
      </c>
      <c r="E518" s="10" t="s">
        <v>813</v>
      </c>
      <c r="F518" s="11">
        <v>611783</v>
      </c>
      <c r="G518" s="11">
        <v>572821</v>
      </c>
      <c r="H518" s="11">
        <v>559410</v>
      </c>
      <c r="I518" s="11">
        <v>0</v>
      </c>
      <c r="J518" s="11">
        <v>13410</v>
      </c>
      <c r="K518" s="11">
        <v>1</v>
      </c>
    </row>
    <row r="519" spans="1:11" hidden="1" x14ac:dyDescent="0.35">
      <c r="A519" s="10" t="s">
        <v>240</v>
      </c>
      <c r="B519" s="10" t="s">
        <v>241</v>
      </c>
      <c r="C519" s="10" t="s">
        <v>798</v>
      </c>
      <c r="D519" s="10" t="s">
        <v>170</v>
      </c>
      <c r="E519" s="10" t="s">
        <v>814</v>
      </c>
      <c r="F519" s="11">
        <v>456796</v>
      </c>
      <c r="G519" s="11">
        <v>438461</v>
      </c>
      <c r="H519" s="11">
        <v>438885</v>
      </c>
      <c r="I519" s="11">
        <v>0</v>
      </c>
      <c r="J519" s="11">
        <v>-425</v>
      </c>
      <c r="K519" s="11">
        <v>1</v>
      </c>
    </row>
    <row r="520" spans="1:11" hidden="1" x14ac:dyDescent="0.35">
      <c r="A520" s="10" t="s">
        <v>256</v>
      </c>
      <c r="B520" s="10" t="s">
        <v>257</v>
      </c>
      <c r="C520" s="10" t="s">
        <v>798</v>
      </c>
      <c r="D520" s="10" t="s">
        <v>170</v>
      </c>
      <c r="E520" s="10" t="s">
        <v>815</v>
      </c>
      <c r="F520" s="11">
        <v>234334</v>
      </c>
      <c r="G520" s="11">
        <v>234093</v>
      </c>
      <c r="H520" s="11">
        <v>11026.05</v>
      </c>
      <c r="I520" s="11">
        <v>0</v>
      </c>
      <c r="J520" s="11">
        <v>223066</v>
      </c>
      <c r="K520" s="11">
        <v>0.95000000001164198</v>
      </c>
    </row>
    <row r="521" spans="1:11" hidden="1" x14ac:dyDescent="0.35">
      <c r="A521" s="10" t="s">
        <v>270</v>
      </c>
      <c r="B521" s="10" t="s">
        <v>271</v>
      </c>
      <c r="C521" s="10" t="s">
        <v>798</v>
      </c>
      <c r="D521" s="10" t="s">
        <v>170</v>
      </c>
      <c r="E521" s="10" t="s">
        <v>816</v>
      </c>
      <c r="F521" s="11">
        <v>533159</v>
      </c>
      <c r="G521" s="11">
        <v>532461</v>
      </c>
      <c r="H521" s="11">
        <v>532460</v>
      </c>
      <c r="I521" s="11">
        <v>0</v>
      </c>
      <c r="J521" s="11">
        <v>0</v>
      </c>
      <c r="K521" s="11">
        <v>1</v>
      </c>
    </row>
    <row r="522" spans="1:11" hidden="1" x14ac:dyDescent="0.35">
      <c r="A522" s="10" t="s">
        <v>285</v>
      </c>
      <c r="B522" s="10" t="s">
        <v>286</v>
      </c>
      <c r="C522" s="10" t="s">
        <v>798</v>
      </c>
      <c r="D522" s="10" t="s">
        <v>170</v>
      </c>
      <c r="E522" s="10" t="s">
        <v>817</v>
      </c>
      <c r="F522" s="11">
        <v>551330</v>
      </c>
      <c r="G522" s="11">
        <v>548950</v>
      </c>
      <c r="H522" s="11">
        <v>404980</v>
      </c>
      <c r="I522" s="11">
        <v>0</v>
      </c>
      <c r="J522" s="11">
        <v>142219.26999999999</v>
      </c>
      <c r="K522" s="11">
        <v>1750.73000000001</v>
      </c>
    </row>
    <row r="523" spans="1:11" hidden="1" x14ac:dyDescent="0.35">
      <c r="A523" s="10" t="s">
        <v>298</v>
      </c>
      <c r="B523" s="10" t="s">
        <v>299</v>
      </c>
      <c r="C523" s="10" t="s">
        <v>798</v>
      </c>
      <c r="D523" s="10" t="s">
        <v>170</v>
      </c>
      <c r="E523" s="10" t="s">
        <v>818</v>
      </c>
      <c r="F523" s="11">
        <v>1446520</v>
      </c>
      <c r="G523" s="11">
        <v>1353772</v>
      </c>
      <c r="H523" s="11">
        <v>942948.2</v>
      </c>
      <c r="I523" s="11">
        <v>440666.76</v>
      </c>
      <c r="J523" s="11">
        <v>-29844.44</v>
      </c>
      <c r="K523" s="11">
        <v>1.47999999998137</v>
      </c>
    </row>
    <row r="524" spans="1:11" hidden="1" x14ac:dyDescent="0.35">
      <c r="A524" s="10" t="s">
        <v>330</v>
      </c>
      <c r="B524" s="10" t="s">
        <v>331</v>
      </c>
      <c r="C524" s="10" t="s">
        <v>798</v>
      </c>
      <c r="D524" s="10" t="s">
        <v>170</v>
      </c>
      <c r="E524" s="10" t="s">
        <v>819</v>
      </c>
      <c r="F524" s="11">
        <v>1891417</v>
      </c>
      <c r="G524" s="11">
        <v>1877083</v>
      </c>
      <c r="H524" s="11">
        <v>1817060.1</v>
      </c>
      <c r="I524" s="11">
        <v>0</v>
      </c>
      <c r="J524" s="11">
        <v>57654</v>
      </c>
      <c r="K524" s="11">
        <v>2368.8999999999101</v>
      </c>
    </row>
    <row r="525" spans="1:11" hidden="1" x14ac:dyDescent="0.35">
      <c r="A525" s="10" t="s">
        <v>344</v>
      </c>
      <c r="B525" s="10" t="s">
        <v>345</v>
      </c>
      <c r="C525" s="10" t="s">
        <v>803</v>
      </c>
      <c r="D525" s="10" t="s">
        <v>804</v>
      </c>
      <c r="E525" s="10" t="s">
        <v>820</v>
      </c>
      <c r="F525" s="11">
        <v>151348</v>
      </c>
      <c r="G525" s="11">
        <v>35281</v>
      </c>
      <c r="H525" s="11">
        <v>35280</v>
      </c>
      <c r="I525" s="11">
        <v>0</v>
      </c>
      <c r="J525" s="11">
        <v>0</v>
      </c>
      <c r="K525" s="11">
        <v>1</v>
      </c>
    </row>
    <row r="526" spans="1:11" hidden="1" x14ac:dyDescent="0.35">
      <c r="A526" s="10" t="s">
        <v>344</v>
      </c>
      <c r="B526" s="10" t="s">
        <v>345</v>
      </c>
      <c r="C526" s="10" t="s">
        <v>798</v>
      </c>
      <c r="D526" s="10" t="s">
        <v>170</v>
      </c>
      <c r="E526" s="10" t="s">
        <v>821</v>
      </c>
      <c r="F526" s="11">
        <v>1551340</v>
      </c>
      <c r="G526" s="11">
        <v>633395</v>
      </c>
      <c r="H526" s="11">
        <v>408512.58</v>
      </c>
      <c r="I526" s="11">
        <v>0</v>
      </c>
      <c r="J526" s="11">
        <v>224881.73</v>
      </c>
      <c r="K526" s="11">
        <v>0.69000000000232797</v>
      </c>
    </row>
    <row r="527" spans="1:11" hidden="1" x14ac:dyDescent="0.35">
      <c r="A527" s="10" t="s">
        <v>396</v>
      </c>
      <c r="B527" s="10" t="s">
        <v>397</v>
      </c>
      <c r="C527" s="10" t="s">
        <v>803</v>
      </c>
      <c r="D527" s="10" t="s">
        <v>804</v>
      </c>
      <c r="E527" s="10" t="s">
        <v>822</v>
      </c>
      <c r="F527" s="11">
        <v>126346</v>
      </c>
      <c r="G527" s="11">
        <v>80206</v>
      </c>
      <c r="H527" s="11">
        <v>80205</v>
      </c>
      <c r="I527" s="11">
        <v>0</v>
      </c>
      <c r="J527" s="11">
        <v>0</v>
      </c>
      <c r="K527" s="11">
        <v>1</v>
      </c>
    </row>
    <row r="528" spans="1:11" hidden="1" x14ac:dyDescent="0.35">
      <c r="A528" s="10" t="s">
        <v>396</v>
      </c>
      <c r="B528" s="10" t="s">
        <v>397</v>
      </c>
      <c r="C528" s="10" t="s">
        <v>798</v>
      </c>
      <c r="D528" s="10" t="s">
        <v>170</v>
      </c>
      <c r="E528" s="10" t="s">
        <v>823</v>
      </c>
      <c r="F528" s="11">
        <v>146498</v>
      </c>
      <c r="G528" s="11">
        <v>65176</v>
      </c>
      <c r="H528" s="11">
        <v>40074.519999999997</v>
      </c>
      <c r="I528" s="11">
        <v>0</v>
      </c>
      <c r="J528" s="11">
        <v>25100</v>
      </c>
      <c r="K528" s="11">
        <v>1.4800000000032001</v>
      </c>
    </row>
    <row r="529" spans="1:11" hidden="1" x14ac:dyDescent="0.35">
      <c r="A529" s="10" t="s">
        <v>405</v>
      </c>
      <c r="B529" s="10" t="s">
        <v>406</v>
      </c>
      <c r="C529" s="10" t="s">
        <v>798</v>
      </c>
      <c r="D529" s="10" t="s">
        <v>170</v>
      </c>
      <c r="E529" s="10" t="s">
        <v>824</v>
      </c>
      <c r="F529" s="11">
        <v>1754263</v>
      </c>
      <c r="G529" s="11">
        <v>1421069</v>
      </c>
      <c r="H529" s="11">
        <v>1395868</v>
      </c>
      <c r="I529" s="11">
        <v>1</v>
      </c>
      <c r="J529" s="11">
        <v>12967.5</v>
      </c>
      <c r="K529" s="11">
        <v>12232.5</v>
      </c>
    </row>
    <row r="530" spans="1:11" hidden="1" x14ac:dyDescent="0.35">
      <c r="A530" s="10" t="s">
        <v>417</v>
      </c>
      <c r="B530" s="10" t="s">
        <v>418</v>
      </c>
      <c r="C530" s="10" t="s">
        <v>798</v>
      </c>
      <c r="D530" s="10" t="s">
        <v>170</v>
      </c>
      <c r="E530" s="10" t="s">
        <v>825</v>
      </c>
      <c r="F530" s="11">
        <v>171987</v>
      </c>
      <c r="G530" s="11">
        <v>1</v>
      </c>
      <c r="H530" s="12"/>
      <c r="I530" s="11">
        <v>0</v>
      </c>
      <c r="J530" s="12"/>
      <c r="K530" s="11">
        <v>1</v>
      </c>
    </row>
    <row r="531" spans="1:11" hidden="1" x14ac:dyDescent="0.35">
      <c r="A531" s="10" t="s">
        <v>429</v>
      </c>
      <c r="B531" s="10" t="s">
        <v>430</v>
      </c>
      <c r="C531" s="10" t="s">
        <v>826</v>
      </c>
      <c r="D531" s="10" t="s">
        <v>827</v>
      </c>
      <c r="E531" s="10" t="s">
        <v>828</v>
      </c>
      <c r="F531" s="11">
        <v>2910350</v>
      </c>
      <c r="G531" s="11">
        <v>1624209</v>
      </c>
      <c r="H531" s="11">
        <v>1624208</v>
      </c>
      <c r="I531" s="11">
        <v>0</v>
      </c>
      <c r="J531" s="11">
        <v>0</v>
      </c>
      <c r="K531" s="11">
        <v>1</v>
      </c>
    </row>
    <row r="532" spans="1:11" hidden="1" x14ac:dyDescent="0.35">
      <c r="A532" s="10" t="s">
        <v>429</v>
      </c>
      <c r="B532" s="10" t="s">
        <v>430</v>
      </c>
      <c r="C532" s="10" t="s">
        <v>826</v>
      </c>
      <c r="D532" s="10" t="s">
        <v>827</v>
      </c>
      <c r="E532" s="10" t="s">
        <v>829</v>
      </c>
      <c r="F532" s="11">
        <v>18425319</v>
      </c>
      <c r="G532" s="11">
        <v>30420159</v>
      </c>
      <c r="H532" s="11">
        <v>28839438.300000001</v>
      </c>
      <c r="I532" s="11">
        <v>-3426</v>
      </c>
      <c r="J532" s="11">
        <v>299375</v>
      </c>
      <c r="K532" s="11">
        <v>1284771.7</v>
      </c>
    </row>
    <row r="533" spans="1:11" hidden="1" x14ac:dyDescent="0.35">
      <c r="A533" s="10" t="s">
        <v>429</v>
      </c>
      <c r="B533" s="10" t="s">
        <v>430</v>
      </c>
      <c r="C533" s="10" t="s">
        <v>826</v>
      </c>
      <c r="D533" s="10" t="s">
        <v>827</v>
      </c>
      <c r="E533" s="10" t="s">
        <v>830</v>
      </c>
      <c r="F533" s="11">
        <v>3580020</v>
      </c>
      <c r="G533" s="11">
        <v>0</v>
      </c>
      <c r="H533" s="12"/>
      <c r="I533" s="12"/>
      <c r="J533" s="12"/>
      <c r="K533" s="11">
        <v>0</v>
      </c>
    </row>
    <row r="534" spans="1:11" hidden="1" x14ac:dyDescent="0.35">
      <c r="A534" s="10" t="s">
        <v>429</v>
      </c>
      <c r="B534" s="10" t="s">
        <v>430</v>
      </c>
      <c r="C534" s="10" t="s">
        <v>826</v>
      </c>
      <c r="D534" s="10" t="s">
        <v>827</v>
      </c>
      <c r="E534" s="10" t="s">
        <v>831</v>
      </c>
      <c r="F534" s="11">
        <v>19458929</v>
      </c>
      <c r="G534" s="11">
        <v>21619047</v>
      </c>
      <c r="H534" s="11">
        <v>21619045.739999998</v>
      </c>
      <c r="I534" s="11">
        <v>0</v>
      </c>
      <c r="J534" s="11">
        <v>0</v>
      </c>
      <c r="K534" s="11">
        <v>1.26000000163913</v>
      </c>
    </row>
    <row r="535" spans="1:11" hidden="1" x14ac:dyDescent="0.35">
      <c r="A535" s="10" t="s">
        <v>429</v>
      </c>
      <c r="B535" s="10" t="s">
        <v>430</v>
      </c>
      <c r="C535" s="10" t="s">
        <v>832</v>
      </c>
      <c r="D535" s="10" t="s">
        <v>833</v>
      </c>
      <c r="E535" s="10" t="s">
        <v>834</v>
      </c>
      <c r="F535" s="11">
        <v>1136050</v>
      </c>
      <c r="G535" s="11">
        <v>6161521</v>
      </c>
      <c r="H535" s="11">
        <v>6289920</v>
      </c>
      <c r="I535" s="11">
        <v>-128400</v>
      </c>
      <c r="J535" s="11">
        <v>0</v>
      </c>
      <c r="K535" s="11">
        <v>1</v>
      </c>
    </row>
    <row r="536" spans="1:11" hidden="1" x14ac:dyDescent="0.35">
      <c r="A536" s="10" t="s">
        <v>429</v>
      </c>
      <c r="B536" s="10" t="s">
        <v>430</v>
      </c>
      <c r="C536" s="10" t="s">
        <v>832</v>
      </c>
      <c r="D536" s="10" t="s">
        <v>833</v>
      </c>
      <c r="E536" s="10" t="s">
        <v>835</v>
      </c>
      <c r="F536" s="11">
        <v>32800</v>
      </c>
      <c r="G536" s="11">
        <v>31489</v>
      </c>
      <c r="H536" s="11">
        <v>31488</v>
      </c>
      <c r="I536" s="12"/>
      <c r="J536" s="11">
        <v>0</v>
      </c>
      <c r="K536" s="11">
        <v>1</v>
      </c>
    </row>
    <row r="537" spans="1:11" hidden="1" x14ac:dyDescent="0.35">
      <c r="A537" s="10" t="s">
        <v>429</v>
      </c>
      <c r="B537" s="10" t="s">
        <v>430</v>
      </c>
      <c r="C537" s="10" t="s">
        <v>832</v>
      </c>
      <c r="D537" s="10" t="s">
        <v>833</v>
      </c>
      <c r="E537" s="10" t="s">
        <v>836</v>
      </c>
      <c r="F537" s="11">
        <v>1375893</v>
      </c>
      <c r="G537" s="11">
        <v>41142</v>
      </c>
      <c r="H537" s="11">
        <v>41141</v>
      </c>
      <c r="I537" s="11">
        <v>0</v>
      </c>
      <c r="J537" s="11">
        <v>0</v>
      </c>
      <c r="K537" s="11">
        <v>1</v>
      </c>
    </row>
    <row r="538" spans="1:11" hidden="1" x14ac:dyDescent="0.35">
      <c r="A538" s="10" t="s">
        <v>429</v>
      </c>
      <c r="B538" s="10" t="s">
        <v>430</v>
      </c>
      <c r="C538" s="10" t="s">
        <v>800</v>
      </c>
      <c r="D538" s="10" t="s">
        <v>801</v>
      </c>
      <c r="E538" s="10" t="s">
        <v>837</v>
      </c>
      <c r="F538" s="11">
        <v>0</v>
      </c>
      <c r="G538" s="11">
        <v>1</v>
      </c>
      <c r="H538" s="12"/>
      <c r="I538" s="11">
        <v>0</v>
      </c>
      <c r="J538" s="12"/>
      <c r="K538" s="11">
        <v>1</v>
      </c>
    </row>
    <row r="539" spans="1:11" hidden="1" x14ac:dyDescent="0.35">
      <c r="A539" s="10" t="s">
        <v>429</v>
      </c>
      <c r="B539" s="10" t="s">
        <v>430</v>
      </c>
      <c r="C539" s="10" t="s">
        <v>810</v>
      </c>
      <c r="D539" s="10" t="s">
        <v>811</v>
      </c>
      <c r="E539" s="10" t="s">
        <v>838</v>
      </c>
      <c r="F539" s="11">
        <v>30302</v>
      </c>
      <c r="G539" s="11">
        <v>30303</v>
      </c>
      <c r="H539" s="12"/>
      <c r="I539" s="11">
        <v>30302.25</v>
      </c>
      <c r="J539" s="11">
        <v>0</v>
      </c>
      <c r="K539" s="11">
        <v>0.75</v>
      </c>
    </row>
    <row r="540" spans="1:11" hidden="1" x14ac:dyDescent="0.35">
      <c r="A540" s="10" t="s">
        <v>548</v>
      </c>
      <c r="B540" s="10" t="s">
        <v>549</v>
      </c>
      <c r="C540" s="10" t="s">
        <v>839</v>
      </c>
      <c r="D540" s="10" t="s">
        <v>840</v>
      </c>
      <c r="E540" s="10" t="s">
        <v>841</v>
      </c>
      <c r="F540" s="11">
        <v>69286</v>
      </c>
      <c r="G540" s="11">
        <v>0</v>
      </c>
      <c r="H540" s="12"/>
      <c r="I540" s="12"/>
      <c r="J540" s="12"/>
      <c r="K540" s="11">
        <v>0</v>
      </c>
    </row>
    <row r="541" spans="1:11" hidden="1" x14ac:dyDescent="0.35">
      <c r="A541" s="10" t="s">
        <v>548</v>
      </c>
      <c r="B541" s="10" t="s">
        <v>549</v>
      </c>
      <c r="C541" s="10" t="s">
        <v>800</v>
      </c>
      <c r="D541" s="10" t="s">
        <v>801</v>
      </c>
      <c r="E541" s="10" t="s">
        <v>842</v>
      </c>
      <c r="F541" s="11">
        <v>0</v>
      </c>
      <c r="G541" s="11">
        <v>69286</v>
      </c>
      <c r="H541" s="11">
        <v>69286</v>
      </c>
      <c r="I541" s="11">
        <v>0</v>
      </c>
      <c r="J541" s="11">
        <v>0</v>
      </c>
      <c r="K541" s="11">
        <v>0</v>
      </c>
    </row>
    <row r="542" spans="1:11" hidden="1" x14ac:dyDescent="0.35">
      <c r="A542" s="10" t="s">
        <v>559</v>
      </c>
      <c r="B542" s="10" t="s">
        <v>560</v>
      </c>
      <c r="C542" s="10" t="s">
        <v>832</v>
      </c>
      <c r="D542" s="10" t="s">
        <v>833</v>
      </c>
      <c r="E542" s="10" t="s">
        <v>843</v>
      </c>
      <c r="F542" s="11">
        <v>1135112</v>
      </c>
      <c r="G542" s="11">
        <v>0</v>
      </c>
      <c r="H542" s="12"/>
      <c r="I542" s="12"/>
      <c r="J542" s="12"/>
      <c r="K542" s="11">
        <v>0</v>
      </c>
    </row>
    <row r="543" spans="1:11" hidden="1" x14ac:dyDescent="0.35">
      <c r="A543" s="10" t="s">
        <v>571</v>
      </c>
      <c r="B543" s="10" t="s">
        <v>572</v>
      </c>
      <c r="C543" s="10" t="s">
        <v>803</v>
      </c>
      <c r="D543" s="10" t="s">
        <v>804</v>
      </c>
      <c r="E543" s="10" t="s">
        <v>844</v>
      </c>
      <c r="F543" s="11">
        <v>2800802</v>
      </c>
      <c r="G543" s="11">
        <v>181051</v>
      </c>
      <c r="H543" s="11">
        <v>181050</v>
      </c>
      <c r="I543" s="11">
        <v>0</v>
      </c>
      <c r="J543" s="11">
        <v>0</v>
      </c>
      <c r="K543" s="11">
        <v>1</v>
      </c>
    </row>
    <row r="544" spans="1:11" hidden="1" x14ac:dyDescent="0.35">
      <c r="A544" s="10" t="s">
        <v>571</v>
      </c>
      <c r="B544" s="10" t="s">
        <v>572</v>
      </c>
      <c r="C544" s="10" t="s">
        <v>845</v>
      </c>
      <c r="D544" s="10" t="s">
        <v>846</v>
      </c>
      <c r="E544" s="10" t="s">
        <v>847</v>
      </c>
      <c r="F544" s="11">
        <v>0</v>
      </c>
      <c r="G544" s="11">
        <v>1999374</v>
      </c>
      <c r="H544" s="11">
        <v>1999372.61</v>
      </c>
      <c r="I544" s="11">
        <v>0</v>
      </c>
      <c r="J544" s="11">
        <v>1.3824319466948499E-10</v>
      </c>
      <c r="K544" s="11">
        <v>1.38999999999214</v>
      </c>
    </row>
    <row r="545" spans="1:11" hidden="1" x14ac:dyDescent="0.35">
      <c r="A545" s="10" t="s">
        <v>571</v>
      </c>
      <c r="B545" s="10" t="s">
        <v>572</v>
      </c>
      <c r="C545" s="10" t="s">
        <v>848</v>
      </c>
      <c r="D545" s="10" t="s">
        <v>849</v>
      </c>
      <c r="E545" s="10" t="s">
        <v>850</v>
      </c>
      <c r="F545" s="11">
        <v>0</v>
      </c>
      <c r="G545" s="11">
        <v>321321</v>
      </c>
      <c r="H545" s="11">
        <v>321320</v>
      </c>
      <c r="I545" s="11">
        <v>0</v>
      </c>
      <c r="J545" s="11">
        <v>0</v>
      </c>
      <c r="K545" s="11">
        <v>1</v>
      </c>
    </row>
    <row r="546" spans="1:11" hidden="1" x14ac:dyDescent="0.35">
      <c r="A546" s="10" t="s">
        <v>571</v>
      </c>
      <c r="B546" s="10" t="s">
        <v>572</v>
      </c>
      <c r="C546" s="10" t="s">
        <v>851</v>
      </c>
      <c r="D546" s="10" t="s">
        <v>852</v>
      </c>
      <c r="E546" s="10" t="s">
        <v>853</v>
      </c>
      <c r="F546" s="11">
        <v>0</v>
      </c>
      <c r="G546" s="11">
        <v>566744</v>
      </c>
      <c r="H546" s="11">
        <v>566741</v>
      </c>
      <c r="I546" s="11">
        <v>0</v>
      </c>
      <c r="J546" s="11">
        <v>2</v>
      </c>
      <c r="K546" s="11">
        <v>1</v>
      </c>
    </row>
    <row r="547" spans="1:11" hidden="1" x14ac:dyDescent="0.35">
      <c r="A547" s="10" t="s">
        <v>571</v>
      </c>
      <c r="B547" s="10" t="s">
        <v>572</v>
      </c>
      <c r="C547" s="10" t="s">
        <v>839</v>
      </c>
      <c r="D547" s="10" t="s">
        <v>840</v>
      </c>
      <c r="E547" s="10" t="s">
        <v>854</v>
      </c>
      <c r="F547" s="11">
        <v>646670</v>
      </c>
      <c r="G547" s="11">
        <v>0</v>
      </c>
      <c r="H547" s="12"/>
      <c r="I547" s="12"/>
      <c r="J547" s="12"/>
      <c r="K547" s="11">
        <v>0</v>
      </c>
    </row>
    <row r="548" spans="1:11" hidden="1" x14ac:dyDescent="0.35">
      <c r="A548" s="10" t="s">
        <v>571</v>
      </c>
      <c r="B548" s="10" t="s">
        <v>572</v>
      </c>
      <c r="C548" s="10" t="s">
        <v>800</v>
      </c>
      <c r="D548" s="10" t="s">
        <v>801</v>
      </c>
      <c r="E548" s="10" t="s">
        <v>855</v>
      </c>
      <c r="F548" s="11">
        <v>0</v>
      </c>
      <c r="G548" s="11">
        <v>23966</v>
      </c>
      <c r="H548" s="11">
        <v>23965</v>
      </c>
      <c r="I548" s="11">
        <v>0</v>
      </c>
      <c r="J548" s="11">
        <v>0</v>
      </c>
      <c r="K548" s="11">
        <v>1</v>
      </c>
    </row>
    <row r="549" spans="1:11" hidden="1" x14ac:dyDescent="0.35">
      <c r="A549" s="10" t="s">
        <v>606</v>
      </c>
      <c r="B549" s="10" t="s">
        <v>607</v>
      </c>
      <c r="C549" s="10" t="s">
        <v>798</v>
      </c>
      <c r="D549" s="10" t="s">
        <v>170</v>
      </c>
      <c r="E549" s="10" t="s">
        <v>856</v>
      </c>
      <c r="F549" s="11">
        <v>2998678</v>
      </c>
      <c r="G549" s="11">
        <v>2994929</v>
      </c>
      <c r="H549" s="11">
        <v>2998678.09</v>
      </c>
      <c r="I549" s="12"/>
      <c r="J549" s="11">
        <v>-3749.9999999997699</v>
      </c>
      <c r="K549" s="11">
        <v>0.90999999991618097</v>
      </c>
    </row>
    <row r="550" spans="1:11" hidden="1" x14ac:dyDescent="0.35">
      <c r="A550" s="10" t="s">
        <v>636</v>
      </c>
      <c r="B550" s="10" t="s">
        <v>637</v>
      </c>
      <c r="C550" s="10" t="s">
        <v>798</v>
      </c>
      <c r="D550" s="10" t="s">
        <v>170</v>
      </c>
      <c r="E550" s="10" t="s">
        <v>857</v>
      </c>
      <c r="F550" s="11">
        <v>358538</v>
      </c>
      <c r="G550" s="11">
        <v>353644</v>
      </c>
      <c r="H550" s="11">
        <v>353642.9</v>
      </c>
      <c r="I550" s="11">
        <v>0</v>
      </c>
      <c r="J550" s="11">
        <v>-3.6379788070917101E-12</v>
      </c>
      <c r="K550" s="11">
        <v>1.09999999998035</v>
      </c>
    </row>
    <row r="551" spans="1:11" hidden="1" x14ac:dyDescent="0.35">
      <c r="A551" s="10" t="s">
        <v>649</v>
      </c>
      <c r="B551" s="10" t="s">
        <v>650</v>
      </c>
      <c r="C551" s="10" t="s">
        <v>826</v>
      </c>
      <c r="D551" s="10" t="s">
        <v>827</v>
      </c>
      <c r="E551" s="10" t="s">
        <v>858</v>
      </c>
      <c r="F551" s="11">
        <v>1304891</v>
      </c>
      <c r="G551" s="11">
        <v>1337391</v>
      </c>
      <c r="H551" s="11">
        <v>1304890.5</v>
      </c>
      <c r="I551" s="11">
        <v>0</v>
      </c>
      <c r="J551" s="11">
        <v>32500</v>
      </c>
      <c r="K551" s="11">
        <v>0.5</v>
      </c>
    </row>
    <row r="552" spans="1:11" hidden="1" x14ac:dyDescent="0.35">
      <c r="A552" s="10" t="s">
        <v>649</v>
      </c>
      <c r="B552" s="10" t="s">
        <v>650</v>
      </c>
      <c r="C552" s="10" t="s">
        <v>798</v>
      </c>
      <c r="D552" s="10" t="s">
        <v>170</v>
      </c>
      <c r="E552" s="10" t="s">
        <v>859</v>
      </c>
      <c r="F552" s="11">
        <v>15928069</v>
      </c>
      <c r="G552" s="11">
        <v>11544342</v>
      </c>
      <c r="H552" s="11">
        <v>10859321.68</v>
      </c>
      <c r="I552" s="11">
        <v>3</v>
      </c>
      <c r="J552" s="11">
        <v>551971.17000000004</v>
      </c>
      <c r="K552" s="11">
        <v>133046.15</v>
      </c>
    </row>
    <row r="553" spans="1:11" hidden="1" x14ac:dyDescent="0.35">
      <c r="A553" s="10" t="s">
        <v>660</v>
      </c>
      <c r="B553" s="10" t="s">
        <v>661</v>
      </c>
      <c r="C553" s="10" t="s">
        <v>798</v>
      </c>
      <c r="D553" s="10" t="s">
        <v>170</v>
      </c>
      <c r="E553" s="10" t="s">
        <v>860</v>
      </c>
      <c r="F553" s="11">
        <v>2751786</v>
      </c>
      <c r="G553" s="11">
        <v>1</v>
      </c>
      <c r="H553" s="12"/>
      <c r="I553" s="12"/>
      <c r="J553" s="12"/>
      <c r="K553" s="11">
        <v>1</v>
      </c>
    </row>
    <row r="554" spans="1:11" hidden="1" x14ac:dyDescent="0.35">
      <c r="A554" s="10" t="s">
        <v>660</v>
      </c>
      <c r="B554" s="10" t="s">
        <v>661</v>
      </c>
      <c r="C554" s="10" t="s">
        <v>839</v>
      </c>
      <c r="D554" s="10" t="s">
        <v>840</v>
      </c>
      <c r="E554" s="10" t="s">
        <v>861</v>
      </c>
      <c r="F554" s="11">
        <v>833665</v>
      </c>
      <c r="G554" s="11">
        <v>0</v>
      </c>
      <c r="H554" s="11">
        <v>0</v>
      </c>
      <c r="I554" s="12"/>
      <c r="J554" s="11">
        <v>0</v>
      </c>
      <c r="K554" s="11">
        <v>0</v>
      </c>
    </row>
    <row r="555" spans="1:11" hidden="1" x14ac:dyDescent="0.35">
      <c r="A555" s="10" t="s">
        <v>660</v>
      </c>
      <c r="B555" s="10" t="s">
        <v>661</v>
      </c>
      <c r="C555" s="10" t="s">
        <v>800</v>
      </c>
      <c r="D555" s="10" t="s">
        <v>801</v>
      </c>
      <c r="E555" s="10" t="s">
        <v>862</v>
      </c>
      <c r="F555" s="11">
        <v>0</v>
      </c>
      <c r="G555" s="11">
        <v>138509</v>
      </c>
      <c r="H555" s="11">
        <v>138508.82999999999</v>
      </c>
      <c r="I555" s="12"/>
      <c r="J555" s="12"/>
      <c r="K555" s="11">
        <v>0.16999999998370199</v>
      </c>
    </row>
    <row r="556" spans="1:11" hidden="1" x14ac:dyDescent="0.35">
      <c r="A556" s="10" t="s">
        <v>741</v>
      </c>
      <c r="B556" s="10" t="s">
        <v>742</v>
      </c>
      <c r="C556" s="10" t="s">
        <v>798</v>
      </c>
      <c r="D556" s="10" t="s">
        <v>170</v>
      </c>
      <c r="E556" s="10" t="s">
        <v>863</v>
      </c>
      <c r="F556" s="11">
        <v>6879</v>
      </c>
      <c r="G556" s="11">
        <v>1</v>
      </c>
      <c r="H556" s="12"/>
      <c r="I556" s="12"/>
      <c r="J556" s="12"/>
      <c r="K556" s="11">
        <v>1</v>
      </c>
    </row>
    <row r="557" spans="1:11" hidden="1" x14ac:dyDescent="0.35">
      <c r="A557" s="10" t="s">
        <v>756</v>
      </c>
      <c r="B557" s="10" t="s">
        <v>757</v>
      </c>
      <c r="C557" s="10" t="s">
        <v>803</v>
      </c>
      <c r="D557" s="10" t="s">
        <v>804</v>
      </c>
      <c r="E557" s="10" t="s">
        <v>864</v>
      </c>
      <c r="F557" s="11">
        <v>466679</v>
      </c>
      <c r="G557" s="11">
        <v>824085</v>
      </c>
      <c r="H557" s="11">
        <v>824084</v>
      </c>
      <c r="I557" s="11">
        <v>0</v>
      </c>
      <c r="J557" s="11">
        <v>-5.8207660913467401E-11</v>
      </c>
      <c r="K557" s="11">
        <v>1.0000000000582101</v>
      </c>
    </row>
    <row r="558" spans="1:11" hidden="1" x14ac:dyDescent="0.35">
      <c r="A558" s="10" t="s">
        <v>756</v>
      </c>
      <c r="B558" s="10" t="s">
        <v>757</v>
      </c>
      <c r="C558" s="10" t="s">
        <v>798</v>
      </c>
      <c r="D558" s="10" t="s">
        <v>170</v>
      </c>
      <c r="E558" s="10" t="s">
        <v>865</v>
      </c>
      <c r="F558" s="11">
        <v>17788291</v>
      </c>
      <c r="G558" s="11">
        <v>17060665</v>
      </c>
      <c r="H558" s="11">
        <v>15987020.359999999</v>
      </c>
      <c r="I558" s="11">
        <v>-1741.04000000004</v>
      </c>
      <c r="J558" s="11">
        <v>1053463.22</v>
      </c>
      <c r="K558" s="11">
        <v>21922.459999998599</v>
      </c>
    </row>
    <row r="559" spans="1:11" hidden="1" x14ac:dyDescent="0.35">
      <c r="A559" s="10" t="s">
        <v>756</v>
      </c>
      <c r="B559" s="10" t="s">
        <v>757</v>
      </c>
      <c r="C559" s="10" t="s">
        <v>832</v>
      </c>
      <c r="D559" s="10" t="s">
        <v>833</v>
      </c>
      <c r="E559" s="10" t="s">
        <v>866</v>
      </c>
      <c r="F559" s="11">
        <v>19606</v>
      </c>
      <c r="G559" s="11">
        <v>731</v>
      </c>
      <c r="H559" s="11">
        <v>728.67</v>
      </c>
      <c r="I559" s="12"/>
      <c r="J559" s="12"/>
      <c r="K559" s="11">
        <v>2.33000000000004</v>
      </c>
    </row>
    <row r="560" spans="1:11" hidden="1" x14ac:dyDescent="0.35">
      <c r="A560" s="10" t="s">
        <v>756</v>
      </c>
      <c r="B560" s="10" t="s">
        <v>757</v>
      </c>
      <c r="C560" s="10" t="s">
        <v>810</v>
      </c>
      <c r="D560" s="10" t="s">
        <v>811</v>
      </c>
      <c r="E560" s="10" t="s">
        <v>867</v>
      </c>
      <c r="F560" s="11">
        <v>171987</v>
      </c>
      <c r="G560" s="11">
        <v>0</v>
      </c>
      <c r="H560" s="12"/>
      <c r="I560" s="12"/>
      <c r="J560" s="12"/>
      <c r="K560" s="11">
        <v>0</v>
      </c>
    </row>
    <row r="561" spans="1:11" x14ac:dyDescent="0.35">
      <c r="A561" s="64"/>
      <c r="B561" s="64"/>
      <c r="C561" s="64"/>
      <c r="D561" s="64"/>
      <c r="E561" s="64"/>
      <c r="F561" s="64"/>
      <c r="G561" s="64"/>
      <c r="H561" s="64"/>
      <c r="I561" s="64"/>
      <c r="J561" s="64"/>
      <c r="K561" s="64"/>
    </row>
  </sheetData>
  <autoFilter ref="A1:P560" xr:uid="{00000000-0009-0000-0000-000007000000}">
    <filterColumn colId="4">
      <filters>
        <filter val="847.8470305.1.432209.000000.847001.200179"/>
        <filter val="847.8470310.1.432209.000000.847001.200179"/>
        <filter val="847.8470315.1.432209.000000.847001.200179"/>
        <filter val="847.8470325.1.432209.000000.847001.200179"/>
        <filter val="847.8470330.1.432209.000000.847001.200179"/>
        <filter val="847.8470340.1.432209.000000.847001.200179"/>
        <filter val="847.8470350.1.432209.000000.847001.200179"/>
        <filter val="847.8470405.1.432209.000000.847001.200179"/>
        <filter val="847.8470415.1.432209.000000.847001.200179"/>
        <filter val="847.8470430.1.432209.000000.847001.200179"/>
        <filter val="847.8470450.1.432209.000000.847001.200179"/>
        <filter val="847.8470455.1.432209.000000.847001.200179"/>
        <filter val="847.8471160.1.432209.000000.847001.200179"/>
        <filter val="847.8471305.1.432209.000000.847001.200179"/>
      </filters>
    </filterColumn>
  </autoFilter>
  <mergeCells count="1">
    <mergeCell ref="A561:K5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(2)</vt:lpstr>
      <vt:lpstr>Summary</vt:lpstr>
      <vt:lpstr>Pivot Opex</vt:lpstr>
      <vt:lpstr>Pivot Capex</vt:lpstr>
      <vt:lpstr>opex q4 22</vt:lpstr>
      <vt:lpstr>capex q4 22</vt:lpstr>
      <vt:lpstr>PR DETAILS</vt:lpstr>
      <vt:lpstr>PO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2023-02-22T08:54:45Z</dcterms:created>
  <dcterms:modified xsi:type="dcterms:W3CDTF">2023-10-10T06:40:28Z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